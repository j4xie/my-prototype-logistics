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公式测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0" fontId="1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产品</t>
        </is>
      </c>
      <c r="B1" s="1" t="inlineStr">
        <is>
          <t>1月</t>
        </is>
      </c>
      <c r="C1" s="1" t="inlineStr">
        <is>
          <t>2月</t>
        </is>
      </c>
      <c r="D1" s="1" t="inlineStr">
        <is>
          <t>3月</t>
        </is>
      </c>
      <c r="E1" s="1" t="inlineStr">
        <is>
          <t>4月</t>
        </is>
      </c>
      <c r="F1" s="1" t="inlineStr">
        <is>
          <t>5月</t>
        </is>
      </c>
      <c r="G1" s="1" t="inlineStr">
        <is>
          <t>6月</t>
        </is>
      </c>
      <c r="H1" s="1" t="inlineStr">
        <is>
          <t>7月</t>
        </is>
      </c>
      <c r="I1" s="1" t="inlineStr">
        <is>
          <t>8月</t>
        </is>
      </c>
      <c r="J1" s="1" t="inlineStr">
        <is>
          <t>9月</t>
        </is>
      </c>
      <c r="K1" s="1" t="inlineStr">
        <is>
          <t>10月</t>
        </is>
      </c>
      <c r="L1" s="1" t="inlineStr">
        <is>
          <t>11月</t>
        </is>
      </c>
      <c r="M1" s="1" t="inlineStr">
        <is>
          <t>12月</t>
        </is>
      </c>
      <c r="N1" s="1" t="inlineStr">
        <is>
          <t>合计</t>
        </is>
      </c>
      <c r="O1" s="1" t="inlineStr">
        <is>
          <t>平均</t>
        </is>
      </c>
      <c r="P1" s="1" t="inlineStr">
        <is>
          <t>达标</t>
        </is>
      </c>
    </row>
    <row r="2">
      <c r="A2" s="2" t="inlineStr">
        <is>
          <t>火锅底料</t>
        </is>
      </c>
      <c r="B2" s="3" t="n">
        <v>202645.24</v>
      </c>
      <c r="C2" s="3" t="n">
        <v>36752.9</v>
      </c>
      <c r="D2" s="3" t="n">
        <v>104257.92</v>
      </c>
      <c r="E2" s="3" t="n">
        <v>90266.89999999999</v>
      </c>
      <c r="F2" s="3" t="n">
        <v>228847.23</v>
      </c>
      <c r="G2" s="3" t="n">
        <v>212708.86</v>
      </c>
      <c r="H2" s="3" t="n">
        <v>270888.48</v>
      </c>
      <c r="I2" s="3" t="n">
        <v>53473.48</v>
      </c>
      <c r="J2" s="3" t="n">
        <v>143918.89</v>
      </c>
      <c r="K2" s="3" t="n">
        <v>38045.25</v>
      </c>
      <c r="L2" s="3" t="n">
        <v>89032.25</v>
      </c>
      <c r="M2" s="3" t="n">
        <v>166445.93</v>
      </c>
      <c r="N2" s="2">
        <f>SUM(B2:M2)</f>
        <v/>
      </c>
      <c r="O2" s="2">
        <f>AVERAGE(B2:M2)</f>
        <v/>
      </c>
      <c r="P2" s="2">
        <f>IF(N2&gt;1500000,"达标","未达标")</f>
        <v/>
      </c>
    </row>
    <row r="3">
      <c r="A3" s="2" t="inlineStr">
        <is>
          <t>复合调味料</t>
        </is>
      </c>
      <c r="B3" s="3" t="n">
        <v>37164.71</v>
      </c>
      <c r="C3" s="3" t="n">
        <v>83686.17</v>
      </c>
      <c r="D3" s="3" t="n">
        <v>205468.8</v>
      </c>
      <c r="E3" s="3" t="n">
        <v>177134.2</v>
      </c>
      <c r="F3" s="3" t="n">
        <v>89518.97</v>
      </c>
      <c r="G3" s="3" t="n">
        <v>189101.73</v>
      </c>
      <c r="H3" s="3" t="n">
        <v>248546.22</v>
      </c>
      <c r="I3" s="3" t="n">
        <v>31754.67</v>
      </c>
      <c r="J3" s="3" t="n">
        <v>247571.2</v>
      </c>
      <c r="K3" s="3" t="n">
        <v>218497.64</v>
      </c>
      <c r="L3" s="3" t="n">
        <v>121867.64</v>
      </c>
      <c r="M3" s="3" t="n">
        <v>71979.46000000001</v>
      </c>
      <c r="N3" s="2">
        <f>SUM(B3:M3)</f>
        <v/>
      </c>
      <c r="O3" s="2">
        <f>AVERAGE(B3:M3)</f>
        <v/>
      </c>
      <c r="P3" s="2">
        <f>IF(N3&gt;1500000,"达标","未达标")</f>
        <v/>
      </c>
    </row>
    <row r="4">
      <c r="A4" s="2" t="inlineStr">
        <is>
          <t>酱料</t>
        </is>
      </c>
      <c r="B4" s="3" t="n">
        <v>288447.53</v>
      </c>
      <c r="C4" s="3" t="n">
        <v>120880.53</v>
      </c>
      <c r="D4" s="3" t="n">
        <v>55041.38</v>
      </c>
      <c r="E4" s="3" t="n">
        <v>56113.42</v>
      </c>
      <c r="F4" s="3" t="n">
        <v>258823.48</v>
      </c>
      <c r="G4" s="3" t="n">
        <v>193006.03</v>
      </c>
      <c r="H4" s="3" t="n">
        <v>247924.63</v>
      </c>
      <c r="I4" s="3" t="n">
        <v>227027.58</v>
      </c>
      <c r="J4" s="3" t="n">
        <v>174781.58</v>
      </c>
      <c r="K4" s="3" t="n">
        <v>292741.26</v>
      </c>
      <c r="L4" s="3" t="n">
        <v>132204.28</v>
      </c>
      <c r="M4" s="3" t="n">
        <v>179050.97</v>
      </c>
      <c r="N4" s="2">
        <f>SUM(B4:M4)</f>
        <v/>
      </c>
      <c r="O4" s="2">
        <f>AVERAGE(B4:M4)</f>
        <v/>
      </c>
      <c r="P4" s="2">
        <f>IF(N4&gt;1500000,"达标","未达标")</f>
        <v/>
      </c>
    </row>
    <row r="5">
      <c r="A5" s="2" t="inlineStr">
        <is>
          <t>速食产品</t>
        </is>
      </c>
      <c r="B5" s="3" t="n">
        <v>253939.26</v>
      </c>
      <c r="C5" s="3" t="n">
        <v>197000.33</v>
      </c>
      <c r="D5" s="3" t="n">
        <v>262660.86</v>
      </c>
      <c r="E5" s="3" t="n">
        <v>185885.08</v>
      </c>
      <c r="F5" s="3" t="n">
        <v>220234.4</v>
      </c>
      <c r="G5" s="3" t="n">
        <v>42372.58</v>
      </c>
      <c r="H5" s="3" t="n">
        <v>91532.53</v>
      </c>
      <c r="I5" s="3" t="n">
        <v>108134.75</v>
      </c>
      <c r="J5" s="3" t="n">
        <v>51543.83</v>
      </c>
      <c r="K5" s="3" t="n">
        <v>92853.53999999999</v>
      </c>
      <c r="L5" s="3" t="n">
        <v>57270.39</v>
      </c>
      <c r="M5" s="3" t="n">
        <v>105052.87</v>
      </c>
      <c r="N5" s="2">
        <f>SUM(B5:M5)</f>
        <v/>
      </c>
      <c r="O5" s="2">
        <f>AVERAGE(B5:M5)</f>
        <v/>
      </c>
      <c r="P5" s="2">
        <f>IF(N5&gt;1500000,"达标","未达标")</f>
        <v/>
      </c>
    </row>
    <row r="6">
      <c r="A6" s="2" t="inlineStr">
        <is>
          <t>预制菜</t>
        </is>
      </c>
      <c r="B6" s="3" t="n">
        <v>201634.8</v>
      </c>
      <c r="C6" s="3" t="n">
        <v>128504.69</v>
      </c>
      <c r="D6" s="3" t="n">
        <v>129948.86</v>
      </c>
      <c r="E6" s="3" t="n">
        <v>86566.89999999999</v>
      </c>
      <c r="F6" s="3" t="n">
        <v>102084.01</v>
      </c>
      <c r="G6" s="3" t="n">
        <v>282896.74</v>
      </c>
      <c r="H6" s="3" t="n">
        <v>204969.55</v>
      </c>
      <c r="I6" s="3" t="n">
        <v>194465.37</v>
      </c>
      <c r="J6" s="3" t="n">
        <v>76207.44</v>
      </c>
      <c r="K6" s="3" t="n">
        <v>226864.24</v>
      </c>
      <c r="L6" s="3" t="n">
        <v>74118.67</v>
      </c>
      <c r="M6" s="3" t="n">
        <v>132452.97</v>
      </c>
      <c r="N6" s="2">
        <f>SUM(B6:M6)</f>
        <v/>
      </c>
      <c r="O6" s="2">
        <f>AVERAGE(B6:M6)</f>
        <v/>
      </c>
      <c r="P6" s="2">
        <f>IF(N6&gt;1500000,"达标","未达标")</f>
        <v/>
      </c>
    </row>
    <row r="7">
      <c r="A7" s="2" t="inlineStr">
        <is>
          <t>休闲零食</t>
        </is>
      </c>
      <c r="B7" s="3" t="n">
        <v>297171.3</v>
      </c>
      <c r="C7" s="3" t="n">
        <v>202799.94</v>
      </c>
      <c r="D7" s="3" t="n">
        <v>180376.43</v>
      </c>
      <c r="E7" s="3" t="n">
        <v>214845.85</v>
      </c>
      <c r="F7" s="3" t="n">
        <v>257570.02</v>
      </c>
      <c r="G7" s="3" t="n">
        <v>239519.98</v>
      </c>
      <c r="H7" s="3" t="n">
        <v>91842.98</v>
      </c>
      <c r="I7" s="3" t="n">
        <v>38667.07</v>
      </c>
      <c r="J7" s="3" t="n">
        <v>115172.32</v>
      </c>
      <c r="K7" s="3" t="n">
        <v>102290.04</v>
      </c>
      <c r="L7" s="3" t="n">
        <v>86965.37</v>
      </c>
      <c r="M7" s="3" t="n">
        <v>284585.62</v>
      </c>
      <c r="N7" s="2">
        <f>SUM(B7:M7)</f>
        <v/>
      </c>
      <c r="O7" s="2">
        <f>AVERAGE(B7:M7)</f>
        <v/>
      </c>
      <c r="P7" s="2">
        <f>IF(N7&gt;1500000,"达标","未达标")</f>
        <v/>
      </c>
    </row>
    <row r="8">
      <c r="A8" s="2" t="inlineStr">
        <is>
          <t>饮品</t>
        </is>
      </c>
      <c r="B8" s="3" t="n">
        <v>266619.26</v>
      </c>
      <c r="C8" s="3" t="n">
        <v>114963.03</v>
      </c>
      <c r="D8" s="3" t="n">
        <v>206968.44</v>
      </c>
      <c r="E8" s="3" t="n">
        <v>136820.61</v>
      </c>
      <c r="F8" s="3" t="n">
        <v>276927.85</v>
      </c>
      <c r="G8" s="3" t="n">
        <v>153890</v>
      </c>
      <c r="H8" s="3" t="n">
        <v>101517.64</v>
      </c>
      <c r="I8" s="3" t="n">
        <v>96589.42999999999</v>
      </c>
      <c r="J8" s="3" t="n">
        <v>181569.4</v>
      </c>
      <c r="K8" s="3" t="n">
        <v>100940.23</v>
      </c>
      <c r="L8" s="3" t="n">
        <v>187838.22</v>
      </c>
      <c r="M8" s="3" t="n">
        <v>272412.18</v>
      </c>
      <c r="N8" s="2">
        <f>SUM(B8:M8)</f>
        <v/>
      </c>
      <c r="O8" s="2">
        <f>AVERAGE(B8:M8)</f>
        <v/>
      </c>
      <c r="P8" s="2">
        <f>IF(N8&gt;1500000,"达标","未达标")</f>
        <v/>
      </c>
    </row>
    <row r="9">
      <c r="A9" s="2" t="inlineStr">
        <is>
          <t>冷冻食品</t>
        </is>
      </c>
      <c r="B9" s="3" t="n">
        <v>137838.14</v>
      </c>
      <c r="C9" s="3" t="n">
        <v>89216.60000000001</v>
      </c>
      <c r="D9" s="3" t="n">
        <v>299335.15</v>
      </c>
      <c r="E9" s="3" t="n">
        <v>167572.1</v>
      </c>
      <c r="F9" s="3" t="n">
        <v>54545.54</v>
      </c>
      <c r="G9" s="3" t="n">
        <v>42721.42</v>
      </c>
      <c r="H9" s="3" t="n">
        <v>59605.27</v>
      </c>
      <c r="I9" s="3" t="n">
        <v>199410.43</v>
      </c>
      <c r="J9" s="3" t="n">
        <v>243861.43</v>
      </c>
      <c r="K9" s="3" t="n">
        <v>143983.19</v>
      </c>
      <c r="L9" s="3" t="n">
        <v>47152.48</v>
      </c>
      <c r="M9" s="3" t="n">
        <v>133037.21</v>
      </c>
      <c r="N9" s="2">
        <f>SUM(B9:M9)</f>
        <v/>
      </c>
      <c r="O9" s="2">
        <f>AVERAGE(B9:M9)</f>
        <v/>
      </c>
      <c r="P9" s="2">
        <f>IF(N9&gt;1500000,"达标","未达标")</f>
        <v/>
      </c>
    </row>
    <row r="10">
      <c r="A10" s="4" t="inlineStr">
        <is>
          <t>合计</t>
        </is>
      </c>
      <c r="B10" s="2">
        <f>SUM(B2:B9)</f>
        <v/>
      </c>
      <c r="C10" s="2">
        <f>SUM(C2:C9)</f>
        <v/>
      </c>
      <c r="D10" s="2">
        <f>SUM(D2:D9)</f>
        <v/>
      </c>
      <c r="E10" s="2">
        <f>SUM(E2:E9)</f>
        <v/>
      </c>
      <c r="F10" s="2">
        <f>SUM(F2:F9)</f>
        <v/>
      </c>
      <c r="G10" s="2">
        <f>SUM(G2:G9)</f>
        <v/>
      </c>
      <c r="H10" s="2">
        <f>SUM(H2:H9)</f>
        <v/>
      </c>
      <c r="I10" s="2">
        <f>SUM(I2:I9)</f>
        <v/>
      </c>
      <c r="J10" s="2">
        <f>SUM(J2:J9)</f>
        <v/>
      </c>
      <c r="K10" s="2">
        <f>SUM(K2:K9)</f>
        <v/>
      </c>
      <c r="L10" s="2">
        <f>SUM(L2:L9)</f>
        <v/>
      </c>
      <c r="M10" s="2">
        <f>SUM(M2:M9)</f>
        <v/>
      </c>
      <c r="N10" s="2">
        <f>SUM(N2:N9)</f>
        <v/>
      </c>
      <c r="O10" s="2">
        <f>SUM(O2:O9)</f>
        <v/>
      </c>
      <c r="P10" s="2">
        <f>SUM(P2:P9)</f>
        <v/>
      </c>
    </row>
    <row r="11">
      <c r="A11" s="4" t="inlineStr">
        <is>
          <t>月度占比</t>
        </is>
      </c>
      <c r="B11" s="5">
        <f>B10/N10</f>
        <v/>
      </c>
      <c r="C11" s="5">
        <f>C10/N10</f>
        <v/>
      </c>
      <c r="D11" s="5">
        <f>D10/N10</f>
        <v/>
      </c>
      <c r="E11" s="5">
        <f>E10/N10</f>
        <v/>
      </c>
      <c r="F11" s="5">
        <f>F10/N10</f>
        <v/>
      </c>
      <c r="G11" s="5">
        <f>G10/N10</f>
        <v/>
      </c>
      <c r="H11" s="5">
        <f>H10/N10</f>
        <v/>
      </c>
      <c r="I11" s="5">
        <f>I10/N10</f>
        <v/>
      </c>
      <c r="J11" s="5">
        <f>J10/N10</f>
        <v/>
      </c>
      <c r="K11" s="5">
        <f>K10/N10</f>
        <v/>
      </c>
      <c r="L11" s="5">
        <f>L10/N10</f>
        <v/>
      </c>
      <c r="M11" s="5">
        <f>M10/N10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2026-02-20T00:51:17Z</dcterms:created>
  <dcterms:modified xmlns:dcterms="http://purl.org/dc/terms/" xmlns:xsi="http://www.w3.org/2001/XMLSchema-instance" xsi:type="dcterms:W3CDTF">2026-02-20T00:51:17Z</dcterms:modified>
</cp:coreProperties>
</file>