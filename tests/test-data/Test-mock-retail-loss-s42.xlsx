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收入及净利简表" sheetId="2" state="visible" r:id="rId2"/>
    <sheet xmlns:r="http://schemas.openxmlformats.org/officeDocument/2006/relationships" name="2025年华东运营中心利润表" sheetId="3" state="visible" r:id="rId3"/>
    <sheet xmlns:r="http://schemas.openxmlformats.org/officeDocument/2006/relationships" name="2025年中心利润表" sheetId="4" state="visible" r:id="rId4"/>
    <sheet xmlns:r="http://schemas.openxmlformats.org/officeDocument/2006/relationships" name="2025年上海直营利润表" sheetId="5" state="visible" r:id="rId5"/>
    <sheet xmlns:r="http://schemas.openxmlformats.org/officeDocument/2006/relationships" name="2025年江苏加盟利润表" sheetId="6" state="visible" r:id="rId6"/>
    <sheet xmlns:r="http://schemas.openxmlformats.org/officeDocument/2006/relationships" name="2025年浙江加盟利润表" sheetId="7" state="visible" r:id="rId7"/>
    <sheet xmlns:r="http://schemas.openxmlformats.org/officeDocument/2006/relationships" name="2025年线上渠道利润表" sheetId="8" state="visible" r:id="rId8"/>
    <sheet xmlns:r="http://schemas.openxmlformats.org/officeDocument/2006/relationships" name="2025年天猫旗舰利润表" sheetId="9" state="visible" r:id="rId9"/>
    <sheet xmlns:r="http://schemas.openxmlformats.org/officeDocument/2006/relationships" name="2025年京东自营利润表" sheetId="10" state="visible" r:id="rId10"/>
    <sheet xmlns:r="http://schemas.openxmlformats.org/officeDocument/2006/relationships" name="24年返利明细" sheetId="11" state="visible" r:id="rId11"/>
    <sheet xmlns:r="http://schemas.openxmlformats.org/officeDocument/2006/relationships" name="资产负债表" sheetId="12" state="visible" r:id="rId12"/>
    <sheet xmlns:r="http://schemas.openxmlformats.org/officeDocument/2006/relationships" name="销售明细" sheetId="13" state="visible" r:id="rId13"/>
    <sheet xmlns:r="http://schemas.openxmlformats.org/officeDocument/2006/relationships" name="应收账款账龄" sheetId="14" state="visible" r:id="rId14"/>
    <sheet xmlns:r="http://schemas.openxmlformats.org/officeDocument/2006/relationships" name="库存台账" sheetId="15" state="visible" r:id="rId15"/>
    <sheet xmlns:r="http://schemas.openxmlformats.org/officeDocument/2006/relationships" name="月度经营分析" sheetId="16" state="visible" r:id="rId16"/>
    <sheet xmlns:r="http://schemas.openxmlformats.org/officeDocument/2006/relationships" name="费用预算执行" sheetId="17" state="visible" r:id="rId17"/>
    <sheet xmlns:r="http://schemas.openxmlformats.org/officeDocument/2006/relationships" name="现金流量表" sheetId="18" state="visible" r:id="rId18"/>
    <sheet xmlns:r="http://schemas.openxmlformats.org/officeDocument/2006/relationships" name="超宽数据表" sheetId="19" state="visible" r:id="rId19"/>
    <sheet xmlns:r="http://schemas.openxmlformats.org/officeDocument/2006/relationships" name="混合类型测试" sheetId="20" state="visible" r:id="rId20"/>
    <sheet xmlns:r="http://schemas.openxmlformats.org/officeDocument/2006/relationships" name="空值区域测试" sheetId="21" state="visible" r:id="rId21"/>
    <sheet xmlns:r="http://schemas.openxmlformats.org/officeDocument/2006/relationships" name="跨年对比(2024-2025)" sheetId="22" state="visible" r:id="rId22"/>
    <sheet xmlns:r="http://schemas.openxmlformats.org/officeDocument/2006/relationships" name="公式测试" sheetId="23" state="visible" r:id="rId23"/>
    <sheet xmlns:r="http://schemas.openxmlformats.org/officeDocument/2006/relationships" name="纯数字列名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yyyy-mm-dd h:mm:ss"/>
    <numFmt numFmtId="166" formatCode="0.0"/>
    <numFmt numFmtId="167" formatCode="yyyy-mm-dd"/>
    <numFmt numFmtId="168" formatCode="YYYY-MM-DD"/>
    <numFmt numFmtId="169" formatCode="0.0%"/>
    <numFmt numFmtId="170" formatCode="+0.0%;-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6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165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6" fontId="0" fillId="0" borderId="1" pivotButton="0" quotePrefix="0" xfId="0"/>
    <xf numFmtId="168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0" fontId="0" fillId="0" borderId="0" applyAlignment="1" pivotButton="0" quotePrefix="0" xfId="0">
      <alignment horizontal="center"/>
    </xf>
    <xf numFmtId="3" fontId="0" fillId="0" borderId="1" pivotButton="0" quotePrefix="0" xfId="0"/>
    <xf numFmtId="3" fontId="2" fillId="0" borderId="1" pivotButton="0" quotePrefix="0" xfId="0"/>
    <xf numFmtId="169" fontId="2" fillId="0" borderId="1" applyAlignment="1" pivotButton="0" quotePrefix="0" xfId="0">
      <alignment horizontal="center" vertical="center" wrapText="1"/>
    </xf>
    <xf numFmtId="169" fontId="0" fillId="0" borderId="1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textRotation="90"/>
    </xf>
    <xf numFmtId="3" fontId="4" fillId="0" borderId="1" pivotButton="0" quotePrefix="0" xfId="0"/>
    <xf numFmtId="169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17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</cols>
  <sheetData>
    <row r="1">
      <c r="A1" s="1" t="inlineStr">
        <is>
          <t>华东运营中心经营口径报表索引</t>
        </is>
      </c>
    </row>
    <row r="2">
      <c r="A2" s="2" t="inlineStr">
        <is>
          <t>序号</t>
        </is>
      </c>
      <c r="B2" s="2" t="inlineStr">
        <is>
          <t>索引</t>
        </is>
      </c>
      <c r="C2" s="2" t="inlineStr">
        <is>
          <t>报表编制说明</t>
        </is>
      </c>
    </row>
    <row r="3">
      <c r="A3" s="3" t="n">
        <v>1</v>
      </c>
      <c r="B3" s="4" t="inlineStr">
        <is>
          <t>收入及净利简表</t>
        </is>
      </c>
      <c r="C3" s="5" t="inlineStr">
        <is>
          <t>1、分部及区域的预算净利及实际净利，数据来源为本文件中分部利润表</t>
        </is>
      </c>
    </row>
    <row r="4">
      <c r="A4" s="3" t="n">
        <v>2</v>
      </c>
      <c r="B4" s="4" t="inlineStr">
        <is>
          <t>2025年华东运营中心利润表</t>
        </is>
      </c>
      <c r="C4" s="5" t="inlineStr">
        <is>
          <t>编制规则同2025年华东运营中心利润表</t>
        </is>
      </c>
    </row>
    <row r="5">
      <c r="A5" s="3" t="n">
        <v>3</v>
      </c>
      <c r="B5" s="4" t="inlineStr">
        <is>
          <t>2025年中心利润表</t>
        </is>
      </c>
      <c r="C5" s="5" t="inlineStr">
        <is>
          <t>编制规则同2025年华东运营中心利润表</t>
        </is>
      </c>
    </row>
    <row r="6">
      <c r="A6" s="3" t="n">
        <v>4</v>
      </c>
      <c r="B6" s="4" t="inlineStr">
        <is>
          <t>2025年上海直营利润表</t>
        </is>
      </c>
      <c r="C6" s="5" t="inlineStr">
        <is>
          <t>编制规则同2025年华东运营中心利润表</t>
        </is>
      </c>
    </row>
    <row r="7">
      <c r="A7" s="3" t="n">
        <v>5</v>
      </c>
      <c r="B7" s="4" t="inlineStr">
        <is>
          <t>2025年江苏加盟利润表</t>
        </is>
      </c>
      <c r="C7" s="5" t="inlineStr">
        <is>
          <t>编制规则同2025年华东运营中心利润表</t>
        </is>
      </c>
    </row>
    <row r="8">
      <c r="A8" s="3" t="n">
        <v>6</v>
      </c>
      <c r="B8" s="4" t="inlineStr">
        <is>
          <t>2025年浙江加盟利润表</t>
        </is>
      </c>
      <c r="C8" s="5" t="inlineStr">
        <is>
          <t>编制规则同2025年华东运营中心利润表</t>
        </is>
      </c>
    </row>
    <row r="9">
      <c r="A9" s="3" t="n">
        <v>7</v>
      </c>
      <c r="B9" s="4" t="inlineStr">
        <is>
          <t>2025年线上渠道利润表</t>
        </is>
      </c>
      <c r="C9" s="5" t="inlineStr">
        <is>
          <t>编制规则同2025年华东运营中心利润表</t>
        </is>
      </c>
    </row>
    <row r="10">
      <c r="A10" s="3" t="n">
        <v>8</v>
      </c>
      <c r="B10" s="4" t="inlineStr">
        <is>
          <t>2025年天猫旗舰利润表</t>
        </is>
      </c>
      <c r="C10" s="5" t="inlineStr">
        <is>
          <t>编制规则同2025年华东运营中心利润表</t>
        </is>
      </c>
    </row>
    <row r="11">
      <c r="A11" s="3" t="n">
        <v>9</v>
      </c>
      <c r="B11" s="4" t="inlineStr">
        <is>
          <t>2025年京东自营利润表</t>
        </is>
      </c>
      <c r="C11" s="5" t="inlineStr">
        <is>
          <t>编制规则同2025年华东运营中心利润表</t>
        </is>
      </c>
    </row>
    <row r="12">
      <c r="A12" s="3" t="n">
        <v>10</v>
      </c>
      <c r="B12" s="4" t="inlineStr">
        <is>
          <t>24年返利明细</t>
        </is>
      </c>
      <c r="C12" s="5" t="inlineStr"/>
    </row>
    <row r="13">
      <c r="A13" s="3" t="n">
        <v>11</v>
      </c>
      <c r="B13" s="4" t="inlineStr">
        <is>
          <t>资产负债表</t>
        </is>
      </c>
      <c r="C13" s="5" t="inlineStr"/>
    </row>
    <row r="14">
      <c r="A14" s="3" t="n">
        <v>12</v>
      </c>
      <c r="B14" s="4" t="inlineStr">
        <is>
          <t>销售明细</t>
        </is>
      </c>
      <c r="C14" s="5" t="inlineStr"/>
    </row>
    <row r="15">
      <c r="A15" s="3" t="n">
        <v>13</v>
      </c>
      <c r="B15" s="4" t="inlineStr">
        <is>
          <t>应收账款账龄</t>
        </is>
      </c>
      <c r="C15" s="5" t="inlineStr"/>
    </row>
    <row r="16">
      <c r="A16" s="3" t="n">
        <v>14</v>
      </c>
      <c r="B16" s="4" t="inlineStr">
        <is>
          <t>库存台账</t>
        </is>
      </c>
      <c r="C16" s="5" t="inlineStr"/>
    </row>
    <row r="17">
      <c r="A17" s="3" t="n">
        <v>15</v>
      </c>
      <c r="B17" s="4" t="inlineStr">
        <is>
          <t>月度经营分析</t>
        </is>
      </c>
      <c r="C17" s="5" t="inlineStr"/>
    </row>
    <row r="18">
      <c r="A18" s="3" t="n">
        <v>16</v>
      </c>
      <c r="B18" s="4" t="inlineStr">
        <is>
          <t>费用预算执行</t>
        </is>
      </c>
      <c r="C18" s="5" t="inlineStr"/>
    </row>
    <row r="19">
      <c r="A19" s="3" t="n">
        <v>17</v>
      </c>
      <c r="B19" s="4" t="inlineStr">
        <is>
          <t>现金流量表</t>
        </is>
      </c>
      <c r="C19" s="5" t="inlineStr"/>
    </row>
    <row r="20">
      <c r="A20" s="3" t="n">
        <v>18</v>
      </c>
      <c r="B20" s="4" t="inlineStr">
        <is>
          <t>超宽数据表</t>
        </is>
      </c>
      <c r="C20" s="5" t="inlineStr"/>
    </row>
    <row r="21">
      <c r="A21" s="3" t="n">
        <v>19</v>
      </c>
      <c r="B21" s="4" t="inlineStr">
        <is>
          <t>混合类型测试</t>
        </is>
      </c>
      <c r="C21" s="5" t="inlineStr"/>
    </row>
    <row r="22">
      <c r="A22" s="3" t="n">
        <v>20</v>
      </c>
      <c r="B22" s="4" t="inlineStr">
        <is>
          <t>空值区域测试</t>
        </is>
      </c>
      <c r="C22" s="5" t="inlineStr"/>
    </row>
    <row r="23">
      <c r="A23" s="3" t="n">
        <v>21</v>
      </c>
      <c r="B23" s="4" t="inlineStr">
        <is>
          <t>跨年对比(2024-2025)</t>
        </is>
      </c>
      <c r="C23" s="5" t="inlineStr"/>
    </row>
    <row r="24">
      <c r="A24" s="3" t="n">
        <v>22</v>
      </c>
      <c r="B24" s="4" t="inlineStr">
        <is>
          <t>公式测试</t>
        </is>
      </c>
      <c r="C24" s="5" t="inlineStr"/>
    </row>
    <row r="25">
      <c r="A25" s="3" t="n">
        <v>23</v>
      </c>
      <c r="B25" s="4" t="inlineStr">
        <is>
          <t>纯数字列名</t>
        </is>
      </c>
      <c r="C25" s="5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华东运营中心2025年各分部及区域收入&amp;净利简表</t>
        </is>
      </c>
    </row>
    <row r="2">
      <c r="A2" s="2" t="inlineStr">
        <is>
          <t>区域</t>
        </is>
      </c>
      <c r="B2" s="2" t="inlineStr">
        <is>
          <t>1月</t>
        </is>
      </c>
      <c r="E2" s="2" t="inlineStr">
        <is>
          <t>2月</t>
        </is>
      </c>
      <c r="H2" s="2" t="inlineStr">
        <is>
          <t>3月</t>
        </is>
      </c>
      <c r="K2" s="2" t="inlineStr">
        <is>
          <t>4月</t>
        </is>
      </c>
      <c r="N2" s="2" t="inlineStr">
        <is>
          <t>5月</t>
        </is>
      </c>
      <c r="Q2" s="2" t="inlineStr">
        <is>
          <t>6月</t>
        </is>
      </c>
      <c r="T2" s="2" t="inlineStr">
        <is>
          <t>7月</t>
        </is>
      </c>
      <c r="W2" s="2" t="inlineStr">
        <is>
          <t>8月</t>
        </is>
      </c>
      <c r="Z2" s="2" t="inlineStr">
        <is>
          <t>9月</t>
        </is>
      </c>
      <c r="AC2" s="2" t="inlineStr">
        <is>
          <t>10月</t>
        </is>
      </c>
      <c r="AF2" s="2" t="inlineStr">
        <is>
          <t>11月</t>
        </is>
      </c>
      <c r="AI2" s="2" t="inlineStr">
        <is>
          <t>12月</t>
        </is>
      </c>
    </row>
    <row r="3">
      <c r="A3" s="4" t="n"/>
      <c r="B3" s="2" t="inlineStr">
        <is>
          <t>预算收入</t>
        </is>
      </c>
      <c r="C3" s="2" t="inlineStr">
        <is>
          <t>24年同期实际</t>
        </is>
      </c>
      <c r="D3" s="2" t="inlineStr">
        <is>
          <t>实际收入</t>
        </is>
      </c>
      <c r="E3" s="2" t="inlineStr">
        <is>
          <t>预算收入</t>
        </is>
      </c>
      <c r="F3" s="2" t="inlineStr">
        <is>
          <t>24年同期实际</t>
        </is>
      </c>
      <c r="G3" s="2" t="inlineStr">
        <is>
          <t>实际收入</t>
        </is>
      </c>
      <c r="H3" s="2" t="inlineStr">
        <is>
          <t>预算收入</t>
        </is>
      </c>
      <c r="I3" s="2" t="inlineStr">
        <is>
          <t>24年同期实际</t>
        </is>
      </c>
      <c r="J3" s="2" t="inlineStr">
        <is>
          <t>实际收入</t>
        </is>
      </c>
      <c r="K3" s="2" t="inlineStr">
        <is>
          <t>预算收入</t>
        </is>
      </c>
      <c r="L3" s="2" t="inlineStr">
        <is>
          <t>24年同期实际</t>
        </is>
      </c>
      <c r="M3" s="2" t="inlineStr">
        <is>
          <t>实际收入</t>
        </is>
      </c>
      <c r="N3" s="2" t="inlineStr">
        <is>
          <t>预算收入</t>
        </is>
      </c>
      <c r="O3" s="2" t="inlineStr">
        <is>
          <t>24年同期实际</t>
        </is>
      </c>
      <c r="P3" s="2" t="inlineStr">
        <is>
          <t>实际收入</t>
        </is>
      </c>
      <c r="Q3" s="2" t="inlineStr">
        <is>
          <t>预算收入</t>
        </is>
      </c>
      <c r="R3" s="2" t="inlineStr">
        <is>
          <t>24年同期实际</t>
        </is>
      </c>
      <c r="S3" s="2" t="inlineStr">
        <is>
          <t>实际收入</t>
        </is>
      </c>
      <c r="T3" s="2" t="inlineStr">
        <is>
          <t>预算收入</t>
        </is>
      </c>
      <c r="U3" s="2" t="inlineStr">
        <is>
          <t>24年同期实际</t>
        </is>
      </c>
      <c r="V3" s="2" t="inlineStr">
        <is>
          <t>实际收入</t>
        </is>
      </c>
      <c r="W3" s="2" t="inlineStr">
        <is>
          <t>预算收入</t>
        </is>
      </c>
      <c r="X3" s="2" t="inlineStr">
        <is>
          <t>24年同期实际</t>
        </is>
      </c>
      <c r="Y3" s="2" t="inlineStr">
        <is>
          <t>实际收入</t>
        </is>
      </c>
      <c r="Z3" s="2" t="inlineStr">
        <is>
          <t>预算收入</t>
        </is>
      </c>
      <c r="AA3" s="2" t="inlineStr">
        <is>
          <t>24年同期实际</t>
        </is>
      </c>
      <c r="AB3" s="2" t="inlineStr">
        <is>
          <t>实际收入</t>
        </is>
      </c>
      <c r="AC3" s="2" t="inlineStr">
        <is>
          <t>预算收入</t>
        </is>
      </c>
      <c r="AD3" s="2" t="inlineStr">
        <is>
          <t>24年同期实际</t>
        </is>
      </c>
      <c r="AE3" s="2" t="inlineStr">
        <is>
          <t>实际收入</t>
        </is>
      </c>
      <c r="AF3" s="2" t="inlineStr">
        <is>
          <t>预算收入</t>
        </is>
      </c>
      <c r="AG3" s="2" t="inlineStr">
        <is>
          <t>24年同期实际</t>
        </is>
      </c>
      <c r="AH3" s="2" t="inlineStr">
        <is>
          <t>实际收入</t>
        </is>
      </c>
      <c r="AI3" s="2" t="inlineStr">
        <is>
          <t>预算收入</t>
        </is>
      </c>
      <c r="AJ3" s="2" t="inlineStr">
        <is>
          <t>24年同期实际</t>
        </is>
      </c>
      <c r="AK3" s="2" t="inlineStr">
        <is>
          <t>实际收入</t>
        </is>
      </c>
    </row>
    <row r="4">
      <c r="A4" s="6" t="inlineStr">
        <is>
          <t>上海直营</t>
        </is>
      </c>
      <c r="B4" s="7" t="n">
        <v>2204205.7</v>
      </c>
      <c r="C4" s="7" t="n">
        <v>885069</v>
      </c>
      <c r="D4" s="7" t="n">
        <v>1314676.1</v>
      </c>
      <c r="E4" s="7" t="n">
        <v>1973458.8</v>
      </c>
      <c r="F4" s="7" t="n">
        <v>998226.3</v>
      </c>
      <c r="G4" s="7" t="n">
        <v>1428821.9</v>
      </c>
      <c r="H4" s="7" t="n">
        <v>1967083</v>
      </c>
      <c r="I4" s="7" t="n">
        <v>1471872.6</v>
      </c>
      <c r="J4" s="7" t="n">
        <v>1633237.3</v>
      </c>
      <c r="K4" s="7" t="n">
        <v>1870953.4</v>
      </c>
      <c r="L4" s="7" t="n">
        <v>2434077.5</v>
      </c>
      <c r="M4" s="7" t="n">
        <v>2483479.8</v>
      </c>
      <c r="N4" s="7" t="n">
        <v>2231773.5</v>
      </c>
      <c r="O4" s="7" t="n">
        <v>2363366.2</v>
      </c>
      <c r="P4" s="7" t="n">
        <v>2547404.7</v>
      </c>
      <c r="Q4" s="7" t="n">
        <v>1972703.2</v>
      </c>
      <c r="R4" s="7" t="n">
        <v>1839709.3</v>
      </c>
      <c r="S4" s="7" t="n">
        <v>2671770.7</v>
      </c>
      <c r="T4" s="7" t="n">
        <v>2408487.3</v>
      </c>
      <c r="U4" s="7" t="n">
        <v>2827965.7</v>
      </c>
      <c r="V4" s="7" t="n">
        <v>2866886.4</v>
      </c>
      <c r="W4" s="7" t="n">
        <v>2378993.1</v>
      </c>
      <c r="X4" s="7" t="n">
        <v>1894193.7</v>
      </c>
      <c r="Y4" s="7" t="n">
        <v>2236201.7</v>
      </c>
      <c r="Z4" s="7" t="n">
        <v>1870866</v>
      </c>
      <c r="AA4" s="7" t="n">
        <v>2173656.6</v>
      </c>
      <c r="AB4" s="7" t="n">
        <v>2224320.1</v>
      </c>
      <c r="AC4" s="7" t="n">
        <v>1978541.5</v>
      </c>
      <c r="AD4" s="7" t="n">
        <v>2556103.8</v>
      </c>
      <c r="AE4" s="7" t="n">
        <v>2608432.7</v>
      </c>
      <c r="AF4" s="7" t="n">
        <v>2256172.3</v>
      </c>
      <c r="AG4" s="7" t="n">
        <v>1808152.8</v>
      </c>
      <c r="AH4" s="7" t="n">
        <v>2193155.5</v>
      </c>
      <c r="AI4" s="7" t="n">
        <v>1963230.3</v>
      </c>
      <c r="AJ4" s="7" t="n">
        <v>1656229.4</v>
      </c>
      <c r="AK4" s="7" t="n">
        <v>1559424.8</v>
      </c>
    </row>
    <row r="5">
      <c r="A5" s="6" t="inlineStr">
        <is>
          <t>江苏加盟</t>
        </is>
      </c>
      <c r="B5" s="7" t="n">
        <v>2458265.6</v>
      </c>
      <c r="C5" s="7" t="n">
        <v>1381866.5</v>
      </c>
      <c r="D5" s="7" t="n">
        <v>1566305.4</v>
      </c>
      <c r="E5" s="7" t="n">
        <v>2171525.4</v>
      </c>
      <c r="F5" s="7" t="n">
        <v>1257145.9</v>
      </c>
      <c r="G5" s="7" t="n">
        <v>1369963.6</v>
      </c>
      <c r="H5" s="7" t="n">
        <v>2431254.9</v>
      </c>
      <c r="I5" s="7" t="n">
        <v>1629041.8</v>
      </c>
      <c r="J5" s="7" t="n">
        <v>1785719.2</v>
      </c>
      <c r="K5" s="7" t="n">
        <v>1900290.7</v>
      </c>
      <c r="L5" s="7" t="n">
        <v>2268868.5</v>
      </c>
      <c r="M5" s="7" t="n">
        <v>2198253.1</v>
      </c>
      <c r="N5" s="7" t="n">
        <v>2451338.3</v>
      </c>
      <c r="O5" s="7" t="n">
        <v>2136061.6</v>
      </c>
      <c r="P5" s="7" t="n">
        <v>2338048.7</v>
      </c>
      <c r="Q5" s="7" t="n">
        <v>1941037.1</v>
      </c>
      <c r="R5" s="7" t="n">
        <v>1671949.8</v>
      </c>
      <c r="S5" s="7" t="n">
        <v>2475207.3</v>
      </c>
      <c r="T5" s="7" t="n">
        <v>2446268.9</v>
      </c>
      <c r="U5" s="7" t="n">
        <v>1899758.8</v>
      </c>
      <c r="V5" s="7" t="n">
        <v>2995788.6</v>
      </c>
      <c r="W5" s="7" t="n">
        <v>1997039.4</v>
      </c>
      <c r="X5" s="7" t="n">
        <v>2378135.2</v>
      </c>
      <c r="Y5" s="7" t="n">
        <v>2896265.4</v>
      </c>
      <c r="Z5" s="7" t="n">
        <v>1895818.7</v>
      </c>
      <c r="AA5" s="7" t="n">
        <v>1596645</v>
      </c>
      <c r="AB5" s="7" t="n">
        <v>2124864.6</v>
      </c>
      <c r="AC5" s="7" t="n">
        <v>2106015.2</v>
      </c>
      <c r="AD5" s="7" t="n">
        <v>1657313.5</v>
      </c>
      <c r="AE5" s="7" t="n">
        <v>2247702.1</v>
      </c>
      <c r="AF5" s="7" t="n">
        <v>2295473.1</v>
      </c>
      <c r="AG5" s="7" t="n">
        <v>1450762.7</v>
      </c>
      <c r="AH5" s="7" t="n">
        <v>2309815.2</v>
      </c>
      <c r="AI5" s="7" t="n">
        <v>2028109.2</v>
      </c>
      <c r="AJ5" s="7" t="n">
        <v>1255147.1</v>
      </c>
      <c r="AK5" s="7" t="n">
        <v>1470298.1</v>
      </c>
    </row>
    <row r="6">
      <c r="A6" s="6" t="inlineStr">
        <is>
          <t>浙江加盟</t>
        </is>
      </c>
      <c r="B6" s="7" t="n">
        <v>593917.4</v>
      </c>
      <c r="C6" s="7" t="n">
        <v>319209.3</v>
      </c>
      <c r="D6" s="7" t="n">
        <v>422679.6</v>
      </c>
      <c r="E6" s="7" t="n">
        <v>653387.6</v>
      </c>
      <c r="F6" s="7" t="n">
        <v>412069.5</v>
      </c>
      <c r="G6" s="7" t="n">
        <v>498899.5</v>
      </c>
      <c r="H6" s="7" t="n">
        <v>729291.9</v>
      </c>
      <c r="I6" s="7" t="n">
        <v>382012.4</v>
      </c>
      <c r="J6" s="7" t="n">
        <v>607869.2999999999</v>
      </c>
      <c r="K6" s="7" t="n">
        <v>787629.3</v>
      </c>
      <c r="L6" s="7" t="n">
        <v>666598.6</v>
      </c>
      <c r="M6" s="7" t="n">
        <v>656199.0000000001</v>
      </c>
      <c r="N6" s="7" t="n">
        <v>670982.1</v>
      </c>
      <c r="O6" s="7" t="n">
        <v>516074.7</v>
      </c>
      <c r="P6" s="7" t="n">
        <v>808431.3999999999</v>
      </c>
      <c r="Q6" s="7" t="n">
        <v>737116.8</v>
      </c>
      <c r="R6" s="7" t="n">
        <v>1003261.4</v>
      </c>
      <c r="S6" s="7" t="n">
        <v>972034.8</v>
      </c>
      <c r="T6" s="7" t="n">
        <v>604370.2</v>
      </c>
      <c r="U6" s="7" t="n">
        <v>1079791.5</v>
      </c>
      <c r="V6" s="7" t="n">
        <v>1050742</v>
      </c>
      <c r="W6" s="7" t="n">
        <v>732048</v>
      </c>
      <c r="X6" s="7" t="n">
        <v>632034.7</v>
      </c>
      <c r="Y6" s="7" t="n">
        <v>696453.8</v>
      </c>
      <c r="Z6" s="7" t="n">
        <v>718883.4</v>
      </c>
      <c r="AA6" s="7" t="n">
        <v>566836.4</v>
      </c>
      <c r="AB6" s="7" t="n">
        <v>664105.2999999999</v>
      </c>
      <c r="AC6" s="7" t="n">
        <v>609751.5</v>
      </c>
      <c r="AD6" s="7" t="n">
        <v>670527.3</v>
      </c>
      <c r="AE6" s="7" t="n">
        <v>806546.7</v>
      </c>
      <c r="AF6" s="7" t="n">
        <v>749054.5</v>
      </c>
      <c r="AG6" s="7" t="n">
        <v>575065</v>
      </c>
      <c r="AH6" s="7" t="n">
        <v>655600.1000000001</v>
      </c>
      <c r="AI6" s="7" t="n">
        <v>765218.9</v>
      </c>
      <c r="AJ6" s="7" t="n">
        <v>467924.1</v>
      </c>
      <c r="AK6" s="7" t="n">
        <v>469846.3</v>
      </c>
    </row>
    <row r="7">
      <c r="A7" s="6" t="inlineStr">
        <is>
          <t>线上渠道</t>
        </is>
      </c>
      <c r="B7" s="7" t="n">
        <v>1683791</v>
      </c>
      <c r="C7" s="7" t="n">
        <v>1060503.7</v>
      </c>
      <c r="D7" s="7" t="n">
        <v>1011990.5</v>
      </c>
      <c r="E7" s="7" t="n">
        <v>1480988.5</v>
      </c>
      <c r="F7" s="7" t="n">
        <v>698671.5</v>
      </c>
      <c r="G7" s="7" t="n">
        <v>847011.2000000001</v>
      </c>
      <c r="H7" s="7" t="n">
        <v>1610989.4</v>
      </c>
      <c r="I7" s="7" t="n">
        <v>1540580.9</v>
      </c>
      <c r="J7" s="7" t="n">
        <v>1533056.7</v>
      </c>
      <c r="K7" s="7" t="n">
        <v>1603569.4</v>
      </c>
      <c r="L7" s="7" t="n">
        <v>1595398.4</v>
      </c>
      <c r="M7" s="7" t="n">
        <v>1723043.7</v>
      </c>
      <c r="N7" s="7" t="n">
        <v>1774135.7</v>
      </c>
      <c r="O7" s="7" t="n">
        <v>1443013.5</v>
      </c>
      <c r="P7" s="7" t="n">
        <v>1896796.8</v>
      </c>
      <c r="Q7" s="7" t="n">
        <v>1869135.1</v>
      </c>
      <c r="R7" s="7" t="n">
        <v>1783862.5</v>
      </c>
      <c r="S7" s="7" t="n">
        <v>2129185.5</v>
      </c>
      <c r="T7" s="7" t="n">
        <v>1601794.6</v>
      </c>
      <c r="U7" s="7" t="n">
        <v>1591462.4</v>
      </c>
      <c r="V7" s="7" t="n">
        <v>2356219.2</v>
      </c>
      <c r="W7" s="7" t="n">
        <v>1786056.3</v>
      </c>
      <c r="X7" s="7" t="n">
        <v>1185220.9</v>
      </c>
      <c r="Y7" s="7" t="n">
        <v>1878509.6</v>
      </c>
      <c r="Z7" s="7" t="n">
        <v>1580735.7</v>
      </c>
      <c r="AA7" s="7" t="n">
        <v>1264909.7</v>
      </c>
      <c r="AB7" s="7" t="n">
        <v>1940786.9</v>
      </c>
      <c r="AC7" s="7" t="n">
        <v>1913424.5</v>
      </c>
      <c r="AD7" s="7" t="n">
        <v>2420067</v>
      </c>
      <c r="AE7" s="7" t="n">
        <v>2305784.4</v>
      </c>
      <c r="AF7" s="7" t="n">
        <v>1846769.1</v>
      </c>
      <c r="AG7" s="7" t="n">
        <v>1198203.9</v>
      </c>
      <c r="AH7" s="7" t="n">
        <v>1552642.9</v>
      </c>
      <c r="AI7" s="7" t="n">
        <v>1713349.7</v>
      </c>
      <c r="AJ7" s="7" t="n">
        <v>1034443.7</v>
      </c>
      <c r="AK7" s="7" t="n">
        <v>1080745.2</v>
      </c>
    </row>
    <row r="8">
      <c r="A8" s="6" t="inlineStr">
        <is>
          <t>华东运总监费用</t>
        </is>
      </c>
      <c r="B8" s="7" t="n">
        <v>0</v>
      </c>
      <c r="C8" s="7" t="n">
        <v>34259.5</v>
      </c>
      <c r="D8" s="7" t="n">
        <v>40197.7</v>
      </c>
      <c r="E8" s="7" t="n">
        <v>0</v>
      </c>
      <c r="F8" s="7" t="n">
        <v>9987.200000000001</v>
      </c>
      <c r="G8" s="7" t="n">
        <v>14552.7</v>
      </c>
      <c r="H8" s="7" t="n">
        <v>0</v>
      </c>
      <c r="I8" s="7" t="n">
        <v>19686.8</v>
      </c>
      <c r="J8" s="7" t="n">
        <v>27196.5</v>
      </c>
      <c r="K8" s="7" t="n">
        <v>0</v>
      </c>
      <c r="L8" s="7" t="n">
        <v>17466.6</v>
      </c>
      <c r="M8" s="7" t="n">
        <v>21329.9</v>
      </c>
      <c r="N8" s="7" t="n">
        <v>0</v>
      </c>
      <c r="O8" s="7" t="n">
        <v>30443.7</v>
      </c>
      <c r="P8" s="7" t="n">
        <v>37139.5</v>
      </c>
      <c r="Q8" s="7" t="n">
        <v>0</v>
      </c>
      <c r="R8" s="7" t="n">
        <v>25380.6</v>
      </c>
      <c r="S8" s="7" t="n">
        <v>29465.3</v>
      </c>
      <c r="T8" s="7" t="n">
        <v>0</v>
      </c>
      <c r="U8" s="7" t="n">
        <v>24923</v>
      </c>
      <c r="V8" s="7" t="n">
        <v>36685.3</v>
      </c>
      <c r="W8" s="7" t="n">
        <v>0</v>
      </c>
      <c r="X8" s="7" t="n">
        <v>9293</v>
      </c>
      <c r="Y8" s="7" t="n">
        <v>11816.7</v>
      </c>
      <c r="Z8" s="7" t="n">
        <v>0</v>
      </c>
      <c r="AA8" s="7" t="n">
        <v>19137.1</v>
      </c>
      <c r="AB8" s="7" t="n">
        <v>25810.5</v>
      </c>
      <c r="AC8" s="7" t="n">
        <v>0</v>
      </c>
      <c r="AD8" s="7" t="n">
        <v>27327.4</v>
      </c>
      <c r="AE8" s="7" t="n">
        <v>33973</v>
      </c>
      <c r="AF8" s="7" t="n">
        <v>0</v>
      </c>
      <c r="AG8" s="7" t="n">
        <v>7928.4</v>
      </c>
      <c r="AH8" s="7" t="n">
        <v>10307.5</v>
      </c>
      <c r="AI8" s="7" t="n">
        <v>0</v>
      </c>
      <c r="AJ8" s="7" t="n">
        <v>19827.8</v>
      </c>
      <c r="AK8" s="7" t="n">
        <v>22056.8</v>
      </c>
    </row>
    <row r="9">
      <c r="A9" s="6" t="inlineStr">
        <is>
          <t>合计</t>
        </is>
      </c>
      <c r="B9" s="8" t="n">
        <v>6940179.7</v>
      </c>
      <c r="C9" s="8" t="n">
        <v>3680908</v>
      </c>
      <c r="D9" s="8" t="n">
        <v>4355849.3</v>
      </c>
      <c r="E9" s="8" t="n">
        <v>6279360.3</v>
      </c>
      <c r="F9" s="8" t="n">
        <v>3376100.4</v>
      </c>
      <c r="G9" s="8" t="n">
        <v>4159248.9</v>
      </c>
      <c r="H9" s="8" t="n">
        <v>6738619.2</v>
      </c>
      <c r="I9" s="8" t="n">
        <v>5043194.5</v>
      </c>
      <c r="J9" s="8" t="n">
        <v>5587079</v>
      </c>
      <c r="K9" s="8" t="n">
        <v>6162442.8</v>
      </c>
      <c r="L9" s="8" t="n">
        <v>6982409.6</v>
      </c>
      <c r="M9" s="8" t="n">
        <v>7082305.5</v>
      </c>
      <c r="N9" s="8" t="n">
        <v>7128229.6</v>
      </c>
      <c r="O9" s="8" t="n">
        <v>6488959.7</v>
      </c>
      <c r="P9" s="8" t="n">
        <v>7627821.1</v>
      </c>
      <c r="Q9" s="8" t="n">
        <v>6519992.2</v>
      </c>
      <c r="R9" s="8" t="n">
        <v>6324163.6</v>
      </c>
      <c r="S9" s="8" t="n">
        <v>8277663.6</v>
      </c>
      <c r="T9" s="8" t="n">
        <v>7060921</v>
      </c>
      <c r="U9" s="8" t="n">
        <v>7423901.4</v>
      </c>
      <c r="V9" s="8" t="n">
        <v>9306321.5</v>
      </c>
      <c r="W9" s="8" t="n">
        <v>6894136.8</v>
      </c>
      <c r="X9" s="8" t="n">
        <v>6098877.5</v>
      </c>
      <c r="Y9" s="8" t="n">
        <v>7719247.2</v>
      </c>
      <c r="Z9" s="8" t="n">
        <v>6066303.8</v>
      </c>
      <c r="AA9" s="8" t="n">
        <v>5621184.8</v>
      </c>
      <c r="AB9" s="8" t="n">
        <v>6979887.4</v>
      </c>
      <c r="AC9" s="8" t="n">
        <v>6607732.7</v>
      </c>
      <c r="AD9" s="8" t="n">
        <v>7331339</v>
      </c>
      <c r="AE9" s="8" t="n">
        <v>8002438.9</v>
      </c>
      <c r="AF9" s="8" t="n">
        <v>7147469</v>
      </c>
      <c r="AG9" s="8" t="n">
        <v>5040112.8</v>
      </c>
      <c r="AH9" s="8" t="n">
        <v>6721521.2</v>
      </c>
      <c r="AI9" s="8" t="n">
        <v>6469908.1</v>
      </c>
      <c r="AJ9" s="8" t="n">
        <v>4433572.1</v>
      </c>
      <c r="AK9" s="8" t="n">
        <v>4602371.2</v>
      </c>
    </row>
    <row r="11">
      <c r="A11" s="2" t="inlineStr">
        <is>
          <t>区域</t>
        </is>
      </c>
      <c r="B11" s="2" t="inlineStr">
        <is>
          <t>1月</t>
        </is>
      </c>
      <c r="E11" s="2" t="inlineStr">
        <is>
          <t>2月</t>
        </is>
      </c>
      <c r="H11" s="2" t="inlineStr">
        <is>
          <t>3月</t>
        </is>
      </c>
      <c r="K11" s="2" t="inlineStr">
        <is>
          <t>4月</t>
        </is>
      </c>
      <c r="N11" s="2" t="inlineStr">
        <is>
          <t>5月</t>
        </is>
      </c>
      <c r="Q11" s="2" t="inlineStr">
        <is>
          <t>6月</t>
        </is>
      </c>
      <c r="T11" s="2" t="inlineStr">
        <is>
          <t>7月</t>
        </is>
      </c>
      <c r="W11" s="2" t="inlineStr">
        <is>
          <t>8月</t>
        </is>
      </c>
      <c r="Z11" s="2" t="inlineStr">
        <is>
          <t>9月</t>
        </is>
      </c>
      <c r="AC11" s="2" t="inlineStr">
        <is>
          <t>10月</t>
        </is>
      </c>
      <c r="AF11" s="2" t="inlineStr">
        <is>
          <t>11月</t>
        </is>
      </c>
      <c r="AI11" s="2" t="inlineStr">
        <is>
          <t>12月</t>
        </is>
      </c>
    </row>
    <row r="12">
      <c r="A12" s="4" t="n"/>
      <c r="B12" s="2" t="inlineStr">
        <is>
          <t>预算净利</t>
        </is>
      </c>
      <c r="C12" s="2" t="inlineStr">
        <is>
          <t>24年同期实际</t>
        </is>
      </c>
      <c r="D12" s="2" t="inlineStr">
        <is>
          <t>实际净利</t>
        </is>
      </c>
      <c r="E12" s="2" t="inlineStr">
        <is>
          <t>预算净利</t>
        </is>
      </c>
      <c r="F12" s="2" t="inlineStr">
        <is>
          <t>24年同期实际</t>
        </is>
      </c>
      <c r="G12" s="2" t="inlineStr">
        <is>
          <t>实际净利</t>
        </is>
      </c>
      <c r="H12" s="2" t="inlineStr">
        <is>
          <t>预算净利</t>
        </is>
      </c>
      <c r="I12" s="2" t="inlineStr">
        <is>
          <t>24年同期实际</t>
        </is>
      </c>
      <c r="J12" s="2" t="inlineStr">
        <is>
          <t>实际净利</t>
        </is>
      </c>
      <c r="K12" s="2" t="inlineStr">
        <is>
          <t>预算净利</t>
        </is>
      </c>
      <c r="L12" s="2" t="inlineStr">
        <is>
          <t>24年同期实际</t>
        </is>
      </c>
      <c r="M12" s="2" t="inlineStr">
        <is>
          <t>实际净利</t>
        </is>
      </c>
      <c r="N12" s="2" t="inlineStr">
        <is>
          <t>预算净利</t>
        </is>
      </c>
      <c r="O12" s="2" t="inlineStr">
        <is>
          <t>24年同期实际</t>
        </is>
      </c>
      <c r="P12" s="2" t="inlineStr">
        <is>
          <t>实际净利</t>
        </is>
      </c>
      <c r="Q12" s="2" t="inlineStr">
        <is>
          <t>预算净利</t>
        </is>
      </c>
      <c r="R12" s="2" t="inlineStr">
        <is>
          <t>24年同期实际</t>
        </is>
      </c>
      <c r="S12" s="2" t="inlineStr">
        <is>
          <t>实际净利</t>
        </is>
      </c>
      <c r="T12" s="2" t="inlineStr">
        <is>
          <t>预算净利</t>
        </is>
      </c>
      <c r="U12" s="2" t="inlineStr">
        <is>
          <t>24年同期实际</t>
        </is>
      </c>
      <c r="V12" s="2" t="inlineStr">
        <is>
          <t>实际净利</t>
        </is>
      </c>
      <c r="W12" s="2" t="inlineStr">
        <is>
          <t>预算净利</t>
        </is>
      </c>
      <c r="X12" s="2" t="inlineStr">
        <is>
          <t>24年同期实际</t>
        </is>
      </c>
      <c r="Y12" s="2" t="inlineStr">
        <is>
          <t>实际净利</t>
        </is>
      </c>
      <c r="Z12" s="2" t="inlineStr">
        <is>
          <t>预算净利</t>
        </is>
      </c>
      <c r="AA12" s="2" t="inlineStr">
        <is>
          <t>24年同期实际</t>
        </is>
      </c>
      <c r="AB12" s="2" t="inlineStr">
        <is>
          <t>实际净利</t>
        </is>
      </c>
      <c r="AC12" s="2" t="inlineStr">
        <is>
          <t>预算净利</t>
        </is>
      </c>
      <c r="AD12" s="2" t="inlineStr">
        <is>
          <t>24年同期实际</t>
        </is>
      </c>
      <c r="AE12" s="2" t="inlineStr">
        <is>
          <t>实际净利</t>
        </is>
      </c>
      <c r="AF12" s="2" t="inlineStr">
        <is>
          <t>预算净利</t>
        </is>
      </c>
      <c r="AG12" s="2" t="inlineStr">
        <is>
          <t>24年同期实际</t>
        </is>
      </c>
      <c r="AH12" s="2" t="inlineStr">
        <is>
          <t>实际净利</t>
        </is>
      </c>
      <c r="AI12" s="2" t="inlineStr">
        <is>
          <t>预算净利</t>
        </is>
      </c>
      <c r="AJ12" s="2" t="inlineStr">
        <is>
          <t>24年同期实际</t>
        </is>
      </c>
      <c r="AK12" s="2" t="inlineStr">
        <is>
          <t>实际净利</t>
        </is>
      </c>
    </row>
    <row r="13">
      <c r="A13" s="6" t="inlineStr">
        <is>
          <t>上海直营</t>
        </is>
      </c>
      <c r="B13" s="7" t="n">
        <v>164815.4</v>
      </c>
      <c r="C13" s="7" t="n">
        <v>56324</v>
      </c>
      <c r="D13" s="7" t="n">
        <v>43688.2</v>
      </c>
      <c r="E13" s="7" t="n">
        <v>192654.4</v>
      </c>
      <c r="F13" s="7" t="n">
        <v>186144.3</v>
      </c>
      <c r="G13" s="7" t="n">
        <v>162244.8</v>
      </c>
      <c r="H13" s="7" t="n">
        <v>113316.2</v>
      </c>
      <c r="I13" s="7" t="n">
        <v>71265.10000000001</v>
      </c>
      <c r="J13" s="7" t="n">
        <v>125929.6</v>
      </c>
      <c r="K13" s="7" t="n">
        <v>140564.3</v>
      </c>
      <c r="L13" s="7" t="n">
        <v>99316.10000000001</v>
      </c>
      <c r="M13" s="7" t="n">
        <v>167056.5</v>
      </c>
      <c r="N13" s="7" t="n">
        <v>134892.8</v>
      </c>
      <c r="O13" s="7" t="n">
        <v>295563.9</v>
      </c>
      <c r="P13" s="7" t="n">
        <v>250822.4</v>
      </c>
      <c r="Q13" s="7" t="n">
        <v>181682.5</v>
      </c>
      <c r="R13" s="7" t="n">
        <v>211076.8</v>
      </c>
      <c r="S13" s="7" t="n">
        <v>269180.1</v>
      </c>
      <c r="T13" s="7" t="n">
        <v>126773.4</v>
      </c>
      <c r="U13" s="7" t="n">
        <v>136967.7</v>
      </c>
      <c r="V13" s="7" t="n">
        <v>111926.1</v>
      </c>
      <c r="W13" s="7" t="n">
        <v>121538.1</v>
      </c>
      <c r="X13" s="7" t="n">
        <v>76795.5</v>
      </c>
      <c r="Y13" s="7" t="n">
        <v>66399.7</v>
      </c>
      <c r="Z13" s="7" t="n">
        <v>144684</v>
      </c>
      <c r="AA13" s="7" t="n">
        <v>197402.7</v>
      </c>
      <c r="AB13" s="7" t="n">
        <v>140366</v>
      </c>
      <c r="AC13" s="7" t="n">
        <v>142289.5</v>
      </c>
      <c r="AD13" s="7" t="n">
        <v>223372.6</v>
      </c>
      <c r="AE13" s="7" t="n">
        <v>162656.3</v>
      </c>
      <c r="AF13" s="7" t="n">
        <v>129450.6</v>
      </c>
      <c r="AG13" s="7" t="n">
        <v>121911.6</v>
      </c>
      <c r="AH13" s="7" t="n">
        <v>146288.9</v>
      </c>
      <c r="AI13" s="7" t="n">
        <v>126876.4</v>
      </c>
      <c r="AJ13" s="7" t="n">
        <v>156869.9</v>
      </c>
      <c r="AK13" s="7" t="n">
        <v>144882.4</v>
      </c>
    </row>
    <row r="14">
      <c r="A14" s="6" t="inlineStr">
        <is>
          <t>江苏加盟</t>
        </is>
      </c>
      <c r="B14" s="7" t="n">
        <v>147408</v>
      </c>
      <c r="C14" s="7" t="n">
        <v>80997.60000000001</v>
      </c>
      <c r="D14" s="7" t="n">
        <v>126276.9</v>
      </c>
      <c r="E14" s="7" t="n">
        <v>119075.1</v>
      </c>
      <c r="F14" s="7" t="n">
        <v>82825.60000000001</v>
      </c>
      <c r="G14" s="7" t="n">
        <v>97462.39999999999</v>
      </c>
      <c r="H14" s="7" t="n">
        <v>176296.3</v>
      </c>
      <c r="I14" s="7" t="n">
        <v>153373.6</v>
      </c>
      <c r="J14" s="7" t="n">
        <v>104499.5</v>
      </c>
      <c r="K14" s="7" t="n">
        <v>144132.1</v>
      </c>
      <c r="L14" s="7" t="n">
        <v>204596.9</v>
      </c>
      <c r="M14" s="7" t="n">
        <v>170713.7</v>
      </c>
      <c r="N14" s="7" t="n">
        <v>142564.1</v>
      </c>
      <c r="O14" s="7" t="n">
        <v>94829.7</v>
      </c>
      <c r="P14" s="7" t="n">
        <v>106316.3</v>
      </c>
      <c r="Q14" s="7" t="n">
        <v>193992.1</v>
      </c>
      <c r="R14" s="7" t="n">
        <v>246322.1</v>
      </c>
      <c r="S14" s="7" t="n">
        <v>224943.2</v>
      </c>
      <c r="T14" s="7" t="n">
        <v>181641.9</v>
      </c>
      <c r="U14" s="7" t="n">
        <v>86887.5</v>
      </c>
      <c r="V14" s="7" t="n">
        <v>60422.4</v>
      </c>
      <c r="W14" s="7" t="n">
        <v>141255.2</v>
      </c>
      <c r="X14" s="7" t="n">
        <v>263920.8</v>
      </c>
      <c r="Y14" s="7" t="n">
        <v>325996.4</v>
      </c>
      <c r="Z14" s="7" t="n">
        <v>142118.2</v>
      </c>
      <c r="AA14" s="7" t="n">
        <v>137560.7</v>
      </c>
      <c r="AB14" s="7" t="n">
        <v>156911.1</v>
      </c>
      <c r="AC14" s="7" t="n">
        <v>151661.2</v>
      </c>
      <c r="AD14" s="7" t="n">
        <v>266935.5</v>
      </c>
      <c r="AE14" s="7" t="n">
        <v>206660.5</v>
      </c>
      <c r="AF14" s="7" t="n">
        <v>151084.2</v>
      </c>
      <c r="AG14" s="7" t="n">
        <v>285713.7</v>
      </c>
      <c r="AH14" s="7" t="n">
        <v>217573.1</v>
      </c>
      <c r="AI14" s="7" t="n">
        <v>140805.8</v>
      </c>
      <c r="AJ14" s="7" t="n">
        <v>149784.6</v>
      </c>
      <c r="AK14" s="7" t="n">
        <v>128008.3</v>
      </c>
    </row>
    <row r="15">
      <c r="A15" s="6" t="inlineStr">
        <is>
          <t>浙江加盟</t>
        </is>
      </c>
      <c r="B15" s="7" t="n">
        <v>64111.4</v>
      </c>
      <c r="C15" s="7" t="n">
        <v>44961.1</v>
      </c>
      <c r="D15" s="7" t="n">
        <v>33831.8</v>
      </c>
      <c r="E15" s="7" t="n">
        <v>54311.4</v>
      </c>
      <c r="F15" s="7" t="n">
        <v>19841.9</v>
      </c>
      <c r="G15" s="7" t="n">
        <v>16017.4</v>
      </c>
      <c r="H15" s="7" t="n">
        <v>60131.1</v>
      </c>
      <c r="I15" s="7" t="n">
        <v>85305.10000000001</v>
      </c>
      <c r="J15" s="7" t="n">
        <v>71962.3</v>
      </c>
      <c r="K15" s="7" t="n">
        <v>56472.8</v>
      </c>
      <c r="L15" s="7" t="n">
        <v>66182.3</v>
      </c>
      <c r="M15" s="7" t="n">
        <v>64480.4</v>
      </c>
      <c r="N15" s="7" t="n">
        <v>48281.3</v>
      </c>
      <c r="O15" s="7" t="n">
        <v>50697.5</v>
      </c>
      <c r="P15" s="7" t="n">
        <v>44237.7</v>
      </c>
      <c r="Q15" s="7" t="n">
        <v>57270.9</v>
      </c>
      <c r="R15" s="7" t="n">
        <v>56402.1</v>
      </c>
      <c r="S15" s="7" t="n">
        <v>61080.5</v>
      </c>
      <c r="T15" s="7" t="n">
        <v>64252.6</v>
      </c>
      <c r="U15" s="7" t="n">
        <v>51668.6</v>
      </c>
      <c r="V15" s="7" t="n">
        <v>59952.3</v>
      </c>
      <c r="W15" s="7" t="n">
        <v>43296.8</v>
      </c>
      <c r="X15" s="7" t="n">
        <v>42411.3</v>
      </c>
      <c r="Y15" s="7" t="n">
        <v>49166.9</v>
      </c>
      <c r="Z15" s="7" t="n">
        <v>59513.1</v>
      </c>
      <c r="AA15" s="7" t="n">
        <v>24451</v>
      </c>
      <c r="AB15" s="7" t="n">
        <v>35943.4</v>
      </c>
      <c r="AC15" s="7" t="n">
        <v>51375.8</v>
      </c>
      <c r="AD15" s="7" t="n">
        <v>60458.7</v>
      </c>
      <c r="AE15" s="7" t="n">
        <v>84653.2</v>
      </c>
      <c r="AF15" s="7" t="n">
        <v>49728.2</v>
      </c>
      <c r="AG15" s="7" t="n">
        <v>97028.5</v>
      </c>
      <c r="AH15" s="7" t="n">
        <v>67024</v>
      </c>
      <c r="AI15" s="7" t="n">
        <v>48284</v>
      </c>
      <c r="AJ15" s="7" t="n">
        <v>14158.5</v>
      </c>
      <c r="AK15" s="7" t="n">
        <v>14355.6</v>
      </c>
    </row>
    <row r="16">
      <c r="A16" s="6" t="inlineStr">
        <is>
          <t>线上渠道</t>
        </is>
      </c>
      <c r="B16" s="7" t="n">
        <v>144802.6</v>
      </c>
      <c r="C16" s="7" t="n">
        <v>48146.4</v>
      </c>
      <c r="D16" s="7" t="n">
        <v>66267.8</v>
      </c>
      <c r="E16" s="7" t="n">
        <v>134936.2</v>
      </c>
      <c r="F16" s="7" t="n">
        <v>27785.2</v>
      </c>
      <c r="G16" s="7" t="n">
        <v>43580.2</v>
      </c>
      <c r="H16" s="7" t="n">
        <v>145069.7</v>
      </c>
      <c r="I16" s="7" t="n">
        <v>46300.6</v>
      </c>
      <c r="J16" s="7" t="n">
        <v>80220.8</v>
      </c>
      <c r="K16" s="7" t="n">
        <v>103172.6</v>
      </c>
      <c r="L16" s="7" t="n">
        <v>271074.3</v>
      </c>
      <c r="M16" s="7" t="n">
        <v>201627.9</v>
      </c>
      <c r="N16" s="7" t="n">
        <v>129199.5</v>
      </c>
      <c r="O16" s="7" t="n">
        <v>68890.60000000001</v>
      </c>
      <c r="P16" s="7" t="n">
        <v>114599.7</v>
      </c>
      <c r="Q16" s="7" t="n">
        <v>157695.5</v>
      </c>
      <c r="R16" s="7" t="n">
        <v>193364.6</v>
      </c>
      <c r="S16" s="7" t="n">
        <v>152150.8</v>
      </c>
      <c r="T16" s="7" t="n">
        <v>120833.8</v>
      </c>
      <c r="U16" s="7" t="n">
        <v>373762.7</v>
      </c>
      <c r="V16" s="7" t="n">
        <v>279946.9</v>
      </c>
      <c r="W16" s="7" t="n">
        <v>140420.9</v>
      </c>
      <c r="X16" s="7" t="n">
        <v>222928.2</v>
      </c>
      <c r="Y16" s="7" t="n">
        <v>161112.3</v>
      </c>
      <c r="Z16" s="7" t="n">
        <v>96988.3</v>
      </c>
      <c r="AA16" s="7" t="n">
        <v>77501</v>
      </c>
      <c r="AB16" s="7" t="n">
        <v>144121.6</v>
      </c>
      <c r="AC16" s="7" t="n">
        <v>161119.5</v>
      </c>
      <c r="AD16" s="7" t="n">
        <v>118319.9</v>
      </c>
      <c r="AE16" s="7" t="n">
        <v>141401.7</v>
      </c>
      <c r="AF16" s="7" t="n">
        <v>133691.1</v>
      </c>
      <c r="AG16" s="7" t="n">
        <v>76203.5</v>
      </c>
      <c r="AH16" s="7" t="n">
        <v>60177.7</v>
      </c>
      <c r="AI16" s="7" t="n">
        <v>105863.6</v>
      </c>
      <c r="AJ16" s="7" t="n">
        <v>38313.5</v>
      </c>
      <c r="AK16" s="7" t="n">
        <v>60714</v>
      </c>
    </row>
    <row r="17">
      <c r="A17" s="6" t="inlineStr">
        <is>
          <t>华东运总监费用</t>
        </is>
      </c>
      <c r="B17" s="7" t="n">
        <v>-23635.8</v>
      </c>
      <c r="C17" s="7" t="n">
        <v>-35242.1</v>
      </c>
      <c r="D17" s="7" t="n">
        <v>-40197.7</v>
      </c>
      <c r="E17" s="7" t="n">
        <v>-23061.4</v>
      </c>
      <c r="F17" s="7" t="n">
        <v>-9637.5</v>
      </c>
      <c r="G17" s="7" t="n">
        <v>-14552.7</v>
      </c>
      <c r="H17" s="7" t="n">
        <v>-23979.6</v>
      </c>
      <c r="I17" s="7" t="n">
        <v>-36207.9</v>
      </c>
      <c r="J17" s="7" t="n">
        <v>-27196.5</v>
      </c>
      <c r="K17" s="7" t="n">
        <v>-24543.3</v>
      </c>
      <c r="L17" s="7" t="n">
        <v>-27112.4</v>
      </c>
      <c r="M17" s="7" t="n">
        <v>-21329.9</v>
      </c>
      <c r="N17" s="7" t="n">
        <v>-22056</v>
      </c>
      <c r="O17" s="7" t="n">
        <v>-48617.2</v>
      </c>
      <c r="P17" s="7" t="n">
        <v>-37139.5</v>
      </c>
      <c r="Q17" s="7" t="n">
        <v>-27795.3</v>
      </c>
      <c r="R17" s="7" t="n">
        <v>-19610.3</v>
      </c>
      <c r="S17" s="7" t="n">
        <v>-29465.3</v>
      </c>
      <c r="T17" s="7" t="n">
        <v>-23359.9</v>
      </c>
      <c r="U17" s="7" t="n">
        <v>-34398.8</v>
      </c>
      <c r="V17" s="7" t="n">
        <v>-36685.3</v>
      </c>
      <c r="W17" s="7" t="n">
        <v>-24947.6</v>
      </c>
      <c r="X17" s="7" t="n">
        <v>-10763.3</v>
      </c>
      <c r="Y17" s="7" t="n">
        <v>-11816.7</v>
      </c>
      <c r="Z17" s="7" t="n">
        <v>-27458.8</v>
      </c>
      <c r="AA17" s="7" t="n">
        <v>-30362.5</v>
      </c>
      <c r="AB17" s="7" t="n">
        <v>-25810.5</v>
      </c>
      <c r="AC17" s="7" t="n">
        <v>-25879.7</v>
      </c>
      <c r="AD17" s="7" t="n">
        <v>-25056.1</v>
      </c>
      <c r="AE17" s="7" t="n">
        <v>-33973</v>
      </c>
      <c r="AF17" s="7" t="n">
        <v>-28465.5</v>
      </c>
      <c r="AG17" s="7" t="n">
        <v>-9732.299999999999</v>
      </c>
      <c r="AH17" s="7" t="n">
        <v>-10307.5</v>
      </c>
      <c r="AI17" s="7" t="n">
        <v>-28254.7</v>
      </c>
      <c r="AJ17" s="7" t="n">
        <v>-17313</v>
      </c>
      <c r="AK17" s="7" t="n">
        <v>-22056.8</v>
      </c>
    </row>
    <row r="18">
      <c r="A18" s="6" t="inlineStr">
        <is>
          <t>合计</t>
        </is>
      </c>
      <c r="B18" s="8" t="n">
        <v>497501.6</v>
      </c>
      <c r="C18" s="8" t="n">
        <v>195187</v>
      </c>
      <c r="D18" s="8" t="n">
        <v>229867</v>
      </c>
      <c r="E18" s="8" t="n">
        <v>477915.7</v>
      </c>
      <c r="F18" s="8" t="n">
        <v>306959.5</v>
      </c>
      <c r="G18" s="8" t="n">
        <v>304752.1</v>
      </c>
      <c r="H18" s="8" t="n">
        <v>470833.7</v>
      </c>
      <c r="I18" s="8" t="n">
        <v>320036.5</v>
      </c>
      <c r="J18" s="8" t="n">
        <v>355415.7</v>
      </c>
      <c r="K18" s="8" t="n">
        <v>419798.5</v>
      </c>
      <c r="L18" s="8" t="n">
        <v>614057.2</v>
      </c>
      <c r="M18" s="8" t="n">
        <v>582548.6</v>
      </c>
      <c r="N18" s="8" t="n">
        <v>432881.7</v>
      </c>
      <c r="O18" s="8" t="n">
        <v>461364.5</v>
      </c>
      <c r="P18" s="8" t="n">
        <v>478836.6</v>
      </c>
      <c r="Q18" s="8" t="n">
        <v>562845.7</v>
      </c>
      <c r="R18" s="8" t="n">
        <v>687555.3</v>
      </c>
      <c r="S18" s="8" t="n">
        <v>677889.3</v>
      </c>
      <c r="T18" s="8" t="n">
        <v>470141.8</v>
      </c>
      <c r="U18" s="8" t="n">
        <v>614887.7</v>
      </c>
      <c r="V18" s="8" t="n">
        <v>475562.4</v>
      </c>
      <c r="W18" s="8" t="n">
        <v>421563.4</v>
      </c>
      <c r="X18" s="8" t="n">
        <v>595292.5</v>
      </c>
      <c r="Y18" s="8" t="n">
        <v>590858.6</v>
      </c>
      <c r="Z18" s="8" t="n">
        <v>415844.8</v>
      </c>
      <c r="AA18" s="8" t="n">
        <v>406552.9</v>
      </c>
      <c r="AB18" s="8" t="n">
        <v>451531.6</v>
      </c>
      <c r="AC18" s="8" t="n">
        <v>480566.3</v>
      </c>
      <c r="AD18" s="8" t="n">
        <v>644030.6</v>
      </c>
      <c r="AE18" s="8" t="n">
        <v>561398.7</v>
      </c>
      <c r="AF18" s="8" t="n">
        <v>435488.6</v>
      </c>
      <c r="AG18" s="8" t="n">
        <v>571125</v>
      </c>
      <c r="AH18" s="8" t="n">
        <v>480756.2</v>
      </c>
      <c r="AI18" s="8" t="n">
        <v>393575.1</v>
      </c>
      <c r="AJ18" s="8" t="n">
        <v>341813.5</v>
      </c>
      <c r="AK18" s="8" t="n">
        <v>325903.5</v>
      </c>
    </row>
    <row r="19">
      <c r="A19" t="inlineStr">
        <is>
          <t>备注：</t>
        </is>
      </c>
    </row>
    <row r="20">
      <c r="A20" t="inlineStr">
        <is>
          <t>本表收入为扣除返利后收入，利润为分红前利润</t>
        </is>
      </c>
    </row>
    <row r="21">
      <c r="A21" t="inlineStr">
        <is>
          <t>编制说明：</t>
        </is>
      </c>
    </row>
  </sheetData>
  <mergeCells count="25">
    <mergeCell ref="B11:D11"/>
    <mergeCell ref="N2:P2"/>
    <mergeCell ref="AI11:AK11"/>
    <mergeCell ref="H2:J2"/>
    <mergeCell ref="H11:J11"/>
    <mergeCell ref="T11:V11"/>
    <mergeCell ref="T2:V2"/>
    <mergeCell ref="Z2:AB2"/>
    <mergeCell ref="E2:G2"/>
    <mergeCell ref="K2:M2"/>
    <mergeCell ref="AF11:AH11"/>
    <mergeCell ref="E11:G11"/>
    <mergeCell ref="AF2:AH2"/>
    <mergeCell ref="A1:AL1"/>
    <mergeCell ref="B2:D2"/>
    <mergeCell ref="W11:Y11"/>
    <mergeCell ref="Q2:S2"/>
    <mergeCell ref="W2:Y2"/>
    <mergeCell ref="AI2:AK2"/>
    <mergeCell ref="Q11:S11"/>
    <mergeCell ref="AC11:AE11"/>
    <mergeCell ref="AC2:AE2"/>
    <mergeCell ref="N11:P11"/>
    <mergeCell ref="Z11:AB11"/>
    <mergeCell ref="K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华东运营利润表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5818896.4</v>
      </c>
      <c r="D6" s="7" t="n">
        <v>4240847.2</v>
      </c>
      <c r="E6" s="7" t="n">
        <v>7400469.9</v>
      </c>
      <c r="F6" s="7" t="n">
        <v>4109759</v>
      </c>
      <c r="G6" s="7" t="n">
        <v>5759267.1</v>
      </c>
      <c r="H6" s="7" t="n">
        <v>5552349.6</v>
      </c>
      <c r="I6" s="7" t="n">
        <v>5712080.2</v>
      </c>
      <c r="J6" s="7" t="n">
        <v>7062023.9</v>
      </c>
      <c r="K6" s="7" t="n">
        <v>7519431.2</v>
      </c>
      <c r="L6" s="7" t="n">
        <v>7513656.8</v>
      </c>
      <c r="M6" s="7" t="n">
        <v>7401162.2</v>
      </c>
      <c r="N6" s="7" t="n">
        <v>8111176.4</v>
      </c>
      <c r="O6" s="7" t="n">
        <v>6827664.3</v>
      </c>
      <c r="P6" s="7" t="n">
        <v>9068464.699999999</v>
      </c>
      <c r="Q6" s="7" t="n">
        <v>6822938.7</v>
      </c>
      <c r="R6" s="7" t="n">
        <v>7672490.9</v>
      </c>
      <c r="S6" s="7" t="n">
        <v>7095515.7</v>
      </c>
      <c r="T6" s="7" t="n">
        <v>6874381.3</v>
      </c>
      <c r="U6" s="7" t="n">
        <v>6511094.3</v>
      </c>
      <c r="V6" s="7" t="n">
        <v>7820268.5</v>
      </c>
      <c r="W6" s="7" t="n">
        <v>5905212</v>
      </c>
      <c r="X6" s="7" t="n">
        <v>6595902.9</v>
      </c>
      <c r="Y6" s="7" t="n">
        <v>5716316.1</v>
      </c>
      <c r="Z6" s="7" t="n">
        <v>4586188.3</v>
      </c>
      <c r="AA6" s="8" t="n">
        <v>78490048.09999999</v>
      </c>
      <c r="AB6" s="8" t="n">
        <v>79207509.5</v>
      </c>
    </row>
    <row r="7">
      <c r="A7" s="4" t="inlineStr">
        <is>
          <t>生鲜蔬果</t>
        </is>
      </c>
      <c r="D7" s="7" t="n">
        <v>559040</v>
      </c>
      <c r="F7" s="7" t="n">
        <v>447081.2</v>
      </c>
      <c r="H7" s="7" t="n">
        <v>774921.3</v>
      </c>
      <c r="J7" s="7" t="n">
        <v>864552.1000000001</v>
      </c>
      <c r="L7" s="7" t="n">
        <v>627526.8</v>
      </c>
      <c r="N7" s="7" t="n">
        <v>720597</v>
      </c>
      <c r="P7" s="7" t="n">
        <v>910559.5</v>
      </c>
      <c r="R7" s="7" t="n">
        <v>1024675.4</v>
      </c>
      <c r="T7" s="7" t="n">
        <v>877059.9000000001</v>
      </c>
      <c r="V7" s="7" t="n">
        <v>982333.3999999999</v>
      </c>
      <c r="X7" s="7" t="n">
        <v>842838.3</v>
      </c>
      <c r="Z7" s="7" t="n">
        <v>662284.1</v>
      </c>
      <c r="AB7" s="7" t="n">
        <v>9293469</v>
      </c>
    </row>
    <row r="8">
      <c r="A8" s="4" t="inlineStr">
        <is>
          <t>肉禽蛋奶</t>
        </is>
      </c>
      <c r="D8" s="7" t="n">
        <v>563801.3</v>
      </c>
      <c r="F8" s="7" t="n">
        <v>557964.3</v>
      </c>
      <c r="H8" s="7" t="n">
        <v>826567.8999999999</v>
      </c>
      <c r="J8" s="7" t="n">
        <v>981929.2</v>
      </c>
      <c r="L8" s="7" t="n">
        <v>974074.3</v>
      </c>
      <c r="N8" s="7" t="n">
        <v>1132386.6</v>
      </c>
      <c r="P8" s="7" t="n">
        <v>1288742.1</v>
      </c>
      <c r="R8" s="7" t="n">
        <v>753366.4</v>
      </c>
      <c r="T8" s="7" t="n">
        <v>928198.8</v>
      </c>
      <c r="V8" s="7" t="n">
        <v>1094225.5</v>
      </c>
      <c r="X8" s="7" t="n">
        <v>757002.7999999999</v>
      </c>
      <c r="Z8" s="7" t="n">
        <v>604802.7</v>
      </c>
      <c r="AB8" s="7" t="n">
        <v>10463061.9</v>
      </c>
    </row>
    <row r="9">
      <c r="A9" s="4" t="inlineStr">
        <is>
          <t>粮油调味</t>
        </is>
      </c>
      <c r="D9" s="7" t="n">
        <v>669763.7</v>
      </c>
      <c r="F9" s="7" t="n">
        <v>707826.5</v>
      </c>
      <c r="H9" s="7" t="n">
        <v>834299.3</v>
      </c>
      <c r="J9" s="7" t="n">
        <v>960215.4</v>
      </c>
      <c r="L9" s="7" t="n">
        <v>1287725.3</v>
      </c>
      <c r="N9" s="7" t="n">
        <v>1544906.3</v>
      </c>
      <c r="P9" s="7" t="n">
        <v>1379581.2</v>
      </c>
      <c r="R9" s="7" t="n">
        <v>1248678.7</v>
      </c>
      <c r="T9" s="7" t="n">
        <v>1148207.3</v>
      </c>
      <c r="V9" s="7" t="n">
        <v>1215579.3</v>
      </c>
      <c r="X9" s="7" t="n">
        <v>982983.2999999999</v>
      </c>
      <c r="Z9" s="7" t="n">
        <v>829759.5</v>
      </c>
      <c r="AB9" s="7" t="n">
        <v>12809525.8</v>
      </c>
    </row>
    <row r="10">
      <c r="A10" s="4" t="inlineStr">
        <is>
          <t>酒水饮料</t>
        </is>
      </c>
      <c r="D10" s="7" t="n">
        <v>670509.7000000001</v>
      </c>
      <c r="F10" s="7" t="n">
        <v>668490.8999999999</v>
      </c>
      <c r="H10" s="7" t="n">
        <v>942775.2000000002</v>
      </c>
      <c r="J10" s="7" t="n">
        <v>1500297.4</v>
      </c>
      <c r="L10" s="7" t="n">
        <v>1166795.4</v>
      </c>
      <c r="N10" s="7" t="n">
        <v>1524632.2</v>
      </c>
      <c r="P10" s="7" t="n">
        <v>1240031.8</v>
      </c>
      <c r="R10" s="7" t="n">
        <v>1417179</v>
      </c>
      <c r="T10" s="7" t="n">
        <v>1292504.9</v>
      </c>
      <c r="V10" s="7" t="n">
        <v>1345827.2</v>
      </c>
      <c r="X10" s="7" t="n">
        <v>1119953.5</v>
      </c>
      <c r="Z10" s="7" t="n">
        <v>994086.2000000001</v>
      </c>
      <c r="AB10" s="7" t="n">
        <v>13883083.4</v>
      </c>
    </row>
    <row r="11">
      <c r="A11" s="4" t="inlineStr">
        <is>
          <t>休闲零食</t>
        </is>
      </c>
      <c r="D11" s="7" t="n">
        <v>1022840.5</v>
      </c>
      <c r="F11" s="7" t="n">
        <v>836853.7</v>
      </c>
      <c r="H11" s="7" t="n">
        <v>1452412.9</v>
      </c>
      <c r="J11" s="7" t="n">
        <v>1595156.4</v>
      </c>
      <c r="L11" s="7" t="n">
        <v>2150496.4</v>
      </c>
      <c r="N11" s="7" t="n">
        <v>1800701.8</v>
      </c>
      <c r="P11" s="7" t="n">
        <v>2851520</v>
      </c>
      <c r="R11" s="7" t="n">
        <v>1920458.6</v>
      </c>
      <c r="T11" s="7" t="n">
        <v>1675010.9</v>
      </c>
      <c r="V11" s="7" t="n">
        <v>1938826.8</v>
      </c>
      <c r="X11" s="7" t="n">
        <v>1843239.7</v>
      </c>
      <c r="Z11" s="7" t="n">
        <v>919902.8</v>
      </c>
      <c r="AB11" s="7" t="n">
        <v>20007420.5</v>
      </c>
    </row>
    <row r="12">
      <c r="A12" s="4" t="inlineStr">
        <is>
          <t>日用百货</t>
        </is>
      </c>
      <c r="D12" s="7" t="n">
        <v>829696.3999999999</v>
      </c>
      <c r="F12" s="7" t="n">
        <v>926479.6</v>
      </c>
      <c r="H12" s="7" t="n">
        <v>728905.8999999999</v>
      </c>
      <c r="J12" s="7" t="n">
        <v>1158825.1</v>
      </c>
      <c r="L12" s="7" t="n">
        <v>1384063.4</v>
      </c>
      <c r="N12" s="7" t="n">
        <v>1524974.4</v>
      </c>
      <c r="P12" s="7" t="n">
        <v>1599201.6</v>
      </c>
      <c r="R12" s="7" t="n">
        <v>1343072.4</v>
      </c>
      <c r="T12" s="7" t="n">
        <v>1033095.1</v>
      </c>
      <c r="V12" s="7" t="n">
        <v>1391673.7</v>
      </c>
      <c r="X12" s="7" t="n">
        <v>1165196.1</v>
      </c>
      <c r="Z12" s="7" t="n">
        <v>569479.1</v>
      </c>
      <c r="AB12" s="7" t="n">
        <v>13654662.8</v>
      </c>
    </row>
    <row r="13">
      <c r="A13" s="4" t="inlineStr">
        <is>
          <t>返利</t>
        </is>
      </c>
      <c r="D13" s="7" t="n">
        <v>-107765</v>
      </c>
      <c r="F13" s="7" t="n">
        <v>-78660.39999999999</v>
      </c>
      <c r="H13" s="7" t="n">
        <v>-114979.6</v>
      </c>
      <c r="J13" s="7" t="n">
        <v>-114312.7</v>
      </c>
      <c r="L13" s="7" t="n">
        <v>-198666.9</v>
      </c>
      <c r="N13" s="7" t="n">
        <v>-159852.7</v>
      </c>
      <c r="P13" s="7" t="n">
        <v>-247520.3</v>
      </c>
      <c r="R13" s="7" t="n">
        <v>-133776.5</v>
      </c>
      <c r="T13" s="7" t="n">
        <v>-201269.1</v>
      </c>
      <c r="V13" s="7" t="n">
        <v>-236574.2</v>
      </c>
      <c r="X13" s="7" t="n">
        <v>-129080.8</v>
      </c>
      <c r="Z13" s="7" t="n">
        <v>-71615.2</v>
      </c>
      <c r="AB13" s="7" t="n">
        <v>-1794073.4</v>
      </c>
    </row>
    <row r="14">
      <c r="A14" s="4" t="inlineStr">
        <is>
          <t>其他</t>
        </is>
      </c>
      <c r="D14" s="7" t="n">
        <v>32960.6</v>
      </c>
      <c r="F14" s="7" t="n">
        <v>43723.2</v>
      </c>
      <c r="H14" s="7" t="n">
        <v>107446.7</v>
      </c>
      <c r="J14" s="7" t="n">
        <v>115361</v>
      </c>
      <c r="L14" s="7" t="n">
        <v>121642.1</v>
      </c>
      <c r="N14" s="7" t="n">
        <v>22830.8</v>
      </c>
      <c r="P14" s="7" t="n">
        <v>46348.8</v>
      </c>
      <c r="R14" s="7" t="n">
        <v>98836.89999999999</v>
      </c>
      <c r="T14" s="7" t="n">
        <v>121573.5</v>
      </c>
      <c r="V14" s="7" t="n">
        <v>88376.8</v>
      </c>
      <c r="X14" s="7" t="n">
        <v>13770</v>
      </c>
      <c r="Z14" s="7" t="n">
        <v>77489.10000000001</v>
      </c>
      <c r="AB14" s="7" t="n">
        <v>890359.5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4422121.9</v>
      </c>
      <c r="D15" s="7" t="n">
        <v>3357144.8</v>
      </c>
      <c r="E15" s="7" t="n">
        <v>5109586.3</v>
      </c>
      <c r="F15" s="7" t="n">
        <v>3142473.8</v>
      </c>
      <c r="G15" s="7" t="n">
        <v>4701735.8</v>
      </c>
      <c r="H15" s="7" t="n">
        <v>4318647.5</v>
      </c>
      <c r="I15" s="7" t="n">
        <v>5864101.3</v>
      </c>
      <c r="J15" s="7" t="n">
        <v>5326401</v>
      </c>
      <c r="K15" s="7" t="n">
        <v>4914883.5</v>
      </c>
      <c r="L15" s="7" t="n">
        <v>5901812.2</v>
      </c>
      <c r="M15" s="7" t="n">
        <v>4383716.8</v>
      </c>
      <c r="N15" s="7" t="n">
        <v>6222059.9</v>
      </c>
      <c r="O15" s="7" t="n">
        <v>5766516.7</v>
      </c>
      <c r="P15" s="7" t="n">
        <v>7091876.3</v>
      </c>
      <c r="Q15" s="7" t="n">
        <v>5626113.8</v>
      </c>
      <c r="R15" s="7" t="n">
        <v>6008590.9</v>
      </c>
      <c r="S15" s="7" t="n">
        <v>5336244.3</v>
      </c>
      <c r="T15" s="7" t="n">
        <v>5282409.4</v>
      </c>
      <c r="U15" s="7" t="n">
        <v>5552893.1</v>
      </c>
      <c r="V15" s="7" t="n">
        <v>6078317.9</v>
      </c>
      <c r="W15" s="7" t="n">
        <v>4551330.9</v>
      </c>
      <c r="X15" s="7" t="n">
        <v>5097015.5</v>
      </c>
      <c r="Y15" s="7" t="n">
        <v>4780020.7</v>
      </c>
      <c r="Z15" s="7" t="n">
        <v>3451388.9</v>
      </c>
      <c r="AA15" s="8" t="n">
        <v>61009265.1</v>
      </c>
      <c r="AB15" s="8" t="n">
        <v>61278138.1</v>
      </c>
    </row>
    <row r="16">
      <c r="A16" s="4" t="inlineStr">
        <is>
          <t>生鲜蔬果</t>
        </is>
      </c>
      <c r="D16" s="7" t="n">
        <v>405219</v>
      </c>
      <c r="F16" s="7" t="n">
        <v>328026.7</v>
      </c>
      <c r="H16" s="7" t="n">
        <v>562495.2000000001</v>
      </c>
      <c r="J16" s="7" t="n">
        <v>624807.1000000001</v>
      </c>
      <c r="L16" s="7" t="n">
        <v>456967.5</v>
      </c>
      <c r="N16" s="7" t="n">
        <v>524062.5</v>
      </c>
      <c r="P16" s="7" t="n">
        <v>666318.1000000001</v>
      </c>
      <c r="R16" s="7" t="n">
        <v>740716.8</v>
      </c>
      <c r="T16" s="7" t="n">
        <v>637603.7</v>
      </c>
      <c r="V16" s="7" t="n">
        <v>715484.7</v>
      </c>
      <c r="X16" s="7" t="n">
        <v>609854.5</v>
      </c>
      <c r="Z16" s="7" t="n">
        <v>482316</v>
      </c>
      <c r="AB16" s="7" t="n">
        <v>6753871.8</v>
      </c>
    </row>
    <row r="17">
      <c r="A17" s="4" t="inlineStr">
        <is>
          <t>肉禽蛋奶</t>
        </is>
      </c>
      <c r="D17" s="7" t="n">
        <v>435198.2</v>
      </c>
      <c r="F17" s="7" t="n">
        <v>427228.8</v>
      </c>
      <c r="H17" s="7" t="n">
        <v>628965.3999999999</v>
      </c>
      <c r="J17" s="7" t="n">
        <v>748649.5</v>
      </c>
      <c r="L17" s="7" t="n">
        <v>743465</v>
      </c>
      <c r="N17" s="7" t="n">
        <v>863080.3</v>
      </c>
      <c r="P17" s="7" t="n">
        <v>986748.9000000001</v>
      </c>
      <c r="R17" s="7" t="n">
        <v>578187.7</v>
      </c>
      <c r="T17" s="7" t="n">
        <v>715830.2</v>
      </c>
      <c r="V17" s="7" t="n">
        <v>840956.2</v>
      </c>
      <c r="X17" s="7" t="n">
        <v>581620.9</v>
      </c>
      <c r="Z17" s="7" t="n">
        <v>463719.6</v>
      </c>
      <c r="AB17" s="7" t="n">
        <v>8013650.7</v>
      </c>
    </row>
    <row r="18">
      <c r="A18" s="4" t="inlineStr">
        <is>
          <t>粮油调味</t>
        </is>
      </c>
      <c r="D18" s="7" t="n">
        <v>519445.7</v>
      </c>
      <c r="F18" s="7" t="n">
        <v>539860.9</v>
      </c>
      <c r="H18" s="7" t="n">
        <v>640531.3999999999</v>
      </c>
      <c r="J18" s="7" t="n">
        <v>734236.5</v>
      </c>
      <c r="L18" s="7" t="n">
        <v>983151.4</v>
      </c>
      <c r="N18" s="7" t="n">
        <v>1191986.4</v>
      </c>
      <c r="P18" s="7" t="n">
        <v>1045747</v>
      </c>
      <c r="R18" s="7" t="n">
        <v>969710.4</v>
      </c>
      <c r="T18" s="7" t="n">
        <v>894538.8</v>
      </c>
      <c r="V18" s="7" t="n">
        <v>932724.3999999999</v>
      </c>
      <c r="X18" s="7" t="n">
        <v>750792.2999999999</v>
      </c>
      <c r="Z18" s="7" t="n">
        <v>645667.4</v>
      </c>
      <c r="AB18" s="7" t="n">
        <v>9848392.6</v>
      </c>
    </row>
    <row r="19">
      <c r="A19" s="4" t="inlineStr">
        <is>
          <t>酒水饮料</t>
        </is>
      </c>
      <c r="D19" s="7" t="n">
        <v>456756.4</v>
      </c>
      <c r="F19" s="7" t="n">
        <v>455514.9</v>
      </c>
      <c r="H19" s="7" t="n">
        <v>644542.2000000001</v>
      </c>
      <c r="J19" s="7" t="n">
        <v>1016520.7</v>
      </c>
      <c r="L19" s="7" t="n">
        <v>797206.7</v>
      </c>
      <c r="N19" s="7" t="n">
        <v>1037171.1</v>
      </c>
      <c r="P19" s="7" t="n">
        <v>852445.5</v>
      </c>
      <c r="R19" s="7" t="n">
        <v>966022.4000000001</v>
      </c>
      <c r="T19" s="7" t="n">
        <v>883286.8</v>
      </c>
      <c r="V19" s="7" t="n">
        <v>914556.6</v>
      </c>
      <c r="X19" s="7" t="n">
        <v>763743.8</v>
      </c>
      <c r="Z19" s="7" t="n">
        <v>677663.8</v>
      </c>
      <c r="AB19" s="7" t="n">
        <v>9465430.9</v>
      </c>
    </row>
    <row r="20">
      <c r="A20" s="4" t="inlineStr">
        <is>
          <t>休闲零食</t>
        </is>
      </c>
      <c r="D20" s="7" t="n">
        <v>747680.4</v>
      </c>
      <c r="F20" s="7" t="n">
        <v>611312.4</v>
      </c>
      <c r="H20" s="7" t="n">
        <v>1077255.1</v>
      </c>
      <c r="J20" s="7" t="n">
        <v>1169826.7</v>
      </c>
      <c r="L20" s="7" t="n">
        <v>1569185.2</v>
      </c>
      <c r="N20" s="7" t="n">
        <v>1316011</v>
      </c>
      <c r="P20" s="7" t="n">
        <v>2089040.8</v>
      </c>
      <c r="R20" s="7" t="n">
        <v>1418461.7</v>
      </c>
      <c r="T20" s="7" t="n">
        <v>1221055.7</v>
      </c>
      <c r="V20" s="7" t="n">
        <v>1406376.8</v>
      </c>
      <c r="X20" s="7" t="n">
        <v>1348272.1</v>
      </c>
      <c r="Z20" s="7" t="n">
        <v>681280.1</v>
      </c>
      <c r="AB20" s="7" t="n">
        <v>14655758</v>
      </c>
    </row>
    <row r="21">
      <c r="A21" s="4" t="inlineStr">
        <is>
          <t>日用百货</t>
        </is>
      </c>
      <c r="D21" s="7" t="n">
        <v>596332</v>
      </c>
      <c r="F21" s="7" t="n">
        <v>662191.2</v>
      </c>
      <c r="H21" s="7" t="n">
        <v>526375.4</v>
      </c>
      <c r="J21" s="7" t="n">
        <v>833355.8</v>
      </c>
      <c r="L21" s="7" t="n">
        <v>993866</v>
      </c>
      <c r="N21" s="7" t="n">
        <v>1088323.8</v>
      </c>
      <c r="P21" s="7" t="n">
        <v>1144526.9</v>
      </c>
      <c r="R21" s="7" t="n">
        <v>962510.9</v>
      </c>
      <c r="T21" s="7" t="n">
        <v>744690.6000000001</v>
      </c>
      <c r="V21" s="7" t="n">
        <v>1001005.9</v>
      </c>
      <c r="X21" s="7" t="n">
        <v>838123.3999999999</v>
      </c>
      <c r="Z21" s="7" t="n">
        <v>405471.0000000001</v>
      </c>
      <c r="AB21" s="7" t="n">
        <v>9796772.9</v>
      </c>
    </row>
    <row r="22">
      <c r="A22" s="4" t="inlineStr">
        <is>
          <t>其他</t>
        </is>
      </c>
      <c r="D22" s="7" t="n">
        <v>52451.4</v>
      </c>
      <c r="F22" s="7" t="n">
        <v>42100.3</v>
      </c>
      <c r="H22" s="7" t="n">
        <v>11325.9</v>
      </c>
      <c r="J22" s="7" t="n">
        <v>72351.3</v>
      </c>
      <c r="L22" s="7" t="n">
        <v>49739.5</v>
      </c>
      <c r="N22" s="7" t="n">
        <v>632.3</v>
      </c>
      <c r="P22" s="7" t="n">
        <v>10750.7</v>
      </c>
      <c r="R22" s="7" t="n">
        <v>28845.7</v>
      </c>
      <c r="T22" s="7" t="n">
        <v>85116.2</v>
      </c>
      <c r="V22" s="7" t="n">
        <v>63783.2</v>
      </c>
      <c r="X22" s="7" t="n">
        <v>71158.60000000001</v>
      </c>
      <c r="Z22" s="7" t="n">
        <v>35425.3</v>
      </c>
      <c r="AB22" s="7" t="n">
        <v>523680.4</v>
      </c>
    </row>
    <row r="23">
      <c r="A23" s="4" t="inlineStr">
        <is>
          <t>运费</t>
        </is>
      </c>
      <c r="D23" s="7" t="n">
        <v>196513.1</v>
      </c>
      <c r="F23" s="7" t="n">
        <v>118338.9</v>
      </c>
      <c r="H23" s="7" t="n">
        <v>238482.8</v>
      </c>
      <c r="J23" s="7" t="n">
        <v>199004.7</v>
      </c>
      <c r="L23" s="7" t="n">
        <v>357970.4</v>
      </c>
      <c r="N23" s="7" t="n">
        <v>201424.8</v>
      </c>
      <c r="P23" s="7" t="n">
        <v>307049.1</v>
      </c>
      <c r="R23" s="7" t="n">
        <v>372981</v>
      </c>
      <c r="T23" s="7" t="n">
        <v>185403.6</v>
      </c>
      <c r="V23" s="7" t="n">
        <v>267213.3</v>
      </c>
      <c r="X23" s="7" t="n">
        <v>204608.5</v>
      </c>
      <c r="Z23" s="7" t="n">
        <v>95271</v>
      </c>
      <c r="AB23" s="7" t="n">
        <v>2744261.2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1396774.5</v>
      </c>
      <c r="D24" s="7" t="n">
        <v>883702.4</v>
      </c>
      <c r="E24" s="7" t="n">
        <v>2290883.6</v>
      </c>
      <c r="F24" s="7" t="n">
        <v>967285.2</v>
      </c>
      <c r="G24" s="7" t="n">
        <v>1057531.3</v>
      </c>
      <c r="H24" s="7" t="n">
        <v>1233702.1</v>
      </c>
      <c r="I24" s="7" t="n">
        <v>-152021.1</v>
      </c>
      <c r="J24" s="7" t="n">
        <v>1735622.9</v>
      </c>
      <c r="K24" s="7" t="n">
        <v>2604547.7</v>
      </c>
      <c r="L24" s="7" t="n">
        <v>1611844.6</v>
      </c>
      <c r="M24" s="7" t="n">
        <v>3017445.4</v>
      </c>
      <c r="N24" s="7" t="n">
        <v>1889116.5</v>
      </c>
      <c r="O24" s="7" t="n">
        <v>1061147.6</v>
      </c>
      <c r="P24" s="7" t="n">
        <v>1976588.4</v>
      </c>
      <c r="Q24" s="7" t="n">
        <v>1196824.9</v>
      </c>
      <c r="R24" s="7" t="n">
        <v>1663900</v>
      </c>
      <c r="S24" s="7" t="n">
        <v>1759271.4</v>
      </c>
      <c r="T24" s="7" t="n">
        <v>1591971.9</v>
      </c>
      <c r="U24" s="7" t="n">
        <v>958201.2</v>
      </c>
      <c r="V24" s="7" t="n">
        <v>1741950.6</v>
      </c>
      <c r="W24" s="7" t="n">
        <v>1353881.1</v>
      </c>
      <c r="X24" s="7" t="n">
        <v>1498887.4</v>
      </c>
      <c r="Y24" s="7" t="n">
        <v>936295.4</v>
      </c>
      <c r="Z24" s="7" t="n">
        <v>1134799.4</v>
      </c>
      <c r="AA24" s="8" t="n">
        <v>17480783</v>
      </c>
      <c r="AB24" s="8" t="n">
        <v>17929371.4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24</v>
      </c>
      <c r="D25" s="13" t="n">
        <v>20.8</v>
      </c>
      <c r="E25" s="13" t="n">
        <v>31</v>
      </c>
      <c r="F25" s="13" t="n">
        <v>23.5</v>
      </c>
      <c r="G25" s="13" t="n">
        <v>18.4</v>
      </c>
      <c r="H25" s="13" t="n">
        <v>22.2</v>
      </c>
      <c r="I25" s="13" t="n">
        <v>-2.7</v>
      </c>
      <c r="J25" s="13" t="n">
        <v>24.6</v>
      </c>
      <c r="K25" s="13" t="n">
        <v>34.6</v>
      </c>
      <c r="L25" s="13" t="n">
        <v>21.5</v>
      </c>
      <c r="M25" s="13" t="n">
        <v>40.8</v>
      </c>
      <c r="N25" s="13" t="n">
        <v>23.3</v>
      </c>
      <c r="O25" s="13" t="n">
        <v>15.5</v>
      </c>
      <c r="P25" s="13" t="n">
        <v>21.8</v>
      </c>
      <c r="Q25" s="13" t="n">
        <v>17.5</v>
      </c>
      <c r="R25" s="13" t="n">
        <v>21.7</v>
      </c>
      <c r="S25" s="13" t="n">
        <v>24.8</v>
      </c>
      <c r="T25" s="13" t="n">
        <v>23.2</v>
      </c>
      <c r="U25" s="13" t="n">
        <v>14.7</v>
      </c>
      <c r="V25" s="13" t="n">
        <v>22.3</v>
      </c>
      <c r="W25" s="13" t="n">
        <v>22.9</v>
      </c>
      <c r="X25" s="13" t="n">
        <v>22.7</v>
      </c>
      <c r="Y25" s="13" t="n">
        <v>16.4</v>
      </c>
      <c r="Z25" s="13" t="n">
        <v>24.7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54754.7</v>
      </c>
      <c r="D26" s="7" t="n">
        <v>25919.5</v>
      </c>
      <c r="E26" s="7" t="n">
        <v>53003.4</v>
      </c>
      <c r="F26" s="7" t="n">
        <v>32389.1</v>
      </c>
      <c r="G26" s="7" t="n">
        <v>58089.6</v>
      </c>
      <c r="H26" s="7" t="n">
        <v>44482.7</v>
      </c>
      <c r="I26" s="7" t="n">
        <v>61393.6</v>
      </c>
      <c r="J26" s="7" t="n">
        <v>38682.2</v>
      </c>
      <c r="K26" s="7" t="n">
        <v>54730.3</v>
      </c>
      <c r="L26" s="7" t="n">
        <v>69112.5</v>
      </c>
      <c r="M26" s="7" t="n">
        <v>57864</v>
      </c>
      <c r="N26" s="7" t="n">
        <v>104950.4</v>
      </c>
      <c r="O26" s="7" t="n">
        <v>62276.1</v>
      </c>
      <c r="P26" s="7" t="n">
        <v>86795.5</v>
      </c>
      <c r="Q26" s="7" t="n">
        <v>51971.4</v>
      </c>
      <c r="R26" s="7" t="n">
        <v>46868</v>
      </c>
      <c r="S26" s="7" t="n">
        <v>67800.60000000001</v>
      </c>
      <c r="T26" s="7" t="n">
        <v>96595.2</v>
      </c>
      <c r="U26" s="7" t="n">
        <v>51652.1</v>
      </c>
      <c r="V26" s="7" t="n">
        <v>85767.89999999999</v>
      </c>
      <c r="W26" s="7" t="n">
        <v>59813.5</v>
      </c>
      <c r="X26" s="7" t="n">
        <v>34063.6</v>
      </c>
      <c r="Y26" s="7" t="n">
        <v>59479.9</v>
      </c>
      <c r="Z26" s="7" t="n">
        <v>46567</v>
      </c>
      <c r="AA26" s="8" t="n">
        <v>692829.2</v>
      </c>
      <c r="AB26" s="8" t="n">
        <v>712193.6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1035521.4</v>
      </c>
      <c r="D27" s="7" t="n">
        <v>842231.3</v>
      </c>
      <c r="E27" s="7" t="n">
        <v>1025089.8</v>
      </c>
      <c r="F27" s="7" t="n">
        <v>602072.4</v>
      </c>
      <c r="G27" s="7" t="n">
        <v>909419.7</v>
      </c>
      <c r="H27" s="7" t="n">
        <v>704340.2</v>
      </c>
      <c r="I27" s="7" t="n">
        <v>826636.5</v>
      </c>
      <c r="J27" s="7" t="n">
        <v>963374.5</v>
      </c>
      <c r="K27" s="7" t="n">
        <v>970748.1</v>
      </c>
      <c r="L27" s="7" t="n">
        <v>1174238</v>
      </c>
      <c r="M27" s="7" t="n">
        <v>1047588.5</v>
      </c>
      <c r="N27" s="7" t="n">
        <v>1603780.2</v>
      </c>
      <c r="O27" s="7" t="n">
        <v>864196.6</v>
      </c>
      <c r="P27" s="7" t="n">
        <v>1001503.4</v>
      </c>
      <c r="Q27" s="7" t="n">
        <v>1037716.4</v>
      </c>
      <c r="R27" s="7" t="n">
        <v>628753.5</v>
      </c>
      <c r="S27" s="7" t="n">
        <v>947367.8</v>
      </c>
      <c r="T27" s="7" t="n">
        <v>1200421</v>
      </c>
      <c r="U27" s="7" t="n">
        <v>1013657.5</v>
      </c>
      <c r="V27" s="7" t="n">
        <v>949195.2</v>
      </c>
      <c r="W27" s="7" t="n">
        <v>995372.5</v>
      </c>
      <c r="X27" s="7" t="n">
        <v>1107801.2</v>
      </c>
      <c r="Y27" s="7" t="n">
        <v>1047010.7</v>
      </c>
      <c r="Z27" s="7" t="n">
        <v>712651.6</v>
      </c>
      <c r="AA27" s="8" t="n">
        <v>11720325.5</v>
      </c>
      <c r="AB27" s="8" t="n">
        <v>11490362.5</v>
      </c>
    </row>
    <row r="28">
      <c r="A28" s="4" t="inlineStr">
        <is>
          <t>职工薪酬</t>
        </is>
      </c>
      <c r="D28" s="7" t="n">
        <v>474412.7</v>
      </c>
      <c r="F28" s="7" t="n">
        <v>278484.1</v>
      </c>
      <c r="H28" s="7" t="n">
        <v>335669.1</v>
      </c>
      <c r="J28" s="7" t="n">
        <v>567747.8</v>
      </c>
      <c r="L28" s="7" t="n">
        <v>675626.3</v>
      </c>
      <c r="N28" s="7" t="n">
        <v>813858.5</v>
      </c>
      <c r="P28" s="7" t="n">
        <v>448772.4</v>
      </c>
      <c r="R28" s="7" t="n">
        <v>275708.3</v>
      </c>
      <c r="T28" s="7" t="n">
        <v>730393.3</v>
      </c>
      <c r="V28" s="7" t="n">
        <v>534890.7</v>
      </c>
      <c r="X28" s="7" t="n">
        <v>677976.1</v>
      </c>
      <c r="Z28" s="7" t="n">
        <v>332981.2</v>
      </c>
      <c r="AB28" s="7" t="n">
        <v>6146520.5</v>
      </c>
    </row>
    <row r="29">
      <c r="A29" s="4" t="inlineStr">
        <is>
          <t>工资</t>
        </is>
      </c>
      <c r="D29" s="7" t="n">
        <v>291068.7</v>
      </c>
      <c r="F29" s="7" t="n">
        <v>147145.7</v>
      </c>
      <c r="H29" s="7" t="n">
        <v>193169.1</v>
      </c>
      <c r="J29" s="7" t="n">
        <v>337712.4</v>
      </c>
      <c r="L29" s="7" t="n">
        <v>429587.6</v>
      </c>
      <c r="N29" s="7" t="n">
        <v>432614</v>
      </c>
      <c r="P29" s="7" t="n">
        <v>232754.9</v>
      </c>
      <c r="R29" s="7" t="n">
        <v>173689</v>
      </c>
      <c r="T29" s="7" t="n">
        <v>444284.9</v>
      </c>
      <c r="V29" s="7" t="n">
        <v>326328.9</v>
      </c>
      <c r="X29" s="7" t="n">
        <v>411032.7</v>
      </c>
      <c r="Z29" s="7" t="n">
        <v>199254.6</v>
      </c>
      <c r="AB29" s="7" t="n">
        <v>3618642.5</v>
      </c>
    </row>
    <row r="30">
      <c r="A30" s="4" t="inlineStr">
        <is>
          <t>奖金及提成</t>
        </is>
      </c>
      <c r="D30" s="7" t="n">
        <v>108162.2</v>
      </c>
      <c r="F30" s="7" t="n">
        <v>60070.1</v>
      </c>
      <c r="H30" s="7" t="n">
        <v>70329.39999999999</v>
      </c>
      <c r="J30" s="7" t="n">
        <v>120863.6</v>
      </c>
      <c r="L30" s="7" t="n">
        <v>118781.9</v>
      </c>
      <c r="N30" s="7" t="n">
        <v>189356.5</v>
      </c>
      <c r="P30" s="7" t="n">
        <v>113795.7</v>
      </c>
      <c r="R30" s="7" t="n">
        <v>46990.3</v>
      </c>
      <c r="T30" s="7" t="n">
        <v>127421.3</v>
      </c>
      <c r="V30" s="7" t="n">
        <v>113277.4</v>
      </c>
      <c r="X30" s="7" t="n">
        <v>113802.7</v>
      </c>
      <c r="Z30" s="7" t="n">
        <v>63620.3</v>
      </c>
      <c r="AB30" s="7" t="n">
        <v>1246471.4</v>
      </c>
    </row>
    <row r="31">
      <c r="A31" s="4" t="inlineStr">
        <is>
          <t>社保</t>
        </is>
      </c>
      <c r="D31" s="7" t="n">
        <v>50401.9</v>
      </c>
      <c r="F31" s="7" t="n">
        <v>52816.3</v>
      </c>
      <c r="H31" s="7" t="n">
        <v>49805.2</v>
      </c>
      <c r="J31" s="7" t="n">
        <v>81815.39999999999</v>
      </c>
      <c r="L31" s="7" t="n">
        <v>89774.7</v>
      </c>
      <c r="N31" s="7" t="n">
        <v>142910.8</v>
      </c>
      <c r="P31" s="7" t="n">
        <v>72983.8</v>
      </c>
      <c r="R31" s="7" t="n">
        <v>36488.5</v>
      </c>
      <c r="T31" s="7" t="n">
        <v>117355.3</v>
      </c>
      <c r="V31" s="7" t="n">
        <v>69218</v>
      </c>
      <c r="X31" s="7" t="n">
        <v>115113</v>
      </c>
      <c r="Z31" s="7" t="n">
        <v>49300.3</v>
      </c>
      <c r="AB31" s="7" t="n">
        <v>927983.2</v>
      </c>
    </row>
    <row r="32">
      <c r="A32" s="4" t="inlineStr">
        <is>
          <t>养老</t>
        </is>
      </c>
      <c r="D32" s="7" t="n">
        <v>6867.1</v>
      </c>
      <c r="F32" s="7" t="n">
        <v>2882.6</v>
      </c>
      <c r="H32" s="7" t="n">
        <v>4899.8</v>
      </c>
      <c r="J32" s="7" t="n">
        <v>5683.3</v>
      </c>
      <c r="L32" s="7" t="n">
        <v>8909.4</v>
      </c>
      <c r="N32" s="7" t="n">
        <v>11416</v>
      </c>
      <c r="P32" s="7" t="n">
        <v>8184.6</v>
      </c>
      <c r="R32" s="7" t="n">
        <v>3174.6</v>
      </c>
      <c r="T32" s="7" t="n">
        <v>8212.299999999999</v>
      </c>
      <c r="V32" s="7" t="n">
        <v>7129.5</v>
      </c>
      <c r="X32" s="7" t="n">
        <v>5132.1</v>
      </c>
      <c r="Z32" s="7" t="n">
        <v>3390.6</v>
      </c>
      <c r="AB32" s="7" t="n">
        <v>75881.89999999999</v>
      </c>
    </row>
    <row r="33">
      <c r="A33" s="4" t="inlineStr">
        <is>
          <t>医疗</t>
        </is>
      </c>
      <c r="D33" s="7" t="n">
        <v>3954.8</v>
      </c>
      <c r="F33" s="7" t="n">
        <v>2857.6</v>
      </c>
      <c r="H33" s="7" t="n">
        <v>3740.7</v>
      </c>
      <c r="J33" s="7" t="n">
        <v>5228.2</v>
      </c>
      <c r="L33" s="7" t="n">
        <v>6638.5</v>
      </c>
      <c r="N33" s="7" t="n">
        <v>10392.1</v>
      </c>
      <c r="P33" s="7" t="n">
        <v>4720.1</v>
      </c>
      <c r="R33" s="7" t="n">
        <v>3716.5</v>
      </c>
      <c r="T33" s="7" t="n">
        <v>6400</v>
      </c>
      <c r="V33" s="7" t="n">
        <v>4931.3</v>
      </c>
      <c r="X33" s="7" t="n">
        <v>5309.4</v>
      </c>
      <c r="Z33" s="7" t="n">
        <v>3964.6</v>
      </c>
      <c r="AB33" s="7" t="n">
        <v>61853.8</v>
      </c>
    </row>
    <row r="34">
      <c r="A34" s="4" t="inlineStr">
        <is>
          <t>工伤</t>
        </is>
      </c>
      <c r="D34" s="7" t="n">
        <v>1058.8</v>
      </c>
      <c r="F34" s="7" t="n">
        <v>1124.8</v>
      </c>
      <c r="H34" s="7" t="n">
        <v>1152.2</v>
      </c>
      <c r="J34" s="7" t="n">
        <v>1469.9</v>
      </c>
      <c r="L34" s="7" t="n">
        <v>1993.1</v>
      </c>
      <c r="N34" s="7" t="n">
        <v>2249.9</v>
      </c>
      <c r="P34" s="7" t="n">
        <v>1403.5</v>
      </c>
      <c r="R34" s="7" t="n">
        <v>996</v>
      </c>
      <c r="T34" s="7" t="n">
        <v>2550</v>
      </c>
      <c r="V34" s="7" t="n">
        <v>1353.8</v>
      </c>
      <c r="X34" s="7" t="n">
        <v>2266.4</v>
      </c>
      <c r="Z34" s="7" t="n">
        <v>1160.3</v>
      </c>
      <c r="AB34" s="7" t="n">
        <v>18778.7</v>
      </c>
    </row>
    <row r="35">
      <c r="A35" s="4" t="inlineStr">
        <is>
          <t>失业</t>
        </is>
      </c>
      <c r="D35" s="7" t="n">
        <v>820.7</v>
      </c>
      <c r="F35" s="7" t="n">
        <v>470.2</v>
      </c>
      <c r="H35" s="7" t="n">
        <v>701.9</v>
      </c>
      <c r="J35" s="7" t="n">
        <v>749.2</v>
      </c>
      <c r="L35" s="7" t="n">
        <v>710.7</v>
      </c>
      <c r="N35" s="7" t="n">
        <v>1430.5</v>
      </c>
      <c r="P35" s="7" t="n">
        <v>972.4</v>
      </c>
      <c r="R35" s="7" t="n">
        <v>450.9</v>
      </c>
      <c r="T35" s="7" t="n">
        <v>877</v>
      </c>
      <c r="V35" s="7" t="n">
        <v>564.1</v>
      </c>
      <c r="X35" s="7" t="n">
        <v>913.4</v>
      </c>
      <c r="Z35" s="7" t="n">
        <v>707.7</v>
      </c>
      <c r="AB35" s="7" t="n">
        <v>9368.700000000001</v>
      </c>
    </row>
    <row r="36">
      <c r="A36" s="4" t="inlineStr">
        <is>
          <t>生育</t>
        </is>
      </c>
      <c r="D36" s="7" t="n">
        <v>5299.5</v>
      </c>
      <c r="F36" s="7" t="n">
        <v>4223</v>
      </c>
      <c r="H36" s="7" t="n">
        <v>4257</v>
      </c>
      <c r="J36" s="7" t="n">
        <v>6326</v>
      </c>
      <c r="L36" s="7" t="n">
        <v>6589.9</v>
      </c>
      <c r="N36" s="7" t="n">
        <v>6919.4</v>
      </c>
      <c r="P36" s="7" t="n">
        <v>4588</v>
      </c>
      <c r="R36" s="7" t="n">
        <v>2749.6</v>
      </c>
      <c r="T36" s="7" t="n">
        <v>7869.2</v>
      </c>
      <c r="V36" s="7" t="n">
        <v>3792.9</v>
      </c>
      <c r="X36" s="7" t="n">
        <v>6385</v>
      </c>
      <c r="Z36" s="7" t="n">
        <v>3665.6</v>
      </c>
      <c r="AB36" s="7" t="n">
        <v>62665.1</v>
      </c>
    </row>
    <row r="37">
      <c r="A37" s="4" t="inlineStr">
        <is>
          <t>公积金</t>
        </is>
      </c>
      <c r="D37" s="7" t="n">
        <v>4576</v>
      </c>
      <c r="F37" s="7" t="n">
        <v>3386</v>
      </c>
      <c r="H37" s="7" t="n">
        <v>2790.3</v>
      </c>
      <c r="J37" s="7" t="n">
        <v>4496</v>
      </c>
      <c r="L37" s="7" t="n">
        <v>8043.1</v>
      </c>
      <c r="N37" s="7" t="n">
        <v>9561.700000000001</v>
      </c>
      <c r="P37" s="7" t="n">
        <v>5359.2</v>
      </c>
      <c r="R37" s="7" t="n">
        <v>3848.6</v>
      </c>
      <c r="T37" s="7" t="n">
        <v>7553.4</v>
      </c>
      <c r="V37" s="7" t="n">
        <v>3722.9</v>
      </c>
      <c r="X37" s="7" t="n">
        <v>7492.7</v>
      </c>
      <c r="Z37" s="7" t="n">
        <v>4076.4</v>
      </c>
      <c r="AB37" s="7" t="n">
        <v>64906.3</v>
      </c>
    </row>
    <row r="38">
      <c r="A38" s="4" t="inlineStr">
        <is>
          <t>工会经费</t>
        </is>
      </c>
      <c r="D38" s="7" t="n">
        <v>2753.7</v>
      </c>
      <c r="F38" s="7" t="n">
        <v>1610.8</v>
      </c>
      <c r="H38" s="7" t="n">
        <v>2549.6</v>
      </c>
      <c r="J38" s="7" t="n">
        <v>3320.6</v>
      </c>
      <c r="L38" s="7" t="n">
        <v>3755.4</v>
      </c>
      <c r="N38" s="7" t="n">
        <v>3829.2</v>
      </c>
      <c r="P38" s="7" t="n">
        <v>3781.8</v>
      </c>
      <c r="R38" s="7" t="n">
        <v>1780.2</v>
      </c>
      <c r="T38" s="7" t="n">
        <v>4414.9</v>
      </c>
      <c r="V38" s="7" t="n">
        <v>2053.6</v>
      </c>
      <c r="X38" s="7" t="n">
        <v>2531.6</v>
      </c>
      <c r="Z38" s="7" t="n">
        <v>1665</v>
      </c>
      <c r="AB38" s="7" t="n">
        <v>34046.4</v>
      </c>
    </row>
    <row r="39">
      <c r="A39" s="4" t="inlineStr">
        <is>
          <t>职工教育经费</t>
        </is>
      </c>
      <c r="D39" s="7" t="n">
        <v>812.6</v>
      </c>
      <c r="F39" s="7" t="n">
        <v>731.7</v>
      </c>
      <c r="H39" s="7" t="n">
        <v>690.2</v>
      </c>
      <c r="J39" s="7" t="n">
        <v>1315.3</v>
      </c>
      <c r="L39" s="7" t="n">
        <v>1568.3</v>
      </c>
      <c r="N39" s="7" t="n">
        <v>2091</v>
      </c>
      <c r="P39" s="7" t="n">
        <v>919.5</v>
      </c>
      <c r="R39" s="7" t="n">
        <v>733.9</v>
      </c>
      <c r="T39" s="7" t="n">
        <v>1335.7</v>
      </c>
      <c r="V39" s="7" t="n">
        <v>794.4</v>
      </c>
      <c r="X39" s="7" t="n">
        <v>1054.6</v>
      </c>
      <c r="Z39" s="7" t="n">
        <v>784.9</v>
      </c>
      <c r="AB39" s="7" t="n">
        <v>12832.1</v>
      </c>
    </row>
    <row r="40">
      <c r="A40" s="4" t="inlineStr">
        <is>
          <t>福利费</t>
        </is>
      </c>
      <c r="D40" s="7" t="n">
        <v>16637.6</v>
      </c>
      <c r="F40" s="7" t="n">
        <v>12723.5</v>
      </c>
      <c r="H40" s="7" t="n">
        <v>16335.3</v>
      </c>
      <c r="J40" s="7" t="n">
        <v>18224.5</v>
      </c>
      <c r="L40" s="7" t="n">
        <v>24115.3</v>
      </c>
      <c r="N40" s="7" t="n">
        <v>33495.3</v>
      </c>
      <c r="P40" s="7" t="n">
        <v>19177.5</v>
      </c>
      <c r="R40" s="7" t="n">
        <v>12177.8</v>
      </c>
      <c r="T40" s="7" t="n">
        <v>28027.8</v>
      </c>
      <c r="V40" s="7" t="n">
        <v>19495.5</v>
      </c>
      <c r="X40" s="7" t="n">
        <v>26948.8</v>
      </c>
      <c r="Z40" s="7" t="n">
        <v>14279.7</v>
      </c>
      <c r="AB40" s="7" t="n">
        <v>241638.6</v>
      </c>
    </row>
    <row r="41">
      <c r="A41" s="4" t="inlineStr">
        <is>
          <t>职工房租</t>
        </is>
      </c>
      <c r="D41" s="7" t="n">
        <v>3705.8</v>
      </c>
      <c r="F41" s="7" t="n">
        <v>2762.1</v>
      </c>
      <c r="H41" s="7" t="n">
        <v>3437.2</v>
      </c>
      <c r="J41" s="7" t="n">
        <v>3849.4</v>
      </c>
      <c r="L41" s="7" t="n">
        <v>5351</v>
      </c>
      <c r="N41" s="7" t="n">
        <v>6738</v>
      </c>
      <c r="P41" s="7" t="n">
        <v>4534</v>
      </c>
      <c r="R41" s="7" t="n">
        <v>2310.9</v>
      </c>
      <c r="T41" s="7" t="n">
        <v>6432.7</v>
      </c>
      <c r="V41" s="7" t="n">
        <v>3951.7</v>
      </c>
      <c r="X41" s="7" t="n">
        <v>5511.5</v>
      </c>
      <c r="Z41" s="7" t="n">
        <v>3330.3</v>
      </c>
      <c r="AB41" s="7" t="n">
        <v>51914.6</v>
      </c>
    </row>
    <row r="42">
      <c r="A42" s="4" t="inlineStr">
        <is>
          <t>水电物业费</t>
        </is>
      </c>
      <c r="D42" s="7" t="n">
        <v>1221.8</v>
      </c>
      <c r="F42" s="7" t="n">
        <v>864.2</v>
      </c>
      <c r="H42" s="7" t="n">
        <v>1324</v>
      </c>
      <c r="J42" s="7" t="n">
        <v>1861.2</v>
      </c>
      <c r="L42" s="7" t="n">
        <v>1883.5</v>
      </c>
      <c r="N42" s="7" t="n">
        <v>3328.2</v>
      </c>
      <c r="P42" s="7" t="n">
        <v>1733.7</v>
      </c>
      <c r="R42" s="7" t="n">
        <v>1387</v>
      </c>
      <c r="T42" s="7" t="n">
        <v>2670.3</v>
      </c>
      <c r="V42" s="7" t="n">
        <v>2252</v>
      </c>
      <c r="X42" s="7" t="n">
        <v>2776.9</v>
      </c>
      <c r="Z42" s="7" t="n">
        <v>1082</v>
      </c>
      <c r="AB42" s="7" t="n">
        <v>22384.8</v>
      </c>
    </row>
    <row r="43">
      <c r="A43" s="4" t="inlineStr">
        <is>
          <t>员工餐</t>
        </is>
      </c>
      <c r="D43" s="7" t="n">
        <v>2122.1</v>
      </c>
      <c r="F43" s="7" t="n">
        <v>1304.1</v>
      </c>
      <c r="H43" s="7" t="n">
        <v>1677</v>
      </c>
      <c r="J43" s="7" t="n">
        <v>2014.2</v>
      </c>
      <c r="L43" s="7" t="n">
        <v>2421.6</v>
      </c>
      <c r="N43" s="7" t="n">
        <v>2954.1</v>
      </c>
      <c r="P43" s="7" t="n">
        <v>2127.1</v>
      </c>
      <c r="R43" s="7" t="n">
        <v>1421.5</v>
      </c>
      <c r="T43" s="7" t="n">
        <v>3118.7</v>
      </c>
      <c r="V43" s="7" t="n">
        <v>1958</v>
      </c>
      <c r="X43" s="7" t="n">
        <v>3281.7</v>
      </c>
      <c r="Z43" s="7" t="n">
        <v>1378</v>
      </c>
      <c r="AB43" s="7" t="n">
        <v>25778.1</v>
      </c>
    </row>
    <row r="44">
      <c r="A44" s="4" t="inlineStr">
        <is>
          <t>节日礼品</t>
        </is>
      </c>
      <c r="D44" s="7" t="n">
        <v>1892.7</v>
      </c>
      <c r="F44" s="7" t="n">
        <v>1147.5</v>
      </c>
      <c r="H44" s="7" t="n">
        <v>1751.1</v>
      </c>
      <c r="J44" s="7" t="n">
        <v>2066.3</v>
      </c>
      <c r="L44" s="7" t="n">
        <v>2543.5</v>
      </c>
      <c r="N44" s="7" t="n">
        <v>3440.9</v>
      </c>
      <c r="P44" s="7" t="n">
        <v>1903.3</v>
      </c>
      <c r="R44" s="7" t="n">
        <v>963.8</v>
      </c>
      <c r="T44" s="7" t="n">
        <v>3266</v>
      </c>
      <c r="V44" s="7" t="n">
        <v>2044.7</v>
      </c>
      <c r="X44" s="7" t="n">
        <v>3044.6</v>
      </c>
      <c r="Z44" s="7" t="n">
        <v>1268.6</v>
      </c>
      <c r="AB44" s="7" t="n">
        <v>25333</v>
      </c>
    </row>
    <row r="45">
      <c r="A45" s="4" t="inlineStr">
        <is>
          <t>生日礼品</t>
        </is>
      </c>
      <c r="D45" s="7" t="n">
        <v>1423.4</v>
      </c>
      <c r="F45" s="7" t="n">
        <v>1389</v>
      </c>
      <c r="H45" s="7" t="n">
        <v>2003.8</v>
      </c>
      <c r="J45" s="7" t="n">
        <v>2435.6</v>
      </c>
      <c r="L45" s="7" t="n">
        <v>2669.3</v>
      </c>
      <c r="N45" s="7" t="n">
        <v>3793</v>
      </c>
      <c r="P45" s="7" t="n">
        <v>2800.3</v>
      </c>
      <c r="R45" s="7" t="n">
        <v>1394.7</v>
      </c>
      <c r="T45" s="7" t="n">
        <v>3415.3</v>
      </c>
      <c r="V45" s="7" t="n">
        <v>2496.3</v>
      </c>
      <c r="X45" s="7" t="n">
        <v>2969.4</v>
      </c>
      <c r="Z45" s="7" t="n">
        <v>1516.5</v>
      </c>
      <c r="AB45" s="7" t="n">
        <v>28306.6</v>
      </c>
    </row>
    <row r="46">
      <c r="A46" s="4" t="inlineStr">
        <is>
          <t>体检</t>
        </is>
      </c>
      <c r="D46" s="7" t="n">
        <v>2305.6</v>
      </c>
      <c r="F46" s="7" t="n">
        <v>1291.8</v>
      </c>
      <c r="H46" s="7" t="n">
        <v>1909.2</v>
      </c>
      <c r="J46" s="7" t="n">
        <v>1883</v>
      </c>
      <c r="L46" s="7" t="n">
        <v>3092.3</v>
      </c>
      <c r="N46" s="7" t="n">
        <v>4881.1</v>
      </c>
      <c r="P46" s="7" t="n">
        <v>2283</v>
      </c>
      <c r="R46" s="7" t="n">
        <v>2136.3</v>
      </c>
      <c r="T46" s="7" t="n">
        <v>3494.5</v>
      </c>
      <c r="V46" s="7" t="n">
        <v>1923.1</v>
      </c>
      <c r="X46" s="7" t="n">
        <v>3739.4</v>
      </c>
      <c r="Z46" s="7" t="n">
        <v>1752.8</v>
      </c>
      <c r="AB46" s="7" t="n">
        <v>30692.1</v>
      </c>
    </row>
    <row r="47">
      <c r="A47" s="4" t="inlineStr">
        <is>
          <t>其他福利支出</t>
        </is>
      </c>
      <c r="D47" s="7" t="n">
        <v>3966.2</v>
      </c>
      <c r="F47" s="7" t="n">
        <v>3964.8</v>
      </c>
      <c r="H47" s="7" t="n">
        <v>4233</v>
      </c>
      <c r="J47" s="7" t="n">
        <v>4114.8</v>
      </c>
      <c r="L47" s="7" t="n">
        <v>6154.1</v>
      </c>
      <c r="N47" s="7" t="n">
        <v>8360</v>
      </c>
      <c r="P47" s="7" t="n">
        <v>3796.1</v>
      </c>
      <c r="R47" s="7" t="n">
        <v>2563.6</v>
      </c>
      <c r="T47" s="7" t="n">
        <v>5630.3</v>
      </c>
      <c r="V47" s="7" t="n">
        <v>4869.7</v>
      </c>
      <c r="X47" s="7" t="n">
        <v>5625.3</v>
      </c>
      <c r="Z47" s="7" t="n">
        <v>3951.5</v>
      </c>
      <c r="AB47" s="7" t="n">
        <v>57229.4</v>
      </c>
    </row>
    <row r="48">
      <c r="A48" s="4" t="inlineStr">
        <is>
          <t>招聘费</t>
        </is>
      </c>
      <c r="D48" s="7" t="n">
        <v>2553.2</v>
      </c>
      <c r="F48" s="7" t="n">
        <v>2173.3</v>
      </c>
      <c r="H48" s="7" t="n">
        <v>1898.8</v>
      </c>
      <c r="J48" s="7" t="n">
        <v>4215.2</v>
      </c>
      <c r="L48" s="7" t="n">
        <v>4539.3</v>
      </c>
      <c r="N48" s="7" t="n">
        <v>4768.3</v>
      </c>
      <c r="P48" s="7" t="n">
        <v>3053.1</v>
      </c>
      <c r="R48" s="7" t="n">
        <v>2544.1</v>
      </c>
      <c r="T48" s="7" t="n">
        <v>4136.6</v>
      </c>
      <c r="V48" s="7" t="n">
        <v>3610.5</v>
      </c>
      <c r="X48" s="7" t="n">
        <v>3294.9</v>
      </c>
      <c r="Z48" s="7" t="n">
        <v>2865.4</v>
      </c>
      <c r="AB48" s="7" t="n">
        <v>39652.7</v>
      </c>
    </row>
    <row r="49">
      <c r="A49" s="4" t="inlineStr">
        <is>
          <t>办公费</t>
        </is>
      </c>
      <c r="D49" s="7" t="n">
        <v>23271.2</v>
      </c>
      <c r="F49" s="7" t="n">
        <v>19945.8</v>
      </c>
      <c r="H49" s="7" t="n">
        <v>27214.4</v>
      </c>
      <c r="J49" s="7" t="n">
        <v>30352.7</v>
      </c>
      <c r="L49" s="7" t="n">
        <v>41499.4</v>
      </c>
      <c r="N49" s="7" t="n">
        <v>54618.1</v>
      </c>
      <c r="P49" s="7" t="n">
        <v>33435</v>
      </c>
      <c r="R49" s="7" t="n">
        <v>13505.4</v>
      </c>
      <c r="T49" s="7" t="n">
        <v>35463.6</v>
      </c>
      <c r="V49" s="7" t="n">
        <v>36456</v>
      </c>
      <c r="X49" s="7" t="n">
        <v>38875.3</v>
      </c>
      <c r="Z49" s="7" t="n">
        <v>24922.1</v>
      </c>
      <c r="AB49" s="7" t="n">
        <v>379559</v>
      </c>
    </row>
    <row r="50">
      <c r="A50" s="4" t="inlineStr">
        <is>
          <t>市内交通费</t>
        </is>
      </c>
      <c r="D50" s="7" t="n">
        <v>3614</v>
      </c>
      <c r="F50" s="7" t="n">
        <v>2394.8</v>
      </c>
      <c r="H50" s="7" t="n">
        <v>2140.5</v>
      </c>
      <c r="J50" s="7" t="n">
        <v>3931.5</v>
      </c>
      <c r="L50" s="7" t="n">
        <v>4767.3</v>
      </c>
      <c r="N50" s="7" t="n">
        <v>7318.2</v>
      </c>
      <c r="P50" s="7" t="n">
        <v>2991.8</v>
      </c>
      <c r="R50" s="7" t="n">
        <v>2639.8</v>
      </c>
      <c r="T50" s="7" t="n">
        <v>3269</v>
      </c>
      <c r="V50" s="7" t="n">
        <v>4562.2</v>
      </c>
      <c r="X50" s="7" t="n">
        <v>3213.9</v>
      </c>
      <c r="Z50" s="7" t="n">
        <v>1920.2</v>
      </c>
      <c r="AB50" s="7" t="n">
        <v>42763.2</v>
      </c>
    </row>
    <row r="51">
      <c r="A51" s="4" t="inlineStr">
        <is>
          <t>差旅费</t>
        </is>
      </c>
      <c r="D51" s="7" t="n">
        <v>44885</v>
      </c>
      <c r="F51" s="7" t="n">
        <v>28569.3</v>
      </c>
      <c r="H51" s="7" t="n">
        <v>47090.8</v>
      </c>
      <c r="J51" s="7" t="n">
        <v>54694.2</v>
      </c>
      <c r="L51" s="7" t="n">
        <v>82078.10000000001</v>
      </c>
      <c r="N51" s="7" t="n">
        <v>120506</v>
      </c>
      <c r="P51" s="7" t="n">
        <v>73531.8</v>
      </c>
      <c r="R51" s="7" t="n">
        <v>43063.4</v>
      </c>
      <c r="T51" s="7" t="n">
        <v>53109.2</v>
      </c>
      <c r="V51" s="7" t="n">
        <v>44584.6</v>
      </c>
      <c r="X51" s="7" t="n">
        <v>54796.6</v>
      </c>
      <c r="Z51" s="7" t="n">
        <v>38270.7</v>
      </c>
      <c r="AB51" s="7" t="n">
        <v>685179.7</v>
      </c>
    </row>
    <row r="52">
      <c r="A52" s="4" t="inlineStr">
        <is>
          <t>交通费</t>
        </is>
      </c>
      <c r="D52" s="7" t="n">
        <v>3713.3</v>
      </c>
      <c r="F52" s="7" t="n">
        <v>2322.3</v>
      </c>
      <c r="H52" s="7" t="n">
        <v>2458.8</v>
      </c>
      <c r="J52" s="7" t="n">
        <v>5217.9</v>
      </c>
      <c r="L52" s="7" t="n">
        <v>4616.7</v>
      </c>
      <c r="N52" s="7" t="n">
        <v>6355.5</v>
      </c>
      <c r="P52" s="7" t="n">
        <v>5058.7</v>
      </c>
      <c r="R52" s="7" t="n">
        <v>3092.3</v>
      </c>
      <c r="T52" s="7" t="n">
        <v>5661</v>
      </c>
      <c r="V52" s="7" t="n">
        <v>4599.9</v>
      </c>
      <c r="X52" s="7" t="n">
        <v>5128.3</v>
      </c>
      <c r="Z52" s="7" t="n">
        <v>2523.3</v>
      </c>
      <c r="AB52" s="7" t="n">
        <v>50748</v>
      </c>
    </row>
    <row r="53">
      <c r="A53" s="4" t="inlineStr">
        <is>
          <t>住宿费</t>
        </is>
      </c>
      <c r="D53" s="7" t="n">
        <v>1408.9</v>
      </c>
      <c r="F53" s="7" t="n">
        <v>812.6</v>
      </c>
      <c r="H53" s="7" t="n">
        <v>1461.6</v>
      </c>
      <c r="J53" s="7" t="n">
        <v>1368.2</v>
      </c>
      <c r="L53" s="7" t="n">
        <v>1657.9</v>
      </c>
      <c r="N53" s="7" t="n">
        <v>2137.2</v>
      </c>
      <c r="P53" s="7" t="n">
        <v>1818.1</v>
      </c>
      <c r="R53" s="7" t="n">
        <v>904.8</v>
      </c>
      <c r="T53" s="7" t="n">
        <v>1764.5</v>
      </c>
      <c r="V53" s="7" t="n">
        <v>1933.7</v>
      </c>
      <c r="X53" s="7" t="n">
        <v>2108.2</v>
      </c>
      <c r="Z53" s="7" t="n">
        <v>995.4</v>
      </c>
      <c r="AB53" s="7" t="n">
        <v>18371.1</v>
      </c>
    </row>
    <row r="54">
      <c r="A54" s="4" t="inlineStr">
        <is>
          <t>餐补</t>
        </is>
      </c>
      <c r="D54" s="7" t="n">
        <v>744.4</v>
      </c>
      <c r="F54" s="7" t="n">
        <v>446.4</v>
      </c>
      <c r="H54" s="7" t="n">
        <v>725.1</v>
      </c>
      <c r="J54" s="7" t="n">
        <v>917</v>
      </c>
      <c r="L54" s="7" t="n">
        <v>1194.4</v>
      </c>
      <c r="N54" s="7" t="n">
        <v>1516</v>
      </c>
      <c r="P54" s="7" t="n">
        <v>699.7</v>
      </c>
      <c r="R54" s="7" t="n">
        <v>438.5</v>
      </c>
      <c r="T54" s="7" t="n">
        <v>1082.6</v>
      </c>
      <c r="V54" s="7" t="n">
        <v>688.6</v>
      </c>
      <c r="X54" s="7" t="n">
        <v>854.7</v>
      </c>
      <c r="Z54" s="7" t="n">
        <v>486.3</v>
      </c>
      <c r="AB54" s="7" t="n">
        <v>9793.700000000001</v>
      </c>
    </row>
    <row r="55">
      <c r="A55" s="4" t="inlineStr">
        <is>
          <t>交通补助</t>
        </is>
      </c>
      <c r="D55" s="7" t="n">
        <v>2172.9</v>
      </c>
      <c r="F55" s="7" t="n">
        <v>1935.2</v>
      </c>
      <c r="H55" s="7" t="n">
        <v>2787.6</v>
      </c>
      <c r="J55" s="7" t="n">
        <v>3382.7</v>
      </c>
      <c r="L55" s="7" t="n">
        <v>2886</v>
      </c>
      <c r="N55" s="7" t="n">
        <v>5388</v>
      </c>
      <c r="P55" s="7" t="n">
        <v>3310.1</v>
      </c>
      <c r="R55" s="7" t="n">
        <v>1670</v>
      </c>
      <c r="T55" s="7" t="n">
        <v>4155.4</v>
      </c>
      <c r="V55" s="7" t="n">
        <v>3037.4</v>
      </c>
      <c r="X55" s="7" t="n">
        <v>3768.2</v>
      </c>
      <c r="Z55" s="7" t="n">
        <v>1637.7</v>
      </c>
      <c r="AB55" s="7" t="n">
        <v>36131.2</v>
      </c>
    </row>
    <row r="56">
      <c r="A56" s="4" t="inlineStr">
        <is>
          <t>通讯补助</t>
        </is>
      </c>
      <c r="D56" s="7" t="n">
        <v>2580.3</v>
      </c>
      <c r="F56" s="7" t="n">
        <v>1240.6</v>
      </c>
      <c r="H56" s="7" t="n">
        <v>2219</v>
      </c>
      <c r="J56" s="7" t="n">
        <v>1835.8</v>
      </c>
      <c r="L56" s="7" t="n">
        <v>3278.5</v>
      </c>
      <c r="N56" s="7" t="n">
        <v>5465.6</v>
      </c>
      <c r="P56" s="7" t="n">
        <v>2562.6</v>
      </c>
      <c r="R56" s="7" t="n">
        <v>2148.8</v>
      </c>
      <c r="T56" s="7" t="n">
        <v>3992</v>
      </c>
      <c r="V56" s="7" t="n">
        <v>2537.7</v>
      </c>
      <c r="X56" s="7" t="n">
        <v>2460.9</v>
      </c>
      <c r="Z56" s="7" t="n">
        <v>2469</v>
      </c>
      <c r="AB56" s="7" t="n">
        <v>32790.8</v>
      </c>
    </row>
    <row r="57">
      <c r="A57" s="4" t="inlineStr">
        <is>
          <t>招待费</t>
        </is>
      </c>
      <c r="D57" s="7" t="n">
        <v>30074.4</v>
      </c>
      <c r="F57" s="7" t="n">
        <v>26191.1</v>
      </c>
      <c r="H57" s="7" t="n">
        <v>35069.4</v>
      </c>
      <c r="J57" s="7" t="n">
        <v>29042.9</v>
      </c>
      <c r="L57" s="7" t="n">
        <v>49058.7</v>
      </c>
      <c r="N57" s="7" t="n">
        <v>65504.2</v>
      </c>
      <c r="P57" s="7" t="n">
        <v>45423</v>
      </c>
      <c r="R57" s="7" t="n">
        <v>31739.5</v>
      </c>
      <c r="T57" s="7" t="n">
        <v>59922</v>
      </c>
      <c r="V57" s="7" t="n">
        <v>30565.6</v>
      </c>
      <c r="X57" s="7" t="n">
        <v>54474.9</v>
      </c>
      <c r="Z57" s="7" t="n">
        <v>22960.9</v>
      </c>
      <c r="AB57" s="7" t="n">
        <v>480026.6</v>
      </c>
    </row>
    <row r="58">
      <c r="A58" s="4" t="inlineStr">
        <is>
          <t>通讯费</t>
        </is>
      </c>
      <c r="D58" s="7" t="n">
        <v>6594.1</v>
      </c>
      <c r="F58" s="7" t="n">
        <v>3406.3</v>
      </c>
      <c r="H58" s="7" t="n">
        <v>4235.7</v>
      </c>
      <c r="J58" s="7" t="n">
        <v>7331.4</v>
      </c>
      <c r="L58" s="7" t="n">
        <v>9044.6</v>
      </c>
      <c r="N58" s="7" t="n">
        <v>12143.7</v>
      </c>
      <c r="P58" s="7" t="n">
        <v>7404.7</v>
      </c>
      <c r="R58" s="7" t="n">
        <v>2675.2</v>
      </c>
      <c r="T58" s="7" t="n">
        <v>7534.2</v>
      </c>
      <c r="V58" s="7" t="n">
        <v>4375.3</v>
      </c>
      <c r="X58" s="7" t="n">
        <v>8616.5</v>
      </c>
      <c r="Z58" s="7" t="n">
        <v>3742.1</v>
      </c>
      <c r="AB58" s="7" t="n">
        <v>77103.8</v>
      </c>
    </row>
    <row r="59">
      <c r="A59" s="4" t="inlineStr">
        <is>
          <t>网络费</t>
        </is>
      </c>
      <c r="D59" s="7" t="n">
        <v>5604.5</v>
      </c>
      <c r="F59" s="7" t="n">
        <v>3890.7</v>
      </c>
      <c r="H59" s="7" t="n">
        <v>5770.4</v>
      </c>
      <c r="J59" s="7" t="n">
        <v>7564.5</v>
      </c>
      <c r="L59" s="7" t="n">
        <v>7469.9</v>
      </c>
      <c r="N59" s="7" t="n">
        <v>8484.700000000001</v>
      </c>
      <c r="P59" s="7" t="n">
        <v>4986</v>
      </c>
      <c r="R59" s="7" t="n">
        <v>3252.2</v>
      </c>
      <c r="T59" s="7" t="n">
        <v>7593.9</v>
      </c>
      <c r="V59" s="7" t="n">
        <v>5259.8</v>
      </c>
      <c r="X59" s="7" t="n">
        <v>5832.3</v>
      </c>
      <c r="Z59" s="7" t="n">
        <v>5278.4</v>
      </c>
      <c r="AB59" s="7" t="n">
        <v>70987.3</v>
      </c>
    </row>
    <row r="60">
      <c r="A60" s="4" t="inlineStr">
        <is>
          <t>修理费</t>
        </is>
      </c>
      <c r="D60" s="7" t="n">
        <v>4544.9</v>
      </c>
      <c r="F60" s="7" t="n">
        <v>3603.9</v>
      </c>
      <c r="H60" s="7" t="n">
        <v>2941.2</v>
      </c>
      <c r="J60" s="7" t="n">
        <v>6062.9</v>
      </c>
      <c r="L60" s="7" t="n">
        <v>7539.4</v>
      </c>
      <c r="N60" s="7" t="n">
        <v>9947.799999999999</v>
      </c>
      <c r="P60" s="7" t="n">
        <v>5240.8</v>
      </c>
      <c r="R60" s="7" t="n">
        <v>2451.9</v>
      </c>
      <c r="T60" s="7" t="n">
        <v>6856.7</v>
      </c>
      <c r="V60" s="7" t="n">
        <v>3991</v>
      </c>
      <c r="X60" s="7" t="n">
        <v>4505.7</v>
      </c>
      <c r="Z60" s="7" t="n">
        <v>3304.2</v>
      </c>
      <c r="AB60" s="7" t="n">
        <v>60990.4</v>
      </c>
    </row>
    <row r="61">
      <c r="A61" s="4" t="inlineStr">
        <is>
          <t>车辆费</t>
        </is>
      </c>
      <c r="D61" s="7" t="n">
        <v>1173.3</v>
      </c>
      <c r="F61" s="7" t="n">
        <v>823.9</v>
      </c>
      <c r="H61" s="7" t="n">
        <v>1320.1</v>
      </c>
      <c r="J61" s="7" t="n">
        <v>1993.8</v>
      </c>
      <c r="L61" s="7" t="n">
        <v>1683</v>
      </c>
      <c r="N61" s="7" t="n">
        <v>2957.5</v>
      </c>
      <c r="P61" s="7" t="n">
        <v>1151.5</v>
      </c>
      <c r="R61" s="7" t="n">
        <v>1117</v>
      </c>
      <c r="T61" s="7" t="n">
        <v>2178.4</v>
      </c>
      <c r="V61" s="7" t="n">
        <v>1138.3</v>
      </c>
      <c r="X61" s="7" t="n">
        <v>1389.1</v>
      </c>
      <c r="Z61" s="7" t="n">
        <v>1024.8</v>
      </c>
      <c r="AB61" s="7" t="n">
        <v>17950.7</v>
      </c>
    </row>
    <row r="62">
      <c r="A62" s="4" t="inlineStr">
        <is>
          <t>租赁费</t>
        </is>
      </c>
      <c r="D62" s="7" t="n">
        <v>39721.7</v>
      </c>
      <c r="F62" s="7" t="n">
        <v>30149.1</v>
      </c>
      <c r="H62" s="7" t="n">
        <v>43565.9</v>
      </c>
      <c r="J62" s="7" t="n">
        <v>54051.8</v>
      </c>
      <c r="L62" s="7" t="n">
        <v>52053.2</v>
      </c>
      <c r="N62" s="7" t="n">
        <v>61781.6</v>
      </c>
      <c r="P62" s="7" t="n">
        <v>62577.8</v>
      </c>
      <c r="R62" s="7" t="n">
        <v>27571.6</v>
      </c>
      <c r="T62" s="7" t="n">
        <v>64149</v>
      </c>
      <c r="V62" s="7" t="n">
        <v>39461.7</v>
      </c>
      <c r="X62" s="7" t="n">
        <v>43212.1</v>
      </c>
      <c r="Z62" s="7" t="n">
        <v>28217.8</v>
      </c>
      <c r="AB62" s="7" t="n">
        <v>546513.3</v>
      </c>
    </row>
    <row r="63">
      <c r="A63" s="4" t="inlineStr">
        <is>
          <t>能源费</t>
        </is>
      </c>
      <c r="D63" s="7" t="n">
        <v>15387.8</v>
      </c>
      <c r="F63" s="7" t="n">
        <v>9452.9</v>
      </c>
      <c r="H63" s="7" t="n">
        <v>14313.1</v>
      </c>
      <c r="J63" s="7" t="n">
        <v>14883.7</v>
      </c>
      <c r="L63" s="7" t="n">
        <v>24713.1</v>
      </c>
      <c r="N63" s="7" t="n">
        <v>33375.8</v>
      </c>
      <c r="P63" s="7" t="n">
        <v>15452.2</v>
      </c>
      <c r="R63" s="7" t="n">
        <v>12156.1</v>
      </c>
      <c r="T63" s="7" t="n">
        <v>21259.5</v>
      </c>
      <c r="V63" s="7" t="n">
        <v>17551.7</v>
      </c>
      <c r="X63" s="7" t="n">
        <v>20523.4</v>
      </c>
      <c r="Z63" s="7" t="n">
        <v>13156.6</v>
      </c>
      <c r="AB63" s="7" t="n">
        <v>212225.9</v>
      </c>
    </row>
    <row r="64">
      <c r="A64" s="4" t="inlineStr">
        <is>
          <t>水费</t>
        </is>
      </c>
      <c r="D64" s="7" t="n">
        <v>2769</v>
      </c>
      <c r="F64" s="7" t="n">
        <v>1317.3</v>
      </c>
      <c r="H64" s="7" t="n">
        <v>2142.8</v>
      </c>
      <c r="J64" s="7" t="n">
        <v>2080.1</v>
      </c>
      <c r="L64" s="7" t="n">
        <v>3538.3</v>
      </c>
      <c r="N64" s="7" t="n">
        <v>4713.7</v>
      </c>
      <c r="P64" s="7" t="n">
        <v>3061.9</v>
      </c>
      <c r="R64" s="7" t="n">
        <v>1455</v>
      </c>
      <c r="T64" s="7" t="n">
        <v>3154</v>
      </c>
      <c r="V64" s="7" t="n">
        <v>2814.6</v>
      </c>
      <c r="X64" s="7" t="n">
        <v>2498</v>
      </c>
      <c r="Z64" s="7" t="n">
        <v>1718.7</v>
      </c>
      <c r="AB64" s="7" t="n">
        <v>31263.4</v>
      </c>
    </row>
    <row r="65">
      <c r="A65" s="4" t="inlineStr">
        <is>
          <t>电费</t>
        </is>
      </c>
      <c r="D65" s="7" t="n">
        <v>2430.2</v>
      </c>
      <c r="F65" s="7" t="n">
        <v>2316.6</v>
      </c>
      <c r="H65" s="7" t="n">
        <v>3192.2</v>
      </c>
      <c r="J65" s="7" t="n">
        <v>3580.9</v>
      </c>
      <c r="L65" s="7" t="n">
        <v>4525.9</v>
      </c>
      <c r="N65" s="7" t="n">
        <v>5973.8</v>
      </c>
      <c r="P65" s="7" t="n">
        <v>2813.4</v>
      </c>
      <c r="R65" s="7" t="n">
        <v>2350</v>
      </c>
      <c r="T65" s="7" t="n">
        <v>5435.6</v>
      </c>
      <c r="V65" s="7" t="n">
        <v>4115.9</v>
      </c>
      <c r="X65" s="7" t="n">
        <v>3971.7</v>
      </c>
      <c r="Z65" s="7" t="n">
        <v>3242.5</v>
      </c>
      <c r="AB65" s="7" t="n">
        <v>43948.7</v>
      </c>
    </row>
    <row r="66">
      <c r="A66" s="4" t="inlineStr">
        <is>
          <t>燃气费</t>
        </is>
      </c>
      <c r="D66" s="7" t="n">
        <v>4312.5</v>
      </c>
      <c r="F66" s="7" t="n">
        <v>2141.1</v>
      </c>
      <c r="H66" s="7" t="n">
        <v>3123.3</v>
      </c>
      <c r="J66" s="7" t="n">
        <v>3478.2</v>
      </c>
      <c r="L66" s="7" t="n">
        <v>7445.2</v>
      </c>
      <c r="N66" s="7" t="n">
        <v>9888.5</v>
      </c>
      <c r="P66" s="7" t="n">
        <v>3631.3</v>
      </c>
      <c r="R66" s="7" t="n">
        <v>3875.2</v>
      </c>
      <c r="T66" s="7" t="n">
        <v>4221.3</v>
      </c>
      <c r="V66" s="7" t="n">
        <v>4388.2</v>
      </c>
      <c r="X66" s="7" t="n">
        <v>6292.1</v>
      </c>
      <c r="Z66" s="7" t="n">
        <v>4041.1</v>
      </c>
      <c r="AB66" s="7" t="n">
        <v>56838</v>
      </c>
    </row>
    <row r="67">
      <c r="A67" s="4" t="inlineStr">
        <is>
          <t>蒸汽费</t>
        </is>
      </c>
      <c r="D67" s="7" t="n">
        <v>5876.1</v>
      </c>
      <c r="F67" s="7" t="n">
        <v>3677.9</v>
      </c>
      <c r="H67" s="7" t="n">
        <v>5854.8</v>
      </c>
      <c r="J67" s="7" t="n">
        <v>5744.5</v>
      </c>
      <c r="L67" s="7" t="n">
        <v>9203.700000000001</v>
      </c>
      <c r="N67" s="7" t="n">
        <v>12799.8</v>
      </c>
      <c r="P67" s="7" t="n">
        <v>5945.6</v>
      </c>
      <c r="R67" s="7" t="n">
        <v>4475.9</v>
      </c>
      <c r="T67" s="7" t="n">
        <v>8448.6</v>
      </c>
      <c r="V67" s="7" t="n">
        <v>6233</v>
      </c>
      <c r="X67" s="7" t="n">
        <v>7761.6</v>
      </c>
      <c r="Z67" s="7" t="n">
        <v>4154.3</v>
      </c>
      <c r="AB67" s="7" t="n">
        <v>80175.8</v>
      </c>
    </row>
    <row r="68">
      <c r="A68" s="4" t="inlineStr">
        <is>
          <t>物业费</t>
        </is>
      </c>
      <c r="D68" s="7" t="n">
        <v>1007.7</v>
      </c>
      <c r="F68" s="7" t="n">
        <v>716.8</v>
      </c>
      <c r="H68" s="7" t="n">
        <v>937</v>
      </c>
      <c r="J68" s="7" t="n">
        <v>939.9</v>
      </c>
      <c r="L68" s="7" t="n">
        <v>964.8</v>
      </c>
      <c r="N68" s="7" t="n">
        <v>1339.5</v>
      </c>
      <c r="P68" s="7" t="n">
        <v>1030.3</v>
      </c>
      <c r="R68" s="7" t="n">
        <v>812.4</v>
      </c>
      <c r="T68" s="7" t="n">
        <v>1442.3</v>
      </c>
      <c r="V68" s="7" t="n">
        <v>1132.1</v>
      </c>
      <c r="X68" s="7" t="n">
        <v>1548</v>
      </c>
      <c r="Z68" s="7" t="n">
        <v>707.7</v>
      </c>
      <c r="AB68" s="7" t="n">
        <v>12578.5</v>
      </c>
    </row>
    <row r="69">
      <c r="A69" s="4" t="inlineStr">
        <is>
          <t>劳动保护费</t>
        </is>
      </c>
      <c r="D69" s="7" t="n">
        <v>1654.4</v>
      </c>
      <c r="F69" s="7" t="n">
        <v>1725.3</v>
      </c>
      <c r="H69" s="7" t="n">
        <v>1814.6</v>
      </c>
      <c r="J69" s="7" t="n">
        <v>1678.8</v>
      </c>
      <c r="L69" s="7" t="n">
        <v>3160.3</v>
      </c>
      <c r="N69" s="7" t="n">
        <v>3464</v>
      </c>
      <c r="P69" s="7" t="n">
        <v>2636.2</v>
      </c>
      <c r="R69" s="7" t="n">
        <v>1755.8</v>
      </c>
      <c r="T69" s="7" t="n">
        <v>1933</v>
      </c>
      <c r="V69" s="7" t="n">
        <v>1774.6</v>
      </c>
      <c r="X69" s="7" t="n">
        <v>1912.4</v>
      </c>
      <c r="Z69" s="7" t="n">
        <v>1164.9</v>
      </c>
      <c r="AB69" s="7" t="n">
        <v>24674.3</v>
      </c>
    </row>
    <row r="70">
      <c r="A70" s="4" t="inlineStr">
        <is>
          <t>顾问费</t>
        </is>
      </c>
      <c r="D70" s="7" t="n">
        <v>3704.1</v>
      </c>
      <c r="F70" s="7" t="n">
        <v>1721</v>
      </c>
      <c r="H70" s="7" t="n">
        <v>3159.4</v>
      </c>
      <c r="J70" s="7" t="n">
        <v>3554.9</v>
      </c>
      <c r="L70" s="7" t="n">
        <v>3869.2</v>
      </c>
      <c r="N70" s="7" t="n">
        <v>5220.2</v>
      </c>
      <c r="P70" s="7" t="n">
        <v>4782.6</v>
      </c>
      <c r="R70" s="7" t="n">
        <v>1808.7</v>
      </c>
      <c r="T70" s="7" t="n">
        <v>4716.5</v>
      </c>
      <c r="V70" s="7" t="n">
        <v>3250.3</v>
      </c>
      <c r="X70" s="7" t="n">
        <v>5165.2</v>
      </c>
      <c r="Z70" s="7" t="n">
        <v>3181.6</v>
      </c>
      <c r="AB70" s="7" t="n">
        <v>44133.7</v>
      </c>
    </row>
    <row r="71">
      <c r="A71" s="4" t="inlineStr">
        <is>
          <t>快递费</t>
        </is>
      </c>
      <c r="D71" s="7" t="n">
        <v>1864.7</v>
      </c>
      <c r="F71" s="7" t="n">
        <v>1389.4</v>
      </c>
      <c r="H71" s="7" t="n">
        <v>1314.4</v>
      </c>
      <c r="J71" s="7" t="n">
        <v>1775</v>
      </c>
      <c r="L71" s="7" t="n">
        <v>1929.9</v>
      </c>
      <c r="N71" s="7" t="n">
        <v>3676.2</v>
      </c>
      <c r="P71" s="7" t="n">
        <v>1743.8</v>
      </c>
      <c r="R71" s="7" t="n">
        <v>1157.4</v>
      </c>
      <c r="T71" s="7" t="n">
        <v>1849</v>
      </c>
      <c r="V71" s="7" t="n">
        <v>2519.1</v>
      </c>
      <c r="X71" s="7" t="n">
        <v>2844.4</v>
      </c>
      <c r="Z71" s="7" t="n">
        <v>1858.3</v>
      </c>
      <c r="AB71" s="7" t="n">
        <v>23921.6</v>
      </c>
    </row>
    <row r="72">
      <c r="A72" s="4" t="inlineStr">
        <is>
          <t>诉讼费</t>
        </is>
      </c>
      <c r="D72" s="7" t="n">
        <v>3306.2</v>
      </c>
      <c r="F72" s="7" t="n">
        <v>2464.9</v>
      </c>
      <c r="H72" s="7" t="n">
        <v>3710.5</v>
      </c>
      <c r="J72" s="7" t="n">
        <v>5002.3</v>
      </c>
      <c r="L72" s="7" t="n">
        <v>5315.6</v>
      </c>
      <c r="N72" s="7" t="n">
        <v>7712.2</v>
      </c>
      <c r="P72" s="7" t="n">
        <v>3663.9</v>
      </c>
      <c r="R72" s="7" t="n">
        <v>2451.4</v>
      </c>
      <c r="T72" s="7" t="n">
        <v>3890.5</v>
      </c>
      <c r="V72" s="7" t="n">
        <v>3607.5</v>
      </c>
      <c r="X72" s="7" t="n">
        <v>5241.5</v>
      </c>
      <c r="Z72" s="7" t="n">
        <v>2878.9</v>
      </c>
      <c r="AB72" s="7" t="n">
        <v>49245.4</v>
      </c>
    </row>
    <row r="73">
      <c r="A73" s="4" t="inlineStr">
        <is>
          <t>会员费</t>
        </is>
      </c>
      <c r="D73" s="7" t="n">
        <v>4129.9</v>
      </c>
      <c r="F73" s="7" t="n">
        <v>3770.8</v>
      </c>
      <c r="H73" s="7" t="n">
        <v>4642.5</v>
      </c>
      <c r="J73" s="7" t="n">
        <v>6700.6</v>
      </c>
      <c r="L73" s="7" t="n">
        <v>6784.7</v>
      </c>
      <c r="N73" s="7" t="n">
        <v>11439.2</v>
      </c>
      <c r="P73" s="7" t="n">
        <v>5769.5</v>
      </c>
      <c r="R73" s="7" t="n">
        <v>2733</v>
      </c>
      <c r="T73" s="7" t="n">
        <v>5654.2</v>
      </c>
      <c r="V73" s="7" t="n">
        <v>4345.5</v>
      </c>
      <c r="X73" s="7" t="n">
        <v>6712.9</v>
      </c>
      <c r="Z73" s="7" t="n">
        <v>4974.6</v>
      </c>
      <c r="AB73" s="7" t="n">
        <v>67657.39999999999</v>
      </c>
    </row>
    <row r="74">
      <c r="A74" s="4" t="inlineStr">
        <is>
          <t>广告宣传费</t>
        </is>
      </c>
      <c r="D74" s="7" t="n">
        <v>30529.5</v>
      </c>
      <c r="F74" s="7" t="n">
        <v>13645.6</v>
      </c>
      <c r="H74" s="7" t="n">
        <v>23977.5</v>
      </c>
      <c r="J74" s="7" t="n">
        <v>23534</v>
      </c>
      <c r="L74" s="7" t="n">
        <v>30333.3</v>
      </c>
      <c r="N74" s="7" t="n">
        <v>53127</v>
      </c>
      <c r="P74" s="7" t="n">
        <v>31900.5</v>
      </c>
      <c r="R74" s="7" t="n">
        <v>23091.1</v>
      </c>
      <c r="T74" s="7" t="n">
        <v>29274.6</v>
      </c>
      <c r="V74" s="7" t="n">
        <v>32947.1</v>
      </c>
      <c r="X74" s="7" t="n">
        <v>37706.8</v>
      </c>
      <c r="Z74" s="7" t="n">
        <v>22134.5</v>
      </c>
      <c r="AB74" s="7" t="n">
        <v>352201.5</v>
      </c>
    </row>
    <row r="75">
      <c r="A75" s="4" t="inlineStr">
        <is>
          <t>会务费</t>
        </is>
      </c>
      <c r="D75" s="7" t="n">
        <v>3234.5</v>
      </c>
      <c r="F75" s="7" t="n">
        <v>1703</v>
      </c>
      <c r="H75" s="7" t="n">
        <v>2821.3</v>
      </c>
      <c r="J75" s="7" t="n">
        <v>2147.8</v>
      </c>
      <c r="L75" s="7" t="n">
        <v>4659.5</v>
      </c>
      <c r="N75" s="7" t="n">
        <v>6439.4</v>
      </c>
      <c r="P75" s="7" t="n">
        <v>2425.4</v>
      </c>
      <c r="R75" s="7" t="n">
        <v>2569</v>
      </c>
      <c r="T75" s="7" t="n">
        <v>3725.9</v>
      </c>
      <c r="V75" s="7" t="n">
        <v>2523</v>
      </c>
      <c r="X75" s="7" t="n">
        <v>3700.6</v>
      </c>
      <c r="Z75" s="7" t="n">
        <v>1843.1</v>
      </c>
      <c r="AB75" s="7" t="n">
        <v>37792.5</v>
      </c>
    </row>
    <row r="76">
      <c r="A76" s="4" t="inlineStr">
        <is>
          <t>装修费</t>
        </is>
      </c>
      <c r="D76" s="7" t="n">
        <v>5212</v>
      </c>
      <c r="F76" s="7" t="n">
        <v>4210.2</v>
      </c>
      <c r="H76" s="7" t="n">
        <v>3924</v>
      </c>
      <c r="J76" s="7" t="n">
        <v>5897.8</v>
      </c>
      <c r="L76" s="7" t="n">
        <v>6451.4</v>
      </c>
      <c r="N76" s="7" t="n">
        <v>8247.200000000001</v>
      </c>
      <c r="P76" s="7" t="n">
        <v>6056.1</v>
      </c>
      <c r="R76" s="7" t="n">
        <v>3766.9</v>
      </c>
      <c r="T76" s="7" t="n">
        <v>5468.7</v>
      </c>
      <c r="V76" s="7" t="n">
        <v>7340.9</v>
      </c>
      <c r="X76" s="7" t="n">
        <v>6526</v>
      </c>
      <c r="Z76" s="7" t="n">
        <v>5148.2</v>
      </c>
      <c r="AB76" s="7" t="n">
        <v>68249.39999999999</v>
      </c>
    </row>
    <row r="77">
      <c r="A77" s="4" t="inlineStr">
        <is>
          <t>推广费</t>
        </is>
      </c>
      <c r="D77" s="7" t="n">
        <v>4658</v>
      </c>
      <c r="F77" s="7" t="n">
        <v>3423.4</v>
      </c>
      <c r="H77" s="7" t="n">
        <v>4381.4</v>
      </c>
      <c r="J77" s="7" t="n">
        <v>4810.1</v>
      </c>
      <c r="L77" s="7" t="n">
        <v>5544.6</v>
      </c>
      <c r="N77" s="7" t="n">
        <v>8235.5</v>
      </c>
      <c r="P77" s="7" t="n">
        <v>7571</v>
      </c>
      <c r="R77" s="7" t="n">
        <v>3948.8</v>
      </c>
      <c r="T77" s="7" t="n">
        <v>6841.3</v>
      </c>
      <c r="V77" s="7" t="n">
        <v>4504.1</v>
      </c>
      <c r="X77" s="7" t="n">
        <v>5963.9</v>
      </c>
      <c r="Z77" s="7" t="n">
        <v>3964.7</v>
      </c>
      <c r="AB77" s="7" t="n">
        <v>63846.8</v>
      </c>
    </row>
    <row r="78">
      <c r="A78" s="4" t="inlineStr">
        <is>
          <t>展会费</t>
        </is>
      </c>
      <c r="D78" s="7" t="n">
        <v>4600.6</v>
      </c>
      <c r="F78" s="7" t="n">
        <v>3595.3</v>
      </c>
      <c r="H78" s="7" t="n">
        <v>4275.9</v>
      </c>
      <c r="J78" s="7" t="n">
        <v>4498</v>
      </c>
      <c r="L78" s="7" t="n">
        <v>7655</v>
      </c>
      <c r="N78" s="7" t="n">
        <v>11217.3</v>
      </c>
      <c r="P78" s="7" t="n">
        <v>5938.2</v>
      </c>
      <c r="R78" s="7" t="n">
        <v>3416.5</v>
      </c>
      <c r="T78" s="7" t="n">
        <v>5254.1</v>
      </c>
      <c r="V78" s="7" t="n">
        <v>6105.1</v>
      </c>
      <c r="X78" s="7" t="n">
        <v>4852.5</v>
      </c>
      <c r="Z78" s="7" t="n">
        <v>4409.2</v>
      </c>
      <c r="AB78" s="7" t="n">
        <v>65817.7</v>
      </c>
    </row>
    <row r="79">
      <c r="A79" s="4" t="inlineStr">
        <is>
          <t>设计费</t>
        </is>
      </c>
      <c r="D79" s="7" t="n">
        <v>3371.5</v>
      </c>
      <c r="F79" s="7" t="n">
        <v>1976.6</v>
      </c>
      <c r="H79" s="7" t="n">
        <v>2447.2</v>
      </c>
      <c r="J79" s="7" t="n">
        <v>2268.1</v>
      </c>
      <c r="L79" s="7" t="n">
        <v>2708.3</v>
      </c>
      <c r="N79" s="7" t="n">
        <v>6203.7</v>
      </c>
      <c r="P79" s="7" t="n">
        <v>4063.5</v>
      </c>
      <c r="R79" s="7" t="n">
        <v>2216.5</v>
      </c>
      <c r="T79" s="7" t="n">
        <v>4453.5</v>
      </c>
      <c r="V79" s="7" t="n">
        <v>2879.6</v>
      </c>
      <c r="X79" s="7" t="n">
        <v>4276.3</v>
      </c>
      <c r="Z79" s="7" t="n">
        <v>1914.2</v>
      </c>
      <c r="AB79" s="7" t="n">
        <v>38779</v>
      </c>
    </row>
    <row r="80">
      <c r="A80" s="4" t="inlineStr">
        <is>
          <t>折旧费</t>
        </is>
      </c>
      <c r="D80" s="7" t="n">
        <v>37876.9</v>
      </c>
      <c r="F80" s="7" t="n">
        <v>16990.1</v>
      </c>
      <c r="H80" s="7" t="n">
        <v>28270.5</v>
      </c>
      <c r="J80" s="7" t="n">
        <v>35603.3</v>
      </c>
      <c r="L80" s="7" t="n">
        <v>50290.3</v>
      </c>
      <c r="N80" s="7" t="n">
        <v>70569.7</v>
      </c>
      <c r="P80" s="7" t="n">
        <v>42860.8</v>
      </c>
      <c r="R80" s="7" t="n">
        <v>24896.7</v>
      </c>
      <c r="T80" s="7" t="n">
        <v>47666.9</v>
      </c>
      <c r="V80" s="7" t="n">
        <v>26728.1</v>
      </c>
      <c r="X80" s="7" t="n">
        <v>45685.1</v>
      </c>
      <c r="Z80" s="7" t="n">
        <v>20156.9</v>
      </c>
      <c r="AB80" s="7" t="n">
        <v>447595.3</v>
      </c>
    </row>
    <row r="81">
      <c r="A81" s="4" t="inlineStr">
        <is>
          <t>认证费</t>
        </is>
      </c>
      <c r="D81" s="7" t="n">
        <v>2528.7</v>
      </c>
      <c r="F81" s="7" t="n">
        <v>2689</v>
      </c>
      <c r="H81" s="7" t="n">
        <v>1736.8</v>
      </c>
      <c r="J81" s="7" t="n">
        <v>3972.8</v>
      </c>
      <c r="L81" s="7" t="n">
        <v>4502.1</v>
      </c>
      <c r="N81" s="7" t="n">
        <v>6590.5</v>
      </c>
      <c r="P81" s="7" t="n">
        <v>4331.6</v>
      </c>
      <c r="R81" s="7" t="n">
        <v>1668.1</v>
      </c>
      <c r="T81" s="7" t="n">
        <v>3158</v>
      </c>
      <c r="V81" s="7" t="n">
        <v>2601</v>
      </c>
      <c r="X81" s="7" t="n">
        <v>3135</v>
      </c>
      <c r="Z81" s="7" t="n">
        <v>2513.3</v>
      </c>
      <c r="AB81" s="7" t="n">
        <v>39426.9</v>
      </c>
    </row>
    <row r="82">
      <c r="A82" s="4" t="inlineStr">
        <is>
          <t>样品费</t>
        </is>
      </c>
      <c r="D82" s="7" t="n">
        <v>20030.4</v>
      </c>
      <c r="F82" s="7" t="n">
        <v>10360.4</v>
      </c>
      <c r="H82" s="7" t="n">
        <v>13215.4</v>
      </c>
      <c r="J82" s="7" t="n">
        <v>17799.9</v>
      </c>
      <c r="L82" s="7" t="n">
        <v>22160.6</v>
      </c>
      <c r="N82" s="7" t="n">
        <v>33326.6</v>
      </c>
      <c r="P82" s="7" t="n">
        <v>25921.7</v>
      </c>
      <c r="R82" s="7" t="n">
        <v>10506.7</v>
      </c>
      <c r="T82" s="7" t="n">
        <v>26659.5</v>
      </c>
      <c r="V82" s="7" t="n">
        <v>22946.2</v>
      </c>
      <c r="X82" s="7" t="n">
        <v>24199.7</v>
      </c>
      <c r="Z82" s="7" t="n">
        <v>17316.5</v>
      </c>
      <c r="AB82" s="7" t="n">
        <v>244443.6</v>
      </c>
    </row>
    <row r="83">
      <c r="A83" s="4" t="inlineStr">
        <is>
          <t>劳务费</t>
        </is>
      </c>
      <c r="D83" s="7" t="n">
        <v>3171.9</v>
      </c>
      <c r="F83" s="7" t="n">
        <v>2781.6</v>
      </c>
      <c r="H83" s="7" t="n">
        <v>3619.2</v>
      </c>
      <c r="J83" s="7" t="n">
        <v>3520.5</v>
      </c>
      <c r="L83" s="7" t="n">
        <v>4127.3</v>
      </c>
      <c r="N83" s="7" t="n">
        <v>6413.2</v>
      </c>
      <c r="P83" s="7" t="n">
        <v>4988</v>
      </c>
      <c r="R83" s="7" t="n">
        <v>3007.6</v>
      </c>
      <c r="T83" s="7" t="n">
        <v>6999.4</v>
      </c>
      <c r="V83" s="7" t="n">
        <v>4914.7</v>
      </c>
      <c r="X83" s="7" t="n">
        <v>6702.9</v>
      </c>
      <c r="Z83" s="7" t="n">
        <v>2687.8</v>
      </c>
      <c r="AB83" s="7" t="n">
        <v>52934.1</v>
      </c>
    </row>
    <row r="84">
      <c r="A84" s="4" t="inlineStr">
        <is>
          <t>销售佣金</t>
        </is>
      </c>
      <c r="D84" s="7" t="n">
        <v>2116.3</v>
      </c>
      <c r="F84" s="7" t="n">
        <v>1724.1</v>
      </c>
      <c r="H84" s="7" t="n">
        <v>2978.2</v>
      </c>
      <c r="J84" s="7" t="n">
        <v>4112.3</v>
      </c>
      <c r="L84" s="7" t="n">
        <v>4007</v>
      </c>
      <c r="N84" s="7" t="n">
        <v>4043.3</v>
      </c>
      <c r="P84" s="7" t="n">
        <v>2582.7</v>
      </c>
      <c r="R84" s="7" t="n">
        <v>2733.6</v>
      </c>
      <c r="T84" s="7" t="n">
        <v>5153.5</v>
      </c>
      <c r="V84" s="7" t="n">
        <v>3412.7</v>
      </c>
      <c r="X84" s="7" t="n">
        <v>2761.4</v>
      </c>
      <c r="Z84" s="7" t="n">
        <v>3103.1</v>
      </c>
      <c r="AB84" s="7" t="n">
        <v>38728.2</v>
      </c>
    </row>
    <row r="85">
      <c r="A85" s="4" t="inlineStr">
        <is>
          <t>检测费</t>
        </is>
      </c>
      <c r="D85" s="7" t="n">
        <v>2217.7</v>
      </c>
      <c r="F85" s="7" t="n">
        <v>1306.4</v>
      </c>
      <c r="H85" s="7" t="n">
        <v>1672.3</v>
      </c>
      <c r="J85" s="7" t="n">
        <v>2240.2</v>
      </c>
      <c r="L85" s="7" t="n">
        <v>2273.7</v>
      </c>
      <c r="N85" s="7" t="n">
        <v>2467.8</v>
      </c>
      <c r="P85" s="7" t="n">
        <v>1647</v>
      </c>
      <c r="R85" s="7" t="n">
        <v>1094.7</v>
      </c>
      <c r="T85" s="7" t="n">
        <v>2972.6</v>
      </c>
      <c r="V85" s="7" t="n">
        <v>1827.2</v>
      </c>
      <c r="X85" s="7" t="n">
        <v>2828</v>
      </c>
      <c r="Z85" s="7" t="n">
        <v>1321.2</v>
      </c>
      <c r="AB85" s="7" t="n">
        <v>23868.8</v>
      </c>
    </row>
    <row r="86">
      <c r="A86" s="4" t="inlineStr">
        <is>
          <t>质量赔偿</t>
        </is>
      </c>
      <c r="D86" s="7" t="n">
        <v>3271.6</v>
      </c>
      <c r="F86" s="7" t="n">
        <v>3857.5</v>
      </c>
      <c r="H86" s="7" t="n">
        <v>3959.3</v>
      </c>
      <c r="J86" s="7" t="n">
        <v>4775.6</v>
      </c>
      <c r="L86" s="7" t="n">
        <v>7473.9</v>
      </c>
      <c r="N86" s="7" t="n">
        <v>5818.5</v>
      </c>
      <c r="P86" s="7" t="n">
        <v>4775</v>
      </c>
      <c r="R86" s="7" t="n">
        <v>3748.4</v>
      </c>
      <c r="T86" s="7" t="n">
        <v>5379</v>
      </c>
      <c r="V86" s="7" t="n">
        <v>5462.2</v>
      </c>
      <c r="X86" s="7" t="n">
        <v>6987</v>
      </c>
      <c r="Z86" s="7" t="n">
        <v>3312.2</v>
      </c>
      <c r="AB86" s="7" t="n">
        <v>58820.2</v>
      </c>
    </row>
    <row r="87">
      <c r="A87" s="4" t="inlineStr">
        <is>
          <t>保险费</t>
        </is>
      </c>
      <c r="D87" s="7" t="n">
        <v>3066.5</v>
      </c>
      <c r="F87" s="7" t="n">
        <v>2638.7</v>
      </c>
      <c r="H87" s="7" t="n">
        <v>4628.7</v>
      </c>
      <c r="J87" s="7" t="n">
        <v>4859.2</v>
      </c>
      <c r="L87" s="7" t="n">
        <v>5441</v>
      </c>
      <c r="N87" s="7" t="n">
        <v>10288.4</v>
      </c>
      <c r="P87" s="7" t="n">
        <v>4872.4</v>
      </c>
      <c r="R87" s="7" t="n">
        <v>3533.2</v>
      </c>
      <c r="T87" s="7" t="n">
        <v>6676.1</v>
      </c>
      <c r="V87" s="7" t="n">
        <v>3617.9</v>
      </c>
      <c r="X87" s="7" t="n">
        <v>6019.2</v>
      </c>
      <c r="Z87" s="7" t="n">
        <v>4261.4</v>
      </c>
      <c r="AB87" s="7" t="n">
        <v>59902.7</v>
      </c>
    </row>
    <row r="88">
      <c r="A88" s="4" t="inlineStr">
        <is>
          <t>清洁费</t>
        </is>
      </c>
      <c r="D88" s="7" t="n">
        <v>2950.7</v>
      </c>
      <c r="F88" s="7" t="n">
        <v>2231.3</v>
      </c>
      <c r="H88" s="7" t="n">
        <v>3711.9</v>
      </c>
      <c r="J88" s="7" t="n">
        <v>4866.8</v>
      </c>
      <c r="L88" s="7" t="n">
        <v>6280.4</v>
      </c>
      <c r="N88" s="7" t="n">
        <v>6674.6</v>
      </c>
      <c r="P88" s="7" t="n">
        <v>3577.6</v>
      </c>
      <c r="R88" s="7" t="n">
        <v>2067.3</v>
      </c>
      <c r="T88" s="7" t="n">
        <v>4967.6</v>
      </c>
      <c r="V88" s="7" t="n">
        <v>4065.5</v>
      </c>
      <c r="X88" s="7" t="n">
        <v>4464.6</v>
      </c>
      <c r="Z88" s="7" t="n">
        <v>2597.7</v>
      </c>
      <c r="AB88" s="7" t="n">
        <v>48456</v>
      </c>
    </row>
    <row r="89">
      <c r="A89" s="4" t="inlineStr">
        <is>
          <t>低值易耗品</t>
        </is>
      </c>
      <c r="D89" s="7" t="n">
        <v>1003.2</v>
      </c>
      <c r="F89" s="7" t="n">
        <v>764.1</v>
      </c>
      <c r="H89" s="7" t="n">
        <v>817.7</v>
      </c>
      <c r="J89" s="7" t="n">
        <v>847.3</v>
      </c>
      <c r="L89" s="7" t="n">
        <v>1316.4</v>
      </c>
      <c r="N89" s="7" t="n">
        <v>1489.5</v>
      </c>
      <c r="P89" s="7" t="n">
        <v>1303</v>
      </c>
      <c r="R89" s="7" t="n">
        <v>691.2</v>
      </c>
      <c r="T89" s="7" t="n">
        <v>1373.5</v>
      </c>
      <c r="V89" s="7" t="n">
        <v>1020.7</v>
      </c>
      <c r="X89" s="7" t="n">
        <v>1269.6</v>
      </c>
      <c r="Z89" s="7" t="n">
        <v>657.5</v>
      </c>
      <c r="AB89" s="7" t="n">
        <v>12553.7</v>
      </c>
    </row>
    <row r="90">
      <c r="A90" s="4" t="inlineStr">
        <is>
          <t>物料消耗</t>
        </is>
      </c>
      <c r="D90" s="7" t="n">
        <v>6186.8</v>
      </c>
      <c r="F90" s="7" t="n">
        <v>4578.4</v>
      </c>
      <c r="H90" s="7" t="n">
        <v>4341.7</v>
      </c>
      <c r="J90" s="7" t="n">
        <v>4564.1</v>
      </c>
      <c r="L90" s="7" t="n">
        <v>6442.1</v>
      </c>
      <c r="N90" s="7" t="n">
        <v>7423.3</v>
      </c>
      <c r="P90" s="7" t="n">
        <v>5211.8</v>
      </c>
      <c r="R90" s="7" t="n">
        <v>3700</v>
      </c>
      <c r="T90" s="7" t="n">
        <v>5234.6</v>
      </c>
      <c r="V90" s="7" t="n">
        <v>5389</v>
      </c>
      <c r="X90" s="7" t="n">
        <v>6236.2</v>
      </c>
      <c r="Z90" s="7" t="n">
        <v>4171.3</v>
      </c>
      <c r="AB90" s="7" t="n">
        <v>63479.3</v>
      </c>
    </row>
    <row r="91">
      <c r="A91" s="4" t="inlineStr">
        <is>
          <t>盘盈盘亏</t>
        </is>
      </c>
      <c r="D91" s="7" t="n">
        <v>361.5</v>
      </c>
      <c r="F91" s="7" t="n">
        <v>257.5</v>
      </c>
      <c r="H91" s="7" t="n">
        <v>381.9</v>
      </c>
      <c r="J91" s="7" t="n">
        <v>513.3</v>
      </c>
      <c r="L91" s="7" t="n">
        <v>484.1</v>
      </c>
      <c r="N91" s="7" t="n">
        <v>618.2</v>
      </c>
      <c r="P91" s="7" t="n">
        <v>446</v>
      </c>
      <c r="R91" s="7" t="n">
        <v>402.5</v>
      </c>
      <c r="T91" s="7" t="n">
        <v>544.5</v>
      </c>
      <c r="V91" s="7" t="n">
        <v>513.3</v>
      </c>
      <c r="X91" s="7" t="n">
        <v>660.7</v>
      </c>
      <c r="Z91" s="7" t="n">
        <v>322.7</v>
      </c>
      <c r="AB91" s="7" t="n">
        <v>5506.2</v>
      </c>
    </row>
    <row r="92">
      <c r="A92" s="4" t="inlineStr">
        <is>
          <t>平台服务费</t>
        </is>
      </c>
      <c r="D92" s="7" t="n">
        <v>2198.6</v>
      </c>
      <c r="F92" s="7" t="n">
        <v>1606.6</v>
      </c>
      <c r="H92" s="7" t="n">
        <v>1985.9</v>
      </c>
      <c r="J92" s="7" t="n">
        <v>1652.9</v>
      </c>
      <c r="L92" s="7" t="n">
        <v>2300.1</v>
      </c>
      <c r="N92" s="7" t="n">
        <v>4465</v>
      </c>
      <c r="P92" s="7" t="n">
        <v>1803.7</v>
      </c>
      <c r="R92" s="7" t="n">
        <v>1226.2</v>
      </c>
      <c r="T92" s="7" t="n">
        <v>3369.4</v>
      </c>
      <c r="V92" s="7" t="n">
        <v>2669.4</v>
      </c>
      <c r="X92" s="7" t="n">
        <v>2127.3</v>
      </c>
      <c r="Z92" s="7" t="n">
        <v>1747.2</v>
      </c>
      <c r="AB92" s="7" t="n">
        <v>27152.3</v>
      </c>
    </row>
    <row r="93">
      <c r="A93" s="4" t="inlineStr">
        <is>
          <t>无形资产摊销</t>
        </is>
      </c>
      <c r="D93" s="7" t="n">
        <v>2835.2</v>
      </c>
      <c r="F93" s="7" t="n">
        <v>1638.9</v>
      </c>
      <c r="H93" s="7" t="n">
        <v>2099.1</v>
      </c>
      <c r="J93" s="7" t="n">
        <v>3690.8</v>
      </c>
      <c r="L93" s="7" t="n">
        <v>3537.8</v>
      </c>
      <c r="N93" s="7" t="n">
        <v>3967.5</v>
      </c>
      <c r="P93" s="7" t="n">
        <v>3348.1</v>
      </c>
      <c r="R93" s="7" t="n">
        <v>2136.4</v>
      </c>
      <c r="T93" s="7" t="n">
        <v>3970.8</v>
      </c>
      <c r="V93" s="7" t="n">
        <v>3389.3</v>
      </c>
      <c r="X93" s="7" t="n">
        <v>3674</v>
      </c>
      <c r="Z93" s="7" t="n">
        <v>2918.2</v>
      </c>
      <c r="AB93" s="7" t="n">
        <v>37206.1</v>
      </c>
    </row>
    <row r="94">
      <c r="A94" s="4" t="inlineStr">
        <is>
          <t>研发材料</t>
        </is>
      </c>
      <c r="D94" s="7" t="n">
        <v>2868.2</v>
      </c>
      <c r="F94" s="7" t="n">
        <v>1755.2</v>
      </c>
      <c r="H94" s="7" t="n">
        <v>1865.1</v>
      </c>
      <c r="J94" s="7" t="n">
        <v>3253.6</v>
      </c>
      <c r="L94" s="7" t="n">
        <v>4234.7</v>
      </c>
      <c r="N94" s="7" t="n">
        <v>5715.9</v>
      </c>
      <c r="P94" s="7" t="n">
        <v>2866.3</v>
      </c>
      <c r="R94" s="7" t="n">
        <v>1902.5</v>
      </c>
      <c r="T94" s="7" t="n">
        <v>3924.4</v>
      </c>
      <c r="V94" s="7" t="n">
        <v>2428.5</v>
      </c>
      <c r="X94" s="7" t="n">
        <v>3672.6</v>
      </c>
      <c r="Z94" s="7" t="n">
        <v>2435.8</v>
      </c>
      <c r="AB94" s="7" t="n">
        <v>36922.8</v>
      </c>
    </row>
    <row r="95">
      <c r="A95" s="4" t="inlineStr">
        <is>
          <t>项目名称</t>
        </is>
      </c>
      <c r="D95" s="7" t="n">
        <v>3244</v>
      </c>
      <c r="F95" s="7" t="n">
        <v>4032.5</v>
      </c>
      <c r="H95" s="7" t="n">
        <v>3599</v>
      </c>
      <c r="J95" s="7" t="n">
        <v>4688.1</v>
      </c>
      <c r="L95" s="7" t="n">
        <v>6099.9</v>
      </c>
      <c r="N95" s="7" t="n">
        <v>10391.5</v>
      </c>
      <c r="P95" s="7" t="n">
        <v>5778.1</v>
      </c>
      <c r="R95" s="7" t="n">
        <v>3338.5</v>
      </c>
      <c r="T95" s="7" t="n">
        <v>7294.8</v>
      </c>
      <c r="V95" s="7" t="n">
        <v>4497.5</v>
      </c>
      <c r="X95" s="7" t="n">
        <v>7092.3</v>
      </c>
      <c r="Z95" s="7" t="n">
        <v>3769.1</v>
      </c>
      <c r="AB95" s="7" t="n">
        <v>63825.3</v>
      </c>
    </row>
    <row r="96">
      <c r="A96" s="4" t="inlineStr">
        <is>
          <t>研发费</t>
        </is>
      </c>
      <c r="D96" s="7" t="n">
        <v>2646.9</v>
      </c>
      <c r="F96" s="7" t="n">
        <v>2926.1</v>
      </c>
      <c r="H96" s="7" t="n">
        <v>3226.2</v>
      </c>
      <c r="J96" s="7" t="n">
        <v>3680.8</v>
      </c>
      <c r="L96" s="7" t="n">
        <v>5347.3</v>
      </c>
      <c r="N96" s="7" t="n">
        <v>4876.4</v>
      </c>
      <c r="P96" s="7" t="n">
        <v>5407.2</v>
      </c>
      <c r="R96" s="7" t="n">
        <v>2911.4</v>
      </c>
      <c r="T96" s="7" t="n">
        <v>4720.9</v>
      </c>
      <c r="V96" s="7" t="n">
        <v>4574.4</v>
      </c>
      <c r="X96" s="7" t="n">
        <v>5931.3</v>
      </c>
      <c r="Z96" s="7" t="n">
        <v>2857.9</v>
      </c>
      <c r="AB96" s="7" t="n">
        <v>49106.8</v>
      </c>
    </row>
    <row r="97">
      <c r="A97" s="4" t="inlineStr">
        <is>
          <t>残保金</t>
        </is>
      </c>
      <c r="D97" s="7" t="n">
        <v>49.8</v>
      </c>
      <c r="F97" s="7" t="n">
        <v>41.9</v>
      </c>
      <c r="H97" s="7" t="n">
        <v>49.3</v>
      </c>
      <c r="J97" s="7" t="n">
        <v>69.90000000000001</v>
      </c>
      <c r="L97" s="7" t="n">
        <v>84.90000000000001</v>
      </c>
      <c r="N97" s="7" t="n">
        <v>107.3</v>
      </c>
      <c r="P97" s="7" t="n">
        <v>64.7</v>
      </c>
      <c r="R97" s="7" t="n">
        <v>50.6</v>
      </c>
      <c r="T97" s="7" t="n">
        <v>87.40000000000001</v>
      </c>
      <c r="V97" s="7" t="n">
        <v>65.7</v>
      </c>
      <c r="X97" s="7" t="n">
        <v>69.5</v>
      </c>
      <c r="Z97" s="7" t="n">
        <v>35.2</v>
      </c>
      <c r="AB97" s="7" t="n">
        <v>776.2</v>
      </c>
    </row>
    <row r="98">
      <c r="A98" s="4" t="inlineStr">
        <is>
          <t>环保费</t>
        </is>
      </c>
      <c r="D98" s="7" t="n">
        <v>548.3</v>
      </c>
      <c r="F98" s="7" t="n">
        <v>527.1</v>
      </c>
      <c r="H98" s="7" t="n">
        <v>371.6</v>
      </c>
      <c r="J98" s="7" t="n">
        <v>835.1</v>
      </c>
      <c r="L98" s="7" t="n">
        <v>631.9</v>
      </c>
      <c r="N98" s="7" t="n">
        <v>975.4</v>
      </c>
      <c r="P98" s="7" t="n">
        <v>668.2</v>
      </c>
      <c r="R98" s="7" t="n">
        <v>355.2</v>
      </c>
      <c r="T98" s="7" t="n">
        <v>814.5</v>
      </c>
      <c r="V98" s="7" t="n">
        <v>641.4</v>
      </c>
      <c r="X98" s="7" t="n">
        <v>731.3</v>
      </c>
      <c r="Z98" s="7" t="n">
        <v>546.3</v>
      </c>
      <c r="AB98" s="7" t="n">
        <v>7646.3</v>
      </c>
    </row>
    <row r="99">
      <c r="A99" s="4" t="inlineStr">
        <is>
          <t>报废损失</t>
        </is>
      </c>
      <c r="D99" s="7" t="n">
        <v>1550.2</v>
      </c>
      <c r="F99" s="7" t="n">
        <v>1493.4</v>
      </c>
      <c r="H99" s="7" t="n">
        <v>1132.8</v>
      </c>
      <c r="J99" s="7" t="n">
        <v>2436.7</v>
      </c>
      <c r="L99" s="7" t="n">
        <v>2673.6</v>
      </c>
      <c r="N99" s="7" t="n">
        <v>3710.3</v>
      </c>
      <c r="P99" s="7" t="n">
        <v>1672.6</v>
      </c>
      <c r="R99" s="7" t="n">
        <v>1696.6</v>
      </c>
      <c r="T99" s="7" t="n">
        <v>2124.6</v>
      </c>
      <c r="V99" s="7" t="n">
        <v>1597.2</v>
      </c>
      <c r="X99" s="7" t="n">
        <v>1844.2</v>
      </c>
      <c r="Z99" s="7" t="n">
        <v>1543.8</v>
      </c>
      <c r="AB99" s="7" t="n">
        <v>23476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308364.1</v>
      </c>
      <c r="D100" s="7" t="n">
        <v>330460.1</v>
      </c>
      <c r="E100" s="7" t="n">
        <v>363818.9</v>
      </c>
      <c r="F100" s="7" t="n">
        <v>170936.3</v>
      </c>
      <c r="G100" s="7" t="n">
        <v>369541.9</v>
      </c>
      <c r="H100" s="7" t="n">
        <v>279018.7</v>
      </c>
      <c r="I100" s="7" t="n">
        <v>293832.2</v>
      </c>
      <c r="J100" s="7" t="n">
        <v>276990.9</v>
      </c>
      <c r="K100" s="7" t="n">
        <v>297808.4</v>
      </c>
      <c r="L100" s="7" t="n">
        <v>466026.6</v>
      </c>
      <c r="M100" s="7" t="n">
        <v>375959.5</v>
      </c>
      <c r="N100" s="7" t="n">
        <v>418591.2</v>
      </c>
      <c r="O100" s="7" t="n">
        <v>306454</v>
      </c>
      <c r="P100" s="7" t="n">
        <v>285290.4</v>
      </c>
      <c r="Q100" s="7" t="n">
        <v>320560.2</v>
      </c>
      <c r="R100" s="7" t="n">
        <v>465761.2</v>
      </c>
      <c r="S100" s="7" t="n">
        <v>333909.5</v>
      </c>
      <c r="T100" s="7" t="n">
        <v>274055.6</v>
      </c>
      <c r="U100" s="7" t="n">
        <v>314103.8</v>
      </c>
      <c r="V100" s="7" t="n">
        <v>466167.4</v>
      </c>
      <c r="W100" s="7" t="n">
        <v>375011.6</v>
      </c>
      <c r="X100" s="7" t="n">
        <v>326113.2</v>
      </c>
      <c r="Y100" s="7" t="n">
        <v>341028.8</v>
      </c>
      <c r="Z100" s="7" t="n">
        <v>299188.2</v>
      </c>
      <c r="AA100" s="8" t="n">
        <v>4000392.9</v>
      </c>
      <c r="AB100" s="8" t="n">
        <v>4058599.8</v>
      </c>
    </row>
    <row r="101">
      <c r="A101" s="4" t="inlineStr">
        <is>
          <t>职工薪酬</t>
        </is>
      </c>
      <c r="D101" s="7" t="n">
        <v>158996.3</v>
      </c>
      <c r="F101" s="7" t="n">
        <v>81108.89999999999</v>
      </c>
      <c r="H101" s="7" t="n">
        <v>133257.9</v>
      </c>
      <c r="J101" s="7" t="n">
        <v>127196.6</v>
      </c>
      <c r="L101" s="7" t="n">
        <v>242191.1</v>
      </c>
      <c r="N101" s="7" t="n">
        <v>217311.2</v>
      </c>
      <c r="P101" s="7" t="n">
        <v>141107.8</v>
      </c>
      <c r="R101" s="7" t="n">
        <v>185599.5</v>
      </c>
      <c r="T101" s="7" t="n">
        <v>126205.4</v>
      </c>
      <c r="V101" s="7" t="n">
        <v>204970.8</v>
      </c>
      <c r="X101" s="7" t="n">
        <v>164976.8</v>
      </c>
      <c r="Z101" s="7" t="n">
        <v>167473.5</v>
      </c>
      <c r="AB101" s="7" t="n">
        <v>1950395.8</v>
      </c>
    </row>
    <row r="102">
      <c r="A102" s="4" t="inlineStr">
        <is>
          <t>工资</t>
        </is>
      </c>
      <c r="D102" s="7" t="n">
        <v>77364.2</v>
      </c>
      <c r="F102" s="7" t="n">
        <v>39523.1</v>
      </c>
      <c r="H102" s="7" t="n">
        <v>73931.10000000001</v>
      </c>
      <c r="J102" s="7" t="n">
        <v>67294.39999999999</v>
      </c>
      <c r="L102" s="7" t="n">
        <v>156034.4</v>
      </c>
      <c r="N102" s="7" t="n">
        <v>126393</v>
      </c>
      <c r="P102" s="7" t="n">
        <v>81388.5</v>
      </c>
      <c r="R102" s="7" t="n">
        <v>109368.2</v>
      </c>
      <c r="T102" s="7" t="n">
        <v>76480.10000000001</v>
      </c>
      <c r="V102" s="7" t="n">
        <v>113481.8</v>
      </c>
      <c r="X102" s="7" t="n">
        <v>105788</v>
      </c>
      <c r="Z102" s="7" t="n">
        <v>100173.6</v>
      </c>
      <c r="AB102" s="7" t="n">
        <v>1127220.4</v>
      </c>
    </row>
    <row r="103">
      <c r="A103" s="4" t="inlineStr">
        <is>
          <t>奖金及提成</t>
        </is>
      </c>
      <c r="D103" s="7" t="n">
        <v>35926.2</v>
      </c>
      <c r="F103" s="7" t="n">
        <v>22220.7</v>
      </c>
      <c r="H103" s="7" t="n">
        <v>28821.2</v>
      </c>
      <c r="J103" s="7" t="n">
        <v>27526.9</v>
      </c>
      <c r="L103" s="7" t="n">
        <v>36544.8</v>
      </c>
      <c r="N103" s="7" t="n">
        <v>37202.2</v>
      </c>
      <c r="P103" s="7" t="n">
        <v>27690.3</v>
      </c>
      <c r="R103" s="7" t="n">
        <v>34101.5</v>
      </c>
      <c r="T103" s="7" t="n">
        <v>25087.7</v>
      </c>
      <c r="V103" s="7" t="n">
        <v>32899.8</v>
      </c>
      <c r="X103" s="7" t="n">
        <v>25499.5</v>
      </c>
      <c r="Z103" s="7" t="n">
        <v>35577.4</v>
      </c>
      <c r="AB103" s="7" t="n">
        <v>369098.2</v>
      </c>
    </row>
    <row r="104">
      <c r="A104" s="4" t="inlineStr">
        <is>
          <t>社保</t>
        </is>
      </c>
      <c r="D104" s="7" t="n">
        <v>33794.1</v>
      </c>
      <c r="F104" s="7" t="n">
        <v>13719.5</v>
      </c>
      <c r="H104" s="7" t="n">
        <v>22254.1</v>
      </c>
      <c r="J104" s="7" t="n">
        <v>24614.9</v>
      </c>
      <c r="L104" s="7" t="n">
        <v>35394.8</v>
      </c>
      <c r="N104" s="7" t="n">
        <v>40316.5</v>
      </c>
      <c r="P104" s="7" t="n">
        <v>22668.5</v>
      </c>
      <c r="R104" s="7" t="n">
        <v>27930.9</v>
      </c>
      <c r="T104" s="7" t="n">
        <v>15753.1</v>
      </c>
      <c r="V104" s="7" t="n">
        <v>43134.8</v>
      </c>
      <c r="X104" s="7" t="n">
        <v>22834.5</v>
      </c>
      <c r="Z104" s="7" t="n">
        <v>20701.7</v>
      </c>
      <c r="AB104" s="7" t="n">
        <v>323117.4</v>
      </c>
    </row>
    <row r="105">
      <c r="A105" s="4" t="inlineStr">
        <is>
          <t>养老</t>
        </is>
      </c>
      <c r="D105" s="7" t="n">
        <v>933.1</v>
      </c>
      <c r="F105" s="7" t="n">
        <v>587.2</v>
      </c>
      <c r="H105" s="7" t="n">
        <v>1126.8</v>
      </c>
      <c r="J105" s="7" t="n">
        <v>1132.3</v>
      </c>
      <c r="L105" s="7" t="n">
        <v>1691.9</v>
      </c>
      <c r="N105" s="7" t="n">
        <v>1133.2</v>
      </c>
      <c r="P105" s="7" t="n">
        <v>772.9</v>
      </c>
      <c r="R105" s="7" t="n">
        <v>1913</v>
      </c>
      <c r="T105" s="7" t="n">
        <v>1153.5</v>
      </c>
      <c r="V105" s="7" t="n">
        <v>1512.1</v>
      </c>
      <c r="X105" s="7" t="n">
        <v>1372.2</v>
      </c>
      <c r="Z105" s="7" t="n">
        <v>764.6</v>
      </c>
      <c r="AB105" s="7" t="n">
        <v>14092.8</v>
      </c>
    </row>
    <row r="106">
      <c r="A106" s="4" t="inlineStr">
        <is>
          <t>医疗</t>
        </is>
      </c>
      <c r="D106" s="7" t="n">
        <v>1601.3</v>
      </c>
      <c r="F106" s="7" t="n">
        <v>1042.7</v>
      </c>
      <c r="H106" s="7" t="n">
        <v>1001.7</v>
      </c>
      <c r="J106" s="7" t="n">
        <v>1564.5</v>
      </c>
      <c r="L106" s="7" t="n">
        <v>2528.5</v>
      </c>
      <c r="N106" s="7" t="n">
        <v>1734</v>
      </c>
      <c r="P106" s="7" t="n">
        <v>1748</v>
      </c>
      <c r="R106" s="7" t="n">
        <v>2129.7</v>
      </c>
      <c r="T106" s="7" t="n">
        <v>1174.7</v>
      </c>
      <c r="V106" s="7" t="n">
        <v>2615.5</v>
      </c>
      <c r="X106" s="7" t="n">
        <v>1481.3</v>
      </c>
      <c r="Z106" s="7" t="n">
        <v>1828.6</v>
      </c>
      <c r="AB106" s="7" t="n">
        <v>20450.5</v>
      </c>
    </row>
    <row r="107">
      <c r="A107" s="4" t="inlineStr">
        <is>
          <t>工伤</t>
        </is>
      </c>
      <c r="D107" s="7" t="n">
        <v>1415.5</v>
      </c>
      <c r="F107" s="7" t="n">
        <v>1031.5</v>
      </c>
      <c r="H107" s="7" t="n">
        <v>1494</v>
      </c>
      <c r="J107" s="7" t="n">
        <v>1282.5</v>
      </c>
      <c r="L107" s="7" t="n">
        <v>2670</v>
      </c>
      <c r="N107" s="7" t="n">
        <v>2298.6</v>
      </c>
      <c r="P107" s="7" t="n">
        <v>1160.2</v>
      </c>
      <c r="R107" s="7" t="n">
        <v>1856.1</v>
      </c>
      <c r="T107" s="7" t="n">
        <v>1148.5</v>
      </c>
      <c r="V107" s="7" t="n">
        <v>1954.1</v>
      </c>
      <c r="X107" s="7" t="n">
        <v>1220.1</v>
      </c>
      <c r="Z107" s="7" t="n">
        <v>1385.5</v>
      </c>
      <c r="AB107" s="7" t="n">
        <v>18916.6</v>
      </c>
    </row>
    <row r="108">
      <c r="A108" s="4" t="inlineStr">
        <is>
          <t>失业</t>
        </is>
      </c>
      <c r="D108" s="7" t="n">
        <v>623.3</v>
      </c>
      <c r="F108" s="7" t="n">
        <v>281.7</v>
      </c>
      <c r="H108" s="7" t="n">
        <v>577.2</v>
      </c>
      <c r="J108" s="7" t="n">
        <v>446</v>
      </c>
      <c r="L108" s="7" t="n">
        <v>739.1</v>
      </c>
      <c r="N108" s="7" t="n">
        <v>937.3</v>
      </c>
      <c r="P108" s="7" t="n">
        <v>679</v>
      </c>
      <c r="R108" s="7" t="n">
        <v>950.8</v>
      </c>
      <c r="T108" s="7" t="n">
        <v>382.5</v>
      </c>
      <c r="V108" s="7" t="n">
        <v>1097.8</v>
      </c>
      <c r="X108" s="7" t="n">
        <v>704.1</v>
      </c>
      <c r="Z108" s="7" t="n">
        <v>690</v>
      </c>
      <c r="AB108" s="7" t="n">
        <v>8108.8</v>
      </c>
    </row>
    <row r="109">
      <c r="A109" s="4" t="inlineStr">
        <is>
          <t>生育</t>
        </is>
      </c>
      <c r="D109" s="7" t="n">
        <v>2624.3</v>
      </c>
      <c r="F109" s="7" t="n">
        <v>863.4</v>
      </c>
      <c r="H109" s="7" t="n">
        <v>2214.7</v>
      </c>
      <c r="J109" s="7" t="n">
        <v>1531.9</v>
      </c>
      <c r="L109" s="7" t="n">
        <v>3417.6</v>
      </c>
      <c r="N109" s="7" t="n">
        <v>3261.2</v>
      </c>
      <c r="P109" s="7" t="n">
        <v>2148</v>
      </c>
      <c r="R109" s="7" t="n">
        <v>3351.7</v>
      </c>
      <c r="T109" s="7" t="n">
        <v>1772.3</v>
      </c>
      <c r="V109" s="7" t="n">
        <v>3174.8</v>
      </c>
      <c r="X109" s="7" t="n">
        <v>1827.9</v>
      </c>
      <c r="Z109" s="7" t="n">
        <v>1846.9</v>
      </c>
      <c r="AB109" s="7" t="n">
        <v>28034.7</v>
      </c>
    </row>
    <row r="110">
      <c r="A110" s="4" t="inlineStr">
        <is>
          <t>公积金</t>
        </is>
      </c>
      <c r="D110" s="7" t="n">
        <v>1058</v>
      </c>
      <c r="F110" s="7" t="n">
        <v>622.2</v>
      </c>
      <c r="H110" s="7" t="n">
        <v>625.1</v>
      </c>
      <c r="J110" s="7" t="n">
        <v>828.7</v>
      </c>
      <c r="L110" s="7" t="n">
        <v>1197.5</v>
      </c>
      <c r="N110" s="7" t="n">
        <v>1565.5</v>
      </c>
      <c r="P110" s="7" t="n">
        <v>779.1</v>
      </c>
      <c r="R110" s="7" t="n">
        <v>1753.4</v>
      </c>
      <c r="T110" s="7" t="n">
        <v>728.1</v>
      </c>
      <c r="V110" s="7" t="n">
        <v>969.2</v>
      </c>
      <c r="X110" s="7" t="n">
        <v>1125.5</v>
      </c>
      <c r="Z110" s="7" t="n">
        <v>1010.6</v>
      </c>
      <c r="AB110" s="7" t="n">
        <v>12262.9</v>
      </c>
    </row>
    <row r="111">
      <c r="A111" s="4" t="inlineStr">
        <is>
          <t>工会经费</t>
        </is>
      </c>
      <c r="D111" s="7" t="n">
        <v>1544.4</v>
      </c>
      <c r="F111" s="7" t="n">
        <v>900</v>
      </c>
      <c r="H111" s="7" t="n">
        <v>1223.6</v>
      </c>
      <c r="J111" s="7" t="n">
        <v>979.8</v>
      </c>
      <c r="L111" s="7" t="n">
        <v>2279.8</v>
      </c>
      <c r="N111" s="7" t="n">
        <v>1666.6</v>
      </c>
      <c r="P111" s="7" t="n">
        <v>1309.7</v>
      </c>
      <c r="R111" s="7" t="n">
        <v>1846.4</v>
      </c>
      <c r="T111" s="7" t="n">
        <v>1131.1</v>
      </c>
      <c r="V111" s="7" t="n">
        <v>2674.5</v>
      </c>
      <c r="X111" s="7" t="n">
        <v>1410.9</v>
      </c>
      <c r="Z111" s="7" t="n">
        <v>1501.1</v>
      </c>
      <c r="AB111" s="7" t="n">
        <v>18467.9</v>
      </c>
    </row>
    <row r="112">
      <c r="A112" s="4" t="inlineStr">
        <is>
          <t>职工教育经费</t>
        </is>
      </c>
      <c r="D112" s="7" t="n">
        <v>1216</v>
      </c>
      <c r="F112" s="7" t="n">
        <v>575.1</v>
      </c>
      <c r="H112" s="7" t="n">
        <v>1149.3</v>
      </c>
      <c r="J112" s="7" t="n">
        <v>749.7</v>
      </c>
      <c r="L112" s="7" t="n">
        <v>1314.4</v>
      </c>
      <c r="N112" s="7" t="n">
        <v>1818.7</v>
      </c>
      <c r="P112" s="7" t="n">
        <v>1033.4</v>
      </c>
      <c r="R112" s="7" t="n">
        <v>1339.3</v>
      </c>
      <c r="T112" s="7" t="n">
        <v>1235.7</v>
      </c>
      <c r="V112" s="7" t="n">
        <v>1669.6</v>
      </c>
      <c r="X112" s="7" t="n">
        <v>848</v>
      </c>
      <c r="Z112" s="7" t="n">
        <v>1416</v>
      </c>
      <c r="AB112" s="7" t="n">
        <v>14365.2</v>
      </c>
    </row>
    <row r="113">
      <c r="A113" s="4" t="inlineStr">
        <is>
          <t>福利费</t>
        </is>
      </c>
      <c r="D113" s="7" t="n">
        <v>8093.4</v>
      </c>
      <c r="F113" s="7" t="n">
        <v>3548.3</v>
      </c>
      <c r="H113" s="7" t="n">
        <v>5253.5</v>
      </c>
      <c r="J113" s="7" t="n">
        <v>5202.2</v>
      </c>
      <c r="L113" s="7" t="n">
        <v>9425.4</v>
      </c>
      <c r="N113" s="7" t="n">
        <v>8348.700000000001</v>
      </c>
      <c r="P113" s="7" t="n">
        <v>6238.3</v>
      </c>
      <c r="R113" s="7" t="n">
        <v>9259.799999999999</v>
      </c>
      <c r="T113" s="7" t="n">
        <v>5789.6</v>
      </c>
      <c r="V113" s="7" t="n">
        <v>10141.1</v>
      </c>
      <c r="X113" s="7" t="n">
        <v>7470.4</v>
      </c>
      <c r="Z113" s="7" t="n">
        <v>7093.1</v>
      </c>
      <c r="AB113" s="7" t="n">
        <v>85863.8</v>
      </c>
    </row>
    <row r="114">
      <c r="A114" s="4" t="inlineStr">
        <is>
          <t>职工房租</t>
        </is>
      </c>
      <c r="D114" s="7" t="n">
        <v>758.6</v>
      </c>
      <c r="F114" s="7" t="n">
        <v>497.4</v>
      </c>
      <c r="H114" s="7" t="n">
        <v>609.5</v>
      </c>
      <c r="J114" s="7" t="n">
        <v>787</v>
      </c>
      <c r="L114" s="7" t="n">
        <v>1359.2</v>
      </c>
      <c r="N114" s="7" t="n">
        <v>762.2</v>
      </c>
      <c r="P114" s="7" t="n">
        <v>731.1</v>
      </c>
      <c r="R114" s="7" t="n">
        <v>943.7</v>
      </c>
      <c r="T114" s="7" t="n">
        <v>595.2</v>
      </c>
      <c r="V114" s="7" t="n">
        <v>1342.4</v>
      </c>
      <c r="X114" s="7" t="n">
        <v>598</v>
      </c>
      <c r="Z114" s="7" t="n">
        <v>868.8</v>
      </c>
      <c r="AB114" s="7" t="n">
        <v>9853.1</v>
      </c>
    </row>
    <row r="115">
      <c r="A115" s="4" t="inlineStr">
        <is>
          <t>水电物业费</t>
        </is>
      </c>
      <c r="D115" s="7" t="n">
        <v>2289.2</v>
      </c>
      <c r="F115" s="7" t="n">
        <v>873.2</v>
      </c>
      <c r="H115" s="7" t="n">
        <v>1165.1</v>
      </c>
      <c r="J115" s="7" t="n">
        <v>1102</v>
      </c>
      <c r="L115" s="7" t="n">
        <v>2321.8</v>
      </c>
      <c r="N115" s="7" t="n">
        <v>2553.4</v>
      </c>
      <c r="P115" s="7" t="n">
        <v>1164</v>
      </c>
      <c r="R115" s="7" t="n">
        <v>2216.1</v>
      </c>
      <c r="T115" s="7" t="n">
        <v>1804.1</v>
      </c>
      <c r="V115" s="7" t="n">
        <v>1953.9</v>
      </c>
      <c r="X115" s="7" t="n">
        <v>2034</v>
      </c>
      <c r="Z115" s="7" t="n">
        <v>1846.6</v>
      </c>
      <c r="AB115" s="7" t="n">
        <v>21323.4</v>
      </c>
    </row>
    <row r="116">
      <c r="A116" s="4" t="inlineStr">
        <is>
          <t>员工餐</t>
        </is>
      </c>
      <c r="D116" s="7" t="n">
        <v>373.9</v>
      </c>
      <c r="F116" s="7" t="n">
        <v>117.3</v>
      </c>
      <c r="H116" s="7" t="n">
        <v>248.1</v>
      </c>
      <c r="J116" s="7" t="n">
        <v>170.5</v>
      </c>
      <c r="L116" s="7" t="n">
        <v>443.5</v>
      </c>
      <c r="N116" s="7" t="n">
        <v>352.3</v>
      </c>
      <c r="P116" s="7" t="n">
        <v>282.3</v>
      </c>
      <c r="R116" s="7" t="n">
        <v>437.9</v>
      </c>
      <c r="T116" s="7" t="n">
        <v>189.2</v>
      </c>
      <c r="V116" s="7" t="n">
        <v>385.4</v>
      </c>
      <c r="X116" s="7" t="n">
        <v>316.6</v>
      </c>
      <c r="Z116" s="7" t="n">
        <v>317.6</v>
      </c>
      <c r="AB116" s="7" t="n">
        <v>3634.6</v>
      </c>
    </row>
    <row r="117">
      <c r="A117" s="4" t="inlineStr">
        <is>
          <t>节日礼品</t>
        </is>
      </c>
      <c r="D117" s="7" t="n">
        <v>142.8</v>
      </c>
      <c r="F117" s="7" t="n">
        <v>111.9</v>
      </c>
      <c r="H117" s="7" t="n">
        <v>167.1</v>
      </c>
      <c r="J117" s="7" t="n">
        <v>146.5</v>
      </c>
      <c r="L117" s="7" t="n">
        <v>338.5</v>
      </c>
      <c r="N117" s="7" t="n">
        <v>211.5</v>
      </c>
      <c r="P117" s="7" t="n">
        <v>127.1</v>
      </c>
      <c r="R117" s="7" t="n">
        <v>229.3</v>
      </c>
      <c r="T117" s="7" t="n">
        <v>116.9</v>
      </c>
      <c r="V117" s="7" t="n">
        <v>273.5</v>
      </c>
      <c r="X117" s="7" t="n">
        <v>196.5</v>
      </c>
      <c r="Z117" s="7" t="n">
        <v>181.1</v>
      </c>
      <c r="AB117" s="7" t="n">
        <v>2242.7</v>
      </c>
    </row>
    <row r="118">
      <c r="A118" s="4" t="inlineStr">
        <is>
          <t>生日礼品</t>
        </is>
      </c>
      <c r="D118" s="7" t="n">
        <v>1880.9</v>
      </c>
      <c r="F118" s="7" t="n">
        <v>1055.4</v>
      </c>
      <c r="H118" s="7" t="n">
        <v>1560.7</v>
      </c>
      <c r="J118" s="7" t="n">
        <v>1246.5</v>
      </c>
      <c r="L118" s="7" t="n">
        <v>2405.8</v>
      </c>
      <c r="N118" s="7" t="n">
        <v>2150.4</v>
      </c>
      <c r="P118" s="7" t="n">
        <v>1674</v>
      </c>
      <c r="R118" s="7" t="n">
        <v>2087.3</v>
      </c>
      <c r="T118" s="7" t="n">
        <v>1025.7</v>
      </c>
      <c r="V118" s="7" t="n">
        <v>2949.7</v>
      </c>
      <c r="X118" s="7" t="n">
        <v>2120.2</v>
      </c>
      <c r="Z118" s="7" t="n">
        <v>1523.6</v>
      </c>
      <c r="AB118" s="7" t="n">
        <v>21680.2</v>
      </c>
    </row>
    <row r="119">
      <c r="A119" s="4" t="inlineStr">
        <is>
          <t>体检</t>
        </is>
      </c>
      <c r="D119" s="7" t="n">
        <v>244.2</v>
      </c>
      <c r="F119" s="7" t="n">
        <v>133.5</v>
      </c>
      <c r="H119" s="7" t="n">
        <v>209.8</v>
      </c>
      <c r="J119" s="7" t="n">
        <v>263.5</v>
      </c>
      <c r="L119" s="7" t="n">
        <v>445.2</v>
      </c>
      <c r="N119" s="7" t="n">
        <v>390</v>
      </c>
      <c r="P119" s="7" t="n">
        <v>164.3</v>
      </c>
      <c r="R119" s="7" t="n">
        <v>418.9</v>
      </c>
      <c r="T119" s="7" t="n">
        <v>210.9</v>
      </c>
      <c r="V119" s="7" t="n">
        <v>316.8</v>
      </c>
      <c r="X119" s="7" t="n">
        <v>267.6</v>
      </c>
      <c r="Z119" s="7" t="n">
        <v>256.1</v>
      </c>
      <c r="AB119" s="7" t="n">
        <v>3320.8</v>
      </c>
    </row>
    <row r="120">
      <c r="A120" s="4" t="inlineStr">
        <is>
          <t>其他福利支出</t>
        </is>
      </c>
      <c r="D120" s="7" t="n">
        <v>2403.8</v>
      </c>
      <c r="F120" s="7" t="n">
        <v>759.6</v>
      </c>
      <c r="H120" s="7" t="n">
        <v>1293.2</v>
      </c>
      <c r="J120" s="7" t="n">
        <v>1486.2</v>
      </c>
      <c r="L120" s="7" t="n">
        <v>2111.4</v>
      </c>
      <c r="N120" s="7" t="n">
        <v>1928.9</v>
      </c>
      <c r="P120" s="7" t="n">
        <v>2095.5</v>
      </c>
      <c r="R120" s="7" t="n">
        <v>2926.6</v>
      </c>
      <c r="T120" s="7" t="n">
        <v>1847.6</v>
      </c>
      <c r="V120" s="7" t="n">
        <v>2919.4</v>
      </c>
      <c r="X120" s="7" t="n">
        <v>1937.5</v>
      </c>
      <c r="Z120" s="7" t="n">
        <v>2099.3</v>
      </c>
      <c r="AB120" s="7" t="n">
        <v>23809</v>
      </c>
    </row>
    <row r="121">
      <c r="A121" s="4" t="inlineStr">
        <is>
          <t>招聘费</t>
        </is>
      </c>
      <c r="D121" s="7" t="n">
        <v>182.5</v>
      </c>
      <c r="F121" s="7" t="n">
        <v>98.8</v>
      </c>
      <c r="H121" s="7" t="n">
        <v>130.7</v>
      </c>
      <c r="J121" s="7" t="n">
        <v>132.6</v>
      </c>
      <c r="L121" s="7" t="n">
        <v>253.6</v>
      </c>
      <c r="N121" s="7" t="n">
        <v>186</v>
      </c>
      <c r="P121" s="7" t="n">
        <v>182.7</v>
      </c>
      <c r="R121" s="7" t="n">
        <v>257.2</v>
      </c>
      <c r="T121" s="7" t="n">
        <v>138.4</v>
      </c>
      <c r="V121" s="7" t="n">
        <v>272.3</v>
      </c>
      <c r="X121" s="7" t="n">
        <v>211.6</v>
      </c>
      <c r="Z121" s="7" t="n">
        <v>179.3</v>
      </c>
      <c r="AB121" s="7" t="n">
        <v>2225.7</v>
      </c>
    </row>
    <row r="122">
      <c r="A122" s="4" t="inlineStr">
        <is>
          <t>办公费</t>
        </is>
      </c>
      <c r="D122" s="7" t="n">
        <v>7332.9</v>
      </c>
      <c r="F122" s="7" t="n">
        <v>5739.4</v>
      </c>
      <c r="H122" s="7" t="n">
        <v>9525.5</v>
      </c>
      <c r="J122" s="7" t="n">
        <v>10037.2</v>
      </c>
      <c r="L122" s="7" t="n">
        <v>10272.3</v>
      </c>
      <c r="N122" s="7" t="n">
        <v>9440</v>
      </c>
      <c r="P122" s="7" t="n">
        <v>8222.299999999999</v>
      </c>
      <c r="R122" s="7" t="n">
        <v>13581.9</v>
      </c>
      <c r="T122" s="7" t="n">
        <v>8758.5</v>
      </c>
      <c r="V122" s="7" t="n">
        <v>12384.8</v>
      </c>
      <c r="X122" s="7" t="n">
        <v>11202.1</v>
      </c>
      <c r="Z122" s="7" t="n">
        <v>10271.7</v>
      </c>
      <c r="AB122" s="7" t="n">
        <v>116768.6</v>
      </c>
    </row>
    <row r="123">
      <c r="A123" s="4" t="inlineStr">
        <is>
          <t>市内交通费</t>
        </is>
      </c>
      <c r="D123" s="7" t="n">
        <v>291.1</v>
      </c>
      <c r="F123" s="7" t="n">
        <v>150.1</v>
      </c>
      <c r="H123" s="7" t="n">
        <v>174.5</v>
      </c>
      <c r="J123" s="7" t="n">
        <v>275.9</v>
      </c>
      <c r="L123" s="7" t="n">
        <v>370</v>
      </c>
      <c r="N123" s="7" t="n">
        <v>383.5</v>
      </c>
      <c r="P123" s="7" t="n">
        <v>253</v>
      </c>
      <c r="R123" s="7" t="n">
        <v>291.9</v>
      </c>
      <c r="T123" s="7" t="n">
        <v>166.6</v>
      </c>
      <c r="V123" s="7" t="n">
        <v>426.7</v>
      </c>
      <c r="X123" s="7" t="n">
        <v>220</v>
      </c>
      <c r="Z123" s="7" t="n">
        <v>288.7</v>
      </c>
      <c r="AB123" s="7" t="n">
        <v>3292</v>
      </c>
    </row>
    <row r="124">
      <c r="A124" s="4" t="inlineStr">
        <is>
          <t>差旅费</t>
        </is>
      </c>
      <c r="D124" s="7" t="n">
        <v>23056.7</v>
      </c>
      <c r="F124" s="7" t="n">
        <v>7360</v>
      </c>
      <c r="H124" s="7" t="n">
        <v>19825.9</v>
      </c>
      <c r="J124" s="7" t="n">
        <v>14345.7</v>
      </c>
      <c r="L124" s="7" t="n">
        <v>20644.7</v>
      </c>
      <c r="N124" s="7" t="n">
        <v>28315</v>
      </c>
      <c r="P124" s="7" t="n">
        <v>17904.7</v>
      </c>
      <c r="R124" s="7" t="n">
        <v>20854.2</v>
      </c>
      <c r="T124" s="7" t="n">
        <v>16001.3</v>
      </c>
      <c r="V124" s="7" t="n">
        <v>25622.6</v>
      </c>
      <c r="X124" s="7" t="n">
        <v>19562.2</v>
      </c>
      <c r="Z124" s="7" t="n">
        <v>18671.7</v>
      </c>
      <c r="AB124" s="7" t="n">
        <v>232164.7</v>
      </c>
    </row>
    <row r="125">
      <c r="A125" s="4" t="inlineStr">
        <is>
          <t>交通费</t>
        </is>
      </c>
      <c r="D125" s="7" t="n">
        <v>679.7</v>
      </c>
      <c r="F125" s="7" t="n">
        <v>313.9</v>
      </c>
      <c r="H125" s="7" t="n">
        <v>702.6</v>
      </c>
      <c r="J125" s="7" t="n">
        <v>757.1</v>
      </c>
      <c r="L125" s="7" t="n">
        <v>940.5</v>
      </c>
      <c r="N125" s="7" t="n">
        <v>1014.6</v>
      </c>
      <c r="P125" s="7" t="n">
        <v>499.7</v>
      </c>
      <c r="R125" s="7" t="n">
        <v>1367.5</v>
      </c>
      <c r="T125" s="7" t="n">
        <v>559.5</v>
      </c>
      <c r="V125" s="7" t="n">
        <v>1104.9</v>
      </c>
      <c r="X125" s="7" t="n">
        <v>731.1</v>
      </c>
      <c r="Z125" s="7" t="n">
        <v>569.9</v>
      </c>
      <c r="AB125" s="7" t="n">
        <v>9241</v>
      </c>
    </row>
    <row r="126">
      <c r="A126" s="4" t="inlineStr">
        <is>
          <t>住宿费</t>
        </is>
      </c>
      <c r="D126" s="7" t="n">
        <v>2450.6</v>
      </c>
      <c r="F126" s="7" t="n">
        <v>1076.8</v>
      </c>
      <c r="H126" s="7" t="n">
        <v>2126.8</v>
      </c>
      <c r="J126" s="7" t="n">
        <v>1935.5</v>
      </c>
      <c r="L126" s="7" t="n">
        <v>2707.9</v>
      </c>
      <c r="N126" s="7" t="n">
        <v>2282.6</v>
      </c>
      <c r="P126" s="7" t="n">
        <v>1654.4</v>
      </c>
      <c r="R126" s="7" t="n">
        <v>3219.8</v>
      </c>
      <c r="T126" s="7" t="n">
        <v>1443.7</v>
      </c>
      <c r="V126" s="7" t="n">
        <v>2125.5</v>
      </c>
      <c r="X126" s="7" t="n">
        <v>1839.3</v>
      </c>
      <c r="Z126" s="7" t="n">
        <v>1829.1</v>
      </c>
      <c r="AB126" s="7" t="n">
        <v>24692</v>
      </c>
    </row>
    <row r="127">
      <c r="A127" s="4" t="inlineStr">
        <is>
          <t>餐补</t>
        </is>
      </c>
      <c r="D127" s="7" t="n">
        <v>1578.4</v>
      </c>
      <c r="F127" s="7" t="n">
        <v>1195.6</v>
      </c>
      <c r="H127" s="7" t="n">
        <v>2126.9</v>
      </c>
      <c r="J127" s="7" t="n">
        <v>2084.6</v>
      </c>
      <c r="L127" s="7" t="n">
        <v>2043.4</v>
      </c>
      <c r="N127" s="7" t="n">
        <v>2423.9</v>
      </c>
      <c r="P127" s="7" t="n">
        <v>1466.9</v>
      </c>
      <c r="R127" s="7" t="n">
        <v>3324.6</v>
      </c>
      <c r="T127" s="7" t="n">
        <v>1452.9</v>
      </c>
      <c r="V127" s="7" t="n">
        <v>2844.9</v>
      </c>
      <c r="X127" s="7" t="n">
        <v>1359.3</v>
      </c>
      <c r="Z127" s="7" t="n">
        <v>1451.7</v>
      </c>
      <c r="AB127" s="7" t="n">
        <v>23353.1</v>
      </c>
    </row>
    <row r="128">
      <c r="A128" s="4" t="inlineStr">
        <is>
          <t>交通补助</t>
        </is>
      </c>
      <c r="D128" s="7" t="n">
        <v>1078</v>
      </c>
      <c r="F128" s="7" t="n">
        <v>678.5</v>
      </c>
      <c r="H128" s="7" t="n">
        <v>1009.2</v>
      </c>
      <c r="J128" s="7" t="n">
        <v>1080.4</v>
      </c>
      <c r="L128" s="7" t="n">
        <v>1716.1</v>
      </c>
      <c r="N128" s="7" t="n">
        <v>1800.7</v>
      </c>
      <c r="P128" s="7" t="n">
        <v>862</v>
      </c>
      <c r="R128" s="7" t="n">
        <v>2135.7</v>
      </c>
      <c r="T128" s="7" t="n">
        <v>1171.6</v>
      </c>
      <c r="V128" s="7" t="n">
        <v>1459.9</v>
      </c>
      <c r="X128" s="7" t="n">
        <v>848.6</v>
      </c>
      <c r="Z128" s="7" t="n">
        <v>1046.4</v>
      </c>
      <c r="AB128" s="7" t="n">
        <v>14887.1</v>
      </c>
    </row>
    <row r="129">
      <c r="A129" s="4" t="inlineStr">
        <is>
          <t>通讯补助</t>
        </is>
      </c>
      <c r="D129" s="7" t="n">
        <v>458.4</v>
      </c>
      <c r="F129" s="7" t="n">
        <v>314.4</v>
      </c>
      <c r="H129" s="7" t="n">
        <v>522.8</v>
      </c>
      <c r="J129" s="7" t="n">
        <v>537.7</v>
      </c>
      <c r="L129" s="7" t="n">
        <v>499</v>
      </c>
      <c r="N129" s="7" t="n">
        <v>699.9</v>
      </c>
      <c r="P129" s="7" t="n">
        <v>527.2</v>
      </c>
      <c r="R129" s="7" t="n">
        <v>808.6</v>
      </c>
      <c r="T129" s="7" t="n">
        <v>319.2</v>
      </c>
      <c r="V129" s="7" t="n">
        <v>725</v>
      </c>
      <c r="X129" s="7" t="n">
        <v>420</v>
      </c>
      <c r="Z129" s="7" t="n">
        <v>454.9</v>
      </c>
      <c r="AB129" s="7" t="n">
        <v>6287.1</v>
      </c>
    </row>
    <row r="130">
      <c r="A130" s="4" t="inlineStr">
        <is>
          <t>招待费</t>
        </is>
      </c>
      <c r="D130" s="7" t="n">
        <v>9727.9</v>
      </c>
      <c r="F130" s="7" t="n">
        <v>8876.200000000001</v>
      </c>
      <c r="H130" s="7" t="n">
        <v>12578.1</v>
      </c>
      <c r="J130" s="7" t="n">
        <v>8374.200000000001</v>
      </c>
      <c r="L130" s="7" t="n">
        <v>23352.9</v>
      </c>
      <c r="N130" s="7" t="n">
        <v>20734.9</v>
      </c>
      <c r="P130" s="7" t="n">
        <v>11546.9</v>
      </c>
      <c r="R130" s="7" t="n">
        <v>20875.6</v>
      </c>
      <c r="T130" s="7" t="n">
        <v>10123.6</v>
      </c>
      <c r="V130" s="7" t="n">
        <v>23956</v>
      </c>
      <c r="X130" s="7" t="n">
        <v>9795.700000000001</v>
      </c>
      <c r="Z130" s="7" t="n">
        <v>9063.6</v>
      </c>
      <c r="AB130" s="7" t="n">
        <v>169005.6</v>
      </c>
    </row>
    <row r="131">
      <c r="A131" s="4" t="inlineStr">
        <is>
          <t>通讯费</t>
        </is>
      </c>
      <c r="D131" s="7" t="n">
        <v>344.9</v>
      </c>
      <c r="F131" s="7" t="n">
        <v>111.5</v>
      </c>
      <c r="H131" s="7" t="n">
        <v>254.2</v>
      </c>
      <c r="J131" s="7" t="n">
        <v>233</v>
      </c>
      <c r="L131" s="7" t="n">
        <v>521.6</v>
      </c>
      <c r="N131" s="7" t="n">
        <v>308.6</v>
      </c>
      <c r="P131" s="7" t="n">
        <v>214</v>
      </c>
      <c r="R131" s="7" t="n">
        <v>362.5</v>
      </c>
      <c r="T131" s="7" t="n">
        <v>283.2</v>
      </c>
      <c r="V131" s="7" t="n">
        <v>457.3</v>
      </c>
      <c r="X131" s="7" t="n">
        <v>325.8</v>
      </c>
      <c r="Z131" s="7" t="n">
        <v>233.3</v>
      </c>
      <c r="AB131" s="7" t="n">
        <v>3649.9</v>
      </c>
    </row>
    <row r="132">
      <c r="A132" s="4" t="inlineStr">
        <is>
          <t>网络费</t>
        </is>
      </c>
      <c r="D132" s="7" t="n">
        <v>438.9</v>
      </c>
      <c r="F132" s="7" t="n">
        <v>250.5</v>
      </c>
      <c r="H132" s="7" t="n">
        <v>581.2</v>
      </c>
      <c r="J132" s="7" t="n">
        <v>519.1</v>
      </c>
      <c r="L132" s="7" t="n">
        <v>659.2</v>
      </c>
      <c r="N132" s="7" t="n">
        <v>596.2</v>
      </c>
      <c r="P132" s="7" t="n">
        <v>498.4</v>
      </c>
      <c r="R132" s="7" t="n">
        <v>784</v>
      </c>
      <c r="T132" s="7" t="n">
        <v>499.3</v>
      </c>
      <c r="V132" s="7" t="n">
        <v>1063.1</v>
      </c>
      <c r="X132" s="7" t="n">
        <v>479.5</v>
      </c>
      <c r="Z132" s="7" t="n">
        <v>472.2</v>
      </c>
      <c r="AB132" s="7" t="n">
        <v>6841.6</v>
      </c>
    </row>
    <row r="133">
      <c r="A133" s="4" t="inlineStr">
        <is>
          <t>修理费</t>
        </is>
      </c>
      <c r="D133" s="7" t="n">
        <v>443.3</v>
      </c>
      <c r="F133" s="7" t="n">
        <v>236</v>
      </c>
      <c r="H133" s="7" t="n">
        <v>539</v>
      </c>
      <c r="J133" s="7" t="n">
        <v>575.6</v>
      </c>
      <c r="L133" s="7" t="n">
        <v>905.5</v>
      </c>
      <c r="N133" s="7" t="n">
        <v>526.8</v>
      </c>
      <c r="P133" s="7" t="n">
        <v>595.7</v>
      </c>
      <c r="R133" s="7" t="n">
        <v>725.8</v>
      </c>
      <c r="T133" s="7" t="n">
        <v>359.4</v>
      </c>
      <c r="V133" s="7" t="n">
        <v>687.7</v>
      </c>
      <c r="X133" s="7" t="n">
        <v>517.7</v>
      </c>
      <c r="Z133" s="7" t="n">
        <v>524.1</v>
      </c>
      <c r="AB133" s="7" t="n">
        <v>6636.6</v>
      </c>
    </row>
    <row r="134">
      <c r="A134" s="4" t="inlineStr">
        <is>
          <t>车辆费</t>
        </is>
      </c>
      <c r="D134" s="7" t="n">
        <v>1256.3</v>
      </c>
      <c r="F134" s="7" t="n">
        <v>982.5</v>
      </c>
      <c r="H134" s="7" t="n">
        <v>890.4</v>
      </c>
      <c r="J134" s="7" t="n">
        <v>1159.4</v>
      </c>
      <c r="L134" s="7" t="n">
        <v>2010.1</v>
      </c>
      <c r="N134" s="7" t="n">
        <v>2135.4</v>
      </c>
      <c r="P134" s="7" t="n">
        <v>1076.7</v>
      </c>
      <c r="R134" s="7" t="n">
        <v>2021.1</v>
      </c>
      <c r="T134" s="7" t="n">
        <v>1438.9</v>
      </c>
      <c r="V134" s="7" t="n">
        <v>1622.7</v>
      </c>
      <c r="X134" s="7" t="n">
        <v>1024.1</v>
      </c>
      <c r="Z134" s="7" t="n">
        <v>1591.9</v>
      </c>
      <c r="AB134" s="7" t="n">
        <v>17209.5</v>
      </c>
    </row>
    <row r="135">
      <c r="A135" s="4" t="inlineStr">
        <is>
          <t>租赁费</t>
        </is>
      </c>
      <c r="D135" s="7" t="n">
        <v>21307.1</v>
      </c>
      <c r="F135" s="7" t="n">
        <v>6653.1</v>
      </c>
      <c r="H135" s="7" t="n">
        <v>16660.3</v>
      </c>
      <c r="J135" s="7" t="n">
        <v>12787.9</v>
      </c>
      <c r="L135" s="7" t="n">
        <v>25123</v>
      </c>
      <c r="N135" s="7" t="n">
        <v>22746.5</v>
      </c>
      <c r="P135" s="7" t="n">
        <v>14969.1</v>
      </c>
      <c r="R135" s="7" t="n">
        <v>19918.1</v>
      </c>
      <c r="T135" s="7" t="n">
        <v>16274.1</v>
      </c>
      <c r="V135" s="7" t="n">
        <v>16620.7</v>
      </c>
      <c r="X135" s="7" t="n">
        <v>12044.7</v>
      </c>
      <c r="Z135" s="7" t="n">
        <v>18572.1</v>
      </c>
      <c r="AB135" s="7" t="n">
        <v>203676.7</v>
      </c>
    </row>
    <row r="136">
      <c r="A136" s="4" t="inlineStr">
        <is>
          <t>能源费</t>
        </is>
      </c>
      <c r="D136" s="7" t="n">
        <v>5248.9</v>
      </c>
      <c r="F136" s="7" t="n">
        <v>3040.7</v>
      </c>
      <c r="H136" s="7" t="n">
        <v>4526.9</v>
      </c>
      <c r="J136" s="7" t="n">
        <v>5175.4</v>
      </c>
      <c r="L136" s="7" t="n">
        <v>9530.700000000001</v>
      </c>
      <c r="N136" s="7" t="n">
        <v>7320</v>
      </c>
      <c r="P136" s="7" t="n">
        <v>6343</v>
      </c>
      <c r="R136" s="7" t="n">
        <v>7396.9</v>
      </c>
      <c r="T136" s="7" t="n">
        <v>5902.8</v>
      </c>
      <c r="V136" s="7" t="n">
        <v>9108.799999999999</v>
      </c>
      <c r="X136" s="7" t="n">
        <v>6285.3</v>
      </c>
      <c r="Z136" s="7" t="n">
        <v>6158.2</v>
      </c>
      <c r="AB136" s="7" t="n">
        <v>76037.60000000001</v>
      </c>
    </row>
    <row r="137">
      <c r="A137" s="4" t="inlineStr">
        <is>
          <t>水费</t>
        </is>
      </c>
      <c r="D137" s="7" t="n">
        <v>1189.8</v>
      </c>
      <c r="F137" s="7" t="n">
        <v>634.7</v>
      </c>
      <c r="H137" s="7" t="n">
        <v>1015.4</v>
      </c>
      <c r="J137" s="7" t="n">
        <v>1077</v>
      </c>
      <c r="L137" s="7" t="n">
        <v>2568.2</v>
      </c>
      <c r="N137" s="7" t="n">
        <v>1351.7</v>
      </c>
      <c r="P137" s="7" t="n">
        <v>1369.5</v>
      </c>
      <c r="R137" s="7" t="n">
        <v>1768.4</v>
      </c>
      <c r="T137" s="7" t="n">
        <v>1076.9</v>
      </c>
      <c r="V137" s="7" t="n">
        <v>1978.2</v>
      </c>
      <c r="X137" s="7" t="n">
        <v>1505.4</v>
      </c>
      <c r="Z137" s="7" t="n">
        <v>987.3</v>
      </c>
      <c r="AB137" s="7" t="n">
        <v>16522.5</v>
      </c>
    </row>
    <row r="138">
      <c r="A138" s="4" t="inlineStr">
        <is>
          <t>电费</t>
        </is>
      </c>
      <c r="D138" s="7" t="n">
        <v>474.3</v>
      </c>
      <c r="F138" s="7" t="n">
        <v>257</v>
      </c>
      <c r="H138" s="7" t="n">
        <v>630</v>
      </c>
      <c r="J138" s="7" t="n">
        <v>516</v>
      </c>
      <c r="L138" s="7" t="n">
        <v>922</v>
      </c>
      <c r="N138" s="7" t="n">
        <v>907.2</v>
      </c>
      <c r="P138" s="7" t="n">
        <v>616</v>
      </c>
      <c r="R138" s="7" t="n">
        <v>1105.4</v>
      </c>
      <c r="T138" s="7" t="n">
        <v>587.8</v>
      </c>
      <c r="V138" s="7" t="n">
        <v>782.9</v>
      </c>
      <c r="X138" s="7" t="n">
        <v>614.3</v>
      </c>
      <c r="Z138" s="7" t="n">
        <v>543.8</v>
      </c>
      <c r="AB138" s="7" t="n">
        <v>7956.7</v>
      </c>
    </row>
    <row r="139">
      <c r="A139" s="4" t="inlineStr">
        <is>
          <t>燃气费</t>
        </is>
      </c>
      <c r="D139" s="7" t="n">
        <v>1980.6</v>
      </c>
      <c r="F139" s="7" t="n">
        <v>954.5</v>
      </c>
      <c r="H139" s="7" t="n">
        <v>1349.1</v>
      </c>
      <c r="J139" s="7" t="n">
        <v>1477.6</v>
      </c>
      <c r="L139" s="7" t="n">
        <v>2318.9</v>
      </c>
      <c r="N139" s="7" t="n">
        <v>3100</v>
      </c>
      <c r="P139" s="7" t="n">
        <v>1992.7</v>
      </c>
      <c r="R139" s="7" t="n">
        <v>2049.2</v>
      </c>
      <c r="T139" s="7" t="n">
        <v>2123.9</v>
      </c>
      <c r="V139" s="7" t="n">
        <v>2839.2</v>
      </c>
      <c r="X139" s="7" t="n">
        <v>2264.2</v>
      </c>
      <c r="Z139" s="7" t="n">
        <v>2327.3</v>
      </c>
      <c r="AB139" s="7" t="n">
        <v>24777.2</v>
      </c>
    </row>
    <row r="140">
      <c r="A140" s="4" t="inlineStr">
        <is>
          <t>蒸汽费</t>
        </is>
      </c>
      <c r="D140" s="7" t="n">
        <v>1604.2</v>
      </c>
      <c r="F140" s="7" t="n">
        <v>1194.5</v>
      </c>
      <c r="H140" s="7" t="n">
        <v>1532.4</v>
      </c>
      <c r="J140" s="7" t="n">
        <v>2104.8</v>
      </c>
      <c r="L140" s="7" t="n">
        <v>3721.6</v>
      </c>
      <c r="N140" s="7" t="n">
        <v>1961.1</v>
      </c>
      <c r="P140" s="7" t="n">
        <v>2364.8</v>
      </c>
      <c r="R140" s="7" t="n">
        <v>2473.9</v>
      </c>
      <c r="T140" s="7" t="n">
        <v>2114.2</v>
      </c>
      <c r="V140" s="7" t="n">
        <v>3508.5</v>
      </c>
      <c r="X140" s="7" t="n">
        <v>1901.4</v>
      </c>
      <c r="Z140" s="7" t="n">
        <v>2299.8</v>
      </c>
      <c r="AB140" s="7" t="n">
        <v>26781.2</v>
      </c>
    </row>
    <row r="141">
      <c r="A141" s="4" t="inlineStr">
        <is>
          <t>物业费</t>
        </is>
      </c>
      <c r="D141" s="7" t="n">
        <v>1475.6</v>
      </c>
      <c r="F141" s="7" t="n">
        <v>1000</v>
      </c>
      <c r="H141" s="7" t="n">
        <v>1830.6</v>
      </c>
      <c r="J141" s="7" t="n">
        <v>1717.2</v>
      </c>
      <c r="L141" s="7" t="n">
        <v>3224.5</v>
      </c>
      <c r="N141" s="7" t="n">
        <v>1663.3</v>
      </c>
      <c r="P141" s="7" t="n">
        <v>1771.5</v>
      </c>
      <c r="R141" s="7" t="n">
        <v>3274.7</v>
      </c>
      <c r="T141" s="7" t="n">
        <v>1576.9</v>
      </c>
      <c r="V141" s="7" t="n">
        <v>2681.5</v>
      </c>
      <c r="X141" s="7" t="n">
        <v>1469.4</v>
      </c>
      <c r="Z141" s="7" t="n">
        <v>2143.8</v>
      </c>
      <c r="AB141" s="7" t="n">
        <v>23829</v>
      </c>
    </row>
    <row r="142">
      <c r="A142" s="4" t="inlineStr">
        <is>
          <t>劳动保护费</t>
        </is>
      </c>
      <c r="D142" s="7" t="n">
        <v>1901.5</v>
      </c>
      <c r="F142" s="7" t="n">
        <v>875</v>
      </c>
      <c r="H142" s="7" t="n">
        <v>1603.8</v>
      </c>
      <c r="J142" s="7" t="n">
        <v>1207.6</v>
      </c>
      <c r="L142" s="7" t="n">
        <v>2262</v>
      </c>
      <c r="N142" s="7" t="n">
        <v>2011.7</v>
      </c>
      <c r="P142" s="7" t="n">
        <v>1675.5</v>
      </c>
      <c r="R142" s="7" t="n">
        <v>1886</v>
      </c>
      <c r="T142" s="7" t="n">
        <v>1981.6</v>
      </c>
      <c r="V142" s="7" t="n">
        <v>2212.3</v>
      </c>
      <c r="X142" s="7" t="n">
        <v>1467.3</v>
      </c>
      <c r="Z142" s="7" t="n">
        <v>1954.8</v>
      </c>
      <c r="AB142" s="7" t="n">
        <v>21039.1</v>
      </c>
    </row>
    <row r="143">
      <c r="A143" s="4" t="inlineStr">
        <is>
          <t>顾问费</t>
        </is>
      </c>
      <c r="D143" s="7" t="n">
        <v>2402.2</v>
      </c>
      <c r="F143" s="7" t="n">
        <v>920.8</v>
      </c>
      <c r="H143" s="7" t="n">
        <v>1198.8</v>
      </c>
      <c r="J143" s="7" t="n">
        <v>1755.5</v>
      </c>
      <c r="L143" s="7" t="n">
        <v>3510.6</v>
      </c>
      <c r="N143" s="7" t="n">
        <v>2937.1</v>
      </c>
      <c r="P143" s="7" t="n">
        <v>2076.1</v>
      </c>
      <c r="R143" s="7" t="n">
        <v>3413.4</v>
      </c>
      <c r="T143" s="7" t="n">
        <v>2107.4</v>
      </c>
      <c r="V143" s="7" t="n">
        <v>2595.5</v>
      </c>
      <c r="X143" s="7" t="n">
        <v>2485.7</v>
      </c>
      <c r="Z143" s="7" t="n">
        <v>1689.6</v>
      </c>
      <c r="AB143" s="7" t="n">
        <v>27092.7</v>
      </c>
    </row>
    <row r="144">
      <c r="A144" s="4" t="inlineStr">
        <is>
          <t>快递费</t>
        </is>
      </c>
      <c r="D144" s="7" t="n">
        <v>192.9</v>
      </c>
      <c r="F144" s="7" t="n">
        <v>88.5</v>
      </c>
      <c r="H144" s="7" t="n">
        <v>146.9</v>
      </c>
      <c r="J144" s="7" t="n">
        <v>232.9</v>
      </c>
      <c r="L144" s="7" t="n">
        <v>362.8</v>
      </c>
      <c r="N144" s="7" t="n">
        <v>354</v>
      </c>
      <c r="P144" s="7" t="n">
        <v>205.9</v>
      </c>
      <c r="R144" s="7" t="n">
        <v>248.3</v>
      </c>
      <c r="T144" s="7" t="n">
        <v>232.6</v>
      </c>
      <c r="V144" s="7" t="n">
        <v>344.7</v>
      </c>
      <c r="X144" s="7" t="n">
        <v>271.6</v>
      </c>
      <c r="Z144" s="7" t="n">
        <v>232.3</v>
      </c>
      <c r="AB144" s="7" t="n">
        <v>2913.4</v>
      </c>
    </row>
    <row r="145">
      <c r="A145" s="4" t="inlineStr">
        <is>
          <t>诉讼费</t>
        </is>
      </c>
      <c r="D145" s="7" t="n">
        <v>509.6</v>
      </c>
      <c r="F145" s="7" t="n">
        <v>201.5</v>
      </c>
      <c r="H145" s="7" t="n">
        <v>361.1</v>
      </c>
      <c r="J145" s="7" t="n">
        <v>451.3</v>
      </c>
      <c r="L145" s="7" t="n">
        <v>529.7</v>
      </c>
      <c r="N145" s="7" t="n">
        <v>696.9</v>
      </c>
      <c r="P145" s="7" t="n">
        <v>530.1</v>
      </c>
      <c r="R145" s="7" t="n">
        <v>865.4</v>
      </c>
      <c r="T145" s="7" t="n">
        <v>375.1</v>
      </c>
      <c r="V145" s="7" t="n">
        <v>884.8</v>
      </c>
      <c r="X145" s="7" t="n">
        <v>610.6</v>
      </c>
      <c r="Z145" s="7" t="n">
        <v>315.1</v>
      </c>
      <c r="AB145" s="7" t="n">
        <v>6331.2</v>
      </c>
    </row>
    <row r="146">
      <c r="A146" s="4" t="inlineStr">
        <is>
          <t>会员费</t>
        </is>
      </c>
      <c r="D146" s="7" t="n">
        <v>1635.1</v>
      </c>
      <c r="F146" s="7" t="n">
        <v>864.6</v>
      </c>
      <c r="H146" s="7" t="n">
        <v>917.6</v>
      </c>
      <c r="J146" s="7" t="n">
        <v>1137.2</v>
      </c>
      <c r="L146" s="7" t="n">
        <v>2323.2</v>
      </c>
      <c r="N146" s="7" t="n">
        <v>1297</v>
      </c>
      <c r="P146" s="7" t="n">
        <v>1292.8</v>
      </c>
      <c r="R146" s="7" t="n">
        <v>1550.6</v>
      </c>
      <c r="T146" s="7" t="n">
        <v>1395.9</v>
      </c>
      <c r="V146" s="7" t="n">
        <v>1474.5</v>
      </c>
      <c r="X146" s="7" t="n">
        <v>1586</v>
      </c>
      <c r="Z146" s="7" t="n">
        <v>890.2</v>
      </c>
      <c r="AB146" s="7" t="n">
        <v>16364.7</v>
      </c>
    </row>
    <row r="147">
      <c r="A147" s="4" t="inlineStr">
        <is>
          <t>广告宣传费</t>
        </is>
      </c>
      <c r="D147" s="7" t="n">
        <v>11156.8</v>
      </c>
      <c r="F147" s="7" t="n">
        <v>5556.1</v>
      </c>
      <c r="H147" s="7" t="n">
        <v>10312.5</v>
      </c>
      <c r="J147" s="7" t="n">
        <v>8043.6</v>
      </c>
      <c r="L147" s="7" t="n">
        <v>12011.3</v>
      </c>
      <c r="N147" s="7" t="n">
        <v>10670.6</v>
      </c>
      <c r="P147" s="7" t="n">
        <v>6339.2</v>
      </c>
      <c r="R147" s="7" t="n">
        <v>11932.7</v>
      </c>
      <c r="T147" s="7" t="n">
        <v>6288.1</v>
      </c>
      <c r="V147" s="7" t="n">
        <v>9800.299999999999</v>
      </c>
      <c r="X147" s="7" t="n">
        <v>9113.799999999999</v>
      </c>
      <c r="Z147" s="7" t="n">
        <v>10228.2</v>
      </c>
      <c r="AB147" s="7" t="n">
        <v>111453.2</v>
      </c>
    </row>
    <row r="148">
      <c r="A148" s="4" t="inlineStr">
        <is>
          <t>会务费</t>
        </is>
      </c>
      <c r="D148" s="7" t="n">
        <v>2584.5</v>
      </c>
      <c r="F148" s="7" t="n">
        <v>1081.8</v>
      </c>
      <c r="H148" s="7" t="n">
        <v>1644.1</v>
      </c>
      <c r="J148" s="7" t="n">
        <v>1808.8</v>
      </c>
      <c r="L148" s="7" t="n">
        <v>2253.3</v>
      </c>
      <c r="N148" s="7" t="n">
        <v>2627.3</v>
      </c>
      <c r="P148" s="7" t="n">
        <v>2209</v>
      </c>
      <c r="R148" s="7" t="n">
        <v>3227.9</v>
      </c>
      <c r="T148" s="7" t="n">
        <v>1937.1</v>
      </c>
      <c r="V148" s="7" t="n">
        <v>2362.8</v>
      </c>
      <c r="X148" s="7" t="n">
        <v>1542.3</v>
      </c>
      <c r="Z148" s="7" t="n">
        <v>2295.7</v>
      </c>
      <c r="AB148" s="7" t="n">
        <v>25574.6</v>
      </c>
    </row>
    <row r="149">
      <c r="A149" s="4" t="inlineStr">
        <is>
          <t>装修费</t>
        </is>
      </c>
      <c r="D149" s="7" t="n">
        <v>569.5</v>
      </c>
      <c r="F149" s="7" t="n">
        <v>420.1</v>
      </c>
      <c r="H149" s="7" t="n">
        <v>401.7</v>
      </c>
      <c r="J149" s="7" t="n">
        <v>429.6</v>
      </c>
      <c r="L149" s="7" t="n">
        <v>833.9</v>
      </c>
      <c r="N149" s="7" t="n">
        <v>922.2</v>
      </c>
      <c r="P149" s="7" t="n">
        <v>567.3</v>
      </c>
      <c r="R149" s="7" t="n">
        <v>1115.9</v>
      </c>
      <c r="T149" s="7" t="n">
        <v>400.6</v>
      </c>
      <c r="V149" s="7" t="n">
        <v>952.3</v>
      </c>
      <c r="X149" s="7" t="n">
        <v>673.6</v>
      </c>
      <c r="Z149" s="7" t="n">
        <v>572.6</v>
      </c>
      <c r="AB149" s="7" t="n">
        <v>7859.3</v>
      </c>
    </row>
    <row r="150">
      <c r="A150" s="4" t="inlineStr">
        <is>
          <t>推广费</t>
        </is>
      </c>
      <c r="D150" s="7" t="n">
        <v>85</v>
      </c>
      <c r="F150" s="7" t="n">
        <v>27.8</v>
      </c>
      <c r="H150" s="7" t="n">
        <v>70</v>
      </c>
      <c r="J150" s="7" t="n">
        <v>44.7</v>
      </c>
      <c r="L150" s="7" t="n">
        <v>72.09999999999999</v>
      </c>
      <c r="N150" s="7" t="n">
        <v>70</v>
      </c>
      <c r="P150" s="7" t="n">
        <v>47.2</v>
      </c>
      <c r="R150" s="7" t="n">
        <v>105.9</v>
      </c>
      <c r="T150" s="7" t="n">
        <v>63.1</v>
      </c>
      <c r="V150" s="7" t="n">
        <v>107.8</v>
      </c>
      <c r="X150" s="7" t="n">
        <v>56.9</v>
      </c>
      <c r="Z150" s="7" t="n">
        <v>52.8</v>
      </c>
      <c r="AB150" s="7" t="n">
        <v>803.3</v>
      </c>
    </row>
    <row r="151">
      <c r="A151" s="4" t="inlineStr">
        <is>
          <t>展会费</t>
        </is>
      </c>
      <c r="D151" s="7" t="n">
        <v>375.7</v>
      </c>
      <c r="F151" s="7" t="n">
        <v>277.7</v>
      </c>
      <c r="H151" s="7" t="n">
        <v>523.3</v>
      </c>
      <c r="J151" s="7" t="n">
        <v>341.8</v>
      </c>
      <c r="L151" s="7" t="n">
        <v>665.3</v>
      </c>
      <c r="N151" s="7" t="n">
        <v>623.7</v>
      </c>
      <c r="P151" s="7" t="n">
        <v>389.6</v>
      </c>
      <c r="R151" s="7" t="n">
        <v>796</v>
      </c>
      <c r="T151" s="7" t="n">
        <v>452.6</v>
      </c>
      <c r="V151" s="7" t="n">
        <v>595.3</v>
      </c>
      <c r="X151" s="7" t="n">
        <v>363.4</v>
      </c>
      <c r="Z151" s="7" t="n">
        <v>374</v>
      </c>
      <c r="AB151" s="7" t="n">
        <v>5778.4</v>
      </c>
    </row>
    <row r="152">
      <c r="A152" s="4" t="inlineStr">
        <is>
          <t>设计费</t>
        </is>
      </c>
      <c r="D152" s="7" t="n">
        <v>473.7</v>
      </c>
      <c r="F152" s="7" t="n">
        <v>394.6</v>
      </c>
      <c r="H152" s="7" t="n">
        <v>472.5</v>
      </c>
      <c r="J152" s="7" t="n">
        <v>497.4</v>
      </c>
      <c r="L152" s="7" t="n">
        <v>885.9</v>
      </c>
      <c r="N152" s="7" t="n">
        <v>878.4</v>
      </c>
      <c r="P152" s="7" t="n">
        <v>412</v>
      </c>
      <c r="R152" s="7" t="n">
        <v>914.8</v>
      </c>
      <c r="T152" s="7" t="n">
        <v>425.3</v>
      </c>
      <c r="V152" s="7" t="n">
        <v>1098.3</v>
      </c>
      <c r="X152" s="7" t="n">
        <v>575.1</v>
      </c>
      <c r="Z152" s="7" t="n">
        <v>553.9</v>
      </c>
      <c r="AB152" s="7" t="n">
        <v>7581.9</v>
      </c>
    </row>
    <row r="153">
      <c r="A153" s="4" t="inlineStr">
        <is>
          <t>折旧费</t>
        </is>
      </c>
      <c r="D153" s="7" t="n">
        <v>11341.1</v>
      </c>
      <c r="F153" s="7" t="n">
        <v>6694.1</v>
      </c>
      <c r="H153" s="7" t="n">
        <v>9327.5</v>
      </c>
      <c r="J153" s="7" t="n">
        <v>9541.1</v>
      </c>
      <c r="L153" s="7" t="n">
        <v>13738.2</v>
      </c>
      <c r="N153" s="7" t="n">
        <v>19277.6</v>
      </c>
      <c r="P153" s="7" t="n">
        <v>12558.3</v>
      </c>
      <c r="R153" s="7" t="n">
        <v>13999.4</v>
      </c>
      <c r="T153" s="7" t="n">
        <v>9934.799999999999</v>
      </c>
      <c r="V153" s="7" t="n">
        <v>19110.4</v>
      </c>
      <c r="X153" s="7" t="n">
        <v>16728.6</v>
      </c>
      <c r="Z153" s="7" t="n">
        <v>12611.8</v>
      </c>
      <c r="AB153" s="7" t="n">
        <v>154862.9</v>
      </c>
    </row>
    <row r="154">
      <c r="A154" s="4" t="inlineStr">
        <is>
          <t>认证费</t>
        </is>
      </c>
      <c r="D154" s="7" t="n">
        <v>1444.9</v>
      </c>
      <c r="F154" s="7" t="n">
        <v>739.1</v>
      </c>
      <c r="H154" s="7" t="n">
        <v>963.4</v>
      </c>
      <c r="J154" s="7" t="n">
        <v>1027</v>
      </c>
      <c r="L154" s="7" t="n">
        <v>2064.2</v>
      </c>
      <c r="N154" s="7" t="n">
        <v>1496.6</v>
      </c>
      <c r="P154" s="7" t="n">
        <v>1272.8</v>
      </c>
      <c r="R154" s="7" t="n">
        <v>1666.7</v>
      </c>
      <c r="T154" s="7" t="n">
        <v>743.5</v>
      </c>
      <c r="V154" s="7" t="n">
        <v>2101.2</v>
      </c>
      <c r="X154" s="7" t="n">
        <v>1336.1</v>
      </c>
      <c r="Z154" s="7" t="n">
        <v>1087.5</v>
      </c>
      <c r="AB154" s="7" t="n">
        <v>15943</v>
      </c>
    </row>
    <row r="155">
      <c r="A155" s="4" t="inlineStr">
        <is>
          <t>样品费</t>
        </is>
      </c>
      <c r="D155" s="7" t="n">
        <v>8197.200000000001</v>
      </c>
      <c r="F155" s="7" t="n">
        <v>4035</v>
      </c>
      <c r="H155" s="7" t="n">
        <v>6174.8</v>
      </c>
      <c r="J155" s="7" t="n">
        <v>5939.6</v>
      </c>
      <c r="L155" s="7" t="n">
        <v>7197</v>
      </c>
      <c r="N155" s="7" t="n">
        <v>9663.700000000001</v>
      </c>
      <c r="P155" s="7" t="n">
        <v>4585.9</v>
      </c>
      <c r="R155" s="7" t="n">
        <v>12022.4</v>
      </c>
      <c r="T155" s="7" t="n">
        <v>7033.9</v>
      </c>
      <c r="V155" s="7" t="n">
        <v>11048.9</v>
      </c>
      <c r="X155" s="7" t="n">
        <v>5059.4</v>
      </c>
      <c r="Z155" s="7" t="n">
        <v>5708.7</v>
      </c>
      <c r="AB155" s="7" t="n">
        <v>86666.5</v>
      </c>
    </row>
    <row r="156">
      <c r="A156" s="4" t="inlineStr">
        <is>
          <t>劳务费</t>
        </is>
      </c>
      <c r="D156" s="7" t="n">
        <v>2058.5</v>
      </c>
      <c r="F156" s="7" t="n">
        <v>1438.3</v>
      </c>
      <c r="H156" s="7" t="n">
        <v>1946.2</v>
      </c>
      <c r="J156" s="7" t="n">
        <v>2154.9</v>
      </c>
      <c r="L156" s="7" t="n">
        <v>2581.4</v>
      </c>
      <c r="N156" s="7" t="n">
        <v>3381.3</v>
      </c>
      <c r="P156" s="7" t="n">
        <v>2308.3</v>
      </c>
      <c r="R156" s="7" t="n">
        <v>2234.2</v>
      </c>
      <c r="T156" s="7" t="n">
        <v>1656.8</v>
      </c>
      <c r="V156" s="7" t="n">
        <v>2835</v>
      </c>
      <c r="X156" s="7" t="n">
        <v>1892.9</v>
      </c>
      <c r="Z156" s="7" t="n">
        <v>1678.5</v>
      </c>
      <c r="AB156" s="7" t="n">
        <v>26166.3</v>
      </c>
    </row>
    <row r="157">
      <c r="A157" s="4" t="inlineStr">
        <is>
          <t>销售佣金</t>
        </is>
      </c>
      <c r="D157" s="7" t="n">
        <v>1215.3</v>
      </c>
      <c r="F157" s="7" t="n">
        <v>601.8</v>
      </c>
      <c r="H157" s="7" t="n">
        <v>900.2</v>
      </c>
      <c r="J157" s="7" t="n">
        <v>843.4</v>
      </c>
      <c r="L157" s="7" t="n">
        <v>1332.5</v>
      </c>
      <c r="N157" s="7" t="n">
        <v>1193</v>
      </c>
      <c r="P157" s="7" t="n">
        <v>676.2</v>
      </c>
      <c r="R157" s="7" t="n">
        <v>1473.1</v>
      </c>
      <c r="T157" s="7" t="n">
        <v>951</v>
      </c>
      <c r="V157" s="7" t="n">
        <v>1770</v>
      </c>
      <c r="X157" s="7" t="n">
        <v>1229.5</v>
      </c>
      <c r="Z157" s="7" t="n">
        <v>932.7</v>
      </c>
      <c r="AB157" s="7" t="n">
        <v>13118.7</v>
      </c>
    </row>
    <row r="158">
      <c r="A158" s="4" t="inlineStr">
        <is>
          <t>检测费</t>
        </is>
      </c>
      <c r="D158" s="7" t="n">
        <v>190.8</v>
      </c>
      <c r="F158" s="7" t="n">
        <v>115.6</v>
      </c>
      <c r="H158" s="7" t="n">
        <v>167.5</v>
      </c>
      <c r="J158" s="7" t="n">
        <v>173.6</v>
      </c>
      <c r="L158" s="7" t="n">
        <v>287</v>
      </c>
      <c r="N158" s="7" t="n">
        <v>274.8</v>
      </c>
      <c r="P158" s="7" t="n">
        <v>201.3</v>
      </c>
      <c r="R158" s="7" t="n">
        <v>222.8</v>
      </c>
      <c r="T158" s="7" t="n">
        <v>157</v>
      </c>
      <c r="V158" s="7" t="n">
        <v>242.7</v>
      </c>
      <c r="X158" s="7" t="n">
        <v>230</v>
      </c>
      <c r="Z158" s="7" t="n">
        <v>221.2</v>
      </c>
      <c r="AB158" s="7" t="n">
        <v>2484.3</v>
      </c>
    </row>
    <row r="159">
      <c r="A159" s="4" t="inlineStr">
        <is>
          <t>质量赔偿</t>
        </is>
      </c>
      <c r="D159" s="7" t="n">
        <v>103.7</v>
      </c>
      <c r="F159" s="7" t="n">
        <v>39.1</v>
      </c>
      <c r="H159" s="7" t="n">
        <v>59.8</v>
      </c>
      <c r="J159" s="7" t="n">
        <v>80.8</v>
      </c>
      <c r="L159" s="7" t="n">
        <v>148.4</v>
      </c>
      <c r="N159" s="7" t="n">
        <v>131.8</v>
      </c>
      <c r="P159" s="7" t="n">
        <v>51.7</v>
      </c>
      <c r="R159" s="7" t="n">
        <v>141</v>
      </c>
      <c r="T159" s="7" t="n">
        <v>61.5</v>
      </c>
      <c r="V159" s="7" t="n">
        <v>102.9</v>
      </c>
      <c r="X159" s="7" t="n">
        <v>82.5</v>
      </c>
      <c r="Z159" s="7" t="n">
        <v>85</v>
      </c>
      <c r="AB159" s="7" t="n">
        <v>1088.2</v>
      </c>
    </row>
    <row r="160">
      <c r="A160" s="4" t="inlineStr">
        <is>
          <t>保险费</t>
        </is>
      </c>
      <c r="D160" s="7" t="n">
        <v>259.9</v>
      </c>
      <c r="F160" s="7" t="n">
        <v>85.90000000000001</v>
      </c>
      <c r="H160" s="7" t="n">
        <v>230.8</v>
      </c>
      <c r="J160" s="7" t="n">
        <v>172.3</v>
      </c>
      <c r="L160" s="7" t="n">
        <v>358.8</v>
      </c>
      <c r="N160" s="7" t="n">
        <v>232.3</v>
      </c>
      <c r="P160" s="7" t="n">
        <v>174.6</v>
      </c>
      <c r="R160" s="7" t="n">
        <v>326.2</v>
      </c>
      <c r="T160" s="7" t="n">
        <v>143.5</v>
      </c>
      <c r="V160" s="7" t="n">
        <v>248.2</v>
      </c>
      <c r="X160" s="7" t="n">
        <v>250.9</v>
      </c>
      <c r="Z160" s="7" t="n">
        <v>220.5</v>
      </c>
      <c r="AB160" s="7" t="n">
        <v>2703.9</v>
      </c>
    </row>
    <row r="161">
      <c r="A161" s="4" t="inlineStr">
        <is>
          <t>清洁费</t>
        </is>
      </c>
      <c r="D161" s="7" t="n">
        <v>2008.4</v>
      </c>
      <c r="F161" s="7" t="n">
        <v>1015.3</v>
      </c>
      <c r="H161" s="7" t="n">
        <v>1402.3</v>
      </c>
      <c r="J161" s="7" t="n">
        <v>1097.2</v>
      </c>
      <c r="L161" s="7" t="n">
        <v>2057.9</v>
      </c>
      <c r="N161" s="7" t="n">
        <v>2093.2</v>
      </c>
      <c r="P161" s="7" t="n">
        <v>1110.2</v>
      </c>
      <c r="R161" s="7" t="n">
        <v>2808.5</v>
      </c>
      <c r="T161" s="7" t="n">
        <v>1675.5</v>
      </c>
      <c r="V161" s="7" t="n">
        <v>1665.5</v>
      </c>
      <c r="X161" s="7" t="n">
        <v>1324.7</v>
      </c>
      <c r="Z161" s="7" t="n">
        <v>1787.7</v>
      </c>
      <c r="AB161" s="7" t="n">
        <v>20046.4</v>
      </c>
    </row>
    <row r="162">
      <c r="A162" s="4" t="inlineStr">
        <is>
          <t>低值易耗品</t>
        </is>
      </c>
      <c r="D162" s="7" t="n">
        <v>1541.1</v>
      </c>
      <c r="F162" s="7" t="n">
        <v>913.6</v>
      </c>
      <c r="H162" s="7" t="n">
        <v>1915.5</v>
      </c>
      <c r="J162" s="7" t="n">
        <v>1706.9</v>
      </c>
      <c r="L162" s="7" t="n">
        <v>2210.9</v>
      </c>
      <c r="N162" s="7" t="n">
        <v>2743.3</v>
      </c>
      <c r="P162" s="7" t="n">
        <v>1570.6</v>
      </c>
      <c r="R162" s="7" t="n">
        <v>2764</v>
      </c>
      <c r="T162" s="7" t="n">
        <v>1164.7</v>
      </c>
      <c r="V162" s="7" t="n">
        <v>1837.9</v>
      </c>
      <c r="X162" s="7" t="n">
        <v>1652.9</v>
      </c>
      <c r="Z162" s="7" t="n">
        <v>1734.7</v>
      </c>
      <c r="AB162" s="7" t="n">
        <v>21756.1</v>
      </c>
    </row>
    <row r="163">
      <c r="A163" s="4" t="inlineStr">
        <is>
          <t>物料消耗</t>
        </is>
      </c>
      <c r="D163" s="7" t="n">
        <v>470.4</v>
      </c>
      <c r="F163" s="7" t="n">
        <v>209.4</v>
      </c>
      <c r="H163" s="7" t="n">
        <v>295.6</v>
      </c>
      <c r="J163" s="7" t="n">
        <v>257.4</v>
      </c>
      <c r="L163" s="7" t="n">
        <v>671.1</v>
      </c>
      <c r="N163" s="7" t="n">
        <v>560.3</v>
      </c>
      <c r="P163" s="7" t="n">
        <v>369.9</v>
      </c>
      <c r="R163" s="7" t="n">
        <v>472.4</v>
      </c>
      <c r="T163" s="7" t="n">
        <v>297.4</v>
      </c>
      <c r="V163" s="7" t="n">
        <v>433.1</v>
      </c>
      <c r="X163" s="7" t="n">
        <v>396.2</v>
      </c>
      <c r="Z163" s="7" t="n">
        <v>445.6</v>
      </c>
      <c r="AB163" s="7" t="n">
        <v>4878.8</v>
      </c>
    </row>
    <row r="164">
      <c r="A164" s="4" t="inlineStr">
        <is>
          <t>盘盈盘亏</t>
        </is>
      </c>
      <c r="D164" s="7" t="n">
        <v>2021.6</v>
      </c>
      <c r="F164" s="7" t="n">
        <v>1063.2</v>
      </c>
      <c r="H164" s="7" t="n">
        <v>1350.9</v>
      </c>
      <c r="J164" s="7" t="n">
        <v>1472.3</v>
      </c>
      <c r="L164" s="7" t="n">
        <v>1865</v>
      </c>
      <c r="N164" s="7" t="n">
        <v>2748.3</v>
      </c>
      <c r="P164" s="7" t="n">
        <v>1860.9</v>
      </c>
      <c r="R164" s="7" t="n">
        <v>1846.4</v>
      </c>
      <c r="T164" s="7" t="n">
        <v>1920.6</v>
      </c>
      <c r="V164" s="7" t="n">
        <v>2851.7</v>
      </c>
      <c r="X164" s="7" t="n">
        <v>1944.1</v>
      </c>
      <c r="Z164" s="7" t="n">
        <v>1185.6</v>
      </c>
      <c r="AB164" s="7" t="n">
        <v>22130.6</v>
      </c>
    </row>
    <row r="165">
      <c r="A165" s="4" t="inlineStr">
        <is>
          <t>平台服务费</t>
        </is>
      </c>
      <c r="D165" s="7" t="n">
        <v>647</v>
      </c>
      <c r="F165" s="7" t="n">
        <v>249.9</v>
      </c>
      <c r="H165" s="7" t="n">
        <v>591.2</v>
      </c>
      <c r="J165" s="7" t="n">
        <v>497.7</v>
      </c>
      <c r="L165" s="7" t="n">
        <v>736</v>
      </c>
      <c r="N165" s="7" t="n">
        <v>641.4</v>
      </c>
      <c r="P165" s="7" t="n">
        <v>429.3</v>
      </c>
      <c r="R165" s="7" t="n">
        <v>656.1</v>
      </c>
      <c r="T165" s="7" t="n">
        <v>444.5</v>
      </c>
      <c r="V165" s="7" t="n">
        <v>853.5</v>
      </c>
      <c r="X165" s="7" t="n">
        <v>644.7</v>
      </c>
      <c r="Z165" s="7" t="n">
        <v>464.6</v>
      </c>
      <c r="AB165" s="7" t="n">
        <v>6855.9</v>
      </c>
    </row>
    <row r="166">
      <c r="A166" s="4" t="inlineStr">
        <is>
          <t>无形资产摊销</t>
        </is>
      </c>
      <c r="D166" s="7" t="n">
        <v>223.2</v>
      </c>
      <c r="F166" s="7" t="n">
        <v>125.9</v>
      </c>
      <c r="H166" s="7" t="n">
        <v>225.7</v>
      </c>
      <c r="J166" s="7" t="n">
        <v>171.8</v>
      </c>
      <c r="L166" s="7" t="n">
        <v>340.3</v>
      </c>
      <c r="N166" s="7" t="n">
        <v>299.2</v>
      </c>
      <c r="P166" s="7" t="n">
        <v>168.3</v>
      </c>
      <c r="R166" s="7" t="n">
        <v>239</v>
      </c>
      <c r="T166" s="7" t="n">
        <v>135.7</v>
      </c>
      <c r="V166" s="7" t="n">
        <v>404.4</v>
      </c>
      <c r="X166" s="7" t="n">
        <v>237.2</v>
      </c>
      <c r="Z166" s="7" t="n">
        <v>244.3</v>
      </c>
      <c r="AB166" s="7" t="n">
        <v>2815</v>
      </c>
    </row>
    <row r="167">
      <c r="A167" s="4" t="inlineStr">
        <is>
          <t>研发材料</t>
        </is>
      </c>
      <c r="D167" s="7" t="n">
        <v>637.6</v>
      </c>
      <c r="F167" s="7" t="n">
        <v>361.6</v>
      </c>
      <c r="H167" s="7" t="n">
        <v>420.1</v>
      </c>
      <c r="J167" s="7" t="n">
        <v>374.7</v>
      </c>
      <c r="L167" s="7" t="n">
        <v>925.2</v>
      </c>
      <c r="N167" s="7" t="n">
        <v>888.7</v>
      </c>
      <c r="P167" s="7" t="n">
        <v>578.1</v>
      </c>
      <c r="R167" s="7" t="n">
        <v>942.3</v>
      </c>
      <c r="T167" s="7" t="n">
        <v>497.5</v>
      </c>
      <c r="V167" s="7" t="n">
        <v>875.2</v>
      </c>
      <c r="X167" s="7" t="n">
        <v>619</v>
      </c>
      <c r="Z167" s="7" t="n">
        <v>580.4</v>
      </c>
      <c r="AB167" s="7" t="n">
        <v>7700.4</v>
      </c>
    </row>
    <row r="168">
      <c r="A168" s="4" t="inlineStr">
        <is>
          <t>项目名称</t>
        </is>
      </c>
      <c r="D168" s="7" t="n">
        <v>1844.1</v>
      </c>
      <c r="F168" s="7" t="n">
        <v>628.6</v>
      </c>
      <c r="H168" s="7" t="n">
        <v>1140.6</v>
      </c>
      <c r="J168" s="7" t="n">
        <v>1110.6</v>
      </c>
      <c r="L168" s="7" t="n">
        <v>1444.4</v>
      </c>
      <c r="N168" s="7" t="n">
        <v>2023.6</v>
      </c>
      <c r="P168" s="7" t="n">
        <v>1279.1</v>
      </c>
      <c r="R168" s="7" t="n">
        <v>1629.3</v>
      </c>
      <c r="T168" s="7" t="n">
        <v>1337.9</v>
      </c>
      <c r="V168" s="7" t="n">
        <v>1669.7</v>
      </c>
      <c r="X168" s="7" t="n">
        <v>1430.7</v>
      </c>
      <c r="Z168" s="7" t="n">
        <v>1505.6</v>
      </c>
      <c r="AB168" s="7" t="n">
        <v>17044.2</v>
      </c>
    </row>
    <row r="169">
      <c r="A169" s="4" t="inlineStr">
        <is>
          <t>研发费</t>
        </is>
      </c>
      <c r="D169" s="7" t="n">
        <v>2167</v>
      </c>
      <c r="F169" s="7" t="n">
        <v>1020.6</v>
      </c>
      <c r="H169" s="7" t="n">
        <v>2002.4</v>
      </c>
      <c r="J169" s="7" t="n">
        <v>1983.1</v>
      </c>
      <c r="L169" s="7" t="n">
        <v>3396.1</v>
      </c>
      <c r="N169" s="7" t="n">
        <v>2012.2</v>
      </c>
      <c r="P169" s="7" t="n">
        <v>1286.4</v>
      </c>
      <c r="R169" s="7" t="n">
        <v>2150.6</v>
      </c>
      <c r="T169" s="7" t="n">
        <v>1393.2</v>
      </c>
      <c r="V169" s="7" t="n">
        <v>3283.8</v>
      </c>
      <c r="X169" s="7" t="n">
        <v>2244.4</v>
      </c>
      <c r="Z169" s="7" t="n">
        <v>1440.3</v>
      </c>
      <c r="AB169" s="7" t="n">
        <v>24380.1</v>
      </c>
    </row>
    <row r="170">
      <c r="A170" s="4" t="inlineStr">
        <is>
          <t>残保金</t>
        </is>
      </c>
      <c r="D170" s="7" t="n">
        <v>1327.6</v>
      </c>
      <c r="F170" s="7" t="n">
        <v>574.1</v>
      </c>
      <c r="H170" s="7" t="n">
        <v>1135.6</v>
      </c>
      <c r="J170" s="7" t="n">
        <v>1415.5</v>
      </c>
      <c r="L170" s="7" t="n">
        <v>1836.7</v>
      </c>
      <c r="N170" s="7" t="n">
        <v>2188.2</v>
      </c>
      <c r="P170" s="7" t="n">
        <v>1142.9</v>
      </c>
      <c r="R170" s="7" t="n">
        <v>1777.7</v>
      </c>
      <c r="T170" s="7" t="n">
        <v>1070.6</v>
      </c>
      <c r="V170" s="7" t="n">
        <v>2515.6</v>
      </c>
      <c r="X170" s="7" t="n">
        <v>1427.8</v>
      </c>
      <c r="Z170" s="7" t="n">
        <v>1626.7</v>
      </c>
      <c r="AB170" s="7" t="n">
        <v>18039</v>
      </c>
    </row>
    <row r="171">
      <c r="A171" s="4" t="inlineStr">
        <is>
          <t>环保费</t>
        </is>
      </c>
      <c r="D171" s="7" t="n">
        <v>1601.7</v>
      </c>
      <c r="F171" s="7" t="n">
        <v>485.8</v>
      </c>
      <c r="H171" s="7" t="n">
        <v>1317.2</v>
      </c>
      <c r="J171" s="7" t="n">
        <v>1060.3</v>
      </c>
      <c r="L171" s="7" t="n">
        <v>2176.6</v>
      </c>
      <c r="N171" s="7" t="n">
        <v>1488.1</v>
      </c>
      <c r="P171" s="7" t="n">
        <v>959.6</v>
      </c>
      <c r="R171" s="7" t="n">
        <v>1305.4</v>
      </c>
      <c r="T171" s="7" t="n">
        <v>1271.6</v>
      </c>
      <c r="V171" s="7" t="n">
        <v>1395.8</v>
      </c>
      <c r="X171" s="7" t="n">
        <v>1023.5</v>
      </c>
      <c r="Z171" s="7" t="n">
        <v>1082.5</v>
      </c>
      <c r="AB171" s="7" t="n">
        <v>15168.1</v>
      </c>
    </row>
    <row r="172">
      <c r="A172" s="4" t="inlineStr">
        <is>
          <t>报废损失</t>
        </is>
      </c>
      <c r="D172" s="7" t="n">
        <v>1534.9</v>
      </c>
      <c r="F172" s="7" t="n">
        <v>622</v>
      </c>
      <c r="H172" s="7" t="n">
        <v>927</v>
      </c>
      <c r="J172" s="7" t="n">
        <v>1168.1</v>
      </c>
      <c r="L172" s="7" t="n">
        <v>2031.3</v>
      </c>
      <c r="N172" s="7" t="n">
        <v>1551.3</v>
      </c>
      <c r="P172" s="7" t="n">
        <v>1149</v>
      </c>
      <c r="R172" s="7" t="n">
        <v>1401.8</v>
      </c>
      <c r="T172" s="7" t="n">
        <v>1105.8</v>
      </c>
      <c r="V172" s="7" t="n">
        <v>1223.3</v>
      </c>
      <c r="X172" s="7" t="n">
        <v>1052.2</v>
      </c>
      <c r="Z172" s="7" t="n">
        <v>1292.2</v>
      </c>
      <c r="AB172" s="7" t="n">
        <v>15058.9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153073.3</v>
      </c>
      <c r="D173" s="7" t="n">
        <v>63859.4</v>
      </c>
      <c r="E173" s="7" t="n">
        <v>135933.7</v>
      </c>
      <c r="F173" s="7" t="n">
        <v>135352.9</v>
      </c>
      <c r="G173" s="7" t="n">
        <v>150643.9</v>
      </c>
      <c r="H173" s="7" t="n">
        <v>137072.6</v>
      </c>
      <c r="I173" s="7" t="n">
        <v>175039.5</v>
      </c>
      <c r="J173" s="7" t="n">
        <v>232390.6</v>
      </c>
      <c r="K173" s="7" t="n">
        <v>144359.7</v>
      </c>
      <c r="L173" s="7" t="n">
        <v>94981.89999999999</v>
      </c>
      <c r="M173" s="7" t="n">
        <v>167569.2</v>
      </c>
      <c r="N173" s="7" t="n">
        <v>230636.4</v>
      </c>
      <c r="O173" s="7" t="n">
        <v>165179.3</v>
      </c>
      <c r="P173" s="7" t="n">
        <v>263027.4</v>
      </c>
      <c r="Q173" s="7" t="n">
        <v>147140.3</v>
      </c>
      <c r="R173" s="7" t="n">
        <v>169575.9</v>
      </c>
      <c r="S173" s="7" t="n">
        <v>168370.1</v>
      </c>
      <c r="T173" s="7" t="n">
        <v>267824.8</v>
      </c>
      <c r="U173" s="7" t="n">
        <v>151700.7</v>
      </c>
      <c r="V173" s="7" t="n">
        <v>168131.8</v>
      </c>
      <c r="W173" s="7" t="n">
        <v>141416.7</v>
      </c>
      <c r="X173" s="7" t="n">
        <v>73424</v>
      </c>
      <c r="Y173" s="7" t="n">
        <v>153572.1</v>
      </c>
      <c r="Z173" s="7" t="n">
        <v>73298.39999999999</v>
      </c>
      <c r="AA173" s="8" t="n">
        <v>1853998.5</v>
      </c>
      <c r="AB173" s="8" t="n">
        <v>1909576.1</v>
      </c>
    </row>
    <row r="174">
      <c r="A174" s="4" t="inlineStr">
        <is>
          <t>职工薪酬</t>
        </is>
      </c>
      <c r="D174" s="7" t="n">
        <v>30806.4</v>
      </c>
      <c r="F174" s="7" t="n">
        <v>57755</v>
      </c>
      <c r="H174" s="7" t="n">
        <v>83672.89999999999</v>
      </c>
      <c r="J174" s="7" t="n">
        <v>128849</v>
      </c>
      <c r="L174" s="7" t="n">
        <v>47644</v>
      </c>
      <c r="N174" s="7" t="n">
        <v>101553.4</v>
      </c>
      <c r="P174" s="7" t="n">
        <v>149993.2</v>
      </c>
      <c r="R174" s="7" t="n">
        <v>77893.2</v>
      </c>
      <c r="T174" s="7" t="n">
        <v>152977.4</v>
      </c>
      <c r="V174" s="7" t="n">
        <v>81414.60000000001</v>
      </c>
      <c r="X174" s="7" t="n">
        <v>34347.1</v>
      </c>
      <c r="Z174" s="7" t="n">
        <v>33972.4</v>
      </c>
      <c r="AB174" s="7" t="n">
        <v>980878.6</v>
      </c>
    </row>
    <row r="175">
      <c r="A175" s="4" t="inlineStr">
        <is>
          <t>工资</t>
        </is>
      </c>
      <c r="D175" s="7" t="n">
        <v>17540</v>
      </c>
      <c r="F175" s="7" t="n">
        <v>33014.8</v>
      </c>
      <c r="H175" s="7" t="n">
        <v>52177.4</v>
      </c>
      <c r="J175" s="7" t="n">
        <v>87210.8</v>
      </c>
      <c r="L175" s="7" t="n">
        <v>26842.9</v>
      </c>
      <c r="N175" s="7" t="n">
        <v>57916.3</v>
      </c>
      <c r="P175" s="7" t="n">
        <v>89663.5</v>
      </c>
      <c r="R175" s="7" t="n">
        <v>39615.8</v>
      </c>
      <c r="T175" s="7" t="n">
        <v>91631.89999999999</v>
      </c>
      <c r="V175" s="7" t="n">
        <v>53154</v>
      </c>
      <c r="X175" s="7" t="n">
        <v>17652.4</v>
      </c>
      <c r="Z175" s="7" t="n">
        <v>20229.4</v>
      </c>
      <c r="AB175" s="7" t="n">
        <v>586649.2</v>
      </c>
    </row>
    <row r="176">
      <c r="A176" s="4" t="inlineStr">
        <is>
          <t>奖金及提成</t>
        </is>
      </c>
      <c r="D176" s="7" t="n">
        <v>6962.7</v>
      </c>
      <c r="F176" s="7" t="n">
        <v>9778.1</v>
      </c>
      <c r="H176" s="7" t="n">
        <v>16804.1</v>
      </c>
      <c r="J176" s="7" t="n">
        <v>19833.9</v>
      </c>
      <c r="L176" s="7" t="n">
        <v>9696.1</v>
      </c>
      <c r="N176" s="7" t="n">
        <v>16816.9</v>
      </c>
      <c r="P176" s="7" t="n">
        <v>34109.6</v>
      </c>
      <c r="R176" s="7" t="n">
        <v>18605.6</v>
      </c>
      <c r="T176" s="7" t="n">
        <v>29250.2</v>
      </c>
      <c r="V176" s="7" t="n">
        <v>11968.4</v>
      </c>
      <c r="X176" s="7" t="n">
        <v>8178.3</v>
      </c>
      <c r="Z176" s="7" t="n">
        <v>6963.8</v>
      </c>
      <c r="AB176" s="7" t="n">
        <v>188967.7</v>
      </c>
    </row>
    <row r="177">
      <c r="A177" s="4" t="inlineStr">
        <is>
          <t>社保</t>
        </is>
      </c>
      <c r="D177" s="7" t="n">
        <v>4741.7</v>
      </c>
      <c r="F177" s="7" t="n">
        <v>11135.4</v>
      </c>
      <c r="H177" s="7" t="n">
        <v>10797.3</v>
      </c>
      <c r="J177" s="7" t="n">
        <v>14722</v>
      </c>
      <c r="L177" s="7" t="n">
        <v>8488.5</v>
      </c>
      <c r="N177" s="7" t="n">
        <v>19893.5</v>
      </c>
      <c r="P177" s="7" t="n">
        <v>18531.2</v>
      </c>
      <c r="R177" s="7" t="n">
        <v>14882</v>
      </c>
      <c r="T177" s="7" t="n">
        <v>23514.8</v>
      </c>
      <c r="V177" s="7" t="n">
        <v>11594.2</v>
      </c>
      <c r="X177" s="7" t="n">
        <v>6246.2</v>
      </c>
      <c r="Z177" s="7" t="n">
        <v>4587.3</v>
      </c>
      <c r="AB177" s="7" t="n">
        <v>149134.1</v>
      </c>
    </row>
    <row r="178">
      <c r="A178" s="4" t="inlineStr">
        <is>
          <t>养老</t>
        </is>
      </c>
      <c r="D178" s="7" t="n">
        <v>265.4</v>
      </c>
      <c r="F178" s="7" t="n">
        <v>834</v>
      </c>
      <c r="H178" s="7" t="n">
        <v>575.4</v>
      </c>
      <c r="J178" s="7" t="n">
        <v>972.7</v>
      </c>
      <c r="L178" s="7" t="n">
        <v>395.1</v>
      </c>
      <c r="N178" s="7" t="n">
        <v>1029.1</v>
      </c>
      <c r="P178" s="7" t="n">
        <v>1174.6</v>
      </c>
      <c r="R178" s="7" t="n">
        <v>792.3</v>
      </c>
      <c r="T178" s="7" t="n">
        <v>1479.1</v>
      </c>
      <c r="V178" s="7" t="n">
        <v>751.9</v>
      </c>
      <c r="X178" s="7" t="n">
        <v>448.8</v>
      </c>
      <c r="Z178" s="7" t="n">
        <v>350.2</v>
      </c>
      <c r="AB178" s="7" t="n">
        <v>9068.6</v>
      </c>
    </row>
    <row r="179">
      <c r="A179" s="4" t="inlineStr">
        <is>
          <t>医疗</t>
        </is>
      </c>
      <c r="D179" s="7" t="n">
        <v>16.5</v>
      </c>
      <c r="F179" s="7" t="n">
        <v>28.8</v>
      </c>
      <c r="H179" s="7" t="n">
        <v>44.6</v>
      </c>
      <c r="J179" s="7" t="n">
        <v>53.9</v>
      </c>
      <c r="L179" s="7" t="n">
        <v>17.2</v>
      </c>
      <c r="N179" s="7" t="n">
        <v>65.7</v>
      </c>
      <c r="P179" s="7" t="n">
        <v>84.59999999999999</v>
      </c>
      <c r="R179" s="7" t="n">
        <v>52.6</v>
      </c>
      <c r="T179" s="7" t="n">
        <v>76.2</v>
      </c>
      <c r="V179" s="7" t="n">
        <v>34.3</v>
      </c>
      <c r="X179" s="7" t="n">
        <v>14.3</v>
      </c>
      <c r="Z179" s="7" t="n">
        <v>19.1</v>
      </c>
      <c r="AB179" s="7" t="n">
        <v>507.8</v>
      </c>
    </row>
    <row r="180">
      <c r="A180" s="4" t="inlineStr">
        <is>
          <t>工伤</t>
        </is>
      </c>
      <c r="D180" s="7" t="n">
        <v>230.5</v>
      </c>
      <c r="F180" s="7" t="n">
        <v>548.1</v>
      </c>
      <c r="H180" s="7" t="n">
        <v>545.5</v>
      </c>
      <c r="J180" s="7" t="n">
        <v>1425.9</v>
      </c>
      <c r="L180" s="7" t="n">
        <v>395.5</v>
      </c>
      <c r="N180" s="7" t="n">
        <v>1070.8</v>
      </c>
      <c r="P180" s="7" t="n">
        <v>948.3</v>
      </c>
      <c r="R180" s="7" t="n">
        <v>647.5</v>
      </c>
      <c r="T180" s="7" t="n">
        <v>919.6</v>
      </c>
      <c r="V180" s="7" t="n">
        <v>697.5</v>
      </c>
      <c r="X180" s="7" t="n">
        <v>411.4</v>
      </c>
      <c r="Z180" s="7" t="n">
        <v>308.7</v>
      </c>
      <c r="AB180" s="7" t="n">
        <v>8149.3</v>
      </c>
    </row>
    <row r="181">
      <c r="A181" s="4" t="inlineStr">
        <is>
          <t>失业</t>
        </is>
      </c>
      <c r="D181" s="7" t="n">
        <v>234.1</v>
      </c>
      <c r="F181" s="7" t="n">
        <v>757.1</v>
      </c>
      <c r="H181" s="7" t="n">
        <v>483</v>
      </c>
      <c r="J181" s="7" t="n">
        <v>1363.1</v>
      </c>
      <c r="L181" s="7" t="n">
        <v>505.1</v>
      </c>
      <c r="N181" s="7" t="n">
        <v>896.1</v>
      </c>
      <c r="P181" s="7" t="n">
        <v>1164.9</v>
      </c>
      <c r="R181" s="7" t="n">
        <v>790.5</v>
      </c>
      <c r="T181" s="7" t="n">
        <v>1391.8</v>
      </c>
      <c r="V181" s="7" t="n">
        <v>999.1</v>
      </c>
      <c r="X181" s="7" t="n">
        <v>268.7</v>
      </c>
      <c r="Z181" s="7" t="n">
        <v>422.1</v>
      </c>
      <c r="AB181" s="7" t="n">
        <v>9275.6</v>
      </c>
    </row>
    <row r="182">
      <c r="A182" s="4" t="inlineStr">
        <is>
          <t>生育</t>
        </is>
      </c>
      <c r="D182" s="7" t="n">
        <v>72</v>
      </c>
      <c r="F182" s="7" t="n">
        <v>207.3</v>
      </c>
      <c r="H182" s="7" t="n">
        <v>141.9</v>
      </c>
      <c r="J182" s="7" t="n">
        <v>259.6</v>
      </c>
      <c r="L182" s="7" t="n">
        <v>137.9</v>
      </c>
      <c r="N182" s="7" t="n">
        <v>326.3</v>
      </c>
      <c r="P182" s="7" t="n">
        <v>343.6</v>
      </c>
      <c r="R182" s="7" t="n">
        <v>239.6</v>
      </c>
      <c r="T182" s="7" t="n">
        <v>246.6</v>
      </c>
      <c r="V182" s="7" t="n">
        <v>225.3</v>
      </c>
      <c r="X182" s="7" t="n">
        <v>64.7</v>
      </c>
      <c r="Z182" s="7" t="n">
        <v>111.2</v>
      </c>
      <c r="AB182" s="7" t="n">
        <v>2376</v>
      </c>
    </row>
    <row r="183">
      <c r="A183" s="4" t="inlineStr">
        <is>
          <t>公积金</t>
        </is>
      </c>
      <c r="D183" s="7" t="n">
        <v>63.4</v>
      </c>
      <c r="F183" s="7" t="n">
        <v>149.2</v>
      </c>
      <c r="H183" s="7" t="n">
        <v>169.3</v>
      </c>
      <c r="J183" s="7" t="n">
        <v>268.9</v>
      </c>
      <c r="L183" s="7" t="n">
        <v>80.3</v>
      </c>
      <c r="N183" s="7" t="n">
        <v>223.7</v>
      </c>
      <c r="P183" s="7" t="n">
        <v>251.6</v>
      </c>
      <c r="R183" s="7" t="n">
        <v>127.1</v>
      </c>
      <c r="T183" s="7" t="n">
        <v>310.9</v>
      </c>
      <c r="V183" s="7" t="n">
        <v>211.4</v>
      </c>
      <c r="X183" s="7" t="n">
        <v>98.5</v>
      </c>
      <c r="Z183" s="7" t="n">
        <v>59.6</v>
      </c>
      <c r="AB183" s="7" t="n">
        <v>2013.9</v>
      </c>
    </row>
    <row r="184">
      <c r="A184" s="4" t="inlineStr">
        <is>
          <t>工会经费</t>
        </is>
      </c>
      <c r="D184" s="7" t="n">
        <v>295.9</v>
      </c>
      <c r="F184" s="7" t="n">
        <v>773.4</v>
      </c>
      <c r="H184" s="7" t="n">
        <v>601.9</v>
      </c>
      <c r="J184" s="7" t="n">
        <v>1202</v>
      </c>
      <c r="L184" s="7" t="n">
        <v>509.4</v>
      </c>
      <c r="N184" s="7" t="n">
        <v>1562.8</v>
      </c>
      <c r="P184" s="7" t="n">
        <v>1756.9</v>
      </c>
      <c r="R184" s="7" t="n">
        <v>1187.7</v>
      </c>
      <c r="T184" s="7" t="n">
        <v>1690.8</v>
      </c>
      <c r="V184" s="7" t="n">
        <v>1054.3</v>
      </c>
      <c r="X184" s="7" t="n">
        <v>570.2</v>
      </c>
      <c r="Z184" s="7" t="n">
        <v>487.5</v>
      </c>
      <c r="AB184" s="7" t="n">
        <v>11692.8</v>
      </c>
    </row>
    <row r="185">
      <c r="A185" s="4" t="inlineStr">
        <is>
          <t>职工教育经费</t>
        </is>
      </c>
      <c r="D185" s="7" t="n">
        <v>143.6</v>
      </c>
      <c r="F185" s="7" t="n">
        <v>336.4</v>
      </c>
      <c r="H185" s="7" t="n">
        <v>230.2</v>
      </c>
      <c r="J185" s="7" t="n">
        <v>565.5</v>
      </c>
      <c r="L185" s="7" t="n">
        <v>178.9</v>
      </c>
      <c r="N185" s="7" t="n">
        <v>464.3</v>
      </c>
      <c r="P185" s="7" t="n">
        <v>645.2</v>
      </c>
      <c r="R185" s="7" t="n">
        <v>350.2</v>
      </c>
      <c r="T185" s="7" t="n">
        <v>715</v>
      </c>
      <c r="V185" s="7" t="n">
        <v>386</v>
      </c>
      <c r="X185" s="7" t="n">
        <v>210.6</v>
      </c>
      <c r="Z185" s="7" t="n">
        <v>119.1</v>
      </c>
      <c r="AB185" s="7" t="n">
        <v>4345</v>
      </c>
    </row>
    <row r="186">
      <c r="A186" s="4" t="inlineStr">
        <is>
          <t>福利费</t>
        </is>
      </c>
      <c r="D186" s="7" t="n">
        <v>1059.1</v>
      </c>
      <c r="F186" s="7" t="n">
        <v>2567.7</v>
      </c>
      <c r="H186" s="7" t="n">
        <v>2892.7</v>
      </c>
      <c r="J186" s="7" t="n">
        <v>5045.9</v>
      </c>
      <c r="L186" s="7" t="n">
        <v>1847.9</v>
      </c>
      <c r="N186" s="7" t="n">
        <v>4675.9</v>
      </c>
      <c r="P186" s="7" t="n">
        <v>5035.2</v>
      </c>
      <c r="R186" s="7" t="n">
        <v>3124.8</v>
      </c>
      <c r="T186" s="7" t="n">
        <v>5863.8</v>
      </c>
      <c r="V186" s="7" t="n">
        <v>3046.3</v>
      </c>
      <c r="X186" s="7" t="n">
        <v>1390.9</v>
      </c>
      <c r="Z186" s="7" t="n">
        <v>1525.7</v>
      </c>
      <c r="AB186" s="7" t="n">
        <v>38075.9</v>
      </c>
    </row>
    <row r="187">
      <c r="A187" s="4" t="inlineStr">
        <is>
          <t>职工房租</t>
        </is>
      </c>
      <c r="D187" s="7" t="n">
        <v>142</v>
      </c>
      <c r="F187" s="7" t="n">
        <v>349.1</v>
      </c>
      <c r="H187" s="7" t="n">
        <v>428</v>
      </c>
      <c r="J187" s="7" t="n">
        <v>595.4</v>
      </c>
      <c r="L187" s="7" t="n">
        <v>304.9</v>
      </c>
      <c r="N187" s="7" t="n">
        <v>590.5</v>
      </c>
      <c r="P187" s="7" t="n">
        <v>536.4</v>
      </c>
      <c r="R187" s="7" t="n">
        <v>447.7</v>
      </c>
      <c r="T187" s="7" t="n">
        <v>773.4</v>
      </c>
      <c r="V187" s="7" t="n">
        <v>338.6</v>
      </c>
      <c r="X187" s="7" t="n">
        <v>184</v>
      </c>
      <c r="Z187" s="7" t="n">
        <v>200.5</v>
      </c>
      <c r="AB187" s="7" t="n">
        <v>4890.5</v>
      </c>
    </row>
    <row r="188">
      <c r="A188" s="4" t="inlineStr">
        <is>
          <t>水电物业费</t>
        </is>
      </c>
      <c r="D188" s="7" t="n">
        <v>0.1</v>
      </c>
      <c r="F188" s="7" t="n">
        <v>0.2</v>
      </c>
      <c r="H188" s="7" t="n">
        <v>0.2</v>
      </c>
      <c r="J188" s="7" t="n">
        <v>0.2</v>
      </c>
      <c r="L188" s="7" t="n">
        <v>0.1</v>
      </c>
      <c r="N188" s="7" t="n">
        <v>0.2</v>
      </c>
      <c r="P188" s="7" t="n">
        <v>0.3</v>
      </c>
      <c r="R188" s="7" t="n">
        <v>0.2</v>
      </c>
      <c r="T188" s="7" t="n">
        <v>0.3</v>
      </c>
      <c r="V188" s="7" t="n">
        <v>0.1</v>
      </c>
      <c r="X188" s="7" t="n">
        <v>0.1</v>
      </c>
      <c r="Z188" s="7" t="n">
        <v>0.1</v>
      </c>
      <c r="AB188" s="7" t="n">
        <v>2.1</v>
      </c>
    </row>
    <row r="189">
      <c r="A189" s="4" t="inlineStr">
        <is>
          <t>员工餐</t>
        </is>
      </c>
      <c r="D189" s="7" t="n">
        <v>251.4</v>
      </c>
      <c r="F189" s="7" t="n">
        <v>489.2</v>
      </c>
      <c r="H189" s="7" t="n">
        <v>551</v>
      </c>
      <c r="J189" s="7" t="n">
        <v>964.2</v>
      </c>
      <c r="L189" s="7" t="n">
        <v>268.1</v>
      </c>
      <c r="N189" s="7" t="n">
        <v>979</v>
      </c>
      <c r="P189" s="7" t="n">
        <v>804.8</v>
      </c>
      <c r="R189" s="7" t="n">
        <v>563.6</v>
      </c>
      <c r="T189" s="7" t="n">
        <v>1178.5</v>
      </c>
      <c r="V189" s="7" t="n">
        <v>789.7</v>
      </c>
      <c r="X189" s="7" t="n">
        <v>236</v>
      </c>
      <c r="Z189" s="7" t="n">
        <v>272.8</v>
      </c>
      <c r="AB189" s="7" t="n">
        <v>7348.3</v>
      </c>
    </row>
    <row r="190">
      <c r="A190" s="4" t="inlineStr">
        <is>
          <t>节日礼品</t>
        </is>
      </c>
      <c r="D190" s="7" t="n">
        <v>213.9</v>
      </c>
      <c r="F190" s="7" t="n">
        <v>497.6</v>
      </c>
      <c r="H190" s="7" t="n">
        <v>494.9</v>
      </c>
      <c r="J190" s="7" t="n">
        <v>1209.1</v>
      </c>
      <c r="L190" s="7" t="n">
        <v>495.4</v>
      </c>
      <c r="N190" s="7" t="n">
        <v>811.4</v>
      </c>
      <c r="P190" s="7" t="n">
        <v>1291.5</v>
      </c>
      <c r="R190" s="7" t="n">
        <v>634.3</v>
      </c>
      <c r="T190" s="7" t="n">
        <v>1551.3</v>
      </c>
      <c r="V190" s="7" t="n">
        <v>724.3</v>
      </c>
      <c r="X190" s="7" t="n">
        <v>329.3</v>
      </c>
      <c r="Z190" s="7" t="n">
        <v>394.4</v>
      </c>
      <c r="AB190" s="7" t="n">
        <v>8647.4</v>
      </c>
    </row>
    <row r="191">
      <c r="A191" s="4" t="inlineStr">
        <is>
          <t>生日礼品</t>
        </is>
      </c>
      <c r="D191" s="7" t="n">
        <v>229.5</v>
      </c>
      <c r="F191" s="7" t="n">
        <v>603.5</v>
      </c>
      <c r="H191" s="7" t="n">
        <v>809.2</v>
      </c>
      <c r="J191" s="7" t="n">
        <v>1313.5</v>
      </c>
      <c r="L191" s="7" t="n">
        <v>470.2</v>
      </c>
      <c r="N191" s="7" t="n">
        <v>1261.1</v>
      </c>
      <c r="P191" s="7" t="n">
        <v>1199.6</v>
      </c>
      <c r="R191" s="7" t="n">
        <v>872.8</v>
      </c>
      <c r="T191" s="7" t="n">
        <v>1603.4</v>
      </c>
      <c r="V191" s="7" t="n">
        <v>617</v>
      </c>
      <c r="X191" s="7" t="n">
        <v>344.9</v>
      </c>
      <c r="Z191" s="7" t="n">
        <v>350.8</v>
      </c>
      <c r="AB191" s="7" t="n">
        <v>9675.5</v>
      </c>
    </row>
    <row r="192">
      <c r="A192" s="4" t="inlineStr">
        <is>
          <t>体检</t>
        </is>
      </c>
      <c r="D192" s="7" t="n">
        <v>25.7</v>
      </c>
      <c r="F192" s="7" t="n">
        <v>51.9</v>
      </c>
      <c r="H192" s="7" t="n">
        <v>43.2</v>
      </c>
      <c r="J192" s="7" t="n">
        <v>74.40000000000001</v>
      </c>
      <c r="L192" s="7" t="n">
        <v>37.9</v>
      </c>
      <c r="N192" s="7" t="n">
        <v>59.2</v>
      </c>
      <c r="P192" s="7" t="n">
        <v>87.7</v>
      </c>
      <c r="R192" s="7" t="n">
        <v>61.5</v>
      </c>
      <c r="T192" s="7" t="n">
        <v>66.3</v>
      </c>
      <c r="V192" s="7" t="n">
        <v>49.9</v>
      </c>
      <c r="X192" s="7" t="n">
        <v>24.8</v>
      </c>
      <c r="Z192" s="7" t="n">
        <v>28.7</v>
      </c>
      <c r="AB192" s="7" t="n">
        <v>611.2</v>
      </c>
    </row>
    <row r="193">
      <c r="A193" s="4" t="inlineStr">
        <is>
          <t>其他福利支出</t>
        </is>
      </c>
      <c r="D193" s="7" t="n">
        <v>196.5</v>
      </c>
      <c r="F193" s="7" t="n">
        <v>576.2</v>
      </c>
      <c r="H193" s="7" t="n">
        <v>566.2</v>
      </c>
      <c r="J193" s="7" t="n">
        <v>889.1</v>
      </c>
      <c r="L193" s="7" t="n">
        <v>271.3</v>
      </c>
      <c r="N193" s="7" t="n">
        <v>974.5</v>
      </c>
      <c r="P193" s="7" t="n">
        <v>1114.9</v>
      </c>
      <c r="R193" s="7" t="n">
        <v>544.7</v>
      </c>
      <c r="T193" s="7" t="n">
        <v>690.6</v>
      </c>
      <c r="V193" s="7" t="n">
        <v>526.7</v>
      </c>
      <c r="X193" s="7" t="n">
        <v>271.8</v>
      </c>
      <c r="Z193" s="7" t="n">
        <v>278.4</v>
      </c>
      <c r="AB193" s="7" t="n">
        <v>6900.9</v>
      </c>
    </row>
    <row r="194">
      <c r="A194" s="4" t="inlineStr">
        <is>
          <t>招聘费</t>
        </is>
      </c>
      <c r="D194" s="7" t="n">
        <v>140.3</v>
      </c>
      <c r="F194" s="7" t="n">
        <v>322.7</v>
      </c>
      <c r="H194" s="7" t="n">
        <v>302.8</v>
      </c>
      <c r="J194" s="7" t="n">
        <v>574.5</v>
      </c>
      <c r="L194" s="7" t="n">
        <v>201</v>
      </c>
      <c r="N194" s="7" t="n">
        <v>370.9</v>
      </c>
      <c r="P194" s="7" t="n">
        <v>554</v>
      </c>
      <c r="R194" s="7" t="n">
        <v>290.6</v>
      </c>
      <c r="T194" s="7" t="n">
        <v>476.2</v>
      </c>
      <c r="V194" s="7" t="n">
        <v>363.6</v>
      </c>
      <c r="X194" s="7" t="n">
        <v>185.5</v>
      </c>
      <c r="Z194" s="7" t="n">
        <v>156.6</v>
      </c>
      <c r="AB194" s="7" t="n">
        <v>3938.7</v>
      </c>
    </row>
    <row r="195">
      <c r="A195" s="4" t="inlineStr">
        <is>
          <t>办公费</t>
        </is>
      </c>
      <c r="D195" s="7" t="n">
        <v>2442.6</v>
      </c>
      <c r="F195" s="7" t="n">
        <v>4070.1</v>
      </c>
      <c r="H195" s="7" t="n">
        <v>4591.6</v>
      </c>
      <c r="J195" s="7" t="n">
        <v>6228.7</v>
      </c>
      <c r="L195" s="7" t="n">
        <v>2191.9</v>
      </c>
      <c r="N195" s="7" t="n">
        <v>6305.7</v>
      </c>
      <c r="P195" s="7" t="n">
        <v>7797.9</v>
      </c>
      <c r="R195" s="7" t="n">
        <v>5302.9</v>
      </c>
      <c r="T195" s="7" t="n">
        <v>8840.6</v>
      </c>
      <c r="V195" s="7" t="n">
        <v>4794.2</v>
      </c>
      <c r="X195" s="7" t="n">
        <v>2530.3</v>
      </c>
      <c r="Z195" s="7" t="n">
        <v>2649.4</v>
      </c>
      <c r="AB195" s="7" t="n">
        <v>57745.9</v>
      </c>
    </row>
    <row r="196">
      <c r="A196" s="4" t="inlineStr">
        <is>
          <t>市内交通费</t>
        </is>
      </c>
      <c r="D196" s="7" t="n">
        <v>144.7</v>
      </c>
      <c r="F196" s="7" t="n">
        <v>300.7</v>
      </c>
      <c r="H196" s="7" t="n">
        <v>260.5</v>
      </c>
      <c r="J196" s="7" t="n">
        <v>311.6</v>
      </c>
      <c r="L196" s="7" t="n">
        <v>140.2</v>
      </c>
      <c r="N196" s="7" t="n">
        <v>476.6</v>
      </c>
      <c r="P196" s="7" t="n">
        <v>404.4</v>
      </c>
      <c r="R196" s="7" t="n">
        <v>365.7</v>
      </c>
      <c r="T196" s="7" t="n">
        <v>400</v>
      </c>
      <c r="V196" s="7" t="n">
        <v>274.9</v>
      </c>
      <c r="X196" s="7" t="n">
        <v>117.1</v>
      </c>
      <c r="Z196" s="7" t="n">
        <v>165.4</v>
      </c>
      <c r="AB196" s="7" t="n">
        <v>3361.8</v>
      </c>
    </row>
    <row r="197">
      <c r="A197" s="4" t="inlineStr">
        <is>
          <t>差旅费</t>
        </is>
      </c>
      <c r="D197" s="7" t="n">
        <v>4269.7</v>
      </c>
      <c r="F197" s="7" t="n">
        <v>7123</v>
      </c>
      <c r="H197" s="7" t="n">
        <v>9475.700000000001</v>
      </c>
      <c r="J197" s="7" t="n">
        <v>10030.7</v>
      </c>
      <c r="L197" s="7" t="n">
        <v>6772.7</v>
      </c>
      <c r="N197" s="7" t="n">
        <v>10537.6</v>
      </c>
      <c r="P197" s="7" t="n">
        <v>19266.6</v>
      </c>
      <c r="R197" s="7" t="n">
        <v>11636.6</v>
      </c>
      <c r="T197" s="7" t="n">
        <v>19587.2</v>
      </c>
      <c r="V197" s="7" t="n">
        <v>11555.2</v>
      </c>
      <c r="X197" s="7" t="n">
        <v>4567.4</v>
      </c>
      <c r="Z197" s="7" t="n">
        <v>3705.5</v>
      </c>
      <c r="AB197" s="7" t="n">
        <v>118527.9</v>
      </c>
    </row>
    <row r="198">
      <c r="A198" s="4" t="inlineStr">
        <is>
          <t>交通费</t>
        </is>
      </c>
      <c r="D198" s="7" t="n">
        <v>387.3</v>
      </c>
      <c r="F198" s="7" t="n">
        <v>607.4</v>
      </c>
      <c r="H198" s="7" t="n">
        <v>774.5</v>
      </c>
      <c r="J198" s="7" t="n">
        <v>1501</v>
      </c>
      <c r="L198" s="7" t="n">
        <v>455.5</v>
      </c>
      <c r="N198" s="7" t="n">
        <v>1511.2</v>
      </c>
      <c r="P198" s="7" t="n">
        <v>1739</v>
      </c>
      <c r="R198" s="7" t="n">
        <v>774.1</v>
      </c>
      <c r="T198" s="7" t="n">
        <v>1420.5</v>
      </c>
      <c r="V198" s="7" t="n">
        <v>612</v>
      </c>
      <c r="X198" s="7" t="n">
        <v>321.3</v>
      </c>
      <c r="Z198" s="7" t="n">
        <v>404.2</v>
      </c>
      <c r="AB198" s="7" t="n">
        <v>10508</v>
      </c>
    </row>
    <row r="199">
      <c r="A199" s="4" t="inlineStr">
        <is>
          <t>住宿费</t>
        </is>
      </c>
      <c r="D199" s="7" t="n">
        <v>399.6</v>
      </c>
      <c r="F199" s="7" t="n">
        <v>830.3</v>
      </c>
      <c r="H199" s="7" t="n">
        <v>875.2</v>
      </c>
      <c r="J199" s="7" t="n">
        <v>1336.1</v>
      </c>
      <c r="L199" s="7" t="n">
        <v>529.5</v>
      </c>
      <c r="N199" s="7" t="n">
        <v>1361.8</v>
      </c>
      <c r="P199" s="7" t="n">
        <v>1384.6</v>
      </c>
      <c r="R199" s="7" t="n">
        <v>922.2</v>
      </c>
      <c r="T199" s="7" t="n">
        <v>1598.7</v>
      </c>
      <c r="V199" s="7" t="n">
        <v>1100.8</v>
      </c>
      <c r="X199" s="7" t="n">
        <v>329.6</v>
      </c>
      <c r="Z199" s="7" t="n">
        <v>302.7</v>
      </c>
      <c r="AB199" s="7" t="n">
        <v>10971.1</v>
      </c>
    </row>
    <row r="200">
      <c r="A200" s="4" t="inlineStr">
        <is>
          <t>餐补</t>
        </is>
      </c>
      <c r="D200" s="7" t="n">
        <v>232.2</v>
      </c>
      <c r="F200" s="7" t="n">
        <v>487.3</v>
      </c>
      <c r="H200" s="7" t="n">
        <v>618.7</v>
      </c>
      <c r="J200" s="7" t="n">
        <v>963.6</v>
      </c>
      <c r="L200" s="7" t="n">
        <v>406.9</v>
      </c>
      <c r="N200" s="7" t="n">
        <v>1067.5</v>
      </c>
      <c r="P200" s="7" t="n">
        <v>916.1</v>
      </c>
      <c r="R200" s="7" t="n">
        <v>797.4</v>
      </c>
      <c r="T200" s="7" t="n">
        <v>1022.7</v>
      </c>
      <c r="V200" s="7" t="n">
        <v>676.1</v>
      </c>
      <c r="X200" s="7" t="n">
        <v>370</v>
      </c>
      <c r="Z200" s="7" t="n">
        <v>260.2</v>
      </c>
      <c r="AB200" s="7" t="n">
        <v>7818.7</v>
      </c>
    </row>
    <row r="201">
      <c r="A201" s="4" t="inlineStr">
        <is>
          <t>交通补助</t>
        </is>
      </c>
      <c r="D201" s="7" t="n">
        <v>57.5</v>
      </c>
      <c r="F201" s="7" t="n">
        <v>99.7</v>
      </c>
      <c r="H201" s="7" t="n">
        <v>174</v>
      </c>
      <c r="J201" s="7" t="n">
        <v>250.5</v>
      </c>
      <c r="L201" s="7" t="n">
        <v>105</v>
      </c>
      <c r="N201" s="7" t="n">
        <v>231.1</v>
      </c>
      <c r="P201" s="7" t="n">
        <v>276.7</v>
      </c>
      <c r="R201" s="7" t="n">
        <v>156.4</v>
      </c>
      <c r="T201" s="7" t="n">
        <v>315.9</v>
      </c>
      <c r="V201" s="7" t="n">
        <v>150.9</v>
      </c>
      <c r="X201" s="7" t="n">
        <v>61.6</v>
      </c>
      <c r="Z201" s="7" t="n">
        <v>59.9</v>
      </c>
      <c r="AB201" s="7" t="n">
        <v>1939.2</v>
      </c>
    </row>
    <row r="202">
      <c r="A202" s="4" t="inlineStr">
        <is>
          <t>通讯补助</t>
        </is>
      </c>
      <c r="D202" s="7" t="n">
        <v>28.6</v>
      </c>
      <c r="F202" s="7" t="n">
        <v>57.5</v>
      </c>
      <c r="H202" s="7" t="n">
        <v>62.6</v>
      </c>
      <c r="J202" s="7" t="n">
        <v>78.5</v>
      </c>
      <c r="L202" s="7" t="n">
        <v>35.4</v>
      </c>
      <c r="N202" s="7" t="n">
        <v>85.40000000000001</v>
      </c>
      <c r="P202" s="7" t="n">
        <v>105.7</v>
      </c>
      <c r="R202" s="7" t="n">
        <v>69.5</v>
      </c>
      <c r="T202" s="7" t="n">
        <v>99.5</v>
      </c>
      <c r="V202" s="7" t="n">
        <v>86.59999999999999</v>
      </c>
      <c r="X202" s="7" t="n">
        <v>33.4</v>
      </c>
      <c r="Z202" s="7" t="n">
        <v>42.5</v>
      </c>
      <c r="AB202" s="7" t="n">
        <v>785.2</v>
      </c>
    </row>
    <row r="203">
      <c r="A203" s="4" t="inlineStr">
        <is>
          <t>招待费</t>
        </is>
      </c>
      <c r="D203" s="7" t="n">
        <v>3050.5</v>
      </c>
      <c r="F203" s="7" t="n">
        <v>6977.1</v>
      </c>
      <c r="H203" s="7" t="n">
        <v>3867</v>
      </c>
      <c r="J203" s="7" t="n">
        <v>10237.9</v>
      </c>
      <c r="L203" s="7" t="n">
        <v>3675.4</v>
      </c>
      <c r="N203" s="7" t="n">
        <v>11464.5</v>
      </c>
      <c r="P203" s="7" t="n">
        <v>11238.9</v>
      </c>
      <c r="R203" s="7" t="n">
        <v>7276</v>
      </c>
      <c r="T203" s="7" t="n">
        <v>13662.7</v>
      </c>
      <c r="V203" s="7" t="n">
        <v>7461.9</v>
      </c>
      <c r="X203" s="7" t="n">
        <v>2621.4</v>
      </c>
      <c r="Z203" s="7" t="n">
        <v>3663.6</v>
      </c>
      <c r="AB203" s="7" t="n">
        <v>85196.89999999999</v>
      </c>
    </row>
    <row r="204">
      <c r="A204" s="4" t="inlineStr">
        <is>
          <t>通讯费</t>
        </is>
      </c>
      <c r="D204" s="7" t="n">
        <v>368.6</v>
      </c>
      <c r="F204" s="7" t="n">
        <v>859</v>
      </c>
      <c r="H204" s="7" t="n">
        <v>738.7</v>
      </c>
      <c r="J204" s="7" t="n">
        <v>1795.4</v>
      </c>
      <c r="L204" s="7" t="n">
        <v>702.3</v>
      </c>
      <c r="N204" s="7" t="n">
        <v>1321.9</v>
      </c>
      <c r="P204" s="7" t="n">
        <v>1926</v>
      </c>
      <c r="R204" s="7" t="n">
        <v>1016.5</v>
      </c>
      <c r="T204" s="7" t="n">
        <v>1205.4</v>
      </c>
      <c r="V204" s="7" t="n">
        <v>1290.8</v>
      </c>
      <c r="X204" s="7" t="n">
        <v>371</v>
      </c>
      <c r="Z204" s="7" t="n">
        <v>458</v>
      </c>
      <c r="AB204" s="7" t="n">
        <v>12053.6</v>
      </c>
    </row>
    <row r="205">
      <c r="A205" s="4" t="inlineStr">
        <is>
          <t>网络费</t>
        </is>
      </c>
      <c r="D205" s="7" t="n">
        <v>317.8</v>
      </c>
      <c r="F205" s="7" t="n">
        <v>1072</v>
      </c>
      <c r="H205" s="7" t="n">
        <v>871.7</v>
      </c>
      <c r="J205" s="7" t="n">
        <v>1017.8</v>
      </c>
      <c r="L205" s="7" t="n">
        <v>436.6</v>
      </c>
      <c r="N205" s="7" t="n">
        <v>1580.6</v>
      </c>
      <c r="P205" s="7" t="n">
        <v>1903.9</v>
      </c>
      <c r="R205" s="7" t="n">
        <v>1285.3</v>
      </c>
      <c r="T205" s="7" t="n">
        <v>1589.5</v>
      </c>
      <c r="V205" s="7" t="n">
        <v>797</v>
      </c>
      <c r="X205" s="7" t="n">
        <v>466.9</v>
      </c>
      <c r="Z205" s="7" t="n">
        <v>511.2</v>
      </c>
      <c r="AB205" s="7" t="n">
        <v>11850.3</v>
      </c>
    </row>
    <row r="206">
      <c r="A206" s="4" t="inlineStr">
        <is>
          <t>修理费</t>
        </is>
      </c>
      <c r="D206" s="7" t="n">
        <v>476.3</v>
      </c>
      <c r="F206" s="7" t="n">
        <v>942.7</v>
      </c>
      <c r="H206" s="7" t="n">
        <v>1109</v>
      </c>
      <c r="J206" s="7" t="n">
        <v>1708</v>
      </c>
      <c r="L206" s="7" t="n">
        <v>481.7</v>
      </c>
      <c r="N206" s="7" t="n">
        <v>1440.3</v>
      </c>
      <c r="P206" s="7" t="n">
        <v>1513.8</v>
      </c>
      <c r="R206" s="7" t="n">
        <v>816.9</v>
      </c>
      <c r="T206" s="7" t="n">
        <v>1256</v>
      </c>
      <c r="V206" s="7" t="n">
        <v>1266.3</v>
      </c>
      <c r="X206" s="7" t="n">
        <v>486.4</v>
      </c>
      <c r="Z206" s="7" t="n">
        <v>490.3</v>
      </c>
      <c r="AB206" s="7" t="n">
        <v>11987.7</v>
      </c>
    </row>
    <row r="207">
      <c r="A207" s="4" t="inlineStr">
        <is>
          <t>车辆费</t>
        </is>
      </c>
      <c r="D207" s="7" t="n">
        <v>81.5</v>
      </c>
      <c r="F207" s="7" t="n">
        <v>188.5</v>
      </c>
      <c r="H207" s="7" t="n">
        <v>220.6</v>
      </c>
      <c r="J207" s="7" t="n">
        <v>333</v>
      </c>
      <c r="L207" s="7" t="n">
        <v>100.7</v>
      </c>
      <c r="N207" s="7" t="n">
        <v>380.1</v>
      </c>
      <c r="P207" s="7" t="n">
        <v>400.8</v>
      </c>
      <c r="R207" s="7" t="n">
        <v>274.6</v>
      </c>
      <c r="T207" s="7" t="n">
        <v>428.2</v>
      </c>
      <c r="V207" s="7" t="n">
        <v>289.5</v>
      </c>
      <c r="X207" s="7" t="n">
        <v>115.2</v>
      </c>
      <c r="Z207" s="7" t="n">
        <v>122.6</v>
      </c>
      <c r="AB207" s="7" t="n">
        <v>2935.3</v>
      </c>
    </row>
    <row r="208">
      <c r="A208" s="4" t="inlineStr">
        <is>
          <t>租赁费</t>
        </is>
      </c>
      <c r="D208" s="7" t="n">
        <v>2374.1</v>
      </c>
      <c r="F208" s="7" t="n">
        <v>8505.799999999999</v>
      </c>
      <c r="H208" s="7" t="n">
        <v>5234</v>
      </c>
      <c r="J208" s="7" t="n">
        <v>13619.7</v>
      </c>
      <c r="L208" s="7" t="n">
        <v>4183.1</v>
      </c>
      <c r="N208" s="7" t="n">
        <v>8670.799999999999</v>
      </c>
      <c r="P208" s="7" t="n">
        <v>15244.6</v>
      </c>
      <c r="R208" s="7" t="n">
        <v>8161.7</v>
      </c>
      <c r="T208" s="7" t="n">
        <v>12548.5</v>
      </c>
      <c r="V208" s="7" t="n">
        <v>9217.299999999999</v>
      </c>
      <c r="X208" s="7" t="n">
        <v>3613.9</v>
      </c>
      <c r="Z208" s="7" t="n">
        <v>3738.5</v>
      </c>
      <c r="AB208" s="7" t="n">
        <v>95112</v>
      </c>
    </row>
    <row r="209">
      <c r="A209" s="4" t="inlineStr">
        <is>
          <t>能源费</t>
        </is>
      </c>
      <c r="D209" s="7" t="n">
        <v>728.5</v>
      </c>
      <c r="F209" s="7" t="n">
        <v>1529.4</v>
      </c>
      <c r="H209" s="7" t="n">
        <v>1775.4</v>
      </c>
      <c r="J209" s="7" t="n">
        <v>2832.6</v>
      </c>
      <c r="L209" s="7" t="n">
        <v>1114.9</v>
      </c>
      <c r="N209" s="7" t="n">
        <v>3209.6</v>
      </c>
      <c r="P209" s="7" t="n">
        <v>3209</v>
      </c>
      <c r="R209" s="7" t="n">
        <v>2223.9</v>
      </c>
      <c r="T209" s="7" t="n">
        <v>3789.9</v>
      </c>
      <c r="V209" s="7" t="n">
        <v>2460.5</v>
      </c>
      <c r="X209" s="7" t="n">
        <v>903.5</v>
      </c>
      <c r="Z209" s="7" t="n">
        <v>1035.3</v>
      </c>
      <c r="AB209" s="7" t="n">
        <v>24812.5</v>
      </c>
    </row>
    <row r="210">
      <c r="A210" s="4" t="inlineStr">
        <is>
          <t>水费</t>
        </is>
      </c>
      <c r="D210" s="7" t="n">
        <v>239.4</v>
      </c>
      <c r="F210" s="7" t="n">
        <v>380.2</v>
      </c>
      <c r="H210" s="7" t="n">
        <v>349.8</v>
      </c>
      <c r="J210" s="7" t="n">
        <v>892.4</v>
      </c>
      <c r="L210" s="7" t="n">
        <v>352.4</v>
      </c>
      <c r="N210" s="7" t="n">
        <v>1061.6</v>
      </c>
      <c r="P210" s="7" t="n">
        <v>842.8</v>
      </c>
      <c r="R210" s="7" t="n">
        <v>707.2</v>
      </c>
      <c r="T210" s="7" t="n">
        <v>1207.5</v>
      </c>
      <c r="V210" s="7" t="n">
        <v>553.1</v>
      </c>
      <c r="X210" s="7" t="n">
        <v>252.5</v>
      </c>
      <c r="Z210" s="7" t="n">
        <v>289.3</v>
      </c>
      <c r="AB210" s="7" t="n">
        <v>7128.2</v>
      </c>
    </row>
    <row r="211">
      <c r="A211" s="4" t="inlineStr">
        <is>
          <t>电费</t>
        </is>
      </c>
      <c r="D211" s="7" t="n">
        <v>171</v>
      </c>
      <c r="F211" s="7" t="n">
        <v>378.7</v>
      </c>
      <c r="H211" s="7" t="n">
        <v>553.2</v>
      </c>
      <c r="J211" s="7" t="n">
        <v>637.8</v>
      </c>
      <c r="L211" s="7" t="n">
        <v>258.2</v>
      </c>
      <c r="N211" s="7" t="n">
        <v>914.5</v>
      </c>
      <c r="P211" s="7" t="n">
        <v>1070.9</v>
      </c>
      <c r="R211" s="7" t="n">
        <v>690.1</v>
      </c>
      <c r="T211" s="7" t="n">
        <v>1133.7</v>
      </c>
      <c r="V211" s="7" t="n">
        <v>732.7</v>
      </c>
      <c r="X211" s="7" t="n">
        <v>241</v>
      </c>
      <c r="Z211" s="7" t="n">
        <v>253.7</v>
      </c>
      <c r="AB211" s="7" t="n">
        <v>7035.5</v>
      </c>
    </row>
    <row r="212">
      <c r="A212" s="4" t="inlineStr">
        <is>
          <t>燃气费</t>
        </is>
      </c>
      <c r="D212" s="7" t="n">
        <v>90.09999999999999</v>
      </c>
      <c r="F212" s="7" t="n">
        <v>195.8</v>
      </c>
      <c r="H212" s="7" t="n">
        <v>296.6</v>
      </c>
      <c r="J212" s="7" t="n">
        <v>439.5</v>
      </c>
      <c r="L212" s="7" t="n">
        <v>162.7</v>
      </c>
      <c r="N212" s="7" t="n">
        <v>341.5</v>
      </c>
      <c r="P212" s="7" t="n">
        <v>548.1</v>
      </c>
      <c r="R212" s="7" t="n">
        <v>245.6</v>
      </c>
      <c r="T212" s="7" t="n">
        <v>547.1</v>
      </c>
      <c r="V212" s="7" t="n">
        <v>397.4</v>
      </c>
      <c r="X212" s="7" t="n">
        <v>124.6</v>
      </c>
      <c r="Z212" s="7" t="n">
        <v>135.6</v>
      </c>
      <c r="AB212" s="7" t="n">
        <v>3524.6</v>
      </c>
    </row>
    <row r="213">
      <c r="A213" s="4" t="inlineStr">
        <is>
          <t>蒸汽费</t>
        </is>
      </c>
      <c r="D213" s="7" t="n">
        <v>228</v>
      </c>
      <c r="F213" s="7" t="n">
        <v>574.7</v>
      </c>
      <c r="H213" s="7" t="n">
        <v>575.8</v>
      </c>
      <c r="J213" s="7" t="n">
        <v>862.9</v>
      </c>
      <c r="L213" s="7" t="n">
        <v>341.6</v>
      </c>
      <c r="N213" s="7" t="n">
        <v>892</v>
      </c>
      <c r="P213" s="7" t="n">
        <v>747.2</v>
      </c>
      <c r="R213" s="7" t="n">
        <v>581</v>
      </c>
      <c r="T213" s="7" t="n">
        <v>901.6</v>
      </c>
      <c r="V213" s="7" t="n">
        <v>777.3</v>
      </c>
      <c r="X213" s="7" t="n">
        <v>285.4</v>
      </c>
      <c r="Z213" s="7" t="n">
        <v>356.7</v>
      </c>
      <c r="AB213" s="7" t="n">
        <v>7124.2</v>
      </c>
    </row>
    <row r="214">
      <c r="A214" s="4" t="inlineStr">
        <is>
          <t>物业费</t>
        </is>
      </c>
      <c r="D214" s="7" t="n">
        <v>64.09999999999999</v>
      </c>
      <c r="F214" s="7" t="n">
        <v>146.2</v>
      </c>
      <c r="H214" s="7" t="n">
        <v>118</v>
      </c>
      <c r="J214" s="7" t="n">
        <v>187.3</v>
      </c>
      <c r="L214" s="7" t="n">
        <v>73.90000000000001</v>
      </c>
      <c r="N214" s="7" t="n">
        <v>209.4</v>
      </c>
      <c r="P214" s="7" t="n">
        <v>186.6</v>
      </c>
      <c r="R214" s="7" t="n">
        <v>158.9</v>
      </c>
      <c r="T214" s="7" t="n">
        <v>284.2</v>
      </c>
      <c r="V214" s="7" t="n">
        <v>179.9</v>
      </c>
      <c r="X214" s="7" t="n">
        <v>50.7</v>
      </c>
      <c r="Z214" s="7" t="n">
        <v>66</v>
      </c>
      <c r="AB214" s="7" t="n">
        <v>1725.2</v>
      </c>
    </row>
    <row r="215">
      <c r="A215" s="4" t="inlineStr">
        <is>
          <t>劳动保护费</t>
        </is>
      </c>
      <c r="D215" s="7" t="n">
        <v>135.8</v>
      </c>
      <c r="F215" s="7" t="n">
        <v>174.3</v>
      </c>
      <c r="H215" s="7" t="n">
        <v>176.3</v>
      </c>
      <c r="J215" s="7" t="n">
        <v>285.3</v>
      </c>
      <c r="L215" s="7" t="n">
        <v>164.7</v>
      </c>
      <c r="N215" s="7" t="n">
        <v>286.1</v>
      </c>
      <c r="P215" s="7" t="n">
        <v>476.3</v>
      </c>
      <c r="R215" s="7" t="n">
        <v>276</v>
      </c>
      <c r="T215" s="7" t="n">
        <v>487.3</v>
      </c>
      <c r="V215" s="7" t="n">
        <v>361</v>
      </c>
      <c r="X215" s="7" t="n">
        <v>130.7</v>
      </c>
      <c r="Z215" s="7" t="n">
        <v>129.8</v>
      </c>
      <c r="AB215" s="7" t="n">
        <v>3083.6</v>
      </c>
    </row>
    <row r="216">
      <c r="A216" s="4" t="inlineStr">
        <is>
          <t>顾问费</t>
        </is>
      </c>
      <c r="D216" s="7" t="n">
        <v>411.2</v>
      </c>
      <c r="F216" s="7" t="n">
        <v>1032.8</v>
      </c>
      <c r="H216" s="7" t="n">
        <v>825.4</v>
      </c>
      <c r="J216" s="7" t="n">
        <v>1269.3</v>
      </c>
      <c r="L216" s="7" t="n">
        <v>723.6</v>
      </c>
      <c r="N216" s="7" t="n">
        <v>1721.8</v>
      </c>
      <c r="P216" s="7" t="n">
        <v>1506.6</v>
      </c>
      <c r="R216" s="7" t="n">
        <v>1087</v>
      </c>
      <c r="T216" s="7" t="n">
        <v>1765</v>
      </c>
      <c r="V216" s="7" t="n">
        <v>1032.9</v>
      </c>
      <c r="X216" s="7" t="n">
        <v>481.5</v>
      </c>
      <c r="Z216" s="7" t="n">
        <v>526.9</v>
      </c>
      <c r="AB216" s="7" t="n">
        <v>12384</v>
      </c>
    </row>
    <row r="217">
      <c r="A217" s="4" t="inlineStr">
        <is>
          <t>快递费</t>
        </is>
      </c>
      <c r="D217" s="7" t="n">
        <v>420.4</v>
      </c>
      <c r="F217" s="7" t="n">
        <v>804.1</v>
      </c>
      <c r="H217" s="7" t="n">
        <v>609.4</v>
      </c>
      <c r="J217" s="7" t="n">
        <v>1303.2</v>
      </c>
      <c r="L217" s="7" t="n">
        <v>511.1</v>
      </c>
      <c r="N217" s="7" t="n">
        <v>1035.6</v>
      </c>
      <c r="P217" s="7" t="n">
        <v>1856.3</v>
      </c>
      <c r="R217" s="7" t="n">
        <v>1033.1</v>
      </c>
      <c r="T217" s="7" t="n">
        <v>1907.2</v>
      </c>
      <c r="V217" s="7" t="n">
        <v>1067.2</v>
      </c>
      <c r="X217" s="7" t="n">
        <v>404.2</v>
      </c>
      <c r="Z217" s="7" t="n">
        <v>373</v>
      </c>
      <c r="AB217" s="7" t="n">
        <v>11324.8</v>
      </c>
    </row>
    <row r="218">
      <c r="A218" s="4" t="inlineStr">
        <is>
          <t>诉讼费</t>
        </is>
      </c>
      <c r="D218" s="7" t="n">
        <v>91</v>
      </c>
      <c r="F218" s="7" t="n">
        <v>143.3</v>
      </c>
      <c r="H218" s="7" t="n">
        <v>181.3</v>
      </c>
      <c r="J218" s="7" t="n">
        <v>242</v>
      </c>
      <c r="L218" s="7" t="n">
        <v>112.3</v>
      </c>
      <c r="N218" s="7" t="n">
        <v>411.9</v>
      </c>
      <c r="P218" s="7" t="n">
        <v>346</v>
      </c>
      <c r="R218" s="7" t="n">
        <v>238.9</v>
      </c>
      <c r="T218" s="7" t="n">
        <v>373.8</v>
      </c>
      <c r="V218" s="7" t="n">
        <v>175.6</v>
      </c>
      <c r="X218" s="7" t="n">
        <v>135.7</v>
      </c>
      <c r="Z218" s="7" t="n">
        <v>94.09999999999999</v>
      </c>
      <c r="AB218" s="7" t="n">
        <v>2545.9</v>
      </c>
    </row>
    <row r="219">
      <c r="A219" s="4" t="inlineStr">
        <is>
          <t>会员费</t>
        </is>
      </c>
      <c r="D219" s="7" t="n">
        <v>298.5</v>
      </c>
      <c r="F219" s="7" t="n">
        <v>748.1</v>
      </c>
      <c r="H219" s="7" t="n">
        <v>759.6</v>
      </c>
      <c r="J219" s="7" t="n">
        <v>920.1</v>
      </c>
      <c r="L219" s="7" t="n">
        <v>450</v>
      </c>
      <c r="N219" s="7" t="n">
        <v>856</v>
      </c>
      <c r="P219" s="7" t="n">
        <v>1325.7</v>
      </c>
      <c r="R219" s="7" t="n">
        <v>719.3</v>
      </c>
      <c r="T219" s="7" t="n">
        <v>1349.6</v>
      </c>
      <c r="V219" s="7" t="n">
        <v>932</v>
      </c>
      <c r="X219" s="7" t="n">
        <v>342.2</v>
      </c>
      <c r="Z219" s="7" t="n">
        <v>313.1</v>
      </c>
      <c r="AB219" s="7" t="n">
        <v>9014.200000000001</v>
      </c>
    </row>
    <row r="220">
      <c r="A220" s="4" t="inlineStr">
        <is>
          <t>广告宣传费</t>
        </is>
      </c>
      <c r="D220" s="7" t="n">
        <v>2383.9</v>
      </c>
      <c r="F220" s="7" t="n">
        <v>4100.5</v>
      </c>
      <c r="H220" s="7" t="n">
        <v>3749.2</v>
      </c>
      <c r="J220" s="7" t="n">
        <v>8509.9</v>
      </c>
      <c r="L220" s="7" t="n">
        <v>2827</v>
      </c>
      <c r="N220" s="7" t="n">
        <v>6844.8</v>
      </c>
      <c r="P220" s="7" t="n">
        <v>8384.200000000001</v>
      </c>
      <c r="R220" s="7" t="n">
        <v>5092.9</v>
      </c>
      <c r="T220" s="7" t="n">
        <v>6294.3</v>
      </c>
      <c r="V220" s="7" t="n">
        <v>4032</v>
      </c>
      <c r="X220" s="7" t="n">
        <v>1643.8</v>
      </c>
      <c r="Z220" s="7" t="n">
        <v>2388.3</v>
      </c>
      <c r="AB220" s="7" t="n">
        <v>56250.8</v>
      </c>
    </row>
    <row r="221">
      <c r="A221" s="4" t="inlineStr">
        <is>
          <t>会务费</t>
        </is>
      </c>
      <c r="D221" s="7" t="n">
        <v>71.90000000000001</v>
      </c>
      <c r="F221" s="7" t="n">
        <v>172.2</v>
      </c>
      <c r="H221" s="7" t="n">
        <v>214.9</v>
      </c>
      <c r="J221" s="7" t="n">
        <v>248.5</v>
      </c>
      <c r="L221" s="7" t="n">
        <v>110.4</v>
      </c>
      <c r="N221" s="7" t="n">
        <v>379.6</v>
      </c>
      <c r="P221" s="7" t="n">
        <v>413</v>
      </c>
      <c r="R221" s="7" t="n">
        <v>232.6</v>
      </c>
      <c r="T221" s="7" t="n">
        <v>366.8</v>
      </c>
      <c r="V221" s="7" t="n">
        <v>192.7</v>
      </c>
      <c r="X221" s="7" t="n">
        <v>81.09999999999999</v>
      </c>
      <c r="Z221" s="7" t="n">
        <v>122</v>
      </c>
      <c r="AB221" s="7" t="n">
        <v>2605.7</v>
      </c>
    </row>
    <row r="222">
      <c r="A222" s="4" t="inlineStr">
        <is>
          <t>装修费</t>
        </is>
      </c>
      <c r="D222" s="7" t="n">
        <v>6.8</v>
      </c>
      <c r="F222" s="7" t="n">
        <v>20.8</v>
      </c>
      <c r="H222" s="7" t="n">
        <v>16.1</v>
      </c>
      <c r="J222" s="7" t="n">
        <v>36.9</v>
      </c>
      <c r="L222" s="7" t="n">
        <v>10.1</v>
      </c>
      <c r="N222" s="7" t="n">
        <v>35.4</v>
      </c>
      <c r="P222" s="7" t="n">
        <v>28.4</v>
      </c>
      <c r="R222" s="7" t="n">
        <v>21.3</v>
      </c>
      <c r="T222" s="7" t="n">
        <v>31.9</v>
      </c>
      <c r="V222" s="7" t="n">
        <v>31.6</v>
      </c>
      <c r="X222" s="7" t="n">
        <v>11.5</v>
      </c>
      <c r="Z222" s="7" t="n">
        <v>11.2</v>
      </c>
      <c r="AB222" s="7" t="n">
        <v>262</v>
      </c>
    </row>
    <row r="223">
      <c r="A223" s="4" t="inlineStr">
        <is>
          <t>推广费</t>
        </is>
      </c>
      <c r="D223" s="7" t="n">
        <v>8.800000000000001</v>
      </c>
      <c r="F223" s="7" t="n">
        <v>18.1</v>
      </c>
      <c r="H223" s="7" t="n">
        <v>14.6</v>
      </c>
      <c r="J223" s="7" t="n">
        <v>21.3</v>
      </c>
      <c r="L223" s="7" t="n">
        <v>11.2</v>
      </c>
      <c r="N223" s="7" t="n">
        <v>36.5</v>
      </c>
      <c r="P223" s="7" t="n">
        <v>39.2</v>
      </c>
      <c r="R223" s="7" t="n">
        <v>16.6</v>
      </c>
      <c r="T223" s="7" t="n">
        <v>39.2</v>
      </c>
      <c r="V223" s="7" t="n">
        <v>21.8</v>
      </c>
      <c r="X223" s="7" t="n">
        <v>10.5</v>
      </c>
      <c r="Z223" s="7" t="n">
        <v>10.7</v>
      </c>
      <c r="AB223" s="7" t="n">
        <v>248.5</v>
      </c>
    </row>
    <row r="224">
      <c r="A224" s="4" t="inlineStr">
        <is>
          <t>展会费</t>
        </is>
      </c>
      <c r="D224" s="7" t="n">
        <v>83.5</v>
      </c>
      <c r="F224" s="7" t="n">
        <v>138.6</v>
      </c>
      <c r="H224" s="7" t="n">
        <v>185.5</v>
      </c>
      <c r="J224" s="7" t="n">
        <v>251</v>
      </c>
      <c r="L224" s="7" t="n">
        <v>110.1</v>
      </c>
      <c r="N224" s="7" t="n">
        <v>290</v>
      </c>
      <c r="P224" s="7" t="n">
        <v>262.9</v>
      </c>
      <c r="R224" s="7" t="n">
        <v>188.4</v>
      </c>
      <c r="T224" s="7" t="n">
        <v>244.4</v>
      </c>
      <c r="V224" s="7" t="n">
        <v>164.7</v>
      </c>
      <c r="X224" s="7" t="n">
        <v>106.5</v>
      </c>
      <c r="Z224" s="7" t="n">
        <v>87.7</v>
      </c>
      <c r="AB224" s="7" t="n">
        <v>2113.3</v>
      </c>
    </row>
    <row r="225">
      <c r="A225" s="4" t="inlineStr">
        <is>
          <t>设计费</t>
        </is>
      </c>
      <c r="D225" s="7" t="n">
        <v>138.8</v>
      </c>
      <c r="F225" s="7" t="n">
        <v>282.3</v>
      </c>
      <c r="H225" s="7" t="n">
        <v>371.9</v>
      </c>
      <c r="J225" s="7" t="n">
        <v>683.8</v>
      </c>
      <c r="L225" s="7" t="n">
        <v>189.1</v>
      </c>
      <c r="N225" s="7" t="n">
        <v>743</v>
      </c>
      <c r="P225" s="7" t="n">
        <v>725.5</v>
      </c>
      <c r="R225" s="7" t="n">
        <v>359.7</v>
      </c>
      <c r="T225" s="7" t="n">
        <v>729.4</v>
      </c>
      <c r="V225" s="7" t="n">
        <v>360.2</v>
      </c>
      <c r="X225" s="7" t="n">
        <v>214.7</v>
      </c>
      <c r="Z225" s="7" t="n">
        <v>241.4</v>
      </c>
      <c r="AB225" s="7" t="n">
        <v>5039.8</v>
      </c>
    </row>
    <row r="226">
      <c r="A226" s="4" t="inlineStr">
        <is>
          <t>折旧费</t>
        </is>
      </c>
      <c r="D226" s="7" t="n">
        <v>3162.8</v>
      </c>
      <c r="F226" s="7" t="n">
        <v>6307</v>
      </c>
      <c r="H226" s="7" t="n">
        <v>5973.8</v>
      </c>
      <c r="J226" s="7" t="n">
        <v>9418.6</v>
      </c>
      <c r="L226" s="7" t="n">
        <v>3503.8</v>
      </c>
      <c r="N226" s="7" t="n">
        <v>6698.3</v>
      </c>
      <c r="P226" s="7" t="n">
        <v>10709.3</v>
      </c>
      <c r="R226" s="7" t="n">
        <v>5682.1</v>
      </c>
      <c r="T226" s="7" t="n">
        <v>12656.1</v>
      </c>
      <c r="V226" s="7" t="n">
        <v>7893.7</v>
      </c>
      <c r="X226" s="7" t="n">
        <v>2727.7</v>
      </c>
      <c r="Z226" s="7" t="n">
        <v>3088.6</v>
      </c>
      <c r="AB226" s="7" t="n">
        <v>77821.8</v>
      </c>
    </row>
    <row r="227">
      <c r="A227" s="4" t="inlineStr">
        <is>
          <t>认证费</t>
        </is>
      </c>
      <c r="D227" s="7" t="n">
        <v>359.2</v>
      </c>
      <c r="F227" s="7" t="n">
        <v>735.7</v>
      </c>
      <c r="H227" s="7" t="n">
        <v>505.5</v>
      </c>
      <c r="J227" s="7" t="n">
        <v>881.6</v>
      </c>
      <c r="L227" s="7" t="n">
        <v>455.4</v>
      </c>
      <c r="N227" s="7" t="n">
        <v>941.3</v>
      </c>
      <c r="P227" s="7" t="n">
        <v>1554.2</v>
      </c>
      <c r="R227" s="7" t="n">
        <v>717.2</v>
      </c>
      <c r="T227" s="7" t="n">
        <v>1596.4</v>
      </c>
      <c r="V227" s="7" t="n">
        <v>772.6</v>
      </c>
      <c r="X227" s="7" t="n">
        <v>290.4</v>
      </c>
      <c r="Z227" s="7" t="n">
        <v>401.1</v>
      </c>
      <c r="AB227" s="7" t="n">
        <v>9210.6</v>
      </c>
    </row>
    <row r="228">
      <c r="A228" s="4" t="inlineStr">
        <is>
          <t>样品费</t>
        </is>
      </c>
      <c r="D228" s="7" t="n">
        <v>1499</v>
      </c>
      <c r="F228" s="7" t="n">
        <v>2833.7</v>
      </c>
      <c r="H228" s="7" t="n">
        <v>2112.8</v>
      </c>
      <c r="J228" s="7" t="n">
        <v>3273.5</v>
      </c>
      <c r="L228" s="7" t="n">
        <v>2075.8</v>
      </c>
      <c r="N228" s="7" t="n">
        <v>5132.4</v>
      </c>
      <c r="P228" s="7" t="n">
        <v>4679.5</v>
      </c>
      <c r="R228" s="7" t="n">
        <v>3111.2</v>
      </c>
      <c r="T228" s="7" t="n">
        <v>4247</v>
      </c>
      <c r="V228" s="7" t="n">
        <v>3668.5</v>
      </c>
      <c r="X228" s="7" t="n">
        <v>1251.4</v>
      </c>
      <c r="Z228" s="7" t="n">
        <v>1778.2</v>
      </c>
      <c r="AB228" s="7" t="n">
        <v>35663</v>
      </c>
    </row>
    <row r="229">
      <c r="A229" s="4" t="inlineStr">
        <is>
          <t>劳务费</t>
        </is>
      </c>
      <c r="D229" s="7" t="n">
        <v>163.1</v>
      </c>
      <c r="F229" s="7" t="n">
        <v>325.3</v>
      </c>
      <c r="H229" s="7" t="n">
        <v>422</v>
      </c>
      <c r="J229" s="7" t="n">
        <v>744.2</v>
      </c>
      <c r="L229" s="7" t="n">
        <v>250.1</v>
      </c>
      <c r="N229" s="7" t="n">
        <v>749.7</v>
      </c>
      <c r="P229" s="7" t="n">
        <v>722.9</v>
      </c>
      <c r="R229" s="7" t="n">
        <v>434.3</v>
      </c>
      <c r="T229" s="7" t="n">
        <v>768.4</v>
      </c>
      <c r="V229" s="7" t="n">
        <v>398</v>
      </c>
      <c r="X229" s="7" t="n">
        <v>180.3</v>
      </c>
      <c r="Z229" s="7" t="n">
        <v>184.6</v>
      </c>
      <c r="AB229" s="7" t="n">
        <v>5342.9</v>
      </c>
    </row>
    <row r="230">
      <c r="A230" s="4" t="inlineStr">
        <is>
          <t>销售佣金</t>
        </is>
      </c>
      <c r="D230" s="7" t="n">
        <v>337.2</v>
      </c>
      <c r="F230" s="7" t="n">
        <v>759.5</v>
      </c>
      <c r="H230" s="7" t="n">
        <v>694.7</v>
      </c>
      <c r="J230" s="7" t="n">
        <v>1234.9</v>
      </c>
      <c r="L230" s="7" t="n">
        <v>425.3</v>
      </c>
      <c r="N230" s="7" t="n">
        <v>1194.6</v>
      </c>
      <c r="P230" s="7" t="n">
        <v>969.9</v>
      </c>
      <c r="R230" s="7" t="n">
        <v>650.1</v>
      </c>
      <c r="T230" s="7" t="n">
        <v>1165.1</v>
      </c>
      <c r="V230" s="7" t="n">
        <v>702.4</v>
      </c>
      <c r="X230" s="7" t="n">
        <v>350</v>
      </c>
      <c r="Z230" s="7" t="n">
        <v>379.2</v>
      </c>
      <c r="AB230" s="7" t="n">
        <v>8862.9</v>
      </c>
    </row>
    <row r="231">
      <c r="A231" s="4" t="inlineStr">
        <is>
          <t>检测费</t>
        </is>
      </c>
      <c r="D231" s="7" t="n">
        <v>235.7</v>
      </c>
      <c r="F231" s="7" t="n">
        <v>802.2</v>
      </c>
      <c r="H231" s="7" t="n">
        <v>446.7</v>
      </c>
      <c r="J231" s="7" t="n">
        <v>812.8</v>
      </c>
      <c r="L231" s="7" t="n">
        <v>346.5</v>
      </c>
      <c r="N231" s="7" t="n">
        <v>1342.1</v>
      </c>
      <c r="P231" s="7" t="n">
        <v>1171.8</v>
      </c>
      <c r="R231" s="7" t="n">
        <v>580.4</v>
      </c>
      <c r="T231" s="7" t="n">
        <v>1034.1</v>
      </c>
      <c r="V231" s="7" t="n">
        <v>582.9</v>
      </c>
      <c r="X231" s="7" t="n">
        <v>245.9</v>
      </c>
      <c r="Z231" s="7" t="n">
        <v>316.1</v>
      </c>
      <c r="AB231" s="7" t="n">
        <v>7917.2</v>
      </c>
    </row>
    <row r="232">
      <c r="A232" s="4" t="inlineStr">
        <is>
          <t>质量赔偿</t>
        </is>
      </c>
      <c r="D232" s="7" t="n">
        <v>440.4</v>
      </c>
      <c r="F232" s="7" t="n">
        <v>884.8</v>
      </c>
      <c r="H232" s="7" t="n">
        <v>997.2</v>
      </c>
      <c r="J232" s="7" t="n">
        <v>1587.9</v>
      </c>
      <c r="L232" s="7" t="n">
        <v>777.1</v>
      </c>
      <c r="N232" s="7" t="n">
        <v>1774.9</v>
      </c>
      <c r="P232" s="7" t="n">
        <v>1840.9</v>
      </c>
      <c r="R232" s="7" t="n">
        <v>1054.6</v>
      </c>
      <c r="T232" s="7" t="n">
        <v>1419.5</v>
      </c>
      <c r="V232" s="7" t="n">
        <v>1187.5</v>
      </c>
      <c r="X232" s="7" t="n">
        <v>560.4</v>
      </c>
      <c r="Z232" s="7" t="n">
        <v>412.4</v>
      </c>
      <c r="AB232" s="7" t="n">
        <v>12937.6</v>
      </c>
    </row>
    <row r="233">
      <c r="A233" s="4" t="inlineStr">
        <is>
          <t>保险费</t>
        </is>
      </c>
      <c r="D233" s="7" t="n">
        <v>14.9</v>
      </c>
      <c r="F233" s="7" t="n">
        <v>30.1</v>
      </c>
      <c r="H233" s="7" t="n">
        <v>25.3</v>
      </c>
      <c r="J233" s="7" t="n">
        <v>41.1</v>
      </c>
      <c r="L233" s="7" t="n">
        <v>15.1</v>
      </c>
      <c r="N233" s="7" t="n">
        <v>42.9</v>
      </c>
      <c r="P233" s="7" t="n">
        <v>40.6</v>
      </c>
      <c r="R233" s="7" t="n">
        <v>29.7</v>
      </c>
      <c r="T233" s="7" t="n">
        <v>76.59999999999999</v>
      </c>
      <c r="V233" s="7" t="n">
        <v>43.3</v>
      </c>
      <c r="X233" s="7" t="n">
        <v>14.8</v>
      </c>
      <c r="Z233" s="7" t="n">
        <v>15.1</v>
      </c>
      <c r="AB233" s="7" t="n">
        <v>389.5</v>
      </c>
    </row>
    <row r="234">
      <c r="A234" s="4" t="inlineStr">
        <is>
          <t>清洁费</t>
        </is>
      </c>
      <c r="D234" s="7" t="n">
        <v>248</v>
      </c>
      <c r="F234" s="7" t="n">
        <v>594.1</v>
      </c>
      <c r="H234" s="7" t="n">
        <v>390.4</v>
      </c>
      <c r="J234" s="7" t="n">
        <v>673.5</v>
      </c>
      <c r="L234" s="7" t="n">
        <v>317.8</v>
      </c>
      <c r="N234" s="7" t="n">
        <v>1061.7</v>
      </c>
      <c r="P234" s="7" t="n">
        <v>1262.6</v>
      </c>
      <c r="R234" s="7" t="n">
        <v>592.3</v>
      </c>
      <c r="T234" s="7" t="n">
        <v>1315.4</v>
      </c>
      <c r="V234" s="7" t="n">
        <v>559.5</v>
      </c>
      <c r="X234" s="7" t="n">
        <v>300.2</v>
      </c>
      <c r="Z234" s="7" t="n">
        <v>230.1</v>
      </c>
      <c r="AB234" s="7" t="n">
        <v>7545.6</v>
      </c>
    </row>
    <row r="235">
      <c r="A235" s="4" t="inlineStr">
        <is>
          <t>低值易耗品</t>
        </is>
      </c>
      <c r="D235" s="7" t="n">
        <v>406.8</v>
      </c>
      <c r="F235" s="7" t="n">
        <v>706.9</v>
      </c>
      <c r="H235" s="7" t="n">
        <v>789.1</v>
      </c>
      <c r="J235" s="7" t="n">
        <v>1082.2</v>
      </c>
      <c r="L235" s="7" t="n">
        <v>430.5</v>
      </c>
      <c r="N235" s="7" t="n">
        <v>1232.5</v>
      </c>
      <c r="P235" s="7" t="n">
        <v>2033.6</v>
      </c>
      <c r="R235" s="7" t="n">
        <v>1221.7</v>
      </c>
      <c r="T235" s="7" t="n">
        <v>2080.2</v>
      </c>
      <c r="V235" s="7" t="n">
        <v>1256.3</v>
      </c>
      <c r="X235" s="7" t="n">
        <v>531.7</v>
      </c>
      <c r="Z235" s="7" t="n">
        <v>466.9</v>
      </c>
      <c r="AB235" s="7" t="n">
        <v>12238.4</v>
      </c>
    </row>
    <row r="236">
      <c r="A236" s="4" t="inlineStr">
        <is>
          <t>物料消耗</t>
        </is>
      </c>
      <c r="D236" s="7" t="n">
        <v>372</v>
      </c>
      <c r="F236" s="7" t="n">
        <v>639.5</v>
      </c>
      <c r="H236" s="7" t="n">
        <v>725</v>
      </c>
      <c r="J236" s="7" t="n">
        <v>1221.3</v>
      </c>
      <c r="L236" s="7" t="n">
        <v>552</v>
      </c>
      <c r="N236" s="7" t="n">
        <v>1024</v>
      </c>
      <c r="P236" s="7" t="n">
        <v>1169.1</v>
      </c>
      <c r="R236" s="7" t="n">
        <v>812.1</v>
      </c>
      <c r="T236" s="7" t="n">
        <v>873.4</v>
      </c>
      <c r="V236" s="7" t="n">
        <v>589.1</v>
      </c>
      <c r="X236" s="7" t="n">
        <v>247.5</v>
      </c>
      <c r="Z236" s="7" t="n">
        <v>360.4</v>
      </c>
      <c r="AB236" s="7" t="n">
        <v>8585.4</v>
      </c>
    </row>
    <row r="237">
      <c r="A237" s="4" t="inlineStr">
        <is>
          <t>盘盈盘亏</t>
        </is>
      </c>
      <c r="D237" s="7" t="n">
        <v>460.5</v>
      </c>
      <c r="F237" s="7" t="n">
        <v>739.4</v>
      </c>
      <c r="H237" s="7" t="n">
        <v>794.8</v>
      </c>
      <c r="J237" s="7" t="n">
        <v>1929</v>
      </c>
      <c r="L237" s="7" t="n">
        <v>625.4</v>
      </c>
      <c r="N237" s="7" t="n">
        <v>1061.3</v>
      </c>
      <c r="P237" s="7" t="n">
        <v>2056.5</v>
      </c>
      <c r="R237" s="7" t="n">
        <v>938.5</v>
      </c>
      <c r="T237" s="7" t="n">
        <v>1319.7</v>
      </c>
      <c r="V237" s="7" t="n">
        <v>1210.3</v>
      </c>
      <c r="X237" s="7" t="n">
        <v>570.9</v>
      </c>
      <c r="Z237" s="7" t="n">
        <v>356.3</v>
      </c>
      <c r="AB237" s="7" t="n">
        <v>12062.6</v>
      </c>
    </row>
    <row r="238">
      <c r="A238" s="4" t="inlineStr">
        <is>
          <t>平台服务费</t>
        </is>
      </c>
      <c r="D238" s="7" t="n">
        <v>384.5</v>
      </c>
      <c r="F238" s="7" t="n">
        <v>754</v>
      </c>
      <c r="H238" s="7" t="n">
        <v>1035.2</v>
      </c>
      <c r="J238" s="7" t="n">
        <v>1222.7</v>
      </c>
      <c r="L238" s="7" t="n">
        <v>735.7</v>
      </c>
      <c r="N238" s="7" t="n">
        <v>1563.4</v>
      </c>
      <c r="P238" s="7" t="n">
        <v>2001.6</v>
      </c>
      <c r="R238" s="7" t="n">
        <v>1035.1</v>
      </c>
      <c r="T238" s="7" t="n">
        <v>1341</v>
      </c>
      <c r="V238" s="7" t="n">
        <v>1171.9</v>
      </c>
      <c r="X238" s="7" t="n">
        <v>548.7</v>
      </c>
      <c r="Z238" s="7" t="n">
        <v>368.9</v>
      </c>
      <c r="AB238" s="7" t="n">
        <v>12162.7</v>
      </c>
    </row>
    <row r="239">
      <c r="A239" s="4" t="inlineStr">
        <is>
          <t>无形资产摊销</t>
        </is>
      </c>
      <c r="D239" s="7" t="n">
        <v>72.2</v>
      </c>
      <c r="F239" s="7" t="n">
        <v>192.8</v>
      </c>
      <c r="H239" s="7" t="n">
        <v>144.6</v>
      </c>
      <c r="J239" s="7" t="n">
        <v>236.1</v>
      </c>
      <c r="L239" s="7" t="n">
        <v>158.1</v>
      </c>
      <c r="N239" s="7" t="n">
        <v>339</v>
      </c>
      <c r="P239" s="7" t="n">
        <v>384</v>
      </c>
      <c r="R239" s="7" t="n">
        <v>240.9</v>
      </c>
      <c r="T239" s="7" t="n">
        <v>412.6</v>
      </c>
      <c r="V239" s="7" t="n">
        <v>229.1</v>
      </c>
      <c r="X239" s="7" t="n">
        <v>70.8</v>
      </c>
      <c r="Z239" s="7" t="n">
        <v>96.40000000000001</v>
      </c>
      <c r="AB239" s="7" t="n">
        <v>2576.6</v>
      </c>
    </row>
    <row r="240">
      <c r="A240" s="4" t="inlineStr">
        <is>
          <t>研发材料</t>
        </is>
      </c>
      <c r="D240" s="7" t="n">
        <v>258.7</v>
      </c>
      <c r="F240" s="7" t="n">
        <v>711.3</v>
      </c>
      <c r="H240" s="7" t="n">
        <v>690.8</v>
      </c>
      <c r="J240" s="7" t="n">
        <v>1155.1</v>
      </c>
      <c r="L240" s="7" t="n">
        <v>384.4</v>
      </c>
      <c r="N240" s="7" t="n">
        <v>1211.5</v>
      </c>
      <c r="P240" s="7" t="n">
        <v>1337.7</v>
      </c>
      <c r="R240" s="7" t="n">
        <v>599.2</v>
      </c>
      <c r="T240" s="7" t="n">
        <v>908.3</v>
      </c>
      <c r="V240" s="7" t="n">
        <v>715.8</v>
      </c>
      <c r="X240" s="7" t="n">
        <v>218.9</v>
      </c>
      <c r="Z240" s="7" t="n">
        <v>351.9</v>
      </c>
      <c r="AB240" s="7" t="n">
        <v>8543.6</v>
      </c>
    </row>
    <row r="241">
      <c r="A241" s="4" t="inlineStr">
        <is>
          <t>项目名称</t>
        </is>
      </c>
      <c r="D241" s="7" t="n">
        <v>205.2</v>
      </c>
      <c r="F241" s="7" t="n">
        <v>425.2</v>
      </c>
      <c r="H241" s="7" t="n">
        <v>402.5</v>
      </c>
      <c r="J241" s="7" t="n">
        <v>810.4</v>
      </c>
      <c r="L241" s="7" t="n">
        <v>239.8</v>
      </c>
      <c r="N241" s="7" t="n">
        <v>930.2</v>
      </c>
      <c r="P241" s="7" t="n">
        <v>923.1</v>
      </c>
      <c r="R241" s="7" t="n">
        <v>519.1</v>
      </c>
      <c r="T241" s="7" t="n">
        <v>935.4</v>
      </c>
      <c r="V241" s="7" t="n">
        <v>372.9</v>
      </c>
      <c r="X241" s="7" t="n">
        <v>190.3</v>
      </c>
      <c r="Z241" s="7" t="n">
        <v>241.1</v>
      </c>
      <c r="AB241" s="7" t="n">
        <v>6195.2</v>
      </c>
    </row>
    <row r="242">
      <c r="A242" s="4" t="inlineStr">
        <is>
          <t>研发费</t>
        </is>
      </c>
      <c r="D242" s="7" t="n">
        <v>145.5</v>
      </c>
      <c r="F242" s="7" t="n">
        <v>247.2</v>
      </c>
      <c r="H242" s="7" t="n">
        <v>301</v>
      </c>
      <c r="J242" s="7" t="n">
        <v>417.7</v>
      </c>
      <c r="L242" s="7" t="n">
        <v>199.2</v>
      </c>
      <c r="N242" s="7" t="n">
        <v>525.6</v>
      </c>
      <c r="P242" s="7" t="n">
        <v>516.1</v>
      </c>
      <c r="R242" s="7" t="n">
        <v>361.6</v>
      </c>
      <c r="T242" s="7" t="n">
        <v>472.3</v>
      </c>
      <c r="V242" s="7" t="n">
        <v>402</v>
      </c>
      <c r="X242" s="7" t="n">
        <v>144.7</v>
      </c>
      <c r="Z242" s="7" t="n">
        <v>189.7</v>
      </c>
      <c r="AB242" s="7" t="n">
        <v>3922.6</v>
      </c>
    </row>
    <row r="243">
      <c r="A243" s="4" t="inlineStr">
        <is>
          <t>残保金</t>
        </is>
      </c>
      <c r="D243" s="7" t="n">
        <v>94.59999999999999</v>
      </c>
      <c r="F243" s="7" t="n">
        <v>193.3</v>
      </c>
      <c r="H243" s="7" t="n">
        <v>262.8</v>
      </c>
      <c r="J243" s="7" t="n">
        <v>356.7</v>
      </c>
      <c r="L243" s="7" t="n">
        <v>132.3</v>
      </c>
      <c r="N243" s="7" t="n">
        <v>364.5</v>
      </c>
      <c r="P243" s="7" t="n">
        <v>405.8</v>
      </c>
      <c r="R243" s="7" t="n">
        <v>298.3</v>
      </c>
      <c r="T243" s="7" t="n">
        <v>456</v>
      </c>
      <c r="V243" s="7" t="n">
        <v>242.8</v>
      </c>
      <c r="X243" s="7" t="n">
        <v>171.7</v>
      </c>
      <c r="Z243" s="7" t="n">
        <v>106.1</v>
      </c>
      <c r="AB243" s="7" t="n">
        <v>3084.9</v>
      </c>
    </row>
    <row r="244">
      <c r="A244" s="4" t="inlineStr">
        <is>
          <t>环保费</t>
        </is>
      </c>
      <c r="D244" s="7" t="n">
        <v>271.9</v>
      </c>
      <c r="F244" s="7" t="n">
        <v>714.9</v>
      </c>
      <c r="H244" s="7" t="n">
        <v>939.5</v>
      </c>
      <c r="J244" s="7" t="n">
        <v>1485.1</v>
      </c>
      <c r="L244" s="7" t="n">
        <v>506.9</v>
      </c>
      <c r="N244" s="7" t="n">
        <v>1379.7</v>
      </c>
      <c r="P244" s="7" t="n">
        <v>1627.5</v>
      </c>
      <c r="R244" s="7" t="n">
        <v>788.4</v>
      </c>
      <c r="T244" s="7" t="n">
        <v>1467.7</v>
      </c>
      <c r="V244" s="7" t="n">
        <v>924.4</v>
      </c>
      <c r="X244" s="7" t="n">
        <v>364.3</v>
      </c>
      <c r="Z244" s="7" t="n">
        <v>431.5</v>
      </c>
      <c r="AB244" s="7" t="n">
        <v>10901.8</v>
      </c>
    </row>
    <row r="245">
      <c r="A245" s="4" t="inlineStr">
        <is>
          <t>报废损失</t>
        </is>
      </c>
      <c r="D245" s="7" t="n">
        <v>29.9</v>
      </c>
      <c r="F245" s="7" t="n">
        <v>52.5</v>
      </c>
      <c r="H245" s="7" t="n">
        <v>58.2</v>
      </c>
      <c r="J245" s="7" t="n">
        <v>88.7</v>
      </c>
      <c r="L245" s="7" t="n">
        <v>33.7</v>
      </c>
      <c r="N245" s="7" t="n">
        <v>83.2</v>
      </c>
      <c r="P245" s="7" t="n">
        <v>107.3</v>
      </c>
      <c r="R245" s="7" t="n">
        <v>84.09999999999999</v>
      </c>
      <c r="T245" s="7" t="n">
        <v>90.09999999999999</v>
      </c>
      <c r="V245" s="7" t="n">
        <v>47.1</v>
      </c>
      <c r="X245" s="7" t="n">
        <v>22.3</v>
      </c>
      <c r="Z245" s="7" t="n">
        <v>35.2</v>
      </c>
      <c r="AB245" s="7" t="n">
        <v>732.3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8706.299999999999</v>
      </c>
      <c r="D246" s="7" t="n">
        <v>19077.9</v>
      </c>
      <c r="E246" s="7" t="n">
        <v>9669.6</v>
      </c>
      <c r="F246" s="7" t="n">
        <v>-26</v>
      </c>
      <c r="G246" s="7" t="n">
        <v>8310.9</v>
      </c>
      <c r="H246" s="7" t="n">
        <v>9397.4</v>
      </c>
      <c r="I246" s="7" t="n">
        <v>8374.4</v>
      </c>
      <c r="J246" s="7" t="n">
        <v>11228.3</v>
      </c>
      <c r="K246" s="7" t="n">
        <v>10160.8</v>
      </c>
      <c r="L246" s="7" t="n">
        <v>-636.5</v>
      </c>
      <c r="M246" s="7" t="n">
        <v>8848.200000000001</v>
      </c>
      <c r="N246" s="7" t="n">
        <v>14507.7</v>
      </c>
      <c r="O246" s="7" t="n">
        <v>9668.4</v>
      </c>
      <c r="P246" s="7" t="n">
        <v>3877.7</v>
      </c>
      <c r="Q246" s="7" t="n">
        <v>9501.9</v>
      </c>
      <c r="R246" s="7" t="n">
        <v>11829.8</v>
      </c>
      <c r="S246" s="7" t="n">
        <v>10275.7</v>
      </c>
      <c r="T246" s="7" t="n">
        <v>7187.3</v>
      </c>
      <c r="U246" s="7" t="n">
        <v>8105.8</v>
      </c>
      <c r="V246" s="7" t="n">
        <v>13413.2</v>
      </c>
      <c r="W246" s="7" t="n">
        <v>8358.799999999999</v>
      </c>
      <c r="X246" s="7" t="n">
        <v>17240.8</v>
      </c>
      <c r="Y246" s="7" t="n">
        <v>8543.6</v>
      </c>
      <c r="Z246" s="7" t="n">
        <v>4526.8</v>
      </c>
      <c r="AA246" s="8" t="n">
        <v>108524.4</v>
      </c>
      <c r="AB246" s="8" t="n">
        <v>111624.4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-1831.2</v>
      </c>
      <c r="E248" s="7" t="n">
        <v>0</v>
      </c>
      <c r="F248" s="7" t="n">
        <v>-2086.4</v>
      </c>
      <c r="G248" s="7" t="n">
        <v>0</v>
      </c>
      <c r="H248" s="7" t="n">
        <v>-2325.3</v>
      </c>
      <c r="I248" s="7" t="n">
        <v>0</v>
      </c>
      <c r="J248" s="7" t="n">
        <v>1446.4</v>
      </c>
      <c r="K248" s="7" t="n">
        <v>0</v>
      </c>
      <c r="L248" s="7" t="n">
        <v>-2287.5</v>
      </c>
      <c r="M248" s="7" t="n">
        <v>0</v>
      </c>
      <c r="N248" s="7" t="n">
        <v>-551</v>
      </c>
      <c r="O248" s="7" t="n">
        <v>0</v>
      </c>
      <c r="P248" s="7" t="n">
        <v>3628.1</v>
      </c>
      <c r="Q248" s="7" t="n">
        <v>0</v>
      </c>
      <c r="R248" s="7" t="n">
        <v>-1368.4</v>
      </c>
      <c r="S248" s="7" t="n">
        <v>0</v>
      </c>
      <c r="T248" s="7" t="n">
        <v>869.2</v>
      </c>
      <c r="U248" s="7" t="n">
        <v>0</v>
      </c>
      <c r="V248" s="7" t="n">
        <v>4655.3</v>
      </c>
      <c r="W248" s="7" t="n">
        <v>0</v>
      </c>
      <c r="X248" s="7" t="n">
        <v>-860.1</v>
      </c>
      <c r="Y248" s="7" t="n">
        <v>0</v>
      </c>
      <c r="Z248" s="7" t="n">
        <v>-3161.1</v>
      </c>
      <c r="AA248" s="7" t="n">
        <v>0</v>
      </c>
      <c r="AB248" s="7" t="n">
        <v>-3872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11923.1</v>
      </c>
      <c r="D253" s="7" t="n">
        <v>693</v>
      </c>
      <c r="E253" s="7" t="n">
        <v>13281.3</v>
      </c>
      <c r="F253" s="7" t="n">
        <v>21833.2</v>
      </c>
      <c r="G253" s="7" t="n">
        <v>10765</v>
      </c>
      <c r="H253" s="7" t="n">
        <v>19860.7</v>
      </c>
      <c r="I253" s="7" t="n">
        <v>11426.5</v>
      </c>
      <c r="J253" s="7" t="n">
        <v>28213.1</v>
      </c>
      <c r="K253" s="7" t="n">
        <v>11030.9</v>
      </c>
      <c r="L253" s="7" t="n">
        <v>21020.9</v>
      </c>
      <c r="M253" s="7" t="n">
        <v>12874.7</v>
      </c>
      <c r="N253" s="7" t="n">
        <v>2401.9</v>
      </c>
      <c r="O253" s="7" t="n">
        <v>13726</v>
      </c>
      <c r="P253" s="7" t="n">
        <v>5007.3</v>
      </c>
      <c r="Q253" s="7" t="n">
        <v>11599.6</v>
      </c>
      <c r="R253" s="7" t="n">
        <v>3090.3</v>
      </c>
      <c r="S253" s="7" t="n">
        <v>11370.9</v>
      </c>
      <c r="T253" s="7" t="n">
        <v>1913.8</v>
      </c>
      <c r="U253" s="7" t="n">
        <v>11506.6</v>
      </c>
      <c r="V253" s="7" t="n">
        <v>26360.7</v>
      </c>
      <c r="W253" s="7" t="n">
        <v>12770.1</v>
      </c>
      <c r="X253" s="7" t="n">
        <v>16453</v>
      </c>
      <c r="Y253" s="7" t="n">
        <v>10942.3</v>
      </c>
      <c r="Z253" s="7" t="n">
        <v>790.9</v>
      </c>
      <c r="AA253" s="7" t="n">
        <v>143217</v>
      </c>
      <c r="AB253" s="7" t="n">
        <v>147638.8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513355.8</v>
      </c>
      <c r="D254" s="7" t="n">
        <v>399040.5</v>
      </c>
      <c r="E254" s="7" t="n">
        <v>585071.5</v>
      </c>
      <c r="F254" s="7" t="n">
        <v>201748</v>
      </c>
      <c r="G254" s="7" t="n">
        <v>590777.9</v>
      </c>
      <c r="H254" s="7" t="n">
        <v>492327</v>
      </c>
      <c r="I254" s="7" t="n">
        <v>591597.1</v>
      </c>
      <c r="J254" s="7" t="n">
        <v>795107.3</v>
      </c>
      <c r="K254" s="7" t="n">
        <v>579341.7</v>
      </c>
      <c r="L254" s="7" t="n">
        <v>479621.1</v>
      </c>
      <c r="M254" s="7" t="n">
        <v>572431.1</v>
      </c>
      <c r="N254" s="7" t="n">
        <v>647676.8</v>
      </c>
      <c r="O254" s="7" t="n">
        <v>592224.1</v>
      </c>
      <c r="P254" s="7" t="n">
        <v>973458.8</v>
      </c>
      <c r="Q254" s="7" t="n">
        <v>535972.2</v>
      </c>
      <c r="R254" s="7" t="n">
        <v>602623.4</v>
      </c>
      <c r="S254" s="7" t="n">
        <v>542368.2</v>
      </c>
      <c r="T254" s="7" t="n">
        <v>448497.2</v>
      </c>
      <c r="U254" s="7" t="n">
        <v>575195.1</v>
      </c>
      <c r="V254" s="7" t="n">
        <v>580859.5</v>
      </c>
      <c r="W254" s="7" t="n">
        <v>620392.1</v>
      </c>
      <c r="X254" s="7" t="n">
        <v>735747.9</v>
      </c>
      <c r="Y254" s="7" t="n">
        <v>558516</v>
      </c>
      <c r="Z254" s="7" t="n">
        <v>464458.5</v>
      </c>
      <c r="AA254" s="8" t="n">
        <v>6857242.8</v>
      </c>
      <c r="AB254" s="8" t="n">
        <v>6821166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1828.9</v>
      </c>
      <c r="E255" s="7" t="n">
        <v>0</v>
      </c>
      <c r="F255" s="7" t="n">
        <v>1299</v>
      </c>
      <c r="G255" s="7" t="n">
        <v>0</v>
      </c>
      <c r="H255" s="7" t="n">
        <v>1517.9</v>
      </c>
      <c r="I255" s="7" t="n">
        <v>0</v>
      </c>
      <c r="J255" s="7" t="n">
        <v>0.5</v>
      </c>
      <c r="K255" s="7" t="n">
        <v>0</v>
      </c>
      <c r="L255" s="7" t="n">
        <v>4076.9</v>
      </c>
      <c r="M255" s="7" t="n">
        <v>0</v>
      </c>
      <c r="N255" s="7" t="n">
        <v>4239.7</v>
      </c>
      <c r="O255" s="7" t="n">
        <v>0</v>
      </c>
      <c r="P255" s="7" t="n">
        <v>1719.4</v>
      </c>
      <c r="Q255" s="7" t="n">
        <v>0</v>
      </c>
      <c r="R255" s="7" t="n">
        <v>2346</v>
      </c>
      <c r="S255" s="7" t="n">
        <v>0</v>
      </c>
      <c r="T255" s="7" t="n">
        <v>41.6</v>
      </c>
      <c r="U255" s="7" t="n">
        <v>0</v>
      </c>
      <c r="V255" s="7" t="n">
        <v>4610.4</v>
      </c>
      <c r="W255" s="7" t="n">
        <v>0</v>
      </c>
      <c r="X255" s="7" t="n">
        <v>4734.8</v>
      </c>
      <c r="Y255" s="7" t="n">
        <v>0</v>
      </c>
      <c r="Z255" s="7" t="n">
        <v>2385.3</v>
      </c>
      <c r="AA255" s="7" t="n">
        <v>0</v>
      </c>
      <c r="AB255" s="7" t="n">
        <v>28800.4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27.4</v>
      </c>
      <c r="E256" s="7" t="n">
        <v>0</v>
      </c>
      <c r="F256" s="7" t="n">
        <v>1291.3</v>
      </c>
      <c r="G256" s="7" t="n">
        <v>0</v>
      </c>
      <c r="H256" s="7" t="n">
        <v>878.8</v>
      </c>
      <c r="I256" s="7" t="n">
        <v>0</v>
      </c>
      <c r="J256" s="7" t="n">
        <v>693.6</v>
      </c>
      <c r="K256" s="7" t="n">
        <v>0</v>
      </c>
      <c r="L256" s="7" t="n">
        <v>21.7</v>
      </c>
      <c r="M256" s="7" t="n">
        <v>0</v>
      </c>
      <c r="N256" s="7" t="n">
        <v>1120.9</v>
      </c>
      <c r="O256" s="7" t="n">
        <v>0</v>
      </c>
      <c r="P256" s="7" t="n">
        <v>1235.2</v>
      </c>
      <c r="Q256" s="7" t="n">
        <v>0</v>
      </c>
      <c r="R256" s="7" t="n">
        <v>1681.7</v>
      </c>
      <c r="S256" s="7" t="n">
        <v>0</v>
      </c>
      <c r="T256" s="7" t="n">
        <v>1184.3</v>
      </c>
      <c r="U256" s="7" t="n">
        <v>0</v>
      </c>
      <c r="V256" s="7" t="n">
        <v>489.8</v>
      </c>
      <c r="W256" s="7" t="n">
        <v>0</v>
      </c>
      <c r="X256" s="7" t="n">
        <v>2211.4</v>
      </c>
      <c r="Y256" s="7" t="n">
        <v>0</v>
      </c>
      <c r="Z256" s="7" t="n">
        <v>1169.2</v>
      </c>
      <c r="AA256" s="7" t="n">
        <v>0</v>
      </c>
      <c r="AB256" s="7" t="n">
        <v>12005.3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641477.8</v>
      </c>
      <c r="D257" s="7" t="n">
        <v>389332.5</v>
      </c>
      <c r="E257" s="7" t="n">
        <v>524715.9</v>
      </c>
      <c r="F257" s="7" t="n">
        <v>192184.3</v>
      </c>
      <c r="G257" s="7" t="n">
        <v>543365.8</v>
      </c>
      <c r="H257" s="7" t="n">
        <v>484670.3</v>
      </c>
      <c r="I257" s="7" t="n">
        <v>603792.9</v>
      </c>
      <c r="J257" s="7" t="n">
        <v>753692</v>
      </c>
      <c r="K257" s="7" t="n">
        <v>600458.6</v>
      </c>
      <c r="L257" s="7" t="n">
        <v>504996.7</v>
      </c>
      <c r="M257" s="7" t="n">
        <v>540327.7</v>
      </c>
      <c r="N257" s="7" t="n">
        <v>700780.4</v>
      </c>
      <c r="O257" s="7" t="n">
        <v>601332.8</v>
      </c>
      <c r="P257" s="7" t="n">
        <v>1033341.1</v>
      </c>
      <c r="Q257" s="7" t="n">
        <v>525652.3</v>
      </c>
      <c r="R257" s="7" t="n">
        <v>624877.1</v>
      </c>
      <c r="S257" s="7" t="n">
        <v>496353</v>
      </c>
      <c r="T257" s="7" t="n">
        <v>429182.8</v>
      </c>
      <c r="U257" s="7" t="n">
        <v>501614</v>
      </c>
      <c r="V257" s="7" t="n">
        <v>609080.8</v>
      </c>
      <c r="W257" s="7" t="n">
        <v>586059.2</v>
      </c>
      <c r="X257" s="7" t="n">
        <v>781189</v>
      </c>
      <c r="Y257" s="7" t="n">
        <v>525330.1</v>
      </c>
      <c r="Z257" s="7" t="n">
        <v>456368</v>
      </c>
      <c r="AA257" s="8" t="n">
        <v>6690480.1</v>
      </c>
      <c r="AB257" s="8" t="n">
        <v>6959695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127693.3</v>
      </c>
      <c r="D258" s="7" t="n">
        <v>97333.10000000001</v>
      </c>
      <c r="E258" s="7" t="n">
        <v>134954.1</v>
      </c>
      <c r="F258" s="7" t="n">
        <v>48046.1</v>
      </c>
      <c r="G258" s="7" t="n">
        <v>154354.3</v>
      </c>
      <c r="H258" s="7" t="n">
        <v>121167.6</v>
      </c>
      <c r="I258" s="7" t="n">
        <v>154872.4</v>
      </c>
      <c r="J258" s="7" t="n">
        <v>188423</v>
      </c>
      <c r="K258" s="7" t="n">
        <v>133371.4</v>
      </c>
      <c r="L258" s="7" t="n">
        <v>126249.2</v>
      </c>
      <c r="M258" s="7" t="n">
        <v>129799.1</v>
      </c>
      <c r="N258" s="7" t="n">
        <v>175195.1</v>
      </c>
      <c r="O258" s="7" t="n">
        <v>144714.4</v>
      </c>
      <c r="P258" s="7" t="n">
        <v>258335.3</v>
      </c>
      <c r="Q258" s="7" t="n">
        <v>138117.2</v>
      </c>
      <c r="R258" s="7" t="n">
        <v>156219.3</v>
      </c>
      <c r="S258" s="7" t="n">
        <v>136797.6</v>
      </c>
      <c r="T258" s="7" t="n">
        <v>107295.7</v>
      </c>
      <c r="U258" s="7" t="n">
        <v>158019.7</v>
      </c>
      <c r="V258" s="7" t="n">
        <v>152270.2</v>
      </c>
      <c r="W258" s="7" t="n">
        <v>166654.1</v>
      </c>
      <c r="X258" s="7" t="n">
        <v>195297.2</v>
      </c>
      <c r="Y258" s="7" t="n">
        <v>143414</v>
      </c>
      <c r="Z258" s="7" t="n">
        <v>114092</v>
      </c>
      <c r="AA258" s="7" t="n">
        <v>1722761.6</v>
      </c>
      <c r="AB258" s="7" t="n">
        <v>1739923.8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384507.9</v>
      </c>
      <c r="D259" s="7" t="n">
        <v>291999.4</v>
      </c>
      <c r="E259" s="7" t="n">
        <v>382862.7</v>
      </c>
      <c r="F259" s="7" t="n">
        <v>144138.2</v>
      </c>
      <c r="G259" s="7" t="n">
        <v>340756.7</v>
      </c>
      <c r="H259" s="7" t="n">
        <v>363502.7</v>
      </c>
      <c r="I259" s="7" t="n">
        <v>428154.3</v>
      </c>
      <c r="J259" s="7" t="n">
        <v>565269</v>
      </c>
      <c r="K259" s="7" t="n">
        <v>326944.2</v>
      </c>
      <c r="L259" s="7" t="n">
        <v>378747.5</v>
      </c>
      <c r="M259" s="7" t="n">
        <v>428018.7</v>
      </c>
      <c r="N259" s="7" t="n">
        <v>525585.3</v>
      </c>
      <c r="O259" s="7" t="n">
        <v>529104.8</v>
      </c>
      <c r="P259" s="7" t="n">
        <v>775005.8</v>
      </c>
      <c r="Q259" s="7" t="n">
        <v>387025.6</v>
      </c>
      <c r="R259" s="7" t="n">
        <v>468657.8</v>
      </c>
      <c r="S259" s="7" t="n">
        <v>483525</v>
      </c>
      <c r="T259" s="7" t="n">
        <v>321887.1</v>
      </c>
      <c r="U259" s="7" t="n">
        <v>506901.5</v>
      </c>
      <c r="V259" s="7" t="n">
        <v>456810.6</v>
      </c>
      <c r="W259" s="7" t="n">
        <v>505902.9</v>
      </c>
      <c r="X259" s="7" t="n">
        <v>585891.8</v>
      </c>
      <c r="Y259" s="7" t="n">
        <v>358151</v>
      </c>
      <c r="Z259" s="7" t="n">
        <v>342276</v>
      </c>
      <c r="AA259" s="8" t="n">
        <v>5061855.3</v>
      </c>
      <c r="AB259" s="8" t="n">
        <v>5219771.2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69328.7</v>
      </c>
      <c r="E260" s="7" t="n">
        <v>0</v>
      </c>
      <c r="F260" s="7" t="n">
        <v>14280.4</v>
      </c>
      <c r="G260" s="7" t="n">
        <v>0</v>
      </c>
      <c r="H260" s="7" t="n">
        <v>91989.39999999999</v>
      </c>
      <c r="I260" s="7" t="n">
        <v>0</v>
      </c>
      <c r="J260" s="7" t="n">
        <v>161380.5</v>
      </c>
      <c r="K260" s="7" t="n">
        <v>0</v>
      </c>
      <c r="L260" s="7" t="n">
        <v>6367.3</v>
      </c>
      <c r="M260" s="7" t="n">
        <v>0</v>
      </c>
      <c r="N260" s="7" t="n">
        <v>122301.5</v>
      </c>
      <c r="O260" s="7" t="n">
        <v>0</v>
      </c>
      <c r="P260" s="7" t="n">
        <v>16597.1</v>
      </c>
      <c r="Q260" s="7" t="n">
        <v>0</v>
      </c>
      <c r="R260" s="7" t="n">
        <v>66101.39999999999</v>
      </c>
      <c r="S260" s="7" t="n">
        <v>0</v>
      </c>
      <c r="T260" s="7" t="n">
        <v>18559.3</v>
      </c>
      <c r="U260" s="7" t="n">
        <v>0</v>
      </c>
      <c r="V260" s="7" t="n">
        <v>115327.2</v>
      </c>
      <c r="W260" s="7" t="n">
        <v>0</v>
      </c>
      <c r="X260" s="7" t="n">
        <v>143646.1</v>
      </c>
      <c r="Y260" s="7" t="n">
        <v>0</v>
      </c>
      <c r="Z260" s="7" t="n">
        <v>85047.2</v>
      </c>
      <c r="AA260" s="7" t="n">
        <v>0</v>
      </c>
      <c r="AB260" s="7" t="n">
        <v>910926.1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384507.9</v>
      </c>
      <c r="D261" s="7" t="n">
        <v>222670.7</v>
      </c>
      <c r="E261" s="7" t="n">
        <v>382862.7</v>
      </c>
      <c r="F261" s="7" t="n">
        <v>129857.8</v>
      </c>
      <c r="G261" s="7" t="n">
        <v>340756.7</v>
      </c>
      <c r="H261" s="7" t="n">
        <v>271513.3</v>
      </c>
      <c r="I261" s="7" t="n">
        <v>428154.3</v>
      </c>
      <c r="J261" s="7" t="n">
        <v>403888.5</v>
      </c>
      <c r="K261" s="7" t="n">
        <v>326944.2</v>
      </c>
      <c r="L261" s="7" t="n">
        <v>372380.2</v>
      </c>
      <c r="M261" s="7" t="n">
        <v>428018.7</v>
      </c>
      <c r="N261" s="7" t="n">
        <v>403283.8</v>
      </c>
      <c r="O261" s="7" t="n">
        <v>529104.8</v>
      </c>
      <c r="P261" s="7" t="n">
        <v>758408.7</v>
      </c>
      <c r="Q261" s="7" t="n">
        <v>387025.6</v>
      </c>
      <c r="R261" s="7" t="n">
        <v>402556.4</v>
      </c>
      <c r="S261" s="7" t="n">
        <v>483525</v>
      </c>
      <c r="T261" s="7" t="n">
        <v>303327.8</v>
      </c>
      <c r="U261" s="7" t="n">
        <v>506901.5</v>
      </c>
      <c r="V261" s="7" t="n">
        <v>341483.4</v>
      </c>
      <c r="W261" s="7" t="n">
        <v>505902.9</v>
      </c>
      <c r="X261" s="7" t="n">
        <v>442245.7</v>
      </c>
      <c r="Y261" s="7" t="n">
        <v>358151</v>
      </c>
      <c r="Z261" s="7" t="n">
        <v>257228.8</v>
      </c>
      <c r="AA261" s="8" t="n">
        <v>5061855.3</v>
      </c>
      <c r="AB261" s="8" t="n">
        <v>4308845.1</v>
      </c>
    </row>
    <row r="262">
      <c r="A262" s="4" t="inlineStr">
        <is>
          <t>净利率</t>
        </is>
      </c>
      <c r="D262" s="13" t="n">
        <v>6.9</v>
      </c>
      <c r="F262" s="13" t="n">
        <v>3.5</v>
      </c>
      <c r="H262" s="13" t="n">
        <v>6.5</v>
      </c>
      <c r="J262" s="13" t="n">
        <v>8</v>
      </c>
      <c r="L262" s="13" t="n">
        <v>5</v>
      </c>
      <c r="N262" s="13" t="n">
        <v>6.5</v>
      </c>
      <c r="P262" s="13" t="n">
        <v>8.5</v>
      </c>
      <c r="R262" s="13" t="n">
        <v>6.1</v>
      </c>
      <c r="T262" s="13" t="n">
        <v>4.7</v>
      </c>
      <c r="V262" s="13" t="n">
        <v>5.8</v>
      </c>
      <c r="X262" s="13" t="n">
        <v>8.9</v>
      </c>
      <c r="Z262" s="13" t="n">
        <v>7.5</v>
      </c>
    </row>
    <row r="263">
      <c r="A263" s="4" t="inlineStr">
        <is>
          <t>销售达成率</t>
        </is>
      </c>
      <c r="D263" s="13" t="n">
        <v>72.90000000000001</v>
      </c>
      <c r="F263" s="13" t="n">
        <v>55.5</v>
      </c>
      <c r="H263" s="13" t="n">
        <v>96.40000000000001</v>
      </c>
      <c r="J263" s="13" t="n">
        <v>123.6</v>
      </c>
      <c r="L263" s="13" t="n">
        <v>99.90000000000001</v>
      </c>
      <c r="N263" s="13" t="n">
        <v>109.6</v>
      </c>
      <c r="P263" s="13" t="n">
        <v>132.8</v>
      </c>
      <c r="R263" s="13" t="n">
        <v>112.5</v>
      </c>
      <c r="T263" s="13" t="n">
        <v>96.90000000000001</v>
      </c>
      <c r="V263" s="13" t="n">
        <v>120.1</v>
      </c>
      <c r="X263" s="13" t="n">
        <v>111.7</v>
      </c>
      <c r="Z263" s="13" t="n">
        <v>80.2</v>
      </c>
    </row>
    <row r="264">
      <c r="A264" s="4" t="inlineStr">
        <is>
          <t>净利达成率</t>
        </is>
      </c>
      <c r="D264" s="13" t="n">
        <v>75.90000000000001</v>
      </c>
      <c r="F264" s="13" t="n">
        <v>37.6</v>
      </c>
      <c r="H264" s="13" t="n">
        <v>106.7</v>
      </c>
      <c r="J264" s="13" t="n">
        <v>132</v>
      </c>
      <c r="L264" s="13" t="n">
        <v>115.8</v>
      </c>
      <c r="N264" s="13" t="n">
        <v>122.8</v>
      </c>
      <c r="P264" s="13" t="n">
        <v>146.5</v>
      </c>
      <c r="R264" s="13" t="n">
        <v>121.1</v>
      </c>
      <c r="T264" s="13" t="n">
        <v>66.59999999999999</v>
      </c>
      <c r="V264" s="13" t="n">
        <v>90.09999999999999</v>
      </c>
      <c r="X264" s="13" t="n">
        <v>115.8</v>
      </c>
      <c r="Z264" s="13" t="n">
        <v>95.59999999999999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华东运营利润表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5818896.4</v>
      </c>
      <c r="D6" s="7" t="n">
        <v>4320785.6</v>
      </c>
      <c r="E6" s="7" t="n">
        <v>7400469.9</v>
      </c>
      <c r="F6" s="7" t="n">
        <v>4065446.6</v>
      </c>
      <c r="G6" s="7" t="n">
        <v>5759267.1</v>
      </c>
      <c r="H6" s="7" t="n">
        <v>5512523.5</v>
      </c>
      <c r="I6" s="7" t="n">
        <v>5712080.2</v>
      </c>
      <c r="J6" s="7" t="n">
        <v>6970304.1</v>
      </c>
      <c r="K6" s="7" t="n">
        <v>7519431.2</v>
      </c>
      <c r="L6" s="7" t="n">
        <v>7453931.7</v>
      </c>
      <c r="M6" s="7" t="n">
        <v>7401162.2</v>
      </c>
      <c r="N6" s="7" t="n">
        <v>8198676.5</v>
      </c>
      <c r="O6" s="7" t="n">
        <v>6827664.3</v>
      </c>
      <c r="P6" s="7" t="n">
        <v>9267303.199999999</v>
      </c>
      <c r="Q6" s="7" t="n">
        <v>6822938.7</v>
      </c>
      <c r="R6" s="7" t="n">
        <v>7598367</v>
      </c>
      <c r="S6" s="7" t="n">
        <v>7095515.7</v>
      </c>
      <c r="T6" s="7" t="n">
        <v>6866111.1</v>
      </c>
      <c r="U6" s="7" t="n">
        <v>6511094.3</v>
      </c>
      <c r="V6" s="7" t="n">
        <v>7837398.1</v>
      </c>
      <c r="W6" s="7" t="n">
        <v>5905212</v>
      </c>
      <c r="X6" s="7" t="n">
        <v>6631404.5</v>
      </c>
      <c r="Y6" s="7" t="n">
        <v>5716316.1</v>
      </c>
      <c r="Z6" s="7" t="n">
        <v>4570314</v>
      </c>
      <c r="AA6" s="8" t="n">
        <v>78490048.09999999</v>
      </c>
      <c r="AB6" s="8" t="n">
        <v>79292565.90000001</v>
      </c>
    </row>
    <row r="7">
      <c r="A7" s="4" t="inlineStr">
        <is>
          <t>生鲜蔬果</t>
        </is>
      </c>
      <c r="D7" s="7" t="n">
        <v>559040</v>
      </c>
      <c r="F7" s="7" t="n">
        <v>447081.2</v>
      </c>
      <c r="H7" s="7" t="n">
        <v>774921.3</v>
      </c>
      <c r="J7" s="7" t="n">
        <v>864552.1000000001</v>
      </c>
      <c r="L7" s="7" t="n">
        <v>627526.8</v>
      </c>
      <c r="N7" s="7" t="n">
        <v>720597</v>
      </c>
      <c r="P7" s="7" t="n">
        <v>910559.5</v>
      </c>
      <c r="R7" s="7" t="n">
        <v>1024675.4</v>
      </c>
      <c r="T7" s="7" t="n">
        <v>877059.9000000001</v>
      </c>
      <c r="V7" s="7" t="n">
        <v>982333.3999999999</v>
      </c>
      <c r="X7" s="7" t="n">
        <v>842838.3</v>
      </c>
      <c r="Z7" s="7" t="n">
        <v>662284.1</v>
      </c>
      <c r="AB7" s="7" t="n">
        <v>9293469</v>
      </c>
    </row>
    <row r="8">
      <c r="A8" s="4" t="inlineStr">
        <is>
          <t>肉禽蛋奶</t>
        </is>
      </c>
      <c r="D8" s="7" t="n">
        <v>563801.3</v>
      </c>
      <c r="F8" s="7" t="n">
        <v>557964.3</v>
      </c>
      <c r="H8" s="7" t="n">
        <v>826567.8999999999</v>
      </c>
      <c r="J8" s="7" t="n">
        <v>981929.2</v>
      </c>
      <c r="L8" s="7" t="n">
        <v>974074.3</v>
      </c>
      <c r="N8" s="7" t="n">
        <v>1132386.6</v>
      </c>
      <c r="P8" s="7" t="n">
        <v>1288742.1</v>
      </c>
      <c r="R8" s="7" t="n">
        <v>753366.4</v>
      </c>
      <c r="T8" s="7" t="n">
        <v>928198.8</v>
      </c>
      <c r="V8" s="7" t="n">
        <v>1094225.5</v>
      </c>
      <c r="X8" s="7" t="n">
        <v>757002.7999999999</v>
      </c>
      <c r="Z8" s="7" t="n">
        <v>604802.7</v>
      </c>
      <c r="AB8" s="7" t="n">
        <v>10463061.9</v>
      </c>
    </row>
    <row r="9">
      <c r="A9" s="4" t="inlineStr">
        <is>
          <t>粮油调味</t>
        </is>
      </c>
      <c r="D9" s="7" t="n">
        <v>669763.7</v>
      </c>
      <c r="F9" s="7" t="n">
        <v>707826.5</v>
      </c>
      <c r="H9" s="7" t="n">
        <v>834299.3</v>
      </c>
      <c r="J9" s="7" t="n">
        <v>960215.4</v>
      </c>
      <c r="L9" s="7" t="n">
        <v>1287725.3</v>
      </c>
      <c r="N9" s="7" t="n">
        <v>1544906.3</v>
      </c>
      <c r="P9" s="7" t="n">
        <v>1379581.2</v>
      </c>
      <c r="R9" s="7" t="n">
        <v>1248678.7</v>
      </c>
      <c r="T9" s="7" t="n">
        <v>1148207.3</v>
      </c>
      <c r="V9" s="7" t="n">
        <v>1215579.3</v>
      </c>
      <c r="X9" s="7" t="n">
        <v>982983.2999999999</v>
      </c>
      <c r="Z9" s="7" t="n">
        <v>829759.5</v>
      </c>
      <c r="AB9" s="7" t="n">
        <v>12809525.8</v>
      </c>
    </row>
    <row r="10">
      <c r="A10" s="4" t="inlineStr">
        <is>
          <t>酒水饮料</t>
        </is>
      </c>
      <c r="D10" s="7" t="n">
        <v>670509.7000000001</v>
      </c>
      <c r="F10" s="7" t="n">
        <v>668490.8999999999</v>
      </c>
      <c r="H10" s="7" t="n">
        <v>942775.2000000002</v>
      </c>
      <c r="J10" s="7" t="n">
        <v>1500297.4</v>
      </c>
      <c r="L10" s="7" t="n">
        <v>1166795.4</v>
      </c>
      <c r="N10" s="7" t="n">
        <v>1524632.2</v>
      </c>
      <c r="P10" s="7" t="n">
        <v>1240031.8</v>
      </c>
      <c r="R10" s="7" t="n">
        <v>1417179</v>
      </c>
      <c r="T10" s="7" t="n">
        <v>1292504.9</v>
      </c>
      <c r="V10" s="7" t="n">
        <v>1345827.2</v>
      </c>
      <c r="X10" s="7" t="n">
        <v>1119953.5</v>
      </c>
      <c r="Z10" s="7" t="n">
        <v>994086.2000000001</v>
      </c>
      <c r="AB10" s="7" t="n">
        <v>13883083.4</v>
      </c>
    </row>
    <row r="11">
      <c r="A11" s="4" t="inlineStr">
        <is>
          <t>休闲零食</t>
        </is>
      </c>
      <c r="D11" s="7" t="n">
        <v>1022840.5</v>
      </c>
      <c r="F11" s="7" t="n">
        <v>836853.7</v>
      </c>
      <c r="H11" s="7" t="n">
        <v>1452412.9</v>
      </c>
      <c r="J11" s="7" t="n">
        <v>1595156.4</v>
      </c>
      <c r="L11" s="7" t="n">
        <v>2150496.4</v>
      </c>
      <c r="N11" s="7" t="n">
        <v>1800701.8</v>
      </c>
      <c r="P11" s="7" t="n">
        <v>2851520</v>
      </c>
      <c r="R11" s="7" t="n">
        <v>1920458.6</v>
      </c>
      <c r="T11" s="7" t="n">
        <v>1675010.9</v>
      </c>
      <c r="V11" s="7" t="n">
        <v>1938826.8</v>
      </c>
      <c r="X11" s="7" t="n">
        <v>1843239.7</v>
      </c>
      <c r="Z11" s="7" t="n">
        <v>919902.8</v>
      </c>
      <c r="AB11" s="7" t="n">
        <v>20007420.5</v>
      </c>
    </row>
    <row r="12">
      <c r="A12" s="4" t="inlineStr">
        <is>
          <t>日用百货</t>
        </is>
      </c>
      <c r="D12" s="7" t="n">
        <v>829696.3999999999</v>
      </c>
      <c r="F12" s="7" t="n">
        <v>926479.6</v>
      </c>
      <c r="H12" s="7" t="n">
        <v>728905.8999999999</v>
      </c>
      <c r="J12" s="7" t="n">
        <v>1158825.1</v>
      </c>
      <c r="L12" s="7" t="n">
        <v>1384063.4</v>
      </c>
      <c r="N12" s="7" t="n">
        <v>1524974.4</v>
      </c>
      <c r="P12" s="7" t="n">
        <v>1599201.6</v>
      </c>
      <c r="R12" s="7" t="n">
        <v>1343072.4</v>
      </c>
      <c r="T12" s="7" t="n">
        <v>1033095.1</v>
      </c>
      <c r="V12" s="7" t="n">
        <v>1391673.7</v>
      </c>
      <c r="X12" s="7" t="n">
        <v>1165196.1</v>
      </c>
      <c r="Z12" s="7" t="n">
        <v>569479.1</v>
      </c>
      <c r="AB12" s="7" t="n">
        <v>13654662.8</v>
      </c>
    </row>
    <row r="13">
      <c r="A13" s="4" t="inlineStr">
        <is>
          <t>返利</t>
        </is>
      </c>
      <c r="D13" s="7" t="n">
        <v>-53683.4</v>
      </c>
      <c r="F13" s="7" t="n">
        <v>-105121.6</v>
      </c>
      <c r="H13" s="7" t="n">
        <v>-83282.89999999999</v>
      </c>
      <c r="J13" s="7" t="n">
        <v>-179521.8</v>
      </c>
      <c r="L13" s="7" t="n">
        <v>-143154.3</v>
      </c>
      <c r="N13" s="7" t="n">
        <v>-204162.5</v>
      </c>
      <c r="P13" s="7" t="n">
        <v>-98908.89999999999</v>
      </c>
      <c r="R13" s="7" t="n">
        <v>-148111.3</v>
      </c>
      <c r="T13" s="7" t="n">
        <v>-176772.1</v>
      </c>
      <c r="V13" s="7" t="n">
        <v>-162738.2</v>
      </c>
      <c r="X13" s="7" t="n">
        <v>-198935.9</v>
      </c>
      <c r="Z13" s="7" t="n">
        <v>-89116.89999999999</v>
      </c>
      <c r="AB13" s="7" t="n">
        <v>-1643509.8</v>
      </c>
    </row>
    <row r="14">
      <c r="A14" s="4" t="inlineStr">
        <is>
          <t>其他</t>
        </is>
      </c>
      <c r="D14" s="7" t="n">
        <v>58817.4</v>
      </c>
      <c r="F14" s="7" t="n">
        <v>25872</v>
      </c>
      <c r="H14" s="7" t="n">
        <v>35923.9</v>
      </c>
      <c r="J14" s="7" t="n">
        <v>88850.3</v>
      </c>
      <c r="L14" s="7" t="n">
        <v>6404.4</v>
      </c>
      <c r="N14" s="7" t="n">
        <v>154640.7</v>
      </c>
      <c r="P14" s="7" t="n">
        <v>96575.89999999999</v>
      </c>
      <c r="R14" s="7" t="n">
        <v>39047.8</v>
      </c>
      <c r="T14" s="7" t="n">
        <v>88806.3</v>
      </c>
      <c r="V14" s="7" t="n">
        <v>31670.4</v>
      </c>
      <c r="X14" s="7" t="n">
        <v>119126.7</v>
      </c>
      <c r="Z14" s="7" t="n">
        <v>79116.5</v>
      </c>
      <c r="AB14" s="7" t="n">
        <v>824852.3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5222321</v>
      </c>
      <c r="D15" s="7" t="n">
        <v>3275141.7</v>
      </c>
      <c r="E15" s="7" t="n">
        <v>4879987.3</v>
      </c>
      <c r="F15" s="7" t="n">
        <v>3121070.4</v>
      </c>
      <c r="G15" s="7" t="n">
        <v>4450697.2</v>
      </c>
      <c r="H15" s="7" t="n">
        <v>4296929.3</v>
      </c>
      <c r="I15" s="7" t="n">
        <v>4554576.6</v>
      </c>
      <c r="J15" s="7" t="n">
        <v>5337357.3</v>
      </c>
      <c r="K15" s="7" t="n">
        <v>4453623.3</v>
      </c>
      <c r="L15" s="7" t="n">
        <v>5733766.8</v>
      </c>
      <c r="M15" s="7" t="n">
        <v>5256480.1</v>
      </c>
      <c r="N15" s="7" t="n">
        <v>6253918.9</v>
      </c>
      <c r="O15" s="7" t="n">
        <v>5731886.8</v>
      </c>
      <c r="P15" s="7" t="n">
        <v>7003493.2</v>
      </c>
      <c r="Q15" s="7" t="n">
        <v>5832577.2</v>
      </c>
      <c r="R15" s="7" t="n">
        <v>5972226.6</v>
      </c>
      <c r="S15" s="7" t="n">
        <v>5266358.8</v>
      </c>
      <c r="T15" s="7" t="n">
        <v>5237950.3</v>
      </c>
      <c r="U15" s="7" t="n">
        <v>4405464.4</v>
      </c>
      <c r="V15" s="7" t="n">
        <v>5980512.6</v>
      </c>
      <c r="W15" s="7" t="n">
        <v>5295964.9</v>
      </c>
      <c r="X15" s="7" t="n">
        <v>5184373.4</v>
      </c>
      <c r="Y15" s="7" t="n">
        <v>5382385.6</v>
      </c>
      <c r="Z15" s="7" t="n">
        <v>3513030.9</v>
      </c>
      <c r="AA15" s="8" t="n">
        <v>60732323.2</v>
      </c>
      <c r="AB15" s="8" t="n">
        <v>60909771.4</v>
      </c>
    </row>
    <row r="16">
      <c r="A16" s="4" t="inlineStr">
        <is>
          <t>生鲜蔬果</t>
        </is>
      </c>
      <c r="D16" s="7" t="n">
        <v>405219</v>
      </c>
      <c r="F16" s="7" t="n">
        <v>328026.7</v>
      </c>
      <c r="H16" s="7" t="n">
        <v>562495.2000000001</v>
      </c>
      <c r="J16" s="7" t="n">
        <v>624807.1000000001</v>
      </c>
      <c r="L16" s="7" t="n">
        <v>456967.5</v>
      </c>
      <c r="N16" s="7" t="n">
        <v>524062.5</v>
      </c>
      <c r="P16" s="7" t="n">
        <v>666318.1000000001</v>
      </c>
      <c r="R16" s="7" t="n">
        <v>740716.8</v>
      </c>
      <c r="T16" s="7" t="n">
        <v>637603.7</v>
      </c>
      <c r="V16" s="7" t="n">
        <v>715484.7</v>
      </c>
      <c r="X16" s="7" t="n">
        <v>609854.5</v>
      </c>
      <c r="Z16" s="7" t="n">
        <v>482316</v>
      </c>
      <c r="AB16" s="7" t="n">
        <v>6753871.8</v>
      </c>
    </row>
    <row r="17">
      <c r="A17" s="4" t="inlineStr">
        <is>
          <t>肉禽蛋奶</t>
        </is>
      </c>
      <c r="D17" s="7" t="n">
        <v>435198.2</v>
      </c>
      <c r="F17" s="7" t="n">
        <v>427228.8</v>
      </c>
      <c r="H17" s="7" t="n">
        <v>628965.3999999999</v>
      </c>
      <c r="J17" s="7" t="n">
        <v>748649.5</v>
      </c>
      <c r="L17" s="7" t="n">
        <v>743465</v>
      </c>
      <c r="N17" s="7" t="n">
        <v>863080.3</v>
      </c>
      <c r="P17" s="7" t="n">
        <v>986748.9000000001</v>
      </c>
      <c r="R17" s="7" t="n">
        <v>578187.7</v>
      </c>
      <c r="T17" s="7" t="n">
        <v>715830.2</v>
      </c>
      <c r="V17" s="7" t="n">
        <v>840956.2</v>
      </c>
      <c r="X17" s="7" t="n">
        <v>581620.9</v>
      </c>
      <c r="Z17" s="7" t="n">
        <v>463719.6</v>
      </c>
      <c r="AB17" s="7" t="n">
        <v>8013650.7</v>
      </c>
    </row>
    <row r="18">
      <c r="A18" s="4" t="inlineStr">
        <is>
          <t>粮油调味</t>
        </is>
      </c>
      <c r="D18" s="7" t="n">
        <v>519445.7</v>
      </c>
      <c r="F18" s="7" t="n">
        <v>539860.9</v>
      </c>
      <c r="H18" s="7" t="n">
        <v>640531.3999999999</v>
      </c>
      <c r="J18" s="7" t="n">
        <v>734236.5</v>
      </c>
      <c r="L18" s="7" t="n">
        <v>983151.4</v>
      </c>
      <c r="N18" s="7" t="n">
        <v>1191986.4</v>
      </c>
      <c r="P18" s="7" t="n">
        <v>1045747</v>
      </c>
      <c r="R18" s="7" t="n">
        <v>969710.4</v>
      </c>
      <c r="T18" s="7" t="n">
        <v>894538.8</v>
      </c>
      <c r="V18" s="7" t="n">
        <v>932724.3999999999</v>
      </c>
      <c r="X18" s="7" t="n">
        <v>750792.2999999999</v>
      </c>
      <c r="Z18" s="7" t="n">
        <v>645667.4</v>
      </c>
      <c r="AB18" s="7" t="n">
        <v>9848392.6</v>
      </c>
    </row>
    <row r="19">
      <c r="A19" s="4" t="inlineStr">
        <is>
          <t>酒水饮料</t>
        </is>
      </c>
      <c r="D19" s="7" t="n">
        <v>456756.4</v>
      </c>
      <c r="F19" s="7" t="n">
        <v>455514.9</v>
      </c>
      <c r="H19" s="7" t="n">
        <v>644542.2000000001</v>
      </c>
      <c r="J19" s="7" t="n">
        <v>1016520.7</v>
      </c>
      <c r="L19" s="7" t="n">
        <v>797206.7</v>
      </c>
      <c r="N19" s="7" t="n">
        <v>1037171.1</v>
      </c>
      <c r="P19" s="7" t="n">
        <v>852445.5</v>
      </c>
      <c r="R19" s="7" t="n">
        <v>966022.4000000001</v>
      </c>
      <c r="T19" s="7" t="n">
        <v>883286.8</v>
      </c>
      <c r="V19" s="7" t="n">
        <v>914556.6</v>
      </c>
      <c r="X19" s="7" t="n">
        <v>763743.8</v>
      </c>
      <c r="Z19" s="7" t="n">
        <v>677663.8</v>
      </c>
      <c r="AB19" s="7" t="n">
        <v>9465430.9</v>
      </c>
    </row>
    <row r="20">
      <c r="A20" s="4" t="inlineStr">
        <is>
          <t>休闲零食</t>
        </is>
      </c>
      <c r="D20" s="7" t="n">
        <v>747680.4</v>
      </c>
      <c r="F20" s="7" t="n">
        <v>611312.4</v>
      </c>
      <c r="H20" s="7" t="n">
        <v>1077255.1</v>
      </c>
      <c r="J20" s="7" t="n">
        <v>1169826.7</v>
      </c>
      <c r="L20" s="7" t="n">
        <v>1569185.2</v>
      </c>
      <c r="N20" s="7" t="n">
        <v>1316011</v>
      </c>
      <c r="P20" s="7" t="n">
        <v>2089040.8</v>
      </c>
      <c r="R20" s="7" t="n">
        <v>1418461.7</v>
      </c>
      <c r="T20" s="7" t="n">
        <v>1221055.7</v>
      </c>
      <c r="V20" s="7" t="n">
        <v>1406376.8</v>
      </c>
      <c r="X20" s="7" t="n">
        <v>1348272.1</v>
      </c>
      <c r="Z20" s="7" t="n">
        <v>681280.1</v>
      </c>
      <c r="AB20" s="7" t="n">
        <v>14655758</v>
      </c>
    </row>
    <row r="21">
      <c r="A21" s="4" t="inlineStr">
        <is>
          <t>日用百货</t>
        </is>
      </c>
      <c r="D21" s="7" t="n">
        <v>596332</v>
      </c>
      <c r="F21" s="7" t="n">
        <v>662191.2</v>
      </c>
      <c r="H21" s="7" t="n">
        <v>526375.4</v>
      </c>
      <c r="J21" s="7" t="n">
        <v>833355.8</v>
      </c>
      <c r="L21" s="7" t="n">
        <v>993866</v>
      </c>
      <c r="N21" s="7" t="n">
        <v>1088323.8</v>
      </c>
      <c r="P21" s="7" t="n">
        <v>1144526.9</v>
      </c>
      <c r="R21" s="7" t="n">
        <v>962510.9</v>
      </c>
      <c r="T21" s="7" t="n">
        <v>744690.6000000001</v>
      </c>
      <c r="V21" s="7" t="n">
        <v>1001005.9</v>
      </c>
      <c r="X21" s="7" t="n">
        <v>838123.3999999999</v>
      </c>
      <c r="Z21" s="7" t="n">
        <v>405471.0000000001</v>
      </c>
      <c r="AB21" s="7" t="n">
        <v>9796772.9</v>
      </c>
    </row>
    <row r="22">
      <c r="A22" s="4" t="inlineStr">
        <is>
          <t>其他</t>
        </is>
      </c>
      <c r="D22" s="7" t="n">
        <v>50030.7</v>
      </c>
      <c r="F22" s="7" t="n">
        <v>7610.4</v>
      </c>
      <c r="H22" s="7" t="n">
        <v>18987</v>
      </c>
      <c r="J22" s="7" t="n">
        <v>100668.8</v>
      </c>
      <c r="L22" s="7" t="n">
        <v>87433.2</v>
      </c>
      <c r="N22" s="7" t="n">
        <v>91116</v>
      </c>
      <c r="P22" s="7" t="n">
        <v>109307</v>
      </c>
      <c r="R22" s="7" t="n">
        <v>49449</v>
      </c>
      <c r="T22" s="7" t="n">
        <v>19670.9</v>
      </c>
      <c r="V22" s="7" t="n">
        <v>80106.10000000001</v>
      </c>
      <c r="X22" s="7" t="n">
        <v>35046</v>
      </c>
      <c r="Z22" s="7" t="n">
        <v>9043.5</v>
      </c>
      <c r="AB22" s="7" t="n">
        <v>658468.6</v>
      </c>
    </row>
    <row r="23">
      <c r="A23" s="4" t="inlineStr">
        <is>
          <t>运费</t>
        </is>
      </c>
      <c r="D23" s="7" t="n">
        <v>114510</v>
      </c>
      <c r="F23" s="7" t="n">
        <v>96935.5</v>
      </c>
      <c r="H23" s="7" t="n">
        <v>216764.6</v>
      </c>
      <c r="J23" s="7" t="n">
        <v>209961</v>
      </c>
      <c r="L23" s="7" t="n">
        <v>189925</v>
      </c>
      <c r="N23" s="7" t="n">
        <v>233283.8</v>
      </c>
      <c r="P23" s="7" t="n">
        <v>218666</v>
      </c>
      <c r="R23" s="7" t="n">
        <v>336616.7</v>
      </c>
      <c r="T23" s="7" t="n">
        <v>140944.5</v>
      </c>
      <c r="V23" s="7" t="n">
        <v>169408</v>
      </c>
      <c r="X23" s="7" t="n">
        <v>291966.4</v>
      </c>
      <c r="Z23" s="7" t="n">
        <v>156913</v>
      </c>
      <c r="AB23" s="7" t="n">
        <v>2375894.5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596575.4</v>
      </c>
      <c r="D24" s="7" t="n">
        <v>1045643.9</v>
      </c>
      <c r="E24" s="7" t="n">
        <v>2520482.6</v>
      </c>
      <c r="F24" s="7" t="n">
        <v>944376.2</v>
      </c>
      <c r="G24" s="7" t="n">
        <v>1308569.9</v>
      </c>
      <c r="H24" s="7" t="n">
        <v>1215594.2</v>
      </c>
      <c r="I24" s="7" t="n">
        <v>1157503.6</v>
      </c>
      <c r="J24" s="7" t="n">
        <v>1632946.8</v>
      </c>
      <c r="K24" s="7" t="n">
        <v>3065807.9</v>
      </c>
      <c r="L24" s="7" t="n">
        <v>1720164.9</v>
      </c>
      <c r="M24" s="7" t="n">
        <v>2144682.1</v>
      </c>
      <c r="N24" s="7" t="n">
        <v>1944757.6</v>
      </c>
      <c r="O24" s="7" t="n">
        <v>1095777.5</v>
      </c>
      <c r="P24" s="7" t="n">
        <v>2263810</v>
      </c>
      <c r="Q24" s="7" t="n">
        <v>990361.5</v>
      </c>
      <c r="R24" s="7" t="n">
        <v>1626140.4</v>
      </c>
      <c r="S24" s="7" t="n">
        <v>1829156.9</v>
      </c>
      <c r="T24" s="7" t="n">
        <v>1628160.8</v>
      </c>
      <c r="U24" s="7" t="n">
        <v>2105629.9</v>
      </c>
      <c r="V24" s="7" t="n">
        <v>1856885.5</v>
      </c>
      <c r="W24" s="7" t="n">
        <v>609247.1</v>
      </c>
      <c r="X24" s="7" t="n">
        <v>1447031.1</v>
      </c>
      <c r="Y24" s="7" t="n">
        <v>333930.5</v>
      </c>
      <c r="Z24" s="7" t="n">
        <v>1057283.1</v>
      </c>
      <c r="AA24" s="8" t="n">
        <v>17757724.9</v>
      </c>
      <c r="AB24" s="8" t="n">
        <v>18382794.5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10.3</v>
      </c>
      <c r="D25" s="13" t="n">
        <v>24.2</v>
      </c>
      <c r="E25" s="13" t="n">
        <v>34.1</v>
      </c>
      <c r="F25" s="13" t="n">
        <v>23.2</v>
      </c>
      <c r="G25" s="13" t="n">
        <v>22.7</v>
      </c>
      <c r="H25" s="13" t="n">
        <v>22.1</v>
      </c>
      <c r="I25" s="13" t="n">
        <v>20.3</v>
      </c>
      <c r="J25" s="13" t="n">
        <v>23.4</v>
      </c>
      <c r="K25" s="13" t="n">
        <v>40.8</v>
      </c>
      <c r="L25" s="13" t="n">
        <v>23.1</v>
      </c>
      <c r="M25" s="13" t="n">
        <v>29</v>
      </c>
      <c r="N25" s="13" t="n">
        <v>23.7</v>
      </c>
      <c r="O25" s="13" t="n">
        <v>16</v>
      </c>
      <c r="P25" s="13" t="n">
        <v>24.4</v>
      </c>
      <c r="Q25" s="13" t="n">
        <v>14.5</v>
      </c>
      <c r="R25" s="13" t="n">
        <v>21.4</v>
      </c>
      <c r="S25" s="13" t="n">
        <v>25.8</v>
      </c>
      <c r="T25" s="13" t="n">
        <v>23.7</v>
      </c>
      <c r="U25" s="13" t="n">
        <v>32.3</v>
      </c>
      <c r="V25" s="13" t="n">
        <v>23.7</v>
      </c>
      <c r="W25" s="13" t="n">
        <v>10.3</v>
      </c>
      <c r="X25" s="13" t="n">
        <v>21.8</v>
      </c>
      <c r="Y25" s="13" t="n">
        <v>5.8</v>
      </c>
      <c r="Z25" s="13" t="n">
        <v>23.1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66037.7</v>
      </c>
      <c r="D26" s="7" t="n">
        <v>60433.2</v>
      </c>
      <c r="E26" s="7" t="n">
        <v>56571.3</v>
      </c>
      <c r="F26" s="7" t="n">
        <v>40056.9</v>
      </c>
      <c r="G26" s="7" t="n">
        <v>58250.6</v>
      </c>
      <c r="H26" s="7" t="n">
        <v>51679.9</v>
      </c>
      <c r="I26" s="7" t="n">
        <v>60992.1</v>
      </c>
      <c r="J26" s="7" t="n">
        <v>55394</v>
      </c>
      <c r="K26" s="7" t="n">
        <v>60362.1</v>
      </c>
      <c r="L26" s="7" t="n">
        <v>89226.39999999999</v>
      </c>
      <c r="M26" s="7" t="n">
        <v>62384.7</v>
      </c>
      <c r="N26" s="7" t="n">
        <v>56552.5</v>
      </c>
      <c r="O26" s="7" t="n">
        <v>55242.8</v>
      </c>
      <c r="P26" s="7" t="n">
        <v>63631.8</v>
      </c>
      <c r="Q26" s="7" t="n">
        <v>67665.5</v>
      </c>
      <c r="R26" s="7" t="n">
        <v>64408.7</v>
      </c>
      <c r="S26" s="7" t="n">
        <v>62617.2</v>
      </c>
      <c r="T26" s="7" t="n">
        <v>84618.10000000001</v>
      </c>
      <c r="U26" s="7" t="n">
        <v>58845.3</v>
      </c>
      <c r="V26" s="7" t="n">
        <v>60765.3</v>
      </c>
      <c r="W26" s="7" t="n">
        <v>55593.6</v>
      </c>
      <c r="X26" s="7" t="n">
        <v>88287.2</v>
      </c>
      <c r="Y26" s="7" t="n">
        <v>71930.5</v>
      </c>
      <c r="Z26" s="7" t="n">
        <v>64645.9</v>
      </c>
      <c r="AA26" s="8" t="n">
        <v>736493.4</v>
      </c>
      <c r="AB26" s="8" t="n">
        <v>779699.9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841097.7</v>
      </c>
      <c r="D27" s="7" t="n">
        <v>748023</v>
      </c>
      <c r="E27" s="7" t="n">
        <v>959024.2</v>
      </c>
      <c r="F27" s="7" t="n">
        <v>441728.6</v>
      </c>
      <c r="G27" s="7" t="n">
        <v>828587.8</v>
      </c>
      <c r="H27" s="7" t="n">
        <v>917947.8</v>
      </c>
      <c r="I27" s="7" t="n">
        <v>1048166.4</v>
      </c>
      <c r="J27" s="7" t="n">
        <v>1108241.6</v>
      </c>
      <c r="K27" s="7" t="n">
        <v>846615</v>
      </c>
      <c r="L27" s="7" t="n">
        <v>1078395.9</v>
      </c>
      <c r="M27" s="7" t="n">
        <v>1059109.2</v>
      </c>
      <c r="N27" s="7" t="n">
        <v>1037123.6</v>
      </c>
      <c r="O27" s="7" t="n">
        <v>867273.8</v>
      </c>
      <c r="P27" s="7" t="n">
        <v>1324189.9</v>
      </c>
      <c r="Q27" s="7" t="n">
        <v>948215.4</v>
      </c>
      <c r="R27" s="7" t="n">
        <v>1061536.7</v>
      </c>
      <c r="S27" s="7" t="n">
        <v>837751.8</v>
      </c>
      <c r="T27" s="7" t="n">
        <v>1003661.6</v>
      </c>
      <c r="U27" s="7" t="n">
        <v>972684.9</v>
      </c>
      <c r="V27" s="7" t="n">
        <v>1203547.8</v>
      </c>
      <c r="W27" s="7" t="n">
        <v>1048482.4</v>
      </c>
      <c r="X27" s="7" t="n">
        <v>787227.3</v>
      </c>
      <c r="Y27" s="7" t="n">
        <v>997516.4</v>
      </c>
      <c r="Z27" s="7" t="n">
        <v>717121</v>
      </c>
      <c r="AA27" s="8" t="n">
        <v>11254525</v>
      </c>
      <c r="AB27" s="8" t="n">
        <v>11428744.8</v>
      </c>
    </row>
    <row r="28">
      <c r="A28" s="4" t="inlineStr">
        <is>
          <t>职工薪酬</t>
        </is>
      </c>
      <c r="D28" s="7" t="n">
        <v>350820.7</v>
      </c>
      <c r="F28" s="7" t="n">
        <v>216068.3</v>
      </c>
      <c r="H28" s="7" t="n">
        <v>551421.7</v>
      </c>
      <c r="J28" s="7" t="n">
        <v>562764.8</v>
      </c>
      <c r="L28" s="7" t="n">
        <v>525873.1</v>
      </c>
      <c r="N28" s="7" t="n">
        <v>553228.9</v>
      </c>
      <c r="P28" s="7" t="n">
        <v>713617.5</v>
      </c>
      <c r="R28" s="7" t="n">
        <v>503076.2</v>
      </c>
      <c r="T28" s="7" t="n">
        <v>404234.6</v>
      </c>
      <c r="V28" s="7" t="n">
        <v>519057.7</v>
      </c>
      <c r="X28" s="7" t="n">
        <v>388291.7</v>
      </c>
      <c r="Z28" s="7" t="n">
        <v>408533.6</v>
      </c>
      <c r="AB28" s="7" t="n">
        <v>5696988.8</v>
      </c>
    </row>
    <row r="29">
      <c r="A29" s="4" t="inlineStr">
        <is>
          <t>工资</t>
        </is>
      </c>
      <c r="D29" s="7" t="n">
        <v>165257.8</v>
      </c>
      <c r="F29" s="7" t="n">
        <v>137131.8</v>
      </c>
      <c r="H29" s="7" t="n">
        <v>347795.6</v>
      </c>
      <c r="J29" s="7" t="n">
        <v>315706.5</v>
      </c>
      <c r="L29" s="7" t="n">
        <v>298103.5</v>
      </c>
      <c r="N29" s="7" t="n">
        <v>350048</v>
      </c>
      <c r="P29" s="7" t="n">
        <v>474398.6</v>
      </c>
      <c r="R29" s="7" t="n">
        <v>273713.9</v>
      </c>
      <c r="T29" s="7" t="n">
        <v>218113.3</v>
      </c>
      <c r="V29" s="7" t="n">
        <v>267993.8</v>
      </c>
      <c r="X29" s="7" t="n">
        <v>208381.3</v>
      </c>
      <c r="Z29" s="7" t="n">
        <v>272526.5</v>
      </c>
      <c r="AB29" s="7" t="n">
        <v>3329170.6</v>
      </c>
    </row>
    <row r="30">
      <c r="A30" s="4" t="inlineStr">
        <is>
          <t>奖金及提成</t>
        </is>
      </c>
      <c r="D30" s="7" t="n">
        <v>95474.10000000001</v>
      </c>
      <c r="F30" s="7" t="n">
        <v>33495</v>
      </c>
      <c r="H30" s="7" t="n">
        <v>104196.5</v>
      </c>
      <c r="J30" s="7" t="n">
        <v>112929.4</v>
      </c>
      <c r="L30" s="7" t="n">
        <v>87746.5</v>
      </c>
      <c r="N30" s="7" t="n">
        <v>105342.2</v>
      </c>
      <c r="P30" s="7" t="n">
        <v>112457.9</v>
      </c>
      <c r="R30" s="7" t="n">
        <v>114135.9</v>
      </c>
      <c r="T30" s="7" t="n">
        <v>81029.5</v>
      </c>
      <c r="V30" s="7" t="n">
        <v>138349.8</v>
      </c>
      <c r="X30" s="7" t="n">
        <v>74716.60000000001</v>
      </c>
      <c r="Z30" s="7" t="n">
        <v>54738.5</v>
      </c>
      <c r="AB30" s="7" t="n">
        <v>1114611.9</v>
      </c>
    </row>
    <row r="31">
      <c r="A31" s="4" t="inlineStr">
        <is>
          <t>社保</t>
        </is>
      </c>
      <c r="D31" s="7" t="n">
        <v>64819.2</v>
      </c>
      <c r="F31" s="7" t="n">
        <v>32326.7</v>
      </c>
      <c r="H31" s="7" t="n">
        <v>71617</v>
      </c>
      <c r="J31" s="7" t="n">
        <v>97449.5</v>
      </c>
      <c r="L31" s="7" t="n">
        <v>106087.8</v>
      </c>
      <c r="N31" s="7" t="n">
        <v>66383</v>
      </c>
      <c r="P31" s="7" t="n">
        <v>85620.8</v>
      </c>
      <c r="R31" s="7" t="n">
        <v>79906.89999999999</v>
      </c>
      <c r="T31" s="7" t="n">
        <v>72465</v>
      </c>
      <c r="V31" s="7" t="n">
        <v>76536.60000000001</v>
      </c>
      <c r="X31" s="7" t="n">
        <v>81812.39999999999</v>
      </c>
      <c r="Z31" s="7" t="n">
        <v>55408.1</v>
      </c>
      <c r="AB31" s="7" t="n">
        <v>890433</v>
      </c>
    </row>
    <row r="32">
      <c r="A32" s="4" t="inlineStr">
        <is>
          <t>养老</t>
        </is>
      </c>
      <c r="D32" s="7" t="n">
        <v>1536.5</v>
      </c>
      <c r="F32" s="7" t="n">
        <v>1321.5</v>
      </c>
      <c r="H32" s="7" t="n">
        <v>1897.6</v>
      </c>
      <c r="J32" s="7" t="n">
        <v>2363.3</v>
      </c>
      <c r="L32" s="7" t="n">
        <v>2886.4</v>
      </c>
      <c r="N32" s="7" t="n">
        <v>2296.3</v>
      </c>
      <c r="P32" s="7" t="n">
        <v>3473.9</v>
      </c>
      <c r="R32" s="7" t="n">
        <v>2612</v>
      </c>
      <c r="T32" s="7" t="n">
        <v>2406.6</v>
      </c>
      <c r="V32" s="7" t="n">
        <v>2303.3</v>
      </c>
      <c r="X32" s="7" t="n">
        <v>2108.7</v>
      </c>
      <c r="Z32" s="7" t="n">
        <v>2080.4</v>
      </c>
      <c r="AB32" s="7" t="n">
        <v>27286.5</v>
      </c>
    </row>
    <row r="33">
      <c r="A33" s="4" t="inlineStr">
        <is>
          <t>医疗</t>
        </is>
      </c>
      <c r="D33" s="7" t="n">
        <v>1591.5</v>
      </c>
      <c r="F33" s="7" t="n">
        <v>712.8</v>
      </c>
      <c r="H33" s="7" t="n">
        <v>1435</v>
      </c>
      <c r="J33" s="7" t="n">
        <v>2097.2</v>
      </c>
      <c r="L33" s="7" t="n">
        <v>2317.4</v>
      </c>
      <c r="N33" s="7" t="n">
        <v>1827.3</v>
      </c>
      <c r="P33" s="7" t="n">
        <v>2229.6</v>
      </c>
      <c r="R33" s="7" t="n">
        <v>2292.3</v>
      </c>
      <c r="T33" s="7" t="n">
        <v>1473.4</v>
      </c>
      <c r="V33" s="7" t="n">
        <v>1765.1</v>
      </c>
      <c r="X33" s="7" t="n">
        <v>1092.8</v>
      </c>
      <c r="Z33" s="7" t="n">
        <v>1449.9</v>
      </c>
      <c r="AB33" s="7" t="n">
        <v>20284.3</v>
      </c>
    </row>
    <row r="34">
      <c r="A34" s="4" t="inlineStr">
        <is>
          <t>工伤</t>
        </is>
      </c>
      <c r="D34" s="7" t="n">
        <v>127</v>
      </c>
      <c r="F34" s="7" t="n">
        <v>70</v>
      </c>
      <c r="H34" s="7" t="n">
        <v>113.1</v>
      </c>
      <c r="J34" s="7" t="n">
        <v>162.8</v>
      </c>
      <c r="L34" s="7" t="n">
        <v>158.6</v>
      </c>
      <c r="N34" s="7" t="n">
        <v>185.3</v>
      </c>
      <c r="P34" s="7" t="n">
        <v>149.4</v>
      </c>
      <c r="R34" s="7" t="n">
        <v>109.2</v>
      </c>
      <c r="T34" s="7" t="n">
        <v>130.5</v>
      </c>
      <c r="V34" s="7" t="n">
        <v>134.1</v>
      </c>
      <c r="X34" s="7" t="n">
        <v>103.1</v>
      </c>
      <c r="Z34" s="7" t="n">
        <v>107.1</v>
      </c>
      <c r="AB34" s="7" t="n">
        <v>1550.2</v>
      </c>
    </row>
    <row r="35">
      <c r="A35" s="4" t="inlineStr">
        <is>
          <t>失业</t>
        </is>
      </c>
      <c r="D35" s="7" t="n">
        <v>1356.2</v>
      </c>
      <c r="F35" s="7" t="n">
        <v>509.6</v>
      </c>
      <c r="H35" s="7" t="n">
        <v>1318.2</v>
      </c>
      <c r="J35" s="7" t="n">
        <v>2117.7</v>
      </c>
      <c r="L35" s="7" t="n">
        <v>1879.2</v>
      </c>
      <c r="N35" s="7" t="n">
        <v>1797.1</v>
      </c>
      <c r="P35" s="7" t="n">
        <v>2378.7</v>
      </c>
      <c r="R35" s="7" t="n">
        <v>1303.5</v>
      </c>
      <c r="T35" s="7" t="n">
        <v>1833.1</v>
      </c>
      <c r="V35" s="7" t="n">
        <v>2048</v>
      </c>
      <c r="X35" s="7" t="n">
        <v>1257.8</v>
      </c>
      <c r="Z35" s="7" t="n">
        <v>1363.6</v>
      </c>
      <c r="AB35" s="7" t="n">
        <v>19162.7</v>
      </c>
    </row>
    <row r="36">
      <c r="A36" s="4" t="inlineStr">
        <is>
          <t>生育</t>
        </is>
      </c>
      <c r="D36" s="7" t="n">
        <v>2570</v>
      </c>
      <c r="F36" s="7" t="n">
        <v>1962.9</v>
      </c>
      <c r="H36" s="7" t="n">
        <v>3746.9</v>
      </c>
      <c r="J36" s="7" t="n">
        <v>3231.6</v>
      </c>
      <c r="L36" s="7" t="n">
        <v>3087.6</v>
      </c>
      <c r="N36" s="7" t="n">
        <v>4706</v>
      </c>
      <c r="P36" s="7" t="n">
        <v>4696.9</v>
      </c>
      <c r="R36" s="7" t="n">
        <v>4931.8</v>
      </c>
      <c r="T36" s="7" t="n">
        <v>3721.2</v>
      </c>
      <c r="V36" s="7" t="n">
        <v>5734.4</v>
      </c>
      <c r="X36" s="7" t="n">
        <v>3754.4</v>
      </c>
      <c r="Z36" s="7" t="n">
        <v>2340.1</v>
      </c>
      <c r="AB36" s="7" t="n">
        <v>44483.8</v>
      </c>
    </row>
    <row r="37">
      <c r="A37" s="4" t="inlineStr">
        <is>
          <t>公积金</t>
        </is>
      </c>
      <c r="D37" s="7" t="n">
        <v>3398.5</v>
      </c>
      <c r="F37" s="7" t="n">
        <v>1336.6</v>
      </c>
      <c r="H37" s="7" t="n">
        <v>4583.3</v>
      </c>
      <c r="J37" s="7" t="n">
        <v>4409.4</v>
      </c>
      <c r="L37" s="7" t="n">
        <v>4075.4</v>
      </c>
      <c r="N37" s="7" t="n">
        <v>3217.3</v>
      </c>
      <c r="P37" s="7" t="n">
        <v>5804</v>
      </c>
      <c r="R37" s="7" t="n">
        <v>3588.6</v>
      </c>
      <c r="T37" s="7" t="n">
        <v>4302.4</v>
      </c>
      <c r="V37" s="7" t="n">
        <v>4288.8</v>
      </c>
      <c r="X37" s="7" t="n">
        <v>2461</v>
      </c>
      <c r="Z37" s="7" t="n">
        <v>3496.2</v>
      </c>
      <c r="AB37" s="7" t="n">
        <v>44961.5</v>
      </c>
    </row>
    <row r="38">
      <c r="A38" s="4" t="inlineStr">
        <is>
          <t>工会经费</t>
        </is>
      </c>
      <c r="D38" s="7" t="n">
        <v>1864.2</v>
      </c>
      <c r="F38" s="7" t="n">
        <v>1203</v>
      </c>
      <c r="H38" s="7" t="n">
        <v>2371.6</v>
      </c>
      <c r="J38" s="7" t="n">
        <v>2379</v>
      </c>
      <c r="L38" s="7" t="n">
        <v>2427.8</v>
      </c>
      <c r="N38" s="7" t="n">
        <v>2502.5</v>
      </c>
      <c r="P38" s="7" t="n">
        <v>2658.6</v>
      </c>
      <c r="R38" s="7" t="n">
        <v>2049.8</v>
      </c>
      <c r="T38" s="7" t="n">
        <v>2696.5</v>
      </c>
      <c r="V38" s="7" t="n">
        <v>2262.2</v>
      </c>
      <c r="X38" s="7" t="n">
        <v>1905.4</v>
      </c>
      <c r="Z38" s="7" t="n">
        <v>1387.6</v>
      </c>
      <c r="AB38" s="7" t="n">
        <v>25708.2</v>
      </c>
    </row>
    <row r="39">
      <c r="A39" s="4" t="inlineStr">
        <is>
          <t>职工教育经费</t>
        </is>
      </c>
      <c r="D39" s="7" t="n">
        <v>2865.9</v>
      </c>
      <c r="F39" s="7" t="n">
        <v>1131.2</v>
      </c>
      <c r="H39" s="7" t="n">
        <v>2358.9</v>
      </c>
      <c r="J39" s="7" t="n">
        <v>3776.6</v>
      </c>
      <c r="L39" s="7" t="n">
        <v>3522.8</v>
      </c>
      <c r="N39" s="7" t="n">
        <v>3724.6</v>
      </c>
      <c r="P39" s="7" t="n">
        <v>3562.9</v>
      </c>
      <c r="R39" s="7" t="n">
        <v>3736.3</v>
      </c>
      <c r="T39" s="7" t="n">
        <v>3769.7</v>
      </c>
      <c r="V39" s="7" t="n">
        <v>3357.5</v>
      </c>
      <c r="X39" s="7" t="n">
        <v>1924.7</v>
      </c>
      <c r="Z39" s="7" t="n">
        <v>2751.7</v>
      </c>
      <c r="AB39" s="7" t="n">
        <v>36482.8</v>
      </c>
    </row>
    <row r="40">
      <c r="A40" s="4" t="inlineStr">
        <is>
          <t>福利费</t>
        </is>
      </c>
      <c r="D40" s="7" t="n">
        <v>17141</v>
      </c>
      <c r="F40" s="7" t="n">
        <v>9444</v>
      </c>
      <c r="H40" s="7" t="n">
        <v>18498.8</v>
      </c>
      <c r="J40" s="7" t="n">
        <v>26114.4</v>
      </c>
      <c r="L40" s="7" t="n">
        <v>23909.3</v>
      </c>
      <c r="N40" s="7" t="n">
        <v>22011.3</v>
      </c>
      <c r="P40" s="7" t="n">
        <v>29114.7</v>
      </c>
      <c r="R40" s="7" t="n">
        <v>25944.8</v>
      </c>
      <c r="T40" s="7" t="n">
        <v>21858.2</v>
      </c>
      <c r="V40" s="7" t="n">
        <v>26269</v>
      </c>
      <c r="X40" s="7" t="n">
        <v>17090.3</v>
      </c>
      <c r="Z40" s="7" t="n">
        <v>18225</v>
      </c>
      <c r="AB40" s="7" t="n">
        <v>255620.8</v>
      </c>
    </row>
    <row r="41">
      <c r="A41" s="4" t="inlineStr">
        <is>
          <t>职工房租</t>
        </is>
      </c>
      <c r="D41" s="7" t="n">
        <v>4688.4</v>
      </c>
      <c r="F41" s="7" t="n">
        <v>2258.6</v>
      </c>
      <c r="H41" s="7" t="n">
        <v>4332.6</v>
      </c>
      <c r="J41" s="7" t="n">
        <v>8569.299999999999</v>
      </c>
      <c r="L41" s="7" t="n">
        <v>5740.2</v>
      </c>
      <c r="N41" s="7" t="n">
        <v>6224.1</v>
      </c>
      <c r="P41" s="7" t="n">
        <v>9927.299999999999</v>
      </c>
      <c r="R41" s="7" t="n">
        <v>8351.200000000001</v>
      </c>
      <c r="T41" s="7" t="n">
        <v>5001</v>
      </c>
      <c r="V41" s="7" t="n">
        <v>5725.8</v>
      </c>
      <c r="X41" s="7" t="n">
        <v>6488.2</v>
      </c>
      <c r="Z41" s="7" t="n">
        <v>5848.3</v>
      </c>
      <c r="AB41" s="7" t="n">
        <v>73155</v>
      </c>
    </row>
    <row r="42">
      <c r="A42" s="4" t="inlineStr">
        <is>
          <t>水电物业费</t>
        </is>
      </c>
      <c r="D42" s="7" t="n">
        <v>5079.8</v>
      </c>
      <c r="F42" s="7" t="n">
        <v>1782.2</v>
      </c>
      <c r="H42" s="7" t="n">
        <v>5837.4</v>
      </c>
      <c r="J42" s="7" t="n">
        <v>4840.9</v>
      </c>
      <c r="L42" s="7" t="n">
        <v>5959.3</v>
      </c>
      <c r="N42" s="7" t="n">
        <v>4216.4</v>
      </c>
      <c r="P42" s="7" t="n">
        <v>6226.5</v>
      </c>
      <c r="R42" s="7" t="n">
        <v>6185.2</v>
      </c>
      <c r="T42" s="7" t="n">
        <v>4701.5</v>
      </c>
      <c r="V42" s="7" t="n">
        <v>6952</v>
      </c>
      <c r="X42" s="7" t="n">
        <v>3835.2</v>
      </c>
      <c r="Z42" s="7" t="n">
        <v>4043.6</v>
      </c>
      <c r="AB42" s="7" t="n">
        <v>59660</v>
      </c>
    </row>
    <row r="43">
      <c r="A43" s="4" t="inlineStr">
        <is>
          <t>员工餐</t>
        </is>
      </c>
      <c r="D43" s="7" t="n">
        <v>2809.9</v>
      </c>
      <c r="F43" s="7" t="n">
        <v>2366.4</v>
      </c>
      <c r="H43" s="7" t="n">
        <v>3124</v>
      </c>
      <c r="J43" s="7" t="n">
        <v>5568.6</v>
      </c>
      <c r="L43" s="7" t="n">
        <v>5668.1</v>
      </c>
      <c r="N43" s="7" t="n">
        <v>3604.4</v>
      </c>
      <c r="P43" s="7" t="n">
        <v>5084.4</v>
      </c>
      <c r="R43" s="7" t="n">
        <v>4422.5</v>
      </c>
      <c r="T43" s="7" t="n">
        <v>5637.5</v>
      </c>
      <c r="V43" s="7" t="n">
        <v>6168.4</v>
      </c>
      <c r="X43" s="7" t="n">
        <v>2757.6</v>
      </c>
      <c r="Z43" s="7" t="n">
        <v>3751.1</v>
      </c>
      <c r="AB43" s="7" t="n">
        <v>50962.9</v>
      </c>
    </row>
    <row r="44">
      <c r="A44" s="4" t="inlineStr">
        <is>
          <t>节日礼品</t>
        </is>
      </c>
      <c r="D44" s="7" t="n">
        <v>38.1</v>
      </c>
      <c r="F44" s="7" t="n">
        <v>20.8</v>
      </c>
      <c r="H44" s="7" t="n">
        <v>60.8</v>
      </c>
      <c r="J44" s="7" t="n">
        <v>66.40000000000001</v>
      </c>
      <c r="L44" s="7" t="n">
        <v>71.8</v>
      </c>
      <c r="N44" s="7" t="n">
        <v>40.3</v>
      </c>
      <c r="P44" s="7" t="n">
        <v>88.3</v>
      </c>
      <c r="R44" s="7" t="n">
        <v>63.2</v>
      </c>
      <c r="T44" s="7" t="n">
        <v>46</v>
      </c>
      <c r="V44" s="7" t="n">
        <v>61.1</v>
      </c>
      <c r="X44" s="7" t="n">
        <v>55.3</v>
      </c>
      <c r="Z44" s="7" t="n">
        <v>29.8</v>
      </c>
      <c r="AB44" s="7" t="n">
        <v>641.9</v>
      </c>
    </row>
    <row r="45">
      <c r="A45" s="4" t="inlineStr">
        <is>
          <t>生日礼品</t>
        </is>
      </c>
      <c r="D45" s="7" t="n">
        <v>1887.8</v>
      </c>
      <c r="F45" s="7" t="n">
        <v>931</v>
      </c>
      <c r="H45" s="7" t="n">
        <v>1541.6</v>
      </c>
      <c r="J45" s="7" t="n">
        <v>2293.4</v>
      </c>
      <c r="L45" s="7" t="n">
        <v>2174.5</v>
      </c>
      <c r="N45" s="7" t="n">
        <v>2694.2</v>
      </c>
      <c r="P45" s="7" t="n">
        <v>1952.7</v>
      </c>
      <c r="R45" s="7" t="n">
        <v>1863</v>
      </c>
      <c r="T45" s="7" t="n">
        <v>2112.8</v>
      </c>
      <c r="V45" s="7" t="n">
        <v>2241</v>
      </c>
      <c r="X45" s="7" t="n">
        <v>1524.3</v>
      </c>
      <c r="Z45" s="7" t="n">
        <v>1178.1</v>
      </c>
      <c r="AB45" s="7" t="n">
        <v>22394.4</v>
      </c>
    </row>
    <row r="46">
      <c r="A46" s="4" t="inlineStr">
        <is>
          <t>体检</t>
        </is>
      </c>
      <c r="D46" s="7" t="n">
        <v>1549.8</v>
      </c>
      <c r="F46" s="7" t="n">
        <v>1080</v>
      </c>
      <c r="H46" s="7" t="n">
        <v>1757</v>
      </c>
      <c r="J46" s="7" t="n">
        <v>3243.2</v>
      </c>
      <c r="L46" s="7" t="n">
        <v>2454.1</v>
      </c>
      <c r="N46" s="7" t="n">
        <v>2799.7</v>
      </c>
      <c r="P46" s="7" t="n">
        <v>3238.4</v>
      </c>
      <c r="R46" s="7" t="n">
        <v>2962.4</v>
      </c>
      <c r="T46" s="7" t="n">
        <v>2816.9</v>
      </c>
      <c r="V46" s="7" t="n">
        <v>3253.9</v>
      </c>
      <c r="X46" s="7" t="n">
        <v>1284.7</v>
      </c>
      <c r="Z46" s="7" t="n">
        <v>1684.5</v>
      </c>
      <c r="AB46" s="7" t="n">
        <v>28124.6</v>
      </c>
    </row>
    <row r="47">
      <c r="A47" s="4" t="inlineStr">
        <is>
          <t>其他福利支出</t>
        </is>
      </c>
      <c r="D47" s="7" t="n">
        <v>1087.2</v>
      </c>
      <c r="F47" s="7" t="n">
        <v>1005</v>
      </c>
      <c r="H47" s="7" t="n">
        <v>1845.4</v>
      </c>
      <c r="J47" s="7" t="n">
        <v>1532.6</v>
      </c>
      <c r="L47" s="7" t="n">
        <v>1841.3</v>
      </c>
      <c r="N47" s="7" t="n">
        <v>2432.2</v>
      </c>
      <c r="P47" s="7" t="n">
        <v>2597.1</v>
      </c>
      <c r="R47" s="7" t="n">
        <v>2097.3</v>
      </c>
      <c r="T47" s="7" t="n">
        <v>1542.5</v>
      </c>
      <c r="V47" s="7" t="n">
        <v>1866.8</v>
      </c>
      <c r="X47" s="7" t="n">
        <v>1145</v>
      </c>
      <c r="Z47" s="7" t="n">
        <v>1689.6</v>
      </c>
      <c r="AB47" s="7" t="n">
        <v>20682</v>
      </c>
    </row>
    <row r="48">
      <c r="A48" s="4" t="inlineStr">
        <is>
          <t>招聘费</t>
        </is>
      </c>
      <c r="D48" s="7" t="n">
        <v>4005.2</v>
      </c>
      <c r="F48" s="7" t="n">
        <v>2701.9</v>
      </c>
      <c r="H48" s="7" t="n">
        <v>4512.5</v>
      </c>
      <c r="J48" s="7" t="n">
        <v>5177.5</v>
      </c>
      <c r="L48" s="7" t="n">
        <v>6592.8</v>
      </c>
      <c r="N48" s="7" t="n">
        <v>7301</v>
      </c>
      <c r="P48" s="7" t="n">
        <v>9618</v>
      </c>
      <c r="R48" s="7" t="n">
        <v>5606.9</v>
      </c>
      <c r="T48" s="7" t="n">
        <v>6724.3</v>
      </c>
      <c r="V48" s="7" t="n">
        <v>7282.3</v>
      </c>
      <c r="X48" s="7" t="n">
        <v>3668.4</v>
      </c>
      <c r="Z48" s="7" t="n">
        <v>5550.3</v>
      </c>
      <c r="AB48" s="7" t="n">
        <v>68741.10000000001</v>
      </c>
    </row>
    <row r="49">
      <c r="A49" s="4" t="inlineStr">
        <is>
          <t>办公费</t>
        </is>
      </c>
      <c r="D49" s="7" t="n">
        <v>28846.7</v>
      </c>
      <c r="F49" s="7" t="n">
        <v>10430.4</v>
      </c>
      <c r="H49" s="7" t="n">
        <v>34693.4</v>
      </c>
      <c r="J49" s="7" t="n">
        <v>41567.9</v>
      </c>
      <c r="L49" s="7" t="n">
        <v>28809.3</v>
      </c>
      <c r="N49" s="7" t="n">
        <v>32184.1</v>
      </c>
      <c r="P49" s="7" t="n">
        <v>50418.3</v>
      </c>
      <c r="R49" s="7" t="n">
        <v>24554.4</v>
      </c>
      <c r="T49" s="7" t="n">
        <v>26814.6</v>
      </c>
      <c r="V49" s="7" t="n">
        <v>44330.9</v>
      </c>
      <c r="X49" s="7" t="n">
        <v>26834.6</v>
      </c>
      <c r="Z49" s="7" t="n">
        <v>24939.9</v>
      </c>
      <c r="AB49" s="7" t="n">
        <v>374424.5</v>
      </c>
    </row>
    <row r="50">
      <c r="A50" s="4" t="inlineStr">
        <is>
          <t>市内交通费</t>
        </is>
      </c>
      <c r="D50" s="7" t="n">
        <v>4094.4</v>
      </c>
      <c r="F50" s="7" t="n">
        <v>2413.6</v>
      </c>
      <c r="H50" s="7" t="n">
        <v>5116.6</v>
      </c>
      <c r="J50" s="7" t="n">
        <v>8060.7</v>
      </c>
      <c r="L50" s="7" t="n">
        <v>7695.6</v>
      </c>
      <c r="N50" s="7" t="n">
        <v>7541.6</v>
      </c>
      <c r="P50" s="7" t="n">
        <v>6605.1</v>
      </c>
      <c r="R50" s="7" t="n">
        <v>7152.5</v>
      </c>
      <c r="T50" s="7" t="n">
        <v>4425.8</v>
      </c>
      <c r="V50" s="7" t="n">
        <v>5632.2</v>
      </c>
      <c r="X50" s="7" t="n">
        <v>5258.8</v>
      </c>
      <c r="Z50" s="7" t="n">
        <v>4416.8</v>
      </c>
      <c r="AB50" s="7" t="n">
        <v>68413.7</v>
      </c>
    </row>
    <row r="51">
      <c r="A51" s="4" t="inlineStr">
        <is>
          <t>差旅费</t>
        </is>
      </c>
      <c r="D51" s="7" t="n">
        <v>38603.3</v>
      </c>
      <c r="F51" s="7" t="n">
        <v>27569.9</v>
      </c>
      <c r="H51" s="7" t="n">
        <v>46184.5</v>
      </c>
      <c r="J51" s="7" t="n">
        <v>55809.5</v>
      </c>
      <c r="L51" s="7" t="n">
        <v>71978.2</v>
      </c>
      <c r="N51" s="7" t="n">
        <v>56972.7</v>
      </c>
      <c r="P51" s="7" t="n">
        <v>88420.2</v>
      </c>
      <c r="R51" s="7" t="n">
        <v>62798</v>
      </c>
      <c r="T51" s="7" t="n">
        <v>60303.7</v>
      </c>
      <c r="V51" s="7" t="n">
        <v>76749.8</v>
      </c>
      <c r="X51" s="7" t="n">
        <v>53242.3</v>
      </c>
      <c r="Z51" s="7" t="n">
        <v>39773.4</v>
      </c>
      <c r="AB51" s="7" t="n">
        <v>678405.5</v>
      </c>
    </row>
    <row r="52">
      <c r="A52" s="4" t="inlineStr">
        <is>
          <t>交通费</t>
        </is>
      </c>
      <c r="D52" s="7" t="n">
        <v>4158.3</v>
      </c>
      <c r="F52" s="7" t="n">
        <v>1931.4</v>
      </c>
      <c r="H52" s="7" t="n">
        <v>4185.2</v>
      </c>
      <c r="J52" s="7" t="n">
        <v>4454.5</v>
      </c>
      <c r="L52" s="7" t="n">
        <v>6982.2</v>
      </c>
      <c r="N52" s="7" t="n">
        <v>4108.8</v>
      </c>
      <c r="P52" s="7" t="n">
        <v>6377.5</v>
      </c>
      <c r="R52" s="7" t="n">
        <v>5622.1</v>
      </c>
      <c r="T52" s="7" t="n">
        <v>6423.7</v>
      </c>
      <c r="V52" s="7" t="n">
        <v>8695.200000000001</v>
      </c>
      <c r="X52" s="7" t="n">
        <v>5079.2</v>
      </c>
      <c r="Z52" s="7" t="n">
        <v>2964</v>
      </c>
      <c r="AB52" s="7" t="n">
        <v>60982.1</v>
      </c>
    </row>
    <row r="53">
      <c r="A53" s="4" t="inlineStr">
        <is>
          <t>住宿费</t>
        </is>
      </c>
      <c r="D53" s="7" t="n">
        <v>5872.5</v>
      </c>
      <c r="F53" s="7" t="n">
        <v>3277</v>
      </c>
      <c r="H53" s="7" t="n">
        <v>5546.9</v>
      </c>
      <c r="J53" s="7" t="n">
        <v>6029.6</v>
      </c>
      <c r="L53" s="7" t="n">
        <v>6389</v>
      </c>
      <c r="N53" s="7" t="n">
        <v>5347.1</v>
      </c>
      <c r="P53" s="7" t="n">
        <v>7590.7</v>
      </c>
      <c r="R53" s="7" t="n">
        <v>4679.4</v>
      </c>
      <c r="T53" s="7" t="n">
        <v>6963.2</v>
      </c>
      <c r="V53" s="7" t="n">
        <v>6791.6</v>
      </c>
      <c r="X53" s="7" t="n">
        <v>4248.6</v>
      </c>
      <c r="Z53" s="7" t="n">
        <v>4651.3</v>
      </c>
      <c r="AB53" s="7" t="n">
        <v>67386.89999999999</v>
      </c>
    </row>
    <row r="54">
      <c r="A54" s="4" t="inlineStr">
        <is>
          <t>餐补</t>
        </is>
      </c>
      <c r="D54" s="7" t="n">
        <v>3846.8</v>
      </c>
      <c r="F54" s="7" t="n">
        <v>2183.2</v>
      </c>
      <c r="H54" s="7" t="n">
        <v>5476.8</v>
      </c>
      <c r="J54" s="7" t="n">
        <v>6324.5</v>
      </c>
      <c r="L54" s="7" t="n">
        <v>5315.4</v>
      </c>
      <c r="N54" s="7" t="n">
        <v>4902.8</v>
      </c>
      <c r="P54" s="7" t="n">
        <v>7711.9</v>
      </c>
      <c r="R54" s="7" t="n">
        <v>3749.3</v>
      </c>
      <c r="T54" s="7" t="n">
        <v>6340.2</v>
      </c>
      <c r="V54" s="7" t="n">
        <v>5925.4</v>
      </c>
      <c r="X54" s="7" t="n">
        <v>3592.7</v>
      </c>
      <c r="Z54" s="7" t="n">
        <v>3984</v>
      </c>
      <c r="AB54" s="7" t="n">
        <v>59353</v>
      </c>
    </row>
    <row r="55">
      <c r="A55" s="4" t="inlineStr">
        <is>
          <t>交通补助</t>
        </is>
      </c>
      <c r="D55" s="7" t="n">
        <v>2762</v>
      </c>
      <c r="F55" s="7" t="n">
        <v>1742.1</v>
      </c>
      <c r="H55" s="7" t="n">
        <v>2449.2</v>
      </c>
      <c r="J55" s="7" t="n">
        <v>3545.1</v>
      </c>
      <c r="L55" s="7" t="n">
        <v>3702.5</v>
      </c>
      <c r="N55" s="7" t="n">
        <v>3348</v>
      </c>
      <c r="P55" s="7" t="n">
        <v>5794.6</v>
      </c>
      <c r="R55" s="7" t="n">
        <v>3792.1</v>
      </c>
      <c r="T55" s="7" t="n">
        <v>3499.7</v>
      </c>
      <c r="V55" s="7" t="n">
        <v>4700.2</v>
      </c>
      <c r="X55" s="7" t="n">
        <v>2109.5</v>
      </c>
      <c r="Z55" s="7" t="n">
        <v>2649.3</v>
      </c>
      <c r="AB55" s="7" t="n">
        <v>40094.3</v>
      </c>
    </row>
    <row r="56">
      <c r="A56" s="4" t="inlineStr">
        <is>
          <t>通讯补助</t>
        </is>
      </c>
      <c r="D56" s="7" t="n">
        <v>835.8</v>
      </c>
      <c r="F56" s="7" t="n">
        <v>400.1</v>
      </c>
      <c r="H56" s="7" t="n">
        <v>970.6</v>
      </c>
      <c r="J56" s="7" t="n">
        <v>793.8</v>
      </c>
      <c r="L56" s="7" t="n">
        <v>1174.1</v>
      </c>
      <c r="N56" s="7" t="n">
        <v>1221.5</v>
      </c>
      <c r="P56" s="7" t="n">
        <v>1380.4</v>
      </c>
      <c r="R56" s="7" t="n">
        <v>773.5</v>
      </c>
      <c r="T56" s="7" t="n">
        <v>887.6</v>
      </c>
      <c r="V56" s="7" t="n">
        <v>1089.5</v>
      </c>
      <c r="X56" s="7" t="n">
        <v>592.8</v>
      </c>
      <c r="Z56" s="7" t="n">
        <v>705.1</v>
      </c>
      <c r="AB56" s="7" t="n">
        <v>10824.8</v>
      </c>
    </row>
    <row r="57">
      <c r="A57" s="4" t="inlineStr">
        <is>
          <t>招待费</t>
        </is>
      </c>
      <c r="D57" s="7" t="n">
        <v>33738.2</v>
      </c>
      <c r="F57" s="7" t="n">
        <v>14509.2</v>
      </c>
      <c r="H57" s="7" t="n">
        <v>35719.5</v>
      </c>
      <c r="J57" s="7" t="n">
        <v>37682.4</v>
      </c>
      <c r="L57" s="7" t="n">
        <v>48097.8</v>
      </c>
      <c r="N57" s="7" t="n">
        <v>51619.6</v>
      </c>
      <c r="P57" s="7" t="n">
        <v>62390.1</v>
      </c>
      <c r="R57" s="7" t="n">
        <v>48025</v>
      </c>
      <c r="T57" s="7" t="n">
        <v>31078.4</v>
      </c>
      <c r="V57" s="7" t="n">
        <v>36997</v>
      </c>
      <c r="X57" s="7" t="n">
        <v>30533.1</v>
      </c>
      <c r="Z57" s="7" t="n">
        <v>26326</v>
      </c>
      <c r="AB57" s="7" t="n">
        <v>456716.3</v>
      </c>
    </row>
    <row r="58">
      <c r="A58" s="4" t="inlineStr">
        <is>
          <t>通讯费</t>
        </is>
      </c>
      <c r="D58" s="7" t="n">
        <v>2390.7</v>
      </c>
      <c r="F58" s="7" t="n">
        <v>1782.3</v>
      </c>
      <c r="H58" s="7" t="n">
        <v>3175.1</v>
      </c>
      <c r="J58" s="7" t="n">
        <v>4833.9</v>
      </c>
      <c r="L58" s="7" t="n">
        <v>3434.5</v>
      </c>
      <c r="N58" s="7" t="n">
        <v>3307.2</v>
      </c>
      <c r="P58" s="7" t="n">
        <v>5280.5</v>
      </c>
      <c r="R58" s="7" t="n">
        <v>4548.1</v>
      </c>
      <c r="T58" s="7" t="n">
        <v>3582.9</v>
      </c>
      <c r="V58" s="7" t="n">
        <v>4529.7</v>
      </c>
      <c r="X58" s="7" t="n">
        <v>2136.3</v>
      </c>
      <c r="Z58" s="7" t="n">
        <v>3008.3</v>
      </c>
      <c r="AB58" s="7" t="n">
        <v>42009.5</v>
      </c>
    </row>
    <row r="59">
      <c r="A59" s="4" t="inlineStr">
        <is>
          <t>网络费</t>
        </is>
      </c>
      <c r="D59" s="7" t="n">
        <v>989</v>
      </c>
      <c r="F59" s="7" t="n">
        <v>493.1</v>
      </c>
      <c r="H59" s="7" t="n">
        <v>953.6</v>
      </c>
      <c r="J59" s="7" t="n">
        <v>1509.4</v>
      </c>
      <c r="L59" s="7" t="n">
        <v>1224.1</v>
      </c>
      <c r="N59" s="7" t="n">
        <v>1308.7</v>
      </c>
      <c r="P59" s="7" t="n">
        <v>1196.7</v>
      </c>
      <c r="R59" s="7" t="n">
        <v>969.8</v>
      </c>
      <c r="T59" s="7" t="n">
        <v>967.3</v>
      </c>
      <c r="V59" s="7" t="n">
        <v>1515.4</v>
      </c>
      <c r="X59" s="7" t="n">
        <v>786.6</v>
      </c>
      <c r="Z59" s="7" t="n">
        <v>820.2</v>
      </c>
      <c r="AB59" s="7" t="n">
        <v>12733.9</v>
      </c>
    </row>
    <row r="60">
      <c r="A60" s="4" t="inlineStr">
        <is>
          <t>修理费</t>
        </is>
      </c>
      <c r="D60" s="7" t="n">
        <v>4305.4</v>
      </c>
      <c r="F60" s="7" t="n">
        <v>1743</v>
      </c>
      <c r="H60" s="7" t="n">
        <v>6331.3</v>
      </c>
      <c r="J60" s="7" t="n">
        <v>5238.7</v>
      </c>
      <c r="L60" s="7" t="n">
        <v>6371.5</v>
      </c>
      <c r="N60" s="7" t="n">
        <v>5732.7</v>
      </c>
      <c r="P60" s="7" t="n">
        <v>7027.3</v>
      </c>
      <c r="R60" s="7" t="n">
        <v>4451.8</v>
      </c>
      <c r="T60" s="7" t="n">
        <v>5967.9</v>
      </c>
      <c r="V60" s="7" t="n">
        <v>5716.9</v>
      </c>
      <c r="X60" s="7" t="n">
        <v>4541.2</v>
      </c>
      <c r="Z60" s="7" t="n">
        <v>4311.6</v>
      </c>
      <c r="AB60" s="7" t="n">
        <v>61739.3</v>
      </c>
    </row>
    <row r="61">
      <c r="A61" s="4" t="inlineStr">
        <is>
          <t>车辆费</t>
        </is>
      </c>
      <c r="D61" s="7" t="n">
        <v>3268.5</v>
      </c>
      <c r="F61" s="7" t="n">
        <v>1177.9</v>
      </c>
      <c r="H61" s="7" t="n">
        <v>2647.8</v>
      </c>
      <c r="J61" s="7" t="n">
        <v>4424.4</v>
      </c>
      <c r="L61" s="7" t="n">
        <v>2846.7</v>
      </c>
      <c r="N61" s="7" t="n">
        <v>4596.8</v>
      </c>
      <c r="P61" s="7" t="n">
        <v>5326.4</v>
      </c>
      <c r="R61" s="7" t="n">
        <v>4668.1</v>
      </c>
      <c r="T61" s="7" t="n">
        <v>3225.7</v>
      </c>
      <c r="V61" s="7" t="n">
        <v>5510.1</v>
      </c>
      <c r="X61" s="7" t="n">
        <v>2099.4</v>
      </c>
      <c r="Z61" s="7" t="n">
        <v>2491.2</v>
      </c>
      <c r="AB61" s="7" t="n">
        <v>42283</v>
      </c>
    </row>
    <row r="62">
      <c r="A62" s="4" t="inlineStr">
        <is>
          <t>租赁费</t>
        </is>
      </c>
      <c r="D62" s="7" t="n">
        <v>30180.8</v>
      </c>
      <c r="F62" s="7" t="n">
        <v>24366.9</v>
      </c>
      <c r="H62" s="7" t="n">
        <v>48956.6</v>
      </c>
      <c r="J62" s="7" t="n">
        <v>61779.4</v>
      </c>
      <c r="L62" s="7" t="n">
        <v>56992.2</v>
      </c>
      <c r="N62" s="7" t="n">
        <v>60795.4</v>
      </c>
      <c r="P62" s="7" t="n">
        <v>53394.8</v>
      </c>
      <c r="R62" s="7" t="n">
        <v>51654.5</v>
      </c>
      <c r="T62" s="7" t="n">
        <v>52560.7</v>
      </c>
      <c r="V62" s="7" t="n">
        <v>75756.60000000001</v>
      </c>
      <c r="X62" s="7" t="n">
        <v>29752.3</v>
      </c>
      <c r="Z62" s="7" t="n">
        <v>31538.1</v>
      </c>
      <c r="AB62" s="7" t="n">
        <v>577728.3</v>
      </c>
    </row>
    <row r="63">
      <c r="A63" s="4" t="inlineStr">
        <is>
          <t>能源费</t>
        </is>
      </c>
      <c r="D63" s="7" t="n">
        <v>10631.4</v>
      </c>
      <c r="F63" s="7" t="n">
        <v>7246.4</v>
      </c>
      <c r="H63" s="7" t="n">
        <v>15928.9</v>
      </c>
      <c r="J63" s="7" t="n">
        <v>21456.8</v>
      </c>
      <c r="L63" s="7" t="n">
        <v>18042.6</v>
      </c>
      <c r="N63" s="7" t="n">
        <v>17574.4</v>
      </c>
      <c r="P63" s="7" t="n">
        <v>22165.1</v>
      </c>
      <c r="R63" s="7" t="n">
        <v>19134.5</v>
      </c>
      <c r="T63" s="7" t="n">
        <v>15422.7</v>
      </c>
      <c r="V63" s="7" t="n">
        <v>21490.1</v>
      </c>
      <c r="X63" s="7" t="n">
        <v>10652</v>
      </c>
      <c r="Z63" s="7" t="n">
        <v>11315</v>
      </c>
      <c r="AB63" s="7" t="n">
        <v>191059.9</v>
      </c>
    </row>
    <row r="64">
      <c r="A64" s="4" t="inlineStr">
        <is>
          <t>水费</t>
        </is>
      </c>
      <c r="D64" s="7" t="n">
        <v>2298.4</v>
      </c>
      <c r="F64" s="7" t="n">
        <v>2017.2</v>
      </c>
      <c r="H64" s="7" t="n">
        <v>3969.3</v>
      </c>
      <c r="J64" s="7" t="n">
        <v>5748.1</v>
      </c>
      <c r="L64" s="7" t="n">
        <v>4285.7</v>
      </c>
      <c r="N64" s="7" t="n">
        <v>4633.6</v>
      </c>
      <c r="P64" s="7" t="n">
        <v>6698.2</v>
      </c>
      <c r="R64" s="7" t="n">
        <v>5503.5</v>
      </c>
      <c r="T64" s="7" t="n">
        <v>3513.8</v>
      </c>
      <c r="V64" s="7" t="n">
        <v>5145.9</v>
      </c>
      <c r="X64" s="7" t="n">
        <v>2811.6</v>
      </c>
      <c r="Z64" s="7" t="n">
        <v>2922</v>
      </c>
      <c r="AB64" s="7" t="n">
        <v>49547.3</v>
      </c>
    </row>
    <row r="65">
      <c r="A65" s="4" t="inlineStr">
        <is>
          <t>电费</t>
        </is>
      </c>
      <c r="D65" s="7" t="n">
        <v>4452.7</v>
      </c>
      <c r="F65" s="7" t="n">
        <v>2241.8</v>
      </c>
      <c r="H65" s="7" t="n">
        <v>6214.5</v>
      </c>
      <c r="J65" s="7" t="n">
        <v>7316.5</v>
      </c>
      <c r="L65" s="7" t="n">
        <v>7592.9</v>
      </c>
      <c r="N65" s="7" t="n">
        <v>6736.5</v>
      </c>
      <c r="P65" s="7" t="n">
        <v>6980.6</v>
      </c>
      <c r="R65" s="7" t="n">
        <v>7380.9</v>
      </c>
      <c r="T65" s="7" t="n">
        <v>7368.2</v>
      </c>
      <c r="V65" s="7" t="n">
        <v>10111</v>
      </c>
      <c r="X65" s="7" t="n">
        <v>3600.4</v>
      </c>
      <c r="Z65" s="7" t="n">
        <v>3342.7</v>
      </c>
      <c r="AB65" s="7" t="n">
        <v>73338.7</v>
      </c>
    </row>
    <row r="66">
      <c r="A66" s="4" t="inlineStr">
        <is>
          <t>燃气费</t>
        </is>
      </c>
      <c r="D66" s="7" t="n">
        <v>2364.6</v>
      </c>
      <c r="F66" s="7" t="n">
        <v>2190.1</v>
      </c>
      <c r="H66" s="7" t="n">
        <v>4441.5</v>
      </c>
      <c r="J66" s="7" t="n">
        <v>5906.2</v>
      </c>
      <c r="L66" s="7" t="n">
        <v>4194.8</v>
      </c>
      <c r="N66" s="7" t="n">
        <v>3829.4</v>
      </c>
      <c r="P66" s="7" t="n">
        <v>5627.9</v>
      </c>
      <c r="R66" s="7" t="n">
        <v>4713</v>
      </c>
      <c r="T66" s="7" t="n">
        <v>2909.4</v>
      </c>
      <c r="V66" s="7" t="n">
        <v>4051.2</v>
      </c>
      <c r="X66" s="7" t="n">
        <v>2805.7</v>
      </c>
      <c r="Z66" s="7" t="n">
        <v>3453.3</v>
      </c>
      <c r="AB66" s="7" t="n">
        <v>46487.1</v>
      </c>
    </row>
    <row r="67">
      <c r="A67" s="4" t="inlineStr">
        <is>
          <t>蒸汽费</t>
        </is>
      </c>
      <c r="D67" s="7" t="n">
        <v>1515.7</v>
      </c>
      <c r="F67" s="7" t="n">
        <v>797.3</v>
      </c>
      <c r="H67" s="7" t="n">
        <v>1303.6</v>
      </c>
      <c r="J67" s="7" t="n">
        <v>2486</v>
      </c>
      <c r="L67" s="7" t="n">
        <v>1969.2</v>
      </c>
      <c r="N67" s="7" t="n">
        <v>2374.9</v>
      </c>
      <c r="P67" s="7" t="n">
        <v>2858.4</v>
      </c>
      <c r="R67" s="7" t="n">
        <v>1537.1</v>
      </c>
      <c r="T67" s="7" t="n">
        <v>1631.3</v>
      </c>
      <c r="V67" s="7" t="n">
        <v>2182</v>
      </c>
      <c r="X67" s="7" t="n">
        <v>1434.3</v>
      </c>
      <c r="Z67" s="7" t="n">
        <v>1597</v>
      </c>
      <c r="AB67" s="7" t="n">
        <v>21686.8</v>
      </c>
    </row>
    <row r="68">
      <c r="A68" s="4" t="inlineStr">
        <is>
          <t>物业费</t>
        </is>
      </c>
      <c r="D68" s="7" t="n">
        <v>5295.3</v>
      </c>
      <c r="F68" s="7" t="n">
        <v>2885.7</v>
      </c>
      <c r="H68" s="7" t="n">
        <v>5453.5</v>
      </c>
      <c r="J68" s="7" t="n">
        <v>7166</v>
      </c>
      <c r="L68" s="7" t="n">
        <v>8002.6</v>
      </c>
      <c r="N68" s="7" t="n">
        <v>6368.9</v>
      </c>
      <c r="P68" s="7" t="n">
        <v>7168.2</v>
      </c>
      <c r="R68" s="7" t="n">
        <v>7464</v>
      </c>
      <c r="T68" s="7" t="n">
        <v>5718.3</v>
      </c>
      <c r="V68" s="7" t="n">
        <v>8282.9</v>
      </c>
      <c r="X68" s="7" t="n">
        <v>5680.3</v>
      </c>
      <c r="Z68" s="7" t="n">
        <v>3789.5</v>
      </c>
      <c r="AB68" s="7" t="n">
        <v>73275.2</v>
      </c>
    </row>
    <row r="69">
      <c r="A69" s="4" t="inlineStr">
        <is>
          <t>劳动保护费</t>
        </is>
      </c>
      <c r="D69" s="7" t="n">
        <v>3162.4</v>
      </c>
      <c r="F69" s="7" t="n">
        <v>2145.1</v>
      </c>
      <c r="H69" s="7" t="n">
        <v>3599.9</v>
      </c>
      <c r="J69" s="7" t="n">
        <v>5854.8</v>
      </c>
      <c r="L69" s="7" t="n">
        <v>6047.9</v>
      </c>
      <c r="N69" s="7" t="n">
        <v>6078.2</v>
      </c>
      <c r="P69" s="7" t="n">
        <v>5742</v>
      </c>
      <c r="R69" s="7" t="n">
        <v>6468.3</v>
      </c>
      <c r="T69" s="7" t="n">
        <v>4142.8</v>
      </c>
      <c r="V69" s="7" t="n">
        <v>4112.1</v>
      </c>
      <c r="X69" s="7" t="n">
        <v>4828.3</v>
      </c>
      <c r="Z69" s="7" t="n">
        <v>3667.9</v>
      </c>
      <c r="AB69" s="7" t="n">
        <v>55849.7</v>
      </c>
    </row>
    <row r="70">
      <c r="A70" s="4" t="inlineStr">
        <is>
          <t>顾问费</t>
        </is>
      </c>
      <c r="D70" s="7" t="n">
        <v>4308</v>
      </c>
      <c r="F70" s="7" t="n">
        <v>2278.4</v>
      </c>
      <c r="H70" s="7" t="n">
        <v>5360.3</v>
      </c>
      <c r="J70" s="7" t="n">
        <v>7461.1</v>
      </c>
      <c r="L70" s="7" t="n">
        <v>6856.1</v>
      </c>
      <c r="N70" s="7" t="n">
        <v>6434.6</v>
      </c>
      <c r="P70" s="7" t="n">
        <v>6500.6</v>
      </c>
      <c r="R70" s="7" t="n">
        <v>4216</v>
      </c>
      <c r="T70" s="7" t="n">
        <v>5257.7</v>
      </c>
      <c r="V70" s="7" t="n">
        <v>6636.6</v>
      </c>
      <c r="X70" s="7" t="n">
        <v>3664.1</v>
      </c>
      <c r="Z70" s="7" t="n">
        <v>3847</v>
      </c>
      <c r="AB70" s="7" t="n">
        <v>62820.5</v>
      </c>
    </row>
    <row r="71">
      <c r="A71" s="4" t="inlineStr">
        <is>
          <t>快递费</t>
        </is>
      </c>
      <c r="D71" s="7" t="n">
        <v>3869.1</v>
      </c>
      <c r="F71" s="7" t="n">
        <v>2427.2</v>
      </c>
      <c r="H71" s="7" t="n">
        <v>4391.3</v>
      </c>
      <c r="J71" s="7" t="n">
        <v>8090.3</v>
      </c>
      <c r="L71" s="7" t="n">
        <v>7843.6</v>
      </c>
      <c r="N71" s="7" t="n">
        <v>8069.3</v>
      </c>
      <c r="P71" s="7" t="n">
        <v>7976.9</v>
      </c>
      <c r="R71" s="7" t="n">
        <v>4731.5</v>
      </c>
      <c r="T71" s="7" t="n">
        <v>6192</v>
      </c>
      <c r="V71" s="7" t="n">
        <v>7503.5</v>
      </c>
      <c r="X71" s="7" t="n">
        <v>3995.6</v>
      </c>
      <c r="Z71" s="7" t="n">
        <v>5607.1</v>
      </c>
      <c r="AB71" s="7" t="n">
        <v>70697.39999999999</v>
      </c>
    </row>
    <row r="72">
      <c r="A72" s="4" t="inlineStr">
        <is>
          <t>诉讼费</t>
        </is>
      </c>
      <c r="D72" s="7" t="n">
        <v>3643.6</v>
      </c>
      <c r="F72" s="7" t="n">
        <v>2472.3</v>
      </c>
      <c r="H72" s="7" t="n">
        <v>3465.2</v>
      </c>
      <c r="J72" s="7" t="n">
        <v>6510.2</v>
      </c>
      <c r="L72" s="7" t="n">
        <v>6180.5</v>
      </c>
      <c r="N72" s="7" t="n">
        <v>6290.3</v>
      </c>
      <c r="P72" s="7" t="n">
        <v>7034.3</v>
      </c>
      <c r="R72" s="7" t="n">
        <v>3974.9</v>
      </c>
      <c r="T72" s="7" t="n">
        <v>5470</v>
      </c>
      <c r="V72" s="7" t="n">
        <v>5639.6</v>
      </c>
      <c r="X72" s="7" t="n">
        <v>4265.7</v>
      </c>
      <c r="Z72" s="7" t="n">
        <v>3490.4</v>
      </c>
      <c r="AB72" s="7" t="n">
        <v>58437</v>
      </c>
    </row>
    <row r="73">
      <c r="A73" s="4" t="inlineStr">
        <is>
          <t>会员费</t>
        </is>
      </c>
      <c r="D73" s="7" t="n">
        <v>25.4</v>
      </c>
      <c r="F73" s="7" t="n">
        <v>13.2</v>
      </c>
      <c r="H73" s="7" t="n">
        <v>26.1</v>
      </c>
      <c r="J73" s="7" t="n">
        <v>22.5</v>
      </c>
      <c r="L73" s="7" t="n">
        <v>28.5</v>
      </c>
      <c r="N73" s="7" t="n">
        <v>20.3</v>
      </c>
      <c r="P73" s="7" t="n">
        <v>36.1</v>
      </c>
      <c r="R73" s="7" t="n">
        <v>31.3</v>
      </c>
      <c r="T73" s="7" t="n">
        <v>24</v>
      </c>
      <c r="V73" s="7" t="n">
        <v>33.9</v>
      </c>
      <c r="X73" s="7" t="n">
        <v>18.8</v>
      </c>
      <c r="Z73" s="7" t="n">
        <v>23.9</v>
      </c>
      <c r="AB73" s="7" t="n">
        <v>304</v>
      </c>
    </row>
    <row r="74">
      <c r="A74" s="4" t="inlineStr">
        <is>
          <t>广告宣传费</t>
        </is>
      </c>
      <c r="D74" s="7" t="n">
        <v>20028.9</v>
      </c>
      <c r="F74" s="7" t="n">
        <v>10807.3</v>
      </c>
      <c r="H74" s="7" t="n">
        <v>23848</v>
      </c>
      <c r="J74" s="7" t="n">
        <v>29639.6</v>
      </c>
      <c r="L74" s="7" t="n">
        <v>31208.9</v>
      </c>
      <c r="N74" s="7" t="n">
        <v>23975.9</v>
      </c>
      <c r="P74" s="7" t="n">
        <v>31367.1</v>
      </c>
      <c r="R74" s="7" t="n">
        <v>27520.8</v>
      </c>
      <c r="T74" s="7" t="n">
        <v>21352.5</v>
      </c>
      <c r="V74" s="7" t="n">
        <v>38769.9</v>
      </c>
      <c r="X74" s="7" t="n">
        <v>23816.1</v>
      </c>
      <c r="Z74" s="7" t="n">
        <v>17726.1</v>
      </c>
      <c r="AB74" s="7" t="n">
        <v>300061.1</v>
      </c>
    </row>
    <row r="75">
      <c r="A75" s="4" t="inlineStr">
        <is>
          <t>会务费</t>
        </is>
      </c>
      <c r="D75" s="7" t="n">
        <v>1531.2</v>
      </c>
      <c r="F75" s="7" t="n">
        <v>796.5</v>
      </c>
      <c r="H75" s="7" t="n">
        <v>2367.2</v>
      </c>
      <c r="J75" s="7" t="n">
        <v>2214.8</v>
      </c>
      <c r="L75" s="7" t="n">
        <v>2098</v>
      </c>
      <c r="N75" s="7" t="n">
        <v>1769.6</v>
      </c>
      <c r="P75" s="7" t="n">
        <v>3248.6</v>
      </c>
      <c r="R75" s="7" t="n">
        <v>2202.6</v>
      </c>
      <c r="T75" s="7" t="n">
        <v>2227.6</v>
      </c>
      <c r="V75" s="7" t="n">
        <v>2151.1</v>
      </c>
      <c r="X75" s="7" t="n">
        <v>1776.6</v>
      </c>
      <c r="Z75" s="7" t="n">
        <v>1820.8</v>
      </c>
      <c r="AB75" s="7" t="n">
        <v>24204.6</v>
      </c>
    </row>
    <row r="76">
      <c r="A76" s="4" t="inlineStr">
        <is>
          <t>装修费</t>
        </is>
      </c>
      <c r="D76" s="7" t="n">
        <v>380.5</v>
      </c>
      <c r="F76" s="7" t="n">
        <v>293.3</v>
      </c>
      <c r="H76" s="7" t="n">
        <v>514.8</v>
      </c>
      <c r="J76" s="7" t="n">
        <v>814.2</v>
      </c>
      <c r="L76" s="7" t="n">
        <v>790.7</v>
      </c>
      <c r="N76" s="7" t="n">
        <v>865.7</v>
      </c>
      <c r="P76" s="7" t="n">
        <v>1029.8</v>
      </c>
      <c r="R76" s="7" t="n">
        <v>788.8</v>
      </c>
      <c r="T76" s="7" t="n">
        <v>618.7</v>
      </c>
      <c r="V76" s="7" t="n">
        <v>995.2</v>
      </c>
      <c r="X76" s="7" t="n">
        <v>616.7</v>
      </c>
      <c r="Z76" s="7" t="n">
        <v>549.2</v>
      </c>
      <c r="AB76" s="7" t="n">
        <v>8257.6</v>
      </c>
    </row>
    <row r="77">
      <c r="A77" s="4" t="inlineStr">
        <is>
          <t>推广费</t>
        </is>
      </c>
      <c r="D77" s="7" t="n">
        <v>3360.5</v>
      </c>
      <c r="F77" s="7" t="n">
        <v>1782.4</v>
      </c>
      <c r="H77" s="7" t="n">
        <v>3145.1</v>
      </c>
      <c r="J77" s="7" t="n">
        <v>3020.4</v>
      </c>
      <c r="L77" s="7" t="n">
        <v>4480.7</v>
      </c>
      <c r="N77" s="7" t="n">
        <v>4541.7</v>
      </c>
      <c r="P77" s="7" t="n">
        <v>4544.2</v>
      </c>
      <c r="R77" s="7" t="n">
        <v>3614.6</v>
      </c>
      <c r="T77" s="7" t="n">
        <v>3899.7</v>
      </c>
      <c r="V77" s="7" t="n">
        <v>4741.4</v>
      </c>
      <c r="X77" s="7" t="n">
        <v>2696.8</v>
      </c>
      <c r="Z77" s="7" t="n">
        <v>2104.8</v>
      </c>
      <c r="AB77" s="7" t="n">
        <v>41932.3</v>
      </c>
    </row>
    <row r="78">
      <c r="A78" s="4" t="inlineStr">
        <is>
          <t>展会费</t>
        </is>
      </c>
      <c r="D78" s="7" t="n">
        <v>1335.6</v>
      </c>
      <c r="F78" s="7" t="n">
        <v>693.7</v>
      </c>
      <c r="H78" s="7" t="n">
        <v>1680.8</v>
      </c>
      <c r="J78" s="7" t="n">
        <v>1521</v>
      </c>
      <c r="L78" s="7" t="n">
        <v>1772.1</v>
      </c>
      <c r="N78" s="7" t="n">
        <v>1672.8</v>
      </c>
      <c r="P78" s="7" t="n">
        <v>2280</v>
      </c>
      <c r="R78" s="7" t="n">
        <v>1915.2</v>
      </c>
      <c r="T78" s="7" t="n">
        <v>1431.6</v>
      </c>
      <c r="V78" s="7" t="n">
        <v>1268.4</v>
      </c>
      <c r="X78" s="7" t="n">
        <v>1138.2</v>
      </c>
      <c r="Z78" s="7" t="n">
        <v>958.6</v>
      </c>
      <c r="AB78" s="7" t="n">
        <v>17668</v>
      </c>
    </row>
    <row r="79">
      <c r="A79" s="4" t="inlineStr">
        <is>
          <t>设计费</t>
        </is>
      </c>
      <c r="D79" s="7" t="n">
        <v>1815.6</v>
      </c>
      <c r="F79" s="7" t="n">
        <v>1550.8</v>
      </c>
      <c r="H79" s="7" t="n">
        <v>2950.3</v>
      </c>
      <c r="J79" s="7" t="n">
        <v>2602.5</v>
      </c>
      <c r="L79" s="7" t="n">
        <v>2484.6</v>
      </c>
      <c r="N79" s="7" t="n">
        <v>3734.5</v>
      </c>
      <c r="P79" s="7" t="n">
        <v>4718.2</v>
      </c>
      <c r="R79" s="7" t="n">
        <v>2875.2</v>
      </c>
      <c r="T79" s="7" t="n">
        <v>3307.8</v>
      </c>
      <c r="V79" s="7" t="n">
        <v>4278.9</v>
      </c>
      <c r="X79" s="7" t="n">
        <v>2427.8</v>
      </c>
      <c r="Z79" s="7" t="n">
        <v>2039.9</v>
      </c>
      <c r="AB79" s="7" t="n">
        <v>34786.1</v>
      </c>
    </row>
    <row r="80">
      <c r="A80" s="4" t="inlineStr">
        <is>
          <t>折旧费</t>
        </is>
      </c>
      <c r="D80" s="7" t="n">
        <v>28367</v>
      </c>
      <c r="F80" s="7" t="n">
        <v>18950.6</v>
      </c>
      <c r="H80" s="7" t="n">
        <v>37774.3</v>
      </c>
      <c r="J80" s="7" t="n">
        <v>56934.1</v>
      </c>
      <c r="L80" s="7" t="n">
        <v>40128.8</v>
      </c>
      <c r="N80" s="7" t="n">
        <v>37520.2</v>
      </c>
      <c r="P80" s="7" t="n">
        <v>62944</v>
      </c>
      <c r="R80" s="7" t="n">
        <v>44779.1</v>
      </c>
      <c r="T80" s="7" t="n">
        <v>46995</v>
      </c>
      <c r="V80" s="7" t="n">
        <v>46274.6</v>
      </c>
      <c r="X80" s="7" t="n">
        <v>36917.7</v>
      </c>
      <c r="Z80" s="7" t="n">
        <v>29451.2</v>
      </c>
      <c r="AB80" s="7" t="n">
        <v>487036.6</v>
      </c>
    </row>
    <row r="81">
      <c r="A81" s="4" t="inlineStr">
        <is>
          <t>认证费</t>
        </is>
      </c>
      <c r="D81" s="7" t="n">
        <v>1271.4</v>
      </c>
      <c r="F81" s="7" t="n">
        <v>510.8</v>
      </c>
      <c r="H81" s="7" t="n">
        <v>1789</v>
      </c>
      <c r="J81" s="7" t="n">
        <v>1792.6</v>
      </c>
      <c r="L81" s="7" t="n">
        <v>1656.6</v>
      </c>
      <c r="N81" s="7" t="n">
        <v>1694.9</v>
      </c>
      <c r="P81" s="7" t="n">
        <v>2004.9</v>
      </c>
      <c r="R81" s="7" t="n">
        <v>1698.2</v>
      </c>
      <c r="T81" s="7" t="n">
        <v>1854.5</v>
      </c>
      <c r="V81" s="7" t="n">
        <v>1501.6</v>
      </c>
      <c r="X81" s="7" t="n">
        <v>1552.5</v>
      </c>
      <c r="Z81" s="7" t="n">
        <v>823.7</v>
      </c>
      <c r="AB81" s="7" t="n">
        <v>18150.7</v>
      </c>
    </row>
    <row r="82">
      <c r="A82" s="4" t="inlineStr">
        <is>
          <t>样品费</t>
        </is>
      </c>
      <c r="D82" s="7" t="n">
        <v>11448.4</v>
      </c>
      <c r="F82" s="7" t="n">
        <v>10499.4</v>
      </c>
      <c r="H82" s="7" t="n">
        <v>21347.9</v>
      </c>
      <c r="J82" s="7" t="n">
        <v>20554.5</v>
      </c>
      <c r="L82" s="7" t="n">
        <v>21494.1</v>
      </c>
      <c r="N82" s="7" t="n">
        <v>22735.8</v>
      </c>
      <c r="P82" s="7" t="n">
        <v>19977.3</v>
      </c>
      <c r="R82" s="7" t="n">
        <v>25269.2</v>
      </c>
      <c r="T82" s="7" t="n">
        <v>24737.4</v>
      </c>
      <c r="V82" s="7" t="n">
        <v>29895</v>
      </c>
      <c r="X82" s="7" t="n">
        <v>17030.6</v>
      </c>
      <c r="Z82" s="7" t="n">
        <v>10041.3</v>
      </c>
      <c r="AB82" s="7" t="n">
        <v>235030.9</v>
      </c>
    </row>
    <row r="83">
      <c r="A83" s="4" t="inlineStr">
        <is>
          <t>劳务费</t>
        </is>
      </c>
      <c r="D83" s="7" t="n">
        <v>568.2</v>
      </c>
      <c r="F83" s="7" t="n">
        <v>433</v>
      </c>
      <c r="H83" s="7" t="n">
        <v>824.9</v>
      </c>
      <c r="J83" s="7" t="n">
        <v>1116.1</v>
      </c>
      <c r="L83" s="7" t="n">
        <v>848.1</v>
      </c>
      <c r="N83" s="7" t="n">
        <v>1106.5</v>
      </c>
      <c r="P83" s="7" t="n">
        <v>1133.8</v>
      </c>
      <c r="R83" s="7" t="n">
        <v>1064.4</v>
      </c>
      <c r="T83" s="7" t="n">
        <v>1205.1</v>
      </c>
      <c r="V83" s="7" t="n">
        <v>1022.2</v>
      </c>
      <c r="X83" s="7" t="n">
        <v>958.9</v>
      </c>
      <c r="Z83" s="7" t="n">
        <v>662.9</v>
      </c>
      <c r="AB83" s="7" t="n">
        <v>10944.1</v>
      </c>
    </row>
    <row r="84">
      <c r="A84" s="4" t="inlineStr">
        <is>
          <t>销售佣金</t>
        </is>
      </c>
      <c r="D84" s="7" t="n">
        <v>4369.3</v>
      </c>
      <c r="F84" s="7" t="n">
        <v>2144.8</v>
      </c>
      <c r="H84" s="7" t="n">
        <v>4168.9</v>
      </c>
      <c r="J84" s="7" t="n">
        <v>9224.6</v>
      </c>
      <c r="L84" s="7" t="n">
        <v>6548.9</v>
      </c>
      <c r="N84" s="7" t="n">
        <v>5189.1</v>
      </c>
      <c r="P84" s="7" t="n">
        <v>7478.3</v>
      </c>
      <c r="R84" s="7" t="n">
        <v>6303</v>
      </c>
      <c r="T84" s="7" t="n">
        <v>6656.4</v>
      </c>
      <c r="V84" s="7" t="n">
        <v>5675.4</v>
      </c>
      <c r="X84" s="7" t="n">
        <v>5691.1</v>
      </c>
      <c r="Z84" s="7" t="n">
        <v>5509.7</v>
      </c>
      <c r="AB84" s="7" t="n">
        <v>68959.5</v>
      </c>
    </row>
    <row r="85">
      <c r="A85" s="4" t="inlineStr">
        <is>
          <t>检测费</t>
        </is>
      </c>
      <c r="D85" s="7" t="n">
        <v>2144.1</v>
      </c>
      <c r="F85" s="7" t="n">
        <v>1268.9</v>
      </c>
      <c r="H85" s="7" t="n">
        <v>1818.9</v>
      </c>
      <c r="J85" s="7" t="n">
        <v>2927.5</v>
      </c>
      <c r="L85" s="7" t="n">
        <v>2379.2</v>
      </c>
      <c r="N85" s="7" t="n">
        <v>2176.5</v>
      </c>
      <c r="P85" s="7" t="n">
        <v>2900</v>
      </c>
      <c r="R85" s="7" t="n">
        <v>2323</v>
      </c>
      <c r="T85" s="7" t="n">
        <v>2428.3</v>
      </c>
      <c r="V85" s="7" t="n">
        <v>3111.6</v>
      </c>
      <c r="X85" s="7" t="n">
        <v>1826.5</v>
      </c>
      <c r="Z85" s="7" t="n">
        <v>1373.3</v>
      </c>
      <c r="AB85" s="7" t="n">
        <v>26677.8</v>
      </c>
    </row>
    <row r="86">
      <c r="A86" s="4" t="inlineStr">
        <is>
          <t>质量赔偿</t>
        </is>
      </c>
      <c r="D86" s="7" t="n">
        <v>2366.9</v>
      </c>
      <c r="F86" s="7" t="n">
        <v>1341.2</v>
      </c>
      <c r="H86" s="7" t="n">
        <v>1834.8</v>
      </c>
      <c r="J86" s="7" t="n">
        <v>3629.1</v>
      </c>
      <c r="L86" s="7" t="n">
        <v>2997.2</v>
      </c>
      <c r="N86" s="7" t="n">
        <v>2041.6</v>
      </c>
      <c r="P86" s="7" t="n">
        <v>2481.4</v>
      </c>
      <c r="R86" s="7" t="n">
        <v>1899.2</v>
      </c>
      <c r="T86" s="7" t="n">
        <v>2867.3</v>
      </c>
      <c r="V86" s="7" t="n">
        <v>3011.1</v>
      </c>
      <c r="X86" s="7" t="n">
        <v>1910</v>
      </c>
      <c r="Z86" s="7" t="n">
        <v>2340.5</v>
      </c>
      <c r="AB86" s="7" t="n">
        <v>28720.3</v>
      </c>
    </row>
    <row r="87">
      <c r="A87" s="4" t="inlineStr">
        <is>
          <t>保险费</t>
        </is>
      </c>
      <c r="D87" s="7" t="n">
        <v>450.7</v>
      </c>
      <c r="F87" s="7" t="n">
        <v>232.9</v>
      </c>
      <c r="H87" s="7" t="n">
        <v>496.2</v>
      </c>
      <c r="J87" s="7" t="n">
        <v>721.9</v>
      </c>
      <c r="L87" s="7" t="n">
        <v>636.2</v>
      </c>
      <c r="N87" s="7" t="n">
        <v>550.1</v>
      </c>
      <c r="P87" s="7" t="n">
        <v>593.9</v>
      </c>
      <c r="R87" s="7" t="n">
        <v>592.7</v>
      </c>
      <c r="T87" s="7" t="n">
        <v>574.6</v>
      </c>
      <c r="V87" s="7" t="n">
        <v>648.1</v>
      </c>
      <c r="X87" s="7" t="n">
        <v>399.1</v>
      </c>
      <c r="Z87" s="7" t="n">
        <v>323.1</v>
      </c>
      <c r="AB87" s="7" t="n">
        <v>6219.5</v>
      </c>
    </row>
    <row r="88">
      <c r="A88" s="4" t="inlineStr">
        <is>
          <t>清洁费</t>
        </is>
      </c>
      <c r="D88" s="7" t="n">
        <v>3104.1</v>
      </c>
      <c r="F88" s="7" t="n">
        <v>2115.6</v>
      </c>
      <c r="H88" s="7" t="n">
        <v>3064.3</v>
      </c>
      <c r="J88" s="7" t="n">
        <v>4398.1</v>
      </c>
      <c r="L88" s="7" t="n">
        <v>4046.5</v>
      </c>
      <c r="N88" s="7" t="n">
        <v>4225.5</v>
      </c>
      <c r="P88" s="7" t="n">
        <v>4830.6</v>
      </c>
      <c r="R88" s="7" t="n">
        <v>5415.9</v>
      </c>
      <c r="T88" s="7" t="n">
        <v>4141.6</v>
      </c>
      <c r="V88" s="7" t="n">
        <v>5357.9</v>
      </c>
      <c r="X88" s="7" t="n">
        <v>2396.5</v>
      </c>
      <c r="Z88" s="7" t="n">
        <v>2811.5</v>
      </c>
      <c r="AB88" s="7" t="n">
        <v>45908.1</v>
      </c>
    </row>
    <row r="89">
      <c r="A89" s="4" t="inlineStr">
        <is>
          <t>低值易耗品</t>
        </is>
      </c>
      <c r="D89" s="7" t="n">
        <v>2659.6</v>
      </c>
      <c r="F89" s="7" t="n">
        <v>2277.6</v>
      </c>
      <c r="H89" s="7" t="n">
        <v>5362.3</v>
      </c>
      <c r="J89" s="7" t="n">
        <v>6474.2</v>
      </c>
      <c r="L89" s="7" t="n">
        <v>5699.8</v>
      </c>
      <c r="N89" s="7" t="n">
        <v>4597.1</v>
      </c>
      <c r="P89" s="7" t="n">
        <v>4478.5</v>
      </c>
      <c r="R89" s="7" t="n">
        <v>5931</v>
      </c>
      <c r="T89" s="7" t="n">
        <v>3422.3</v>
      </c>
      <c r="V89" s="7" t="n">
        <v>5359.4</v>
      </c>
      <c r="X89" s="7" t="n">
        <v>4081.3</v>
      </c>
      <c r="Z89" s="7" t="n">
        <v>4144</v>
      </c>
      <c r="AB89" s="7" t="n">
        <v>54487.1</v>
      </c>
    </row>
    <row r="90">
      <c r="A90" s="4" t="inlineStr">
        <is>
          <t>物料消耗</t>
        </is>
      </c>
      <c r="D90" s="7" t="n">
        <v>413.7</v>
      </c>
      <c r="F90" s="7" t="n">
        <v>266.6</v>
      </c>
      <c r="H90" s="7" t="n">
        <v>417.1</v>
      </c>
      <c r="J90" s="7" t="n">
        <v>415.2</v>
      </c>
      <c r="L90" s="7" t="n">
        <v>500.3</v>
      </c>
      <c r="N90" s="7" t="n">
        <v>619.8</v>
      </c>
      <c r="P90" s="7" t="n">
        <v>665.3</v>
      </c>
      <c r="R90" s="7" t="n">
        <v>547.6</v>
      </c>
      <c r="T90" s="7" t="n">
        <v>504.4</v>
      </c>
      <c r="V90" s="7" t="n">
        <v>702.7</v>
      </c>
      <c r="X90" s="7" t="n">
        <v>384</v>
      </c>
      <c r="Z90" s="7" t="n">
        <v>468.6</v>
      </c>
      <c r="AB90" s="7" t="n">
        <v>5905.3</v>
      </c>
    </row>
    <row r="91">
      <c r="A91" s="4" t="inlineStr">
        <is>
          <t>盘盈盘亏</t>
        </is>
      </c>
      <c r="D91" s="7" t="n">
        <v>3420.1</v>
      </c>
      <c r="F91" s="7" t="n">
        <v>1667.5</v>
      </c>
      <c r="H91" s="7" t="n">
        <v>6023.8</v>
      </c>
      <c r="J91" s="7" t="n">
        <v>6668.9</v>
      </c>
      <c r="L91" s="7" t="n">
        <v>6413.3</v>
      </c>
      <c r="N91" s="7" t="n">
        <v>5636.1</v>
      </c>
      <c r="P91" s="7" t="n">
        <v>5107.2</v>
      </c>
      <c r="R91" s="7" t="n">
        <v>5466.9</v>
      </c>
      <c r="T91" s="7" t="n">
        <v>4210.3</v>
      </c>
      <c r="V91" s="7" t="n">
        <v>4604.9</v>
      </c>
      <c r="X91" s="7" t="n">
        <v>5332.9</v>
      </c>
      <c r="Z91" s="7" t="n">
        <v>4449.3</v>
      </c>
      <c r="AB91" s="7" t="n">
        <v>59001.2</v>
      </c>
    </row>
    <row r="92">
      <c r="A92" s="4" t="inlineStr">
        <is>
          <t>平台服务费</t>
        </is>
      </c>
      <c r="D92" s="7" t="n">
        <v>2670.6</v>
      </c>
      <c r="F92" s="7" t="n">
        <v>1355.4</v>
      </c>
      <c r="H92" s="7" t="n">
        <v>3770.6</v>
      </c>
      <c r="J92" s="7" t="n">
        <v>5493.7</v>
      </c>
      <c r="L92" s="7" t="n">
        <v>3826.4</v>
      </c>
      <c r="N92" s="7" t="n">
        <v>3309.7</v>
      </c>
      <c r="P92" s="7" t="n">
        <v>4708.7</v>
      </c>
      <c r="R92" s="7" t="n">
        <v>5278.9</v>
      </c>
      <c r="T92" s="7" t="n">
        <v>2911.2</v>
      </c>
      <c r="V92" s="7" t="n">
        <v>3778.8</v>
      </c>
      <c r="X92" s="7" t="n">
        <v>2593.6</v>
      </c>
      <c r="Z92" s="7" t="n">
        <v>3097.5</v>
      </c>
      <c r="AB92" s="7" t="n">
        <v>42795.1</v>
      </c>
    </row>
    <row r="93">
      <c r="A93" s="4" t="inlineStr">
        <is>
          <t>无形资产摊销</t>
        </is>
      </c>
      <c r="D93" s="7" t="n">
        <v>717.6</v>
      </c>
      <c r="F93" s="7" t="n">
        <v>518.6</v>
      </c>
      <c r="H93" s="7" t="n">
        <v>779.4</v>
      </c>
      <c r="J93" s="7" t="n">
        <v>1230.6</v>
      </c>
      <c r="L93" s="7" t="n">
        <v>1059.1</v>
      </c>
      <c r="N93" s="7" t="n">
        <v>1212.5</v>
      </c>
      <c r="P93" s="7" t="n">
        <v>1597.4</v>
      </c>
      <c r="R93" s="7" t="n">
        <v>952.8</v>
      </c>
      <c r="T93" s="7" t="n">
        <v>746.6</v>
      </c>
      <c r="V93" s="7" t="n">
        <v>938.8</v>
      </c>
      <c r="X93" s="7" t="n">
        <v>983.3</v>
      </c>
      <c r="Z93" s="7" t="n">
        <v>563.2</v>
      </c>
      <c r="AB93" s="7" t="n">
        <v>11299.9</v>
      </c>
    </row>
    <row r="94">
      <c r="A94" s="4" t="inlineStr">
        <is>
          <t>研发材料</t>
        </is>
      </c>
      <c r="D94" s="7" t="n">
        <v>3153.1</v>
      </c>
      <c r="F94" s="7" t="n">
        <v>1669.6</v>
      </c>
      <c r="H94" s="7" t="n">
        <v>2515.9</v>
      </c>
      <c r="J94" s="7" t="n">
        <v>3474.8</v>
      </c>
      <c r="L94" s="7" t="n">
        <v>3796.6</v>
      </c>
      <c r="N94" s="7" t="n">
        <v>2787.7</v>
      </c>
      <c r="P94" s="7" t="n">
        <v>4912</v>
      </c>
      <c r="R94" s="7" t="n">
        <v>3131.3</v>
      </c>
      <c r="T94" s="7" t="n">
        <v>3542.6</v>
      </c>
      <c r="V94" s="7" t="n">
        <v>4514.1</v>
      </c>
      <c r="X94" s="7" t="n">
        <v>1970.3</v>
      </c>
      <c r="Z94" s="7" t="n">
        <v>1867</v>
      </c>
      <c r="AB94" s="7" t="n">
        <v>37335</v>
      </c>
    </row>
    <row r="95">
      <c r="A95" s="4" t="inlineStr">
        <is>
          <t>项目名称</t>
        </is>
      </c>
      <c r="D95" s="7" t="n">
        <v>1722.8</v>
      </c>
      <c r="F95" s="7" t="n">
        <v>1325.6</v>
      </c>
      <c r="H95" s="7" t="n">
        <v>2763.7</v>
      </c>
      <c r="J95" s="7" t="n">
        <v>2954.3</v>
      </c>
      <c r="L95" s="7" t="n">
        <v>2616.3</v>
      </c>
      <c r="N95" s="7" t="n">
        <v>3046.3</v>
      </c>
      <c r="P95" s="7" t="n">
        <v>3409.6</v>
      </c>
      <c r="R95" s="7" t="n">
        <v>2184.7</v>
      </c>
      <c r="T95" s="7" t="n">
        <v>3207.3</v>
      </c>
      <c r="V95" s="7" t="n">
        <v>2225.3</v>
      </c>
      <c r="X95" s="7" t="n">
        <v>2586</v>
      </c>
      <c r="Z95" s="7" t="n">
        <v>1817.5</v>
      </c>
      <c r="AB95" s="7" t="n">
        <v>29859.4</v>
      </c>
    </row>
    <row r="96">
      <c r="A96" s="4" t="inlineStr">
        <is>
          <t>研发费</t>
        </is>
      </c>
      <c r="D96" s="7" t="n">
        <v>4250.1</v>
      </c>
      <c r="F96" s="7" t="n">
        <v>2181</v>
      </c>
      <c r="H96" s="7" t="n">
        <v>2959.4</v>
      </c>
      <c r="J96" s="7" t="n">
        <v>6166.5</v>
      </c>
      <c r="L96" s="7" t="n">
        <v>5193.5</v>
      </c>
      <c r="N96" s="7" t="n">
        <v>5877.3</v>
      </c>
      <c r="P96" s="7" t="n">
        <v>5650.4</v>
      </c>
      <c r="R96" s="7" t="n">
        <v>5907.6</v>
      </c>
      <c r="T96" s="7" t="n">
        <v>5425.6</v>
      </c>
      <c r="V96" s="7" t="n">
        <v>4824.5</v>
      </c>
      <c r="X96" s="7" t="n">
        <v>3013</v>
      </c>
      <c r="Z96" s="7" t="n">
        <v>2421.5</v>
      </c>
      <c r="AB96" s="7" t="n">
        <v>53870.4</v>
      </c>
    </row>
    <row r="97">
      <c r="A97" s="4" t="inlineStr">
        <is>
          <t>残保金</t>
        </is>
      </c>
      <c r="D97" s="7" t="n">
        <v>3000</v>
      </c>
      <c r="F97" s="7" t="n">
        <v>2206</v>
      </c>
      <c r="H97" s="7" t="n">
        <v>4527.4</v>
      </c>
      <c r="J97" s="7" t="n">
        <v>5423.7</v>
      </c>
      <c r="L97" s="7" t="n">
        <v>4873.5</v>
      </c>
      <c r="N97" s="7" t="n">
        <v>3635.5</v>
      </c>
      <c r="P97" s="7" t="n">
        <v>5127.5</v>
      </c>
      <c r="R97" s="7" t="n">
        <v>5074.8</v>
      </c>
      <c r="T97" s="7" t="n">
        <v>3479.4</v>
      </c>
      <c r="V97" s="7" t="n">
        <v>5311.7</v>
      </c>
      <c r="X97" s="7" t="n">
        <v>3728</v>
      </c>
      <c r="Z97" s="7" t="n">
        <v>3689.4</v>
      </c>
      <c r="AB97" s="7" t="n">
        <v>50076.9</v>
      </c>
    </row>
    <row r="98">
      <c r="A98" s="4" t="inlineStr">
        <is>
          <t>环保费</t>
        </is>
      </c>
      <c r="D98" s="7" t="n">
        <v>44.5</v>
      </c>
      <c r="F98" s="7" t="n">
        <v>26.4</v>
      </c>
      <c r="H98" s="7" t="n">
        <v>69.7</v>
      </c>
      <c r="J98" s="7" t="n">
        <v>72.3</v>
      </c>
      <c r="L98" s="7" t="n">
        <v>73.59999999999999</v>
      </c>
      <c r="N98" s="7" t="n">
        <v>66.40000000000001</v>
      </c>
      <c r="P98" s="7" t="n">
        <v>74.2</v>
      </c>
      <c r="R98" s="7" t="n">
        <v>62.9</v>
      </c>
      <c r="T98" s="7" t="n">
        <v>99.40000000000001</v>
      </c>
      <c r="V98" s="7" t="n">
        <v>103.3</v>
      </c>
      <c r="X98" s="7" t="n">
        <v>74.2</v>
      </c>
      <c r="Z98" s="7" t="n">
        <v>71.5</v>
      </c>
      <c r="AB98" s="7" t="n">
        <v>838.4</v>
      </c>
    </row>
    <row r="99">
      <c r="A99" s="4" t="inlineStr">
        <is>
          <t>报废损失</t>
        </is>
      </c>
      <c r="D99" s="7" t="n">
        <v>3520.6</v>
      </c>
      <c r="F99" s="7" t="n">
        <v>1426.8</v>
      </c>
      <c r="H99" s="7" t="n">
        <v>4662.2</v>
      </c>
      <c r="J99" s="7" t="n">
        <v>3607.4</v>
      </c>
      <c r="L99" s="7" t="n">
        <v>4935.6</v>
      </c>
      <c r="N99" s="7" t="n">
        <v>5380.7</v>
      </c>
      <c r="P99" s="7" t="n">
        <v>5760.2</v>
      </c>
      <c r="R99" s="7" t="n">
        <v>5686.6</v>
      </c>
      <c r="T99" s="7" t="n">
        <v>5197.3</v>
      </c>
      <c r="V99" s="7" t="n">
        <v>5627</v>
      </c>
      <c r="X99" s="7" t="n">
        <v>2806.4</v>
      </c>
      <c r="Z99" s="7" t="n">
        <v>2941.1</v>
      </c>
      <c r="AB99" s="7" t="n">
        <v>51551.9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356199.7</v>
      </c>
      <c r="D100" s="7" t="n">
        <v>331875.7</v>
      </c>
      <c r="E100" s="7" t="n">
        <v>325530.4</v>
      </c>
      <c r="F100" s="7" t="n">
        <v>251809.8</v>
      </c>
      <c r="G100" s="7" t="n">
        <v>426286.8</v>
      </c>
      <c r="H100" s="7" t="n">
        <v>419694.7</v>
      </c>
      <c r="I100" s="7" t="n">
        <v>348550.3</v>
      </c>
      <c r="J100" s="7" t="n">
        <v>305433</v>
      </c>
      <c r="K100" s="7" t="n">
        <v>368341.6</v>
      </c>
      <c r="L100" s="7" t="n">
        <v>382753.2</v>
      </c>
      <c r="M100" s="7" t="n">
        <v>374096.1</v>
      </c>
      <c r="N100" s="7" t="n">
        <v>616291</v>
      </c>
      <c r="O100" s="7" t="n">
        <v>423246.9</v>
      </c>
      <c r="P100" s="7" t="n">
        <v>634754.9</v>
      </c>
      <c r="Q100" s="7" t="n">
        <v>387437.3</v>
      </c>
      <c r="R100" s="7" t="n">
        <v>350818.2</v>
      </c>
      <c r="S100" s="7" t="n">
        <v>338849.5</v>
      </c>
      <c r="T100" s="7" t="n">
        <v>261587.2</v>
      </c>
      <c r="U100" s="7" t="n">
        <v>374133.8</v>
      </c>
      <c r="V100" s="7" t="n">
        <v>264119.2</v>
      </c>
      <c r="W100" s="7" t="n">
        <v>334960.2</v>
      </c>
      <c r="X100" s="7" t="n">
        <v>456607.3</v>
      </c>
      <c r="Y100" s="7" t="n">
        <v>405259.2</v>
      </c>
      <c r="Z100" s="7" t="n">
        <v>224585</v>
      </c>
      <c r="AA100" s="8" t="n">
        <v>4462891.8</v>
      </c>
      <c r="AB100" s="8" t="n">
        <v>4500329.2</v>
      </c>
    </row>
    <row r="101">
      <c r="A101" s="4" t="inlineStr">
        <is>
          <t>职工薪酬</t>
        </is>
      </c>
      <c r="D101" s="7" t="n">
        <v>209951.3</v>
      </c>
      <c r="F101" s="7" t="n">
        <v>132370.9</v>
      </c>
      <c r="H101" s="7" t="n">
        <v>188046.1</v>
      </c>
      <c r="J101" s="7" t="n">
        <v>183615.7</v>
      </c>
      <c r="L101" s="7" t="n">
        <v>223136.4</v>
      </c>
      <c r="N101" s="7" t="n">
        <v>323455.6</v>
      </c>
      <c r="P101" s="7" t="n">
        <v>341883.8</v>
      </c>
      <c r="R101" s="7" t="n">
        <v>220787.2</v>
      </c>
      <c r="T101" s="7" t="n">
        <v>127878.1</v>
      </c>
      <c r="V101" s="7" t="n">
        <v>129627.6</v>
      </c>
      <c r="X101" s="7" t="n">
        <v>259192.1</v>
      </c>
      <c r="Z101" s="7" t="n">
        <v>124432</v>
      </c>
      <c r="AB101" s="7" t="n">
        <v>2464376.8</v>
      </c>
    </row>
    <row r="102">
      <c r="A102" s="4" t="inlineStr">
        <is>
          <t>工资</t>
        </is>
      </c>
      <c r="D102" s="7" t="n">
        <v>125422.8</v>
      </c>
      <c r="F102" s="7" t="n">
        <v>83003.8</v>
      </c>
      <c r="H102" s="7" t="n">
        <v>108263.8</v>
      </c>
      <c r="J102" s="7" t="n">
        <v>102628.5</v>
      </c>
      <c r="L102" s="7" t="n">
        <v>142702.3</v>
      </c>
      <c r="N102" s="7" t="n">
        <v>193167.3</v>
      </c>
      <c r="P102" s="7" t="n">
        <v>192184.1</v>
      </c>
      <c r="R102" s="7" t="n">
        <v>133024.6</v>
      </c>
      <c r="T102" s="7" t="n">
        <v>78037.3</v>
      </c>
      <c r="V102" s="7" t="n">
        <v>76195.8</v>
      </c>
      <c r="X102" s="7" t="n">
        <v>165259.4</v>
      </c>
      <c r="Z102" s="7" t="n">
        <v>78732.5</v>
      </c>
      <c r="AB102" s="7" t="n">
        <v>1478622.2</v>
      </c>
    </row>
    <row r="103">
      <c r="A103" s="4" t="inlineStr">
        <is>
          <t>奖金及提成</t>
        </is>
      </c>
      <c r="D103" s="7" t="n">
        <v>38870.2</v>
      </c>
      <c r="F103" s="7" t="n">
        <v>25787.3</v>
      </c>
      <c r="H103" s="7" t="n">
        <v>29461.9</v>
      </c>
      <c r="J103" s="7" t="n">
        <v>38866.1</v>
      </c>
      <c r="L103" s="7" t="n">
        <v>45577.7</v>
      </c>
      <c r="N103" s="7" t="n">
        <v>60966</v>
      </c>
      <c r="P103" s="7" t="n">
        <v>66036.5</v>
      </c>
      <c r="R103" s="7" t="n">
        <v>44239.1</v>
      </c>
      <c r="T103" s="7" t="n">
        <v>23944.4</v>
      </c>
      <c r="V103" s="7" t="n">
        <v>29293.5</v>
      </c>
      <c r="X103" s="7" t="n">
        <v>42937.9</v>
      </c>
      <c r="Z103" s="7" t="n">
        <v>24240.9</v>
      </c>
      <c r="AB103" s="7" t="n">
        <v>470221.5</v>
      </c>
    </row>
    <row r="104">
      <c r="A104" s="4" t="inlineStr">
        <is>
          <t>社保</t>
        </is>
      </c>
      <c r="D104" s="7" t="n">
        <v>33859.1</v>
      </c>
      <c r="F104" s="7" t="n">
        <v>15197.2</v>
      </c>
      <c r="H104" s="7" t="n">
        <v>34273.1</v>
      </c>
      <c r="J104" s="7" t="n">
        <v>31192.2</v>
      </c>
      <c r="L104" s="7" t="n">
        <v>22912.3</v>
      </c>
      <c r="N104" s="7" t="n">
        <v>48109.3</v>
      </c>
      <c r="P104" s="7" t="n">
        <v>58900.4</v>
      </c>
      <c r="R104" s="7" t="n">
        <v>30554.2</v>
      </c>
      <c r="T104" s="7" t="n">
        <v>16866.5</v>
      </c>
      <c r="V104" s="7" t="n">
        <v>15289.3</v>
      </c>
      <c r="X104" s="7" t="n">
        <v>33989.8</v>
      </c>
      <c r="Z104" s="7" t="n">
        <v>14635.8</v>
      </c>
      <c r="AB104" s="7" t="n">
        <v>355779.2</v>
      </c>
    </row>
    <row r="105">
      <c r="A105" s="4" t="inlineStr">
        <is>
          <t>养老</t>
        </is>
      </c>
      <c r="D105" s="7" t="n">
        <v>1874.6</v>
      </c>
      <c r="F105" s="7" t="n">
        <v>1239.1</v>
      </c>
      <c r="H105" s="7" t="n">
        <v>1753.4</v>
      </c>
      <c r="J105" s="7" t="n">
        <v>1046.6</v>
      </c>
      <c r="L105" s="7" t="n">
        <v>1885.7</v>
      </c>
      <c r="N105" s="7" t="n">
        <v>3209.3</v>
      </c>
      <c r="P105" s="7" t="n">
        <v>2270.7</v>
      </c>
      <c r="R105" s="7" t="n">
        <v>1306.1</v>
      </c>
      <c r="T105" s="7" t="n">
        <v>1351</v>
      </c>
      <c r="V105" s="7" t="n">
        <v>1272.4</v>
      </c>
      <c r="X105" s="7" t="n">
        <v>2070.1</v>
      </c>
      <c r="Z105" s="7" t="n">
        <v>756.1</v>
      </c>
      <c r="AB105" s="7" t="n">
        <v>20035.1</v>
      </c>
    </row>
    <row r="106">
      <c r="A106" s="4" t="inlineStr">
        <is>
          <t>医疗</t>
        </is>
      </c>
      <c r="D106" s="7" t="n">
        <v>1040.7</v>
      </c>
      <c r="F106" s="7" t="n">
        <v>910.7</v>
      </c>
      <c r="H106" s="7" t="n">
        <v>1786</v>
      </c>
      <c r="J106" s="7" t="n">
        <v>1049.7</v>
      </c>
      <c r="L106" s="7" t="n">
        <v>1760.3</v>
      </c>
      <c r="N106" s="7" t="n">
        <v>1577.7</v>
      </c>
      <c r="P106" s="7" t="n">
        <v>1650.6</v>
      </c>
      <c r="R106" s="7" t="n">
        <v>1458.2</v>
      </c>
      <c r="T106" s="7" t="n">
        <v>672.9</v>
      </c>
      <c r="V106" s="7" t="n">
        <v>721.7</v>
      </c>
      <c r="X106" s="7" t="n">
        <v>1916.7</v>
      </c>
      <c r="Z106" s="7" t="n">
        <v>876</v>
      </c>
      <c r="AB106" s="7" t="n">
        <v>15421.2</v>
      </c>
    </row>
    <row r="107">
      <c r="A107" s="4" t="inlineStr">
        <is>
          <t>工伤</t>
        </is>
      </c>
      <c r="D107" s="7" t="n">
        <v>1104.1</v>
      </c>
      <c r="F107" s="7" t="n">
        <v>926.8</v>
      </c>
      <c r="H107" s="7" t="n">
        <v>995.8</v>
      </c>
      <c r="J107" s="7" t="n">
        <v>961.7</v>
      </c>
      <c r="L107" s="7" t="n">
        <v>1443.7</v>
      </c>
      <c r="N107" s="7" t="n">
        <v>1337.7</v>
      </c>
      <c r="P107" s="7" t="n">
        <v>1497.6</v>
      </c>
      <c r="R107" s="7" t="n">
        <v>1151.8</v>
      </c>
      <c r="T107" s="7" t="n">
        <v>772.7</v>
      </c>
      <c r="V107" s="7" t="n">
        <v>993</v>
      </c>
      <c r="X107" s="7" t="n">
        <v>998.4</v>
      </c>
      <c r="Z107" s="7" t="n">
        <v>756.6</v>
      </c>
      <c r="AB107" s="7" t="n">
        <v>12939.9</v>
      </c>
    </row>
    <row r="108">
      <c r="A108" s="4" t="inlineStr">
        <is>
          <t>失业</t>
        </is>
      </c>
      <c r="D108" s="7" t="n">
        <v>228.2</v>
      </c>
      <c r="F108" s="7" t="n">
        <v>157.3</v>
      </c>
      <c r="H108" s="7" t="n">
        <v>317.7</v>
      </c>
      <c r="J108" s="7" t="n">
        <v>307.5</v>
      </c>
      <c r="L108" s="7" t="n">
        <v>319</v>
      </c>
      <c r="N108" s="7" t="n">
        <v>423.3</v>
      </c>
      <c r="P108" s="7" t="n">
        <v>573</v>
      </c>
      <c r="R108" s="7" t="n">
        <v>357.6</v>
      </c>
      <c r="T108" s="7" t="n">
        <v>171</v>
      </c>
      <c r="V108" s="7" t="n">
        <v>225.7</v>
      </c>
      <c r="X108" s="7" t="n">
        <v>461</v>
      </c>
      <c r="Z108" s="7" t="n">
        <v>160</v>
      </c>
      <c r="AB108" s="7" t="n">
        <v>3701.3</v>
      </c>
    </row>
    <row r="109">
      <c r="A109" s="4" t="inlineStr">
        <is>
          <t>生育</t>
        </is>
      </c>
      <c r="D109" s="7" t="n">
        <v>1673.2</v>
      </c>
      <c r="F109" s="7" t="n">
        <v>1576.6</v>
      </c>
      <c r="H109" s="7" t="n">
        <v>2854.5</v>
      </c>
      <c r="J109" s="7" t="n">
        <v>1783.7</v>
      </c>
      <c r="L109" s="7" t="n">
        <v>1806.1</v>
      </c>
      <c r="N109" s="7" t="n">
        <v>4179.2</v>
      </c>
      <c r="P109" s="7" t="n">
        <v>3501</v>
      </c>
      <c r="R109" s="7" t="n">
        <v>1447.9</v>
      </c>
      <c r="T109" s="7" t="n">
        <v>1658.4</v>
      </c>
      <c r="V109" s="7" t="n">
        <v>1638.3</v>
      </c>
      <c r="X109" s="7" t="n">
        <v>2790.5</v>
      </c>
      <c r="Z109" s="7" t="n">
        <v>1250.9</v>
      </c>
      <c r="AB109" s="7" t="n">
        <v>26160.3</v>
      </c>
    </row>
    <row r="110">
      <c r="A110" s="4" t="inlineStr">
        <is>
          <t>公积金</t>
        </is>
      </c>
      <c r="D110" s="7" t="n">
        <v>564</v>
      </c>
      <c r="F110" s="7" t="n">
        <v>434.7</v>
      </c>
      <c r="H110" s="7" t="n">
        <v>876.3</v>
      </c>
      <c r="J110" s="7" t="n">
        <v>751.1</v>
      </c>
      <c r="L110" s="7" t="n">
        <v>869.1</v>
      </c>
      <c r="N110" s="7" t="n">
        <v>1306</v>
      </c>
      <c r="P110" s="7" t="n">
        <v>1753.1</v>
      </c>
      <c r="R110" s="7" t="n">
        <v>559.1</v>
      </c>
      <c r="T110" s="7" t="n">
        <v>437.4</v>
      </c>
      <c r="V110" s="7" t="n">
        <v>702.2</v>
      </c>
      <c r="X110" s="7" t="n">
        <v>1072.3</v>
      </c>
      <c r="Z110" s="7" t="n">
        <v>576.4</v>
      </c>
      <c r="AB110" s="7" t="n">
        <v>9901.700000000001</v>
      </c>
    </row>
    <row r="111">
      <c r="A111" s="4" t="inlineStr">
        <is>
          <t>工会经费</t>
        </is>
      </c>
      <c r="D111" s="7" t="n">
        <v>33.7</v>
      </c>
      <c r="F111" s="7" t="n">
        <v>18.2</v>
      </c>
      <c r="H111" s="7" t="n">
        <v>34.7</v>
      </c>
      <c r="J111" s="7" t="n">
        <v>23.6</v>
      </c>
      <c r="L111" s="7" t="n">
        <v>42.8</v>
      </c>
      <c r="N111" s="7" t="n">
        <v>77.8</v>
      </c>
      <c r="P111" s="7" t="n">
        <v>61.8</v>
      </c>
      <c r="R111" s="7" t="n">
        <v>42.6</v>
      </c>
      <c r="T111" s="7" t="n">
        <v>31.2</v>
      </c>
      <c r="V111" s="7" t="n">
        <v>30.2</v>
      </c>
      <c r="X111" s="7" t="n">
        <v>38.5</v>
      </c>
      <c r="Z111" s="7" t="n">
        <v>24.9</v>
      </c>
      <c r="AB111" s="7" t="n">
        <v>460</v>
      </c>
    </row>
    <row r="112">
      <c r="A112" s="4" t="inlineStr">
        <is>
          <t>职工教育经费</t>
        </is>
      </c>
      <c r="D112" s="7" t="n">
        <v>1078.3</v>
      </c>
      <c r="F112" s="7" t="n">
        <v>1090.8</v>
      </c>
      <c r="H112" s="7" t="n">
        <v>1535.1</v>
      </c>
      <c r="J112" s="7" t="n">
        <v>757</v>
      </c>
      <c r="L112" s="7" t="n">
        <v>1060.8</v>
      </c>
      <c r="N112" s="7" t="n">
        <v>2113.8</v>
      </c>
      <c r="P112" s="7" t="n">
        <v>2765.5</v>
      </c>
      <c r="R112" s="7" t="n">
        <v>1295.2</v>
      </c>
      <c r="T112" s="7" t="n">
        <v>1049.4</v>
      </c>
      <c r="V112" s="7" t="n">
        <v>823.2</v>
      </c>
      <c r="X112" s="7" t="n">
        <v>1100.6</v>
      </c>
      <c r="Z112" s="7" t="n">
        <v>648.2</v>
      </c>
      <c r="AB112" s="7" t="n">
        <v>15317.9</v>
      </c>
    </row>
    <row r="113">
      <c r="A113" s="4" t="inlineStr">
        <is>
          <t>福利费</t>
        </is>
      </c>
      <c r="D113" s="7" t="n">
        <v>10123.2</v>
      </c>
      <c r="F113" s="7" t="n">
        <v>6838.9</v>
      </c>
      <c r="H113" s="7" t="n">
        <v>13601.2</v>
      </c>
      <c r="J113" s="7" t="n">
        <v>9397.200000000001</v>
      </c>
      <c r="L113" s="7" t="n">
        <v>9971.4</v>
      </c>
      <c r="N113" s="7" t="n">
        <v>17715.4</v>
      </c>
      <c r="P113" s="7" t="n">
        <v>20182.4</v>
      </c>
      <c r="R113" s="7" t="n">
        <v>11072.4</v>
      </c>
      <c r="T113" s="7" t="n">
        <v>7511.9</v>
      </c>
      <c r="V113" s="7" t="n">
        <v>7293.4</v>
      </c>
      <c r="X113" s="7" t="n">
        <v>14793.6</v>
      </c>
      <c r="Z113" s="7" t="n">
        <v>5573.3</v>
      </c>
      <c r="AB113" s="7" t="n">
        <v>134074.3</v>
      </c>
    </row>
    <row r="114">
      <c r="A114" s="4" t="inlineStr">
        <is>
          <t>职工房租</t>
        </is>
      </c>
      <c r="D114" s="7" t="n">
        <v>1910.5</v>
      </c>
      <c r="F114" s="7" t="n">
        <v>1114.1</v>
      </c>
      <c r="H114" s="7" t="n">
        <v>1519.6</v>
      </c>
      <c r="J114" s="7" t="n">
        <v>1512.5</v>
      </c>
      <c r="L114" s="7" t="n">
        <v>1248.4</v>
      </c>
      <c r="N114" s="7" t="n">
        <v>3009.9</v>
      </c>
      <c r="P114" s="7" t="n">
        <v>2484.4</v>
      </c>
      <c r="R114" s="7" t="n">
        <v>1514.6</v>
      </c>
      <c r="T114" s="7" t="n">
        <v>1058.6</v>
      </c>
      <c r="V114" s="7" t="n">
        <v>1404.1</v>
      </c>
      <c r="X114" s="7" t="n">
        <v>2369.8</v>
      </c>
      <c r="Z114" s="7" t="n">
        <v>732.6</v>
      </c>
      <c r="AB114" s="7" t="n">
        <v>19879.1</v>
      </c>
    </row>
    <row r="115">
      <c r="A115" s="4" t="inlineStr">
        <is>
          <t>水电物业费</t>
        </is>
      </c>
      <c r="D115" s="7" t="n">
        <v>2022.1</v>
      </c>
      <c r="F115" s="7" t="n">
        <v>984.8</v>
      </c>
      <c r="H115" s="7" t="n">
        <v>2386.7</v>
      </c>
      <c r="J115" s="7" t="n">
        <v>1469.6</v>
      </c>
      <c r="L115" s="7" t="n">
        <v>1430.3</v>
      </c>
      <c r="N115" s="7" t="n">
        <v>3701.5</v>
      </c>
      <c r="P115" s="7" t="n">
        <v>3491.3</v>
      </c>
      <c r="R115" s="7" t="n">
        <v>1798</v>
      </c>
      <c r="T115" s="7" t="n">
        <v>1137.4</v>
      </c>
      <c r="V115" s="7" t="n">
        <v>1050.6</v>
      </c>
      <c r="X115" s="7" t="n">
        <v>2452.2</v>
      </c>
      <c r="Z115" s="7" t="n">
        <v>976.4</v>
      </c>
      <c r="AB115" s="7" t="n">
        <v>22900.9</v>
      </c>
    </row>
    <row r="116">
      <c r="A116" s="4" t="inlineStr">
        <is>
          <t>员工餐</t>
        </is>
      </c>
      <c r="D116" s="7" t="n">
        <v>1518.4</v>
      </c>
      <c r="F116" s="7" t="n">
        <v>976.1</v>
      </c>
      <c r="H116" s="7" t="n">
        <v>2449.6</v>
      </c>
      <c r="J116" s="7" t="n">
        <v>1906.4</v>
      </c>
      <c r="L116" s="7" t="n">
        <v>1809.1</v>
      </c>
      <c r="N116" s="7" t="n">
        <v>2620.4</v>
      </c>
      <c r="P116" s="7" t="n">
        <v>3185.9</v>
      </c>
      <c r="R116" s="7" t="n">
        <v>1775.2</v>
      </c>
      <c r="T116" s="7" t="n">
        <v>1649.3</v>
      </c>
      <c r="V116" s="7" t="n">
        <v>1061.7</v>
      </c>
      <c r="X116" s="7" t="n">
        <v>2931.2</v>
      </c>
      <c r="Z116" s="7" t="n">
        <v>1116.2</v>
      </c>
      <c r="AB116" s="7" t="n">
        <v>22999.5</v>
      </c>
    </row>
    <row r="117">
      <c r="A117" s="4" t="inlineStr">
        <is>
          <t>节日礼品</t>
        </is>
      </c>
      <c r="D117" s="7" t="n">
        <v>659</v>
      </c>
      <c r="F117" s="7" t="n">
        <v>723.9</v>
      </c>
      <c r="H117" s="7" t="n">
        <v>1150.4</v>
      </c>
      <c r="J117" s="7" t="n">
        <v>997.1</v>
      </c>
      <c r="L117" s="7" t="n">
        <v>798.4</v>
      </c>
      <c r="N117" s="7" t="n">
        <v>1215.2</v>
      </c>
      <c r="P117" s="7" t="n">
        <v>1798.1</v>
      </c>
      <c r="R117" s="7" t="n">
        <v>655.6</v>
      </c>
      <c r="T117" s="7" t="n">
        <v>519.5</v>
      </c>
      <c r="V117" s="7" t="n">
        <v>812.4</v>
      </c>
      <c r="X117" s="7" t="n">
        <v>1130.9</v>
      </c>
      <c r="Z117" s="7" t="n">
        <v>457.9</v>
      </c>
      <c r="AB117" s="7" t="n">
        <v>10918.4</v>
      </c>
    </row>
    <row r="118">
      <c r="A118" s="4" t="inlineStr">
        <is>
          <t>生日礼品</t>
        </is>
      </c>
      <c r="D118" s="7" t="n">
        <v>921.1</v>
      </c>
      <c r="F118" s="7" t="n">
        <v>602.6</v>
      </c>
      <c r="H118" s="7" t="n">
        <v>1109.8</v>
      </c>
      <c r="J118" s="7" t="n">
        <v>745.1</v>
      </c>
      <c r="L118" s="7" t="n">
        <v>920</v>
      </c>
      <c r="N118" s="7" t="n">
        <v>1113.5</v>
      </c>
      <c r="P118" s="7" t="n">
        <v>1833.5</v>
      </c>
      <c r="R118" s="7" t="n">
        <v>958.7</v>
      </c>
      <c r="T118" s="7" t="n">
        <v>443.1</v>
      </c>
      <c r="V118" s="7" t="n">
        <v>722.5</v>
      </c>
      <c r="X118" s="7" t="n">
        <v>1022.1</v>
      </c>
      <c r="Z118" s="7" t="n">
        <v>656.5</v>
      </c>
      <c r="AB118" s="7" t="n">
        <v>11048.5</v>
      </c>
    </row>
    <row r="119">
      <c r="A119" s="4" t="inlineStr">
        <is>
          <t>体检</t>
        </is>
      </c>
      <c r="D119" s="7" t="n">
        <v>1547.7</v>
      </c>
      <c r="F119" s="7" t="n">
        <v>847.4</v>
      </c>
      <c r="H119" s="7" t="n">
        <v>1852.8</v>
      </c>
      <c r="J119" s="7" t="n">
        <v>1352.7</v>
      </c>
      <c r="L119" s="7" t="n">
        <v>1259.1</v>
      </c>
      <c r="N119" s="7" t="n">
        <v>2143</v>
      </c>
      <c r="P119" s="7" t="n">
        <v>2579.8</v>
      </c>
      <c r="R119" s="7" t="n">
        <v>1680.8</v>
      </c>
      <c r="T119" s="7" t="n">
        <v>1070.6</v>
      </c>
      <c r="V119" s="7" t="n">
        <v>808.8</v>
      </c>
      <c r="X119" s="7" t="n">
        <v>1849.6</v>
      </c>
      <c r="Z119" s="7" t="n">
        <v>612.5</v>
      </c>
      <c r="AB119" s="7" t="n">
        <v>17604.8</v>
      </c>
    </row>
    <row r="120">
      <c r="A120" s="4" t="inlineStr">
        <is>
          <t>其他福利支出</t>
        </is>
      </c>
      <c r="D120" s="7" t="n">
        <v>1544.4</v>
      </c>
      <c r="F120" s="7" t="n">
        <v>1590</v>
      </c>
      <c r="H120" s="7" t="n">
        <v>3132.3</v>
      </c>
      <c r="J120" s="7" t="n">
        <v>1413.8</v>
      </c>
      <c r="L120" s="7" t="n">
        <v>2506.1</v>
      </c>
      <c r="N120" s="7" t="n">
        <v>3911.9</v>
      </c>
      <c r="P120" s="7" t="n">
        <v>4809.4</v>
      </c>
      <c r="R120" s="7" t="n">
        <v>2689.5</v>
      </c>
      <c r="T120" s="7" t="n">
        <v>1633.4</v>
      </c>
      <c r="V120" s="7" t="n">
        <v>1433.3</v>
      </c>
      <c r="X120" s="7" t="n">
        <v>3037.8</v>
      </c>
      <c r="Z120" s="7" t="n">
        <v>1021.2</v>
      </c>
      <c r="AB120" s="7" t="n">
        <v>28723.1</v>
      </c>
    </row>
    <row r="121">
      <c r="A121" s="4" t="inlineStr">
        <is>
          <t>招聘费</t>
        </is>
      </c>
      <c r="D121" s="7" t="n">
        <v>2022.5</v>
      </c>
      <c r="F121" s="7" t="n">
        <v>942.1</v>
      </c>
      <c r="H121" s="7" t="n">
        <v>1767.2</v>
      </c>
      <c r="J121" s="7" t="n">
        <v>1595.5</v>
      </c>
      <c r="L121" s="7" t="n">
        <v>1385.7</v>
      </c>
      <c r="N121" s="7" t="n">
        <v>2921.5</v>
      </c>
      <c r="P121" s="7" t="n">
        <v>2689.3</v>
      </c>
      <c r="R121" s="7" t="n">
        <v>1888.8</v>
      </c>
      <c r="T121" s="7" t="n">
        <v>1524.8</v>
      </c>
      <c r="V121" s="7" t="n">
        <v>1455.4</v>
      </c>
      <c r="X121" s="7" t="n">
        <v>1565.8</v>
      </c>
      <c r="Z121" s="7" t="n">
        <v>1048.5</v>
      </c>
      <c r="AB121" s="7" t="n">
        <v>20807.1</v>
      </c>
    </row>
    <row r="122">
      <c r="A122" s="4" t="inlineStr">
        <is>
          <t>办公费</t>
        </is>
      </c>
      <c r="D122" s="7" t="n">
        <v>11580.1</v>
      </c>
      <c r="F122" s="7" t="n">
        <v>9250.4</v>
      </c>
      <c r="H122" s="7" t="n">
        <v>11875.9</v>
      </c>
      <c r="J122" s="7" t="n">
        <v>10756.6</v>
      </c>
      <c r="L122" s="7" t="n">
        <v>10589.9</v>
      </c>
      <c r="N122" s="7" t="n">
        <v>18092.7</v>
      </c>
      <c r="P122" s="7" t="n">
        <v>20566.8</v>
      </c>
      <c r="R122" s="7" t="n">
        <v>12800.3</v>
      </c>
      <c r="T122" s="7" t="n">
        <v>5826.2</v>
      </c>
      <c r="V122" s="7" t="n">
        <v>9794</v>
      </c>
      <c r="X122" s="7" t="n">
        <v>12324.9</v>
      </c>
      <c r="Z122" s="7" t="n">
        <v>4848.5</v>
      </c>
      <c r="AB122" s="7" t="n">
        <v>138306.3</v>
      </c>
    </row>
    <row r="123">
      <c r="A123" s="4" t="inlineStr">
        <is>
          <t>市内交通费</t>
        </is>
      </c>
      <c r="D123" s="7" t="n">
        <v>798.8</v>
      </c>
      <c r="F123" s="7" t="n">
        <v>891.5</v>
      </c>
      <c r="H123" s="7" t="n">
        <v>1202</v>
      </c>
      <c r="J123" s="7" t="n">
        <v>1003.7</v>
      </c>
      <c r="L123" s="7" t="n">
        <v>1253.5</v>
      </c>
      <c r="N123" s="7" t="n">
        <v>1288.4</v>
      </c>
      <c r="P123" s="7" t="n">
        <v>2177.8</v>
      </c>
      <c r="R123" s="7" t="n">
        <v>1118.4</v>
      </c>
      <c r="T123" s="7" t="n">
        <v>535.4</v>
      </c>
      <c r="V123" s="7" t="n">
        <v>934.7</v>
      </c>
      <c r="X123" s="7" t="n">
        <v>1408.8</v>
      </c>
      <c r="Z123" s="7" t="n">
        <v>773.2</v>
      </c>
      <c r="AB123" s="7" t="n">
        <v>13386.2</v>
      </c>
    </row>
    <row r="124">
      <c r="A124" s="4" t="inlineStr">
        <is>
          <t>差旅费</t>
        </is>
      </c>
      <c r="D124" s="7" t="n">
        <v>15264.6</v>
      </c>
      <c r="F124" s="7" t="n">
        <v>13890.1</v>
      </c>
      <c r="H124" s="7" t="n">
        <v>26981.7</v>
      </c>
      <c r="J124" s="7" t="n">
        <v>16847.9</v>
      </c>
      <c r="L124" s="7" t="n">
        <v>18490.7</v>
      </c>
      <c r="N124" s="7" t="n">
        <v>38281.8</v>
      </c>
      <c r="P124" s="7" t="n">
        <v>28190.9</v>
      </c>
      <c r="R124" s="7" t="n">
        <v>23692.9</v>
      </c>
      <c r="T124" s="7" t="n">
        <v>12914.5</v>
      </c>
      <c r="V124" s="7" t="n">
        <v>20423</v>
      </c>
      <c r="X124" s="7" t="n">
        <v>23100.1</v>
      </c>
      <c r="Z124" s="7" t="n">
        <v>10350.7</v>
      </c>
      <c r="AB124" s="7" t="n">
        <v>248428.9</v>
      </c>
    </row>
    <row r="125">
      <c r="A125" s="4" t="inlineStr">
        <is>
          <t>交通费</t>
        </is>
      </c>
      <c r="D125" s="7" t="n">
        <v>1315.7</v>
      </c>
      <c r="F125" s="7" t="n">
        <v>828.1</v>
      </c>
      <c r="H125" s="7" t="n">
        <v>1679.6</v>
      </c>
      <c r="J125" s="7" t="n">
        <v>791.5</v>
      </c>
      <c r="L125" s="7" t="n">
        <v>1377.5</v>
      </c>
      <c r="N125" s="7" t="n">
        <v>1615.2</v>
      </c>
      <c r="P125" s="7" t="n">
        <v>1815.6</v>
      </c>
      <c r="R125" s="7" t="n">
        <v>947.1</v>
      </c>
      <c r="T125" s="7" t="n">
        <v>909.5</v>
      </c>
      <c r="V125" s="7" t="n">
        <v>717.9</v>
      </c>
      <c r="X125" s="7" t="n">
        <v>1057.3</v>
      </c>
      <c r="Z125" s="7" t="n">
        <v>639.2</v>
      </c>
      <c r="AB125" s="7" t="n">
        <v>13694.2</v>
      </c>
    </row>
    <row r="126">
      <c r="A126" s="4" t="inlineStr">
        <is>
          <t>住宿费</t>
        </is>
      </c>
      <c r="D126" s="7" t="n">
        <v>1075.1</v>
      </c>
      <c r="F126" s="7" t="n">
        <v>621.1</v>
      </c>
      <c r="H126" s="7" t="n">
        <v>1506.6</v>
      </c>
      <c r="J126" s="7" t="n">
        <v>1078</v>
      </c>
      <c r="L126" s="7" t="n">
        <v>1244.4</v>
      </c>
      <c r="N126" s="7" t="n">
        <v>1720</v>
      </c>
      <c r="P126" s="7" t="n">
        <v>2170.7</v>
      </c>
      <c r="R126" s="7" t="n">
        <v>1319.8</v>
      </c>
      <c r="T126" s="7" t="n">
        <v>1056.9</v>
      </c>
      <c r="V126" s="7" t="n">
        <v>998.1</v>
      </c>
      <c r="X126" s="7" t="n">
        <v>1840.9</v>
      </c>
      <c r="Z126" s="7" t="n">
        <v>529.4</v>
      </c>
      <c r="AB126" s="7" t="n">
        <v>15161</v>
      </c>
    </row>
    <row r="127">
      <c r="A127" s="4" t="inlineStr">
        <is>
          <t>餐补</t>
        </is>
      </c>
      <c r="D127" s="7" t="n">
        <v>1891.9</v>
      </c>
      <c r="F127" s="7" t="n">
        <v>1101.7</v>
      </c>
      <c r="H127" s="7" t="n">
        <v>3040.7</v>
      </c>
      <c r="J127" s="7" t="n">
        <v>1559.5</v>
      </c>
      <c r="L127" s="7" t="n">
        <v>2851.9</v>
      </c>
      <c r="N127" s="7" t="n">
        <v>2759.6</v>
      </c>
      <c r="P127" s="7" t="n">
        <v>3213.3</v>
      </c>
      <c r="R127" s="7" t="n">
        <v>2294.4</v>
      </c>
      <c r="T127" s="7" t="n">
        <v>1526.5</v>
      </c>
      <c r="V127" s="7" t="n">
        <v>1892.3</v>
      </c>
      <c r="X127" s="7" t="n">
        <v>2703.6</v>
      </c>
      <c r="Z127" s="7" t="n">
        <v>1413.8</v>
      </c>
      <c r="AB127" s="7" t="n">
        <v>26249.2</v>
      </c>
    </row>
    <row r="128">
      <c r="A128" s="4" t="inlineStr">
        <is>
          <t>交通补助</t>
        </is>
      </c>
      <c r="D128" s="7" t="n">
        <v>817.8</v>
      </c>
      <c r="F128" s="7" t="n">
        <v>496.1</v>
      </c>
      <c r="H128" s="7" t="n">
        <v>628.7</v>
      </c>
      <c r="J128" s="7" t="n">
        <v>533.2</v>
      </c>
      <c r="L128" s="7" t="n">
        <v>711</v>
      </c>
      <c r="N128" s="7" t="n">
        <v>1287.6</v>
      </c>
      <c r="P128" s="7" t="n">
        <v>1067.6</v>
      </c>
      <c r="R128" s="7" t="n">
        <v>497.6</v>
      </c>
      <c r="T128" s="7" t="n">
        <v>615.1</v>
      </c>
      <c r="V128" s="7" t="n">
        <v>426.2</v>
      </c>
      <c r="X128" s="7" t="n">
        <v>1113.5</v>
      </c>
      <c r="Z128" s="7" t="n">
        <v>469.2</v>
      </c>
      <c r="AB128" s="7" t="n">
        <v>8663.6</v>
      </c>
    </row>
    <row r="129">
      <c r="A129" s="4" t="inlineStr">
        <is>
          <t>通讯补助</t>
        </is>
      </c>
      <c r="D129" s="7" t="n">
        <v>811.4</v>
      </c>
      <c r="F129" s="7" t="n">
        <v>739.4</v>
      </c>
      <c r="H129" s="7" t="n">
        <v>1014.9</v>
      </c>
      <c r="J129" s="7" t="n">
        <v>870.7</v>
      </c>
      <c r="L129" s="7" t="n">
        <v>1155.3</v>
      </c>
      <c r="N129" s="7" t="n">
        <v>2005.1</v>
      </c>
      <c r="P129" s="7" t="n">
        <v>1657.3</v>
      </c>
      <c r="R129" s="7" t="n">
        <v>835.7</v>
      </c>
      <c r="T129" s="7" t="n">
        <v>550.2</v>
      </c>
      <c r="V129" s="7" t="n">
        <v>836.8</v>
      </c>
      <c r="X129" s="7" t="n">
        <v>989.9</v>
      </c>
      <c r="Z129" s="7" t="n">
        <v>519</v>
      </c>
      <c r="AB129" s="7" t="n">
        <v>11985.7</v>
      </c>
    </row>
    <row r="130">
      <c r="A130" s="4" t="inlineStr">
        <is>
          <t>招待费</t>
        </is>
      </c>
      <c r="D130" s="7" t="n">
        <v>13149.5</v>
      </c>
      <c r="F130" s="7" t="n">
        <v>12917.2</v>
      </c>
      <c r="H130" s="7" t="n">
        <v>19504.9</v>
      </c>
      <c r="J130" s="7" t="n">
        <v>8899</v>
      </c>
      <c r="L130" s="7" t="n">
        <v>13960.9</v>
      </c>
      <c r="N130" s="7" t="n">
        <v>23999.8</v>
      </c>
      <c r="P130" s="7" t="n">
        <v>20307.5</v>
      </c>
      <c r="R130" s="7" t="n">
        <v>17603.8</v>
      </c>
      <c r="T130" s="7" t="n">
        <v>11793.3</v>
      </c>
      <c r="V130" s="7" t="n">
        <v>9203.5</v>
      </c>
      <c r="X130" s="7" t="n">
        <v>23450</v>
      </c>
      <c r="Z130" s="7" t="n">
        <v>10812.4</v>
      </c>
      <c r="AB130" s="7" t="n">
        <v>185601.8</v>
      </c>
    </row>
    <row r="131">
      <c r="A131" s="4" t="inlineStr">
        <is>
          <t>通讯费</t>
        </is>
      </c>
      <c r="D131" s="7" t="n">
        <v>1658.3</v>
      </c>
      <c r="F131" s="7" t="n">
        <v>906.2</v>
      </c>
      <c r="H131" s="7" t="n">
        <v>1607</v>
      </c>
      <c r="J131" s="7" t="n">
        <v>1005.6</v>
      </c>
      <c r="L131" s="7" t="n">
        <v>1547.6</v>
      </c>
      <c r="N131" s="7" t="n">
        <v>2172.5</v>
      </c>
      <c r="P131" s="7" t="n">
        <v>2469.3</v>
      </c>
      <c r="R131" s="7" t="n">
        <v>1292.2</v>
      </c>
      <c r="T131" s="7" t="n">
        <v>1233</v>
      </c>
      <c r="V131" s="7" t="n">
        <v>865</v>
      </c>
      <c r="X131" s="7" t="n">
        <v>1846.7</v>
      </c>
      <c r="Z131" s="7" t="n">
        <v>924.8</v>
      </c>
      <c r="AB131" s="7" t="n">
        <v>17528.2</v>
      </c>
    </row>
    <row r="132">
      <c r="A132" s="4" t="inlineStr">
        <is>
          <t>网络费</t>
        </is>
      </c>
      <c r="D132" s="7" t="n">
        <v>831</v>
      </c>
      <c r="F132" s="7" t="n">
        <v>491.1</v>
      </c>
      <c r="H132" s="7" t="n">
        <v>904.1</v>
      </c>
      <c r="J132" s="7" t="n">
        <v>935.3</v>
      </c>
      <c r="L132" s="7" t="n">
        <v>882.4</v>
      </c>
      <c r="N132" s="7" t="n">
        <v>1506.5</v>
      </c>
      <c r="P132" s="7" t="n">
        <v>1221.9</v>
      </c>
      <c r="R132" s="7" t="n">
        <v>836.3</v>
      </c>
      <c r="T132" s="7" t="n">
        <v>570.7</v>
      </c>
      <c r="V132" s="7" t="n">
        <v>453.8</v>
      </c>
      <c r="X132" s="7" t="n">
        <v>1276.3</v>
      </c>
      <c r="Z132" s="7" t="n">
        <v>705.9</v>
      </c>
      <c r="AB132" s="7" t="n">
        <v>10615.3</v>
      </c>
    </row>
    <row r="133">
      <c r="A133" s="4" t="inlineStr">
        <is>
          <t>修理费</t>
        </is>
      </c>
      <c r="D133" s="7" t="n">
        <v>809.8</v>
      </c>
      <c r="F133" s="7" t="n">
        <v>538.5</v>
      </c>
      <c r="H133" s="7" t="n">
        <v>796.7</v>
      </c>
      <c r="J133" s="7" t="n">
        <v>840.3</v>
      </c>
      <c r="L133" s="7" t="n">
        <v>1071.3</v>
      </c>
      <c r="N133" s="7" t="n">
        <v>1398</v>
      </c>
      <c r="P133" s="7" t="n">
        <v>1086.9</v>
      </c>
      <c r="R133" s="7" t="n">
        <v>791.9</v>
      </c>
      <c r="T133" s="7" t="n">
        <v>707</v>
      </c>
      <c r="V133" s="7" t="n">
        <v>553.8</v>
      </c>
      <c r="X133" s="7" t="n">
        <v>1104.5</v>
      </c>
      <c r="Z133" s="7" t="n">
        <v>555.7</v>
      </c>
      <c r="AB133" s="7" t="n">
        <v>10254.4</v>
      </c>
    </row>
    <row r="134">
      <c r="A134" s="4" t="inlineStr">
        <is>
          <t>车辆费</t>
        </is>
      </c>
      <c r="D134" s="7" t="n">
        <v>1535.2</v>
      </c>
      <c r="F134" s="7" t="n">
        <v>1531.8</v>
      </c>
      <c r="H134" s="7" t="n">
        <v>2192.1</v>
      </c>
      <c r="J134" s="7" t="n">
        <v>1696.5</v>
      </c>
      <c r="L134" s="7" t="n">
        <v>2721.4</v>
      </c>
      <c r="N134" s="7" t="n">
        <v>3519.9</v>
      </c>
      <c r="P134" s="7" t="n">
        <v>2830.7</v>
      </c>
      <c r="R134" s="7" t="n">
        <v>1517.9</v>
      </c>
      <c r="T134" s="7" t="n">
        <v>1675</v>
      </c>
      <c r="V134" s="7" t="n">
        <v>1637.1</v>
      </c>
      <c r="X134" s="7" t="n">
        <v>2245.9</v>
      </c>
      <c r="Z134" s="7" t="n">
        <v>1672.2</v>
      </c>
      <c r="AB134" s="7" t="n">
        <v>24775.7</v>
      </c>
    </row>
    <row r="135">
      <c r="A135" s="4" t="inlineStr">
        <is>
          <t>租赁费</t>
        </is>
      </c>
      <c r="D135" s="7" t="n">
        <v>14382.8</v>
      </c>
      <c r="F135" s="7" t="n">
        <v>8983.700000000001</v>
      </c>
      <c r="H135" s="7" t="n">
        <v>21468.4</v>
      </c>
      <c r="J135" s="7" t="n">
        <v>14771.9</v>
      </c>
      <c r="L135" s="7" t="n">
        <v>21107.6</v>
      </c>
      <c r="N135" s="7" t="n">
        <v>23185.7</v>
      </c>
      <c r="P135" s="7" t="n">
        <v>31962.2</v>
      </c>
      <c r="R135" s="7" t="n">
        <v>14325.1</v>
      </c>
      <c r="T135" s="7" t="n">
        <v>11649.2</v>
      </c>
      <c r="V135" s="7" t="n">
        <v>14038.6</v>
      </c>
      <c r="X135" s="7" t="n">
        <v>28904.2</v>
      </c>
      <c r="Z135" s="7" t="n">
        <v>13981.2</v>
      </c>
      <c r="AB135" s="7" t="n">
        <v>218760.6</v>
      </c>
    </row>
    <row r="136">
      <c r="A136" s="4" t="inlineStr">
        <is>
          <t>能源费</t>
        </is>
      </c>
      <c r="D136" s="7" t="n">
        <v>6122.9</v>
      </c>
      <c r="F136" s="7" t="n">
        <v>4931.3</v>
      </c>
      <c r="H136" s="7" t="n">
        <v>8857.4</v>
      </c>
      <c r="J136" s="7" t="n">
        <v>5897.1</v>
      </c>
      <c r="L136" s="7" t="n">
        <v>6884.4</v>
      </c>
      <c r="N136" s="7" t="n">
        <v>13159.1</v>
      </c>
      <c r="P136" s="7" t="n">
        <v>10206</v>
      </c>
      <c r="R136" s="7" t="n">
        <v>6319.2</v>
      </c>
      <c r="T136" s="7" t="n">
        <v>4696.1</v>
      </c>
      <c r="V136" s="7" t="n">
        <v>4560.9</v>
      </c>
      <c r="X136" s="7" t="n">
        <v>8316.4</v>
      </c>
      <c r="Z136" s="7" t="n">
        <v>4368.2</v>
      </c>
      <c r="AB136" s="7" t="n">
        <v>84319</v>
      </c>
    </row>
    <row r="137">
      <c r="A137" s="4" t="inlineStr">
        <is>
          <t>水费</t>
        </is>
      </c>
      <c r="D137" s="7" t="n">
        <v>2553.7</v>
      </c>
      <c r="F137" s="7" t="n">
        <v>1431.1</v>
      </c>
      <c r="H137" s="7" t="n">
        <v>3232.7</v>
      </c>
      <c r="J137" s="7" t="n">
        <v>2549.1</v>
      </c>
      <c r="L137" s="7" t="n">
        <v>2377.4</v>
      </c>
      <c r="N137" s="7" t="n">
        <v>4965.5</v>
      </c>
      <c r="P137" s="7" t="n">
        <v>3238</v>
      </c>
      <c r="R137" s="7" t="n">
        <v>2402.9</v>
      </c>
      <c r="T137" s="7" t="n">
        <v>1279.8</v>
      </c>
      <c r="V137" s="7" t="n">
        <v>1417.7</v>
      </c>
      <c r="X137" s="7" t="n">
        <v>2926.7</v>
      </c>
      <c r="Z137" s="7" t="n">
        <v>1784.1</v>
      </c>
      <c r="AB137" s="7" t="n">
        <v>30158.7</v>
      </c>
    </row>
    <row r="138">
      <c r="A138" s="4" t="inlineStr">
        <is>
          <t>电费</t>
        </is>
      </c>
      <c r="D138" s="7" t="n">
        <v>1588.2</v>
      </c>
      <c r="F138" s="7" t="n">
        <v>2078.9</v>
      </c>
      <c r="H138" s="7" t="n">
        <v>3132.6</v>
      </c>
      <c r="J138" s="7" t="n">
        <v>1488.1</v>
      </c>
      <c r="L138" s="7" t="n">
        <v>2341.8</v>
      </c>
      <c r="N138" s="7" t="n">
        <v>4978.7</v>
      </c>
      <c r="P138" s="7" t="n">
        <v>3896.1</v>
      </c>
      <c r="R138" s="7" t="n">
        <v>2345.7</v>
      </c>
      <c r="T138" s="7" t="n">
        <v>1905.9</v>
      </c>
      <c r="V138" s="7" t="n">
        <v>1970.5</v>
      </c>
      <c r="X138" s="7" t="n">
        <v>2310.6</v>
      </c>
      <c r="Z138" s="7" t="n">
        <v>1179.3</v>
      </c>
      <c r="AB138" s="7" t="n">
        <v>29216.4</v>
      </c>
    </row>
    <row r="139">
      <c r="A139" s="4" t="inlineStr">
        <is>
          <t>燃气费</t>
        </is>
      </c>
      <c r="D139" s="7" t="n">
        <v>857.7</v>
      </c>
      <c r="F139" s="7" t="n">
        <v>457.2</v>
      </c>
      <c r="H139" s="7" t="n">
        <v>1256.3</v>
      </c>
      <c r="J139" s="7" t="n">
        <v>918.1</v>
      </c>
      <c r="L139" s="7" t="n">
        <v>845.5</v>
      </c>
      <c r="N139" s="7" t="n">
        <v>1597.7</v>
      </c>
      <c r="P139" s="7" t="n">
        <v>1554.2</v>
      </c>
      <c r="R139" s="7" t="n">
        <v>628.9</v>
      </c>
      <c r="T139" s="7" t="n">
        <v>459.4</v>
      </c>
      <c r="V139" s="7" t="n">
        <v>567</v>
      </c>
      <c r="X139" s="7" t="n">
        <v>1455.8</v>
      </c>
      <c r="Z139" s="7" t="n">
        <v>675</v>
      </c>
      <c r="AB139" s="7" t="n">
        <v>11272.8</v>
      </c>
    </row>
    <row r="140">
      <c r="A140" s="4" t="inlineStr">
        <is>
          <t>蒸汽费</t>
        </is>
      </c>
      <c r="D140" s="7" t="n">
        <v>1123.3</v>
      </c>
      <c r="F140" s="7" t="n">
        <v>964.1</v>
      </c>
      <c r="H140" s="7" t="n">
        <v>1235.8</v>
      </c>
      <c r="J140" s="7" t="n">
        <v>941.8</v>
      </c>
      <c r="L140" s="7" t="n">
        <v>1319.7</v>
      </c>
      <c r="N140" s="7" t="n">
        <v>1617.2</v>
      </c>
      <c r="P140" s="7" t="n">
        <v>1517.7</v>
      </c>
      <c r="R140" s="7" t="n">
        <v>941.7</v>
      </c>
      <c r="T140" s="7" t="n">
        <v>1051</v>
      </c>
      <c r="V140" s="7" t="n">
        <v>605.7</v>
      </c>
      <c r="X140" s="7" t="n">
        <v>1623.3</v>
      </c>
      <c r="Z140" s="7" t="n">
        <v>729.8</v>
      </c>
      <c r="AB140" s="7" t="n">
        <v>13671.1</v>
      </c>
    </row>
    <row r="141">
      <c r="A141" s="4" t="inlineStr">
        <is>
          <t>物业费</t>
        </is>
      </c>
      <c r="D141" s="7" t="n">
        <v>1502.8</v>
      </c>
      <c r="F141" s="7" t="n">
        <v>1005.6</v>
      </c>
      <c r="H141" s="7" t="n">
        <v>1534.1</v>
      </c>
      <c r="J141" s="7" t="n">
        <v>1264.8</v>
      </c>
      <c r="L141" s="7" t="n">
        <v>1095.5</v>
      </c>
      <c r="N141" s="7" t="n">
        <v>2302.8</v>
      </c>
      <c r="P141" s="7" t="n">
        <v>2460.4</v>
      </c>
      <c r="R141" s="7" t="n">
        <v>1570.6</v>
      </c>
      <c r="T141" s="7" t="n">
        <v>773.9</v>
      </c>
      <c r="V141" s="7" t="n">
        <v>720.1</v>
      </c>
      <c r="X141" s="7" t="n">
        <v>1510.2</v>
      </c>
      <c r="Z141" s="7" t="n">
        <v>1022</v>
      </c>
      <c r="AB141" s="7" t="n">
        <v>16762.8</v>
      </c>
    </row>
    <row r="142">
      <c r="A142" s="4" t="inlineStr">
        <is>
          <t>劳动保护费</t>
        </is>
      </c>
      <c r="D142" s="7" t="n">
        <v>235.3</v>
      </c>
      <c r="F142" s="7" t="n">
        <v>193.2</v>
      </c>
      <c r="H142" s="7" t="n">
        <v>354.9</v>
      </c>
      <c r="J142" s="7" t="n">
        <v>338.5</v>
      </c>
      <c r="L142" s="7" t="n">
        <v>310.7</v>
      </c>
      <c r="N142" s="7" t="n">
        <v>478.5</v>
      </c>
      <c r="P142" s="7" t="n">
        <v>574</v>
      </c>
      <c r="R142" s="7" t="n">
        <v>393.3</v>
      </c>
      <c r="T142" s="7" t="n">
        <v>234.4</v>
      </c>
      <c r="V142" s="7" t="n">
        <v>272.2</v>
      </c>
      <c r="X142" s="7" t="n">
        <v>328.6</v>
      </c>
      <c r="Z142" s="7" t="n">
        <v>151</v>
      </c>
      <c r="AB142" s="7" t="n">
        <v>3864.6</v>
      </c>
    </row>
    <row r="143">
      <c r="A143" s="4" t="inlineStr">
        <is>
          <t>顾问费</t>
        </is>
      </c>
      <c r="D143" s="7" t="n">
        <v>1680.9</v>
      </c>
      <c r="F143" s="7" t="n">
        <v>1520.5</v>
      </c>
      <c r="H143" s="7" t="n">
        <v>2477.5</v>
      </c>
      <c r="J143" s="7" t="n">
        <v>1674.7</v>
      </c>
      <c r="L143" s="7" t="n">
        <v>1663.5</v>
      </c>
      <c r="N143" s="7" t="n">
        <v>3380</v>
      </c>
      <c r="P143" s="7" t="n">
        <v>3486.7</v>
      </c>
      <c r="R143" s="7" t="n">
        <v>1311.5</v>
      </c>
      <c r="T143" s="7" t="n">
        <v>1353</v>
      </c>
      <c r="V143" s="7" t="n">
        <v>1556.4</v>
      </c>
      <c r="X143" s="7" t="n">
        <v>1594.9</v>
      </c>
      <c r="Z143" s="7" t="n">
        <v>1120.5</v>
      </c>
      <c r="AB143" s="7" t="n">
        <v>22820.1</v>
      </c>
    </row>
    <row r="144">
      <c r="A144" s="4" t="inlineStr">
        <is>
          <t>快递费</t>
        </is>
      </c>
      <c r="D144" s="7" t="n">
        <v>804.4</v>
      </c>
      <c r="F144" s="7" t="n">
        <v>556.9</v>
      </c>
      <c r="H144" s="7" t="n">
        <v>1279.6</v>
      </c>
      <c r="J144" s="7" t="n">
        <v>568.9</v>
      </c>
      <c r="L144" s="7" t="n">
        <v>742.2</v>
      </c>
      <c r="N144" s="7" t="n">
        <v>1255.2</v>
      </c>
      <c r="P144" s="7" t="n">
        <v>1262.3</v>
      </c>
      <c r="R144" s="7" t="n">
        <v>1062.5</v>
      </c>
      <c r="T144" s="7" t="n">
        <v>683.4</v>
      </c>
      <c r="V144" s="7" t="n">
        <v>774.5</v>
      </c>
      <c r="X144" s="7" t="n">
        <v>1134</v>
      </c>
      <c r="Z144" s="7" t="n">
        <v>559.9</v>
      </c>
      <c r="AB144" s="7" t="n">
        <v>10683.8</v>
      </c>
    </row>
    <row r="145">
      <c r="A145" s="4" t="inlineStr">
        <is>
          <t>诉讼费</t>
        </is>
      </c>
      <c r="D145" s="7" t="n">
        <v>1383.8</v>
      </c>
      <c r="F145" s="7" t="n">
        <v>699.2</v>
      </c>
      <c r="H145" s="7" t="n">
        <v>1480.8</v>
      </c>
      <c r="J145" s="7" t="n">
        <v>823.3</v>
      </c>
      <c r="L145" s="7" t="n">
        <v>1647.8</v>
      </c>
      <c r="N145" s="7" t="n">
        <v>2793</v>
      </c>
      <c r="P145" s="7" t="n">
        <v>2265.7</v>
      </c>
      <c r="R145" s="7" t="n">
        <v>1124.5</v>
      </c>
      <c r="T145" s="7" t="n">
        <v>867.4</v>
      </c>
      <c r="V145" s="7" t="n">
        <v>1136.1</v>
      </c>
      <c r="X145" s="7" t="n">
        <v>2036</v>
      </c>
      <c r="Z145" s="7" t="n">
        <v>859.2</v>
      </c>
      <c r="AB145" s="7" t="n">
        <v>17116.8</v>
      </c>
    </row>
    <row r="146">
      <c r="A146" s="4" t="inlineStr">
        <is>
          <t>会员费</t>
        </is>
      </c>
      <c r="D146" s="7" t="n">
        <v>1504.3</v>
      </c>
      <c r="F146" s="7" t="n">
        <v>1419.6</v>
      </c>
      <c r="H146" s="7" t="n">
        <v>1507.3</v>
      </c>
      <c r="J146" s="7" t="n">
        <v>1818</v>
      </c>
      <c r="L146" s="7" t="n">
        <v>1597.2</v>
      </c>
      <c r="N146" s="7" t="n">
        <v>3746.5</v>
      </c>
      <c r="P146" s="7" t="n">
        <v>2496.3</v>
      </c>
      <c r="R146" s="7" t="n">
        <v>1468.4</v>
      </c>
      <c r="T146" s="7" t="n">
        <v>1015.4</v>
      </c>
      <c r="V146" s="7" t="n">
        <v>1029.1</v>
      </c>
      <c r="X146" s="7" t="n">
        <v>1708.2</v>
      </c>
      <c r="Z146" s="7" t="n">
        <v>1253.3</v>
      </c>
      <c r="AB146" s="7" t="n">
        <v>20563.6</v>
      </c>
    </row>
    <row r="147">
      <c r="A147" s="4" t="inlineStr">
        <is>
          <t>广告宣传费</t>
        </is>
      </c>
      <c r="D147" s="7" t="n">
        <v>11653</v>
      </c>
      <c r="F147" s="7" t="n">
        <v>5640.3</v>
      </c>
      <c r="H147" s="7" t="n">
        <v>14666</v>
      </c>
      <c r="J147" s="7" t="n">
        <v>10577.8</v>
      </c>
      <c r="L147" s="7" t="n">
        <v>8330.700000000001</v>
      </c>
      <c r="N147" s="7" t="n">
        <v>14138.2</v>
      </c>
      <c r="P147" s="7" t="n">
        <v>22391</v>
      </c>
      <c r="R147" s="7" t="n">
        <v>10609.7</v>
      </c>
      <c r="T147" s="7" t="n">
        <v>5772.4</v>
      </c>
      <c r="V147" s="7" t="n">
        <v>6111.9</v>
      </c>
      <c r="X147" s="7" t="n">
        <v>11668.2</v>
      </c>
      <c r="Z147" s="7" t="n">
        <v>4984.1</v>
      </c>
      <c r="AB147" s="7" t="n">
        <v>126543.3</v>
      </c>
    </row>
    <row r="148">
      <c r="A148" s="4" t="inlineStr">
        <is>
          <t>会务费</t>
        </is>
      </c>
      <c r="D148" s="7" t="n">
        <v>1674.7</v>
      </c>
      <c r="F148" s="7" t="n">
        <v>1289.1</v>
      </c>
      <c r="H148" s="7" t="n">
        <v>2300.4</v>
      </c>
      <c r="J148" s="7" t="n">
        <v>1100.7</v>
      </c>
      <c r="L148" s="7" t="n">
        <v>2078.9</v>
      </c>
      <c r="N148" s="7" t="n">
        <v>2187.6</v>
      </c>
      <c r="P148" s="7" t="n">
        <v>2531.2</v>
      </c>
      <c r="R148" s="7" t="n">
        <v>1158.7</v>
      </c>
      <c r="T148" s="7" t="n">
        <v>1382.8</v>
      </c>
      <c r="V148" s="7" t="n">
        <v>1462.7</v>
      </c>
      <c r="X148" s="7" t="n">
        <v>2537.1</v>
      </c>
      <c r="Z148" s="7" t="n">
        <v>893.4</v>
      </c>
      <c r="AB148" s="7" t="n">
        <v>20597.3</v>
      </c>
    </row>
    <row r="149">
      <c r="A149" s="4" t="inlineStr">
        <is>
          <t>装修费</t>
        </is>
      </c>
      <c r="D149" s="7" t="n">
        <v>349.5</v>
      </c>
      <c r="F149" s="7" t="n">
        <v>301.5</v>
      </c>
      <c r="H149" s="7" t="n">
        <v>373.4</v>
      </c>
      <c r="J149" s="7" t="n">
        <v>335.1</v>
      </c>
      <c r="L149" s="7" t="n">
        <v>306</v>
      </c>
      <c r="N149" s="7" t="n">
        <v>679.3</v>
      </c>
      <c r="P149" s="7" t="n">
        <v>473.4</v>
      </c>
      <c r="R149" s="7" t="n">
        <v>306.6</v>
      </c>
      <c r="T149" s="7" t="n">
        <v>224.4</v>
      </c>
      <c r="V149" s="7" t="n">
        <v>241.7</v>
      </c>
      <c r="X149" s="7" t="n">
        <v>596.6</v>
      </c>
      <c r="Z149" s="7" t="n">
        <v>241.7</v>
      </c>
      <c r="AB149" s="7" t="n">
        <v>4429.2</v>
      </c>
    </row>
    <row r="150">
      <c r="A150" s="4" t="inlineStr">
        <is>
          <t>推广费</t>
        </is>
      </c>
      <c r="D150" s="7" t="n">
        <v>1608.6</v>
      </c>
      <c r="F150" s="7" t="n">
        <v>1331.7</v>
      </c>
      <c r="H150" s="7" t="n">
        <v>2686.1</v>
      </c>
      <c r="J150" s="7" t="n">
        <v>2193</v>
      </c>
      <c r="L150" s="7" t="n">
        <v>2247.8</v>
      </c>
      <c r="N150" s="7" t="n">
        <v>4145.5</v>
      </c>
      <c r="P150" s="7" t="n">
        <v>3905.7</v>
      </c>
      <c r="R150" s="7" t="n">
        <v>2854.8</v>
      </c>
      <c r="T150" s="7" t="n">
        <v>1350.2</v>
      </c>
      <c r="V150" s="7" t="n">
        <v>1539.3</v>
      </c>
      <c r="X150" s="7" t="n">
        <v>2704.5</v>
      </c>
      <c r="Z150" s="7" t="n">
        <v>1188</v>
      </c>
      <c r="AB150" s="7" t="n">
        <v>27755.2</v>
      </c>
    </row>
    <row r="151">
      <c r="A151" s="4" t="inlineStr">
        <is>
          <t>展会费</t>
        </is>
      </c>
      <c r="D151" s="7" t="n">
        <v>380.2</v>
      </c>
      <c r="F151" s="7" t="n">
        <v>485</v>
      </c>
      <c r="H151" s="7" t="n">
        <v>484.8</v>
      </c>
      <c r="J151" s="7" t="n">
        <v>349.2</v>
      </c>
      <c r="L151" s="7" t="n">
        <v>446.4</v>
      </c>
      <c r="N151" s="7" t="n">
        <v>1064.3</v>
      </c>
      <c r="P151" s="7" t="n">
        <v>1063.5</v>
      </c>
      <c r="R151" s="7" t="n">
        <v>541.4</v>
      </c>
      <c r="T151" s="7" t="n">
        <v>282.7</v>
      </c>
      <c r="V151" s="7" t="n">
        <v>353.5</v>
      </c>
      <c r="X151" s="7" t="n">
        <v>524.2</v>
      </c>
      <c r="Z151" s="7" t="n">
        <v>291.6</v>
      </c>
      <c r="AB151" s="7" t="n">
        <v>6266.8</v>
      </c>
    </row>
    <row r="152">
      <c r="A152" s="4" t="inlineStr">
        <is>
          <t>设计费</t>
        </is>
      </c>
      <c r="D152" s="7" t="n">
        <v>1159.2</v>
      </c>
      <c r="F152" s="7" t="n">
        <v>1274.6</v>
      </c>
      <c r="H152" s="7" t="n">
        <v>1596.8</v>
      </c>
      <c r="J152" s="7" t="n">
        <v>1241.4</v>
      </c>
      <c r="L152" s="7" t="n">
        <v>1317.6</v>
      </c>
      <c r="N152" s="7" t="n">
        <v>2943.7</v>
      </c>
      <c r="P152" s="7" t="n">
        <v>2032.4</v>
      </c>
      <c r="R152" s="7" t="n">
        <v>1024.5</v>
      </c>
      <c r="T152" s="7" t="n">
        <v>1240.6</v>
      </c>
      <c r="V152" s="7" t="n">
        <v>1024.7</v>
      </c>
      <c r="X152" s="7" t="n">
        <v>1990.9</v>
      </c>
      <c r="Z152" s="7" t="n">
        <v>714.1</v>
      </c>
      <c r="AB152" s="7" t="n">
        <v>17560.5</v>
      </c>
    </row>
    <row r="153">
      <c r="A153" s="4" t="inlineStr">
        <is>
          <t>折旧费</t>
        </is>
      </c>
      <c r="D153" s="7" t="n">
        <v>17247.4</v>
      </c>
      <c r="F153" s="7" t="n">
        <v>10021.9</v>
      </c>
      <c r="H153" s="7" t="n">
        <v>12810.8</v>
      </c>
      <c r="J153" s="7" t="n">
        <v>11763.3</v>
      </c>
      <c r="L153" s="7" t="n">
        <v>16766.6</v>
      </c>
      <c r="N153" s="7" t="n">
        <v>18513.5</v>
      </c>
      <c r="P153" s="7" t="n">
        <v>19957.2</v>
      </c>
      <c r="R153" s="7" t="n">
        <v>13196</v>
      </c>
      <c r="T153" s="7" t="n">
        <v>11032</v>
      </c>
      <c r="V153" s="7" t="n">
        <v>8040.1</v>
      </c>
      <c r="X153" s="7" t="n">
        <v>22924.9</v>
      </c>
      <c r="Z153" s="7" t="n">
        <v>11559</v>
      </c>
      <c r="AB153" s="7" t="n">
        <v>173832.7</v>
      </c>
    </row>
    <row r="154">
      <c r="A154" s="4" t="inlineStr">
        <is>
          <t>认证费</t>
        </is>
      </c>
      <c r="D154" s="7" t="n">
        <v>181</v>
      </c>
      <c r="F154" s="7" t="n">
        <v>96.5</v>
      </c>
      <c r="H154" s="7" t="n">
        <v>188.2</v>
      </c>
      <c r="J154" s="7" t="n">
        <v>167.8</v>
      </c>
      <c r="L154" s="7" t="n">
        <v>125.7</v>
      </c>
      <c r="N154" s="7" t="n">
        <v>314.6</v>
      </c>
      <c r="P154" s="7" t="n">
        <v>305.7</v>
      </c>
      <c r="R154" s="7" t="n">
        <v>129.1</v>
      </c>
      <c r="T154" s="7" t="n">
        <v>125.2</v>
      </c>
      <c r="V154" s="7" t="n">
        <v>117.6</v>
      </c>
      <c r="X154" s="7" t="n">
        <v>167.4</v>
      </c>
      <c r="Z154" s="7" t="n">
        <v>111.9</v>
      </c>
      <c r="AB154" s="7" t="n">
        <v>2030.7</v>
      </c>
    </row>
    <row r="155">
      <c r="A155" s="4" t="inlineStr">
        <is>
          <t>样品费</t>
        </is>
      </c>
      <c r="D155" s="7" t="n">
        <v>7210.3</v>
      </c>
      <c r="F155" s="7" t="n">
        <v>4734.7</v>
      </c>
      <c r="H155" s="7" t="n">
        <v>8272.1</v>
      </c>
      <c r="J155" s="7" t="n">
        <v>6486.8</v>
      </c>
      <c r="L155" s="7" t="n">
        <v>7216.2</v>
      </c>
      <c r="N155" s="7" t="n">
        <v>12211.4</v>
      </c>
      <c r="P155" s="7" t="n">
        <v>11010.9</v>
      </c>
      <c r="R155" s="7" t="n">
        <v>8144.6</v>
      </c>
      <c r="T155" s="7" t="n">
        <v>4001.4</v>
      </c>
      <c r="V155" s="7" t="n">
        <v>4492.2</v>
      </c>
      <c r="X155" s="7" t="n">
        <v>9117.200000000001</v>
      </c>
      <c r="Z155" s="7" t="n">
        <v>4837.7</v>
      </c>
      <c r="AB155" s="7" t="n">
        <v>87735.5</v>
      </c>
    </row>
    <row r="156">
      <c r="A156" s="4" t="inlineStr">
        <is>
          <t>劳务费</t>
        </is>
      </c>
      <c r="D156" s="7" t="n">
        <v>222.6</v>
      </c>
      <c r="F156" s="7" t="n">
        <v>162.6</v>
      </c>
      <c r="H156" s="7" t="n">
        <v>274.5</v>
      </c>
      <c r="J156" s="7" t="n">
        <v>298.4</v>
      </c>
      <c r="L156" s="7" t="n">
        <v>433.5</v>
      </c>
      <c r="N156" s="7" t="n">
        <v>505.7</v>
      </c>
      <c r="P156" s="7" t="n">
        <v>620.5</v>
      </c>
      <c r="R156" s="7" t="n">
        <v>245.1</v>
      </c>
      <c r="T156" s="7" t="n">
        <v>247.8</v>
      </c>
      <c r="V156" s="7" t="n">
        <v>176.7</v>
      </c>
      <c r="X156" s="7" t="n">
        <v>300.6</v>
      </c>
      <c r="Z156" s="7" t="n">
        <v>228.2</v>
      </c>
      <c r="AB156" s="7" t="n">
        <v>3716.2</v>
      </c>
    </row>
    <row r="157">
      <c r="A157" s="4" t="inlineStr">
        <is>
          <t>销售佣金</t>
        </is>
      </c>
      <c r="D157" s="7" t="n">
        <v>1963.8</v>
      </c>
      <c r="F157" s="7" t="n">
        <v>1040.8</v>
      </c>
      <c r="H157" s="7" t="n">
        <v>2317.9</v>
      </c>
      <c r="J157" s="7" t="n">
        <v>1528.3</v>
      </c>
      <c r="L157" s="7" t="n">
        <v>1651</v>
      </c>
      <c r="N157" s="7" t="n">
        <v>2810.9</v>
      </c>
      <c r="P157" s="7" t="n">
        <v>3884.4</v>
      </c>
      <c r="R157" s="7" t="n">
        <v>1815.2</v>
      </c>
      <c r="T157" s="7" t="n">
        <v>1674.2</v>
      </c>
      <c r="V157" s="7" t="n">
        <v>955.8</v>
      </c>
      <c r="X157" s="7" t="n">
        <v>2202.3</v>
      </c>
      <c r="Z157" s="7" t="n">
        <v>1411.8</v>
      </c>
      <c r="AB157" s="7" t="n">
        <v>23256.4</v>
      </c>
    </row>
    <row r="158">
      <c r="A158" s="4" t="inlineStr">
        <is>
          <t>检测费</t>
        </is>
      </c>
      <c r="D158" s="7" t="n">
        <v>742</v>
      </c>
      <c r="F158" s="7" t="n">
        <v>586.5</v>
      </c>
      <c r="H158" s="7" t="n">
        <v>1030.2</v>
      </c>
      <c r="J158" s="7" t="n">
        <v>553</v>
      </c>
      <c r="L158" s="7" t="n">
        <v>995.6</v>
      </c>
      <c r="N158" s="7" t="n">
        <v>1885.6</v>
      </c>
      <c r="P158" s="7" t="n">
        <v>1408.1</v>
      </c>
      <c r="R158" s="7" t="n">
        <v>991.6</v>
      </c>
      <c r="T158" s="7" t="n">
        <v>654.7</v>
      </c>
      <c r="V158" s="7" t="n">
        <v>518.7</v>
      </c>
      <c r="X158" s="7" t="n">
        <v>1297.3</v>
      </c>
      <c r="Z158" s="7" t="n">
        <v>560.7</v>
      </c>
      <c r="AB158" s="7" t="n">
        <v>11224</v>
      </c>
    </row>
    <row r="159">
      <c r="A159" s="4" t="inlineStr">
        <is>
          <t>质量赔偿</t>
        </is>
      </c>
      <c r="D159" s="7" t="n">
        <v>263</v>
      </c>
      <c r="F159" s="7" t="n">
        <v>198</v>
      </c>
      <c r="H159" s="7" t="n">
        <v>334.5</v>
      </c>
      <c r="J159" s="7" t="n">
        <v>228.6</v>
      </c>
      <c r="L159" s="7" t="n">
        <v>270.6</v>
      </c>
      <c r="N159" s="7" t="n">
        <v>536</v>
      </c>
      <c r="P159" s="7" t="n">
        <v>457.1</v>
      </c>
      <c r="R159" s="7" t="n">
        <v>235.2</v>
      </c>
      <c r="T159" s="7" t="n">
        <v>187</v>
      </c>
      <c r="V159" s="7" t="n">
        <v>243</v>
      </c>
      <c r="X159" s="7" t="n">
        <v>350.5</v>
      </c>
      <c r="Z159" s="7" t="n">
        <v>146.9</v>
      </c>
      <c r="AB159" s="7" t="n">
        <v>3450.4</v>
      </c>
    </row>
    <row r="160">
      <c r="A160" s="4" t="inlineStr">
        <is>
          <t>保险费</t>
        </is>
      </c>
      <c r="D160" s="7" t="n">
        <v>1898.7</v>
      </c>
      <c r="F160" s="7" t="n">
        <v>1157.4</v>
      </c>
      <c r="H160" s="7" t="n">
        <v>1956.5</v>
      </c>
      <c r="J160" s="7" t="n">
        <v>2354.2</v>
      </c>
      <c r="L160" s="7" t="n">
        <v>2231.6</v>
      </c>
      <c r="N160" s="7" t="n">
        <v>4525.4</v>
      </c>
      <c r="P160" s="7" t="n">
        <v>2914.6</v>
      </c>
      <c r="R160" s="7" t="n">
        <v>2777.5</v>
      </c>
      <c r="T160" s="7" t="n">
        <v>1517.5</v>
      </c>
      <c r="V160" s="7" t="n">
        <v>1284.3</v>
      </c>
      <c r="X160" s="7" t="n">
        <v>2655.6</v>
      </c>
      <c r="Z160" s="7" t="n">
        <v>1316.7</v>
      </c>
      <c r="AB160" s="7" t="n">
        <v>26590</v>
      </c>
    </row>
    <row r="161">
      <c r="A161" s="4" t="inlineStr">
        <is>
          <t>清洁费</t>
        </is>
      </c>
      <c r="D161" s="7" t="n">
        <v>838.4</v>
      </c>
      <c r="F161" s="7" t="n">
        <v>492.2</v>
      </c>
      <c r="H161" s="7" t="n">
        <v>1052.6</v>
      </c>
      <c r="J161" s="7" t="n">
        <v>742.6</v>
      </c>
      <c r="L161" s="7" t="n">
        <v>1098.7</v>
      </c>
      <c r="N161" s="7" t="n">
        <v>1049.5</v>
      </c>
      <c r="P161" s="7" t="n">
        <v>1291</v>
      </c>
      <c r="R161" s="7" t="n">
        <v>729.3</v>
      </c>
      <c r="T161" s="7" t="n">
        <v>428.9</v>
      </c>
      <c r="V161" s="7" t="n">
        <v>544.9</v>
      </c>
      <c r="X161" s="7" t="n">
        <v>1027.1</v>
      </c>
      <c r="Z161" s="7" t="n">
        <v>630.1</v>
      </c>
      <c r="AB161" s="7" t="n">
        <v>9925.299999999999</v>
      </c>
    </row>
    <row r="162">
      <c r="A162" s="4" t="inlineStr">
        <is>
          <t>低值易耗品</t>
        </is>
      </c>
      <c r="D162" s="7" t="n">
        <v>1533.9</v>
      </c>
      <c r="F162" s="7" t="n">
        <v>806.6</v>
      </c>
      <c r="H162" s="7" t="n">
        <v>1747.1</v>
      </c>
      <c r="J162" s="7" t="n">
        <v>1197.8</v>
      </c>
      <c r="L162" s="7" t="n">
        <v>1841.3</v>
      </c>
      <c r="N162" s="7" t="n">
        <v>2127.2</v>
      </c>
      <c r="P162" s="7" t="n">
        <v>2208.8</v>
      </c>
      <c r="R162" s="7" t="n">
        <v>1363.6</v>
      </c>
      <c r="T162" s="7" t="n">
        <v>1154.6</v>
      </c>
      <c r="V162" s="7" t="n">
        <v>747.7</v>
      </c>
      <c r="X162" s="7" t="n">
        <v>1879.5</v>
      </c>
      <c r="Z162" s="7" t="n">
        <v>754.2</v>
      </c>
      <c r="AB162" s="7" t="n">
        <v>17362.3</v>
      </c>
    </row>
    <row r="163">
      <c r="A163" s="4" t="inlineStr">
        <is>
          <t>物料消耗</t>
        </is>
      </c>
      <c r="D163" s="7" t="n">
        <v>1268</v>
      </c>
      <c r="F163" s="7" t="n">
        <v>750.3</v>
      </c>
      <c r="H163" s="7" t="n">
        <v>1479</v>
      </c>
      <c r="J163" s="7" t="n">
        <v>924.4</v>
      </c>
      <c r="L163" s="7" t="n">
        <v>1213.4</v>
      </c>
      <c r="N163" s="7" t="n">
        <v>2028.1</v>
      </c>
      <c r="P163" s="7" t="n">
        <v>2528.8</v>
      </c>
      <c r="R163" s="7" t="n">
        <v>1355.9</v>
      </c>
      <c r="T163" s="7" t="n">
        <v>1038.5</v>
      </c>
      <c r="V163" s="7" t="n">
        <v>889.5</v>
      </c>
      <c r="X163" s="7" t="n">
        <v>1313.3</v>
      </c>
      <c r="Z163" s="7" t="n">
        <v>539.4</v>
      </c>
      <c r="AB163" s="7" t="n">
        <v>15328.6</v>
      </c>
    </row>
    <row r="164">
      <c r="A164" s="4" t="inlineStr">
        <is>
          <t>盘盈盘亏</t>
        </is>
      </c>
      <c r="D164" s="7" t="n">
        <v>2040.6</v>
      </c>
      <c r="F164" s="7" t="n">
        <v>1374.4</v>
      </c>
      <c r="H164" s="7" t="n">
        <v>3141.3</v>
      </c>
      <c r="J164" s="7" t="n">
        <v>1506.8</v>
      </c>
      <c r="L164" s="7" t="n">
        <v>3016.7</v>
      </c>
      <c r="N164" s="7" t="n">
        <v>3047</v>
      </c>
      <c r="P164" s="7" t="n">
        <v>3740.7</v>
      </c>
      <c r="R164" s="7" t="n">
        <v>1696.7</v>
      </c>
      <c r="T164" s="7" t="n">
        <v>2017.7</v>
      </c>
      <c r="V164" s="7" t="n">
        <v>1699.8</v>
      </c>
      <c r="X164" s="7" t="n">
        <v>2463.4</v>
      </c>
      <c r="Z164" s="7" t="n">
        <v>1727.4</v>
      </c>
      <c r="AB164" s="7" t="n">
        <v>27472.5</v>
      </c>
    </row>
    <row r="165">
      <c r="A165" s="4" t="inlineStr">
        <is>
          <t>平台服务费</t>
        </is>
      </c>
      <c r="D165" s="7" t="n">
        <v>1249.3</v>
      </c>
      <c r="F165" s="7" t="n">
        <v>1272.1</v>
      </c>
      <c r="H165" s="7" t="n">
        <v>1720.9</v>
      </c>
      <c r="J165" s="7" t="n">
        <v>1336.2</v>
      </c>
      <c r="L165" s="7" t="n">
        <v>1341</v>
      </c>
      <c r="N165" s="7" t="n">
        <v>2478.7</v>
      </c>
      <c r="P165" s="7" t="n">
        <v>2915.2</v>
      </c>
      <c r="R165" s="7" t="n">
        <v>1456.8</v>
      </c>
      <c r="T165" s="7" t="n">
        <v>1294.3</v>
      </c>
      <c r="V165" s="7" t="n">
        <v>912.2</v>
      </c>
      <c r="X165" s="7" t="n">
        <v>1387.3</v>
      </c>
      <c r="Z165" s="7" t="n">
        <v>1076.6</v>
      </c>
      <c r="AB165" s="7" t="n">
        <v>18440.6</v>
      </c>
    </row>
    <row r="166">
      <c r="A166" s="4" t="inlineStr">
        <is>
          <t>无形资产摊销</t>
        </is>
      </c>
      <c r="D166" s="7" t="n">
        <v>1964</v>
      </c>
      <c r="F166" s="7" t="n">
        <v>1179.2</v>
      </c>
      <c r="H166" s="7" t="n">
        <v>3032.6</v>
      </c>
      <c r="J166" s="7" t="n">
        <v>1979</v>
      </c>
      <c r="L166" s="7" t="n">
        <v>2122.8</v>
      </c>
      <c r="N166" s="7" t="n">
        <v>4400.9</v>
      </c>
      <c r="P166" s="7" t="n">
        <v>3661.4</v>
      </c>
      <c r="R166" s="7" t="n">
        <v>2120.9</v>
      </c>
      <c r="T166" s="7" t="n">
        <v>1718.8</v>
      </c>
      <c r="V166" s="7" t="n">
        <v>1434.7</v>
      </c>
      <c r="X166" s="7" t="n">
        <v>2685.5</v>
      </c>
      <c r="Z166" s="7" t="n">
        <v>1367.1</v>
      </c>
      <c r="AB166" s="7" t="n">
        <v>27666.9</v>
      </c>
    </row>
    <row r="167">
      <c r="A167" s="4" t="inlineStr">
        <is>
          <t>研发材料</t>
        </is>
      </c>
      <c r="D167" s="7" t="n">
        <v>1044</v>
      </c>
      <c r="F167" s="7" t="n">
        <v>680.1</v>
      </c>
      <c r="H167" s="7" t="n">
        <v>1135.9</v>
      </c>
      <c r="J167" s="7" t="n">
        <v>1162.3</v>
      </c>
      <c r="L167" s="7" t="n">
        <v>1153.7</v>
      </c>
      <c r="N167" s="7" t="n">
        <v>2028.8</v>
      </c>
      <c r="P167" s="7" t="n">
        <v>1937.3</v>
      </c>
      <c r="R167" s="7" t="n">
        <v>1439.5</v>
      </c>
      <c r="T167" s="7" t="n">
        <v>661.7</v>
      </c>
      <c r="V167" s="7" t="n">
        <v>743.6</v>
      </c>
      <c r="X167" s="7" t="n">
        <v>1481.6</v>
      </c>
      <c r="Z167" s="7" t="n">
        <v>918.5</v>
      </c>
      <c r="AB167" s="7" t="n">
        <v>14387</v>
      </c>
    </row>
    <row r="168">
      <c r="A168" s="4" t="inlineStr">
        <is>
          <t>项目名称</t>
        </is>
      </c>
      <c r="D168" s="7" t="n">
        <v>1200.5</v>
      </c>
      <c r="F168" s="7" t="n">
        <v>1131.5</v>
      </c>
      <c r="H168" s="7" t="n">
        <v>1677.6</v>
      </c>
      <c r="J168" s="7" t="n">
        <v>993.9</v>
      </c>
      <c r="L168" s="7" t="n">
        <v>1321.7</v>
      </c>
      <c r="N168" s="7" t="n">
        <v>2212.3</v>
      </c>
      <c r="P168" s="7" t="n">
        <v>3217</v>
      </c>
      <c r="R168" s="7" t="n">
        <v>1454.2</v>
      </c>
      <c r="T168" s="7" t="n">
        <v>1148</v>
      </c>
      <c r="V168" s="7" t="n">
        <v>1076</v>
      </c>
      <c r="X168" s="7" t="n">
        <v>2104.9</v>
      </c>
      <c r="Z168" s="7" t="n">
        <v>687.1</v>
      </c>
      <c r="AB168" s="7" t="n">
        <v>18224.7</v>
      </c>
    </row>
    <row r="169">
      <c r="A169" s="4" t="inlineStr">
        <is>
          <t>研发费</t>
        </is>
      </c>
      <c r="D169" s="7" t="n">
        <v>271.1</v>
      </c>
      <c r="F169" s="7" t="n">
        <v>225</v>
      </c>
      <c r="H169" s="7" t="n">
        <v>518.4</v>
      </c>
      <c r="J169" s="7" t="n">
        <v>349.6</v>
      </c>
      <c r="L169" s="7" t="n">
        <v>322.2</v>
      </c>
      <c r="N169" s="7" t="n">
        <v>780.2</v>
      </c>
      <c r="P169" s="7" t="n">
        <v>847.9</v>
      </c>
      <c r="R169" s="7" t="n">
        <v>363.5</v>
      </c>
      <c r="T169" s="7" t="n">
        <v>194.6</v>
      </c>
      <c r="V169" s="7" t="n">
        <v>335.5</v>
      </c>
      <c r="X169" s="7" t="n">
        <v>358</v>
      </c>
      <c r="Z169" s="7" t="n">
        <v>249</v>
      </c>
      <c r="AB169" s="7" t="n">
        <v>4815</v>
      </c>
    </row>
    <row r="170">
      <c r="A170" s="4" t="inlineStr">
        <is>
          <t>残保金</t>
        </is>
      </c>
      <c r="D170" s="7" t="n">
        <v>2340.7</v>
      </c>
      <c r="F170" s="7" t="n">
        <v>1352</v>
      </c>
      <c r="H170" s="7" t="n">
        <v>2191</v>
      </c>
      <c r="J170" s="7" t="n">
        <v>1900.9</v>
      </c>
      <c r="L170" s="7" t="n">
        <v>1641.5</v>
      </c>
      <c r="N170" s="7" t="n">
        <v>4436.3</v>
      </c>
      <c r="P170" s="7" t="n">
        <v>4095.1</v>
      </c>
      <c r="R170" s="7" t="n">
        <v>1564.7</v>
      </c>
      <c r="T170" s="7" t="n">
        <v>1141.1</v>
      </c>
      <c r="V170" s="7" t="n">
        <v>1713.2</v>
      </c>
      <c r="X170" s="7" t="n">
        <v>3270.9</v>
      </c>
      <c r="Z170" s="7" t="n">
        <v>1293.9</v>
      </c>
      <c r="AB170" s="7" t="n">
        <v>26941.3</v>
      </c>
    </row>
    <row r="171">
      <c r="A171" s="4" t="inlineStr">
        <is>
          <t>环保费</t>
        </is>
      </c>
      <c r="D171" s="7" t="n">
        <v>2290.8</v>
      </c>
      <c r="F171" s="7" t="n">
        <v>1723.3</v>
      </c>
      <c r="H171" s="7" t="n">
        <v>1941.7</v>
      </c>
      <c r="J171" s="7" t="n">
        <v>2043.4</v>
      </c>
      <c r="L171" s="7" t="n">
        <v>1753.6</v>
      </c>
      <c r="N171" s="7" t="n">
        <v>2590.9</v>
      </c>
      <c r="P171" s="7" t="n">
        <v>4085.4</v>
      </c>
      <c r="R171" s="7" t="n">
        <v>1711.7</v>
      </c>
      <c r="T171" s="7" t="n">
        <v>1493.9</v>
      </c>
      <c r="V171" s="7" t="n">
        <v>1340.9</v>
      </c>
      <c r="X171" s="7" t="n">
        <v>2852</v>
      </c>
      <c r="Z171" s="7" t="n">
        <v>1027.4</v>
      </c>
      <c r="AB171" s="7" t="n">
        <v>24855</v>
      </c>
    </row>
    <row r="172">
      <c r="A172" s="4" t="inlineStr">
        <is>
          <t>报废损失</t>
        </is>
      </c>
      <c r="D172" s="7" t="n">
        <v>723.8</v>
      </c>
      <c r="F172" s="7" t="n">
        <v>562.2</v>
      </c>
      <c r="H172" s="7" t="n">
        <v>1491.9</v>
      </c>
      <c r="J172" s="7" t="n">
        <v>816.2</v>
      </c>
      <c r="L172" s="7" t="n">
        <v>904.9</v>
      </c>
      <c r="N172" s="7" t="n">
        <v>1800.7</v>
      </c>
      <c r="P172" s="7" t="n">
        <v>1749.9</v>
      </c>
      <c r="R172" s="7" t="n">
        <v>899.7</v>
      </c>
      <c r="T172" s="7" t="n">
        <v>920.6</v>
      </c>
      <c r="V172" s="7" t="n">
        <v>651.7</v>
      </c>
      <c r="X172" s="7" t="n">
        <v>1208.2</v>
      </c>
      <c r="Z172" s="7" t="n">
        <v>691</v>
      </c>
      <c r="AB172" s="7" t="n">
        <v>12420.8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213872</v>
      </c>
      <c r="D173" s="7" t="n">
        <v>168076.2</v>
      </c>
      <c r="E173" s="7" t="n">
        <v>219826.9</v>
      </c>
      <c r="F173" s="7" t="n">
        <v>147913.2</v>
      </c>
      <c r="G173" s="7" t="n">
        <v>186500.5</v>
      </c>
      <c r="H173" s="7" t="n">
        <v>210077.7</v>
      </c>
      <c r="I173" s="7" t="n">
        <v>205499.6</v>
      </c>
      <c r="J173" s="7" t="n">
        <v>145609.2</v>
      </c>
      <c r="K173" s="7" t="n">
        <v>190724.1</v>
      </c>
      <c r="L173" s="7" t="n">
        <v>234576.3</v>
      </c>
      <c r="M173" s="7" t="n">
        <v>230124.9</v>
      </c>
      <c r="N173" s="7" t="n">
        <v>284010</v>
      </c>
      <c r="O173" s="7" t="n">
        <v>193976.2</v>
      </c>
      <c r="P173" s="7" t="n">
        <v>98532.10000000001</v>
      </c>
      <c r="Q173" s="7" t="n">
        <v>221250</v>
      </c>
      <c r="R173" s="7" t="n">
        <v>296367.9</v>
      </c>
      <c r="S173" s="7" t="n">
        <v>179362</v>
      </c>
      <c r="T173" s="7" t="n">
        <v>193448.8</v>
      </c>
      <c r="U173" s="7" t="n">
        <v>224569.9</v>
      </c>
      <c r="V173" s="7" t="n">
        <v>276222.7</v>
      </c>
      <c r="W173" s="7" t="n">
        <v>224005.1</v>
      </c>
      <c r="X173" s="7" t="n">
        <v>198058.2</v>
      </c>
      <c r="Y173" s="7" t="n">
        <v>195530.9</v>
      </c>
      <c r="Z173" s="7" t="n">
        <v>174702.3</v>
      </c>
      <c r="AA173" s="8" t="n">
        <v>2485242.1</v>
      </c>
      <c r="AB173" s="8" t="n">
        <v>2427594.6</v>
      </c>
    </row>
    <row r="174">
      <c r="A174" s="4" t="inlineStr">
        <is>
          <t>职工薪酬</t>
        </is>
      </c>
      <c r="D174" s="7" t="n">
        <v>101284</v>
      </c>
      <c r="F174" s="7" t="n">
        <v>74202.8</v>
      </c>
      <c r="H174" s="7" t="n">
        <v>91449</v>
      </c>
      <c r="J174" s="7" t="n">
        <v>84884.39999999999</v>
      </c>
      <c r="L174" s="7" t="n">
        <v>134434.9</v>
      </c>
      <c r="N174" s="7" t="n">
        <v>170727.6</v>
      </c>
      <c r="P174" s="7" t="n">
        <v>50579.9</v>
      </c>
      <c r="R174" s="7" t="n">
        <v>151793.1</v>
      </c>
      <c r="T174" s="7" t="n">
        <v>112447.1</v>
      </c>
      <c r="V174" s="7" t="n">
        <v>151859.2</v>
      </c>
      <c r="X174" s="7" t="n">
        <v>121910.5</v>
      </c>
      <c r="Z174" s="7" t="n">
        <v>106305</v>
      </c>
      <c r="AB174" s="7" t="n">
        <v>1351877.5</v>
      </c>
    </row>
    <row r="175">
      <c r="A175" s="4" t="inlineStr">
        <is>
          <t>工资</t>
        </is>
      </c>
      <c r="D175" s="7" t="n">
        <v>58492.8</v>
      </c>
      <c r="F175" s="7" t="n">
        <v>41879</v>
      </c>
      <c r="H175" s="7" t="n">
        <v>45397.5</v>
      </c>
      <c r="J175" s="7" t="n">
        <v>53287.1</v>
      </c>
      <c r="L175" s="7" t="n">
        <v>84019.5</v>
      </c>
      <c r="N175" s="7" t="n">
        <v>107721.9</v>
      </c>
      <c r="P175" s="7" t="n">
        <v>29046.9</v>
      </c>
      <c r="R175" s="7" t="n">
        <v>84267.2</v>
      </c>
      <c r="T175" s="7" t="n">
        <v>69914.2</v>
      </c>
      <c r="V175" s="7" t="n">
        <v>93675.3</v>
      </c>
      <c r="X175" s="7" t="n">
        <v>72849.2</v>
      </c>
      <c r="Z175" s="7" t="n">
        <v>62481.1</v>
      </c>
      <c r="AB175" s="7" t="n">
        <v>803031.7</v>
      </c>
    </row>
    <row r="176">
      <c r="A176" s="4" t="inlineStr">
        <is>
          <t>奖金及提成</t>
        </is>
      </c>
      <c r="D176" s="7" t="n">
        <v>20079.1</v>
      </c>
      <c r="F176" s="7" t="n">
        <v>16552.8</v>
      </c>
      <c r="H176" s="7" t="n">
        <v>21087.6</v>
      </c>
      <c r="J176" s="7" t="n">
        <v>13266.7</v>
      </c>
      <c r="L176" s="7" t="n">
        <v>24894.9</v>
      </c>
      <c r="N176" s="7" t="n">
        <v>33742</v>
      </c>
      <c r="P176" s="7" t="n">
        <v>11259</v>
      </c>
      <c r="R176" s="7" t="n">
        <v>28805.7</v>
      </c>
      <c r="T176" s="7" t="n">
        <v>13858.9</v>
      </c>
      <c r="V176" s="7" t="n">
        <v>20199</v>
      </c>
      <c r="X176" s="7" t="n">
        <v>21488.4</v>
      </c>
      <c r="Z176" s="7" t="n">
        <v>18834.5</v>
      </c>
      <c r="AB176" s="7" t="n">
        <v>244068.6</v>
      </c>
    </row>
    <row r="177">
      <c r="A177" s="4" t="inlineStr">
        <is>
          <t>社保</t>
        </is>
      </c>
      <c r="D177" s="7" t="n">
        <v>15793.9</v>
      </c>
      <c r="F177" s="7" t="n">
        <v>9249.4</v>
      </c>
      <c r="H177" s="7" t="n">
        <v>15804.5</v>
      </c>
      <c r="J177" s="7" t="n">
        <v>12545.4</v>
      </c>
      <c r="L177" s="7" t="n">
        <v>16668.7</v>
      </c>
      <c r="N177" s="7" t="n">
        <v>17025.6</v>
      </c>
      <c r="P177" s="7" t="n">
        <v>6264.2</v>
      </c>
      <c r="R177" s="7" t="n">
        <v>23942.2</v>
      </c>
      <c r="T177" s="7" t="n">
        <v>19837</v>
      </c>
      <c r="V177" s="7" t="n">
        <v>26481.4</v>
      </c>
      <c r="X177" s="7" t="n">
        <v>18346.5</v>
      </c>
      <c r="Z177" s="7" t="n">
        <v>16885.7</v>
      </c>
      <c r="AB177" s="7" t="n">
        <v>198844.5</v>
      </c>
    </row>
    <row r="178">
      <c r="A178" s="4" t="inlineStr">
        <is>
          <t>养老</t>
        </is>
      </c>
      <c r="D178" s="7" t="n">
        <v>888.5</v>
      </c>
      <c r="F178" s="7" t="n">
        <v>593.1</v>
      </c>
      <c r="H178" s="7" t="n">
        <v>932.4</v>
      </c>
      <c r="J178" s="7" t="n">
        <v>747.2</v>
      </c>
      <c r="L178" s="7" t="n">
        <v>903.4</v>
      </c>
      <c r="N178" s="7" t="n">
        <v>1420.8</v>
      </c>
      <c r="P178" s="7" t="n">
        <v>529.9</v>
      </c>
      <c r="R178" s="7" t="n">
        <v>1572.2</v>
      </c>
      <c r="T178" s="7" t="n">
        <v>712.6</v>
      </c>
      <c r="V178" s="7" t="n">
        <v>1178.4</v>
      </c>
      <c r="X178" s="7" t="n">
        <v>720.6</v>
      </c>
      <c r="Z178" s="7" t="n">
        <v>963</v>
      </c>
      <c r="AB178" s="7" t="n">
        <v>11162.1</v>
      </c>
    </row>
    <row r="179">
      <c r="A179" s="4" t="inlineStr">
        <is>
          <t>医疗</t>
        </is>
      </c>
      <c r="D179" s="7" t="n">
        <v>1281.4</v>
      </c>
      <c r="F179" s="7" t="n">
        <v>764.9</v>
      </c>
      <c r="H179" s="7" t="n">
        <v>1651.4</v>
      </c>
      <c r="J179" s="7" t="n">
        <v>1131.1</v>
      </c>
      <c r="L179" s="7" t="n">
        <v>1581.5</v>
      </c>
      <c r="N179" s="7" t="n">
        <v>1893.2</v>
      </c>
      <c r="P179" s="7" t="n">
        <v>759.4</v>
      </c>
      <c r="R179" s="7" t="n">
        <v>2358.3</v>
      </c>
      <c r="T179" s="7" t="n">
        <v>981.5</v>
      </c>
      <c r="V179" s="7" t="n">
        <v>1917.9</v>
      </c>
      <c r="X179" s="7" t="n">
        <v>983.1</v>
      </c>
      <c r="Z179" s="7" t="n">
        <v>1018</v>
      </c>
      <c r="AB179" s="7" t="n">
        <v>16321.7</v>
      </c>
    </row>
    <row r="180">
      <c r="A180" s="4" t="inlineStr">
        <is>
          <t>工伤</t>
        </is>
      </c>
      <c r="D180" s="7" t="n">
        <v>404.7</v>
      </c>
      <c r="F180" s="7" t="n">
        <v>313.4</v>
      </c>
      <c r="H180" s="7" t="n">
        <v>544</v>
      </c>
      <c r="J180" s="7" t="n">
        <v>519.4</v>
      </c>
      <c r="L180" s="7" t="n">
        <v>508.3</v>
      </c>
      <c r="N180" s="7" t="n">
        <v>903.5</v>
      </c>
      <c r="P180" s="7" t="n">
        <v>266.3</v>
      </c>
      <c r="R180" s="7" t="n">
        <v>1043.6</v>
      </c>
      <c r="T180" s="7" t="n">
        <v>529</v>
      </c>
      <c r="V180" s="7" t="n">
        <v>857.8</v>
      </c>
      <c r="X180" s="7" t="n">
        <v>429.5</v>
      </c>
      <c r="Z180" s="7" t="n">
        <v>554.3</v>
      </c>
      <c r="AB180" s="7" t="n">
        <v>6873.8</v>
      </c>
    </row>
    <row r="181">
      <c r="A181" s="4" t="inlineStr">
        <is>
          <t>失业</t>
        </is>
      </c>
      <c r="D181" s="7" t="n">
        <v>255.6</v>
      </c>
      <c r="F181" s="7" t="n">
        <v>216.1</v>
      </c>
      <c r="H181" s="7" t="n">
        <v>229.1</v>
      </c>
      <c r="J181" s="7" t="n">
        <v>181.3</v>
      </c>
      <c r="L181" s="7" t="n">
        <v>228.1</v>
      </c>
      <c r="N181" s="7" t="n">
        <v>430.7</v>
      </c>
      <c r="P181" s="7" t="n">
        <v>130.5</v>
      </c>
      <c r="R181" s="7" t="n">
        <v>480.3</v>
      </c>
      <c r="T181" s="7" t="n">
        <v>210.2</v>
      </c>
      <c r="V181" s="7" t="n">
        <v>381.8</v>
      </c>
      <c r="X181" s="7" t="n">
        <v>235.3</v>
      </c>
      <c r="Z181" s="7" t="n">
        <v>206.3</v>
      </c>
      <c r="AB181" s="7" t="n">
        <v>3185.3</v>
      </c>
    </row>
    <row r="182">
      <c r="A182" s="4" t="inlineStr">
        <is>
          <t>生育</t>
        </is>
      </c>
      <c r="D182" s="7" t="n">
        <v>140.6</v>
      </c>
      <c r="F182" s="7" t="n">
        <v>121.3</v>
      </c>
      <c r="H182" s="7" t="n">
        <v>215.2</v>
      </c>
      <c r="J182" s="7" t="n">
        <v>173.4</v>
      </c>
      <c r="L182" s="7" t="n">
        <v>206.9</v>
      </c>
      <c r="N182" s="7" t="n">
        <v>301.8</v>
      </c>
      <c r="P182" s="7" t="n">
        <v>91.90000000000001</v>
      </c>
      <c r="R182" s="7" t="n">
        <v>200.3</v>
      </c>
      <c r="T182" s="7" t="n">
        <v>144.4</v>
      </c>
      <c r="V182" s="7" t="n">
        <v>236.3</v>
      </c>
      <c r="X182" s="7" t="n">
        <v>211.5</v>
      </c>
      <c r="Z182" s="7" t="n">
        <v>185.9</v>
      </c>
      <c r="AB182" s="7" t="n">
        <v>2229.5</v>
      </c>
    </row>
    <row r="183">
      <c r="A183" s="4" t="inlineStr">
        <is>
          <t>公积金</t>
        </is>
      </c>
      <c r="D183" s="7" t="n">
        <v>884.5</v>
      </c>
      <c r="F183" s="7" t="n">
        <v>789.9</v>
      </c>
      <c r="H183" s="7" t="n">
        <v>838.9</v>
      </c>
      <c r="J183" s="7" t="n">
        <v>515.7</v>
      </c>
      <c r="L183" s="7" t="n">
        <v>806.8</v>
      </c>
      <c r="N183" s="7" t="n">
        <v>1195.3</v>
      </c>
      <c r="P183" s="7" t="n">
        <v>387.6</v>
      </c>
      <c r="R183" s="7" t="n">
        <v>1725.8</v>
      </c>
      <c r="T183" s="7" t="n">
        <v>1174.6</v>
      </c>
      <c r="V183" s="7" t="n">
        <v>1632.6</v>
      </c>
      <c r="X183" s="7" t="n">
        <v>1186.1</v>
      </c>
      <c r="Z183" s="7" t="n">
        <v>865.4</v>
      </c>
      <c r="AB183" s="7" t="n">
        <v>12003.2</v>
      </c>
    </row>
    <row r="184">
      <c r="A184" s="4" t="inlineStr">
        <is>
          <t>工会经费</t>
        </is>
      </c>
      <c r="D184" s="7" t="n">
        <v>599.8</v>
      </c>
      <c r="F184" s="7" t="n">
        <v>618.5</v>
      </c>
      <c r="H184" s="7" t="n">
        <v>1104.7</v>
      </c>
      <c r="J184" s="7" t="n">
        <v>629.8</v>
      </c>
      <c r="L184" s="7" t="n">
        <v>1078.2</v>
      </c>
      <c r="N184" s="7" t="n">
        <v>1285.6</v>
      </c>
      <c r="P184" s="7" t="n">
        <v>619.2</v>
      </c>
      <c r="R184" s="7" t="n">
        <v>1506.1</v>
      </c>
      <c r="T184" s="7" t="n">
        <v>995</v>
      </c>
      <c r="V184" s="7" t="n">
        <v>1160.4</v>
      </c>
      <c r="X184" s="7" t="n">
        <v>974</v>
      </c>
      <c r="Z184" s="7" t="n">
        <v>1078.5</v>
      </c>
      <c r="AB184" s="7" t="n">
        <v>11649.8</v>
      </c>
    </row>
    <row r="185">
      <c r="A185" s="4" t="inlineStr">
        <is>
          <t>职工教育经费</t>
        </is>
      </c>
      <c r="D185" s="7" t="n">
        <v>753.9</v>
      </c>
      <c r="F185" s="7" t="n">
        <v>758.2</v>
      </c>
      <c r="H185" s="7" t="n">
        <v>1231.4</v>
      </c>
      <c r="J185" s="7" t="n">
        <v>658.1</v>
      </c>
      <c r="L185" s="7" t="n">
        <v>1039.9</v>
      </c>
      <c r="N185" s="7" t="n">
        <v>1187.8</v>
      </c>
      <c r="P185" s="7" t="n">
        <v>440.6</v>
      </c>
      <c r="R185" s="7" t="n">
        <v>2086.6</v>
      </c>
      <c r="T185" s="7" t="n">
        <v>1337.3</v>
      </c>
      <c r="V185" s="7" t="n">
        <v>1826.6</v>
      </c>
      <c r="X185" s="7" t="n">
        <v>1431.7</v>
      </c>
      <c r="Z185" s="7" t="n">
        <v>874.7</v>
      </c>
      <c r="AB185" s="7" t="n">
        <v>13626.8</v>
      </c>
    </row>
    <row r="186">
      <c r="A186" s="4" t="inlineStr">
        <is>
          <t>福利费</t>
        </is>
      </c>
      <c r="D186" s="7" t="n">
        <v>4680</v>
      </c>
      <c r="F186" s="7" t="n">
        <v>4355</v>
      </c>
      <c r="H186" s="7" t="n">
        <v>5984.4</v>
      </c>
      <c r="J186" s="7" t="n">
        <v>3981.6</v>
      </c>
      <c r="L186" s="7" t="n">
        <v>5926.9</v>
      </c>
      <c r="N186" s="7" t="n">
        <v>8569.4</v>
      </c>
      <c r="P186" s="7" t="n">
        <v>2562.4</v>
      </c>
      <c r="R186" s="7" t="n">
        <v>9459.5</v>
      </c>
      <c r="T186" s="7" t="n">
        <v>5330.1</v>
      </c>
      <c r="V186" s="7" t="n">
        <v>6883.9</v>
      </c>
      <c r="X186" s="7" t="n">
        <v>5634.6</v>
      </c>
      <c r="Z186" s="7" t="n">
        <v>5285.1</v>
      </c>
      <c r="AB186" s="7" t="n">
        <v>68652.89999999999</v>
      </c>
    </row>
    <row r="187">
      <c r="A187" s="4" t="inlineStr">
        <is>
          <t>职工房租</t>
        </is>
      </c>
      <c r="D187" s="7" t="n">
        <v>643.9</v>
      </c>
      <c r="F187" s="7" t="n">
        <v>611</v>
      </c>
      <c r="H187" s="7" t="n">
        <v>921.4</v>
      </c>
      <c r="J187" s="7" t="n">
        <v>549.9</v>
      </c>
      <c r="L187" s="7" t="n">
        <v>1051.2</v>
      </c>
      <c r="N187" s="7" t="n">
        <v>1670.3</v>
      </c>
      <c r="P187" s="7" t="n">
        <v>496.1</v>
      </c>
      <c r="R187" s="7" t="n">
        <v>2012.2</v>
      </c>
      <c r="T187" s="7" t="n">
        <v>1272.1</v>
      </c>
      <c r="V187" s="7" t="n">
        <v>1047.5</v>
      </c>
      <c r="X187" s="7" t="n">
        <v>947.4</v>
      </c>
      <c r="Z187" s="7" t="n">
        <v>1029.1</v>
      </c>
      <c r="AB187" s="7" t="n">
        <v>12252.1</v>
      </c>
    </row>
    <row r="188">
      <c r="A188" s="4" t="inlineStr">
        <is>
          <t>水电物业费</t>
        </is>
      </c>
      <c r="D188" s="7" t="n">
        <v>532.5</v>
      </c>
      <c r="F188" s="7" t="n">
        <v>568.3</v>
      </c>
      <c r="H188" s="7" t="n">
        <v>815.5</v>
      </c>
      <c r="J188" s="7" t="n">
        <v>358.7</v>
      </c>
      <c r="L188" s="7" t="n">
        <v>564.3</v>
      </c>
      <c r="N188" s="7" t="n">
        <v>1103.2</v>
      </c>
      <c r="P188" s="7" t="n">
        <v>253.4</v>
      </c>
      <c r="R188" s="7" t="n">
        <v>755.3</v>
      </c>
      <c r="T188" s="7" t="n">
        <v>618.7</v>
      </c>
      <c r="V188" s="7" t="n">
        <v>759</v>
      </c>
      <c r="X188" s="7" t="n">
        <v>777.9</v>
      </c>
      <c r="Z188" s="7" t="n">
        <v>584.4</v>
      </c>
      <c r="AB188" s="7" t="n">
        <v>7691.2</v>
      </c>
    </row>
    <row r="189">
      <c r="A189" s="4" t="inlineStr">
        <is>
          <t>员工餐</t>
        </is>
      </c>
      <c r="D189" s="7" t="n">
        <v>825.1</v>
      </c>
      <c r="F189" s="7" t="n">
        <v>574.8</v>
      </c>
      <c r="H189" s="7" t="n">
        <v>838</v>
      </c>
      <c r="J189" s="7" t="n">
        <v>529.2</v>
      </c>
      <c r="L189" s="7" t="n">
        <v>669.7</v>
      </c>
      <c r="N189" s="7" t="n">
        <v>1261.7</v>
      </c>
      <c r="P189" s="7" t="n">
        <v>417.1</v>
      </c>
      <c r="R189" s="7" t="n">
        <v>1397.6</v>
      </c>
      <c r="T189" s="7" t="n">
        <v>529.7</v>
      </c>
      <c r="V189" s="7" t="n">
        <v>1172</v>
      </c>
      <c r="X189" s="7" t="n">
        <v>840</v>
      </c>
      <c r="Z189" s="7" t="n">
        <v>626.1</v>
      </c>
      <c r="AB189" s="7" t="n">
        <v>9681</v>
      </c>
    </row>
    <row r="190">
      <c r="A190" s="4" t="inlineStr">
        <is>
          <t>节日礼品</t>
        </is>
      </c>
      <c r="D190" s="7" t="n">
        <v>826.8</v>
      </c>
      <c r="F190" s="7" t="n">
        <v>688.4</v>
      </c>
      <c r="H190" s="7" t="n">
        <v>644.3</v>
      </c>
      <c r="J190" s="7" t="n">
        <v>422</v>
      </c>
      <c r="L190" s="7" t="n">
        <v>1088.2</v>
      </c>
      <c r="N190" s="7" t="n">
        <v>1204.7</v>
      </c>
      <c r="P190" s="7" t="n">
        <v>370.9</v>
      </c>
      <c r="R190" s="7" t="n">
        <v>1460.6</v>
      </c>
      <c r="T190" s="7" t="n">
        <v>791.2</v>
      </c>
      <c r="V190" s="7" t="n">
        <v>752.2</v>
      </c>
      <c r="X190" s="7" t="n">
        <v>982.8</v>
      </c>
      <c r="Z190" s="7" t="n">
        <v>739.7</v>
      </c>
      <c r="AB190" s="7" t="n">
        <v>9971.799999999999</v>
      </c>
    </row>
    <row r="191">
      <c r="A191" s="4" t="inlineStr">
        <is>
          <t>生日礼品</t>
        </is>
      </c>
      <c r="D191" s="7" t="n">
        <v>937.9</v>
      </c>
      <c r="F191" s="7" t="n">
        <v>1050.4</v>
      </c>
      <c r="H191" s="7" t="n">
        <v>1494.1</v>
      </c>
      <c r="J191" s="7" t="n">
        <v>1157.1</v>
      </c>
      <c r="L191" s="7" t="n">
        <v>1523.4</v>
      </c>
      <c r="N191" s="7" t="n">
        <v>1464.2</v>
      </c>
      <c r="P191" s="7" t="n">
        <v>448</v>
      </c>
      <c r="R191" s="7" t="n">
        <v>2007.2</v>
      </c>
      <c r="T191" s="7" t="n">
        <v>1078.2</v>
      </c>
      <c r="V191" s="7" t="n">
        <v>1263</v>
      </c>
      <c r="X191" s="7" t="n">
        <v>916.9</v>
      </c>
      <c r="Z191" s="7" t="n">
        <v>1384.7</v>
      </c>
      <c r="AB191" s="7" t="n">
        <v>14725.1</v>
      </c>
    </row>
    <row r="192">
      <c r="A192" s="4" t="inlineStr">
        <is>
          <t>体检</t>
        </is>
      </c>
      <c r="D192" s="7" t="n">
        <v>394.8</v>
      </c>
      <c r="F192" s="7" t="n">
        <v>298.5</v>
      </c>
      <c r="H192" s="7" t="n">
        <v>672</v>
      </c>
      <c r="J192" s="7" t="n">
        <v>444</v>
      </c>
      <c r="L192" s="7" t="n">
        <v>442.1</v>
      </c>
      <c r="N192" s="7" t="n">
        <v>860.4</v>
      </c>
      <c r="P192" s="7" t="n">
        <v>196.6</v>
      </c>
      <c r="R192" s="7" t="n">
        <v>865.5</v>
      </c>
      <c r="T192" s="7" t="n">
        <v>421.4</v>
      </c>
      <c r="V192" s="7" t="n">
        <v>795.5</v>
      </c>
      <c r="X192" s="7" t="n">
        <v>541.1</v>
      </c>
      <c r="Z192" s="7" t="n">
        <v>337.5</v>
      </c>
      <c r="AB192" s="7" t="n">
        <v>6269.4</v>
      </c>
    </row>
    <row r="193">
      <c r="A193" s="4" t="inlineStr">
        <is>
          <t>其他福利支出</t>
        </is>
      </c>
      <c r="D193" s="7" t="n">
        <v>519</v>
      </c>
      <c r="F193" s="7" t="n">
        <v>563.6</v>
      </c>
      <c r="H193" s="7" t="n">
        <v>599.1</v>
      </c>
      <c r="J193" s="7" t="n">
        <v>520.7</v>
      </c>
      <c r="L193" s="7" t="n">
        <v>588</v>
      </c>
      <c r="N193" s="7" t="n">
        <v>1004.9</v>
      </c>
      <c r="P193" s="7" t="n">
        <v>380.3</v>
      </c>
      <c r="R193" s="7" t="n">
        <v>961.1</v>
      </c>
      <c r="T193" s="7" t="n">
        <v>618.8</v>
      </c>
      <c r="V193" s="7" t="n">
        <v>1094.7</v>
      </c>
      <c r="X193" s="7" t="n">
        <v>628.5</v>
      </c>
      <c r="Z193" s="7" t="n">
        <v>583.6</v>
      </c>
      <c r="AB193" s="7" t="n">
        <v>8062.3</v>
      </c>
    </row>
    <row r="194">
      <c r="A194" s="4" t="inlineStr">
        <is>
          <t>招聘费</t>
        </is>
      </c>
      <c r="D194" s="7" t="n">
        <v>538</v>
      </c>
      <c r="F194" s="7" t="n">
        <v>486.9</v>
      </c>
      <c r="H194" s="7" t="n">
        <v>622.6</v>
      </c>
      <c r="J194" s="7" t="n">
        <v>388</v>
      </c>
      <c r="L194" s="7" t="n">
        <v>621.9</v>
      </c>
      <c r="N194" s="7" t="n">
        <v>570.7</v>
      </c>
      <c r="P194" s="7" t="n">
        <v>247.4</v>
      </c>
      <c r="R194" s="7" t="n">
        <v>804.2</v>
      </c>
      <c r="T194" s="7" t="n">
        <v>447.9</v>
      </c>
      <c r="V194" s="7" t="n">
        <v>851.9</v>
      </c>
      <c r="X194" s="7" t="n">
        <v>435.7</v>
      </c>
      <c r="Z194" s="7" t="n">
        <v>483.3</v>
      </c>
      <c r="AB194" s="7" t="n">
        <v>6498.5</v>
      </c>
    </row>
    <row r="195">
      <c r="A195" s="4" t="inlineStr">
        <is>
          <t>办公费</t>
        </is>
      </c>
      <c r="D195" s="7" t="n">
        <v>5434.3</v>
      </c>
      <c r="F195" s="7" t="n">
        <v>4503.1</v>
      </c>
      <c r="H195" s="7" t="n">
        <v>5510.9</v>
      </c>
      <c r="J195" s="7" t="n">
        <v>4204.1</v>
      </c>
      <c r="L195" s="7" t="n">
        <v>8756.700000000001</v>
      </c>
      <c r="N195" s="7" t="n">
        <v>8405.799999999999</v>
      </c>
      <c r="P195" s="7" t="n">
        <v>2332.7</v>
      </c>
      <c r="R195" s="7" t="n">
        <v>6905.4</v>
      </c>
      <c r="T195" s="7" t="n">
        <v>7206.4</v>
      </c>
      <c r="V195" s="7" t="n">
        <v>9984.799999999999</v>
      </c>
      <c r="X195" s="7" t="n">
        <v>6024.1</v>
      </c>
      <c r="Z195" s="7" t="n">
        <v>4597.9</v>
      </c>
      <c r="AB195" s="7" t="n">
        <v>73866.2</v>
      </c>
    </row>
    <row r="196">
      <c r="A196" s="4" t="inlineStr">
        <is>
          <t>市内交通费</t>
        </is>
      </c>
      <c r="D196" s="7" t="n">
        <v>39.2</v>
      </c>
      <c r="F196" s="7" t="n">
        <v>33.7</v>
      </c>
      <c r="H196" s="7" t="n">
        <v>50.3</v>
      </c>
      <c r="J196" s="7" t="n">
        <v>43.5</v>
      </c>
      <c r="L196" s="7" t="n">
        <v>55.6</v>
      </c>
      <c r="N196" s="7" t="n">
        <v>97.5</v>
      </c>
      <c r="P196" s="7" t="n">
        <v>32.1</v>
      </c>
      <c r="R196" s="7" t="n">
        <v>79</v>
      </c>
      <c r="T196" s="7" t="n">
        <v>51.6</v>
      </c>
      <c r="V196" s="7" t="n">
        <v>64.8</v>
      </c>
      <c r="X196" s="7" t="n">
        <v>62.1</v>
      </c>
      <c r="Z196" s="7" t="n">
        <v>42</v>
      </c>
      <c r="AB196" s="7" t="n">
        <v>651.4</v>
      </c>
    </row>
    <row r="197">
      <c r="A197" s="4" t="inlineStr">
        <is>
          <t>差旅费</t>
        </is>
      </c>
      <c r="D197" s="7" t="n">
        <v>11062.2</v>
      </c>
      <c r="F197" s="7" t="n">
        <v>7168.4</v>
      </c>
      <c r="H197" s="7" t="n">
        <v>10201.3</v>
      </c>
      <c r="J197" s="7" t="n">
        <v>8175.4</v>
      </c>
      <c r="L197" s="7" t="n">
        <v>10555.6</v>
      </c>
      <c r="N197" s="7" t="n">
        <v>20892.7</v>
      </c>
      <c r="P197" s="7" t="n">
        <v>5194.2</v>
      </c>
      <c r="R197" s="7" t="n">
        <v>18712.5</v>
      </c>
      <c r="T197" s="7" t="n">
        <v>11293.5</v>
      </c>
      <c r="V197" s="7" t="n">
        <v>18266.4</v>
      </c>
      <c r="X197" s="7" t="n">
        <v>12766.3</v>
      </c>
      <c r="Z197" s="7" t="n">
        <v>9004.6</v>
      </c>
      <c r="AB197" s="7" t="n">
        <v>143293.1</v>
      </c>
    </row>
    <row r="198">
      <c r="A198" s="4" t="inlineStr">
        <is>
          <t>交通费</t>
        </is>
      </c>
      <c r="D198" s="7" t="n">
        <v>1302.9</v>
      </c>
      <c r="F198" s="7" t="n">
        <v>761.7</v>
      </c>
      <c r="H198" s="7" t="n">
        <v>1080.1</v>
      </c>
      <c r="J198" s="7" t="n">
        <v>1059.8</v>
      </c>
      <c r="L198" s="7" t="n">
        <v>1579.8</v>
      </c>
      <c r="N198" s="7" t="n">
        <v>2201.8</v>
      </c>
      <c r="P198" s="7" t="n">
        <v>477.1</v>
      </c>
      <c r="R198" s="7" t="n">
        <v>1917.5</v>
      </c>
      <c r="T198" s="7" t="n">
        <v>862.7</v>
      </c>
      <c r="V198" s="7" t="n">
        <v>1348.3</v>
      </c>
      <c r="X198" s="7" t="n">
        <v>1008.2</v>
      </c>
      <c r="Z198" s="7" t="n">
        <v>1092.3</v>
      </c>
      <c r="AB198" s="7" t="n">
        <v>14692.2</v>
      </c>
    </row>
    <row r="199">
      <c r="A199" s="4" t="inlineStr">
        <is>
          <t>住宿费</t>
        </is>
      </c>
      <c r="D199" s="7" t="n">
        <v>931.2</v>
      </c>
      <c r="F199" s="7" t="n">
        <v>858.5</v>
      </c>
      <c r="H199" s="7" t="n">
        <v>1011.3</v>
      </c>
      <c r="J199" s="7" t="n">
        <v>655.3</v>
      </c>
      <c r="L199" s="7" t="n">
        <v>1139.8</v>
      </c>
      <c r="N199" s="7" t="n">
        <v>1654.8</v>
      </c>
      <c r="P199" s="7" t="n">
        <v>409.6</v>
      </c>
      <c r="R199" s="7" t="n">
        <v>1484.7</v>
      </c>
      <c r="T199" s="7" t="n">
        <v>977.8</v>
      </c>
      <c r="V199" s="7" t="n">
        <v>1174.1</v>
      </c>
      <c r="X199" s="7" t="n">
        <v>792.1</v>
      </c>
      <c r="Z199" s="7" t="n">
        <v>614.2</v>
      </c>
      <c r="AB199" s="7" t="n">
        <v>11703.4</v>
      </c>
    </row>
    <row r="200">
      <c r="A200" s="4" t="inlineStr">
        <is>
          <t>餐补</t>
        </is>
      </c>
      <c r="D200" s="7" t="n">
        <v>11.7</v>
      </c>
      <c r="F200" s="7" t="n">
        <v>9.5</v>
      </c>
      <c r="H200" s="7" t="n">
        <v>24.5</v>
      </c>
      <c r="J200" s="7" t="n">
        <v>16.1</v>
      </c>
      <c r="L200" s="7" t="n">
        <v>17.6</v>
      </c>
      <c r="N200" s="7" t="n">
        <v>28.1</v>
      </c>
      <c r="P200" s="7" t="n">
        <v>9.800000000000001</v>
      </c>
      <c r="R200" s="7" t="n">
        <v>25.9</v>
      </c>
      <c r="T200" s="7" t="n">
        <v>18.9</v>
      </c>
      <c r="V200" s="7" t="n">
        <v>29.5</v>
      </c>
      <c r="X200" s="7" t="n">
        <v>14.7</v>
      </c>
      <c r="Z200" s="7" t="n">
        <v>14</v>
      </c>
      <c r="AB200" s="7" t="n">
        <v>220.3</v>
      </c>
    </row>
    <row r="201">
      <c r="A201" s="4" t="inlineStr">
        <is>
          <t>交通补助</t>
        </is>
      </c>
      <c r="D201" s="7" t="n">
        <v>502.8</v>
      </c>
      <c r="F201" s="7" t="n">
        <v>320.5</v>
      </c>
      <c r="H201" s="7" t="n">
        <v>510.5</v>
      </c>
      <c r="J201" s="7" t="n">
        <v>350.2</v>
      </c>
      <c r="L201" s="7" t="n">
        <v>799.5</v>
      </c>
      <c r="N201" s="7" t="n">
        <v>1103.3</v>
      </c>
      <c r="P201" s="7" t="n">
        <v>294.3</v>
      </c>
      <c r="R201" s="7" t="n">
        <v>1095</v>
      </c>
      <c r="T201" s="7" t="n">
        <v>617.9</v>
      </c>
      <c r="V201" s="7" t="n">
        <v>689</v>
      </c>
      <c r="X201" s="7" t="n">
        <v>626.9</v>
      </c>
      <c r="Z201" s="7" t="n">
        <v>637.2</v>
      </c>
      <c r="AB201" s="7" t="n">
        <v>7547.1</v>
      </c>
    </row>
    <row r="202">
      <c r="A202" s="4" t="inlineStr">
        <is>
          <t>通讯补助</t>
        </is>
      </c>
      <c r="D202" s="7" t="n">
        <v>39.6</v>
      </c>
      <c r="F202" s="7" t="n">
        <v>53.3</v>
      </c>
      <c r="H202" s="7" t="n">
        <v>79.09999999999999</v>
      </c>
      <c r="J202" s="7" t="n">
        <v>62.6</v>
      </c>
      <c r="L202" s="7" t="n">
        <v>94.7</v>
      </c>
      <c r="N202" s="7" t="n">
        <v>108.3</v>
      </c>
      <c r="P202" s="7" t="n">
        <v>34.8</v>
      </c>
      <c r="R202" s="7" t="n">
        <v>102.2</v>
      </c>
      <c r="T202" s="7" t="n">
        <v>56.5</v>
      </c>
      <c r="V202" s="7" t="n">
        <v>91.5</v>
      </c>
      <c r="X202" s="7" t="n">
        <v>65.59999999999999</v>
      </c>
      <c r="Z202" s="7" t="n">
        <v>61.5</v>
      </c>
      <c r="AB202" s="7" t="n">
        <v>849.7</v>
      </c>
    </row>
    <row r="203">
      <c r="A203" s="4" t="inlineStr">
        <is>
          <t>招待费</t>
        </is>
      </c>
      <c r="D203" s="7" t="n">
        <v>7172.8</v>
      </c>
      <c r="F203" s="7" t="n">
        <v>6550.8</v>
      </c>
      <c r="H203" s="7" t="n">
        <v>9999.799999999999</v>
      </c>
      <c r="J203" s="7" t="n">
        <v>5782.1</v>
      </c>
      <c r="L203" s="7" t="n">
        <v>10589.5</v>
      </c>
      <c r="N203" s="7" t="n">
        <v>11553.4</v>
      </c>
      <c r="P203" s="7" t="n">
        <v>3756.8</v>
      </c>
      <c r="R203" s="7" t="n">
        <v>10544.9</v>
      </c>
      <c r="T203" s="7" t="n">
        <v>5711.4</v>
      </c>
      <c r="V203" s="7" t="n">
        <v>13653.4</v>
      </c>
      <c r="X203" s="7" t="n">
        <v>7528.4</v>
      </c>
      <c r="Z203" s="7" t="n">
        <v>6876.3</v>
      </c>
      <c r="AB203" s="7" t="n">
        <v>99719.60000000001</v>
      </c>
    </row>
    <row r="204">
      <c r="A204" s="4" t="inlineStr">
        <is>
          <t>通讯费</t>
        </is>
      </c>
      <c r="D204" s="7" t="n">
        <v>689</v>
      </c>
      <c r="F204" s="7" t="n">
        <v>435.8</v>
      </c>
      <c r="H204" s="7" t="n">
        <v>762.4</v>
      </c>
      <c r="J204" s="7" t="n">
        <v>336.6</v>
      </c>
      <c r="L204" s="7" t="n">
        <v>664.3</v>
      </c>
      <c r="N204" s="7" t="n">
        <v>751.3</v>
      </c>
      <c r="P204" s="7" t="n">
        <v>289.7</v>
      </c>
      <c r="R204" s="7" t="n">
        <v>807</v>
      </c>
      <c r="T204" s="7" t="n">
        <v>522.1</v>
      </c>
      <c r="V204" s="7" t="n">
        <v>1116.2</v>
      </c>
      <c r="X204" s="7" t="n">
        <v>580.6</v>
      </c>
      <c r="Z204" s="7" t="n">
        <v>601.5</v>
      </c>
      <c r="AB204" s="7" t="n">
        <v>7556.5</v>
      </c>
    </row>
    <row r="205">
      <c r="A205" s="4" t="inlineStr">
        <is>
          <t>网络费</t>
        </is>
      </c>
      <c r="D205" s="7" t="n">
        <v>1016</v>
      </c>
      <c r="F205" s="7" t="n">
        <v>636.3</v>
      </c>
      <c r="H205" s="7" t="n">
        <v>1016.7</v>
      </c>
      <c r="J205" s="7" t="n">
        <v>906.4</v>
      </c>
      <c r="L205" s="7" t="n">
        <v>1653.4</v>
      </c>
      <c r="N205" s="7" t="n">
        <v>1882.5</v>
      </c>
      <c r="P205" s="7" t="n">
        <v>600.9</v>
      </c>
      <c r="R205" s="7" t="n">
        <v>1867.7</v>
      </c>
      <c r="T205" s="7" t="n">
        <v>1258.5</v>
      </c>
      <c r="V205" s="7" t="n">
        <v>1800.4</v>
      </c>
      <c r="X205" s="7" t="n">
        <v>1320.3</v>
      </c>
      <c r="Z205" s="7" t="n">
        <v>1035.7</v>
      </c>
      <c r="AB205" s="7" t="n">
        <v>14994.8</v>
      </c>
    </row>
    <row r="206">
      <c r="A206" s="4" t="inlineStr">
        <is>
          <t>修理费</t>
        </is>
      </c>
      <c r="D206" s="7" t="n">
        <v>357.9</v>
      </c>
      <c r="F206" s="7" t="n">
        <v>301.4</v>
      </c>
      <c r="H206" s="7" t="n">
        <v>302.5</v>
      </c>
      <c r="J206" s="7" t="n">
        <v>221.1</v>
      </c>
      <c r="L206" s="7" t="n">
        <v>462</v>
      </c>
      <c r="N206" s="7" t="n">
        <v>400.1</v>
      </c>
      <c r="P206" s="7" t="n">
        <v>173.3</v>
      </c>
      <c r="R206" s="7" t="n">
        <v>711.6</v>
      </c>
      <c r="T206" s="7" t="n">
        <v>316.1</v>
      </c>
      <c r="V206" s="7" t="n">
        <v>422.4</v>
      </c>
      <c r="X206" s="7" t="n">
        <v>267.1</v>
      </c>
      <c r="Z206" s="7" t="n">
        <v>230</v>
      </c>
      <c r="AB206" s="7" t="n">
        <v>4165.5</v>
      </c>
    </row>
    <row r="207">
      <c r="A207" s="4" t="inlineStr">
        <is>
          <t>车辆费</t>
        </is>
      </c>
      <c r="D207" s="7" t="n">
        <v>887.6</v>
      </c>
      <c r="F207" s="7" t="n">
        <v>679.4</v>
      </c>
      <c r="H207" s="7" t="n">
        <v>1452.3</v>
      </c>
      <c r="J207" s="7" t="n">
        <v>1040.2</v>
      </c>
      <c r="L207" s="7" t="n">
        <v>974.5</v>
      </c>
      <c r="N207" s="7" t="n">
        <v>1211.1</v>
      </c>
      <c r="P207" s="7" t="n">
        <v>545.5</v>
      </c>
      <c r="R207" s="7" t="n">
        <v>1832.7</v>
      </c>
      <c r="T207" s="7" t="n">
        <v>863.1</v>
      </c>
      <c r="V207" s="7" t="n">
        <v>1331.4</v>
      </c>
      <c r="X207" s="7" t="n">
        <v>977.8</v>
      </c>
      <c r="Z207" s="7" t="n">
        <v>912.5</v>
      </c>
      <c r="AB207" s="7" t="n">
        <v>12708.1</v>
      </c>
    </row>
    <row r="208">
      <c r="A208" s="4" t="inlineStr">
        <is>
          <t>租赁费</t>
        </is>
      </c>
      <c r="D208" s="7" t="n">
        <v>7673.9</v>
      </c>
      <c r="F208" s="7" t="n">
        <v>5384.1</v>
      </c>
      <c r="H208" s="7" t="n">
        <v>12884.4</v>
      </c>
      <c r="J208" s="7" t="n">
        <v>6264.8</v>
      </c>
      <c r="L208" s="7" t="n">
        <v>9274.1</v>
      </c>
      <c r="N208" s="7" t="n">
        <v>15820.5</v>
      </c>
      <c r="P208" s="7" t="n">
        <v>4972.1</v>
      </c>
      <c r="R208" s="7" t="n">
        <v>16325.3</v>
      </c>
      <c r="T208" s="7" t="n">
        <v>10870.3</v>
      </c>
      <c r="V208" s="7" t="n">
        <v>17346.5</v>
      </c>
      <c r="X208" s="7" t="n">
        <v>9533.5</v>
      </c>
      <c r="Z208" s="7" t="n">
        <v>8510.5</v>
      </c>
      <c r="AB208" s="7" t="n">
        <v>124860</v>
      </c>
    </row>
    <row r="209">
      <c r="A209" s="4" t="inlineStr">
        <is>
          <t>能源费</t>
        </is>
      </c>
      <c r="D209" s="7" t="n">
        <v>1757.1</v>
      </c>
      <c r="F209" s="7" t="n">
        <v>1341.4</v>
      </c>
      <c r="H209" s="7" t="n">
        <v>1952.8</v>
      </c>
      <c r="J209" s="7" t="n">
        <v>1621.5</v>
      </c>
      <c r="L209" s="7" t="n">
        <v>2514.1</v>
      </c>
      <c r="N209" s="7" t="n">
        <v>2850.3</v>
      </c>
      <c r="P209" s="7" t="n">
        <v>861</v>
      </c>
      <c r="R209" s="7" t="n">
        <v>2439.1</v>
      </c>
      <c r="T209" s="7" t="n">
        <v>1635.9</v>
      </c>
      <c r="V209" s="7" t="n">
        <v>3148.2</v>
      </c>
      <c r="X209" s="7" t="n">
        <v>2263.9</v>
      </c>
      <c r="Z209" s="7" t="n">
        <v>1498.7</v>
      </c>
      <c r="AB209" s="7" t="n">
        <v>23884</v>
      </c>
    </row>
    <row r="210">
      <c r="A210" s="4" t="inlineStr">
        <is>
          <t>水费</t>
        </is>
      </c>
      <c r="D210" s="7" t="n">
        <v>151.5</v>
      </c>
      <c r="F210" s="7" t="n">
        <v>147</v>
      </c>
      <c r="H210" s="7" t="n">
        <v>217.1</v>
      </c>
      <c r="J210" s="7" t="n">
        <v>170.9</v>
      </c>
      <c r="L210" s="7" t="n">
        <v>183.5</v>
      </c>
      <c r="N210" s="7" t="n">
        <v>318.3</v>
      </c>
      <c r="P210" s="7" t="n">
        <v>91.40000000000001</v>
      </c>
      <c r="R210" s="7" t="n">
        <v>238.9</v>
      </c>
      <c r="T210" s="7" t="n">
        <v>240.9</v>
      </c>
      <c r="V210" s="7" t="n">
        <v>274</v>
      </c>
      <c r="X210" s="7" t="n">
        <v>193.6</v>
      </c>
      <c r="Z210" s="7" t="n">
        <v>208.9</v>
      </c>
      <c r="AB210" s="7" t="n">
        <v>2436</v>
      </c>
    </row>
    <row r="211">
      <c r="A211" s="4" t="inlineStr">
        <is>
          <t>电费</t>
        </is>
      </c>
      <c r="D211" s="7" t="n">
        <v>320.5</v>
      </c>
      <c r="F211" s="7" t="n">
        <v>215.3</v>
      </c>
      <c r="H211" s="7" t="n">
        <v>339</v>
      </c>
      <c r="J211" s="7" t="n">
        <v>175.9</v>
      </c>
      <c r="L211" s="7" t="n">
        <v>348.5</v>
      </c>
      <c r="N211" s="7" t="n">
        <v>526.7</v>
      </c>
      <c r="P211" s="7" t="n">
        <v>145.2</v>
      </c>
      <c r="R211" s="7" t="n">
        <v>523.9</v>
      </c>
      <c r="T211" s="7" t="n">
        <v>246.1</v>
      </c>
      <c r="V211" s="7" t="n">
        <v>511.9</v>
      </c>
      <c r="X211" s="7" t="n">
        <v>303.6</v>
      </c>
      <c r="Z211" s="7" t="n">
        <v>235.2</v>
      </c>
      <c r="AB211" s="7" t="n">
        <v>3891.8</v>
      </c>
    </row>
    <row r="212">
      <c r="A212" s="4" t="inlineStr">
        <is>
          <t>燃气费</t>
        </is>
      </c>
      <c r="D212" s="7" t="n">
        <v>837.8</v>
      </c>
      <c r="F212" s="7" t="n">
        <v>735.3</v>
      </c>
      <c r="H212" s="7" t="n">
        <v>1077.1</v>
      </c>
      <c r="J212" s="7" t="n">
        <v>927.4</v>
      </c>
      <c r="L212" s="7" t="n">
        <v>1451.3</v>
      </c>
      <c r="N212" s="7" t="n">
        <v>1369.3</v>
      </c>
      <c r="P212" s="7" t="n">
        <v>371.9</v>
      </c>
      <c r="R212" s="7" t="n">
        <v>1226.8</v>
      </c>
      <c r="T212" s="7" t="n">
        <v>718</v>
      </c>
      <c r="V212" s="7" t="n">
        <v>1719.1</v>
      </c>
      <c r="X212" s="7" t="n">
        <v>1318.5</v>
      </c>
      <c r="Z212" s="7" t="n">
        <v>689.7</v>
      </c>
      <c r="AB212" s="7" t="n">
        <v>12442.2</v>
      </c>
    </row>
    <row r="213">
      <c r="A213" s="4" t="inlineStr">
        <is>
          <t>蒸汽费</t>
        </is>
      </c>
      <c r="D213" s="7" t="n">
        <v>447.3</v>
      </c>
      <c r="F213" s="7" t="n">
        <v>243.8</v>
      </c>
      <c r="H213" s="7" t="n">
        <v>319.6</v>
      </c>
      <c r="J213" s="7" t="n">
        <v>347.3</v>
      </c>
      <c r="L213" s="7" t="n">
        <v>530.8</v>
      </c>
      <c r="N213" s="7" t="n">
        <v>636</v>
      </c>
      <c r="P213" s="7" t="n">
        <v>252.5</v>
      </c>
      <c r="R213" s="7" t="n">
        <v>449.5</v>
      </c>
      <c r="T213" s="7" t="n">
        <v>430.9</v>
      </c>
      <c r="V213" s="7" t="n">
        <v>643.2</v>
      </c>
      <c r="X213" s="7" t="n">
        <v>448.2</v>
      </c>
      <c r="Z213" s="7" t="n">
        <v>364.9</v>
      </c>
      <c r="AB213" s="7" t="n">
        <v>5114</v>
      </c>
    </row>
    <row r="214">
      <c r="A214" s="4" t="inlineStr">
        <is>
          <t>物业费</t>
        </is>
      </c>
      <c r="D214" s="7" t="n">
        <v>306.8</v>
      </c>
      <c r="F214" s="7" t="n">
        <v>318</v>
      </c>
      <c r="H214" s="7" t="n">
        <v>420.5</v>
      </c>
      <c r="J214" s="7" t="n">
        <v>249.2</v>
      </c>
      <c r="L214" s="7" t="n">
        <v>521.1</v>
      </c>
      <c r="N214" s="7" t="n">
        <v>686</v>
      </c>
      <c r="P214" s="7" t="n">
        <v>134.7</v>
      </c>
      <c r="R214" s="7" t="n">
        <v>498.8</v>
      </c>
      <c r="T214" s="7" t="n">
        <v>381.4</v>
      </c>
      <c r="V214" s="7" t="n">
        <v>670.8</v>
      </c>
      <c r="X214" s="7" t="n">
        <v>430.2</v>
      </c>
      <c r="Z214" s="7" t="n">
        <v>327.8</v>
      </c>
      <c r="AB214" s="7" t="n">
        <v>4945.3</v>
      </c>
    </row>
    <row r="215">
      <c r="A215" s="4" t="inlineStr">
        <is>
          <t>劳动保护费</t>
        </is>
      </c>
      <c r="D215" s="7" t="n">
        <v>232.1</v>
      </c>
      <c r="F215" s="7" t="n">
        <v>233.4</v>
      </c>
      <c r="H215" s="7" t="n">
        <v>308.4</v>
      </c>
      <c r="J215" s="7" t="n">
        <v>219.1</v>
      </c>
      <c r="L215" s="7" t="n">
        <v>388.9</v>
      </c>
      <c r="N215" s="7" t="n">
        <v>446.6</v>
      </c>
      <c r="P215" s="7" t="n">
        <v>124.9</v>
      </c>
      <c r="R215" s="7" t="n">
        <v>326.3</v>
      </c>
      <c r="T215" s="7" t="n">
        <v>229.2</v>
      </c>
      <c r="V215" s="7" t="n">
        <v>268.3</v>
      </c>
      <c r="X215" s="7" t="n">
        <v>240</v>
      </c>
      <c r="Z215" s="7" t="n">
        <v>266.7</v>
      </c>
      <c r="AB215" s="7" t="n">
        <v>3283.9</v>
      </c>
    </row>
    <row r="216">
      <c r="A216" s="4" t="inlineStr">
        <is>
          <t>顾问费</t>
        </is>
      </c>
      <c r="D216" s="7" t="n">
        <v>632.6</v>
      </c>
      <c r="F216" s="7" t="n">
        <v>929.7</v>
      </c>
      <c r="H216" s="7" t="n">
        <v>887.3</v>
      </c>
      <c r="J216" s="7" t="n">
        <v>534</v>
      </c>
      <c r="L216" s="7" t="n">
        <v>1173.7</v>
      </c>
      <c r="N216" s="7" t="n">
        <v>1395.9</v>
      </c>
      <c r="P216" s="7" t="n">
        <v>551.9</v>
      </c>
      <c r="R216" s="7" t="n">
        <v>1144.8</v>
      </c>
      <c r="T216" s="7" t="n">
        <v>672.8</v>
      </c>
      <c r="V216" s="7" t="n">
        <v>1579</v>
      </c>
      <c r="X216" s="7" t="n">
        <v>1014.5</v>
      </c>
      <c r="Z216" s="7" t="n">
        <v>716.2</v>
      </c>
      <c r="AB216" s="7" t="n">
        <v>11232.4</v>
      </c>
    </row>
    <row r="217">
      <c r="A217" s="4" t="inlineStr">
        <is>
          <t>快递费</t>
        </is>
      </c>
      <c r="D217" s="7" t="n">
        <v>969.2</v>
      </c>
      <c r="F217" s="7" t="n">
        <v>970.3</v>
      </c>
      <c r="H217" s="7" t="n">
        <v>817.2</v>
      </c>
      <c r="J217" s="7" t="n">
        <v>544</v>
      </c>
      <c r="L217" s="7" t="n">
        <v>1100.1</v>
      </c>
      <c r="N217" s="7" t="n">
        <v>1551.6</v>
      </c>
      <c r="P217" s="7" t="n">
        <v>456.5</v>
      </c>
      <c r="R217" s="7" t="n">
        <v>1096.2</v>
      </c>
      <c r="T217" s="7" t="n">
        <v>1071</v>
      </c>
      <c r="V217" s="7" t="n">
        <v>1086.5</v>
      </c>
      <c r="X217" s="7" t="n">
        <v>883.5</v>
      </c>
      <c r="Z217" s="7" t="n">
        <v>1012.9</v>
      </c>
      <c r="AB217" s="7" t="n">
        <v>11559</v>
      </c>
    </row>
    <row r="218">
      <c r="A218" s="4" t="inlineStr">
        <is>
          <t>诉讼费</t>
        </is>
      </c>
      <c r="D218" s="7" t="n">
        <v>644.2</v>
      </c>
      <c r="F218" s="7" t="n">
        <v>520.1</v>
      </c>
      <c r="H218" s="7" t="n">
        <v>807.4</v>
      </c>
      <c r="J218" s="7" t="n">
        <v>449.7</v>
      </c>
      <c r="L218" s="7" t="n">
        <v>862</v>
      </c>
      <c r="N218" s="7" t="n">
        <v>908.6</v>
      </c>
      <c r="P218" s="7" t="n">
        <v>298.6</v>
      </c>
      <c r="R218" s="7" t="n">
        <v>931.1</v>
      </c>
      <c r="T218" s="7" t="n">
        <v>523.2</v>
      </c>
      <c r="V218" s="7" t="n">
        <v>714.7</v>
      </c>
      <c r="X218" s="7" t="n">
        <v>689.1</v>
      </c>
      <c r="Z218" s="7" t="n">
        <v>586</v>
      </c>
      <c r="AB218" s="7" t="n">
        <v>7934.7</v>
      </c>
    </row>
    <row r="219">
      <c r="A219" s="4" t="inlineStr">
        <is>
          <t>会员费</t>
        </is>
      </c>
      <c r="D219" s="7" t="n">
        <v>836.4</v>
      </c>
      <c r="F219" s="7" t="n">
        <v>659.9</v>
      </c>
      <c r="H219" s="7" t="n">
        <v>786.1</v>
      </c>
      <c r="J219" s="7" t="n">
        <v>575.7</v>
      </c>
      <c r="L219" s="7" t="n">
        <v>1085.5</v>
      </c>
      <c r="N219" s="7" t="n">
        <v>1494.9</v>
      </c>
      <c r="P219" s="7" t="n">
        <v>398.3</v>
      </c>
      <c r="R219" s="7" t="n">
        <v>991.6</v>
      </c>
      <c r="T219" s="7" t="n">
        <v>961.3</v>
      </c>
      <c r="V219" s="7" t="n">
        <v>1458</v>
      </c>
      <c r="X219" s="7" t="n">
        <v>654.3</v>
      </c>
      <c r="Z219" s="7" t="n">
        <v>568</v>
      </c>
      <c r="AB219" s="7" t="n">
        <v>10470</v>
      </c>
    </row>
    <row r="220">
      <c r="A220" s="4" t="inlineStr">
        <is>
          <t>广告宣传费</t>
        </is>
      </c>
      <c r="D220" s="7" t="n">
        <v>6217.7</v>
      </c>
      <c r="F220" s="7" t="n">
        <v>4374.2</v>
      </c>
      <c r="H220" s="7" t="n">
        <v>6098.8</v>
      </c>
      <c r="J220" s="7" t="n">
        <v>4025.7</v>
      </c>
      <c r="L220" s="7" t="n">
        <v>7148.1</v>
      </c>
      <c r="N220" s="7" t="n">
        <v>8971.4</v>
      </c>
      <c r="P220" s="7" t="n">
        <v>2989.6</v>
      </c>
      <c r="R220" s="7" t="n">
        <v>8329.700000000001</v>
      </c>
      <c r="T220" s="7" t="n">
        <v>4980.6</v>
      </c>
      <c r="V220" s="7" t="n">
        <v>8280.9</v>
      </c>
      <c r="X220" s="7" t="n">
        <v>5668.7</v>
      </c>
      <c r="Z220" s="7" t="n">
        <v>5052.6</v>
      </c>
      <c r="AB220" s="7" t="n">
        <v>72138</v>
      </c>
    </row>
    <row r="221">
      <c r="A221" s="4" t="inlineStr">
        <is>
          <t>会务费</t>
        </is>
      </c>
      <c r="D221" s="7" t="n">
        <v>1019.7</v>
      </c>
      <c r="F221" s="7" t="n">
        <v>1159.5</v>
      </c>
      <c r="H221" s="7" t="n">
        <v>1531.7</v>
      </c>
      <c r="J221" s="7" t="n">
        <v>699.3</v>
      </c>
      <c r="L221" s="7" t="n">
        <v>1111.7</v>
      </c>
      <c r="N221" s="7" t="n">
        <v>1953.6</v>
      </c>
      <c r="P221" s="7" t="n">
        <v>467.8</v>
      </c>
      <c r="R221" s="7" t="n">
        <v>2031.4</v>
      </c>
      <c r="T221" s="7" t="n">
        <v>1438.5</v>
      </c>
      <c r="V221" s="7" t="n">
        <v>1299.9</v>
      </c>
      <c r="X221" s="7" t="n">
        <v>1000.7</v>
      </c>
      <c r="Z221" s="7" t="n">
        <v>1049.5</v>
      </c>
      <c r="AB221" s="7" t="n">
        <v>14763.3</v>
      </c>
    </row>
    <row r="222">
      <c r="A222" s="4" t="inlineStr">
        <is>
          <t>装修费</t>
        </is>
      </c>
      <c r="D222" s="7" t="n">
        <v>1042</v>
      </c>
      <c r="F222" s="7" t="n">
        <v>667.3</v>
      </c>
      <c r="H222" s="7" t="n">
        <v>1307.1</v>
      </c>
      <c r="J222" s="7" t="n">
        <v>756.2</v>
      </c>
      <c r="L222" s="7" t="n">
        <v>1085.3</v>
      </c>
      <c r="N222" s="7" t="n">
        <v>1074</v>
      </c>
      <c r="P222" s="7" t="n">
        <v>503.1</v>
      </c>
      <c r="R222" s="7" t="n">
        <v>1050.6</v>
      </c>
      <c r="T222" s="7" t="n">
        <v>750</v>
      </c>
      <c r="V222" s="7" t="n">
        <v>1247.9</v>
      </c>
      <c r="X222" s="7" t="n">
        <v>1255.1</v>
      </c>
      <c r="Z222" s="7" t="n">
        <v>754.2</v>
      </c>
      <c r="AB222" s="7" t="n">
        <v>11492.8</v>
      </c>
    </row>
    <row r="223">
      <c r="A223" s="4" t="inlineStr">
        <is>
          <t>推广费</t>
        </is>
      </c>
      <c r="D223" s="7" t="n">
        <v>629.1</v>
      </c>
      <c r="F223" s="7" t="n">
        <v>370.1</v>
      </c>
      <c r="H223" s="7" t="n">
        <v>705.4</v>
      </c>
      <c r="J223" s="7" t="n">
        <v>338.3</v>
      </c>
      <c r="L223" s="7" t="n">
        <v>924.3</v>
      </c>
      <c r="N223" s="7" t="n">
        <v>1116.2</v>
      </c>
      <c r="P223" s="7" t="n">
        <v>260.4</v>
      </c>
      <c r="R223" s="7" t="n">
        <v>1125.2</v>
      </c>
      <c r="T223" s="7" t="n">
        <v>612.3</v>
      </c>
      <c r="V223" s="7" t="n">
        <v>680.7</v>
      </c>
      <c r="X223" s="7" t="n">
        <v>573.8</v>
      </c>
      <c r="Z223" s="7" t="n">
        <v>680.4</v>
      </c>
      <c r="AB223" s="7" t="n">
        <v>8016.2</v>
      </c>
    </row>
    <row r="224">
      <c r="A224" s="4" t="inlineStr">
        <is>
          <t>展会费</t>
        </is>
      </c>
      <c r="D224" s="7" t="n">
        <v>480.4</v>
      </c>
      <c r="F224" s="7" t="n">
        <v>421</v>
      </c>
      <c r="H224" s="7" t="n">
        <v>713.4</v>
      </c>
      <c r="J224" s="7" t="n">
        <v>466</v>
      </c>
      <c r="L224" s="7" t="n">
        <v>632.8</v>
      </c>
      <c r="N224" s="7" t="n">
        <v>880.3</v>
      </c>
      <c r="P224" s="7" t="n">
        <v>286.9</v>
      </c>
      <c r="R224" s="7" t="n">
        <v>939.1</v>
      </c>
      <c r="T224" s="7" t="n">
        <v>531.2</v>
      </c>
      <c r="V224" s="7" t="n">
        <v>738.6</v>
      </c>
      <c r="X224" s="7" t="n">
        <v>526</v>
      </c>
      <c r="Z224" s="7" t="n">
        <v>463.8</v>
      </c>
      <c r="AB224" s="7" t="n">
        <v>7079.5</v>
      </c>
    </row>
    <row r="225">
      <c r="A225" s="4" t="inlineStr">
        <is>
          <t>设计费</t>
        </is>
      </c>
      <c r="D225" s="7" t="n">
        <v>854.7</v>
      </c>
      <c r="F225" s="7" t="n">
        <v>991.4</v>
      </c>
      <c r="H225" s="7" t="n">
        <v>1311.2</v>
      </c>
      <c r="J225" s="7" t="n">
        <v>782.3</v>
      </c>
      <c r="L225" s="7" t="n">
        <v>1119</v>
      </c>
      <c r="N225" s="7" t="n">
        <v>1512.2</v>
      </c>
      <c r="P225" s="7" t="n">
        <v>573.5</v>
      </c>
      <c r="R225" s="7" t="n">
        <v>2146.4</v>
      </c>
      <c r="T225" s="7" t="n">
        <v>1356.2</v>
      </c>
      <c r="V225" s="7" t="n">
        <v>1791.3</v>
      </c>
      <c r="X225" s="7" t="n">
        <v>1223.7</v>
      </c>
      <c r="Z225" s="7" t="n">
        <v>1210.4</v>
      </c>
      <c r="AB225" s="7" t="n">
        <v>14872.3</v>
      </c>
    </row>
    <row r="226">
      <c r="A226" s="4" t="inlineStr">
        <is>
          <t>折旧费</t>
        </is>
      </c>
      <c r="D226" s="7" t="n">
        <v>7558.9</v>
      </c>
      <c r="F226" s="7" t="n">
        <v>6172.1</v>
      </c>
      <c r="H226" s="7" t="n">
        <v>9896.299999999999</v>
      </c>
      <c r="J226" s="7" t="n">
        <v>6549.1</v>
      </c>
      <c r="L226" s="7" t="n">
        <v>9726.700000000001</v>
      </c>
      <c r="N226" s="7" t="n">
        <v>8796</v>
      </c>
      <c r="P226" s="7" t="n">
        <v>4081.6</v>
      </c>
      <c r="R226" s="7" t="n">
        <v>9667</v>
      </c>
      <c r="T226" s="7" t="n">
        <v>8289.1</v>
      </c>
      <c r="V226" s="7" t="n">
        <v>11558.4</v>
      </c>
      <c r="X226" s="7" t="n">
        <v>5797</v>
      </c>
      <c r="Z226" s="7" t="n">
        <v>7282.6</v>
      </c>
      <c r="AB226" s="7" t="n">
        <v>95374.8</v>
      </c>
    </row>
    <row r="227">
      <c r="A227" s="4" t="inlineStr">
        <is>
          <t>认证费</t>
        </is>
      </c>
      <c r="D227" s="7" t="n">
        <v>205.7</v>
      </c>
      <c r="F227" s="7" t="n">
        <v>227.4</v>
      </c>
      <c r="H227" s="7" t="n">
        <v>201.5</v>
      </c>
      <c r="J227" s="7" t="n">
        <v>228.2</v>
      </c>
      <c r="L227" s="7" t="n">
        <v>235.3</v>
      </c>
      <c r="N227" s="7" t="n">
        <v>250.9</v>
      </c>
      <c r="P227" s="7" t="n">
        <v>143.4</v>
      </c>
      <c r="R227" s="7" t="n">
        <v>311.8</v>
      </c>
      <c r="T227" s="7" t="n">
        <v>269.9</v>
      </c>
      <c r="V227" s="7" t="n">
        <v>422.8</v>
      </c>
      <c r="X227" s="7" t="n">
        <v>237.7</v>
      </c>
      <c r="Z227" s="7" t="n">
        <v>256.9</v>
      </c>
      <c r="AB227" s="7" t="n">
        <v>2991.5</v>
      </c>
    </row>
    <row r="228">
      <c r="A228" s="4" t="inlineStr">
        <is>
          <t>样品费</t>
        </is>
      </c>
      <c r="D228" s="7" t="n">
        <v>3577</v>
      </c>
      <c r="F228" s="7" t="n">
        <v>2784</v>
      </c>
      <c r="H228" s="7" t="n">
        <v>3054.5</v>
      </c>
      <c r="J228" s="7" t="n">
        <v>3544.7</v>
      </c>
      <c r="L228" s="7" t="n">
        <v>3349.6</v>
      </c>
      <c r="N228" s="7" t="n">
        <v>5465.5</v>
      </c>
      <c r="P228" s="7" t="n">
        <v>1870.1</v>
      </c>
      <c r="R228" s="7" t="n">
        <v>7206.4</v>
      </c>
      <c r="T228" s="7" t="n">
        <v>3445.1</v>
      </c>
      <c r="V228" s="7" t="n">
        <v>4719.6</v>
      </c>
      <c r="X228" s="7" t="n">
        <v>3045.3</v>
      </c>
      <c r="Z228" s="7" t="n">
        <v>2654.1</v>
      </c>
      <c r="AB228" s="7" t="n">
        <v>44715.9</v>
      </c>
    </row>
    <row r="229">
      <c r="A229" s="4" t="inlineStr">
        <is>
          <t>劳务费</t>
        </is>
      </c>
      <c r="D229" s="7" t="n">
        <v>145.7</v>
      </c>
      <c r="F229" s="7" t="n">
        <v>139.2</v>
      </c>
      <c r="H229" s="7" t="n">
        <v>174.6</v>
      </c>
      <c r="J229" s="7" t="n">
        <v>141.9</v>
      </c>
      <c r="L229" s="7" t="n">
        <v>244.3</v>
      </c>
      <c r="N229" s="7" t="n">
        <v>251</v>
      </c>
      <c r="P229" s="7" t="n">
        <v>116.1</v>
      </c>
      <c r="R229" s="7" t="n">
        <v>292.5</v>
      </c>
      <c r="T229" s="7" t="n">
        <v>152.8</v>
      </c>
      <c r="V229" s="7" t="n">
        <v>223.9</v>
      </c>
      <c r="X229" s="7" t="n">
        <v>204</v>
      </c>
      <c r="Z229" s="7" t="n">
        <v>171.8</v>
      </c>
      <c r="AB229" s="7" t="n">
        <v>2257.8</v>
      </c>
    </row>
    <row r="230">
      <c r="A230" s="4" t="inlineStr">
        <is>
          <t>销售佣金</t>
        </is>
      </c>
      <c r="D230" s="7" t="n">
        <v>407</v>
      </c>
      <c r="F230" s="7" t="n">
        <v>370.5</v>
      </c>
      <c r="H230" s="7" t="n">
        <v>680.5</v>
      </c>
      <c r="J230" s="7" t="n">
        <v>304.5</v>
      </c>
      <c r="L230" s="7" t="n">
        <v>521.7</v>
      </c>
      <c r="N230" s="7" t="n">
        <v>885.1</v>
      </c>
      <c r="P230" s="7" t="n">
        <v>280.5</v>
      </c>
      <c r="R230" s="7" t="n">
        <v>798.9</v>
      </c>
      <c r="T230" s="7" t="n">
        <v>603</v>
      </c>
      <c r="V230" s="7" t="n">
        <v>696.2</v>
      </c>
      <c r="X230" s="7" t="n">
        <v>412.3</v>
      </c>
      <c r="Z230" s="7" t="n">
        <v>348.3</v>
      </c>
      <c r="AB230" s="7" t="n">
        <v>6308.5</v>
      </c>
    </row>
    <row r="231">
      <c r="A231" s="4" t="inlineStr">
        <is>
          <t>检测费</t>
        </is>
      </c>
      <c r="D231" s="7" t="n">
        <v>483.7</v>
      </c>
      <c r="F231" s="7" t="n">
        <v>446.6</v>
      </c>
      <c r="H231" s="7" t="n">
        <v>604.8</v>
      </c>
      <c r="J231" s="7" t="n">
        <v>372.9</v>
      </c>
      <c r="L231" s="7" t="n">
        <v>880.7</v>
      </c>
      <c r="N231" s="7" t="n">
        <v>745.8</v>
      </c>
      <c r="P231" s="7" t="n">
        <v>383.8</v>
      </c>
      <c r="R231" s="7" t="n">
        <v>998.2</v>
      </c>
      <c r="T231" s="7" t="n">
        <v>499.9</v>
      </c>
      <c r="V231" s="7" t="n">
        <v>869.6</v>
      </c>
      <c r="X231" s="7" t="n">
        <v>707</v>
      </c>
      <c r="Z231" s="7" t="n">
        <v>470.1</v>
      </c>
      <c r="AB231" s="7" t="n">
        <v>7463.1</v>
      </c>
    </row>
    <row r="232">
      <c r="A232" s="4" t="inlineStr">
        <is>
          <t>质量赔偿</t>
        </is>
      </c>
      <c r="D232" s="7" t="n">
        <v>336.4</v>
      </c>
      <c r="F232" s="7" t="n">
        <v>426.7</v>
      </c>
      <c r="H232" s="7" t="n">
        <v>460.6</v>
      </c>
      <c r="J232" s="7" t="n">
        <v>497.4</v>
      </c>
      <c r="L232" s="7" t="n">
        <v>578.1</v>
      </c>
      <c r="N232" s="7" t="n">
        <v>978.1</v>
      </c>
      <c r="P232" s="7" t="n">
        <v>307.3</v>
      </c>
      <c r="R232" s="7" t="n">
        <v>808.3</v>
      </c>
      <c r="T232" s="7" t="n">
        <v>492.4</v>
      </c>
      <c r="V232" s="7" t="n">
        <v>918.6</v>
      </c>
      <c r="X232" s="7" t="n">
        <v>513</v>
      </c>
      <c r="Z232" s="7" t="n">
        <v>326.5</v>
      </c>
      <c r="AB232" s="7" t="n">
        <v>6643.4</v>
      </c>
    </row>
    <row r="233">
      <c r="A233" s="4" t="inlineStr">
        <is>
          <t>保险费</t>
        </is>
      </c>
      <c r="D233" s="7" t="n">
        <v>613.3</v>
      </c>
      <c r="F233" s="7" t="n">
        <v>393.7</v>
      </c>
      <c r="H233" s="7" t="n">
        <v>821.4</v>
      </c>
      <c r="J233" s="7" t="n">
        <v>310.7</v>
      </c>
      <c r="L233" s="7" t="n">
        <v>900.6</v>
      </c>
      <c r="N233" s="7" t="n">
        <v>856.1</v>
      </c>
      <c r="P233" s="7" t="n">
        <v>317.8</v>
      </c>
      <c r="R233" s="7" t="n">
        <v>1086.9</v>
      </c>
      <c r="T233" s="7" t="n">
        <v>547</v>
      </c>
      <c r="V233" s="7" t="n">
        <v>766.6</v>
      </c>
      <c r="X233" s="7" t="n">
        <v>651.3</v>
      </c>
      <c r="Z233" s="7" t="n">
        <v>559.5</v>
      </c>
      <c r="AB233" s="7" t="n">
        <v>7824.9</v>
      </c>
    </row>
    <row r="234">
      <c r="A234" s="4" t="inlineStr">
        <is>
          <t>清洁费</t>
        </is>
      </c>
      <c r="D234" s="7" t="n">
        <v>409.1</v>
      </c>
      <c r="F234" s="7" t="n">
        <v>566</v>
      </c>
      <c r="H234" s="7" t="n">
        <v>729.6</v>
      </c>
      <c r="J234" s="7" t="n">
        <v>429</v>
      </c>
      <c r="L234" s="7" t="n">
        <v>735.7</v>
      </c>
      <c r="N234" s="7" t="n">
        <v>735.4</v>
      </c>
      <c r="P234" s="7" t="n">
        <v>258.4</v>
      </c>
      <c r="R234" s="7" t="n">
        <v>1025.4</v>
      </c>
      <c r="T234" s="7" t="n">
        <v>561.7</v>
      </c>
      <c r="V234" s="7" t="n">
        <v>886.6</v>
      </c>
      <c r="X234" s="7" t="n">
        <v>706.7</v>
      </c>
      <c r="Z234" s="7" t="n">
        <v>745.1</v>
      </c>
      <c r="AB234" s="7" t="n">
        <v>7788.7</v>
      </c>
    </row>
    <row r="235">
      <c r="A235" s="4" t="inlineStr">
        <is>
          <t>低值易耗品</t>
        </is>
      </c>
      <c r="D235" s="7" t="n">
        <v>389.1</v>
      </c>
      <c r="F235" s="7" t="n">
        <v>279.6</v>
      </c>
      <c r="H235" s="7" t="n">
        <v>375.7</v>
      </c>
      <c r="J235" s="7" t="n">
        <v>350</v>
      </c>
      <c r="L235" s="7" t="n">
        <v>475.7</v>
      </c>
      <c r="N235" s="7" t="n">
        <v>502.4</v>
      </c>
      <c r="P235" s="7" t="n">
        <v>265.3</v>
      </c>
      <c r="R235" s="7" t="n">
        <v>559.8</v>
      </c>
      <c r="T235" s="7" t="n">
        <v>394</v>
      </c>
      <c r="V235" s="7" t="n">
        <v>611</v>
      </c>
      <c r="X235" s="7" t="n">
        <v>293.3</v>
      </c>
      <c r="Z235" s="7" t="n">
        <v>406.6</v>
      </c>
      <c r="AB235" s="7" t="n">
        <v>4902.5</v>
      </c>
    </row>
    <row r="236">
      <c r="A236" s="4" t="inlineStr">
        <is>
          <t>物料消耗</t>
        </is>
      </c>
      <c r="D236" s="7" t="n">
        <v>499.6</v>
      </c>
      <c r="F236" s="7" t="n">
        <v>618.2</v>
      </c>
      <c r="H236" s="7" t="n">
        <v>1105</v>
      </c>
      <c r="J236" s="7" t="n">
        <v>681.2</v>
      </c>
      <c r="L236" s="7" t="n">
        <v>942.6</v>
      </c>
      <c r="N236" s="7" t="n">
        <v>1489.4</v>
      </c>
      <c r="P236" s="7" t="n">
        <v>468.6</v>
      </c>
      <c r="R236" s="7" t="n">
        <v>1454.1</v>
      </c>
      <c r="T236" s="7" t="n">
        <v>838.8</v>
      </c>
      <c r="V236" s="7" t="n">
        <v>1372.7</v>
      </c>
      <c r="X236" s="7" t="n">
        <v>914.7</v>
      </c>
      <c r="Z236" s="7" t="n">
        <v>552.8</v>
      </c>
      <c r="AB236" s="7" t="n">
        <v>10937.7</v>
      </c>
    </row>
    <row r="237">
      <c r="A237" s="4" t="inlineStr">
        <is>
          <t>盘盈盘亏</t>
        </is>
      </c>
      <c r="D237" s="7" t="n">
        <v>40.9</v>
      </c>
      <c r="F237" s="7" t="n">
        <v>33.1</v>
      </c>
      <c r="H237" s="7" t="n">
        <v>47</v>
      </c>
      <c r="J237" s="7" t="n">
        <v>26.9</v>
      </c>
      <c r="L237" s="7" t="n">
        <v>56.5</v>
      </c>
      <c r="N237" s="7" t="n">
        <v>69</v>
      </c>
      <c r="P237" s="7" t="n">
        <v>18.3</v>
      </c>
      <c r="R237" s="7" t="n">
        <v>48.5</v>
      </c>
      <c r="T237" s="7" t="n">
        <v>45.6</v>
      </c>
      <c r="V237" s="7" t="n">
        <v>62.7</v>
      </c>
      <c r="X237" s="7" t="n">
        <v>28.3</v>
      </c>
      <c r="Z237" s="7" t="n">
        <v>34.7</v>
      </c>
      <c r="AB237" s="7" t="n">
        <v>511.5</v>
      </c>
    </row>
    <row r="238">
      <c r="A238" s="4" t="inlineStr">
        <is>
          <t>平台服务费</t>
        </is>
      </c>
      <c r="D238" s="7" t="n">
        <v>997.6</v>
      </c>
      <c r="F238" s="7" t="n">
        <v>756.4</v>
      </c>
      <c r="H238" s="7" t="n">
        <v>918.1</v>
      </c>
      <c r="J238" s="7" t="n">
        <v>776.6</v>
      </c>
      <c r="L238" s="7" t="n">
        <v>1804.3</v>
      </c>
      <c r="N238" s="7" t="n">
        <v>1594.9</v>
      </c>
      <c r="P238" s="7" t="n">
        <v>456.1</v>
      </c>
      <c r="R238" s="7" t="n">
        <v>1943.3</v>
      </c>
      <c r="T238" s="7" t="n">
        <v>1047.4</v>
      </c>
      <c r="V238" s="7" t="n">
        <v>1917.4</v>
      </c>
      <c r="X238" s="7" t="n">
        <v>1022.1</v>
      </c>
      <c r="Z238" s="7" t="n">
        <v>1068.6</v>
      </c>
      <c r="AB238" s="7" t="n">
        <v>14302.8</v>
      </c>
    </row>
    <row r="239">
      <c r="A239" s="4" t="inlineStr">
        <is>
          <t>无形资产摊销</t>
        </is>
      </c>
      <c r="D239" s="7" t="n">
        <v>347.4</v>
      </c>
      <c r="F239" s="7" t="n">
        <v>437.5</v>
      </c>
      <c r="H239" s="7" t="n">
        <v>562.1</v>
      </c>
      <c r="J239" s="7" t="n">
        <v>286.1</v>
      </c>
      <c r="L239" s="7" t="n">
        <v>456.6</v>
      </c>
      <c r="N239" s="7" t="n">
        <v>806.3</v>
      </c>
      <c r="P239" s="7" t="n">
        <v>219.9</v>
      </c>
      <c r="R239" s="7" t="n">
        <v>862</v>
      </c>
      <c r="T239" s="7" t="n">
        <v>479.6</v>
      </c>
      <c r="V239" s="7" t="n">
        <v>655.1</v>
      </c>
      <c r="X239" s="7" t="n">
        <v>486.1</v>
      </c>
      <c r="Z239" s="7" t="n">
        <v>455.7</v>
      </c>
      <c r="AB239" s="7" t="n">
        <v>6054.4</v>
      </c>
    </row>
    <row r="240">
      <c r="A240" s="4" t="inlineStr">
        <is>
          <t>研发材料</t>
        </is>
      </c>
      <c r="D240" s="7" t="n">
        <v>691.7</v>
      </c>
      <c r="F240" s="7" t="n">
        <v>570.1</v>
      </c>
      <c r="H240" s="7" t="n">
        <v>576.1</v>
      </c>
      <c r="J240" s="7" t="n">
        <v>419.7</v>
      </c>
      <c r="L240" s="7" t="n">
        <v>643.1</v>
      </c>
      <c r="N240" s="7" t="n">
        <v>901.6</v>
      </c>
      <c r="P240" s="7" t="n">
        <v>380.8</v>
      </c>
      <c r="R240" s="7" t="n">
        <v>919.9</v>
      </c>
      <c r="T240" s="7" t="n">
        <v>727.5</v>
      </c>
      <c r="V240" s="7" t="n">
        <v>1198.2</v>
      </c>
      <c r="X240" s="7" t="n">
        <v>598.9</v>
      </c>
      <c r="Z240" s="7" t="n">
        <v>717.3</v>
      </c>
      <c r="AB240" s="7" t="n">
        <v>8344.9</v>
      </c>
    </row>
    <row r="241">
      <c r="A241" s="4" t="inlineStr">
        <is>
          <t>项目名称</t>
        </is>
      </c>
      <c r="D241" s="7" t="n">
        <v>1219.9</v>
      </c>
      <c r="F241" s="7" t="n">
        <v>981.1</v>
      </c>
      <c r="H241" s="7" t="n">
        <v>1163.9</v>
      </c>
      <c r="J241" s="7" t="n">
        <v>981.3</v>
      </c>
      <c r="L241" s="7" t="n">
        <v>1483.6</v>
      </c>
      <c r="N241" s="7" t="n">
        <v>2332.7</v>
      </c>
      <c r="P241" s="7" t="n">
        <v>695.1</v>
      </c>
      <c r="R241" s="7" t="n">
        <v>2440.2</v>
      </c>
      <c r="T241" s="7" t="n">
        <v>920</v>
      </c>
      <c r="V241" s="7" t="n">
        <v>2269.7</v>
      </c>
      <c r="X241" s="7" t="n">
        <v>1236.2</v>
      </c>
      <c r="Z241" s="7" t="n">
        <v>1473.9</v>
      </c>
      <c r="AB241" s="7" t="n">
        <v>17197.6</v>
      </c>
    </row>
    <row r="242">
      <c r="A242" s="4" t="inlineStr">
        <is>
          <t>研发费</t>
        </is>
      </c>
      <c r="D242" s="7" t="n">
        <v>334.7</v>
      </c>
      <c r="F242" s="7" t="n">
        <v>260.5</v>
      </c>
      <c r="H242" s="7" t="n">
        <v>346.1</v>
      </c>
      <c r="J242" s="7" t="n">
        <v>302.3</v>
      </c>
      <c r="L242" s="7" t="n">
        <v>518.6</v>
      </c>
      <c r="N242" s="7" t="n">
        <v>426</v>
      </c>
      <c r="P242" s="7" t="n">
        <v>153.5</v>
      </c>
      <c r="R242" s="7" t="n">
        <v>507</v>
      </c>
      <c r="T242" s="7" t="n">
        <v>337</v>
      </c>
      <c r="V242" s="7" t="n">
        <v>349</v>
      </c>
      <c r="X242" s="7" t="n">
        <v>290.7</v>
      </c>
      <c r="Z242" s="7" t="n">
        <v>235.2</v>
      </c>
      <c r="AB242" s="7" t="n">
        <v>4060.6</v>
      </c>
    </row>
    <row r="243">
      <c r="A243" s="4" t="inlineStr">
        <is>
          <t>残保金</t>
        </is>
      </c>
      <c r="D243" s="7" t="n">
        <v>450.8</v>
      </c>
      <c r="F243" s="7" t="n">
        <v>633.6</v>
      </c>
      <c r="H243" s="7" t="n">
        <v>1013.7</v>
      </c>
      <c r="J243" s="7" t="n">
        <v>521</v>
      </c>
      <c r="L243" s="7" t="n">
        <v>655</v>
      </c>
      <c r="N243" s="7" t="n">
        <v>905.2</v>
      </c>
      <c r="P243" s="7" t="n">
        <v>295.1</v>
      </c>
      <c r="R243" s="7" t="n">
        <v>985.1</v>
      </c>
      <c r="T243" s="7" t="n">
        <v>780.2</v>
      </c>
      <c r="V243" s="7" t="n">
        <v>785.1</v>
      </c>
      <c r="X243" s="7" t="n">
        <v>733.7</v>
      </c>
      <c r="Z243" s="7" t="n">
        <v>776.2</v>
      </c>
      <c r="AB243" s="7" t="n">
        <v>8534.700000000001</v>
      </c>
    </row>
    <row r="244">
      <c r="A244" s="4" t="inlineStr">
        <is>
          <t>环保费</t>
        </is>
      </c>
      <c r="D244" s="7" t="n">
        <v>702.5</v>
      </c>
      <c r="F244" s="7" t="n">
        <v>517.6</v>
      </c>
      <c r="H244" s="7" t="n">
        <v>694</v>
      </c>
      <c r="J244" s="7" t="n">
        <v>432.6</v>
      </c>
      <c r="L244" s="7" t="n">
        <v>768.4</v>
      </c>
      <c r="N244" s="7" t="n">
        <v>998.1</v>
      </c>
      <c r="P244" s="7" t="n">
        <v>280.5</v>
      </c>
      <c r="R244" s="7" t="n">
        <v>1036.5</v>
      </c>
      <c r="T244" s="7" t="n">
        <v>884.3</v>
      </c>
      <c r="V244" s="7" t="n">
        <v>1358.9</v>
      </c>
      <c r="X244" s="7" t="n">
        <v>896.9</v>
      </c>
      <c r="Z244" s="7" t="n">
        <v>727.5</v>
      </c>
      <c r="AB244" s="7" t="n">
        <v>9297.799999999999</v>
      </c>
    </row>
    <row r="245">
      <c r="A245" s="4" t="inlineStr">
        <is>
          <t>报废损失</t>
        </is>
      </c>
      <c r="D245" s="7" t="n">
        <v>905.5</v>
      </c>
      <c r="F245" s="7" t="n">
        <v>776.2</v>
      </c>
      <c r="H245" s="7" t="n">
        <v>790.8</v>
      </c>
      <c r="J245" s="7" t="n">
        <v>537.3</v>
      </c>
      <c r="L245" s="7" t="n">
        <v>846.3</v>
      </c>
      <c r="N245" s="7" t="n">
        <v>1263.6</v>
      </c>
      <c r="P245" s="7" t="n">
        <v>596.7</v>
      </c>
      <c r="R245" s="7" t="n">
        <v>1097.4</v>
      </c>
      <c r="T245" s="7" t="n">
        <v>752.7</v>
      </c>
      <c r="V245" s="7" t="n">
        <v>1732</v>
      </c>
      <c r="X245" s="7" t="n">
        <v>957.8</v>
      </c>
      <c r="Z245" s="7" t="n">
        <v>771.1</v>
      </c>
      <c r="AB245" s="7" t="n">
        <v>11027.4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5139.5</v>
      </c>
      <c r="D246" s="7" t="n">
        <v>10654.6</v>
      </c>
      <c r="E246" s="7" t="n">
        <v>5796.5</v>
      </c>
      <c r="F246" s="7" t="n">
        <v>-3355.2</v>
      </c>
      <c r="G246" s="7" t="n">
        <v>5931.9</v>
      </c>
      <c r="H246" s="7" t="n">
        <v>11939.1</v>
      </c>
      <c r="I246" s="7" t="n">
        <v>5515.4</v>
      </c>
      <c r="J246" s="7" t="n">
        <v>8981.5</v>
      </c>
      <c r="K246" s="7" t="n">
        <v>5068.8</v>
      </c>
      <c r="L246" s="7" t="n">
        <v>2372.9</v>
      </c>
      <c r="M246" s="7" t="n">
        <v>6024</v>
      </c>
      <c r="N246" s="7" t="n">
        <v>4536.4</v>
      </c>
      <c r="O246" s="7" t="n">
        <v>5777</v>
      </c>
      <c r="P246" s="7" t="n">
        <v>-2604.2</v>
      </c>
      <c r="Q246" s="7" t="n">
        <v>5251.6</v>
      </c>
      <c r="R246" s="7" t="n">
        <v>13799.1</v>
      </c>
      <c r="S246" s="7" t="n">
        <v>5050.5</v>
      </c>
      <c r="T246" s="7" t="n">
        <v>827.8</v>
      </c>
      <c r="U246" s="7" t="n">
        <v>4833.7</v>
      </c>
      <c r="V246" s="7" t="n">
        <v>9989.4</v>
      </c>
      <c r="W246" s="7" t="n">
        <v>4690.3</v>
      </c>
      <c r="X246" s="7" t="n">
        <v>11493.1</v>
      </c>
      <c r="Y246" s="7" t="n">
        <v>5477</v>
      </c>
      <c r="Z246" s="7" t="n">
        <v>-4734.8</v>
      </c>
      <c r="AA246" s="8" t="n">
        <v>64556.2</v>
      </c>
      <c r="AB246" s="8" t="n">
        <v>63899.7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-4324.6</v>
      </c>
      <c r="E248" s="7" t="n">
        <v>0</v>
      </c>
      <c r="F248" s="7" t="n">
        <v>2894.2</v>
      </c>
      <c r="G248" s="7" t="n">
        <v>0</v>
      </c>
      <c r="H248" s="7" t="n">
        <v>-3063.9</v>
      </c>
      <c r="I248" s="7" t="n">
        <v>0</v>
      </c>
      <c r="J248" s="7" t="n">
        <v>732.1</v>
      </c>
      <c r="K248" s="7" t="n">
        <v>0</v>
      </c>
      <c r="L248" s="7" t="n">
        <v>1373.6</v>
      </c>
      <c r="M248" s="7" t="n">
        <v>0</v>
      </c>
      <c r="N248" s="7" t="n">
        <v>-2437.1</v>
      </c>
      <c r="O248" s="7" t="n">
        <v>0</v>
      </c>
      <c r="P248" s="7" t="n">
        <v>-789.9</v>
      </c>
      <c r="Q248" s="7" t="n">
        <v>0</v>
      </c>
      <c r="R248" s="7" t="n">
        <v>2246.2</v>
      </c>
      <c r="S248" s="7" t="n">
        <v>0</v>
      </c>
      <c r="T248" s="7" t="n">
        <v>-553.8</v>
      </c>
      <c r="U248" s="7" t="n">
        <v>0</v>
      </c>
      <c r="V248" s="7" t="n">
        <v>-2568.5</v>
      </c>
      <c r="W248" s="7" t="n">
        <v>0</v>
      </c>
      <c r="X248" s="7" t="n">
        <v>2970.3</v>
      </c>
      <c r="Y248" s="7" t="n">
        <v>0</v>
      </c>
      <c r="Z248" s="7" t="n">
        <v>-4395.1</v>
      </c>
      <c r="AA248" s="7" t="n">
        <v>0</v>
      </c>
      <c r="AB248" s="7" t="n">
        <v>-7916.5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14387.2</v>
      </c>
      <c r="D253" s="7" t="n">
        <v>9350</v>
      </c>
      <c r="E253" s="7" t="n">
        <v>14773.7</v>
      </c>
      <c r="F253" s="7" t="n">
        <v>13075.4</v>
      </c>
      <c r="G253" s="7" t="n">
        <v>12161.2</v>
      </c>
      <c r="H253" s="7" t="n">
        <v>28792.2</v>
      </c>
      <c r="I253" s="7" t="n">
        <v>14053.5</v>
      </c>
      <c r="J253" s="7" t="n">
        <v>22631.2</v>
      </c>
      <c r="K253" s="7" t="n">
        <v>15433.7</v>
      </c>
      <c r="L253" s="7" t="n">
        <v>9335.6</v>
      </c>
      <c r="M253" s="7" t="n">
        <v>15532.7</v>
      </c>
      <c r="N253" s="7" t="n">
        <v>26556.7</v>
      </c>
      <c r="O253" s="7" t="n">
        <v>13695.7</v>
      </c>
      <c r="P253" s="7" t="n">
        <v>23264.9</v>
      </c>
      <c r="Q253" s="7" t="n">
        <v>12742.1</v>
      </c>
      <c r="R253" s="7" t="n">
        <v>4422.3</v>
      </c>
      <c r="S253" s="7" t="n">
        <v>12763</v>
      </c>
      <c r="T253" s="7" t="n">
        <v>9260.200000000001</v>
      </c>
      <c r="U253" s="7" t="n">
        <v>15742.2</v>
      </c>
      <c r="V253" s="7" t="n">
        <v>10287</v>
      </c>
      <c r="W253" s="7" t="n">
        <v>15223.7</v>
      </c>
      <c r="X253" s="7" t="n">
        <v>11064.9</v>
      </c>
      <c r="Y253" s="7" t="n">
        <v>13357</v>
      </c>
      <c r="Z253" s="7" t="n">
        <v>242.5</v>
      </c>
      <c r="AA253" s="7" t="n">
        <v>169865.7</v>
      </c>
      <c r="AB253" s="7" t="n">
        <v>168282.9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498919.4</v>
      </c>
      <c r="D254" s="7" t="n">
        <v>418631.9</v>
      </c>
      <c r="E254" s="7" t="n">
        <v>529666.9</v>
      </c>
      <c r="F254" s="7" t="n">
        <v>385715.8</v>
      </c>
      <c r="G254" s="7" t="n">
        <v>492240.3</v>
      </c>
      <c r="H254" s="7" t="n">
        <v>601204.9</v>
      </c>
      <c r="I254" s="7" t="n">
        <v>530294.9</v>
      </c>
      <c r="J254" s="7" t="n">
        <v>620403.3</v>
      </c>
      <c r="K254" s="7" t="n">
        <v>531552.6</v>
      </c>
      <c r="L254" s="7" t="n">
        <v>514920.4</v>
      </c>
      <c r="M254" s="7" t="n">
        <v>599852.3</v>
      </c>
      <c r="N254" s="7" t="n">
        <v>726412.1</v>
      </c>
      <c r="O254" s="7" t="n">
        <v>533069.9</v>
      </c>
      <c r="P254" s="7" t="n">
        <v>1106820.8</v>
      </c>
      <c r="Q254" s="7" t="n">
        <v>619053.5</v>
      </c>
      <c r="R254" s="7" t="n">
        <v>625789.1</v>
      </c>
      <c r="S254" s="7" t="n">
        <v>656878.1</v>
      </c>
      <c r="T254" s="7" t="n">
        <v>530143.1</v>
      </c>
      <c r="U254" s="7" t="n">
        <v>549118.5</v>
      </c>
      <c r="V254" s="7" t="n">
        <v>461777.7</v>
      </c>
      <c r="W254" s="7" t="n">
        <v>620007</v>
      </c>
      <c r="X254" s="7" t="n">
        <v>486623</v>
      </c>
      <c r="Y254" s="7" t="n">
        <v>527222.3</v>
      </c>
      <c r="Z254" s="7" t="n">
        <v>461776.2</v>
      </c>
      <c r="AA254" s="8" t="n">
        <v>6687875.7</v>
      </c>
      <c r="AB254" s="8" t="n">
        <v>6940218.3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921.2</v>
      </c>
      <c r="E255" s="7" t="n">
        <v>0</v>
      </c>
      <c r="F255" s="7" t="n">
        <v>4949.4</v>
      </c>
      <c r="G255" s="7" t="n">
        <v>0</v>
      </c>
      <c r="H255" s="7" t="n">
        <v>1814.1</v>
      </c>
      <c r="I255" s="7" t="n">
        <v>0</v>
      </c>
      <c r="J255" s="7" t="n">
        <v>368.7</v>
      </c>
      <c r="K255" s="7" t="n">
        <v>0</v>
      </c>
      <c r="L255" s="7" t="n">
        <v>150.1</v>
      </c>
      <c r="M255" s="7" t="n">
        <v>0</v>
      </c>
      <c r="N255" s="7" t="n">
        <v>575.9</v>
      </c>
      <c r="O255" s="7" t="n">
        <v>0</v>
      </c>
      <c r="P255" s="7" t="n">
        <v>1452.9</v>
      </c>
      <c r="Q255" s="7" t="n">
        <v>0</v>
      </c>
      <c r="R255" s="7" t="n">
        <v>972</v>
      </c>
      <c r="S255" s="7" t="n">
        <v>0</v>
      </c>
      <c r="T255" s="7" t="n">
        <v>2928.4</v>
      </c>
      <c r="U255" s="7" t="n">
        <v>0</v>
      </c>
      <c r="V255" s="7" t="n">
        <v>3827.7</v>
      </c>
      <c r="W255" s="7" t="n">
        <v>0</v>
      </c>
      <c r="X255" s="7" t="n">
        <v>219.5</v>
      </c>
      <c r="Y255" s="7" t="n">
        <v>0</v>
      </c>
      <c r="Z255" s="7" t="n">
        <v>148.4</v>
      </c>
      <c r="AA255" s="7" t="n">
        <v>0</v>
      </c>
      <c r="AB255" s="7" t="n">
        <v>18328.3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593.5</v>
      </c>
      <c r="E256" s="7" t="n">
        <v>0</v>
      </c>
      <c r="F256" s="7" t="n">
        <v>522.4</v>
      </c>
      <c r="G256" s="7" t="n">
        <v>0</v>
      </c>
      <c r="H256" s="7" t="n">
        <v>2656.1</v>
      </c>
      <c r="I256" s="7" t="n">
        <v>0</v>
      </c>
      <c r="J256" s="7" t="n">
        <v>2156.5</v>
      </c>
      <c r="K256" s="7" t="n">
        <v>0</v>
      </c>
      <c r="L256" s="7" t="n">
        <v>1019.5</v>
      </c>
      <c r="M256" s="7" t="n">
        <v>0</v>
      </c>
      <c r="N256" s="7" t="n">
        <v>1663.5</v>
      </c>
      <c r="O256" s="7" t="n">
        <v>0</v>
      </c>
      <c r="P256" s="7" t="n">
        <v>535.6</v>
      </c>
      <c r="Q256" s="7" t="n">
        <v>0</v>
      </c>
      <c r="R256" s="7" t="n">
        <v>64.5</v>
      </c>
      <c r="S256" s="7" t="n">
        <v>0</v>
      </c>
      <c r="T256" s="7" t="n">
        <v>2528.6</v>
      </c>
      <c r="U256" s="7" t="n">
        <v>0</v>
      </c>
      <c r="V256" s="7" t="n">
        <v>2731.9</v>
      </c>
      <c r="W256" s="7" t="n">
        <v>0</v>
      </c>
      <c r="X256" s="7" t="n">
        <v>63</v>
      </c>
      <c r="Y256" s="7" t="n">
        <v>0</v>
      </c>
      <c r="Z256" s="7" t="n">
        <v>2032.4</v>
      </c>
      <c r="AA256" s="7" t="n">
        <v>0</v>
      </c>
      <c r="AB256" s="7" t="n">
        <v>16567.5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664856.2</v>
      </c>
      <c r="D257" s="7" t="n">
        <v>408494.5</v>
      </c>
      <c r="E257" s="7" t="n">
        <v>519227</v>
      </c>
      <c r="F257" s="7" t="n">
        <v>407887.8</v>
      </c>
      <c r="G257" s="7" t="n">
        <v>533387.5</v>
      </c>
      <c r="H257" s="7" t="n">
        <v>554427.4</v>
      </c>
      <c r="I257" s="7" t="n">
        <v>673054.2</v>
      </c>
      <c r="J257" s="7" t="n">
        <v>674516.6</v>
      </c>
      <c r="K257" s="7" t="n">
        <v>649901.2</v>
      </c>
      <c r="L257" s="7" t="n">
        <v>494846</v>
      </c>
      <c r="M257" s="7" t="n">
        <v>541851</v>
      </c>
      <c r="N257" s="7" t="n">
        <v>688660.5</v>
      </c>
      <c r="O257" s="7" t="n">
        <v>575260</v>
      </c>
      <c r="P257" s="7" t="n">
        <v>1175330.3</v>
      </c>
      <c r="Q257" s="7" t="n">
        <v>574554.2</v>
      </c>
      <c r="R257" s="7" t="n">
        <v>645928.1</v>
      </c>
      <c r="S257" s="7" t="n">
        <v>614909.6</v>
      </c>
      <c r="T257" s="7" t="n">
        <v>576918.9</v>
      </c>
      <c r="U257" s="7" t="n">
        <v>682516.6</v>
      </c>
      <c r="V257" s="7" t="n">
        <v>505840.7</v>
      </c>
      <c r="W257" s="7" t="n">
        <v>551320.9</v>
      </c>
      <c r="X257" s="7" t="n">
        <v>535061</v>
      </c>
      <c r="Y257" s="7" t="n">
        <v>515791</v>
      </c>
      <c r="Z257" s="7" t="n">
        <v>497024.9</v>
      </c>
      <c r="AA257" s="8" t="n">
        <v>7096629.4</v>
      </c>
      <c r="AB257" s="8" t="n">
        <v>7164936.7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154465.3</v>
      </c>
      <c r="D258" s="7" t="n">
        <v>102123.6</v>
      </c>
      <c r="E258" s="7" t="n">
        <v>135347.2</v>
      </c>
      <c r="F258" s="7" t="n">
        <v>101971.9</v>
      </c>
      <c r="G258" s="7" t="n">
        <v>150857.8</v>
      </c>
      <c r="H258" s="7" t="n">
        <v>138606.9</v>
      </c>
      <c r="I258" s="7" t="n">
        <v>162237.5</v>
      </c>
      <c r="J258" s="7" t="n">
        <v>168629.1</v>
      </c>
      <c r="K258" s="7" t="n">
        <v>141552.9</v>
      </c>
      <c r="L258" s="7" t="n">
        <v>123711.5</v>
      </c>
      <c r="M258" s="7" t="n">
        <v>129264.1</v>
      </c>
      <c r="N258" s="7" t="n">
        <v>172165.1</v>
      </c>
      <c r="O258" s="7" t="n">
        <v>162507.3</v>
      </c>
      <c r="P258" s="7" t="n">
        <v>293832.6</v>
      </c>
      <c r="Q258" s="7" t="n">
        <v>165966.1</v>
      </c>
      <c r="R258" s="7" t="n">
        <v>161482</v>
      </c>
      <c r="S258" s="7" t="n">
        <v>165010.1</v>
      </c>
      <c r="T258" s="7" t="n">
        <v>144229.7</v>
      </c>
      <c r="U258" s="7" t="n">
        <v>170244.1</v>
      </c>
      <c r="V258" s="7" t="n">
        <v>126460.2</v>
      </c>
      <c r="W258" s="7" t="n">
        <v>166547.5</v>
      </c>
      <c r="X258" s="7" t="n">
        <v>133765.2</v>
      </c>
      <c r="Y258" s="7" t="n">
        <v>136248.9</v>
      </c>
      <c r="Z258" s="7" t="n">
        <v>124256.2</v>
      </c>
      <c r="AA258" s="7" t="n">
        <v>1840248.8</v>
      </c>
      <c r="AB258" s="7" t="n">
        <v>1791234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384507.9</v>
      </c>
      <c r="D259" s="7" t="n">
        <v>306370.9</v>
      </c>
      <c r="E259" s="7" t="n">
        <v>382862.7</v>
      </c>
      <c r="F259" s="7" t="n">
        <v>305915.9</v>
      </c>
      <c r="G259" s="7" t="n">
        <v>340756.7</v>
      </c>
      <c r="H259" s="7" t="n">
        <v>415820.5</v>
      </c>
      <c r="I259" s="7" t="n">
        <v>428154.3</v>
      </c>
      <c r="J259" s="7" t="n">
        <v>505887.5</v>
      </c>
      <c r="K259" s="7" t="n">
        <v>326944.2</v>
      </c>
      <c r="L259" s="7" t="n">
        <v>371134.5</v>
      </c>
      <c r="M259" s="7" t="n">
        <v>428018.7</v>
      </c>
      <c r="N259" s="7" t="n">
        <v>516495.4</v>
      </c>
      <c r="O259" s="7" t="n">
        <v>529104.8</v>
      </c>
      <c r="P259" s="7" t="n">
        <v>881497.7</v>
      </c>
      <c r="Q259" s="7" t="n">
        <v>387025.6</v>
      </c>
      <c r="R259" s="7" t="n">
        <v>484446.1</v>
      </c>
      <c r="S259" s="7" t="n">
        <v>483525</v>
      </c>
      <c r="T259" s="7" t="n">
        <v>432689.2</v>
      </c>
      <c r="U259" s="7" t="n">
        <v>506901.5</v>
      </c>
      <c r="V259" s="7" t="n">
        <v>379380.5</v>
      </c>
      <c r="W259" s="7" t="n">
        <v>505902.9</v>
      </c>
      <c r="X259" s="7" t="n">
        <v>401295.8</v>
      </c>
      <c r="Y259" s="7" t="n">
        <v>358151</v>
      </c>
      <c r="Z259" s="7" t="n">
        <v>372768.7</v>
      </c>
      <c r="AA259" s="8" t="n">
        <v>5061855.3</v>
      </c>
      <c r="AB259" s="8" t="n">
        <v>5373702.7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7482.3</v>
      </c>
      <c r="E260" s="7" t="n">
        <v>0</v>
      </c>
      <c r="F260" s="7" t="n">
        <v>43195.4</v>
      </c>
      <c r="G260" s="7" t="n">
        <v>0</v>
      </c>
      <c r="H260" s="7" t="n">
        <v>82769.3</v>
      </c>
      <c r="I260" s="7" t="n">
        <v>0</v>
      </c>
      <c r="J260" s="7" t="n">
        <v>9845.5</v>
      </c>
      <c r="K260" s="7" t="n">
        <v>0</v>
      </c>
      <c r="L260" s="7" t="n">
        <v>56629.2</v>
      </c>
      <c r="M260" s="7" t="n">
        <v>0</v>
      </c>
      <c r="N260" s="7" t="n">
        <v>116414.1</v>
      </c>
      <c r="O260" s="7" t="n">
        <v>0</v>
      </c>
      <c r="P260" s="7" t="n">
        <v>170588.7</v>
      </c>
      <c r="Q260" s="7" t="n">
        <v>0</v>
      </c>
      <c r="R260" s="7" t="n">
        <v>73998</v>
      </c>
      <c r="S260" s="7" t="n">
        <v>0</v>
      </c>
      <c r="T260" s="7" t="n">
        <v>64720.1</v>
      </c>
      <c r="U260" s="7" t="n">
        <v>0</v>
      </c>
      <c r="V260" s="7" t="n">
        <v>52840.2</v>
      </c>
      <c r="W260" s="7" t="n">
        <v>0</v>
      </c>
      <c r="X260" s="7" t="n">
        <v>38743.9</v>
      </c>
      <c r="Y260" s="7" t="n">
        <v>0</v>
      </c>
      <c r="Z260" s="7" t="n">
        <v>41811.1</v>
      </c>
      <c r="AA260" s="7" t="n">
        <v>0</v>
      </c>
      <c r="AB260" s="7" t="n">
        <v>759037.8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384507.9</v>
      </c>
      <c r="D261" s="7" t="n">
        <v>298888.6</v>
      </c>
      <c r="E261" s="7" t="n">
        <v>382862.7</v>
      </c>
      <c r="F261" s="7" t="n">
        <v>262720.5</v>
      </c>
      <c r="G261" s="7" t="n">
        <v>340756.7</v>
      </c>
      <c r="H261" s="7" t="n">
        <v>333051.2</v>
      </c>
      <c r="I261" s="7" t="n">
        <v>428154.3</v>
      </c>
      <c r="J261" s="7" t="n">
        <v>496042</v>
      </c>
      <c r="K261" s="7" t="n">
        <v>326944.2</v>
      </c>
      <c r="L261" s="7" t="n">
        <v>314505.3</v>
      </c>
      <c r="M261" s="7" t="n">
        <v>428018.7</v>
      </c>
      <c r="N261" s="7" t="n">
        <v>400081.3</v>
      </c>
      <c r="O261" s="7" t="n">
        <v>529104.8</v>
      </c>
      <c r="P261" s="7" t="n">
        <v>710909</v>
      </c>
      <c r="Q261" s="7" t="n">
        <v>387025.6</v>
      </c>
      <c r="R261" s="7" t="n">
        <v>410448.1</v>
      </c>
      <c r="S261" s="7" t="n">
        <v>483525</v>
      </c>
      <c r="T261" s="7" t="n">
        <v>367969.1</v>
      </c>
      <c r="U261" s="7" t="n">
        <v>506901.5</v>
      </c>
      <c r="V261" s="7" t="n">
        <v>326540.3</v>
      </c>
      <c r="W261" s="7" t="n">
        <v>505902.9</v>
      </c>
      <c r="X261" s="7" t="n">
        <v>362551.9</v>
      </c>
      <c r="Y261" s="7" t="n">
        <v>358151</v>
      </c>
      <c r="Z261" s="7" t="n">
        <v>330957.6</v>
      </c>
      <c r="AA261" s="8" t="n">
        <v>5061855.3</v>
      </c>
      <c r="AB261" s="8" t="n">
        <v>4614664.9</v>
      </c>
    </row>
    <row r="262">
      <c r="A262" s="4" t="inlineStr">
        <is>
          <t>净利率</t>
        </is>
      </c>
      <c r="D262" s="13" t="n">
        <v>7.1</v>
      </c>
      <c r="F262" s="13" t="n">
        <v>7.5</v>
      </c>
      <c r="H262" s="13" t="n">
        <v>7.5</v>
      </c>
      <c r="J262" s="13" t="n">
        <v>7.3</v>
      </c>
      <c r="L262" s="13" t="n">
        <v>5</v>
      </c>
      <c r="N262" s="13" t="n">
        <v>6.3</v>
      </c>
      <c r="P262" s="13" t="n">
        <v>9.5</v>
      </c>
      <c r="R262" s="13" t="n">
        <v>6.4</v>
      </c>
      <c r="T262" s="13" t="n">
        <v>6.3</v>
      </c>
      <c r="V262" s="13" t="n">
        <v>4.8</v>
      </c>
      <c r="X262" s="13" t="n">
        <v>6.1</v>
      </c>
      <c r="Z262" s="13" t="n">
        <v>8.199999999999999</v>
      </c>
    </row>
    <row r="263">
      <c r="A263" s="4" t="inlineStr">
        <is>
          <t>销售达成率</t>
        </is>
      </c>
      <c r="D263" s="13" t="n">
        <v>74.3</v>
      </c>
      <c r="F263" s="13" t="n">
        <v>54.9</v>
      </c>
      <c r="H263" s="13" t="n">
        <v>95.7</v>
      </c>
      <c r="J263" s="13" t="n">
        <v>122</v>
      </c>
      <c r="L263" s="13" t="n">
        <v>99.09999999999999</v>
      </c>
      <c r="N263" s="13" t="n">
        <v>110.8</v>
      </c>
      <c r="P263" s="13" t="n">
        <v>135.7</v>
      </c>
      <c r="R263" s="13" t="n">
        <v>111.4</v>
      </c>
      <c r="T263" s="13" t="n">
        <v>96.8</v>
      </c>
      <c r="V263" s="13" t="n">
        <v>120.4</v>
      </c>
      <c r="X263" s="13" t="n">
        <v>112.3</v>
      </c>
      <c r="Z263" s="13" t="n">
        <v>80</v>
      </c>
    </row>
    <row r="264">
      <c r="A264" s="4" t="inlineStr">
        <is>
          <t>净利达成率</t>
        </is>
      </c>
      <c r="D264" s="13" t="n">
        <v>79.7</v>
      </c>
      <c r="F264" s="13" t="n">
        <v>79.90000000000001</v>
      </c>
      <c r="H264" s="13" t="n">
        <v>122</v>
      </c>
      <c r="J264" s="13" t="n">
        <v>118.2</v>
      </c>
      <c r="L264" s="13" t="n">
        <v>113.5</v>
      </c>
      <c r="N264" s="13" t="n">
        <v>120.7</v>
      </c>
      <c r="P264" s="13" t="n">
        <v>166.6</v>
      </c>
      <c r="R264" s="13" t="n">
        <v>125.2</v>
      </c>
      <c r="T264" s="13" t="n">
        <v>89.5</v>
      </c>
      <c r="V264" s="13" t="n">
        <v>74.8</v>
      </c>
      <c r="X264" s="13" t="n">
        <v>79.3</v>
      </c>
      <c r="Z264" s="13" t="n">
        <v>104.1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上海直营利润表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2204205.7</v>
      </c>
      <c r="D6" s="7" t="n">
        <v>1291314</v>
      </c>
      <c r="E6" s="7" t="n">
        <v>1973458.8</v>
      </c>
      <c r="F6" s="7" t="n">
        <v>1419479.1</v>
      </c>
      <c r="G6" s="7" t="n">
        <v>1967083</v>
      </c>
      <c r="H6" s="7" t="n">
        <v>1619406.4</v>
      </c>
      <c r="I6" s="7" t="n">
        <v>1870953.4</v>
      </c>
      <c r="J6" s="7" t="n">
        <v>2491782.8</v>
      </c>
      <c r="K6" s="7" t="n">
        <v>2231773.5</v>
      </c>
      <c r="L6" s="7" t="n">
        <v>2520563.3</v>
      </c>
      <c r="M6" s="7" t="n">
        <v>1972703.2</v>
      </c>
      <c r="N6" s="7" t="n">
        <v>2625248.1</v>
      </c>
      <c r="O6" s="7" t="n">
        <v>2408487.3</v>
      </c>
      <c r="P6" s="7" t="n">
        <v>2812435.5</v>
      </c>
      <c r="Q6" s="7" t="n">
        <v>2378993.1</v>
      </c>
      <c r="R6" s="7" t="n">
        <v>2215960.7</v>
      </c>
      <c r="S6" s="7" t="n">
        <v>1870866</v>
      </c>
      <c r="T6" s="7" t="n">
        <v>2212085.4</v>
      </c>
      <c r="U6" s="7" t="n">
        <v>1978541.5</v>
      </c>
      <c r="V6" s="7" t="n">
        <v>2590099.3</v>
      </c>
      <c r="W6" s="7" t="n">
        <v>2256172.3</v>
      </c>
      <c r="X6" s="7" t="n">
        <v>2158977.1</v>
      </c>
      <c r="Y6" s="7" t="n">
        <v>1963230.3</v>
      </c>
      <c r="Z6" s="7" t="n">
        <v>1545993.5</v>
      </c>
      <c r="AA6" s="8" t="n">
        <v>25076468.1</v>
      </c>
      <c r="AB6" s="8" t="n">
        <v>25503345.2</v>
      </c>
    </row>
    <row r="7">
      <c r="A7" s="4" t="inlineStr">
        <is>
          <t>生鲜蔬果</t>
        </is>
      </c>
      <c r="D7" s="7" t="n">
        <v>70024</v>
      </c>
      <c r="F7" s="7" t="n">
        <v>118471.5</v>
      </c>
      <c r="H7" s="7" t="n">
        <v>168276.2</v>
      </c>
      <c r="J7" s="7" t="n">
        <v>133431.4</v>
      </c>
      <c r="L7" s="7" t="n">
        <v>121314.8</v>
      </c>
      <c r="N7" s="7" t="n">
        <v>106096.8</v>
      </c>
      <c r="P7" s="7" t="n">
        <v>207202.5</v>
      </c>
      <c r="R7" s="7" t="n">
        <v>121540.5</v>
      </c>
      <c r="T7" s="7" t="n">
        <v>177552</v>
      </c>
      <c r="V7" s="7" t="n">
        <v>212569</v>
      </c>
      <c r="X7" s="7" t="n">
        <v>111719.3</v>
      </c>
      <c r="Z7" s="7" t="n">
        <v>136064.6</v>
      </c>
      <c r="AB7" s="7" t="n">
        <v>1684262.6</v>
      </c>
    </row>
    <row r="8">
      <c r="A8" s="4" t="inlineStr">
        <is>
          <t>肉禽蛋奶</t>
        </is>
      </c>
      <c r="D8" s="7" t="n">
        <v>78283.2</v>
      </c>
      <c r="F8" s="7" t="n">
        <v>146018.6</v>
      </c>
      <c r="H8" s="7" t="n">
        <v>205213</v>
      </c>
      <c r="J8" s="7" t="n">
        <v>265517.9</v>
      </c>
      <c r="L8" s="7" t="n">
        <v>220697.1</v>
      </c>
      <c r="N8" s="7" t="n">
        <v>253053.1</v>
      </c>
      <c r="P8" s="7" t="n">
        <v>265894.2</v>
      </c>
      <c r="R8" s="7" t="n">
        <v>134893</v>
      </c>
      <c r="T8" s="7" t="n">
        <v>160161.1</v>
      </c>
      <c r="V8" s="7" t="n">
        <v>181728</v>
      </c>
      <c r="X8" s="7" t="n">
        <v>142562</v>
      </c>
      <c r="Z8" s="7" t="n">
        <v>120250.5</v>
      </c>
      <c r="AB8" s="7" t="n">
        <v>2174271.7</v>
      </c>
    </row>
    <row r="9">
      <c r="A9" s="4" t="inlineStr">
        <is>
          <t>粮油调味</t>
        </is>
      </c>
      <c r="D9" s="7" t="n">
        <v>136345.1</v>
      </c>
      <c r="F9" s="7" t="n">
        <v>218672</v>
      </c>
      <c r="H9" s="7" t="n">
        <v>185244.1</v>
      </c>
      <c r="J9" s="7" t="n">
        <v>204098.2</v>
      </c>
      <c r="L9" s="7" t="n">
        <v>427562.7</v>
      </c>
      <c r="N9" s="7" t="n">
        <v>350442.7</v>
      </c>
      <c r="P9" s="7" t="n">
        <v>462695.9</v>
      </c>
      <c r="R9" s="7" t="n">
        <v>240643.2</v>
      </c>
      <c r="T9" s="7" t="n">
        <v>238073.6</v>
      </c>
      <c r="V9" s="7" t="n">
        <v>257675.9</v>
      </c>
      <c r="X9" s="7" t="n">
        <v>327068.1</v>
      </c>
      <c r="Z9" s="7" t="n">
        <v>219829.9</v>
      </c>
      <c r="AB9" s="7" t="n">
        <v>3268351.4</v>
      </c>
    </row>
    <row r="10">
      <c r="A10" s="4" t="inlineStr">
        <is>
          <t>酒水饮料</t>
        </is>
      </c>
      <c r="D10" s="7" t="n">
        <v>465826.9</v>
      </c>
      <c r="F10" s="7" t="n">
        <v>448054.8</v>
      </c>
      <c r="H10" s="7" t="n">
        <v>585384.8</v>
      </c>
      <c r="J10" s="7" t="n">
        <v>1058304.8</v>
      </c>
      <c r="L10" s="7" t="n">
        <v>684794.8</v>
      </c>
      <c r="N10" s="7" t="n">
        <v>970708.3</v>
      </c>
      <c r="P10" s="7" t="n">
        <v>665526.5</v>
      </c>
      <c r="R10" s="7" t="n">
        <v>973122.5</v>
      </c>
      <c r="T10" s="7" t="n">
        <v>752813</v>
      </c>
      <c r="V10" s="7" t="n">
        <v>872131.2</v>
      </c>
      <c r="X10" s="7" t="n">
        <v>739353.5</v>
      </c>
      <c r="Z10" s="7" t="n">
        <v>724159.8</v>
      </c>
      <c r="AB10" s="7" t="n">
        <v>8940180.9</v>
      </c>
    </row>
    <row r="11">
      <c r="A11" s="4" t="inlineStr">
        <is>
          <t>休闲零食</t>
        </is>
      </c>
      <c r="D11" s="7" t="n">
        <v>452802.4</v>
      </c>
      <c r="F11" s="7" t="n">
        <v>375186</v>
      </c>
      <c r="H11" s="7" t="n">
        <v>408720.4</v>
      </c>
      <c r="J11" s="7" t="n">
        <v>634496.3</v>
      </c>
      <c r="L11" s="7" t="n">
        <v>942705.9</v>
      </c>
      <c r="N11" s="7" t="n">
        <v>791037.6</v>
      </c>
      <c r="P11" s="7" t="n">
        <v>1139306.8</v>
      </c>
      <c r="R11" s="7" t="n">
        <v>607911.7</v>
      </c>
      <c r="T11" s="7" t="n">
        <v>716328.5</v>
      </c>
      <c r="V11" s="7" t="n">
        <v>956713.7</v>
      </c>
      <c r="X11" s="7" t="n">
        <v>725180.6</v>
      </c>
      <c r="Z11" s="7" t="n">
        <v>276944.4</v>
      </c>
      <c r="AB11" s="7" t="n">
        <v>8027334.3</v>
      </c>
    </row>
    <row r="12">
      <c r="A12" s="4" t="inlineStr">
        <is>
          <t>日用百货</t>
        </is>
      </c>
      <c r="D12" s="7" t="n">
        <v>111394.5</v>
      </c>
      <c r="F12" s="7" t="n">
        <v>122419</v>
      </c>
      <c r="H12" s="7" t="n">
        <v>80398.8</v>
      </c>
      <c r="J12" s="7" t="n">
        <v>187631.2</v>
      </c>
      <c r="L12" s="7" t="n">
        <v>150329.4</v>
      </c>
      <c r="N12" s="7" t="n">
        <v>200432.2</v>
      </c>
      <c r="P12" s="7" t="n">
        <v>126260.5</v>
      </c>
      <c r="R12" s="7" t="n">
        <v>158090.8</v>
      </c>
      <c r="T12" s="7" t="n">
        <v>179391.9</v>
      </c>
      <c r="V12" s="7" t="n">
        <v>127614.9</v>
      </c>
      <c r="X12" s="7" t="n">
        <v>147272</v>
      </c>
      <c r="Z12" s="7" t="n">
        <v>82175.60000000001</v>
      </c>
      <c r="AB12" s="7" t="n">
        <v>1673410.8</v>
      </c>
    </row>
    <row r="13">
      <c r="A13" s="4" t="inlineStr">
        <is>
          <t>返利</t>
        </is>
      </c>
      <c r="D13" s="7" t="n">
        <v>-31407.9</v>
      </c>
      <c r="F13" s="7" t="n">
        <v>-34738.9</v>
      </c>
      <c r="H13" s="7" t="n">
        <v>-32494.6</v>
      </c>
      <c r="J13" s="7" t="n">
        <v>-38162.9</v>
      </c>
      <c r="L13" s="7" t="n">
        <v>-45901.5</v>
      </c>
      <c r="N13" s="7" t="n">
        <v>-75941.60000000001</v>
      </c>
      <c r="P13" s="7" t="n">
        <v>-62153.1</v>
      </c>
      <c r="R13" s="7" t="n">
        <v>-23999.1</v>
      </c>
      <c r="T13" s="7" t="n">
        <v>-32009.1</v>
      </c>
      <c r="V13" s="7" t="n">
        <v>-36674.6</v>
      </c>
      <c r="X13" s="7" t="n">
        <v>-59792.8</v>
      </c>
      <c r="Z13" s="7" t="n">
        <v>-27941.8</v>
      </c>
      <c r="AB13" s="7" t="n">
        <v>-501217.9</v>
      </c>
    </row>
    <row r="14">
      <c r="A14" s="4" t="inlineStr">
        <is>
          <t>其他</t>
        </is>
      </c>
      <c r="D14" s="7" t="n">
        <v>8045.8</v>
      </c>
      <c r="F14" s="7" t="n">
        <v>25396.1</v>
      </c>
      <c r="H14" s="7" t="n">
        <v>18663.7</v>
      </c>
      <c r="J14" s="7" t="n">
        <v>46465.9</v>
      </c>
      <c r="L14" s="7" t="n">
        <v>19060.1</v>
      </c>
      <c r="N14" s="7" t="n">
        <v>29419</v>
      </c>
      <c r="P14" s="7" t="n">
        <v>7702.2</v>
      </c>
      <c r="R14" s="7" t="n">
        <v>3758.1</v>
      </c>
      <c r="T14" s="7" t="n">
        <v>19774.4</v>
      </c>
      <c r="V14" s="7" t="n">
        <v>18341.2</v>
      </c>
      <c r="X14" s="7" t="n">
        <v>25614.4</v>
      </c>
      <c r="Z14" s="7" t="n">
        <v>14510.5</v>
      </c>
      <c r="AB14" s="7" t="n">
        <v>236751.4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1728451.5</v>
      </c>
      <c r="D15" s="7" t="n">
        <v>964174.8</v>
      </c>
      <c r="E15" s="7" t="n">
        <v>1573371.4</v>
      </c>
      <c r="F15" s="7" t="n">
        <v>1049363.9</v>
      </c>
      <c r="G15" s="7" t="n">
        <v>1634904.3</v>
      </c>
      <c r="H15" s="7" t="n">
        <v>1199626.8</v>
      </c>
      <c r="I15" s="7" t="n">
        <v>1701776.6</v>
      </c>
      <c r="J15" s="7" t="n">
        <v>1803665.7</v>
      </c>
      <c r="K15" s="7" t="n">
        <v>1767950.1</v>
      </c>
      <c r="L15" s="7" t="n">
        <v>1894439.8</v>
      </c>
      <c r="M15" s="7" t="n">
        <v>1378526.1</v>
      </c>
      <c r="N15" s="7" t="n">
        <v>1938603.9</v>
      </c>
      <c r="O15" s="7" t="n">
        <v>1365802.1</v>
      </c>
      <c r="P15" s="7" t="n">
        <v>2101573.5</v>
      </c>
      <c r="Q15" s="7" t="n">
        <v>1350253.6</v>
      </c>
      <c r="R15" s="7" t="n">
        <v>1607274.6</v>
      </c>
      <c r="S15" s="7" t="n">
        <v>1426439</v>
      </c>
      <c r="T15" s="7" t="n">
        <v>1611545.9</v>
      </c>
      <c r="U15" s="7" t="n">
        <v>1424717.9</v>
      </c>
      <c r="V15" s="7" t="n">
        <v>1919662.3</v>
      </c>
      <c r="W15" s="7" t="n">
        <v>1487065</v>
      </c>
      <c r="X15" s="7" t="n">
        <v>1596153.1</v>
      </c>
      <c r="Y15" s="7" t="n">
        <v>1474592.4</v>
      </c>
      <c r="Z15" s="7" t="n">
        <v>1122199.3</v>
      </c>
      <c r="AA15" s="8" t="n">
        <v>18313850</v>
      </c>
      <c r="AB15" s="8" t="n">
        <v>18808283.6</v>
      </c>
    </row>
    <row r="16">
      <c r="A16" s="4" t="inlineStr">
        <is>
          <t>生鲜蔬果</t>
        </is>
      </c>
      <c r="D16" s="7" t="n">
        <v>53251.8</v>
      </c>
      <c r="F16" s="7" t="n">
        <v>90095.10000000001</v>
      </c>
      <c r="H16" s="7" t="n">
        <v>127970.6</v>
      </c>
      <c r="J16" s="7" t="n">
        <v>101471.8</v>
      </c>
      <c r="L16" s="7" t="n">
        <v>92257.39999999999</v>
      </c>
      <c r="N16" s="7" t="n">
        <v>80684.39999999999</v>
      </c>
      <c r="P16" s="7" t="n">
        <v>157573.2</v>
      </c>
      <c r="R16" s="7" t="n">
        <v>92429</v>
      </c>
      <c r="T16" s="7" t="n">
        <v>135024.6</v>
      </c>
      <c r="V16" s="7" t="n">
        <v>161654.3</v>
      </c>
      <c r="X16" s="7" t="n">
        <v>84960.2</v>
      </c>
      <c r="Z16" s="7" t="n">
        <v>103474.3</v>
      </c>
      <c r="AB16" s="7" t="n">
        <v>1280846.7</v>
      </c>
    </row>
    <row r="17">
      <c r="A17" s="4" t="inlineStr">
        <is>
          <t>肉禽蛋奶</t>
        </is>
      </c>
      <c r="D17" s="7" t="n">
        <v>56714.4</v>
      </c>
      <c r="F17" s="7" t="n">
        <v>105787.1</v>
      </c>
      <c r="H17" s="7" t="n">
        <v>148672.1</v>
      </c>
      <c r="J17" s="7" t="n">
        <v>192361.6</v>
      </c>
      <c r="L17" s="7" t="n">
        <v>159890</v>
      </c>
      <c r="N17" s="7" t="n">
        <v>183331.2</v>
      </c>
      <c r="P17" s="7" t="n">
        <v>192634.2</v>
      </c>
      <c r="R17" s="7" t="n">
        <v>97726.89999999999</v>
      </c>
      <c r="T17" s="7" t="n">
        <v>116033</v>
      </c>
      <c r="V17" s="7" t="n">
        <v>131657.8</v>
      </c>
      <c r="X17" s="7" t="n">
        <v>103282.9</v>
      </c>
      <c r="Z17" s="7" t="n">
        <v>87118.7</v>
      </c>
      <c r="AB17" s="7" t="n">
        <v>1575209.9</v>
      </c>
    </row>
    <row r="18">
      <c r="A18" s="4" t="inlineStr">
        <is>
          <t>粮油调味</t>
        </is>
      </c>
      <c r="D18" s="7" t="n">
        <v>100621</v>
      </c>
      <c r="F18" s="7" t="n">
        <v>161377.3</v>
      </c>
      <c r="H18" s="7" t="n">
        <v>136707.9</v>
      </c>
      <c r="J18" s="7" t="n">
        <v>150622</v>
      </c>
      <c r="L18" s="7" t="n">
        <v>315536.1</v>
      </c>
      <c r="N18" s="7" t="n">
        <v>258622.5</v>
      </c>
      <c r="P18" s="7" t="n">
        <v>341464</v>
      </c>
      <c r="R18" s="7" t="n">
        <v>177591.8</v>
      </c>
      <c r="T18" s="7" t="n">
        <v>175695.4</v>
      </c>
      <c r="V18" s="7" t="n">
        <v>190161.7</v>
      </c>
      <c r="X18" s="7" t="n">
        <v>241372.3</v>
      </c>
      <c r="Z18" s="7" t="n">
        <v>162231.8</v>
      </c>
      <c r="AB18" s="7" t="n">
        <v>2412003.8</v>
      </c>
    </row>
    <row r="19">
      <c r="A19" s="4" t="inlineStr">
        <is>
          <t>酒水饮料</t>
        </is>
      </c>
      <c r="D19" s="7" t="n">
        <v>312369.9</v>
      </c>
      <c r="F19" s="7" t="n">
        <v>300452.4</v>
      </c>
      <c r="H19" s="7" t="n">
        <v>392541.9</v>
      </c>
      <c r="J19" s="7" t="n">
        <v>709668.2</v>
      </c>
      <c r="L19" s="7" t="n">
        <v>459203.3</v>
      </c>
      <c r="N19" s="7" t="n">
        <v>650928.6</v>
      </c>
      <c r="P19" s="7" t="n">
        <v>446282.6</v>
      </c>
      <c r="R19" s="7" t="n">
        <v>652547.4</v>
      </c>
      <c r="T19" s="7" t="n">
        <v>504814.4</v>
      </c>
      <c r="V19" s="7" t="n">
        <v>584825.6</v>
      </c>
      <c r="X19" s="7" t="n">
        <v>495788.8</v>
      </c>
      <c r="Z19" s="7" t="n">
        <v>485600.4</v>
      </c>
      <c r="AB19" s="7" t="n">
        <v>5995023.5</v>
      </c>
    </row>
    <row r="20">
      <c r="A20" s="4" t="inlineStr">
        <is>
          <t>休闲零食</t>
        </is>
      </c>
      <c r="D20" s="7" t="n">
        <v>311618</v>
      </c>
      <c r="F20" s="7" t="n">
        <v>258202.5</v>
      </c>
      <c r="H20" s="7" t="n">
        <v>281280.8</v>
      </c>
      <c r="J20" s="7" t="n">
        <v>436659.4</v>
      </c>
      <c r="L20" s="7" t="n">
        <v>648768.8</v>
      </c>
      <c r="N20" s="7" t="n">
        <v>544390.9</v>
      </c>
      <c r="P20" s="7" t="n">
        <v>784069.3</v>
      </c>
      <c r="R20" s="7" t="n">
        <v>418363.9</v>
      </c>
      <c r="T20" s="7" t="n">
        <v>492976.2</v>
      </c>
      <c r="V20" s="7" t="n">
        <v>658409</v>
      </c>
      <c r="X20" s="7" t="n">
        <v>499068.2</v>
      </c>
      <c r="Z20" s="7" t="n">
        <v>190592.7</v>
      </c>
      <c r="AB20" s="7" t="n">
        <v>5524399.7</v>
      </c>
    </row>
    <row r="21">
      <c r="A21" s="4" t="inlineStr">
        <is>
          <t>日用百货</t>
        </is>
      </c>
      <c r="D21" s="7" t="n">
        <v>78808.8</v>
      </c>
      <c r="F21" s="7" t="n">
        <v>86608.3</v>
      </c>
      <c r="H21" s="7" t="n">
        <v>56880.1</v>
      </c>
      <c r="J21" s="7" t="n">
        <v>132744.3</v>
      </c>
      <c r="L21" s="7" t="n">
        <v>106354.2</v>
      </c>
      <c r="N21" s="7" t="n">
        <v>141800.7</v>
      </c>
      <c r="P21" s="7" t="n">
        <v>89326.10000000001</v>
      </c>
      <c r="R21" s="7" t="n">
        <v>111845.2</v>
      </c>
      <c r="T21" s="7" t="n">
        <v>126915.2</v>
      </c>
      <c r="V21" s="7" t="n">
        <v>90284.3</v>
      </c>
      <c r="X21" s="7" t="n">
        <v>104191.2</v>
      </c>
      <c r="Z21" s="7" t="n">
        <v>58137.1</v>
      </c>
      <c r="AB21" s="7" t="n">
        <v>1183895.5</v>
      </c>
    </row>
    <row r="22">
      <c r="A22" s="4" t="inlineStr">
        <is>
          <t>其他</t>
        </is>
      </c>
      <c r="D22" s="7" t="n">
        <v>14898.5</v>
      </c>
      <c r="F22" s="7" t="n">
        <v>13705.3</v>
      </c>
      <c r="H22" s="7" t="n">
        <v>6280</v>
      </c>
      <c r="J22" s="7" t="n">
        <v>24323.9</v>
      </c>
      <c r="L22" s="7" t="n">
        <v>35568.8</v>
      </c>
      <c r="N22" s="7" t="n">
        <v>37135.8</v>
      </c>
      <c r="P22" s="7" t="n">
        <v>30266.1</v>
      </c>
      <c r="R22" s="7" t="n">
        <v>22941.9</v>
      </c>
      <c r="T22" s="7" t="n">
        <v>28310.5</v>
      </c>
      <c r="V22" s="7" t="n">
        <v>310.1</v>
      </c>
      <c r="X22" s="7" t="n">
        <v>9155.9</v>
      </c>
      <c r="Z22" s="7" t="n">
        <v>17879.5</v>
      </c>
      <c r="AB22" s="7" t="n">
        <v>240776.3</v>
      </c>
    </row>
    <row r="23">
      <c r="A23" s="4" t="inlineStr">
        <is>
          <t>运费</t>
        </is>
      </c>
      <c r="D23" s="7" t="n">
        <v>50790.9</v>
      </c>
      <c r="F23" s="7" t="n">
        <v>46841.2</v>
      </c>
      <c r="H23" s="7" t="n">
        <v>55573.4</v>
      </c>
      <c r="J23" s="7" t="n">
        <v>80138.39999999999</v>
      </c>
      <c r="L23" s="7" t="n">
        <v>112430</v>
      </c>
      <c r="N23" s="7" t="n">
        <v>78845.60000000001</v>
      </c>
      <c r="P23" s="7" t="n">
        <v>90224.10000000001</v>
      </c>
      <c r="R23" s="7" t="n">
        <v>56770.4</v>
      </c>
      <c r="T23" s="7" t="n">
        <v>60087.1</v>
      </c>
      <c r="V23" s="7" t="n">
        <v>102669.6</v>
      </c>
      <c r="X23" s="7" t="n">
        <v>67489.5</v>
      </c>
      <c r="Z23" s="7" t="n">
        <v>35044.3</v>
      </c>
      <c r="AB23" s="7" t="n">
        <v>836904.5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475754.2</v>
      </c>
      <c r="D24" s="7" t="n">
        <v>327139.2</v>
      </c>
      <c r="E24" s="7" t="n">
        <v>400087.4</v>
      </c>
      <c r="F24" s="7" t="n">
        <v>370115.2</v>
      </c>
      <c r="G24" s="7" t="n">
        <v>332178.7</v>
      </c>
      <c r="H24" s="7" t="n">
        <v>419779.6</v>
      </c>
      <c r="I24" s="7" t="n">
        <v>169176.8</v>
      </c>
      <c r="J24" s="7" t="n">
        <v>688117.1</v>
      </c>
      <c r="K24" s="7" t="n">
        <v>463823.4</v>
      </c>
      <c r="L24" s="7" t="n">
        <v>626123.5</v>
      </c>
      <c r="M24" s="7" t="n">
        <v>594177.1</v>
      </c>
      <c r="N24" s="7" t="n">
        <v>686644.2</v>
      </c>
      <c r="O24" s="7" t="n">
        <v>1042685.2</v>
      </c>
      <c r="P24" s="7" t="n">
        <v>710862</v>
      </c>
      <c r="Q24" s="7" t="n">
        <v>1028739.5</v>
      </c>
      <c r="R24" s="7" t="n">
        <v>608686.1</v>
      </c>
      <c r="S24" s="7" t="n">
        <v>444427</v>
      </c>
      <c r="T24" s="7" t="n">
        <v>600539.5</v>
      </c>
      <c r="U24" s="7" t="n">
        <v>553823.6</v>
      </c>
      <c r="V24" s="7" t="n">
        <v>670437</v>
      </c>
      <c r="W24" s="7" t="n">
        <v>769107.3</v>
      </c>
      <c r="X24" s="7" t="n">
        <v>562824</v>
      </c>
      <c r="Y24" s="7" t="n">
        <v>488637.9</v>
      </c>
      <c r="Z24" s="7" t="n">
        <v>423794.2</v>
      </c>
      <c r="AA24" s="8" t="n">
        <v>6762618.1</v>
      </c>
      <c r="AB24" s="8" t="n">
        <v>6695061.6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21.6</v>
      </c>
      <c r="D25" s="13" t="n">
        <v>25.3</v>
      </c>
      <c r="E25" s="13" t="n">
        <v>20.3</v>
      </c>
      <c r="F25" s="13" t="n">
        <v>26.1</v>
      </c>
      <c r="G25" s="13" t="n">
        <v>16.9</v>
      </c>
      <c r="H25" s="13" t="n">
        <v>25.9</v>
      </c>
      <c r="I25" s="13" t="n">
        <v>9</v>
      </c>
      <c r="J25" s="13" t="n">
        <v>27.6</v>
      </c>
      <c r="K25" s="13" t="n">
        <v>20.8</v>
      </c>
      <c r="L25" s="13" t="n">
        <v>24.8</v>
      </c>
      <c r="M25" s="13" t="n">
        <v>30.1</v>
      </c>
      <c r="N25" s="13" t="n">
        <v>26.2</v>
      </c>
      <c r="O25" s="13" t="n">
        <v>43.3</v>
      </c>
      <c r="P25" s="13" t="n">
        <v>25.3</v>
      </c>
      <c r="Q25" s="13" t="n">
        <v>43.2</v>
      </c>
      <c r="R25" s="13" t="n">
        <v>27.5</v>
      </c>
      <c r="S25" s="13" t="n">
        <v>23.8</v>
      </c>
      <c r="T25" s="13" t="n">
        <v>27.1</v>
      </c>
      <c r="U25" s="13" t="n">
        <v>28</v>
      </c>
      <c r="V25" s="13" t="n">
        <v>25.9</v>
      </c>
      <c r="W25" s="13" t="n">
        <v>34.1</v>
      </c>
      <c r="X25" s="13" t="n">
        <v>26.1</v>
      </c>
      <c r="Y25" s="13" t="n">
        <v>24.9</v>
      </c>
      <c r="Z25" s="13" t="n">
        <v>27.4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21058.6</v>
      </c>
      <c r="D26" s="7" t="n">
        <v>16569.2</v>
      </c>
      <c r="E26" s="7" t="n">
        <v>21322.1</v>
      </c>
      <c r="F26" s="7" t="n">
        <v>12829.4</v>
      </c>
      <c r="G26" s="7" t="n">
        <v>23042</v>
      </c>
      <c r="H26" s="7" t="n">
        <v>14667.9</v>
      </c>
      <c r="I26" s="7" t="n">
        <v>22861.5</v>
      </c>
      <c r="J26" s="7" t="n">
        <v>26910.1</v>
      </c>
      <c r="K26" s="7" t="n">
        <v>22637.9</v>
      </c>
      <c r="L26" s="7" t="n">
        <v>29120.3</v>
      </c>
      <c r="M26" s="7" t="n">
        <v>20975.6</v>
      </c>
      <c r="N26" s="7" t="n">
        <v>25517.5</v>
      </c>
      <c r="O26" s="7" t="n">
        <v>23079.8</v>
      </c>
      <c r="P26" s="7" t="n">
        <v>28480</v>
      </c>
      <c r="Q26" s="7" t="n">
        <v>20031.3</v>
      </c>
      <c r="R26" s="7" t="n">
        <v>27946.8</v>
      </c>
      <c r="S26" s="7" t="n">
        <v>19234</v>
      </c>
      <c r="T26" s="7" t="n">
        <v>14362.7</v>
      </c>
      <c r="U26" s="7" t="n">
        <v>22941.1</v>
      </c>
      <c r="V26" s="7" t="n">
        <v>23246.3</v>
      </c>
      <c r="W26" s="7" t="n">
        <v>22481.5</v>
      </c>
      <c r="X26" s="7" t="n">
        <v>15694.2</v>
      </c>
      <c r="Y26" s="7" t="n">
        <v>19372.4</v>
      </c>
      <c r="Z26" s="7" t="n">
        <v>19311.6</v>
      </c>
      <c r="AA26" s="8" t="n">
        <v>259037.8</v>
      </c>
      <c r="AB26" s="8" t="n">
        <v>254656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288737</v>
      </c>
      <c r="D27" s="7" t="n">
        <v>173031.7</v>
      </c>
      <c r="E27" s="7" t="n">
        <v>322214.2</v>
      </c>
      <c r="F27" s="7" t="n">
        <v>208682.8</v>
      </c>
      <c r="G27" s="7" t="n">
        <v>300711.8</v>
      </c>
      <c r="H27" s="7" t="n">
        <v>202367.5</v>
      </c>
      <c r="I27" s="7" t="n">
        <v>281842.3</v>
      </c>
      <c r="J27" s="7" t="n">
        <v>372025.7</v>
      </c>
      <c r="K27" s="7" t="n">
        <v>254826.8</v>
      </c>
      <c r="L27" s="7" t="n">
        <v>240465.5</v>
      </c>
      <c r="M27" s="7" t="n">
        <v>322813.2</v>
      </c>
      <c r="N27" s="7" t="n">
        <v>507204.4</v>
      </c>
      <c r="O27" s="7" t="n">
        <v>335015.5</v>
      </c>
      <c r="P27" s="7" t="n">
        <v>228262.2</v>
      </c>
      <c r="Q27" s="7" t="n">
        <v>266464</v>
      </c>
      <c r="R27" s="7" t="n">
        <v>392775</v>
      </c>
      <c r="S27" s="7" t="n">
        <v>337735.7</v>
      </c>
      <c r="T27" s="7" t="n">
        <v>398431.7</v>
      </c>
      <c r="U27" s="7" t="n">
        <v>282214.3</v>
      </c>
      <c r="V27" s="7" t="n">
        <v>312828.7</v>
      </c>
      <c r="W27" s="7" t="n">
        <v>308939.8</v>
      </c>
      <c r="X27" s="7" t="n">
        <v>281309.7</v>
      </c>
      <c r="Y27" s="7" t="n">
        <v>306545.8</v>
      </c>
      <c r="Z27" s="7" t="n">
        <v>250901.7</v>
      </c>
      <c r="AA27" s="8" t="n">
        <v>3608060.4</v>
      </c>
      <c r="AB27" s="8" t="n">
        <v>3568286.6</v>
      </c>
    </row>
    <row r="28">
      <c r="A28" s="4" t="inlineStr">
        <is>
          <t>职工薪酬</t>
        </is>
      </c>
      <c r="D28" s="7" t="n">
        <v>68522.3</v>
      </c>
      <c r="F28" s="7" t="n">
        <v>106228.5</v>
      </c>
      <c r="H28" s="7" t="n">
        <v>82447.10000000001</v>
      </c>
      <c r="J28" s="7" t="n">
        <v>214557.3</v>
      </c>
      <c r="L28" s="7" t="n">
        <v>120719.7</v>
      </c>
      <c r="N28" s="7" t="n">
        <v>222432.6</v>
      </c>
      <c r="P28" s="7" t="n">
        <v>98626</v>
      </c>
      <c r="R28" s="7" t="n">
        <v>237064.5</v>
      </c>
      <c r="T28" s="7" t="n">
        <v>188815.6</v>
      </c>
      <c r="V28" s="7" t="n">
        <v>140279.6</v>
      </c>
      <c r="X28" s="7" t="n">
        <v>157271.6</v>
      </c>
      <c r="Z28" s="7" t="n">
        <v>109146.6</v>
      </c>
      <c r="AB28" s="7" t="n">
        <v>1746111.4</v>
      </c>
    </row>
    <row r="29">
      <c r="A29" s="4" t="inlineStr">
        <is>
          <t>工资</t>
        </is>
      </c>
      <c r="D29" s="7" t="n">
        <v>39585.6</v>
      </c>
      <c r="F29" s="7" t="n">
        <v>64592.2</v>
      </c>
      <c r="H29" s="7" t="n">
        <v>43665</v>
      </c>
      <c r="J29" s="7" t="n">
        <v>124265.7</v>
      </c>
      <c r="L29" s="7" t="n">
        <v>71646.8</v>
      </c>
      <c r="N29" s="7" t="n">
        <v>123557.3</v>
      </c>
      <c r="P29" s="7" t="n">
        <v>50790.3</v>
      </c>
      <c r="R29" s="7" t="n">
        <v>150566</v>
      </c>
      <c r="T29" s="7" t="n">
        <v>104025.4</v>
      </c>
      <c r="V29" s="7" t="n">
        <v>78816.3</v>
      </c>
      <c r="X29" s="7" t="n">
        <v>92472.89999999999</v>
      </c>
      <c r="Z29" s="7" t="n">
        <v>55849.8</v>
      </c>
      <c r="AB29" s="7" t="n">
        <v>999833.3</v>
      </c>
    </row>
    <row r="30">
      <c r="A30" s="4" t="inlineStr">
        <is>
          <t>奖金及提成</t>
        </is>
      </c>
      <c r="D30" s="7" t="n">
        <v>12708.7</v>
      </c>
      <c r="F30" s="7" t="n">
        <v>21100.3</v>
      </c>
      <c r="H30" s="7" t="n">
        <v>16252</v>
      </c>
      <c r="J30" s="7" t="n">
        <v>45231.8</v>
      </c>
      <c r="L30" s="7" t="n">
        <v>22760.5</v>
      </c>
      <c r="N30" s="7" t="n">
        <v>40283.3</v>
      </c>
      <c r="P30" s="7" t="n">
        <v>17495.1</v>
      </c>
      <c r="R30" s="7" t="n">
        <v>40136.6</v>
      </c>
      <c r="T30" s="7" t="n">
        <v>39323.2</v>
      </c>
      <c r="V30" s="7" t="n">
        <v>23188.7</v>
      </c>
      <c r="X30" s="7" t="n">
        <v>35812.4</v>
      </c>
      <c r="Z30" s="7" t="n">
        <v>30595.4</v>
      </c>
      <c r="AB30" s="7" t="n">
        <v>344888</v>
      </c>
    </row>
    <row r="31">
      <c r="A31" s="4" t="inlineStr">
        <is>
          <t>社保</t>
        </is>
      </c>
      <c r="D31" s="7" t="n">
        <v>10768.9</v>
      </c>
      <c r="F31" s="7" t="n">
        <v>13746.5</v>
      </c>
      <c r="H31" s="7" t="n">
        <v>15530.8</v>
      </c>
      <c r="J31" s="7" t="n">
        <v>33506.2</v>
      </c>
      <c r="L31" s="7" t="n">
        <v>18946.1</v>
      </c>
      <c r="N31" s="7" t="n">
        <v>43101.2</v>
      </c>
      <c r="P31" s="7" t="n">
        <v>23072.6</v>
      </c>
      <c r="R31" s="7" t="n">
        <v>33071.5</v>
      </c>
      <c r="T31" s="7" t="n">
        <v>31921.9</v>
      </c>
      <c r="V31" s="7" t="n">
        <v>27801.8</v>
      </c>
      <c r="X31" s="7" t="n">
        <v>19472.6</v>
      </c>
      <c r="Z31" s="7" t="n">
        <v>14140.1</v>
      </c>
      <c r="AB31" s="7" t="n">
        <v>285080.2</v>
      </c>
    </row>
    <row r="32">
      <c r="A32" s="4" t="inlineStr">
        <is>
          <t>养老</t>
        </is>
      </c>
      <c r="D32" s="7" t="n">
        <v>119.5</v>
      </c>
      <c r="F32" s="7" t="n">
        <v>183.5</v>
      </c>
      <c r="H32" s="7" t="n">
        <v>224.3</v>
      </c>
      <c r="J32" s="7" t="n">
        <v>353.5</v>
      </c>
      <c r="L32" s="7" t="n">
        <v>280.4</v>
      </c>
      <c r="N32" s="7" t="n">
        <v>582.6</v>
      </c>
      <c r="P32" s="7" t="n">
        <v>208.5</v>
      </c>
      <c r="R32" s="7" t="n">
        <v>384.3</v>
      </c>
      <c r="T32" s="7" t="n">
        <v>425.9</v>
      </c>
      <c r="V32" s="7" t="n">
        <v>255.5</v>
      </c>
      <c r="X32" s="7" t="n">
        <v>323.4</v>
      </c>
      <c r="Z32" s="7" t="n">
        <v>228.6</v>
      </c>
      <c r="AB32" s="7" t="n">
        <v>3570</v>
      </c>
    </row>
    <row r="33">
      <c r="A33" s="4" t="inlineStr">
        <is>
          <t>医疗</t>
        </is>
      </c>
      <c r="D33" s="7" t="n">
        <v>895.5</v>
      </c>
      <c r="F33" s="7" t="n">
        <v>841.9</v>
      </c>
      <c r="H33" s="7" t="n">
        <v>992.3</v>
      </c>
      <c r="J33" s="7" t="n">
        <v>2026.2</v>
      </c>
      <c r="L33" s="7" t="n">
        <v>889</v>
      </c>
      <c r="N33" s="7" t="n">
        <v>1978.6</v>
      </c>
      <c r="P33" s="7" t="n">
        <v>1299.8</v>
      </c>
      <c r="R33" s="7" t="n">
        <v>2056.1</v>
      </c>
      <c r="T33" s="7" t="n">
        <v>1783.4</v>
      </c>
      <c r="V33" s="7" t="n">
        <v>1790.7</v>
      </c>
      <c r="X33" s="7" t="n">
        <v>1046.5</v>
      </c>
      <c r="Z33" s="7" t="n">
        <v>1199.6</v>
      </c>
      <c r="AB33" s="7" t="n">
        <v>16799.6</v>
      </c>
    </row>
    <row r="34">
      <c r="A34" s="4" t="inlineStr">
        <is>
          <t>工伤</t>
        </is>
      </c>
      <c r="D34" s="7" t="n">
        <v>565.9</v>
      </c>
      <c r="F34" s="7" t="n">
        <v>454.4</v>
      </c>
      <c r="H34" s="7" t="n">
        <v>638.3</v>
      </c>
      <c r="J34" s="7" t="n">
        <v>829.8</v>
      </c>
      <c r="L34" s="7" t="n">
        <v>668.3</v>
      </c>
      <c r="N34" s="7" t="n">
        <v>1145.5</v>
      </c>
      <c r="P34" s="7" t="n">
        <v>736.2</v>
      </c>
      <c r="R34" s="7" t="n">
        <v>1134.1</v>
      </c>
      <c r="T34" s="7" t="n">
        <v>1165.4</v>
      </c>
      <c r="V34" s="7" t="n">
        <v>670.3</v>
      </c>
      <c r="X34" s="7" t="n">
        <v>723.1</v>
      </c>
      <c r="Z34" s="7" t="n">
        <v>838.8</v>
      </c>
      <c r="AB34" s="7" t="n">
        <v>9570.1</v>
      </c>
    </row>
    <row r="35">
      <c r="A35" s="4" t="inlineStr">
        <is>
          <t>失业</t>
        </is>
      </c>
      <c r="D35" s="7" t="n">
        <v>813.7</v>
      </c>
      <c r="F35" s="7" t="n">
        <v>564.3</v>
      </c>
      <c r="H35" s="7" t="n">
        <v>559.8</v>
      </c>
      <c r="J35" s="7" t="n">
        <v>1564.3</v>
      </c>
      <c r="L35" s="7" t="n">
        <v>780.7</v>
      </c>
      <c r="N35" s="7" t="n">
        <v>1784.5</v>
      </c>
      <c r="P35" s="7" t="n">
        <v>704.7</v>
      </c>
      <c r="R35" s="7" t="n">
        <v>1429</v>
      </c>
      <c r="T35" s="7" t="n">
        <v>1411.6</v>
      </c>
      <c r="V35" s="7" t="n">
        <v>843.6</v>
      </c>
      <c r="X35" s="7" t="n">
        <v>1138.8</v>
      </c>
      <c r="Z35" s="7" t="n">
        <v>1045.8</v>
      </c>
      <c r="AB35" s="7" t="n">
        <v>12640.8</v>
      </c>
    </row>
    <row r="36">
      <c r="A36" s="4" t="inlineStr">
        <is>
          <t>生育</t>
        </is>
      </c>
      <c r="D36" s="7" t="n">
        <v>496.3</v>
      </c>
      <c r="F36" s="7" t="n">
        <v>632.9</v>
      </c>
      <c r="H36" s="7" t="n">
        <v>474.4</v>
      </c>
      <c r="J36" s="7" t="n">
        <v>656.9</v>
      </c>
      <c r="L36" s="7" t="n">
        <v>462.1</v>
      </c>
      <c r="N36" s="7" t="n">
        <v>1585</v>
      </c>
      <c r="P36" s="7" t="n">
        <v>511.3</v>
      </c>
      <c r="R36" s="7" t="n">
        <v>1128.2</v>
      </c>
      <c r="T36" s="7" t="n">
        <v>986.7</v>
      </c>
      <c r="V36" s="7" t="n">
        <v>579.3</v>
      </c>
      <c r="X36" s="7" t="n">
        <v>723.5</v>
      </c>
      <c r="Z36" s="7" t="n">
        <v>530.1</v>
      </c>
      <c r="AB36" s="7" t="n">
        <v>8766.700000000001</v>
      </c>
    </row>
    <row r="37">
      <c r="A37" s="4" t="inlineStr">
        <is>
          <t>公积金</t>
        </is>
      </c>
      <c r="D37" s="7" t="n">
        <v>845.3</v>
      </c>
      <c r="F37" s="7" t="n">
        <v>1550</v>
      </c>
      <c r="H37" s="7" t="n">
        <v>1519</v>
      </c>
      <c r="J37" s="7" t="n">
        <v>1859.5</v>
      </c>
      <c r="L37" s="7" t="n">
        <v>1064.8</v>
      </c>
      <c r="N37" s="7" t="n">
        <v>2402.3</v>
      </c>
      <c r="P37" s="7" t="n">
        <v>1246.4</v>
      </c>
      <c r="R37" s="7" t="n">
        <v>2497.7</v>
      </c>
      <c r="T37" s="7" t="n">
        <v>2319.5</v>
      </c>
      <c r="V37" s="7" t="n">
        <v>1454.9</v>
      </c>
      <c r="X37" s="7" t="n">
        <v>2029.6</v>
      </c>
      <c r="Z37" s="7" t="n">
        <v>1729.4</v>
      </c>
      <c r="AB37" s="7" t="n">
        <v>20518.4</v>
      </c>
    </row>
    <row r="38">
      <c r="A38" s="4" t="inlineStr">
        <is>
          <t>工会经费</t>
        </is>
      </c>
      <c r="D38" s="7" t="n">
        <v>159.3</v>
      </c>
      <c r="F38" s="7" t="n">
        <v>174.3</v>
      </c>
      <c r="H38" s="7" t="n">
        <v>146.8</v>
      </c>
      <c r="J38" s="7" t="n">
        <v>413.8</v>
      </c>
      <c r="L38" s="7" t="n">
        <v>200.8</v>
      </c>
      <c r="N38" s="7" t="n">
        <v>570.8</v>
      </c>
      <c r="P38" s="7" t="n">
        <v>276.1</v>
      </c>
      <c r="R38" s="7" t="n">
        <v>469.2</v>
      </c>
      <c r="T38" s="7" t="n">
        <v>435</v>
      </c>
      <c r="V38" s="7" t="n">
        <v>355.8</v>
      </c>
      <c r="X38" s="7" t="n">
        <v>350.6</v>
      </c>
      <c r="Z38" s="7" t="n">
        <v>236</v>
      </c>
      <c r="AB38" s="7" t="n">
        <v>3788.5</v>
      </c>
    </row>
    <row r="39">
      <c r="A39" s="4" t="inlineStr">
        <is>
          <t>职工教育经费</t>
        </is>
      </c>
      <c r="D39" s="7" t="n">
        <v>255.9</v>
      </c>
      <c r="F39" s="7" t="n">
        <v>296.5</v>
      </c>
      <c r="H39" s="7" t="n">
        <v>476</v>
      </c>
      <c r="J39" s="7" t="n">
        <v>872.7</v>
      </c>
      <c r="L39" s="7" t="n">
        <v>611.3</v>
      </c>
      <c r="N39" s="7" t="n">
        <v>948.3</v>
      </c>
      <c r="P39" s="7" t="n">
        <v>389.1</v>
      </c>
      <c r="R39" s="7" t="n">
        <v>599.4</v>
      </c>
      <c r="T39" s="7" t="n">
        <v>767.7</v>
      </c>
      <c r="V39" s="7" t="n">
        <v>818.2</v>
      </c>
      <c r="X39" s="7" t="n">
        <v>513.2</v>
      </c>
      <c r="Z39" s="7" t="n">
        <v>413.6</v>
      </c>
      <c r="AB39" s="7" t="n">
        <v>6961.9</v>
      </c>
    </row>
    <row r="40">
      <c r="A40" s="4" t="inlineStr">
        <is>
          <t>福利费</t>
        </is>
      </c>
      <c r="D40" s="7" t="n">
        <v>4198.6</v>
      </c>
      <c r="F40" s="7" t="n">
        <v>4768.7</v>
      </c>
      <c r="H40" s="7" t="n">
        <v>4857.5</v>
      </c>
      <c r="J40" s="7" t="n">
        <v>8407.6</v>
      </c>
      <c r="L40" s="7" t="n">
        <v>5489.4</v>
      </c>
      <c r="N40" s="7" t="n">
        <v>11569.4</v>
      </c>
      <c r="P40" s="7" t="n">
        <v>5356.4</v>
      </c>
      <c r="R40" s="7" t="n">
        <v>9724.1</v>
      </c>
      <c r="T40" s="7" t="n">
        <v>10022.9</v>
      </c>
      <c r="V40" s="7" t="n">
        <v>7843.9</v>
      </c>
      <c r="X40" s="7" t="n">
        <v>6620.3</v>
      </c>
      <c r="Z40" s="7" t="n">
        <v>6182.3</v>
      </c>
      <c r="AB40" s="7" t="n">
        <v>85041.10000000001</v>
      </c>
    </row>
    <row r="41">
      <c r="A41" s="4" t="inlineStr">
        <is>
          <t>职工房租</t>
        </is>
      </c>
      <c r="D41" s="7" t="n">
        <v>240.9</v>
      </c>
      <c r="F41" s="7" t="n">
        <v>358.1</v>
      </c>
      <c r="H41" s="7" t="n">
        <v>212.3</v>
      </c>
      <c r="J41" s="7" t="n">
        <v>418.5</v>
      </c>
      <c r="L41" s="7" t="n">
        <v>298.5</v>
      </c>
      <c r="N41" s="7" t="n">
        <v>554</v>
      </c>
      <c r="P41" s="7" t="n">
        <v>291.8</v>
      </c>
      <c r="R41" s="7" t="n">
        <v>474.6</v>
      </c>
      <c r="T41" s="7" t="n">
        <v>505.2</v>
      </c>
      <c r="V41" s="7" t="n">
        <v>414.4</v>
      </c>
      <c r="X41" s="7" t="n">
        <v>282.6</v>
      </c>
      <c r="Z41" s="7" t="n">
        <v>405.2</v>
      </c>
      <c r="AB41" s="7" t="n">
        <v>4456.1</v>
      </c>
    </row>
    <row r="42">
      <c r="A42" s="4" t="inlineStr">
        <is>
          <t>水电物业费</t>
        </is>
      </c>
      <c r="D42" s="7" t="n">
        <v>679.5</v>
      </c>
      <c r="F42" s="7" t="n">
        <v>658.5</v>
      </c>
      <c r="H42" s="7" t="n">
        <v>716.8</v>
      </c>
      <c r="J42" s="7" t="n">
        <v>1396.7</v>
      </c>
      <c r="L42" s="7" t="n">
        <v>1085.6</v>
      </c>
      <c r="N42" s="7" t="n">
        <v>2788.3</v>
      </c>
      <c r="P42" s="7" t="n">
        <v>740.4</v>
      </c>
      <c r="R42" s="7" t="n">
        <v>1710.3</v>
      </c>
      <c r="T42" s="7" t="n">
        <v>2197.9</v>
      </c>
      <c r="V42" s="7" t="n">
        <v>1613.6</v>
      </c>
      <c r="X42" s="7" t="n">
        <v>962.6</v>
      </c>
      <c r="Z42" s="7" t="n">
        <v>1363.8</v>
      </c>
      <c r="AB42" s="7" t="n">
        <v>15914</v>
      </c>
    </row>
    <row r="43">
      <c r="A43" s="4" t="inlineStr">
        <is>
          <t>员工餐</t>
        </is>
      </c>
      <c r="D43" s="7" t="n">
        <v>877.2</v>
      </c>
      <c r="F43" s="7" t="n">
        <v>917.6</v>
      </c>
      <c r="H43" s="7" t="n">
        <v>881</v>
      </c>
      <c r="J43" s="7" t="n">
        <v>1878.1</v>
      </c>
      <c r="L43" s="7" t="n">
        <v>1055.8</v>
      </c>
      <c r="N43" s="7" t="n">
        <v>1794.1</v>
      </c>
      <c r="P43" s="7" t="n">
        <v>970.8</v>
      </c>
      <c r="R43" s="7" t="n">
        <v>1900.9</v>
      </c>
      <c r="T43" s="7" t="n">
        <v>1396.1</v>
      </c>
      <c r="V43" s="7" t="n">
        <v>1490.1</v>
      </c>
      <c r="X43" s="7" t="n">
        <v>1094.7</v>
      </c>
      <c r="Z43" s="7" t="n">
        <v>889.3</v>
      </c>
      <c r="AB43" s="7" t="n">
        <v>15145.7</v>
      </c>
    </row>
    <row r="44">
      <c r="A44" s="4" t="inlineStr">
        <is>
          <t>节日礼品</t>
        </is>
      </c>
      <c r="D44" s="7" t="n">
        <v>725.7</v>
      </c>
      <c r="F44" s="7" t="n">
        <v>774</v>
      </c>
      <c r="H44" s="7" t="n">
        <v>875.6</v>
      </c>
      <c r="J44" s="7" t="n">
        <v>1246.2</v>
      </c>
      <c r="L44" s="7" t="n">
        <v>1009.9</v>
      </c>
      <c r="N44" s="7" t="n">
        <v>2617</v>
      </c>
      <c r="P44" s="7" t="n">
        <v>764.7</v>
      </c>
      <c r="R44" s="7" t="n">
        <v>1676.7</v>
      </c>
      <c r="T44" s="7" t="n">
        <v>1968.4</v>
      </c>
      <c r="V44" s="7" t="n">
        <v>1105.1</v>
      </c>
      <c r="X44" s="7" t="n">
        <v>1282.8</v>
      </c>
      <c r="Z44" s="7" t="n">
        <v>1155.7</v>
      </c>
      <c r="AB44" s="7" t="n">
        <v>15201.8</v>
      </c>
    </row>
    <row r="45">
      <c r="A45" s="4" t="inlineStr">
        <is>
          <t>生日礼品</t>
        </is>
      </c>
      <c r="D45" s="7" t="n">
        <v>517.5</v>
      </c>
      <c r="F45" s="7" t="n">
        <v>784.2</v>
      </c>
      <c r="H45" s="7" t="n">
        <v>722.1</v>
      </c>
      <c r="J45" s="7" t="n">
        <v>1195.9</v>
      </c>
      <c r="L45" s="7" t="n">
        <v>803.9</v>
      </c>
      <c r="N45" s="7" t="n">
        <v>1489.8</v>
      </c>
      <c r="P45" s="7" t="n">
        <v>1163.3</v>
      </c>
      <c r="R45" s="7" t="n">
        <v>1690.2</v>
      </c>
      <c r="T45" s="7" t="n">
        <v>2052.4</v>
      </c>
      <c r="V45" s="7" t="n">
        <v>1453.9</v>
      </c>
      <c r="X45" s="7" t="n">
        <v>1025.7</v>
      </c>
      <c r="Z45" s="7" t="n">
        <v>883.9</v>
      </c>
      <c r="AB45" s="7" t="n">
        <v>13782.8</v>
      </c>
    </row>
    <row r="46">
      <c r="A46" s="4" t="inlineStr">
        <is>
          <t>体检</t>
        </is>
      </c>
      <c r="D46" s="7" t="n">
        <v>844.4</v>
      </c>
      <c r="F46" s="7" t="n">
        <v>891.7</v>
      </c>
      <c r="H46" s="7" t="n">
        <v>1098.8</v>
      </c>
      <c r="J46" s="7" t="n">
        <v>1709.5</v>
      </c>
      <c r="L46" s="7" t="n">
        <v>886</v>
      </c>
      <c r="N46" s="7" t="n">
        <v>1528.8</v>
      </c>
      <c r="P46" s="7" t="n">
        <v>1163.9</v>
      </c>
      <c r="R46" s="7" t="n">
        <v>1489.8</v>
      </c>
      <c r="T46" s="7" t="n">
        <v>1421.5</v>
      </c>
      <c r="V46" s="7" t="n">
        <v>1351.4</v>
      </c>
      <c r="X46" s="7" t="n">
        <v>1476.9</v>
      </c>
      <c r="Z46" s="7" t="n">
        <v>1163.7</v>
      </c>
      <c r="AB46" s="7" t="n">
        <v>15026.4</v>
      </c>
    </row>
    <row r="47">
      <c r="A47" s="4" t="inlineStr">
        <is>
          <t>其他福利支出</t>
        </is>
      </c>
      <c r="D47" s="7" t="n">
        <v>313.4</v>
      </c>
      <c r="F47" s="7" t="n">
        <v>384.6</v>
      </c>
      <c r="H47" s="7" t="n">
        <v>350.9</v>
      </c>
      <c r="J47" s="7" t="n">
        <v>562.7</v>
      </c>
      <c r="L47" s="7" t="n">
        <v>349.7</v>
      </c>
      <c r="N47" s="7" t="n">
        <v>797.4</v>
      </c>
      <c r="P47" s="7" t="n">
        <v>261.5</v>
      </c>
      <c r="R47" s="7" t="n">
        <v>781.6</v>
      </c>
      <c r="T47" s="7" t="n">
        <v>481.4</v>
      </c>
      <c r="V47" s="7" t="n">
        <v>415.4</v>
      </c>
      <c r="X47" s="7" t="n">
        <v>495</v>
      </c>
      <c r="Z47" s="7" t="n">
        <v>320.7</v>
      </c>
      <c r="AB47" s="7" t="n">
        <v>5514.3</v>
      </c>
    </row>
    <row r="48">
      <c r="A48" s="4" t="inlineStr">
        <is>
          <t>招聘费</t>
        </is>
      </c>
      <c r="D48" s="7" t="n">
        <v>175</v>
      </c>
      <c r="F48" s="7" t="n">
        <v>295</v>
      </c>
      <c r="H48" s="7" t="n">
        <v>324.9</v>
      </c>
      <c r="J48" s="7" t="n">
        <v>627.3</v>
      </c>
      <c r="L48" s="7" t="n">
        <v>271.1</v>
      </c>
      <c r="N48" s="7" t="n">
        <v>507.3</v>
      </c>
      <c r="P48" s="7" t="n">
        <v>346.9</v>
      </c>
      <c r="R48" s="7" t="n">
        <v>466.5</v>
      </c>
      <c r="T48" s="7" t="n">
        <v>604.5</v>
      </c>
      <c r="V48" s="7" t="n">
        <v>354.8</v>
      </c>
      <c r="X48" s="7" t="n">
        <v>303.6</v>
      </c>
      <c r="Z48" s="7" t="n">
        <v>285.4</v>
      </c>
      <c r="AB48" s="7" t="n">
        <v>4562.3</v>
      </c>
    </row>
    <row r="49">
      <c r="A49" s="4" t="inlineStr">
        <is>
          <t>办公费</t>
        </is>
      </c>
      <c r="D49" s="7" t="n">
        <v>4522.4</v>
      </c>
      <c r="F49" s="7" t="n">
        <v>6066.2</v>
      </c>
      <c r="H49" s="7" t="n">
        <v>6565</v>
      </c>
      <c r="J49" s="7" t="n">
        <v>9633</v>
      </c>
      <c r="L49" s="7" t="n">
        <v>8431.5</v>
      </c>
      <c r="N49" s="7" t="n">
        <v>11381.8</v>
      </c>
      <c r="P49" s="7" t="n">
        <v>8789.5</v>
      </c>
      <c r="R49" s="7" t="n">
        <v>11063.8</v>
      </c>
      <c r="T49" s="7" t="n">
        <v>9570.200000000001</v>
      </c>
      <c r="V49" s="7" t="n">
        <v>9054.799999999999</v>
      </c>
      <c r="X49" s="7" t="n">
        <v>8466.1</v>
      </c>
      <c r="Z49" s="7" t="n">
        <v>8588</v>
      </c>
      <c r="AB49" s="7" t="n">
        <v>102132.3</v>
      </c>
    </row>
    <row r="50">
      <c r="A50" s="4" t="inlineStr">
        <is>
          <t>市内交通费</t>
        </is>
      </c>
      <c r="D50" s="7" t="n">
        <v>1028.1</v>
      </c>
      <c r="F50" s="7" t="n">
        <v>1223.7</v>
      </c>
      <c r="H50" s="7" t="n">
        <v>718.3</v>
      </c>
      <c r="J50" s="7" t="n">
        <v>1722.9</v>
      </c>
      <c r="L50" s="7" t="n">
        <v>1453.6</v>
      </c>
      <c r="N50" s="7" t="n">
        <v>2921.5</v>
      </c>
      <c r="P50" s="7" t="n">
        <v>1425.9</v>
      </c>
      <c r="R50" s="7" t="n">
        <v>2070.1</v>
      </c>
      <c r="T50" s="7" t="n">
        <v>1572.7</v>
      </c>
      <c r="V50" s="7" t="n">
        <v>1771.8</v>
      </c>
      <c r="X50" s="7" t="n">
        <v>1198.3</v>
      </c>
      <c r="Z50" s="7" t="n">
        <v>1223.6</v>
      </c>
      <c r="AB50" s="7" t="n">
        <v>18330.5</v>
      </c>
    </row>
    <row r="51">
      <c r="A51" s="4" t="inlineStr">
        <is>
          <t>差旅费</t>
        </is>
      </c>
      <c r="D51" s="7" t="n">
        <v>10092.9</v>
      </c>
      <c r="F51" s="7" t="n">
        <v>11583</v>
      </c>
      <c r="H51" s="7" t="n">
        <v>12914.5</v>
      </c>
      <c r="J51" s="7" t="n">
        <v>16588.6</v>
      </c>
      <c r="L51" s="7" t="n">
        <v>11282.6</v>
      </c>
      <c r="N51" s="7" t="n">
        <v>29870.9</v>
      </c>
      <c r="P51" s="7" t="n">
        <v>10858.5</v>
      </c>
      <c r="R51" s="7" t="n">
        <v>19177.8</v>
      </c>
      <c r="T51" s="7" t="n">
        <v>16918.2</v>
      </c>
      <c r="V51" s="7" t="n">
        <v>18777.6</v>
      </c>
      <c r="X51" s="7" t="n">
        <v>19160.7</v>
      </c>
      <c r="Z51" s="7" t="n">
        <v>14976.9</v>
      </c>
      <c r="AB51" s="7" t="n">
        <v>192202.2</v>
      </c>
    </row>
    <row r="52">
      <c r="A52" s="4" t="inlineStr">
        <is>
          <t>交通费</t>
        </is>
      </c>
      <c r="D52" s="7" t="n">
        <v>1327.8</v>
      </c>
      <c r="F52" s="7" t="n">
        <v>1624.3</v>
      </c>
      <c r="H52" s="7" t="n">
        <v>1134.9</v>
      </c>
      <c r="J52" s="7" t="n">
        <v>2244.1</v>
      </c>
      <c r="L52" s="7" t="n">
        <v>1583.2</v>
      </c>
      <c r="N52" s="7" t="n">
        <v>3241.9</v>
      </c>
      <c r="P52" s="7" t="n">
        <v>1309.7</v>
      </c>
      <c r="R52" s="7" t="n">
        <v>1724.5</v>
      </c>
      <c r="T52" s="7" t="n">
        <v>3030.3</v>
      </c>
      <c r="V52" s="7" t="n">
        <v>1767.7</v>
      </c>
      <c r="X52" s="7" t="n">
        <v>1774.8</v>
      </c>
      <c r="Z52" s="7" t="n">
        <v>1243.6</v>
      </c>
      <c r="AB52" s="7" t="n">
        <v>22006.8</v>
      </c>
    </row>
    <row r="53">
      <c r="A53" s="4" t="inlineStr">
        <is>
          <t>住宿费</t>
        </is>
      </c>
      <c r="D53" s="7" t="n">
        <v>422.3</v>
      </c>
      <c r="F53" s="7" t="n">
        <v>745</v>
      </c>
      <c r="H53" s="7" t="n">
        <v>656.2</v>
      </c>
      <c r="J53" s="7" t="n">
        <v>1070.5</v>
      </c>
      <c r="L53" s="7" t="n">
        <v>683.3</v>
      </c>
      <c r="N53" s="7" t="n">
        <v>1615.2</v>
      </c>
      <c r="P53" s="7" t="n">
        <v>730</v>
      </c>
      <c r="R53" s="7" t="n">
        <v>1225.5</v>
      </c>
      <c r="T53" s="7" t="n">
        <v>1431.6</v>
      </c>
      <c r="V53" s="7" t="n">
        <v>1021.5</v>
      </c>
      <c r="X53" s="7" t="n">
        <v>680.4</v>
      </c>
      <c r="Z53" s="7" t="n">
        <v>517.3</v>
      </c>
      <c r="AB53" s="7" t="n">
        <v>10798.8</v>
      </c>
    </row>
    <row r="54">
      <c r="A54" s="4" t="inlineStr">
        <is>
          <t>餐补</t>
        </is>
      </c>
      <c r="D54" s="7" t="n">
        <v>995.1</v>
      </c>
      <c r="F54" s="7" t="n">
        <v>1230.5</v>
      </c>
      <c r="H54" s="7" t="n">
        <v>1206.9</v>
      </c>
      <c r="J54" s="7" t="n">
        <v>2156.6</v>
      </c>
      <c r="L54" s="7" t="n">
        <v>1098.5</v>
      </c>
      <c r="N54" s="7" t="n">
        <v>2632.1</v>
      </c>
      <c r="P54" s="7" t="n">
        <v>1349.3</v>
      </c>
      <c r="R54" s="7" t="n">
        <v>1785.5</v>
      </c>
      <c r="T54" s="7" t="n">
        <v>2254.6</v>
      </c>
      <c r="V54" s="7" t="n">
        <v>2120.1</v>
      </c>
      <c r="X54" s="7" t="n">
        <v>1807.3</v>
      </c>
      <c r="Z54" s="7" t="n">
        <v>946.4</v>
      </c>
      <c r="AB54" s="7" t="n">
        <v>19582.9</v>
      </c>
    </row>
    <row r="55">
      <c r="A55" s="4" t="inlineStr">
        <is>
          <t>交通补助</t>
        </is>
      </c>
      <c r="D55" s="7" t="n">
        <v>950.6</v>
      </c>
      <c r="F55" s="7" t="n">
        <v>1318.9</v>
      </c>
      <c r="H55" s="7" t="n">
        <v>960.3</v>
      </c>
      <c r="J55" s="7" t="n">
        <v>1978</v>
      </c>
      <c r="L55" s="7" t="n">
        <v>1508.2</v>
      </c>
      <c r="N55" s="7" t="n">
        <v>2592.7</v>
      </c>
      <c r="P55" s="7" t="n">
        <v>938.5</v>
      </c>
      <c r="R55" s="7" t="n">
        <v>1893.9</v>
      </c>
      <c r="T55" s="7" t="n">
        <v>2412.8</v>
      </c>
      <c r="V55" s="7" t="n">
        <v>1347</v>
      </c>
      <c r="X55" s="7" t="n">
        <v>1253.4</v>
      </c>
      <c r="Z55" s="7" t="n">
        <v>1624.4</v>
      </c>
      <c r="AB55" s="7" t="n">
        <v>18778.7</v>
      </c>
    </row>
    <row r="56">
      <c r="A56" s="4" t="inlineStr">
        <is>
          <t>通讯补助</t>
        </is>
      </c>
      <c r="D56" s="7" t="n">
        <v>694.6</v>
      </c>
      <c r="F56" s="7" t="n">
        <v>797.3</v>
      </c>
      <c r="H56" s="7" t="n">
        <v>827.5</v>
      </c>
      <c r="J56" s="7" t="n">
        <v>1969.2</v>
      </c>
      <c r="L56" s="7" t="n">
        <v>1180.1</v>
      </c>
      <c r="N56" s="7" t="n">
        <v>1649.8</v>
      </c>
      <c r="P56" s="7" t="n">
        <v>1066.2</v>
      </c>
      <c r="R56" s="7" t="n">
        <v>1977.5</v>
      </c>
      <c r="T56" s="7" t="n">
        <v>1559.8</v>
      </c>
      <c r="V56" s="7" t="n">
        <v>1061.2</v>
      </c>
      <c r="X56" s="7" t="n">
        <v>1396</v>
      </c>
      <c r="Z56" s="7" t="n">
        <v>1362.9</v>
      </c>
      <c r="AB56" s="7" t="n">
        <v>15542.1</v>
      </c>
    </row>
    <row r="57">
      <c r="A57" s="4" t="inlineStr">
        <is>
          <t>招待费</t>
        </is>
      </c>
      <c r="D57" s="7" t="n">
        <v>6497.6</v>
      </c>
      <c r="F57" s="7" t="n">
        <v>7386.2</v>
      </c>
      <c r="H57" s="7" t="n">
        <v>10460.1</v>
      </c>
      <c r="J57" s="7" t="n">
        <v>17705.9</v>
      </c>
      <c r="L57" s="7" t="n">
        <v>6742.1</v>
      </c>
      <c r="N57" s="7" t="n">
        <v>15051.9</v>
      </c>
      <c r="P57" s="7" t="n">
        <v>10206</v>
      </c>
      <c r="R57" s="7" t="n">
        <v>15946.3</v>
      </c>
      <c r="T57" s="7" t="n">
        <v>17414.9</v>
      </c>
      <c r="V57" s="7" t="n">
        <v>14262.8</v>
      </c>
      <c r="X57" s="7" t="n">
        <v>9028.700000000001</v>
      </c>
      <c r="Z57" s="7" t="n">
        <v>9281.299999999999</v>
      </c>
      <c r="AB57" s="7" t="n">
        <v>139983.8</v>
      </c>
    </row>
    <row r="58">
      <c r="A58" s="4" t="inlineStr">
        <is>
          <t>通讯费</t>
        </is>
      </c>
      <c r="D58" s="7" t="n">
        <v>654.1</v>
      </c>
      <c r="F58" s="7" t="n">
        <v>779.6</v>
      </c>
      <c r="H58" s="7" t="n">
        <v>1185.7</v>
      </c>
      <c r="J58" s="7" t="n">
        <v>1666.7</v>
      </c>
      <c r="L58" s="7" t="n">
        <v>1319.6</v>
      </c>
      <c r="N58" s="7" t="n">
        <v>1899.9</v>
      </c>
      <c r="P58" s="7" t="n">
        <v>775</v>
      </c>
      <c r="R58" s="7" t="n">
        <v>1468.1</v>
      </c>
      <c r="T58" s="7" t="n">
        <v>2125.5</v>
      </c>
      <c r="V58" s="7" t="n">
        <v>1235.7</v>
      </c>
      <c r="X58" s="7" t="n">
        <v>1612.2</v>
      </c>
      <c r="Z58" s="7" t="n">
        <v>1094.9</v>
      </c>
      <c r="AB58" s="7" t="n">
        <v>15817</v>
      </c>
    </row>
    <row r="59">
      <c r="A59" s="4" t="inlineStr">
        <is>
          <t>网络费</t>
        </is>
      </c>
      <c r="D59" s="7" t="n">
        <v>764.3</v>
      </c>
      <c r="F59" s="7" t="n">
        <v>1047.4</v>
      </c>
      <c r="H59" s="7" t="n">
        <v>665.2</v>
      </c>
      <c r="J59" s="7" t="n">
        <v>1339.4</v>
      </c>
      <c r="L59" s="7" t="n">
        <v>915.9</v>
      </c>
      <c r="N59" s="7" t="n">
        <v>1805.6</v>
      </c>
      <c r="P59" s="7" t="n">
        <v>849.4</v>
      </c>
      <c r="R59" s="7" t="n">
        <v>1697.4</v>
      </c>
      <c r="T59" s="7" t="n">
        <v>1616</v>
      </c>
      <c r="V59" s="7" t="n">
        <v>1419.2</v>
      </c>
      <c r="X59" s="7" t="n">
        <v>879.3</v>
      </c>
      <c r="Z59" s="7" t="n">
        <v>759.7</v>
      </c>
      <c r="AB59" s="7" t="n">
        <v>13758.8</v>
      </c>
    </row>
    <row r="60">
      <c r="A60" s="4" t="inlineStr">
        <is>
          <t>修理费</t>
        </is>
      </c>
      <c r="D60" s="7" t="n">
        <v>600.8</v>
      </c>
      <c r="F60" s="7" t="n">
        <v>1079.7</v>
      </c>
      <c r="H60" s="7" t="n">
        <v>1289.5</v>
      </c>
      <c r="J60" s="7" t="n">
        <v>1390.4</v>
      </c>
      <c r="L60" s="7" t="n">
        <v>1201.3</v>
      </c>
      <c r="N60" s="7" t="n">
        <v>1761.2</v>
      </c>
      <c r="P60" s="7" t="n">
        <v>1194.8</v>
      </c>
      <c r="R60" s="7" t="n">
        <v>2502</v>
      </c>
      <c r="T60" s="7" t="n">
        <v>2272.2</v>
      </c>
      <c r="V60" s="7" t="n">
        <v>1942</v>
      </c>
      <c r="X60" s="7" t="n">
        <v>1364.5</v>
      </c>
      <c r="Z60" s="7" t="n">
        <v>1116</v>
      </c>
      <c r="AB60" s="7" t="n">
        <v>17714.4</v>
      </c>
    </row>
    <row r="61">
      <c r="A61" s="4" t="inlineStr">
        <is>
          <t>车辆费</t>
        </is>
      </c>
      <c r="D61" s="7" t="n">
        <v>449.5</v>
      </c>
      <c r="F61" s="7" t="n">
        <v>725.2</v>
      </c>
      <c r="H61" s="7" t="n">
        <v>740.7</v>
      </c>
      <c r="J61" s="7" t="n">
        <v>1246.8</v>
      </c>
      <c r="L61" s="7" t="n">
        <v>856.3</v>
      </c>
      <c r="N61" s="7" t="n">
        <v>1569.8</v>
      </c>
      <c r="P61" s="7" t="n">
        <v>595.9</v>
      </c>
      <c r="R61" s="7" t="n">
        <v>812.3</v>
      </c>
      <c r="T61" s="7" t="n">
        <v>1025.1</v>
      </c>
      <c r="V61" s="7" t="n">
        <v>791.2</v>
      </c>
      <c r="X61" s="7" t="n">
        <v>602.2</v>
      </c>
      <c r="Z61" s="7" t="n">
        <v>688.3</v>
      </c>
      <c r="AB61" s="7" t="n">
        <v>10103.3</v>
      </c>
    </row>
    <row r="62">
      <c r="A62" s="4" t="inlineStr">
        <is>
          <t>租赁费</t>
        </is>
      </c>
      <c r="D62" s="7" t="n">
        <v>9681</v>
      </c>
      <c r="F62" s="7" t="n">
        <v>11844.1</v>
      </c>
      <c r="H62" s="7" t="n">
        <v>12473.8</v>
      </c>
      <c r="J62" s="7" t="n">
        <v>14570.7</v>
      </c>
      <c r="L62" s="7" t="n">
        <v>12758.4</v>
      </c>
      <c r="N62" s="7" t="n">
        <v>30975.1</v>
      </c>
      <c r="P62" s="7" t="n">
        <v>9902.9</v>
      </c>
      <c r="R62" s="7" t="n">
        <v>21986.7</v>
      </c>
      <c r="T62" s="7" t="n">
        <v>23687.4</v>
      </c>
      <c r="V62" s="7" t="n">
        <v>14406.7</v>
      </c>
      <c r="X62" s="7" t="n">
        <v>15064.3</v>
      </c>
      <c r="Z62" s="7" t="n">
        <v>13741</v>
      </c>
      <c r="AB62" s="7" t="n">
        <v>191092.1</v>
      </c>
    </row>
    <row r="63">
      <c r="A63" s="4" t="inlineStr">
        <is>
          <t>能源费</t>
        </is>
      </c>
      <c r="D63" s="7" t="n">
        <v>1169.4</v>
      </c>
      <c r="F63" s="7" t="n">
        <v>1521.8</v>
      </c>
      <c r="H63" s="7" t="n">
        <v>1322.6</v>
      </c>
      <c r="J63" s="7" t="n">
        <v>2507.5</v>
      </c>
      <c r="L63" s="7" t="n">
        <v>1851.3</v>
      </c>
      <c r="N63" s="7" t="n">
        <v>4138.7</v>
      </c>
      <c r="P63" s="7" t="n">
        <v>1903.1</v>
      </c>
      <c r="R63" s="7" t="n">
        <v>3069.2</v>
      </c>
      <c r="T63" s="7" t="n">
        <v>3238.3</v>
      </c>
      <c r="V63" s="7" t="n">
        <v>2630.7</v>
      </c>
      <c r="X63" s="7" t="n">
        <v>1969</v>
      </c>
      <c r="Z63" s="7" t="n">
        <v>1684.7</v>
      </c>
      <c r="AB63" s="7" t="n">
        <v>27006.3</v>
      </c>
    </row>
    <row r="64">
      <c r="A64" s="4" t="inlineStr">
        <is>
          <t>水费</t>
        </is>
      </c>
      <c r="D64" s="7" t="n">
        <v>647.2</v>
      </c>
      <c r="F64" s="7" t="n">
        <v>886.4</v>
      </c>
      <c r="H64" s="7" t="n">
        <v>602.9</v>
      </c>
      <c r="J64" s="7" t="n">
        <v>1416.2</v>
      </c>
      <c r="L64" s="7" t="n">
        <v>1204.5</v>
      </c>
      <c r="N64" s="7" t="n">
        <v>2539.7</v>
      </c>
      <c r="P64" s="7" t="n">
        <v>1173.5</v>
      </c>
      <c r="R64" s="7" t="n">
        <v>1897.6</v>
      </c>
      <c r="T64" s="7" t="n">
        <v>1970.7</v>
      </c>
      <c r="V64" s="7" t="n">
        <v>1419.6</v>
      </c>
      <c r="X64" s="7" t="n">
        <v>980.8</v>
      </c>
      <c r="Z64" s="7" t="n">
        <v>815.6</v>
      </c>
      <c r="AB64" s="7" t="n">
        <v>15554.7</v>
      </c>
    </row>
    <row r="65">
      <c r="A65" s="4" t="inlineStr">
        <is>
          <t>电费</t>
        </is>
      </c>
      <c r="D65" s="7" t="n">
        <v>164.4</v>
      </c>
      <c r="F65" s="7" t="n">
        <v>204.4</v>
      </c>
      <c r="H65" s="7" t="n">
        <v>230.6</v>
      </c>
      <c r="J65" s="7" t="n">
        <v>350.2</v>
      </c>
      <c r="L65" s="7" t="n">
        <v>175.3</v>
      </c>
      <c r="N65" s="7" t="n">
        <v>560.9</v>
      </c>
      <c r="P65" s="7" t="n">
        <v>188.7</v>
      </c>
      <c r="R65" s="7" t="n">
        <v>407</v>
      </c>
      <c r="T65" s="7" t="n">
        <v>385</v>
      </c>
      <c r="V65" s="7" t="n">
        <v>359.7</v>
      </c>
      <c r="X65" s="7" t="n">
        <v>211.5</v>
      </c>
      <c r="Z65" s="7" t="n">
        <v>227.9</v>
      </c>
      <c r="AB65" s="7" t="n">
        <v>3465.6</v>
      </c>
    </row>
    <row r="66">
      <c r="A66" s="4" t="inlineStr">
        <is>
          <t>燃气费</t>
        </is>
      </c>
      <c r="D66" s="7" t="n">
        <v>144.1</v>
      </c>
      <c r="F66" s="7" t="n">
        <v>133.7</v>
      </c>
      <c r="H66" s="7" t="n">
        <v>126.9</v>
      </c>
      <c r="J66" s="7" t="n">
        <v>325.1</v>
      </c>
      <c r="L66" s="7" t="n">
        <v>199.9</v>
      </c>
      <c r="N66" s="7" t="n">
        <v>290</v>
      </c>
      <c r="P66" s="7" t="n">
        <v>166.4</v>
      </c>
      <c r="R66" s="7" t="n">
        <v>336.5</v>
      </c>
      <c r="T66" s="7" t="n">
        <v>240.6</v>
      </c>
      <c r="V66" s="7" t="n">
        <v>298.4</v>
      </c>
      <c r="X66" s="7" t="n">
        <v>264.9</v>
      </c>
      <c r="Z66" s="7" t="n">
        <v>220.7</v>
      </c>
      <c r="AB66" s="7" t="n">
        <v>2747.2</v>
      </c>
    </row>
    <row r="67">
      <c r="A67" s="4" t="inlineStr">
        <is>
          <t>蒸汽费</t>
        </is>
      </c>
      <c r="D67" s="7" t="n">
        <v>213.7</v>
      </c>
      <c r="F67" s="7" t="n">
        <v>297.3</v>
      </c>
      <c r="H67" s="7" t="n">
        <v>362.2</v>
      </c>
      <c r="J67" s="7" t="n">
        <v>416</v>
      </c>
      <c r="L67" s="7" t="n">
        <v>271.6</v>
      </c>
      <c r="N67" s="7" t="n">
        <v>748.1</v>
      </c>
      <c r="P67" s="7" t="n">
        <v>374.5</v>
      </c>
      <c r="R67" s="7" t="n">
        <v>428.1</v>
      </c>
      <c r="T67" s="7" t="n">
        <v>642</v>
      </c>
      <c r="V67" s="7" t="n">
        <v>553</v>
      </c>
      <c r="X67" s="7" t="n">
        <v>511.8</v>
      </c>
      <c r="Z67" s="7" t="n">
        <v>420.5</v>
      </c>
      <c r="AB67" s="7" t="n">
        <v>5238.8</v>
      </c>
    </row>
    <row r="68">
      <c r="A68" s="4" t="inlineStr">
        <is>
          <t>物业费</t>
        </is>
      </c>
      <c r="D68" s="7" t="n">
        <v>740.4</v>
      </c>
      <c r="F68" s="7" t="n">
        <v>761.3</v>
      </c>
      <c r="H68" s="7" t="n">
        <v>901.1</v>
      </c>
      <c r="J68" s="7" t="n">
        <v>1672.9</v>
      </c>
      <c r="L68" s="7" t="n">
        <v>879.9</v>
      </c>
      <c r="N68" s="7" t="n">
        <v>2168.2</v>
      </c>
      <c r="P68" s="7" t="n">
        <v>932.5</v>
      </c>
      <c r="R68" s="7" t="n">
        <v>1877.7</v>
      </c>
      <c r="T68" s="7" t="n">
        <v>1859.8</v>
      </c>
      <c r="V68" s="7" t="n">
        <v>1027.8</v>
      </c>
      <c r="X68" s="7" t="n">
        <v>852.5</v>
      </c>
      <c r="Z68" s="7" t="n">
        <v>743.8</v>
      </c>
      <c r="AB68" s="7" t="n">
        <v>14417.9</v>
      </c>
    </row>
    <row r="69">
      <c r="A69" s="4" t="inlineStr">
        <is>
          <t>劳动保护费</t>
        </is>
      </c>
      <c r="D69" s="7" t="n">
        <v>115.7</v>
      </c>
      <c r="F69" s="7" t="n">
        <v>154</v>
      </c>
      <c r="H69" s="7" t="n">
        <v>135.6</v>
      </c>
      <c r="J69" s="7" t="n">
        <v>167.4</v>
      </c>
      <c r="L69" s="7" t="n">
        <v>129.4</v>
      </c>
      <c r="N69" s="7" t="n">
        <v>359.3</v>
      </c>
      <c r="P69" s="7" t="n">
        <v>169.8</v>
      </c>
      <c r="R69" s="7" t="n">
        <v>240.2</v>
      </c>
      <c r="T69" s="7" t="n">
        <v>163.3</v>
      </c>
      <c r="V69" s="7" t="n">
        <v>134.8</v>
      </c>
      <c r="X69" s="7" t="n">
        <v>167.9</v>
      </c>
      <c r="Z69" s="7" t="n">
        <v>177.2</v>
      </c>
      <c r="AB69" s="7" t="n">
        <v>2114.6</v>
      </c>
    </row>
    <row r="70">
      <c r="A70" s="4" t="inlineStr">
        <is>
          <t>顾问费</t>
        </is>
      </c>
      <c r="D70" s="7" t="n">
        <v>991.5</v>
      </c>
      <c r="F70" s="7" t="n">
        <v>1232.2</v>
      </c>
      <c r="H70" s="7" t="n">
        <v>1440.1</v>
      </c>
      <c r="J70" s="7" t="n">
        <v>2815.7</v>
      </c>
      <c r="L70" s="7" t="n">
        <v>1563.4</v>
      </c>
      <c r="N70" s="7" t="n">
        <v>3457.6</v>
      </c>
      <c r="P70" s="7" t="n">
        <v>1222.1</v>
      </c>
      <c r="R70" s="7" t="n">
        <v>2365.2</v>
      </c>
      <c r="T70" s="7" t="n">
        <v>2618.8</v>
      </c>
      <c r="V70" s="7" t="n">
        <v>1962.5</v>
      </c>
      <c r="X70" s="7" t="n">
        <v>1422.2</v>
      </c>
      <c r="Z70" s="7" t="n">
        <v>2040.5</v>
      </c>
      <c r="AB70" s="7" t="n">
        <v>23131.8</v>
      </c>
    </row>
    <row r="71">
      <c r="A71" s="4" t="inlineStr">
        <is>
          <t>快递费</t>
        </is>
      </c>
      <c r="D71" s="7" t="n">
        <v>949.8</v>
      </c>
      <c r="F71" s="7" t="n">
        <v>1115.3</v>
      </c>
      <c r="H71" s="7" t="n">
        <v>1178.6</v>
      </c>
      <c r="J71" s="7" t="n">
        <v>1608.4</v>
      </c>
      <c r="L71" s="7" t="n">
        <v>1451.1</v>
      </c>
      <c r="N71" s="7" t="n">
        <v>3287.9</v>
      </c>
      <c r="P71" s="7" t="n">
        <v>1405.8</v>
      </c>
      <c r="R71" s="7" t="n">
        <v>2284.2</v>
      </c>
      <c r="T71" s="7" t="n">
        <v>1936.6</v>
      </c>
      <c r="V71" s="7" t="n">
        <v>2222.7</v>
      </c>
      <c r="X71" s="7" t="n">
        <v>1195.5</v>
      </c>
      <c r="Z71" s="7" t="n">
        <v>1788.1</v>
      </c>
      <c r="AB71" s="7" t="n">
        <v>20424</v>
      </c>
    </row>
    <row r="72">
      <c r="A72" s="4" t="inlineStr">
        <is>
          <t>诉讼费</t>
        </is>
      </c>
      <c r="D72" s="7" t="n">
        <v>791.2</v>
      </c>
      <c r="F72" s="7" t="n">
        <v>1157.5</v>
      </c>
      <c r="H72" s="7" t="n">
        <v>934.8</v>
      </c>
      <c r="J72" s="7" t="n">
        <v>1934.7</v>
      </c>
      <c r="L72" s="7" t="n">
        <v>1031.6</v>
      </c>
      <c r="N72" s="7" t="n">
        <v>3028.2</v>
      </c>
      <c r="P72" s="7" t="n">
        <v>951.7</v>
      </c>
      <c r="R72" s="7" t="n">
        <v>2177.7</v>
      </c>
      <c r="T72" s="7" t="n">
        <v>1525.4</v>
      </c>
      <c r="V72" s="7" t="n">
        <v>1651.6</v>
      </c>
      <c r="X72" s="7" t="n">
        <v>1546</v>
      </c>
      <c r="Z72" s="7" t="n">
        <v>1302.2</v>
      </c>
      <c r="AB72" s="7" t="n">
        <v>18032.6</v>
      </c>
    </row>
    <row r="73">
      <c r="A73" s="4" t="inlineStr">
        <is>
          <t>会员费</t>
        </is>
      </c>
      <c r="D73" s="7" t="n">
        <v>72.7</v>
      </c>
      <c r="F73" s="7" t="n">
        <v>58.1</v>
      </c>
      <c r="H73" s="7" t="n">
        <v>69.2</v>
      </c>
      <c r="J73" s="7" t="n">
        <v>119.9</v>
      </c>
      <c r="L73" s="7" t="n">
        <v>107</v>
      </c>
      <c r="N73" s="7" t="n">
        <v>191.5</v>
      </c>
      <c r="P73" s="7" t="n">
        <v>95.09999999999999</v>
      </c>
      <c r="R73" s="7" t="n">
        <v>175.3</v>
      </c>
      <c r="T73" s="7" t="n">
        <v>141.3</v>
      </c>
      <c r="V73" s="7" t="n">
        <v>97.3</v>
      </c>
      <c r="X73" s="7" t="n">
        <v>107.3</v>
      </c>
      <c r="Z73" s="7" t="n">
        <v>111.9</v>
      </c>
      <c r="AB73" s="7" t="n">
        <v>1346.6</v>
      </c>
    </row>
    <row r="74">
      <c r="A74" s="4" t="inlineStr">
        <is>
          <t>广告宣传费</t>
        </is>
      </c>
      <c r="D74" s="7" t="n">
        <v>5993.6</v>
      </c>
      <c r="F74" s="7" t="n">
        <v>5851.3</v>
      </c>
      <c r="H74" s="7" t="n">
        <v>6172.5</v>
      </c>
      <c r="J74" s="7" t="n">
        <v>9707.9</v>
      </c>
      <c r="L74" s="7" t="n">
        <v>8064</v>
      </c>
      <c r="N74" s="7" t="n">
        <v>12432.4</v>
      </c>
      <c r="P74" s="7" t="n">
        <v>8311.6</v>
      </c>
      <c r="R74" s="7" t="n">
        <v>11032.2</v>
      </c>
      <c r="T74" s="7" t="n">
        <v>9305.9</v>
      </c>
      <c r="V74" s="7" t="n">
        <v>10805.4</v>
      </c>
      <c r="X74" s="7" t="n">
        <v>8846.299999999999</v>
      </c>
      <c r="Z74" s="7" t="n">
        <v>8904.799999999999</v>
      </c>
      <c r="AB74" s="7" t="n">
        <v>105427.9</v>
      </c>
    </row>
    <row r="75">
      <c r="A75" s="4" t="inlineStr">
        <is>
          <t>会务费</t>
        </is>
      </c>
      <c r="D75" s="7" t="n">
        <v>1085.5</v>
      </c>
      <c r="F75" s="7" t="n">
        <v>1133.3</v>
      </c>
      <c r="H75" s="7" t="n">
        <v>900.1</v>
      </c>
      <c r="J75" s="7" t="n">
        <v>1622.3</v>
      </c>
      <c r="L75" s="7" t="n">
        <v>1497.5</v>
      </c>
      <c r="N75" s="7" t="n">
        <v>2472.1</v>
      </c>
      <c r="P75" s="7" t="n">
        <v>1000.9</v>
      </c>
      <c r="R75" s="7" t="n">
        <v>1818.6</v>
      </c>
      <c r="T75" s="7" t="n">
        <v>2551.2</v>
      </c>
      <c r="V75" s="7" t="n">
        <v>1989.4</v>
      </c>
      <c r="X75" s="7" t="n">
        <v>1105.9</v>
      </c>
      <c r="Z75" s="7" t="n">
        <v>1587.7</v>
      </c>
      <c r="AB75" s="7" t="n">
        <v>18764.5</v>
      </c>
    </row>
    <row r="76">
      <c r="A76" s="4" t="inlineStr">
        <is>
          <t>装修费</t>
        </is>
      </c>
      <c r="D76" s="7" t="n">
        <v>723.1</v>
      </c>
      <c r="F76" s="7" t="n">
        <v>1018.7</v>
      </c>
      <c r="H76" s="7" t="n">
        <v>602.4</v>
      </c>
      <c r="J76" s="7" t="n">
        <v>1783.9</v>
      </c>
      <c r="L76" s="7" t="n">
        <v>868</v>
      </c>
      <c r="N76" s="7" t="n">
        <v>2307.2</v>
      </c>
      <c r="P76" s="7" t="n">
        <v>1081.9</v>
      </c>
      <c r="R76" s="7" t="n">
        <v>1123.3</v>
      </c>
      <c r="T76" s="7" t="n">
        <v>1932</v>
      </c>
      <c r="V76" s="7" t="n">
        <v>953.9</v>
      </c>
      <c r="X76" s="7" t="n">
        <v>776.8</v>
      </c>
      <c r="Z76" s="7" t="n">
        <v>1220.1</v>
      </c>
      <c r="AB76" s="7" t="n">
        <v>14391.3</v>
      </c>
    </row>
    <row r="77">
      <c r="A77" s="4" t="inlineStr">
        <is>
          <t>推广费</t>
        </is>
      </c>
      <c r="D77" s="7" t="n">
        <v>779</v>
      </c>
      <c r="F77" s="7" t="n">
        <v>1140.3</v>
      </c>
      <c r="H77" s="7" t="n">
        <v>928.4</v>
      </c>
      <c r="J77" s="7" t="n">
        <v>1494.6</v>
      </c>
      <c r="L77" s="7" t="n">
        <v>738.5</v>
      </c>
      <c r="N77" s="7" t="n">
        <v>1826</v>
      </c>
      <c r="P77" s="7" t="n">
        <v>966.4</v>
      </c>
      <c r="R77" s="7" t="n">
        <v>1863.2</v>
      </c>
      <c r="T77" s="7" t="n">
        <v>2161.7</v>
      </c>
      <c r="V77" s="7" t="n">
        <v>1455.8</v>
      </c>
      <c r="X77" s="7" t="n">
        <v>1109.5</v>
      </c>
      <c r="Z77" s="7" t="n">
        <v>1192.7</v>
      </c>
      <c r="AB77" s="7" t="n">
        <v>15656.1</v>
      </c>
    </row>
    <row r="78">
      <c r="A78" s="4" t="inlineStr">
        <is>
          <t>展会费</t>
        </is>
      </c>
      <c r="D78" s="7" t="n">
        <v>988.2</v>
      </c>
      <c r="F78" s="7" t="n">
        <v>1269.7</v>
      </c>
      <c r="H78" s="7" t="n">
        <v>1286.5</v>
      </c>
      <c r="J78" s="7" t="n">
        <v>2115.2</v>
      </c>
      <c r="L78" s="7" t="n">
        <v>1084.9</v>
      </c>
      <c r="N78" s="7" t="n">
        <v>2888.3</v>
      </c>
      <c r="P78" s="7" t="n">
        <v>1095.7</v>
      </c>
      <c r="R78" s="7" t="n">
        <v>1581.4</v>
      </c>
      <c r="T78" s="7" t="n">
        <v>1557.6</v>
      </c>
      <c r="V78" s="7" t="n">
        <v>1620.9</v>
      </c>
      <c r="X78" s="7" t="n">
        <v>1615.7</v>
      </c>
      <c r="Z78" s="7" t="n">
        <v>1316.2</v>
      </c>
      <c r="AB78" s="7" t="n">
        <v>18420.3</v>
      </c>
    </row>
    <row r="79">
      <c r="A79" s="4" t="inlineStr">
        <is>
          <t>设计费</t>
        </is>
      </c>
      <c r="D79" s="7" t="n">
        <v>27.3</v>
      </c>
      <c r="F79" s="7" t="n">
        <v>32.9</v>
      </c>
      <c r="H79" s="7" t="n">
        <v>26.4</v>
      </c>
      <c r="J79" s="7" t="n">
        <v>64.40000000000001</v>
      </c>
      <c r="L79" s="7" t="n">
        <v>42.7</v>
      </c>
      <c r="N79" s="7" t="n">
        <v>61.9</v>
      </c>
      <c r="P79" s="7" t="n">
        <v>34.1</v>
      </c>
      <c r="R79" s="7" t="n">
        <v>64.5</v>
      </c>
      <c r="T79" s="7" t="n">
        <v>57.8</v>
      </c>
      <c r="V79" s="7" t="n">
        <v>49.3</v>
      </c>
      <c r="X79" s="7" t="n">
        <v>32.3</v>
      </c>
      <c r="Z79" s="7" t="n">
        <v>28</v>
      </c>
      <c r="AB79" s="7" t="n">
        <v>521.6</v>
      </c>
    </row>
    <row r="80">
      <c r="A80" s="4" t="inlineStr">
        <is>
          <t>折旧费</t>
        </is>
      </c>
      <c r="D80" s="7" t="n">
        <v>8619.299999999999</v>
      </c>
      <c r="F80" s="7" t="n">
        <v>9825.9</v>
      </c>
      <c r="H80" s="7" t="n">
        <v>6564.3</v>
      </c>
      <c r="J80" s="7" t="n">
        <v>17674.5</v>
      </c>
      <c r="L80" s="7" t="n">
        <v>6847</v>
      </c>
      <c r="N80" s="7" t="n">
        <v>20970.6</v>
      </c>
      <c r="P80" s="7" t="n">
        <v>9330</v>
      </c>
      <c r="R80" s="7" t="n">
        <v>18653.9</v>
      </c>
      <c r="T80" s="7" t="n">
        <v>15827.9</v>
      </c>
      <c r="V80" s="7" t="n">
        <v>12655.1</v>
      </c>
      <c r="X80" s="7" t="n">
        <v>11824.4</v>
      </c>
      <c r="Z80" s="7" t="n">
        <v>11323.2</v>
      </c>
      <c r="AB80" s="7" t="n">
        <v>150116.1</v>
      </c>
    </row>
    <row r="81">
      <c r="A81" s="4" t="inlineStr">
        <is>
          <t>认证费</t>
        </is>
      </c>
      <c r="D81" s="7" t="n">
        <v>694.2</v>
      </c>
      <c r="F81" s="7" t="n">
        <v>1245.2</v>
      </c>
      <c r="H81" s="7" t="n">
        <v>1341.4</v>
      </c>
      <c r="J81" s="7" t="n">
        <v>2387.2</v>
      </c>
      <c r="L81" s="7" t="n">
        <v>1007.1</v>
      </c>
      <c r="N81" s="7" t="n">
        <v>2784</v>
      </c>
      <c r="P81" s="7" t="n">
        <v>955.5</v>
      </c>
      <c r="R81" s="7" t="n">
        <v>2101.7</v>
      </c>
      <c r="T81" s="7" t="n">
        <v>2436.4</v>
      </c>
      <c r="V81" s="7" t="n">
        <v>1254.1</v>
      </c>
      <c r="X81" s="7" t="n">
        <v>1132.8</v>
      </c>
      <c r="Z81" s="7" t="n">
        <v>1070.7</v>
      </c>
      <c r="AB81" s="7" t="n">
        <v>18410.3</v>
      </c>
    </row>
    <row r="82">
      <c r="A82" s="4" t="inlineStr">
        <is>
          <t>样品费</t>
        </is>
      </c>
      <c r="D82" s="7" t="n">
        <v>2757.2</v>
      </c>
      <c r="F82" s="7" t="n">
        <v>4330.2</v>
      </c>
      <c r="H82" s="7" t="n">
        <v>4900.8</v>
      </c>
      <c r="J82" s="7" t="n">
        <v>5364.6</v>
      </c>
      <c r="L82" s="7" t="n">
        <v>6194.2</v>
      </c>
      <c r="N82" s="7" t="n">
        <v>10181.5</v>
      </c>
      <c r="P82" s="7" t="n">
        <v>4191.5</v>
      </c>
      <c r="R82" s="7" t="n">
        <v>8064.9</v>
      </c>
      <c r="T82" s="7" t="n">
        <v>7600.7</v>
      </c>
      <c r="V82" s="7" t="n">
        <v>7927.9</v>
      </c>
      <c r="X82" s="7" t="n">
        <v>3938.6</v>
      </c>
      <c r="Z82" s="7" t="n">
        <v>4417.7</v>
      </c>
      <c r="AB82" s="7" t="n">
        <v>69869.8</v>
      </c>
    </row>
    <row r="83">
      <c r="A83" s="4" t="inlineStr">
        <is>
          <t>劳务费</t>
        </is>
      </c>
      <c r="D83" s="7" t="n">
        <v>1086.1</v>
      </c>
      <c r="F83" s="7" t="n">
        <v>1514.5</v>
      </c>
      <c r="H83" s="7" t="n">
        <v>1375.5</v>
      </c>
      <c r="J83" s="7" t="n">
        <v>2232</v>
      </c>
      <c r="L83" s="7" t="n">
        <v>1561</v>
      </c>
      <c r="N83" s="7" t="n">
        <v>3515.4</v>
      </c>
      <c r="P83" s="7" t="n">
        <v>1435.6</v>
      </c>
      <c r="R83" s="7" t="n">
        <v>3147.7</v>
      </c>
      <c r="T83" s="7" t="n">
        <v>2252.8</v>
      </c>
      <c r="V83" s="7" t="n">
        <v>1985.5</v>
      </c>
      <c r="X83" s="7" t="n">
        <v>1441.6</v>
      </c>
      <c r="Z83" s="7" t="n">
        <v>1182.2</v>
      </c>
      <c r="AB83" s="7" t="n">
        <v>22729.9</v>
      </c>
    </row>
    <row r="84">
      <c r="A84" s="4" t="inlineStr">
        <is>
          <t>销售佣金</t>
        </is>
      </c>
      <c r="D84" s="7" t="n">
        <v>783.4</v>
      </c>
      <c r="F84" s="7" t="n">
        <v>911.8</v>
      </c>
      <c r="H84" s="7" t="n">
        <v>957.1</v>
      </c>
      <c r="J84" s="7" t="n">
        <v>2398.9</v>
      </c>
      <c r="L84" s="7" t="n">
        <v>1647.4</v>
      </c>
      <c r="N84" s="7" t="n">
        <v>2893.6</v>
      </c>
      <c r="P84" s="7" t="n">
        <v>1018</v>
      </c>
      <c r="R84" s="7" t="n">
        <v>1932.8</v>
      </c>
      <c r="T84" s="7" t="n">
        <v>1664.4</v>
      </c>
      <c r="V84" s="7" t="n">
        <v>1805</v>
      </c>
      <c r="X84" s="7" t="n">
        <v>1126</v>
      </c>
      <c r="Z84" s="7" t="n">
        <v>1150.4</v>
      </c>
      <c r="AB84" s="7" t="n">
        <v>18288.8</v>
      </c>
    </row>
    <row r="85">
      <c r="A85" s="4" t="inlineStr">
        <is>
          <t>检测费</t>
        </is>
      </c>
      <c r="D85" s="7" t="n">
        <v>538.1</v>
      </c>
      <c r="F85" s="7" t="n">
        <v>491.1</v>
      </c>
      <c r="H85" s="7" t="n">
        <v>379.9</v>
      </c>
      <c r="J85" s="7" t="n">
        <v>794</v>
      </c>
      <c r="L85" s="7" t="n">
        <v>575</v>
      </c>
      <c r="N85" s="7" t="n">
        <v>1418</v>
      </c>
      <c r="P85" s="7" t="n">
        <v>583.8</v>
      </c>
      <c r="R85" s="7" t="n">
        <v>729.9</v>
      </c>
      <c r="T85" s="7" t="n">
        <v>1136.7</v>
      </c>
      <c r="V85" s="7" t="n">
        <v>1015.9</v>
      </c>
      <c r="X85" s="7" t="n">
        <v>787.4</v>
      </c>
      <c r="Z85" s="7" t="n">
        <v>512.3</v>
      </c>
      <c r="AB85" s="7" t="n">
        <v>8962.1</v>
      </c>
    </row>
    <row r="86">
      <c r="A86" s="4" t="inlineStr">
        <is>
          <t>质量赔偿</t>
        </is>
      </c>
      <c r="D86" s="7" t="n">
        <v>462.1</v>
      </c>
      <c r="F86" s="7" t="n">
        <v>607.2</v>
      </c>
      <c r="H86" s="7" t="n">
        <v>524.9</v>
      </c>
      <c r="J86" s="7" t="n">
        <v>864.1</v>
      </c>
      <c r="L86" s="7" t="n">
        <v>464.8</v>
      </c>
      <c r="N86" s="7" t="n">
        <v>1603.4</v>
      </c>
      <c r="P86" s="7" t="n">
        <v>534.8</v>
      </c>
      <c r="R86" s="7" t="n">
        <v>685.8</v>
      </c>
      <c r="T86" s="7" t="n">
        <v>1032.7</v>
      </c>
      <c r="V86" s="7" t="n">
        <v>569.9</v>
      </c>
      <c r="X86" s="7" t="n">
        <v>531.9</v>
      </c>
      <c r="Z86" s="7" t="n">
        <v>469</v>
      </c>
      <c r="AB86" s="7" t="n">
        <v>8350.6</v>
      </c>
    </row>
    <row r="87">
      <c r="A87" s="4" t="inlineStr">
        <is>
          <t>保险费</t>
        </is>
      </c>
      <c r="D87" s="7" t="n">
        <v>460.2</v>
      </c>
      <c r="F87" s="7" t="n">
        <v>813.5</v>
      </c>
      <c r="H87" s="7" t="n">
        <v>667.8</v>
      </c>
      <c r="J87" s="7" t="n">
        <v>1204.1</v>
      </c>
      <c r="L87" s="7" t="n">
        <v>747</v>
      </c>
      <c r="N87" s="7" t="n">
        <v>2227.5</v>
      </c>
      <c r="P87" s="7" t="n">
        <v>685.7</v>
      </c>
      <c r="R87" s="7" t="n">
        <v>997</v>
      </c>
      <c r="T87" s="7" t="n">
        <v>1327.1</v>
      </c>
      <c r="V87" s="7" t="n">
        <v>1441.3</v>
      </c>
      <c r="X87" s="7" t="n">
        <v>937.9</v>
      </c>
      <c r="Z87" s="7" t="n">
        <v>688.4</v>
      </c>
      <c r="AB87" s="7" t="n">
        <v>12197.5</v>
      </c>
    </row>
    <row r="88">
      <c r="A88" s="4" t="inlineStr">
        <is>
          <t>清洁费</t>
        </is>
      </c>
      <c r="D88" s="7" t="n">
        <v>845.9</v>
      </c>
      <c r="F88" s="7" t="n">
        <v>1440.2</v>
      </c>
      <c r="H88" s="7" t="n">
        <v>1085.7</v>
      </c>
      <c r="J88" s="7" t="n">
        <v>2693.5</v>
      </c>
      <c r="L88" s="7" t="n">
        <v>1450.5</v>
      </c>
      <c r="N88" s="7" t="n">
        <v>3132.1</v>
      </c>
      <c r="P88" s="7" t="n">
        <v>1552.1</v>
      </c>
      <c r="R88" s="7" t="n">
        <v>2906.7</v>
      </c>
      <c r="T88" s="7" t="n">
        <v>2493.2</v>
      </c>
      <c r="V88" s="7" t="n">
        <v>2021.2</v>
      </c>
      <c r="X88" s="7" t="n">
        <v>2113.8</v>
      </c>
      <c r="Z88" s="7" t="n">
        <v>1222.1</v>
      </c>
      <c r="AB88" s="7" t="n">
        <v>22957</v>
      </c>
    </row>
    <row r="89">
      <c r="A89" s="4" t="inlineStr">
        <is>
          <t>低值易耗品</t>
        </is>
      </c>
      <c r="D89" s="7" t="n">
        <v>1002.8</v>
      </c>
      <c r="F89" s="7" t="n">
        <v>1174.9</v>
      </c>
      <c r="H89" s="7" t="n">
        <v>1437.9</v>
      </c>
      <c r="J89" s="7" t="n">
        <v>2957.4</v>
      </c>
      <c r="L89" s="7" t="n">
        <v>1520.9</v>
      </c>
      <c r="N89" s="7" t="n">
        <v>3326.7</v>
      </c>
      <c r="P89" s="7" t="n">
        <v>1713.9</v>
      </c>
      <c r="R89" s="7" t="n">
        <v>2404</v>
      </c>
      <c r="T89" s="7" t="n">
        <v>1920.3</v>
      </c>
      <c r="V89" s="7" t="n">
        <v>1370.2</v>
      </c>
      <c r="X89" s="7" t="n">
        <v>1760.2</v>
      </c>
      <c r="Z89" s="7" t="n">
        <v>1235.4</v>
      </c>
      <c r="AB89" s="7" t="n">
        <v>21824.6</v>
      </c>
    </row>
    <row r="90">
      <c r="A90" s="4" t="inlineStr">
        <is>
          <t>物料消耗</t>
        </is>
      </c>
      <c r="D90" s="7" t="n">
        <v>133</v>
      </c>
      <c r="F90" s="7" t="n">
        <v>197.4</v>
      </c>
      <c r="H90" s="7" t="n">
        <v>122.7</v>
      </c>
      <c r="J90" s="7" t="n">
        <v>350</v>
      </c>
      <c r="L90" s="7" t="n">
        <v>256</v>
      </c>
      <c r="N90" s="7" t="n">
        <v>472.6</v>
      </c>
      <c r="P90" s="7" t="n">
        <v>160.7</v>
      </c>
      <c r="R90" s="7" t="n">
        <v>346.7</v>
      </c>
      <c r="T90" s="7" t="n">
        <v>371.1</v>
      </c>
      <c r="V90" s="7" t="n">
        <v>209.9</v>
      </c>
      <c r="X90" s="7" t="n">
        <v>301.1</v>
      </c>
      <c r="Z90" s="7" t="n">
        <v>245.1</v>
      </c>
      <c r="AB90" s="7" t="n">
        <v>3166.3</v>
      </c>
    </row>
    <row r="91">
      <c r="A91" s="4" t="inlineStr">
        <is>
          <t>盘盈盘亏</t>
        </is>
      </c>
      <c r="D91" s="7" t="n">
        <v>493.2</v>
      </c>
      <c r="F91" s="7" t="n">
        <v>657.5</v>
      </c>
      <c r="H91" s="7" t="n">
        <v>843.1</v>
      </c>
      <c r="J91" s="7" t="n">
        <v>1505.6</v>
      </c>
      <c r="L91" s="7" t="n">
        <v>941.1</v>
      </c>
      <c r="N91" s="7" t="n">
        <v>1475.1</v>
      </c>
      <c r="P91" s="7" t="n">
        <v>913.2</v>
      </c>
      <c r="R91" s="7" t="n">
        <v>1640.8</v>
      </c>
      <c r="T91" s="7" t="n">
        <v>1238.6</v>
      </c>
      <c r="V91" s="7" t="n">
        <v>914.5</v>
      </c>
      <c r="X91" s="7" t="n">
        <v>698.6</v>
      </c>
      <c r="Z91" s="7" t="n">
        <v>617.8</v>
      </c>
      <c r="AB91" s="7" t="n">
        <v>11939.1</v>
      </c>
    </row>
    <row r="92">
      <c r="A92" s="4" t="inlineStr">
        <is>
          <t>平台服务费</t>
        </is>
      </c>
      <c r="D92" s="7" t="n">
        <v>1049.3</v>
      </c>
      <c r="F92" s="7" t="n">
        <v>798.2</v>
      </c>
      <c r="H92" s="7" t="n">
        <v>711.4</v>
      </c>
      <c r="J92" s="7" t="n">
        <v>2040.8</v>
      </c>
      <c r="L92" s="7" t="n">
        <v>1188.4</v>
      </c>
      <c r="N92" s="7" t="n">
        <v>2417.4</v>
      </c>
      <c r="P92" s="7" t="n">
        <v>1338</v>
      </c>
      <c r="R92" s="7" t="n">
        <v>2401.4</v>
      </c>
      <c r="T92" s="7" t="n">
        <v>1820.1</v>
      </c>
      <c r="V92" s="7" t="n">
        <v>1505.2</v>
      </c>
      <c r="X92" s="7" t="n">
        <v>1533</v>
      </c>
      <c r="Z92" s="7" t="n">
        <v>1186.3</v>
      </c>
      <c r="AB92" s="7" t="n">
        <v>17989.5</v>
      </c>
    </row>
    <row r="93">
      <c r="A93" s="4" t="inlineStr">
        <is>
          <t>无形资产摊销</t>
        </is>
      </c>
      <c r="D93" s="7" t="n">
        <v>758.9</v>
      </c>
      <c r="F93" s="7" t="n">
        <v>868.8</v>
      </c>
      <c r="H93" s="7" t="n">
        <v>764.6</v>
      </c>
      <c r="J93" s="7" t="n">
        <v>1185.1</v>
      </c>
      <c r="L93" s="7" t="n">
        <v>868.7</v>
      </c>
      <c r="N93" s="7" t="n">
        <v>2135.2</v>
      </c>
      <c r="P93" s="7" t="n">
        <v>884.6</v>
      </c>
      <c r="R93" s="7" t="n">
        <v>1496.9</v>
      </c>
      <c r="T93" s="7" t="n">
        <v>1509.1</v>
      </c>
      <c r="V93" s="7" t="n">
        <v>1214.7</v>
      </c>
      <c r="X93" s="7" t="n">
        <v>804.2</v>
      </c>
      <c r="Z93" s="7" t="n">
        <v>968.8</v>
      </c>
      <c r="AB93" s="7" t="n">
        <v>13459.6</v>
      </c>
    </row>
    <row r="94">
      <c r="A94" s="4" t="inlineStr">
        <is>
          <t>研发材料</t>
        </is>
      </c>
      <c r="D94" s="7" t="n">
        <v>1288.2</v>
      </c>
      <c r="F94" s="7" t="n">
        <v>1598.1</v>
      </c>
      <c r="H94" s="7" t="n">
        <v>1283.1</v>
      </c>
      <c r="J94" s="7" t="n">
        <v>2471.6</v>
      </c>
      <c r="L94" s="7" t="n">
        <v>1595.9</v>
      </c>
      <c r="N94" s="7" t="n">
        <v>4044.2</v>
      </c>
      <c r="P94" s="7" t="n">
        <v>1572.3</v>
      </c>
      <c r="R94" s="7" t="n">
        <v>3010.2</v>
      </c>
      <c r="T94" s="7" t="n">
        <v>2519.4</v>
      </c>
      <c r="V94" s="7" t="n">
        <v>1628.8</v>
      </c>
      <c r="X94" s="7" t="n">
        <v>1306.9</v>
      </c>
      <c r="Z94" s="7" t="n">
        <v>1883</v>
      </c>
      <c r="AB94" s="7" t="n">
        <v>24201.7</v>
      </c>
    </row>
    <row r="95">
      <c r="A95" s="4" t="inlineStr">
        <is>
          <t>项目名称</t>
        </is>
      </c>
      <c r="D95" s="7" t="n">
        <v>741.1</v>
      </c>
      <c r="F95" s="7" t="n">
        <v>670.3</v>
      </c>
      <c r="H95" s="7" t="n">
        <v>632.2</v>
      </c>
      <c r="J95" s="7" t="n">
        <v>1157.9</v>
      </c>
      <c r="L95" s="7" t="n">
        <v>622</v>
      </c>
      <c r="N95" s="7" t="n">
        <v>2132.9</v>
      </c>
      <c r="P95" s="7" t="n">
        <v>653.4</v>
      </c>
      <c r="R95" s="7" t="n">
        <v>1354.1</v>
      </c>
      <c r="T95" s="7" t="n">
        <v>1556.6</v>
      </c>
      <c r="V95" s="7" t="n">
        <v>812.1</v>
      </c>
      <c r="X95" s="7" t="n">
        <v>833.4</v>
      </c>
      <c r="Z95" s="7" t="n">
        <v>740.5</v>
      </c>
      <c r="AB95" s="7" t="n">
        <v>11906.5</v>
      </c>
    </row>
    <row r="96">
      <c r="A96" s="4" t="inlineStr">
        <is>
          <t>研发费</t>
        </is>
      </c>
      <c r="D96" s="7" t="n">
        <v>276.3</v>
      </c>
      <c r="F96" s="7" t="n">
        <v>303.6</v>
      </c>
      <c r="H96" s="7" t="n">
        <v>234.8</v>
      </c>
      <c r="J96" s="7" t="n">
        <v>458.9</v>
      </c>
      <c r="L96" s="7" t="n">
        <v>423.3</v>
      </c>
      <c r="N96" s="7" t="n">
        <v>769.4</v>
      </c>
      <c r="P96" s="7" t="n">
        <v>381.2</v>
      </c>
      <c r="R96" s="7" t="n">
        <v>395.8</v>
      </c>
      <c r="T96" s="7" t="n">
        <v>544.3</v>
      </c>
      <c r="V96" s="7" t="n">
        <v>467.9</v>
      </c>
      <c r="X96" s="7" t="n">
        <v>390.3</v>
      </c>
      <c r="Z96" s="7" t="n">
        <v>320.2</v>
      </c>
      <c r="AB96" s="7" t="n">
        <v>4966</v>
      </c>
    </row>
    <row r="97">
      <c r="A97" s="4" t="inlineStr">
        <is>
          <t>残保金</t>
        </is>
      </c>
      <c r="D97" s="7" t="n">
        <v>626.6</v>
      </c>
      <c r="F97" s="7" t="n">
        <v>768.5</v>
      </c>
      <c r="H97" s="7" t="n">
        <v>574.3</v>
      </c>
      <c r="J97" s="7" t="n">
        <v>1853.1</v>
      </c>
      <c r="L97" s="7" t="n">
        <v>787.8</v>
      </c>
      <c r="N97" s="7" t="n">
        <v>1868.5</v>
      </c>
      <c r="P97" s="7" t="n">
        <v>700.9</v>
      </c>
      <c r="R97" s="7" t="n">
        <v>1577.8</v>
      </c>
      <c r="T97" s="7" t="n">
        <v>1207.5</v>
      </c>
      <c r="V97" s="7" t="n">
        <v>1273.5</v>
      </c>
      <c r="X97" s="7" t="n">
        <v>899.5</v>
      </c>
      <c r="Z97" s="7" t="n">
        <v>784.1</v>
      </c>
      <c r="AB97" s="7" t="n">
        <v>12922.1</v>
      </c>
    </row>
    <row r="98">
      <c r="A98" s="4" t="inlineStr">
        <is>
          <t>环保费</t>
        </is>
      </c>
      <c r="D98" s="7" t="n">
        <v>438.8</v>
      </c>
      <c r="F98" s="7" t="n">
        <v>729.7</v>
      </c>
      <c r="H98" s="7" t="n">
        <v>540.5</v>
      </c>
      <c r="J98" s="7" t="n">
        <v>1114.4</v>
      </c>
      <c r="L98" s="7" t="n">
        <v>676</v>
      </c>
      <c r="N98" s="7" t="n">
        <v>1551.4</v>
      </c>
      <c r="P98" s="7" t="n">
        <v>590.4</v>
      </c>
      <c r="R98" s="7" t="n">
        <v>1490</v>
      </c>
      <c r="T98" s="7" t="n">
        <v>974.5</v>
      </c>
      <c r="V98" s="7" t="n">
        <v>963</v>
      </c>
      <c r="X98" s="7" t="n">
        <v>1082.2</v>
      </c>
      <c r="Z98" s="7" t="n">
        <v>639.2</v>
      </c>
      <c r="AB98" s="7" t="n">
        <v>10790.1</v>
      </c>
    </row>
    <row r="99">
      <c r="A99" s="4" t="inlineStr">
        <is>
          <t>报废损失</t>
        </is>
      </c>
      <c r="D99" s="7" t="n">
        <v>385.5</v>
      </c>
      <c r="F99" s="7" t="n">
        <v>443.2</v>
      </c>
      <c r="H99" s="7" t="n">
        <v>573.8</v>
      </c>
      <c r="J99" s="7" t="n">
        <v>706.8</v>
      </c>
      <c r="L99" s="7" t="n">
        <v>453.9</v>
      </c>
      <c r="N99" s="7" t="n">
        <v>852</v>
      </c>
      <c r="P99" s="7" t="n">
        <v>496</v>
      </c>
      <c r="R99" s="7" t="n">
        <v>1044.4</v>
      </c>
      <c r="T99" s="7" t="n">
        <v>1146.6</v>
      </c>
      <c r="V99" s="7" t="n">
        <v>577.7</v>
      </c>
      <c r="X99" s="7" t="n">
        <v>534.7</v>
      </c>
      <c r="Z99" s="7" t="n">
        <v>574.8</v>
      </c>
      <c r="AB99" s="7" t="n">
        <v>7789.4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127427.8</v>
      </c>
      <c r="D100" s="7" t="n">
        <v>81691.3</v>
      </c>
      <c r="E100" s="7" t="n">
        <v>116389.6</v>
      </c>
      <c r="F100" s="7" t="n">
        <v>61449.2</v>
      </c>
      <c r="G100" s="7" t="n">
        <v>116316.3</v>
      </c>
      <c r="H100" s="7" t="n">
        <v>82678.39999999999</v>
      </c>
      <c r="I100" s="7" t="n">
        <v>112886.5</v>
      </c>
      <c r="J100" s="7" t="n">
        <v>143292.9</v>
      </c>
      <c r="K100" s="7" t="n">
        <v>118201.2</v>
      </c>
      <c r="L100" s="7" t="n">
        <v>176416.8</v>
      </c>
      <c r="M100" s="7" t="n">
        <v>131823.5</v>
      </c>
      <c r="N100" s="7" t="n">
        <v>172520.9</v>
      </c>
      <c r="O100" s="7" t="n">
        <v>142397.8</v>
      </c>
      <c r="P100" s="7" t="n">
        <v>130059.3</v>
      </c>
      <c r="Q100" s="7" t="n">
        <v>121403</v>
      </c>
      <c r="R100" s="7" t="n">
        <v>151172</v>
      </c>
      <c r="S100" s="7" t="n">
        <v>138875.1</v>
      </c>
      <c r="T100" s="7" t="n">
        <v>163889.7</v>
      </c>
      <c r="U100" s="7" t="n">
        <v>125580.6</v>
      </c>
      <c r="V100" s="7" t="n">
        <v>142696.2</v>
      </c>
      <c r="W100" s="7" t="n">
        <v>150665.2</v>
      </c>
      <c r="X100" s="7" t="n">
        <v>164466.7</v>
      </c>
      <c r="Y100" s="7" t="n">
        <v>141213.2</v>
      </c>
      <c r="Z100" s="7" t="n">
        <v>111548.3</v>
      </c>
      <c r="AA100" s="8" t="n">
        <v>1543179.8</v>
      </c>
      <c r="AB100" s="8" t="n">
        <v>1581881.7</v>
      </c>
    </row>
    <row r="101">
      <c r="A101" s="4" t="inlineStr">
        <is>
          <t>职工薪酬</t>
        </is>
      </c>
      <c r="D101" s="7" t="n">
        <v>44067.2</v>
      </c>
      <c r="F101" s="7" t="n">
        <v>29676.4</v>
      </c>
      <c r="H101" s="7" t="n">
        <v>47720.9</v>
      </c>
      <c r="J101" s="7" t="n">
        <v>78865.89999999999</v>
      </c>
      <c r="L101" s="7" t="n">
        <v>95091.10000000001</v>
      </c>
      <c r="N101" s="7" t="n">
        <v>80987.5</v>
      </c>
      <c r="P101" s="7" t="n">
        <v>54161.1</v>
      </c>
      <c r="R101" s="7" t="n">
        <v>88589.8</v>
      </c>
      <c r="T101" s="7" t="n">
        <v>82021.3</v>
      </c>
      <c r="V101" s="7" t="n">
        <v>73854.39999999999</v>
      </c>
      <c r="X101" s="7" t="n">
        <v>68693.39999999999</v>
      </c>
      <c r="Z101" s="7" t="n">
        <v>45484.1</v>
      </c>
      <c r="AB101" s="7" t="n">
        <v>789213.1</v>
      </c>
    </row>
    <row r="102">
      <c r="A102" s="4" t="inlineStr">
        <is>
          <t>工资</t>
        </is>
      </c>
      <c r="D102" s="7" t="n">
        <v>29221.8</v>
      </c>
      <c r="F102" s="7" t="n">
        <v>15098.9</v>
      </c>
      <c r="H102" s="7" t="n">
        <v>27876.1</v>
      </c>
      <c r="J102" s="7" t="n">
        <v>50982.4</v>
      </c>
      <c r="L102" s="7" t="n">
        <v>59312.4</v>
      </c>
      <c r="N102" s="7" t="n">
        <v>51828.7</v>
      </c>
      <c r="P102" s="7" t="n">
        <v>31554.2</v>
      </c>
      <c r="R102" s="7" t="n">
        <v>58754.4</v>
      </c>
      <c r="T102" s="7" t="n">
        <v>51857.2</v>
      </c>
      <c r="V102" s="7" t="n">
        <v>46262.9</v>
      </c>
      <c r="X102" s="7" t="n">
        <v>41328.7</v>
      </c>
      <c r="Z102" s="7" t="n">
        <v>26081.5</v>
      </c>
      <c r="AB102" s="7" t="n">
        <v>490159.2</v>
      </c>
    </row>
    <row r="103">
      <c r="A103" s="4" t="inlineStr">
        <is>
          <t>奖金及提成</t>
        </is>
      </c>
      <c r="D103" s="7" t="n">
        <v>5906.4</v>
      </c>
      <c r="F103" s="7" t="n">
        <v>7953</v>
      </c>
      <c r="H103" s="7" t="n">
        <v>10396.5</v>
      </c>
      <c r="J103" s="7" t="n">
        <v>13695.7</v>
      </c>
      <c r="L103" s="7" t="n">
        <v>18874.5</v>
      </c>
      <c r="N103" s="7" t="n">
        <v>13017.8</v>
      </c>
      <c r="P103" s="7" t="n">
        <v>9501.799999999999</v>
      </c>
      <c r="R103" s="7" t="n">
        <v>14276.4</v>
      </c>
      <c r="T103" s="7" t="n">
        <v>14485.7</v>
      </c>
      <c r="V103" s="7" t="n">
        <v>15411</v>
      </c>
      <c r="X103" s="7" t="n">
        <v>13796.4</v>
      </c>
      <c r="Z103" s="7" t="n">
        <v>10058.4</v>
      </c>
      <c r="AB103" s="7" t="n">
        <v>147373.6</v>
      </c>
    </row>
    <row r="104">
      <c r="A104" s="4" t="inlineStr">
        <is>
          <t>社保</t>
        </is>
      </c>
      <c r="D104" s="7" t="n">
        <v>6453.7</v>
      </c>
      <c r="F104" s="7" t="n">
        <v>4945</v>
      </c>
      <c r="H104" s="7" t="n">
        <v>7185.2</v>
      </c>
      <c r="J104" s="7" t="n">
        <v>10117.3</v>
      </c>
      <c r="L104" s="7" t="n">
        <v>12159.3</v>
      </c>
      <c r="N104" s="7" t="n">
        <v>11984.5</v>
      </c>
      <c r="P104" s="7" t="n">
        <v>9474.700000000001</v>
      </c>
      <c r="R104" s="7" t="n">
        <v>11499.3</v>
      </c>
      <c r="T104" s="7" t="n">
        <v>11693.9</v>
      </c>
      <c r="V104" s="7" t="n">
        <v>8316.700000000001</v>
      </c>
      <c r="X104" s="7" t="n">
        <v>9532.9</v>
      </c>
      <c r="Z104" s="7" t="n">
        <v>6525.8</v>
      </c>
      <c r="AB104" s="7" t="n">
        <v>109888.3</v>
      </c>
    </row>
    <row r="105">
      <c r="A105" s="4" t="inlineStr">
        <is>
          <t>养老</t>
        </is>
      </c>
      <c r="D105" s="7" t="n">
        <v>330</v>
      </c>
      <c r="F105" s="7" t="n">
        <v>295.1</v>
      </c>
      <c r="H105" s="7" t="n">
        <v>502.7</v>
      </c>
      <c r="J105" s="7" t="n">
        <v>532.2</v>
      </c>
      <c r="L105" s="7" t="n">
        <v>698.6</v>
      </c>
      <c r="N105" s="7" t="n">
        <v>1069.2</v>
      </c>
      <c r="P105" s="7" t="n">
        <v>583.2</v>
      </c>
      <c r="R105" s="7" t="n">
        <v>651.6</v>
      </c>
      <c r="T105" s="7" t="n">
        <v>606.8</v>
      </c>
      <c r="V105" s="7" t="n">
        <v>493.5</v>
      </c>
      <c r="X105" s="7" t="n">
        <v>828.1</v>
      </c>
      <c r="Z105" s="7" t="n">
        <v>663.1</v>
      </c>
      <c r="AB105" s="7" t="n">
        <v>7254.1</v>
      </c>
    </row>
    <row r="106">
      <c r="A106" s="4" t="inlineStr">
        <is>
          <t>医疗</t>
        </is>
      </c>
      <c r="D106" s="7" t="n">
        <v>203.1</v>
      </c>
      <c r="F106" s="7" t="n">
        <v>122.4</v>
      </c>
      <c r="H106" s="7" t="n">
        <v>209.6</v>
      </c>
      <c r="J106" s="7" t="n">
        <v>316.6</v>
      </c>
      <c r="L106" s="7" t="n">
        <v>353.6</v>
      </c>
      <c r="N106" s="7" t="n">
        <v>408.5</v>
      </c>
      <c r="P106" s="7" t="n">
        <v>233.3</v>
      </c>
      <c r="R106" s="7" t="n">
        <v>305.5</v>
      </c>
      <c r="T106" s="7" t="n">
        <v>438.6</v>
      </c>
      <c r="V106" s="7" t="n">
        <v>241.2</v>
      </c>
      <c r="X106" s="7" t="n">
        <v>409.2</v>
      </c>
      <c r="Z106" s="7" t="n">
        <v>187.1</v>
      </c>
      <c r="AB106" s="7" t="n">
        <v>3428.7</v>
      </c>
    </row>
    <row r="107">
      <c r="A107" s="4" t="inlineStr">
        <is>
          <t>工伤</t>
        </is>
      </c>
      <c r="D107" s="7" t="n">
        <v>391.9</v>
      </c>
      <c r="F107" s="7" t="n">
        <v>258.2</v>
      </c>
      <c r="H107" s="7" t="n">
        <v>258.9</v>
      </c>
      <c r="J107" s="7" t="n">
        <v>618.8</v>
      </c>
      <c r="L107" s="7" t="n">
        <v>851.8</v>
      </c>
      <c r="N107" s="7" t="n">
        <v>494.3</v>
      </c>
      <c r="P107" s="7" t="n">
        <v>514.2</v>
      </c>
      <c r="R107" s="7" t="n">
        <v>526.6</v>
      </c>
      <c r="T107" s="7" t="n">
        <v>715.6</v>
      </c>
      <c r="V107" s="7" t="n">
        <v>710.1</v>
      </c>
      <c r="X107" s="7" t="n">
        <v>519.5</v>
      </c>
      <c r="Z107" s="7" t="n">
        <v>485.9</v>
      </c>
      <c r="AB107" s="7" t="n">
        <v>6345.8</v>
      </c>
    </row>
    <row r="108">
      <c r="A108" s="4" t="inlineStr">
        <is>
          <t>失业</t>
        </is>
      </c>
      <c r="D108" s="7" t="n">
        <v>19.1</v>
      </c>
      <c r="F108" s="7" t="n">
        <v>18.2</v>
      </c>
      <c r="H108" s="7" t="n">
        <v>20.2</v>
      </c>
      <c r="J108" s="7" t="n">
        <v>50.5</v>
      </c>
      <c r="L108" s="7" t="n">
        <v>61.4</v>
      </c>
      <c r="N108" s="7" t="n">
        <v>61.7</v>
      </c>
      <c r="P108" s="7" t="n">
        <v>48</v>
      </c>
      <c r="R108" s="7" t="n">
        <v>53.7</v>
      </c>
      <c r="T108" s="7" t="n">
        <v>45.6</v>
      </c>
      <c r="V108" s="7" t="n">
        <v>46.3</v>
      </c>
      <c r="X108" s="7" t="n">
        <v>58.9</v>
      </c>
      <c r="Z108" s="7" t="n">
        <v>23.7</v>
      </c>
      <c r="AB108" s="7" t="n">
        <v>507.3</v>
      </c>
    </row>
    <row r="109">
      <c r="A109" s="4" t="inlineStr">
        <is>
          <t>生育</t>
        </is>
      </c>
      <c r="D109" s="7" t="n">
        <v>282.5</v>
      </c>
      <c r="F109" s="7" t="n">
        <v>169.2</v>
      </c>
      <c r="H109" s="7" t="n">
        <v>162</v>
      </c>
      <c r="J109" s="7" t="n">
        <v>417.1</v>
      </c>
      <c r="L109" s="7" t="n">
        <v>541.9</v>
      </c>
      <c r="N109" s="7" t="n">
        <v>368.5</v>
      </c>
      <c r="P109" s="7" t="n">
        <v>259.9</v>
      </c>
      <c r="R109" s="7" t="n">
        <v>431.8</v>
      </c>
      <c r="T109" s="7" t="n">
        <v>529.8</v>
      </c>
      <c r="V109" s="7" t="n">
        <v>437.7</v>
      </c>
      <c r="X109" s="7" t="n">
        <v>517.1</v>
      </c>
      <c r="Z109" s="7" t="n">
        <v>287.6</v>
      </c>
      <c r="AB109" s="7" t="n">
        <v>4405.1</v>
      </c>
    </row>
    <row r="110">
      <c r="A110" s="4" t="inlineStr">
        <is>
          <t>公积金</t>
        </is>
      </c>
      <c r="D110" s="7" t="n">
        <v>448.3</v>
      </c>
      <c r="F110" s="7" t="n">
        <v>354</v>
      </c>
      <c r="H110" s="7" t="n">
        <v>296.7</v>
      </c>
      <c r="J110" s="7" t="n">
        <v>740.1</v>
      </c>
      <c r="L110" s="7" t="n">
        <v>737</v>
      </c>
      <c r="N110" s="7" t="n">
        <v>904.4</v>
      </c>
      <c r="P110" s="7" t="n">
        <v>549.2</v>
      </c>
      <c r="R110" s="7" t="n">
        <v>585.7</v>
      </c>
      <c r="T110" s="7" t="n">
        <v>596.3</v>
      </c>
      <c r="V110" s="7" t="n">
        <v>510</v>
      </c>
      <c r="X110" s="7" t="n">
        <v>613.4</v>
      </c>
      <c r="Z110" s="7" t="n">
        <v>559.9</v>
      </c>
      <c r="AB110" s="7" t="n">
        <v>6895</v>
      </c>
    </row>
    <row r="111">
      <c r="A111" s="4" t="inlineStr">
        <is>
          <t>工会经费</t>
        </is>
      </c>
      <c r="D111" s="7" t="n">
        <v>553.1</v>
      </c>
      <c r="F111" s="7" t="n">
        <v>344.8</v>
      </c>
      <c r="H111" s="7" t="n">
        <v>536.1</v>
      </c>
      <c r="J111" s="7" t="n">
        <v>838.5</v>
      </c>
      <c r="L111" s="7" t="n">
        <v>897.1</v>
      </c>
      <c r="N111" s="7" t="n">
        <v>827.7</v>
      </c>
      <c r="P111" s="7" t="n">
        <v>843.5</v>
      </c>
      <c r="R111" s="7" t="n">
        <v>898.8</v>
      </c>
      <c r="T111" s="7" t="n">
        <v>758.4</v>
      </c>
      <c r="V111" s="7" t="n">
        <v>598.4</v>
      </c>
      <c r="X111" s="7" t="n">
        <v>799.2</v>
      </c>
      <c r="Z111" s="7" t="n">
        <v>465.2</v>
      </c>
      <c r="AB111" s="7" t="n">
        <v>8360.799999999999</v>
      </c>
    </row>
    <row r="112">
      <c r="A112" s="4" t="inlineStr">
        <is>
          <t>职工教育经费</t>
        </is>
      </c>
      <c r="D112" s="7" t="n">
        <v>97.59999999999999</v>
      </c>
      <c r="F112" s="7" t="n">
        <v>75</v>
      </c>
      <c r="H112" s="7" t="n">
        <v>69.3</v>
      </c>
      <c r="J112" s="7" t="n">
        <v>163.5</v>
      </c>
      <c r="L112" s="7" t="n">
        <v>186</v>
      </c>
      <c r="N112" s="7" t="n">
        <v>142.3</v>
      </c>
      <c r="P112" s="7" t="n">
        <v>150.9</v>
      </c>
      <c r="R112" s="7" t="n">
        <v>149.9</v>
      </c>
      <c r="T112" s="7" t="n">
        <v>111.6</v>
      </c>
      <c r="V112" s="7" t="n">
        <v>125.9</v>
      </c>
      <c r="X112" s="7" t="n">
        <v>169.8</v>
      </c>
      <c r="Z112" s="7" t="n">
        <v>99.8</v>
      </c>
      <c r="AB112" s="7" t="n">
        <v>1541.6</v>
      </c>
    </row>
    <row r="113">
      <c r="A113" s="4" t="inlineStr">
        <is>
          <t>福利费</t>
        </is>
      </c>
      <c r="D113" s="7" t="n">
        <v>1386.3</v>
      </c>
      <c r="F113" s="7" t="n">
        <v>905.7</v>
      </c>
      <c r="H113" s="7" t="n">
        <v>1361</v>
      </c>
      <c r="J113" s="7" t="n">
        <v>2328.4</v>
      </c>
      <c r="L113" s="7" t="n">
        <v>2924.8</v>
      </c>
      <c r="N113" s="7" t="n">
        <v>2282.1</v>
      </c>
      <c r="P113" s="7" t="n">
        <v>2086.8</v>
      </c>
      <c r="R113" s="7" t="n">
        <v>2425.3</v>
      </c>
      <c r="T113" s="7" t="n">
        <v>2518.2</v>
      </c>
      <c r="V113" s="7" t="n">
        <v>2629.5</v>
      </c>
      <c r="X113" s="7" t="n">
        <v>2453</v>
      </c>
      <c r="Z113" s="7" t="n">
        <v>1693.5</v>
      </c>
      <c r="AB113" s="7" t="n">
        <v>24994.6</v>
      </c>
    </row>
    <row r="114">
      <c r="A114" s="4" t="inlineStr">
        <is>
          <t>职工房租</t>
        </is>
      </c>
      <c r="D114" s="7" t="n">
        <v>121.5</v>
      </c>
      <c r="F114" s="7" t="n">
        <v>72.8</v>
      </c>
      <c r="H114" s="7" t="n">
        <v>123.3</v>
      </c>
      <c r="J114" s="7" t="n">
        <v>193.8</v>
      </c>
      <c r="L114" s="7" t="n">
        <v>238.9</v>
      </c>
      <c r="N114" s="7" t="n">
        <v>152.7</v>
      </c>
      <c r="P114" s="7" t="n">
        <v>173</v>
      </c>
      <c r="R114" s="7" t="n">
        <v>162.8</v>
      </c>
      <c r="T114" s="7" t="n">
        <v>207.5</v>
      </c>
      <c r="V114" s="7" t="n">
        <v>202.1</v>
      </c>
      <c r="X114" s="7" t="n">
        <v>206</v>
      </c>
      <c r="Z114" s="7" t="n">
        <v>133.2</v>
      </c>
      <c r="AB114" s="7" t="n">
        <v>1987.6</v>
      </c>
    </row>
    <row r="115">
      <c r="A115" s="4" t="inlineStr">
        <is>
          <t>水电物业费</t>
        </is>
      </c>
      <c r="D115" s="7" t="n">
        <v>364.2</v>
      </c>
      <c r="F115" s="7" t="n">
        <v>283.5</v>
      </c>
      <c r="H115" s="7" t="n">
        <v>464.6</v>
      </c>
      <c r="J115" s="7" t="n">
        <v>909.2</v>
      </c>
      <c r="L115" s="7" t="n">
        <v>1088.3</v>
      </c>
      <c r="N115" s="7" t="n">
        <v>733.2</v>
      </c>
      <c r="P115" s="7" t="n">
        <v>584.5</v>
      </c>
      <c r="R115" s="7" t="n">
        <v>919.7</v>
      </c>
      <c r="T115" s="7" t="n">
        <v>808.7</v>
      </c>
      <c r="V115" s="7" t="n">
        <v>948.8</v>
      </c>
      <c r="X115" s="7" t="n">
        <v>666.2</v>
      </c>
      <c r="Z115" s="7" t="n">
        <v>483.3</v>
      </c>
      <c r="AB115" s="7" t="n">
        <v>8254.200000000001</v>
      </c>
    </row>
    <row r="116">
      <c r="A116" s="4" t="inlineStr">
        <is>
          <t>员工餐</t>
        </is>
      </c>
      <c r="D116" s="7" t="n">
        <v>120.7</v>
      </c>
      <c r="F116" s="7" t="n">
        <v>60.6</v>
      </c>
      <c r="H116" s="7" t="n">
        <v>99.7</v>
      </c>
      <c r="J116" s="7" t="n">
        <v>197.8</v>
      </c>
      <c r="L116" s="7" t="n">
        <v>233</v>
      </c>
      <c r="N116" s="7" t="n">
        <v>149.2</v>
      </c>
      <c r="P116" s="7" t="n">
        <v>125.9</v>
      </c>
      <c r="R116" s="7" t="n">
        <v>148</v>
      </c>
      <c r="T116" s="7" t="n">
        <v>186.2</v>
      </c>
      <c r="V116" s="7" t="n">
        <v>184.3</v>
      </c>
      <c r="X116" s="7" t="n">
        <v>148</v>
      </c>
      <c r="Z116" s="7" t="n">
        <v>100.6</v>
      </c>
      <c r="AB116" s="7" t="n">
        <v>1754</v>
      </c>
    </row>
    <row r="117">
      <c r="A117" s="4" t="inlineStr">
        <is>
          <t>节日礼品</t>
        </is>
      </c>
      <c r="D117" s="7" t="n">
        <v>163.6</v>
      </c>
      <c r="F117" s="7" t="n">
        <v>126.7</v>
      </c>
      <c r="H117" s="7" t="n">
        <v>101.1</v>
      </c>
      <c r="J117" s="7" t="n">
        <v>234.1</v>
      </c>
      <c r="L117" s="7" t="n">
        <v>322.3</v>
      </c>
      <c r="N117" s="7" t="n">
        <v>328.7</v>
      </c>
      <c r="P117" s="7" t="n">
        <v>222.1</v>
      </c>
      <c r="R117" s="7" t="n">
        <v>225.3</v>
      </c>
      <c r="T117" s="7" t="n">
        <v>187.8</v>
      </c>
      <c r="V117" s="7" t="n">
        <v>274.5</v>
      </c>
      <c r="X117" s="7" t="n">
        <v>306.3</v>
      </c>
      <c r="Z117" s="7" t="n">
        <v>194.9</v>
      </c>
      <c r="AB117" s="7" t="n">
        <v>2687.4</v>
      </c>
    </row>
    <row r="118">
      <c r="A118" s="4" t="inlineStr">
        <is>
          <t>生日礼品</t>
        </is>
      </c>
      <c r="D118" s="7" t="n">
        <v>19.9</v>
      </c>
      <c r="F118" s="7" t="n">
        <v>13.2</v>
      </c>
      <c r="H118" s="7" t="n">
        <v>18.6</v>
      </c>
      <c r="J118" s="7" t="n">
        <v>44.2</v>
      </c>
      <c r="L118" s="7" t="n">
        <v>35.8</v>
      </c>
      <c r="N118" s="7" t="n">
        <v>63.3</v>
      </c>
      <c r="P118" s="7" t="n">
        <v>47.5</v>
      </c>
      <c r="R118" s="7" t="n">
        <v>33.1</v>
      </c>
      <c r="T118" s="7" t="n">
        <v>53.7</v>
      </c>
      <c r="V118" s="7" t="n">
        <v>37</v>
      </c>
      <c r="X118" s="7" t="n">
        <v>53</v>
      </c>
      <c r="Z118" s="7" t="n">
        <v>26.3</v>
      </c>
      <c r="AB118" s="7" t="n">
        <v>445.6</v>
      </c>
    </row>
    <row r="119">
      <c r="A119" s="4" t="inlineStr">
        <is>
          <t>体检</t>
        </is>
      </c>
      <c r="D119" s="7" t="n">
        <v>267.1</v>
      </c>
      <c r="F119" s="7" t="n">
        <v>187.1</v>
      </c>
      <c r="H119" s="7" t="n">
        <v>207.8</v>
      </c>
      <c r="J119" s="7" t="n">
        <v>405.9</v>
      </c>
      <c r="L119" s="7" t="n">
        <v>440.6</v>
      </c>
      <c r="N119" s="7" t="n">
        <v>398.7</v>
      </c>
      <c r="P119" s="7" t="n">
        <v>456.9</v>
      </c>
      <c r="R119" s="7" t="n">
        <v>512.7</v>
      </c>
      <c r="T119" s="7" t="n">
        <v>399.5</v>
      </c>
      <c r="V119" s="7" t="n">
        <v>537.2</v>
      </c>
      <c r="X119" s="7" t="n">
        <v>394.6</v>
      </c>
      <c r="Z119" s="7" t="n">
        <v>308.6</v>
      </c>
      <c r="AB119" s="7" t="n">
        <v>4516.7</v>
      </c>
    </row>
    <row r="120">
      <c r="A120" s="4" t="inlineStr">
        <is>
          <t>其他福利支出</t>
        </is>
      </c>
      <c r="D120" s="7" t="n">
        <v>329.3</v>
      </c>
      <c r="F120" s="7" t="n">
        <v>161.8</v>
      </c>
      <c r="H120" s="7" t="n">
        <v>345.9</v>
      </c>
      <c r="J120" s="7" t="n">
        <v>343.4</v>
      </c>
      <c r="L120" s="7" t="n">
        <v>565.9</v>
      </c>
      <c r="N120" s="7" t="n">
        <v>456.3</v>
      </c>
      <c r="P120" s="7" t="n">
        <v>476.9</v>
      </c>
      <c r="R120" s="7" t="n">
        <v>423.7</v>
      </c>
      <c r="T120" s="7" t="n">
        <v>674.8</v>
      </c>
      <c r="V120" s="7" t="n">
        <v>445.6</v>
      </c>
      <c r="X120" s="7" t="n">
        <v>678.9</v>
      </c>
      <c r="Z120" s="7" t="n">
        <v>446.6</v>
      </c>
      <c r="AB120" s="7" t="n">
        <v>5349.1</v>
      </c>
    </row>
    <row r="121">
      <c r="A121" s="4" t="inlineStr">
        <is>
          <t>招聘费</t>
        </is>
      </c>
      <c r="D121" s="7" t="n">
        <v>48.3</v>
      </c>
      <c r="F121" s="7" t="n">
        <v>34.7</v>
      </c>
      <c r="H121" s="7" t="n">
        <v>46.4</v>
      </c>
      <c r="J121" s="7" t="n">
        <v>134.5</v>
      </c>
      <c r="L121" s="7" t="n">
        <v>118.9</v>
      </c>
      <c r="N121" s="7" t="n">
        <v>136</v>
      </c>
      <c r="P121" s="7" t="n">
        <v>73.90000000000001</v>
      </c>
      <c r="R121" s="7" t="n">
        <v>139.7</v>
      </c>
      <c r="T121" s="7" t="n">
        <v>151.2</v>
      </c>
      <c r="V121" s="7" t="n">
        <v>130.1</v>
      </c>
      <c r="X121" s="7" t="n">
        <v>128.8</v>
      </c>
      <c r="Z121" s="7" t="n">
        <v>66.3</v>
      </c>
      <c r="AB121" s="7" t="n">
        <v>1208.8</v>
      </c>
    </row>
    <row r="122">
      <c r="A122" s="4" t="inlineStr">
        <is>
          <t>办公费</t>
        </is>
      </c>
      <c r="D122" s="7" t="n">
        <v>2495.6</v>
      </c>
      <c r="F122" s="7" t="n">
        <v>1953.7</v>
      </c>
      <c r="H122" s="7" t="n">
        <v>2747.4</v>
      </c>
      <c r="J122" s="7" t="n">
        <v>3396.6</v>
      </c>
      <c r="L122" s="7" t="n">
        <v>5823.7</v>
      </c>
      <c r="N122" s="7" t="n">
        <v>4559.4</v>
      </c>
      <c r="P122" s="7" t="n">
        <v>4645.2</v>
      </c>
      <c r="R122" s="7" t="n">
        <v>4122.6</v>
      </c>
      <c r="T122" s="7" t="n">
        <v>3748.3</v>
      </c>
      <c r="V122" s="7" t="n">
        <v>5350</v>
      </c>
      <c r="X122" s="7" t="n">
        <v>5412.8</v>
      </c>
      <c r="Z122" s="7" t="n">
        <v>4215.6</v>
      </c>
      <c r="AB122" s="7" t="n">
        <v>48470.9</v>
      </c>
    </row>
    <row r="123">
      <c r="A123" s="4" t="inlineStr">
        <is>
          <t>市内交通费</t>
        </is>
      </c>
      <c r="D123" s="7" t="n">
        <v>489.3</v>
      </c>
      <c r="F123" s="7" t="n">
        <v>243.6</v>
      </c>
      <c r="H123" s="7" t="n">
        <v>308.2</v>
      </c>
      <c r="J123" s="7" t="n">
        <v>959.7</v>
      </c>
      <c r="L123" s="7" t="n">
        <v>740.2</v>
      </c>
      <c r="N123" s="7" t="n">
        <v>1002.9</v>
      </c>
      <c r="P123" s="7" t="n">
        <v>616.9</v>
      </c>
      <c r="R123" s="7" t="n">
        <v>750.9</v>
      </c>
      <c r="T123" s="7" t="n">
        <v>987</v>
      </c>
      <c r="V123" s="7" t="n">
        <v>888.6</v>
      </c>
      <c r="X123" s="7" t="n">
        <v>863</v>
      </c>
      <c r="Z123" s="7" t="n">
        <v>439.1</v>
      </c>
      <c r="AB123" s="7" t="n">
        <v>8289.4</v>
      </c>
    </row>
    <row r="124">
      <c r="A124" s="4" t="inlineStr">
        <is>
          <t>差旅费</t>
        </is>
      </c>
      <c r="D124" s="7" t="n">
        <v>5130.4</v>
      </c>
      <c r="F124" s="7" t="n">
        <v>4703.6</v>
      </c>
      <c r="H124" s="7" t="n">
        <v>4301.4</v>
      </c>
      <c r="J124" s="7" t="n">
        <v>6484.9</v>
      </c>
      <c r="L124" s="7" t="n">
        <v>13727.3</v>
      </c>
      <c r="N124" s="7" t="n">
        <v>8375.4</v>
      </c>
      <c r="P124" s="7" t="n">
        <v>7265.2</v>
      </c>
      <c r="R124" s="7" t="n">
        <v>8087</v>
      </c>
      <c r="T124" s="7" t="n">
        <v>9384</v>
      </c>
      <c r="V124" s="7" t="n">
        <v>9555.4</v>
      </c>
      <c r="X124" s="7" t="n">
        <v>9358.5</v>
      </c>
      <c r="Z124" s="7" t="n">
        <v>7871.5</v>
      </c>
      <c r="AB124" s="7" t="n">
        <v>94244.60000000001</v>
      </c>
    </row>
    <row r="125">
      <c r="A125" s="4" t="inlineStr">
        <is>
          <t>交通费</t>
        </is>
      </c>
      <c r="D125" s="7" t="n">
        <v>211</v>
      </c>
      <c r="F125" s="7" t="n">
        <v>146.8</v>
      </c>
      <c r="H125" s="7" t="n">
        <v>153.2</v>
      </c>
      <c r="J125" s="7" t="n">
        <v>298</v>
      </c>
      <c r="L125" s="7" t="n">
        <v>385.1</v>
      </c>
      <c r="N125" s="7" t="n">
        <v>384.9</v>
      </c>
      <c r="P125" s="7" t="n">
        <v>289.9</v>
      </c>
      <c r="R125" s="7" t="n">
        <v>394.3</v>
      </c>
      <c r="T125" s="7" t="n">
        <v>333.6</v>
      </c>
      <c r="V125" s="7" t="n">
        <v>327.2</v>
      </c>
      <c r="X125" s="7" t="n">
        <v>342.8</v>
      </c>
      <c r="Z125" s="7" t="n">
        <v>255.3</v>
      </c>
      <c r="AB125" s="7" t="n">
        <v>3522.1</v>
      </c>
    </row>
    <row r="126">
      <c r="A126" s="4" t="inlineStr">
        <is>
          <t>住宿费</t>
        </is>
      </c>
      <c r="D126" s="7" t="n">
        <v>426.8</v>
      </c>
      <c r="F126" s="7" t="n">
        <v>313.5</v>
      </c>
      <c r="H126" s="7" t="n">
        <v>316.2</v>
      </c>
      <c r="J126" s="7" t="n">
        <v>457.3</v>
      </c>
      <c r="L126" s="7" t="n">
        <v>1040</v>
      </c>
      <c r="N126" s="7" t="n">
        <v>557.3</v>
      </c>
      <c r="P126" s="7" t="n">
        <v>612.2</v>
      </c>
      <c r="R126" s="7" t="n">
        <v>876.2</v>
      </c>
      <c r="T126" s="7" t="n">
        <v>933.5</v>
      </c>
      <c r="V126" s="7" t="n">
        <v>477.4</v>
      </c>
      <c r="X126" s="7" t="n">
        <v>680.3</v>
      </c>
      <c r="Z126" s="7" t="n">
        <v>613.4</v>
      </c>
      <c r="AB126" s="7" t="n">
        <v>7304.1</v>
      </c>
    </row>
    <row r="127">
      <c r="A127" s="4" t="inlineStr">
        <is>
          <t>餐补</t>
        </is>
      </c>
      <c r="D127" s="7" t="n">
        <v>553.2</v>
      </c>
      <c r="F127" s="7" t="n">
        <v>306.2</v>
      </c>
      <c r="H127" s="7" t="n">
        <v>369.6</v>
      </c>
      <c r="J127" s="7" t="n">
        <v>987.1</v>
      </c>
      <c r="L127" s="7" t="n">
        <v>1286.6</v>
      </c>
      <c r="N127" s="7" t="n">
        <v>1223.5</v>
      </c>
      <c r="P127" s="7" t="n">
        <v>625</v>
      </c>
      <c r="R127" s="7" t="n">
        <v>1028.2</v>
      </c>
      <c r="T127" s="7" t="n">
        <v>683.3</v>
      </c>
      <c r="V127" s="7" t="n">
        <v>634.8</v>
      </c>
      <c r="X127" s="7" t="n">
        <v>1193.9</v>
      </c>
      <c r="Z127" s="7" t="n">
        <v>711.6</v>
      </c>
      <c r="AB127" s="7" t="n">
        <v>9603</v>
      </c>
    </row>
    <row r="128">
      <c r="A128" s="4" t="inlineStr">
        <is>
          <t>交通补助</t>
        </is>
      </c>
      <c r="D128" s="7" t="n">
        <v>144.7</v>
      </c>
      <c r="F128" s="7" t="n">
        <v>194.5</v>
      </c>
      <c r="H128" s="7" t="n">
        <v>188.9</v>
      </c>
      <c r="J128" s="7" t="n">
        <v>397.5</v>
      </c>
      <c r="L128" s="7" t="n">
        <v>479.3</v>
      </c>
      <c r="N128" s="7" t="n">
        <v>317.8</v>
      </c>
      <c r="P128" s="7" t="n">
        <v>387.1</v>
      </c>
      <c r="R128" s="7" t="n">
        <v>457.3</v>
      </c>
      <c r="T128" s="7" t="n">
        <v>291.3</v>
      </c>
      <c r="V128" s="7" t="n">
        <v>324.6</v>
      </c>
      <c r="X128" s="7" t="n">
        <v>304.3</v>
      </c>
      <c r="Z128" s="7" t="n">
        <v>206</v>
      </c>
      <c r="AB128" s="7" t="n">
        <v>3693.3</v>
      </c>
    </row>
    <row r="129">
      <c r="A129" s="4" t="inlineStr">
        <is>
          <t>通讯补助</t>
        </is>
      </c>
      <c r="D129" s="7" t="n">
        <v>362.3</v>
      </c>
      <c r="F129" s="7" t="n">
        <v>181.1</v>
      </c>
      <c r="H129" s="7" t="n">
        <v>249.8</v>
      </c>
      <c r="J129" s="7" t="n">
        <v>613</v>
      </c>
      <c r="L129" s="7" t="n">
        <v>756.5</v>
      </c>
      <c r="N129" s="7" t="n">
        <v>720.6</v>
      </c>
      <c r="P129" s="7" t="n">
        <v>427</v>
      </c>
      <c r="R129" s="7" t="n">
        <v>534.3</v>
      </c>
      <c r="T129" s="7" t="n">
        <v>552</v>
      </c>
      <c r="V129" s="7" t="n">
        <v>622.5</v>
      </c>
      <c r="X129" s="7" t="n">
        <v>685.8</v>
      </c>
      <c r="Z129" s="7" t="n">
        <v>363.1</v>
      </c>
      <c r="AB129" s="7" t="n">
        <v>6068</v>
      </c>
    </row>
    <row r="130">
      <c r="A130" s="4" t="inlineStr">
        <is>
          <t>招待费</t>
        </is>
      </c>
      <c r="D130" s="7" t="n">
        <v>2593</v>
      </c>
      <c r="F130" s="7" t="n">
        <v>3020.1</v>
      </c>
      <c r="H130" s="7" t="n">
        <v>2378.7</v>
      </c>
      <c r="J130" s="7" t="n">
        <v>6595.4</v>
      </c>
      <c r="L130" s="7" t="n">
        <v>7070.6</v>
      </c>
      <c r="N130" s="7" t="n">
        <v>4875.6</v>
      </c>
      <c r="P130" s="7" t="n">
        <v>6240.8</v>
      </c>
      <c r="R130" s="7" t="n">
        <v>6699.6</v>
      </c>
      <c r="T130" s="7" t="n">
        <v>8034.4</v>
      </c>
      <c r="V130" s="7" t="n">
        <v>5893.3</v>
      </c>
      <c r="X130" s="7" t="n">
        <v>7879.3</v>
      </c>
      <c r="Z130" s="7" t="n">
        <v>5584.1</v>
      </c>
      <c r="AB130" s="7" t="n">
        <v>66864.89999999999</v>
      </c>
    </row>
    <row r="131">
      <c r="A131" s="4" t="inlineStr">
        <is>
          <t>通讯费</t>
        </is>
      </c>
      <c r="D131" s="7" t="n">
        <v>302.6</v>
      </c>
      <c r="F131" s="7" t="n">
        <v>193</v>
      </c>
      <c r="H131" s="7" t="n">
        <v>216.1</v>
      </c>
      <c r="J131" s="7" t="n">
        <v>605.4</v>
      </c>
      <c r="L131" s="7" t="n">
        <v>588.1</v>
      </c>
      <c r="N131" s="7" t="n">
        <v>730.6</v>
      </c>
      <c r="P131" s="7" t="n">
        <v>331.8</v>
      </c>
      <c r="R131" s="7" t="n">
        <v>411.5</v>
      </c>
      <c r="T131" s="7" t="n">
        <v>577.9</v>
      </c>
      <c r="V131" s="7" t="n">
        <v>390.4</v>
      </c>
      <c r="X131" s="7" t="n">
        <v>438.5</v>
      </c>
      <c r="Z131" s="7" t="n">
        <v>421.3</v>
      </c>
      <c r="AB131" s="7" t="n">
        <v>5207.2</v>
      </c>
    </row>
    <row r="132">
      <c r="A132" s="4" t="inlineStr">
        <is>
          <t>网络费</t>
        </is>
      </c>
      <c r="D132" s="7" t="n">
        <v>361</v>
      </c>
      <c r="F132" s="7" t="n">
        <v>268.2</v>
      </c>
      <c r="H132" s="7" t="n">
        <v>297.5</v>
      </c>
      <c r="J132" s="7" t="n">
        <v>466.6</v>
      </c>
      <c r="L132" s="7" t="n">
        <v>702.1</v>
      </c>
      <c r="N132" s="7" t="n">
        <v>757</v>
      </c>
      <c r="P132" s="7" t="n">
        <v>381.1</v>
      </c>
      <c r="R132" s="7" t="n">
        <v>655.3</v>
      </c>
      <c r="T132" s="7" t="n">
        <v>654</v>
      </c>
      <c r="V132" s="7" t="n">
        <v>427.5</v>
      </c>
      <c r="X132" s="7" t="n">
        <v>461.5</v>
      </c>
      <c r="Z132" s="7" t="n">
        <v>305.5</v>
      </c>
      <c r="AB132" s="7" t="n">
        <v>5737.3</v>
      </c>
    </row>
    <row r="133">
      <c r="A133" s="4" t="inlineStr">
        <is>
          <t>修理费</t>
        </is>
      </c>
      <c r="D133" s="7" t="n">
        <v>390.3</v>
      </c>
      <c r="F133" s="7" t="n">
        <v>174.2</v>
      </c>
      <c r="H133" s="7" t="n">
        <v>284.3</v>
      </c>
      <c r="J133" s="7" t="n">
        <v>580.9</v>
      </c>
      <c r="L133" s="7" t="n">
        <v>515.8</v>
      </c>
      <c r="N133" s="7" t="n">
        <v>722.1</v>
      </c>
      <c r="P133" s="7" t="n">
        <v>593.6</v>
      </c>
      <c r="R133" s="7" t="n">
        <v>529.5</v>
      </c>
      <c r="T133" s="7" t="n">
        <v>668.3</v>
      </c>
      <c r="V133" s="7" t="n">
        <v>611.3</v>
      </c>
      <c r="X133" s="7" t="n">
        <v>468</v>
      </c>
      <c r="Z133" s="7" t="n">
        <v>380.1</v>
      </c>
      <c r="AB133" s="7" t="n">
        <v>5918.4</v>
      </c>
    </row>
    <row r="134">
      <c r="A134" s="4" t="inlineStr">
        <is>
          <t>车辆费</t>
        </is>
      </c>
      <c r="D134" s="7" t="n">
        <v>543.5</v>
      </c>
      <c r="F134" s="7" t="n">
        <v>408.6</v>
      </c>
      <c r="H134" s="7" t="n">
        <v>621.7</v>
      </c>
      <c r="J134" s="7" t="n">
        <v>667.5</v>
      </c>
      <c r="L134" s="7" t="n">
        <v>1004.1</v>
      </c>
      <c r="N134" s="7" t="n">
        <v>1398.9</v>
      </c>
      <c r="P134" s="7" t="n">
        <v>587.3</v>
      </c>
      <c r="R134" s="7" t="n">
        <v>884.9</v>
      </c>
      <c r="T134" s="7" t="n">
        <v>912.6</v>
      </c>
      <c r="V134" s="7" t="n">
        <v>858</v>
      </c>
      <c r="X134" s="7" t="n">
        <v>860.5</v>
      </c>
      <c r="Z134" s="7" t="n">
        <v>822.3</v>
      </c>
      <c r="AB134" s="7" t="n">
        <v>9569.9</v>
      </c>
    </row>
    <row r="135">
      <c r="A135" s="4" t="inlineStr">
        <is>
          <t>租赁费</t>
        </is>
      </c>
      <c r="D135" s="7" t="n">
        <v>4637.7</v>
      </c>
      <c r="F135" s="7" t="n">
        <v>3946</v>
      </c>
      <c r="H135" s="7" t="n">
        <v>4636.6</v>
      </c>
      <c r="J135" s="7" t="n">
        <v>5433.9</v>
      </c>
      <c r="L135" s="7" t="n">
        <v>8330.200000000001</v>
      </c>
      <c r="N135" s="7" t="n">
        <v>9875.700000000001</v>
      </c>
      <c r="P135" s="7" t="n">
        <v>4946.2</v>
      </c>
      <c r="R135" s="7" t="n">
        <v>8953.1</v>
      </c>
      <c r="T135" s="7" t="n">
        <v>6474.6</v>
      </c>
      <c r="V135" s="7" t="n">
        <v>7508</v>
      </c>
      <c r="X135" s="7" t="n">
        <v>7641.7</v>
      </c>
      <c r="Z135" s="7" t="n">
        <v>5866.4</v>
      </c>
      <c r="AB135" s="7" t="n">
        <v>78250.10000000001</v>
      </c>
    </row>
    <row r="136">
      <c r="A136" s="4" t="inlineStr">
        <is>
          <t>能源费</t>
        </is>
      </c>
      <c r="D136" s="7" t="n">
        <v>1240</v>
      </c>
      <c r="F136" s="7" t="n">
        <v>916.3</v>
      </c>
      <c r="H136" s="7" t="n">
        <v>1154.1</v>
      </c>
      <c r="J136" s="7" t="n">
        <v>2350.5</v>
      </c>
      <c r="L136" s="7" t="n">
        <v>2313</v>
      </c>
      <c r="N136" s="7" t="n">
        <v>3010.6</v>
      </c>
      <c r="P136" s="7" t="n">
        <v>1892.7</v>
      </c>
      <c r="R136" s="7" t="n">
        <v>2302.1</v>
      </c>
      <c r="T136" s="7" t="n">
        <v>3052.9</v>
      </c>
      <c r="V136" s="7" t="n">
        <v>1944.7</v>
      </c>
      <c r="X136" s="7" t="n">
        <v>2781</v>
      </c>
      <c r="Z136" s="7" t="n">
        <v>1980.5</v>
      </c>
      <c r="AB136" s="7" t="n">
        <v>24938.4</v>
      </c>
    </row>
    <row r="137">
      <c r="A137" s="4" t="inlineStr">
        <is>
          <t>水费</t>
        </is>
      </c>
      <c r="D137" s="7" t="n">
        <v>521.3</v>
      </c>
      <c r="F137" s="7" t="n">
        <v>441.6</v>
      </c>
      <c r="H137" s="7" t="n">
        <v>569.9</v>
      </c>
      <c r="J137" s="7" t="n">
        <v>1139.2</v>
      </c>
      <c r="L137" s="7" t="n">
        <v>1008.7</v>
      </c>
      <c r="N137" s="7" t="n">
        <v>1276.8</v>
      </c>
      <c r="P137" s="7" t="n">
        <v>742.5</v>
      </c>
      <c r="R137" s="7" t="n">
        <v>875.2</v>
      </c>
      <c r="T137" s="7" t="n">
        <v>1256.8</v>
      </c>
      <c r="V137" s="7" t="n">
        <v>864.3</v>
      </c>
      <c r="X137" s="7" t="n">
        <v>1282.9</v>
      </c>
      <c r="Z137" s="7" t="n">
        <v>820.8</v>
      </c>
      <c r="AB137" s="7" t="n">
        <v>10800</v>
      </c>
    </row>
    <row r="138">
      <c r="A138" s="4" t="inlineStr">
        <is>
          <t>电费</t>
        </is>
      </c>
      <c r="D138" s="7" t="n">
        <v>171.4</v>
      </c>
      <c r="F138" s="7" t="n">
        <v>166.5</v>
      </c>
      <c r="H138" s="7" t="n">
        <v>156.6</v>
      </c>
      <c r="J138" s="7" t="n">
        <v>288.3</v>
      </c>
      <c r="L138" s="7" t="n">
        <v>482.8</v>
      </c>
      <c r="N138" s="7" t="n">
        <v>437.9</v>
      </c>
      <c r="P138" s="7" t="n">
        <v>391</v>
      </c>
      <c r="R138" s="7" t="n">
        <v>301.9</v>
      </c>
      <c r="T138" s="7" t="n">
        <v>509.2</v>
      </c>
      <c r="V138" s="7" t="n">
        <v>373</v>
      </c>
      <c r="X138" s="7" t="n">
        <v>535.7</v>
      </c>
      <c r="Z138" s="7" t="n">
        <v>331.4</v>
      </c>
      <c r="AB138" s="7" t="n">
        <v>4145.7</v>
      </c>
    </row>
    <row r="139">
      <c r="A139" s="4" t="inlineStr">
        <is>
          <t>燃气费</t>
        </is>
      </c>
      <c r="D139" s="7" t="n">
        <v>35.3</v>
      </c>
      <c r="F139" s="7" t="n">
        <v>31.2</v>
      </c>
      <c r="H139" s="7" t="n">
        <v>59.6</v>
      </c>
      <c r="J139" s="7" t="n">
        <v>65.3</v>
      </c>
      <c r="L139" s="7" t="n">
        <v>87.5</v>
      </c>
      <c r="N139" s="7" t="n">
        <v>90.5</v>
      </c>
      <c r="P139" s="7" t="n">
        <v>56</v>
      </c>
      <c r="R139" s="7" t="n">
        <v>69.8</v>
      </c>
      <c r="T139" s="7" t="n">
        <v>109</v>
      </c>
      <c r="V139" s="7" t="n">
        <v>69.7</v>
      </c>
      <c r="X139" s="7" t="n">
        <v>92.5</v>
      </c>
      <c r="Z139" s="7" t="n">
        <v>54.4</v>
      </c>
      <c r="AB139" s="7" t="n">
        <v>820.8</v>
      </c>
    </row>
    <row r="140">
      <c r="A140" s="4" t="inlineStr">
        <is>
          <t>蒸汽费</t>
        </is>
      </c>
      <c r="D140" s="7" t="n">
        <v>512</v>
      </c>
      <c r="F140" s="7" t="n">
        <v>277</v>
      </c>
      <c r="H140" s="7" t="n">
        <v>368</v>
      </c>
      <c r="J140" s="7" t="n">
        <v>857.7</v>
      </c>
      <c r="L140" s="7" t="n">
        <v>734</v>
      </c>
      <c r="N140" s="7" t="n">
        <v>1205.4</v>
      </c>
      <c r="P140" s="7" t="n">
        <v>703.2</v>
      </c>
      <c r="R140" s="7" t="n">
        <v>1055.2</v>
      </c>
      <c r="T140" s="7" t="n">
        <v>1177.9</v>
      </c>
      <c r="V140" s="7" t="n">
        <v>637.7</v>
      </c>
      <c r="X140" s="7" t="n">
        <v>869.9</v>
      </c>
      <c r="Z140" s="7" t="n">
        <v>773.9</v>
      </c>
      <c r="AB140" s="7" t="n">
        <v>9171.9</v>
      </c>
    </row>
    <row r="141">
      <c r="A141" s="4" t="inlineStr">
        <is>
          <t>物业费</t>
        </is>
      </c>
      <c r="D141" s="7" t="n">
        <v>471.3</v>
      </c>
      <c r="F141" s="7" t="n">
        <v>425.6</v>
      </c>
      <c r="H141" s="7" t="n">
        <v>518</v>
      </c>
      <c r="J141" s="7" t="n">
        <v>767.3</v>
      </c>
      <c r="L141" s="7" t="n">
        <v>1349.5</v>
      </c>
      <c r="N141" s="7" t="n">
        <v>1195</v>
      </c>
      <c r="P141" s="7" t="n">
        <v>870.7</v>
      </c>
      <c r="R141" s="7" t="n">
        <v>1025.2</v>
      </c>
      <c r="T141" s="7" t="n">
        <v>1171.1</v>
      </c>
      <c r="V141" s="7" t="n">
        <v>754.4</v>
      </c>
      <c r="X141" s="7" t="n">
        <v>1224.6</v>
      </c>
      <c r="Z141" s="7" t="n">
        <v>490.8</v>
      </c>
      <c r="AB141" s="7" t="n">
        <v>10263.5</v>
      </c>
    </row>
    <row r="142">
      <c r="A142" s="4" t="inlineStr">
        <is>
          <t>劳动保护费</t>
        </is>
      </c>
      <c r="D142" s="7" t="n">
        <v>399.6</v>
      </c>
      <c r="F142" s="7" t="n">
        <v>273.2</v>
      </c>
      <c r="H142" s="7" t="n">
        <v>434.5</v>
      </c>
      <c r="J142" s="7" t="n">
        <v>596.2</v>
      </c>
      <c r="L142" s="7" t="n">
        <v>920.7</v>
      </c>
      <c r="N142" s="7" t="n">
        <v>943.2</v>
      </c>
      <c r="P142" s="7" t="n">
        <v>550.1</v>
      </c>
      <c r="R142" s="7" t="n">
        <v>828.3</v>
      </c>
      <c r="T142" s="7" t="n">
        <v>995.1</v>
      </c>
      <c r="V142" s="7" t="n">
        <v>989.9</v>
      </c>
      <c r="X142" s="7" t="n">
        <v>900.6</v>
      </c>
      <c r="Z142" s="7" t="n">
        <v>468.9</v>
      </c>
      <c r="AB142" s="7" t="n">
        <v>8300.299999999999</v>
      </c>
    </row>
    <row r="143">
      <c r="A143" s="4" t="inlineStr">
        <is>
          <t>顾问费</t>
        </is>
      </c>
      <c r="D143" s="7" t="n">
        <v>490.2</v>
      </c>
      <c r="F143" s="7" t="n">
        <v>369.6</v>
      </c>
      <c r="H143" s="7" t="n">
        <v>460.6</v>
      </c>
      <c r="J143" s="7" t="n">
        <v>563.6</v>
      </c>
      <c r="L143" s="7" t="n">
        <v>759.5</v>
      </c>
      <c r="N143" s="7" t="n">
        <v>737.1</v>
      </c>
      <c r="P143" s="7" t="n">
        <v>810</v>
      </c>
      <c r="R143" s="7" t="n">
        <v>719.4</v>
      </c>
      <c r="T143" s="7" t="n">
        <v>881.9</v>
      </c>
      <c r="V143" s="7" t="n">
        <v>675</v>
      </c>
      <c r="X143" s="7" t="n">
        <v>684.3</v>
      </c>
      <c r="Z143" s="7" t="n">
        <v>387</v>
      </c>
      <c r="AB143" s="7" t="n">
        <v>7538.2</v>
      </c>
    </row>
    <row r="144">
      <c r="A144" s="4" t="inlineStr">
        <is>
          <t>快递费</t>
        </is>
      </c>
      <c r="D144" s="7" t="n">
        <v>81.90000000000001</v>
      </c>
      <c r="F144" s="7" t="n">
        <v>68</v>
      </c>
      <c r="H144" s="7" t="n">
        <v>75.3</v>
      </c>
      <c r="J144" s="7" t="n">
        <v>105.2</v>
      </c>
      <c r="L144" s="7" t="n">
        <v>191.1</v>
      </c>
      <c r="N144" s="7" t="n">
        <v>163.5</v>
      </c>
      <c r="P144" s="7" t="n">
        <v>167.6</v>
      </c>
      <c r="R144" s="7" t="n">
        <v>141.6</v>
      </c>
      <c r="T144" s="7" t="n">
        <v>160.4</v>
      </c>
      <c r="V144" s="7" t="n">
        <v>143.4</v>
      </c>
      <c r="X144" s="7" t="n">
        <v>123</v>
      </c>
      <c r="Z144" s="7" t="n">
        <v>139.1</v>
      </c>
      <c r="AB144" s="7" t="n">
        <v>1560.1</v>
      </c>
    </row>
    <row r="145">
      <c r="A145" s="4" t="inlineStr">
        <is>
          <t>诉讼费</t>
        </is>
      </c>
      <c r="D145" s="7" t="n">
        <v>566.6</v>
      </c>
      <c r="F145" s="7" t="n">
        <v>330.9</v>
      </c>
      <c r="H145" s="7" t="n">
        <v>558.5</v>
      </c>
      <c r="J145" s="7" t="n">
        <v>671.5</v>
      </c>
      <c r="L145" s="7" t="n">
        <v>817.2</v>
      </c>
      <c r="N145" s="7" t="n">
        <v>1016.3</v>
      </c>
      <c r="P145" s="7" t="n">
        <v>714.2</v>
      </c>
      <c r="R145" s="7" t="n">
        <v>1064.6</v>
      </c>
      <c r="T145" s="7" t="n">
        <v>1251.9</v>
      </c>
      <c r="V145" s="7" t="n">
        <v>904.7</v>
      </c>
      <c r="X145" s="7" t="n">
        <v>1132</v>
      </c>
      <c r="Z145" s="7" t="n">
        <v>596.3</v>
      </c>
      <c r="AB145" s="7" t="n">
        <v>9624.700000000001</v>
      </c>
    </row>
    <row r="146">
      <c r="A146" s="4" t="inlineStr">
        <is>
          <t>会员费</t>
        </is>
      </c>
      <c r="D146" s="7" t="n">
        <v>336.1</v>
      </c>
      <c r="F146" s="7" t="n">
        <v>415.3</v>
      </c>
      <c r="H146" s="7" t="n">
        <v>407.6</v>
      </c>
      <c r="J146" s="7" t="n">
        <v>899</v>
      </c>
      <c r="L146" s="7" t="n">
        <v>767.4</v>
      </c>
      <c r="N146" s="7" t="n">
        <v>854.6</v>
      </c>
      <c r="P146" s="7" t="n">
        <v>674</v>
      </c>
      <c r="R146" s="7" t="n">
        <v>811.2</v>
      </c>
      <c r="T146" s="7" t="n">
        <v>993.7</v>
      </c>
      <c r="V146" s="7" t="n">
        <v>618.9</v>
      </c>
      <c r="X146" s="7" t="n">
        <v>1001.4</v>
      </c>
      <c r="Z146" s="7" t="n">
        <v>554.6</v>
      </c>
      <c r="AB146" s="7" t="n">
        <v>8333.799999999999</v>
      </c>
    </row>
    <row r="147">
      <c r="A147" s="4" t="inlineStr">
        <is>
          <t>广告宣传费</t>
        </is>
      </c>
      <c r="D147" s="7" t="n">
        <v>2734.4</v>
      </c>
      <c r="F147" s="7" t="n">
        <v>1720.9</v>
      </c>
      <c r="H147" s="7" t="n">
        <v>1751</v>
      </c>
      <c r="J147" s="7" t="n">
        <v>5028.9</v>
      </c>
      <c r="L147" s="7" t="n">
        <v>5600.9</v>
      </c>
      <c r="N147" s="7" t="n">
        <v>3864.6</v>
      </c>
      <c r="P147" s="7" t="n">
        <v>4295</v>
      </c>
      <c r="R147" s="7" t="n">
        <v>4852.2</v>
      </c>
      <c r="T147" s="7" t="n">
        <v>4396.7</v>
      </c>
      <c r="V147" s="7" t="n">
        <v>5530.1</v>
      </c>
      <c r="X147" s="7" t="n">
        <v>6233.5</v>
      </c>
      <c r="Z147" s="7" t="n">
        <v>3834</v>
      </c>
      <c r="AB147" s="7" t="n">
        <v>49842.2</v>
      </c>
    </row>
    <row r="148">
      <c r="A148" s="4" t="inlineStr">
        <is>
          <t>会务费</t>
        </is>
      </c>
      <c r="D148" s="7" t="n">
        <v>351.2</v>
      </c>
      <c r="F148" s="7" t="n">
        <v>234.6</v>
      </c>
      <c r="H148" s="7" t="n">
        <v>389.5</v>
      </c>
      <c r="J148" s="7" t="n">
        <v>545.8</v>
      </c>
      <c r="L148" s="7" t="n">
        <v>1038.5</v>
      </c>
      <c r="N148" s="7" t="n">
        <v>640.2</v>
      </c>
      <c r="P148" s="7" t="n">
        <v>805.5</v>
      </c>
      <c r="R148" s="7" t="n">
        <v>689.3</v>
      </c>
      <c r="T148" s="7" t="n">
        <v>801.6</v>
      </c>
      <c r="V148" s="7" t="n">
        <v>484.1</v>
      </c>
      <c r="X148" s="7" t="n">
        <v>771</v>
      </c>
      <c r="Z148" s="7" t="n">
        <v>646.4</v>
      </c>
      <c r="AB148" s="7" t="n">
        <v>7397.7</v>
      </c>
    </row>
    <row r="149">
      <c r="A149" s="4" t="inlineStr">
        <is>
          <t>装修费</t>
        </is>
      </c>
      <c r="D149" s="7" t="n">
        <v>65.3</v>
      </c>
      <c r="F149" s="7" t="n">
        <v>64.90000000000001</v>
      </c>
      <c r="H149" s="7" t="n">
        <v>51.7</v>
      </c>
      <c r="J149" s="7" t="n">
        <v>98.2</v>
      </c>
      <c r="L149" s="7" t="n">
        <v>187.2</v>
      </c>
      <c r="N149" s="7" t="n">
        <v>135.4</v>
      </c>
      <c r="P149" s="7" t="n">
        <v>110.2</v>
      </c>
      <c r="R149" s="7" t="n">
        <v>99.7</v>
      </c>
      <c r="T149" s="7" t="n">
        <v>125.2</v>
      </c>
      <c r="V149" s="7" t="n">
        <v>106.9</v>
      </c>
      <c r="X149" s="7" t="n">
        <v>172.4</v>
      </c>
      <c r="Z149" s="7" t="n">
        <v>118</v>
      </c>
      <c r="AB149" s="7" t="n">
        <v>1335.1</v>
      </c>
    </row>
    <row r="150">
      <c r="A150" s="4" t="inlineStr">
        <is>
          <t>推广费</t>
        </is>
      </c>
      <c r="D150" s="7" t="n">
        <v>219</v>
      </c>
      <c r="F150" s="7" t="n">
        <v>276.2</v>
      </c>
      <c r="H150" s="7" t="n">
        <v>222</v>
      </c>
      <c r="J150" s="7" t="n">
        <v>671</v>
      </c>
      <c r="L150" s="7" t="n">
        <v>668.1</v>
      </c>
      <c r="N150" s="7" t="n">
        <v>796.6</v>
      </c>
      <c r="P150" s="7" t="n">
        <v>550.8</v>
      </c>
      <c r="R150" s="7" t="n">
        <v>622.9</v>
      </c>
      <c r="T150" s="7" t="n">
        <v>603.6</v>
      </c>
      <c r="V150" s="7" t="n">
        <v>510.7</v>
      </c>
      <c r="X150" s="7" t="n">
        <v>566.9</v>
      </c>
      <c r="Z150" s="7" t="n">
        <v>432.7</v>
      </c>
      <c r="AB150" s="7" t="n">
        <v>6140.5</v>
      </c>
    </row>
    <row r="151">
      <c r="A151" s="4" t="inlineStr">
        <is>
          <t>展会费</t>
        </is>
      </c>
      <c r="D151" s="7" t="n">
        <v>324.8</v>
      </c>
      <c r="F151" s="7" t="n">
        <v>161.9</v>
      </c>
      <c r="H151" s="7" t="n">
        <v>228.5</v>
      </c>
      <c r="J151" s="7" t="n">
        <v>470.5</v>
      </c>
      <c r="L151" s="7" t="n">
        <v>487.9</v>
      </c>
      <c r="N151" s="7" t="n">
        <v>625.6</v>
      </c>
      <c r="P151" s="7" t="n">
        <v>457.6</v>
      </c>
      <c r="R151" s="7" t="n">
        <v>481.8</v>
      </c>
      <c r="T151" s="7" t="n">
        <v>678.7</v>
      </c>
      <c r="V151" s="7" t="n">
        <v>544.9</v>
      </c>
      <c r="X151" s="7" t="n">
        <v>543.1</v>
      </c>
      <c r="Z151" s="7" t="n">
        <v>332.9</v>
      </c>
      <c r="AB151" s="7" t="n">
        <v>5338.2</v>
      </c>
    </row>
    <row r="152">
      <c r="A152" s="4" t="inlineStr">
        <is>
          <t>设计费</t>
        </is>
      </c>
      <c r="D152" s="7" t="n">
        <v>417.1</v>
      </c>
      <c r="F152" s="7" t="n">
        <v>303.5</v>
      </c>
      <c r="H152" s="7" t="n">
        <v>436.3</v>
      </c>
      <c r="J152" s="7" t="n">
        <v>689.9</v>
      </c>
      <c r="L152" s="7" t="n">
        <v>547.1</v>
      </c>
      <c r="N152" s="7" t="n">
        <v>764.8</v>
      </c>
      <c r="P152" s="7" t="n">
        <v>566</v>
      </c>
      <c r="R152" s="7" t="n">
        <v>582.2</v>
      </c>
      <c r="T152" s="7" t="n">
        <v>665.3</v>
      </c>
      <c r="V152" s="7" t="n">
        <v>668.2</v>
      </c>
      <c r="X152" s="7" t="n">
        <v>840.6</v>
      </c>
      <c r="Z152" s="7" t="n">
        <v>344.8</v>
      </c>
      <c r="AB152" s="7" t="n">
        <v>6825.8</v>
      </c>
    </row>
    <row r="153">
      <c r="A153" s="4" t="inlineStr">
        <is>
          <t>折旧费</t>
        </is>
      </c>
      <c r="D153" s="7" t="n">
        <v>3158.1</v>
      </c>
      <c r="F153" s="7" t="n">
        <v>2577.8</v>
      </c>
      <c r="H153" s="7" t="n">
        <v>2379.8</v>
      </c>
      <c r="J153" s="7" t="n">
        <v>5009.2</v>
      </c>
      <c r="L153" s="7" t="n">
        <v>6720.7</v>
      </c>
      <c r="N153" s="7" t="n">
        <v>5753.4</v>
      </c>
      <c r="P153" s="7" t="n">
        <v>5060.8</v>
      </c>
      <c r="R153" s="7" t="n">
        <v>5615.4</v>
      </c>
      <c r="T153" s="7" t="n">
        <v>5358.1</v>
      </c>
      <c r="V153" s="7" t="n">
        <v>5603.6</v>
      </c>
      <c r="X153" s="7" t="n">
        <v>5096.3</v>
      </c>
      <c r="Z153" s="7" t="n">
        <v>5713.8</v>
      </c>
      <c r="AB153" s="7" t="n">
        <v>58047</v>
      </c>
    </row>
    <row r="154">
      <c r="A154" s="4" t="inlineStr">
        <is>
          <t>认证费</t>
        </is>
      </c>
      <c r="D154" s="7" t="n">
        <v>464.1</v>
      </c>
      <c r="F154" s="7" t="n">
        <v>439.1</v>
      </c>
      <c r="H154" s="7" t="n">
        <v>556.1</v>
      </c>
      <c r="J154" s="7" t="n">
        <v>983.1</v>
      </c>
      <c r="L154" s="7" t="n">
        <v>745</v>
      </c>
      <c r="N154" s="7" t="n">
        <v>956.3</v>
      </c>
      <c r="P154" s="7" t="n">
        <v>650.4</v>
      </c>
      <c r="R154" s="7" t="n">
        <v>788.4</v>
      </c>
      <c r="T154" s="7" t="n">
        <v>1206</v>
      </c>
      <c r="V154" s="7" t="n">
        <v>734.4</v>
      </c>
      <c r="X154" s="7" t="n">
        <v>1186</v>
      </c>
      <c r="Z154" s="7" t="n">
        <v>787</v>
      </c>
      <c r="AB154" s="7" t="n">
        <v>9495.9</v>
      </c>
    </row>
    <row r="155">
      <c r="A155" s="4" t="inlineStr">
        <is>
          <t>样品费</t>
        </is>
      </c>
      <c r="D155" s="7" t="n">
        <v>1550.2</v>
      </c>
      <c r="F155" s="7" t="n">
        <v>1038.4</v>
      </c>
      <c r="H155" s="7" t="n">
        <v>2050.6</v>
      </c>
      <c r="J155" s="7" t="n">
        <v>2718.9</v>
      </c>
      <c r="L155" s="7" t="n">
        <v>2502.7</v>
      </c>
      <c r="N155" s="7" t="n">
        <v>2732.8</v>
      </c>
      <c r="P155" s="7" t="n">
        <v>2405.2</v>
      </c>
      <c r="R155" s="7" t="n">
        <v>3598</v>
      </c>
      <c r="T155" s="7" t="n">
        <v>3907.2</v>
      </c>
      <c r="V155" s="7" t="n">
        <v>3025.1</v>
      </c>
      <c r="X155" s="7" t="n">
        <v>2963.9</v>
      </c>
      <c r="Z155" s="7" t="n">
        <v>2845.6</v>
      </c>
      <c r="AB155" s="7" t="n">
        <v>31338.6</v>
      </c>
    </row>
    <row r="156">
      <c r="A156" s="4" t="inlineStr">
        <is>
          <t>劳务费</t>
        </is>
      </c>
      <c r="D156" s="7" t="n">
        <v>449.5</v>
      </c>
      <c r="F156" s="7" t="n">
        <v>513.7</v>
      </c>
      <c r="H156" s="7" t="n">
        <v>439</v>
      </c>
      <c r="J156" s="7" t="n">
        <v>1013.7</v>
      </c>
      <c r="L156" s="7" t="n">
        <v>1374.9</v>
      </c>
      <c r="N156" s="7" t="n">
        <v>1326.2</v>
      </c>
      <c r="P156" s="7" t="n">
        <v>886.3</v>
      </c>
      <c r="R156" s="7" t="n">
        <v>765</v>
      </c>
      <c r="T156" s="7" t="n">
        <v>1154.2</v>
      </c>
      <c r="V156" s="7" t="n">
        <v>1195.1</v>
      </c>
      <c r="X156" s="7" t="n">
        <v>861.1</v>
      </c>
      <c r="Z156" s="7" t="n">
        <v>902.3</v>
      </c>
      <c r="AB156" s="7" t="n">
        <v>10881</v>
      </c>
    </row>
    <row r="157">
      <c r="A157" s="4" t="inlineStr">
        <is>
          <t>销售佣金</t>
        </is>
      </c>
      <c r="D157" s="7" t="n">
        <v>266.7</v>
      </c>
      <c r="F157" s="7" t="n">
        <v>158.4</v>
      </c>
      <c r="H157" s="7" t="n">
        <v>331.1</v>
      </c>
      <c r="J157" s="7" t="n">
        <v>487.3</v>
      </c>
      <c r="L157" s="7" t="n">
        <v>645.6</v>
      </c>
      <c r="N157" s="7" t="n">
        <v>685</v>
      </c>
      <c r="P157" s="7" t="n">
        <v>532</v>
      </c>
      <c r="R157" s="7" t="n">
        <v>551.9</v>
      </c>
      <c r="T157" s="7" t="n">
        <v>475.9</v>
      </c>
      <c r="V157" s="7" t="n">
        <v>499.4</v>
      </c>
      <c r="X157" s="7" t="n">
        <v>708.1</v>
      </c>
      <c r="Z157" s="7" t="n">
        <v>311.1</v>
      </c>
      <c r="AB157" s="7" t="n">
        <v>5652.5</v>
      </c>
    </row>
    <row r="158">
      <c r="A158" s="4" t="inlineStr">
        <is>
          <t>检测费</t>
        </is>
      </c>
      <c r="D158" s="7" t="n">
        <v>48.1</v>
      </c>
      <c r="F158" s="7" t="n">
        <v>40.5</v>
      </c>
      <c r="H158" s="7" t="n">
        <v>53.4</v>
      </c>
      <c r="J158" s="7" t="n">
        <v>62.8</v>
      </c>
      <c r="L158" s="7" t="n">
        <v>121.3</v>
      </c>
      <c r="N158" s="7" t="n">
        <v>132.1</v>
      </c>
      <c r="P158" s="7" t="n">
        <v>59.4</v>
      </c>
      <c r="R158" s="7" t="n">
        <v>85.90000000000001</v>
      </c>
      <c r="T158" s="7" t="n">
        <v>114.8</v>
      </c>
      <c r="V158" s="7" t="n">
        <v>67.90000000000001</v>
      </c>
      <c r="X158" s="7" t="n">
        <v>97.8</v>
      </c>
      <c r="Z158" s="7" t="n">
        <v>73.59999999999999</v>
      </c>
      <c r="AB158" s="7" t="n">
        <v>957.6</v>
      </c>
    </row>
    <row r="159">
      <c r="A159" s="4" t="inlineStr">
        <is>
          <t>质量赔偿</t>
        </is>
      </c>
      <c r="D159" s="7" t="n">
        <v>161.9</v>
      </c>
      <c r="F159" s="7" t="n">
        <v>178.8</v>
      </c>
      <c r="H159" s="7" t="n">
        <v>170.5</v>
      </c>
      <c r="J159" s="7" t="n">
        <v>343.7</v>
      </c>
      <c r="L159" s="7" t="n">
        <v>351</v>
      </c>
      <c r="N159" s="7" t="n">
        <v>473.2</v>
      </c>
      <c r="P159" s="7" t="n">
        <v>357.8</v>
      </c>
      <c r="R159" s="7" t="n">
        <v>412.6</v>
      </c>
      <c r="T159" s="7" t="n">
        <v>421.6</v>
      </c>
      <c r="V159" s="7" t="n">
        <v>289.9</v>
      </c>
      <c r="X159" s="7" t="n">
        <v>487</v>
      </c>
      <c r="Z159" s="7" t="n">
        <v>282</v>
      </c>
      <c r="AB159" s="7" t="n">
        <v>3930</v>
      </c>
    </row>
    <row r="160">
      <c r="A160" s="4" t="inlineStr">
        <is>
          <t>保险费</t>
        </is>
      </c>
      <c r="D160" s="7" t="n">
        <v>358.3</v>
      </c>
      <c r="F160" s="7" t="n">
        <v>196</v>
      </c>
      <c r="H160" s="7" t="n">
        <v>337.6</v>
      </c>
      <c r="J160" s="7" t="n">
        <v>634.4</v>
      </c>
      <c r="L160" s="7" t="n">
        <v>564.4</v>
      </c>
      <c r="N160" s="7" t="n">
        <v>627.9</v>
      </c>
      <c r="P160" s="7" t="n">
        <v>673.4</v>
      </c>
      <c r="R160" s="7" t="n">
        <v>478.2</v>
      </c>
      <c r="T160" s="7" t="n">
        <v>683.7</v>
      </c>
      <c r="V160" s="7" t="n">
        <v>547.7</v>
      </c>
      <c r="X160" s="7" t="n">
        <v>828.2</v>
      </c>
      <c r="Z160" s="7" t="n">
        <v>436.4</v>
      </c>
      <c r="AB160" s="7" t="n">
        <v>6366.2</v>
      </c>
    </row>
    <row r="161">
      <c r="A161" s="4" t="inlineStr">
        <is>
          <t>清洁费</t>
        </is>
      </c>
      <c r="D161" s="7" t="n">
        <v>187.6</v>
      </c>
      <c r="F161" s="7" t="n">
        <v>147.2</v>
      </c>
      <c r="H161" s="7" t="n">
        <v>339.6</v>
      </c>
      <c r="J161" s="7" t="n">
        <v>344.1</v>
      </c>
      <c r="L161" s="7" t="n">
        <v>631.9</v>
      </c>
      <c r="N161" s="7" t="n">
        <v>513.9</v>
      </c>
      <c r="P161" s="7" t="n">
        <v>371.9</v>
      </c>
      <c r="R161" s="7" t="n">
        <v>606</v>
      </c>
      <c r="T161" s="7" t="n">
        <v>625.4</v>
      </c>
      <c r="V161" s="7" t="n">
        <v>371.2</v>
      </c>
      <c r="X161" s="7" t="n">
        <v>373.9</v>
      </c>
      <c r="Z161" s="7" t="n">
        <v>289.9</v>
      </c>
      <c r="AB161" s="7" t="n">
        <v>4802.6</v>
      </c>
    </row>
    <row r="162">
      <c r="A162" s="4" t="inlineStr">
        <is>
          <t>低值易耗品</t>
        </is>
      </c>
      <c r="D162" s="7" t="n">
        <v>323.3</v>
      </c>
      <c r="F162" s="7" t="n">
        <v>164.3</v>
      </c>
      <c r="H162" s="7" t="n">
        <v>395.4</v>
      </c>
      <c r="J162" s="7" t="n">
        <v>691</v>
      </c>
      <c r="L162" s="7" t="n">
        <v>649.9</v>
      </c>
      <c r="N162" s="7" t="n">
        <v>685.7</v>
      </c>
      <c r="P162" s="7" t="n">
        <v>497.3</v>
      </c>
      <c r="R162" s="7" t="n">
        <v>447.1</v>
      </c>
      <c r="T162" s="7" t="n">
        <v>698.1</v>
      </c>
      <c r="V162" s="7" t="n">
        <v>666.7</v>
      </c>
      <c r="X162" s="7" t="n">
        <v>499.1</v>
      </c>
      <c r="Z162" s="7" t="n">
        <v>297.8</v>
      </c>
      <c r="AB162" s="7" t="n">
        <v>6015.7</v>
      </c>
    </row>
    <row r="163">
      <c r="A163" s="4" t="inlineStr">
        <is>
          <t>物料消耗</t>
        </is>
      </c>
      <c r="D163" s="7" t="n">
        <v>12.4</v>
      </c>
      <c r="F163" s="7" t="n">
        <v>7.3</v>
      </c>
      <c r="H163" s="7" t="n">
        <v>15.2</v>
      </c>
      <c r="J163" s="7" t="n">
        <v>16.6</v>
      </c>
      <c r="L163" s="7" t="n">
        <v>22.1</v>
      </c>
      <c r="N163" s="7" t="n">
        <v>23.4</v>
      </c>
      <c r="P163" s="7" t="n">
        <v>16.3</v>
      </c>
      <c r="R163" s="7" t="n">
        <v>26</v>
      </c>
      <c r="T163" s="7" t="n">
        <v>31.3</v>
      </c>
      <c r="V163" s="7" t="n">
        <v>18.6</v>
      </c>
      <c r="X163" s="7" t="n">
        <v>24.6</v>
      </c>
      <c r="Z163" s="7" t="n">
        <v>21.4</v>
      </c>
      <c r="AB163" s="7" t="n">
        <v>235.2</v>
      </c>
    </row>
    <row r="164">
      <c r="A164" s="4" t="inlineStr">
        <is>
          <t>盘盈盘亏</t>
        </is>
      </c>
      <c r="D164" s="7" t="n">
        <v>192.5</v>
      </c>
      <c r="F164" s="7" t="n">
        <v>123.1</v>
      </c>
      <c r="H164" s="7" t="n">
        <v>216.8</v>
      </c>
      <c r="J164" s="7" t="n">
        <v>326.7</v>
      </c>
      <c r="L164" s="7" t="n">
        <v>406.3</v>
      </c>
      <c r="N164" s="7" t="n">
        <v>370.6</v>
      </c>
      <c r="P164" s="7" t="n">
        <v>242.5</v>
      </c>
      <c r="R164" s="7" t="n">
        <v>277.7</v>
      </c>
      <c r="T164" s="7" t="n">
        <v>416.6</v>
      </c>
      <c r="V164" s="7" t="n">
        <v>401.9</v>
      </c>
      <c r="X164" s="7" t="n">
        <v>326.5</v>
      </c>
      <c r="Z164" s="7" t="n">
        <v>238.6</v>
      </c>
      <c r="AB164" s="7" t="n">
        <v>3539.8</v>
      </c>
    </row>
    <row r="165">
      <c r="A165" s="4" t="inlineStr">
        <is>
          <t>平台服务费</t>
        </is>
      </c>
      <c r="D165" s="7" t="n">
        <v>362.6</v>
      </c>
      <c r="F165" s="7" t="n">
        <v>208.6</v>
      </c>
      <c r="H165" s="7" t="n">
        <v>372.3</v>
      </c>
      <c r="J165" s="7" t="n">
        <v>697.7</v>
      </c>
      <c r="L165" s="7" t="n">
        <v>670.3</v>
      </c>
      <c r="N165" s="7" t="n">
        <v>811.9</v>
      </c>
      <c r="P165" s="7" t="n">
        <v>475</v>
      </c>
      <c r="R165" s="7" t="n">
        <v>664.3</v>
      </c>
      <c r="T165" s="7" t="n">
        <v>746.1</v>
      </c>
      <c r="V165" s="7" t="n">
        <v>586.4</v>
      </c>
      <c r="X165" s="7" t="n">
        <v>670</v>
      </c>
      <c r="Z165" s="7" t="n">
        <v>408.8</v>
      </c>
      <c r="AB165" s="7" t="n">
        <v>6674</v>
      </c>
    </row>
    <row r="166">
      <c r="A166" s="4" t="inlineStr">
        <is>
          <t>无形资产摊销</t>
        </is>
      </c>
      <c r="D166" s="7" t="n">
        <v>280.8</v>
      </c>
      <c r="F166" s="7" t="n">
        <v>246.7</v>
      </c>
      <c r="H166" s="7" t="n">
        <v>227.1</v>
      </c>
      <c r="J166" s="7" t="n">
        <v>426.5</v>
      </c>
      <c r="L166" s="7" t="n">
        <v>472.6</v>
      </c>
      <c r="N166" s="7" t="n">
        <v>646</v>
      </c>
      <c r="P166" s="7" t="n">
        <v>508.9</v>
      </c>
      <c r="R166" s="7" t="n">
        <v>492.5</v>
      </c>
      <c r="T166" s="7" t="n">
        <v>729</v>
      </c>
      <c r="V166" s="7" t="n">
        <v>576.9</v>
      </c>
      <c r="X166" s="7" t="n">
        <v>782.3</v>
      </c>
      <c r="Z166" s="7" t="n">
        <v>378.1</v>
      </c>
      <c r="AB166" s="7" t="n">
        <v>5767.4</v>
      </c>
    </row>
    <row r="167">
      <c r="A167" s="4" t="inlineStr">
        <is>
          <t>研发材料</t>
        </is>
      </c>
      <c r="D167" s="7" t="n">
        <v>13</v>
      </c>
      <c r="F167" s="7" t="n">
        <v>10.8</v>
      </c>
      <c r="H167" s="7" t="n">
        <v>19.1</v>
      </c>
      <c r="J167" s="7" t="n">
        <v>25.7</v>
      </c>
      <c r="L167" s="7" t="n">
        <v>25.8</v>
      </c>
      <c r="N167" s="7" t="n">
        <v>37.1</v>
      </c>
      <c r="P167" s="7" t="n">
        <v>23.6</v>
      </c>
      <c r="R167" s="7" t="n">
        <v>34.7</v>
      </c>
      <c r="T167" s="7" t="n">
        <v>24.9</v>
      </c>
      <c r="V167" s="7" t="n">
        <v>25</v>
      </c>
      <c r="X167" s="7" t="n">
        <v>22.8</v>
      </c>
      <c r="Z167" s="7" t="n">
        <v>19.7</v>
      </c>
      <c r="AB167" s="7" t="n">
        <v>282.2</v>
      </c>
    </row>
    <row r="168">
      <c r="A168" s="4" t="inlineStr">
        <is>
          <t>项目名称</t>
        </is>
      </c>
      <c r="D168" s="7" t="n">
        <v>293.5</v>
      </c>
      <c r="F168" s="7" t="n">
        <v>232.4</v>
      </c>
      <c r="H168" s="7" t="n">
        <v>261.6</v>
      </c>
      <c r="J168" s="7" t="n">
        <v>407.3</v>
      </c>
      <c r="L168" s="7" t="n">
        <v>571.2</v>
      </c>
      <c r="N168" s="7" t="n">
        <v>535.1</v>
      </c>
      <c r="P168" s="7" t="n">
        <v>302.3</v>
      </c>
      <c r="R168" s="7" t="n">
        <v>399.9</v>
      </c>
      <c r="T168" s="7" t="n">
        <v>532.5</v>
      </c>
      <c r="V168" s="7" t="n">
        <v>535.6</v>
      </c>
      <c r="X168" s="7" t="n">
        <v>610.3</v>
      </c>
      <c r="Z168" s="7" t="n">
        <v>253.6</v>
      </c>
      <c r="AB168" s="7" t="n">
        <v>4935.3</v>
      </c>
    </row>
    <row r="169">
      <c r="A169" s="4" t="inlineStr">
        <is>
          <t>研发费</t>
        </is>
      </c>
      <c r="D169" s="7" t="n">
        <v>455.7</v>
      </c>
      <c r="F169" s="7" t="n">
        <v>415</v>
      </c>
      <c r="H169" s="7" t="n">
        <v>431</v>
      </c>
      <c r="J169" s="7" t="n">
        <v>748.2</v>
      </c>
      <c r="L169" s="7" t="n">
        <v>845</v>
      </c>
      <c r="N169" s="7" t="n">
        <v>1193.3</v>
      </c>
      <c r="P169" s="7" t="n">
        <v>760.7</v>
      </c>
      <c r="R169" s="7" t="n">
        <v>1145.2</v>
      </c>
      <c r="T169" s="7" t="n">
        <v>914</v>
      </c>
      <c r="V169" s="7" t="n">
        <v>646.9</v>
      </c>
      <c r="X169" s="7" t="n">
        <v>772.8</v>
      </c>
      <c r="Z169" s="7" t="n">
        <v>585.1</v>
      </c>
      <c r="AB169" s="7" t="n">
        <v>8912.9</v>
      </c>
    </row>
    <row r="170">
      <c r="A170" s="4" t="inlineStr">
        <is>
          <t>残保金</t>
        </is>
      </c>
      <c r="D170" s="7" t="n">
        <v>214.5</v>
      </c>
      <c r="F170" s="7" t="n">
        <v>134.4</v>
      </c>
      <c r="H170" s="7" t="n">
        <v>225.5</v>
      </c>
      <c r="J170" s="7" t="n">
        <v>436.6</v>
      </c>
      <c r="L170" s="7" t="n">
        <v>572.6</v>
      </c>
      <c r="N170" s="7" t="n">
        <v>540.1</v>
      </c>
      <c r="P170" s="7" t="n">
        <v>284.3</v>
      </c>
      <c r="R170" s="7" t="n">
        <v>457.3</v>
      </c>
      <c r="T170" s="7" t="n">
        <v>387.5</v>
      </c>
      <c r="V170" s="7" t="n">
        <v>443.3</v>
      </c>
      <c r="X170" s="7" t="n">
        <v>516.5</v>
      </c>
      <c r="Z170" s="7" t="n">
        <v>202.6</v>
      </c>
      <c r="AB170" s="7" t="n">
        <v>4415.2</v>
      </c>
    </row>
    <row r="171">
      <c r="A171" s="4" t="inlineStr">
        <is>
          <t>环保费</t>
        </is>
      </c>
      <c r="D171" s="7" t="n">
        <v>256.2</v>
      </c>
      <c r="F171" s="7" t="n">
        <v>196.7</v>
      </c>
      <c r="H171" s="7" t="n">
        <v>413</v>
      </c>
      <c r="J171" s="7" t="n">
        <v>687</v>
      </c>
      <c r="L171" s="7" t="n">
        <v>645.1</v>
      </c>
      <c r="N171" s="7" t="n">
        <v>840.5</v>
      </c>
      <c r="P171" s="7" t="n">
        <v>517</v>
      </c>
      <c r="R171" s="7" t="n">
        <v>660.8</v>
      </c>
      <c r="T171" s="7" t="n">
        <v>615.3</v>
      </c>
      <c r="V171" s="7" t="n">
        <v>644</v>
      </c>
      <c r="X171" s="7" t="n">
        <v>650.9</v>
      </c>
      <c r="Z171" s="7" t="n">
        <v>527.2</v>
      </c>
      <c r="AB171" s="7" t="n">
        <v>6653.7</v>
      </c>
    </row>
    <row r="172">
      <c r="A172" s="4" t="inlineStr">
        <is>
          <t>报废损失</t>
        </is>
      </c>
      <c r="D172" s="7" t="n">
        <v>294.5</v>
      </c>
      <c r="F172" s="7" t="n">
        <v>234.5</v>
      </c>
      <c r="H172" s="7" t="n">
        <v>190.5</v>
      </c>
      <c r="J172" s="7" t="n">
        <v>394.8</v>
      </c>
      <c r="L172" s="7" t="n">
        <v>563.1</v>
      </c>
      <c r="N172" s="7" t="n">
        <v>369</v>
      </c>
      <c r="P172" s="7" t="n">
        <v>282.5</v>
      </c>
      <c r="R172" s="7" t="n">
        <v>318.2</v>
      </c>
      <c r="T172" s="7" t="n">
        <v>372.8</v>
      </c>
      <c r="V172" s="7" t="n">
        <v>380.1</v>
      </c>
      <c r="X172" s="7" t="n">
        <v>545.4</v>
      </c>
      <c r="Z172" s="7" t="n">
        <v>319.7</v>
      </c>
      <c r="AB172" s="7" t="n">
        <v>4265.1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54767.2</v>
      </c>
      <c r="D173" s="7" t="n">
        <v>19506.3</v>
      </c>
      <c r="E173" s="7" t="n">
        <v>59555.7</v>
      </c>
      <c r="F173" s="7" t="n">
        <v>22335.2</v>
      </c>
      <c r="G173" s="7" t="n">
        <v>64892.8</v>
      </c>
      <c r="H173" s="7" t="n">
        <v>60028.6</v>
      </c>
      <c r="I173" s="7" t="n">
        <v>68653.89999999999</v>
      </c>
      <c r="J173" s="7" t="n">
        <v>52492.9</v>
      </c>
      <c r="K173" s="7" t="n">
        <v>58436.8</v>
      </c>
      <c r="L173" s="7" t="n">
        <v>93478.7</v>
      </c>
      <c r="M173" s="7" t="n">
        <v>56561.7</v>
      </c>
      <c r="N173" s="7" t="n">
        <v>104188.1</v>
      </c>
      <c r="O173" s="7" t="n">
        <v>55948.3</v>
      </c>
      <c r="P173" s="7" t="n">
        <v>106938.1</v>
      </c>
      <c r="Q173" s="7" t="n">
        <v>62029.4</v>
      </c>
      <c r="R173" s="7" t="n">
        <v>79864.2</v>
      </c>
      <c r="S173" s="7" t="n">
        <v>55732.3</v>
      </c>
      <c r="T173" s="7" t="n">
        <v>39354.4</v>
      </c>
      <c r="U173" s="7" t="n">
        <v>69584.39999999999</v>
      </c>
      <c r="V173" s="7" t="n">
        <v>86893.5</v>
      </c>
      <c r="W173" s="7" t="n">
        <v>67534.39999999999</v>
      </c>
      <c r="X173" s="7" t="n">
        <v>28766.4</v>
      </c>
      <c r="Y173" s="7" t="n">
        <v>70072.10000000001</v>
      </c>
      <c r="Z173" s="7" t="n">
        <v>59388.3</v>
      </c>
      <c r="AA173" s="8" t="n">
        <v>743769</v>
      </c>
      <c r="AB173" s="8" t="n">
        <v>753234.7</v>
      </c>
    </row>
    <row r="174">
      <c r="A174" s="4" t="inlineStr">
        <is>
          <t>职工薪酬</t>
        </is>
      </c>
      <c r="D174" s="7" t="n">
        <v>9983.299999999999</v>
      </c>
      <c r="F174" s="7" t="n">
        <v>9049.700000000001</v>
      </c>
      <c r="H174" s="7" t="n">
        <v>29496.3</v>
      </c>
      <c r="J174" s="7" t="n">
        <v>30469.4</v>
      </c>
      <c r="L174" s="7" t="n">
        <v>52824.4</v>
      </c>
      <c r="N174" s="7" t="n">
        <v>58029.5</v>
      </c>
      <c r="P174" s="7" t="n">
        <v>52642.1</v>
      </c>
      <c r="R174" s="7" t="n">
        <v>34823.6</v>
      </c>
      <c r="T174" s="7" t="n">
        <v>22639.7</v>
      </c>
      <c r="V174" s="7" t="n">
        <v>36004.7</v>
      </c>
      <c r="X174" s="7" t="n">
        <v>11274.1</v>
      </c>
      <c r="Z174" s="7" t="n">
        <v>28413.9</v>
      </c>
      <c r="AB174" s="7" t="n">
        <v>375650.7</v>
      </c>
    </row>
    <row r="175">
      <c r="A175" s="4" t="inlineStr">
        <is>
          <t>工资</t>
        </is>
      </c>
      <c r="D175" s="7" t="n">
        <v>5136.4</v>
      </c>
      <c r="F175" s="7" t="n">
        <v>5023.3</v>
      </c>
      <c r="H175" s="7" t="n">
        <v>18640.8</v>
      </c>
      <c r="J175" s="7" t="n">
        <v>19271</v>
      </c>
      <c r="L175" s="7" t="n">
        <v>30727.1</v>
      </c>
      <c r="N175" s="7" t="n">
        <v>35668.6</v>
      </c>
      <c r="P175" s="7" t="n">
        <v>26420.2</v>
      </c>
      <c r="R175" s="7" t="n">
        <v>17893</v>
      </c>
      <c r="T175" s="7" t="n">
        <v>15148.2</v>
      </c>
      <c r="V175" s="7" t="n">
        <v>19190.3</v>
      </c>
      <c r="X175" s="7" t="n">
        <v>6108.9</v>
      </c>
      <c r="Z175" s="7" t="n">
        <v>14782</v>
      </c>
      <c r="AB175" s="7" t="n">
        <v>214009.8</v>
      </c>
    </row>
    <row r="176">
      <c r="A176" s="4" t="inlineStr">
        <is>
          <t>奖金及提成</t>
        </is>
      </c>
      <c r="D176" s="7" t="n">
        <v>2323.4</v>
      </c>
      <c r="F176" s="7" t="n">
        <v>1815.3</v>
      </c>
      <c r="H176" s="7" t="n">
        <v>4578.5</v>
      </c>
      <c r="J176" s="7" t="n">
        <v>4331.7</v>
      </c>
      <c r="L176" s="7" t="n">
        <v>9855.6</v>
      </c>
      <c r="N176" s="7" t="n">
        <v>10591.6</v>
      </c>
      <c r="P176" s="7" t="n">
        <v>12993.8</v>
      </c>
      <c r="R176" s="7" t="n">
        <v>9234.6</v>
      </c>
      <c r="T176" s="7" t="n">
        <v>3491.1</v>
      </c>
      <c r="V176" s="7" t="n">
        <v>8449.6</v>
      </c>
      <c r="X176" s="7" t="n">
        <v>2279.4</v>
      </c>
      <c r="Z176" s="7" t="n">
        <v>5954.9</v>
      </c>
      <c r="AB176" s="7" t="n">
        <v>75899.5</v>
      </c>
    </row>
    <row r="177">
      <c r="A177" s="4" t="inlineStr">
        <is>
          <t>社保</t>
        </is>
      </c>
      <c r="D177" s="7" t="n">
        <v>1948.3</v>
      </c>
      <c r="F177" s="7" t="n">
        <v>1485.3</v>
      </c>
      <c r="H177" s="7" t="n">
        <v>4409.4</v>
      </c>
      <c r="J177" s="7" t="n">
        <v>5396.4</v>
      </c>
      <c r="L177" s="7" t="n">
        <v>9128.9</v>
      </c>
      <c r="N177" s="7" t="n">
        <v>8402.4</v>
      </c>
      <c r="P177" s="7" t="n">
        <v>9992.4</v>
      </c>
      <c r="R177" s="7" t="n">
        <v>5192.9</v>
      </c>
      <c r="T177" s="7" t="n">
        <v>2728.7</v>
      </c>
      <c r="V177" s="7" t="n">
        <v>5550.9</v>
      </c>
      <c r="X177" s="7" t="n">
        <v>2035</v>
      </c>
      <c r="Z177" s="7" t="n">
        <v>5805.3</v>
      </c>
      <c r="AB177" s="7" t="n">
        <v>62075.9</v>
      </c>
    </row>
    <row r="178">
      <c r="A178" s="4" t="inlineStr">
        <is>
          <t>养老</t>
        </is>
      </c>
      <c r="D178" s="7" t="n">
        <v>65.40000000000001</v>
      </c>
      <c r="F178" s="7" t="n">
        <v>116.4</v>
      </c>
      <c r="H178" s="7" t="n">
        <v>292.7</v>
      </c>
      <c r="J178" s="7" t="n">
        <v>188.4</v>
      </c>
      <c r="L178" s="7" t="n">
        <v>491.4</v>
      </c>
      <c r="N178" s="7" t="n">
        <v>359.8</v>
      </c>
      <c r="P178" s="7" t="n">
        <v>326.1</v>
      </c>
      <c r="R178" s="7" t="n">
        <v>372.5</v>
      </c>
      <c r="T178" s="7" t="n">
        <v>162.6</v>
      </c>
      <c r="V178" s="7" t="n">
        <v>317.5</v>
      </c>
      <c r="X178" s="7" t="n">
        <v>153.6</v>
      </c>
      <c r="Z178" s="7" t="n">
        <v>189.5</v>
      </c>
      <c r="AB178" s="7" t="n">
        <v>3035.9</v>
      </c>
    </row>
    <row r="179">
      <c r="A179" s="4" t="inlineStr">
        <is>
          <t>医疗</t>
        </is>
      </c>
      <c r="D179" s="7" t="n">
        <v>43.6</v>
      </c>
      <c r="F179" s="7" t="n">
        <v>63.3</v>
      </c>
      <c r="H179" s="7" t="n">
        <v>170.6</v>
      </c>
      <c r="J179" s="7" t="n">
        <v>108.7</v>
      </c>
      <c r="L179" s="7" t="n">
        <v>228.4</v>
      </c>
      <c r="N179" s="7" t="n">
        <v>223.6</v>
      </c>
      <c r="P179" s="7" t="n">
        <v>329.5</v>
      </c>
      <c r="R179" s="7" t="n">
        <v>257.4</v>
      </c>
      <c r="T179" s="7" t="n">
        <v>106.2</v>
      </c>
      <c r="V179" s="7" t="n">
        <v>215.5</v>
      </c>
      <c r="X179" s="7" t="n">
        <v>76.59999999999999</v>
      </c>
      <c r="Z179" s="7" t="n">
        <v>177.5</v>
      </c>
      <c r="AB179" s="7" t="n">
        <v>2000.9</v>
      </c>
    </row>
    <row r="180">
      <c r="A180" s="4" t="inlineStr">
        <is>
          <t>工伤</t>
        </is>
      </c>
      <c r="D180" s="7" t="n">
        <v>67.5</v>
      </c>
      <c r="F180" s="7" t="n">
        <v>74.5</v>
      </c>
      <c r="H180" s="7" t="n">
        <v>231.1</v>
      </c>
      <c r="J180" s="7" t="n">
        <v>198.3</v>
      </c>
      <c r="L180" s="7" t="n">
        <v>414</v>
      </c>
      <c r="N180" s="7" t="n">
        <v>300.9</v>
      </c>
      <c r="P180" s="7" t="n">
        <v>271.8</v>
      </c>
      <c r="R180" s="7" t="n">
        <v>200.1</v>
      </c>
      <c r="T180" s="7" t="n">
        <v>117.5</v>
      </c>
      <c r="V180" s="7" t="n">
        <v>223.1</v>
      </c>
      <c r="X180" s="7" t="n">
        <v>76</v>
      </c>
      <c r="Z180" s="7" t="n">
        <v>172.4</v>
      </c>
      <c r="AB180" s="7" t="n">
        <v>2347.2</v>
      </c>
    </row>
    <row r="181">
      <c r="A181" s="4" t="inlineStr">
        <is>
          <t>失业</t>
        </is>
      </c>
      <c r="D181" s="7" t="n">
        <v>89.59999999999999</v>
      </c>
      <c r="F181" s="7" t="n">
        <v>84.90000000000001</v>
      </c>
      <c r="H181" s="7" t="n">
        <v>185.7</v>
      </c>
      <c r="J181" s="7" t="n">
        <v>243.5</v>
      </c>
      <c r="L181" s="7" t="n">
        <v>466.8</v>
      </c>
      <c r="N181" s="7" t="n">
        <v>364.8</v>
      </c>
      <c r="P181" s="7" t="n">
        <v>358.1</v>
      </c>
      <c r="R181" s="7" t="n">
        <v>380.5</v>
      </c>
      <c r="T181" s="7" t="n">
        <v>145.4</v>
      </c>
      <c r="V181" s="7" t="n">
        <v>308.4</v>
      </c>
      <c r="X181" s="7" t="n">
        <v>123.8</v>
      </c>
      <c r="Z181" s="7" t="n">
        <v>275.4</v>
      </c>
      <c r="AB181" s="7" t="n">
        <v>3026.9</v>
      </c>
    </row>
    <row r="182">
      <c r="A182" s="4" t="inlineStr">
        <is>
          <t>生育</t>
        </is>
      </c>
      <c r="D182" s="7" t="n">
        <v>12.1</v>
      </c>
      <c r="F182" s="7" t="n">
        <v>15.5</v>
      </c>
      <c r="H182" s="7" t="n">
        <v>36.6</v>
      </c>
      <c r="J182" s="7" t="n">
        <v>28.7</v>
      </c>
      <c r="L182" s="7" t="n">
        <v>71.90000000000001</v>
      </c>
      <c r="N182" s="7" t="n">
        <v>54.3</v>
      </c>
      <c r="P182" s="7" t="n">
        <v>58.8</v>
      </c>
      <c r="R182" s="7" t="n">
        <v>36.6</v>
      </c>
      <c r="T182" s="7" t="n">
        <v>19.8</v>
      </c>
      <c r="V182" s="7" t="n">
        <v>66.59999999999999</v>
      </c>
      <c r="X182" s="7" t="n">
        <v>14</v>
      </c>
      <c r="Z182" s="7" t="n">
        <v>26</v>
      </c>
      <c r="AB182" s="7" t="n">
        <v>440.9</v>
      </c>
    </row>
    <row r="183">
      <c r="A183" s="4" t="inlineStr">
        <is>
          <t>公积金</t>
        </is>
      </c>
      <c r="D183" s="7" t="n">
        <v>54.7</v>
      </c>
      <c r="F183" s="7" t="n">
        <v>56.1</v>
      </c>
      <c r="H183" s="7" t="n">
        <v>160.3</v>
      </c>
      <c r="J183" s="7" t="n">
        <v>121.9</v>
      </c>
      <c r="L183" s="7" t="n">
        <v>322.2</v>
      </c>
      <c r="N183" s="7" t="n">
        <v>392.9</v>
      </c>
      <c r="P183" s="7" t="n">
        <v>351.6</v>
      </c>
      <c r="R183" s="7" t="n">
        <v>318.6</v>
      </c>
      <c r="T183" s="7" t="n">
        <v>128.6</v>
      </c>
      <c r="V183" s="7" t="n">
        <v>268.5</v>
      </c>
      <c r="X183" s="7" t="n">
        <v>76</v>
      </c>
      <c r="Z183" s="7" t="n">
        <v>141.5</v>
      </c>
      <c r="AB183" s="7" t="n">
        <v>2392.9</v>
      </c>
    </row>
    <row r="184">
      <c r="A184" s="4" t="inlineStr">
        <is>
          <t>工会经费</t>
        </is>
      </c>
      <c r="D184" s="7" t="n">
        <v>109</v>
      </c>
      <c r="F184" s="7" t="n">
        <v>155.2</v>
      </c>
      <c r="H184" s="7" t="n">
        <v>387.2</v>
      </c>
      <c r="J184" s="7" t="n">
        <v>286.2</v>
      </c>
      <c r="L184" s="7" t="n">
        <v>401.8</v>
      </c>
      <c r="N184" s="7" t="n">
        <v>440.9</v>
      </c>
      <c r="P184" s="7" t="n">
        <v>434.3</v>
      </c>
      <c r="R184" s="7" t="n">
        <v>378.6</v>
      </c>
      <c r="T184" s="7" t="n">
        <v>241.3</v>
      </c>
      <c r="V184" s="7" t="n">
        <v>453.4</v>
      </c>
      <c r="X184" s="7" t="n">
        <v>176.2</v>
      </c>
      <c r="Z184" s="7" t="n">
        <v>412.6</v>
      </c>
      <c r="AB184" s="7" t="n">
        <v>3876.7</v>
      </c>
    </row>
    <row r="185">
      <c r="A185" s="4" t="inlineStr">
        <is>
          <t>职工教育经费</t>
        </is>
      </c>
      <c r="D185" s="7" t="n">
        <v>32.6</v>
      </c>
      <c r="F185" s="7" t="n">
        <v>34.6</v>
      </c>
      <c r="H185" s="7" t="n">
        <v>71.7</v>
      </c>
      <c r="J185" s="7" t="n">
        <v>80.7</v>
      </c>
      <c r="L185" s="7" t="n">
        <v>177.6</v>
      </c>
      <c r="N185" s="7" t="n">
        <v>217.1</v>
      </c>
      <c r="P185" s="7" t="n">
        <v>210.2</v>
      </c>
      <c r="R185" s="7" t="n">
        <v>163.6</v>
      </c>
      <c r="T185" s="7" t="n">
        <v>82.40000000000001</v>
      </c>
      <c r="V185" s="7" t="n">
        <v>155.1</v>
      </c>
      <c r="X185" s="7" t="n">
        <v>37.3</v>
      </c>
      <c r="Z185" s="7" t="n">
        <v>111.4</v>
      </c>
      <c r="AB185" s="7" t="n">
        <v>1374.3</v>
      </c>
    </row>
    <row r="186">
      <c r="A186" s="4" t="inlineStr">
        <is>
          <t>福利费</t>
        </is>
      </c>
      <c r="D186" s="7" t="n">
        <v>378.9</v>
      </c>
      <c r="F186" s="7" t="n">
        <v>479.9</v>
      </c>
      <c r="H186" s="7" t="n">
        <v>1248.4</v>
      </c>
      <c r="J186" s="7" t="n">
        <v>981.5</v>
      </c>
      <c r="L186" s="7" t="n">
        <v>2211.2</v>
      </c>
      <c r="N186" s="7" t="n">
        <v>2316</v>
      </c>
      <c r="P186" s="7" t="n">
        <v>2239.6</v>
      </c>
      <c r="R186" s="7" t="n">
        <v>1642.3</v>
      </c>
      <c r="T186" s="7" t="n">
        <v>819.4</v>
      </c>
      <c r="V186" s="7" t="n">
        <v>1936.9</v>
      </c>
      <c r="X186" s="7" t="n">
        <v>561.3</v>
      </c>
      <c r="Z186" s="7" t="n">
        <v>1206.2</v>
      </c>
      <c r="AB186" s="7" t="n">
        <v>16021.6</v>
      </c>
    </row>
    <row r="187">
      <c r="A187" s="4" t="inlineStr">
        <is>
          <t>职工房租</t>
        </is>
      </c>
      <c r="D187" s="7" t="n">
        <v>31.6</v>
      </c>
      <c r="F187" s="7" t="n">
        <v>30.8</v>
      </c>
      <c r="H187" s="7" t="n">
        <v>97.59999999999999</v>
      </c>
      <c r="J187" s="7" t="n">
        <v>81.8</v>
      </c>
      <c r="L187" s="7" t="n">
        <v>131.6</v>
      </c>
      <c r="N187" s="7" t="n">
        <v>164.2</v>
      </c>
      <c r="P187" s="7" t="n">
        <v>131.8</v>
      </c>
      <c r="R187" s="7" t="n">
        <v>129.4</v>
      </c>
      <c r="T187" s="7" t="n">
        <v>50.8</v>
      </c>
      <c r="V187" s="7" t="n">
        <v>94.90000000000001</v>
      </c>
      <c r="X187" s="7" t="n">
        <v>40.5</v>
      </c>
      <c r="Z187" s="7" t="n">
        <v>93.09999999999999</v>
      </c>
      <c r="AB187" s="7" t="n">
        <v>1078.1</v>
      </c>
    </row>
    <row r="188">
      <c r="A188" s="4" t="inlineStr">
        <is>
          <t>水电物业费</t>
        </is>
      </c>
      <c r="D188" s="7" t="n">
        <v>47.5</v>
      </c>
      <c r="F188" s="7" t="n">
        <v>74.2</v>
      </c>
      <c r="H188" s="7" t="n">
        <v>136.3</v>
      </c>
      <c r="J188" s="7" t="n">
        <v>97.5</v>
      </c>
      <c r="L188" s="7" t="n">
        <v>242.6</v>
      </c>
      <c r="N188" s="7" t="n">
        <v>242</v>
      </c>
      <c r="P188" s="7" t="n">
        <v>292.7</v>
      </c>
      <c r="R188" s="7" t="n">
        <v>196.6</v>
      </c>
      <c r="T188" s="7" t="n">
        <v>98.2</v>
      </c>
      <c r="V188" s="7" t="n">
        <v>285.4</v>
      </c>
      <c r="X188" s="7" t="n">
        <v>86.7</v>
      </c>
      <c r="Z188" s="7" t="n">
        <v>132.9</v>
      </c>
      <c r="AB188" s="7" t="n">
        <v>1932.6</v>
      </c>
    </row>
    <row r="189">
      <c r="A189" s="4" t="inlineStr">
        <is>
          <t>员工餐</t>
        </is>
      </c>
      <c r="D189" s="7" t="n">
        <v>123.9</v>
      </c>
      <c r="F189" s="7" t="n">
        <v>157.8</v>
      </c>
      <c r="H189" s="7" t="n">
        <v>373.9</v>
      </c>
      <c r="J189" s="7" t="n">
        <v>263.7</v>
      </c>
      <c r="L189" s="7" t="n">
        <v>760.7</v>
      </c>
      <c r="N189" s="7" t="n">
        <v>711.5</v>
      </c>
      <c r="P189" s="7" t="n">
        <v>746.9</v>
      </c>
      <c r="R189" s="7" t="n">
        <v>447.9</v>
      </c>
      <c r="T189" s="7" t="n">
        <v>218.4</v>
      </c>
      <c r="V189" s="7" t="n">
        <v>651.8</v>
      </c>
      <c r="X189" s="7" t="n">
        <v>129.7</v>
      </c>
      <c r="Z189" s="7" t="n">
        <v>273.6</v>
      </c>
      <c r="AB189" s="7" t="n">
        <v>4859.8</v>
      </c>
    </row>
    <row r="190">
      <c r="A190" s="4" t="inlineStr">
        <is>
          <t>节日礼品</t>
        </is>
      </c>
      <c r="D190" s="7" t="n">
        <v>38.2</v>
      </c>
      <c r="F190" s="7" t="n">
        <v>30.3</v>
      </c>
      <c r="H190" s="7" t="n">
        <v>98.40000000000001</v>
      </c>
      <c r="J190" s="7" t="n">
        <v>93.3</v>
      </c>
      <c r="L190" s="7" t="n">
        <v>190.2</v>
      </c>
      <c r="N190" s="7" t="n">
        <v>135.4</v>
      </c>
      <c r="P190" s="7" t="n">
        <v>168.9</v>
      </c>
      <c r="R190" s="7" t="n">
        <v>134.9</v>
      </c>
      <c r="T190" s="7" t="n">
        <v>63.5</v>
      </c>
      <c r="V190" s="7" t="n">
        <v>196</v>
      </c>
      <c r="X190" s="7" t="n">
        <v>58.7</v>
      </c>
      <c r="Z190" s="7" t="n">
        <v>128</v>
      </c>
      <c r="AB190" s="7" t="n">
        <v>1335.8</v>
      </c>
    </row>
    <row r="191">
      <c r="A191" s="4" t="inlineStr">
        <is>
          <t>生日礼品</t>
        </is>
      </c>
      <c r="D191" s="7" t="n">
        <v>14.9</v>
      </c>
      <c r="F191" s="7" t="n">
        <v>19.6</v>
      </c>
      <c r="H191" s="7" t="n">
        <v>79.2</v>
      </c>
      <c r="J191" s="7" t="n">
        <v>43.7</v>
      </c>
      <c r="L191" s="7" t="n">
        <v>99.90000000000001</v>
      </c>
      <c r="N191" s="7" t="n">
        <v>79.3</v>
      </c>
      <c r="P191" s="7" t="n">
        <v>90.40000000000001</v>
      </c>
      <c r="R191" s="7" t="n">
        <v>79.90000000000001</v>
      </c>
      <c r="T191" s="7" t="n">
        <v>36.5</v>
      </c>
      <c r="V191" s="7" t="n">
        <v>104.9</v>
      </c>
      <c r="X191" s="7" t="n">
        <v>31.6</v>
      </c>
      <c r="Z191" s="7" t="n">
        <v>57.6</v>
      </c>
      <c r="AB191" s="7" t="n">
        <v>737.5</v>
      </c>
    </row>
    <row r="192">
      <c r="A192" s="4" t="inlineStr">
        <is>
          <t>体检</t>
        </is>
      </c>
      <c r="D192" s="7" t="n">
        <v>93.90000000000001</v>
      </c>
      <c r="F192" s="7" t="n">
        <v>121.3</v>
      </c>
      <c r="H192" s="7" t="n">
        <v>335.4</v>
      </c>
      <c r="J192" s="7" t="n">
        <v>295</v>
      </c>
      <c r="L192" s="7" t="n">
        <v>615.4</v>
      </c>
      <c r="N192" s="7" t="n">
        <v>731.5</v>
      </c>
      <c r="P192" s="7" t="n">
        <v>605.8</v>
      </c>
      <c r="R192" s="7" t="n">
        <v>530.1</v>
      </c>
      <c r="T192" s="7" t="n">
        <v>277</v>
      </c>
      <c r="V192" s="7" t="n">
        <v>451.6</v>
      </c>
      <c r="X192" s="7" t="n">
        <v>142.5</v>
      </c>
      <c r="Z192" s="7" t="n">
        <v>388.8</v>
      </c>
      <c r="AB192" s="7" t="n">
        <v>4588.3</v>
      </c>
    </row>
    <row r="193">
      <c r="A193" s="4" t="inlineStr">
        <is>
          <t>其他福利支出</t>
        </is>
      </c>
      <c r="D193" s="7" t="n">
        <v>28.9</v>
      </c>
      <c r="F193" s="7" t="n">
        <v>45.9</v>
      </c>
      <c r="H193" s="7" t="n">
        <v>127.6</v>
      </c>
      <c r="J193" s="7" t="n">
        <v>106.5</v>
      </c>
      <c r="L193" s="7" t="n">
        <v>170.8</v>
      </c>
      <c r="N193" s="7" t="n">
        <v>252.1</v>
      </c>
      <c r="P193" s="7" t="n">
        <v>203.1</v>
      </c>
      <c r="R193" s="7" t="n">
        <v>123.5</v>
      </c>
      <c r="T193" s="7" t="n">
        <v>75</v>
      </c>
      <c r="V193" s="7" t="n">
        <v>152.3</v>
      </c>
      <c r="X193" s="7" t="n">
        <v>71.59999999999999</v>
      </c>
      <c r="Z193" s="7" t="n">
        <v>132.2</v>
      </c>
      <c r="AB193" s="7" t="n">
        <v>1489.5</v>
      </c>
    </row>
    <row r="194">
      <c r="A194" s="4" t="inlineStr">
        <is>
          <t>招聘费</t>
        </is>
      </c>
      <c r="D194" s="7" t="n">
        <v>57.3</v>
      </c>
      <c r="F194" s="7" t="n">
        <v>65.3</v>
      </c>
      <c r="H194" s="7" t="n">
        <v>174.4</v>
      </c>
      <c r="J194" s="7" t="n">
        <v>115.5</v>
      </c>
      <c r="L194" s="7" t="n">
        <v>297.3</v>
      </c>
      <c r="N194" s="7" t="n">
        <v>407.8</v>
      </c>
      <c r="P194" s="7" t="n">
        <v>312.9</v>
      </c>
      <c r="R194" s="7" t="n">
        <v>282.9</v>
      </c>
      <c r="T194" s="7" t="n">
        <v>129.2</v>
      </c>
      <c r="V194" s="7" t="n">
        <v>235.2</v>
      </c>
      <c r="X194" s="7" t="n">
        <v>74.7</v>
      </c>
      <c r="Z194" s="7" t="n">
        <v>183.7</v>
      </c>
      <c r="AB194" s="7" t="n">
        <v>2336.2</v>
      </c>
    </row>
    <row r="195">
      <c r="A195" s="4" t="inlineStr">
        <is>
          <t>办公费</t>
        </is>
      </c>
      <c r="D195" s="7" t="n">
        <v>454.3</v>
      </c>
      <c r="F195" s="7" t="n">
        <v>687.5</v>
      </c>
      <c r="H195" s="7" t="n">
        <v>1871.7</v>
      </c>
      <c r="J195" s="7" t="n">
        <v>1379.5</v>
      </c>
      <c r="L195" s="7" t="n">
        <v>3234</v>
      </c>
      <c r="N195" s="7" t="n">
        <v>2924.3</v>
      </c>
      <c r="P195" s="7" t="n">
        <v>3021.3</v>
      </c>
      <c r="R195" s="7" t="n">
        <v>1685.7</v>
      </c>
      <c r="T195" s="7" t="n">
        <v>1398.4</v>
      </c>
      <c r="V195" s="7" t="n">
        <v>3193.2</v>
      </c>
      <c r="X195" s="7" t="n">
        <v>842.4</v>
      </c>
      <c r="Z195" s="7" t="n">
        <v>1305.2</v>
      </c>
      <c r="AB195" s="7" t="n">
        <v>21997.5</v>
      </c>
    </row>
    <row r="196">
      <c r="A196" s="4" t="inlineStr">
        <is>
          <t>市内交通费</t>
        </is>
      </c>
      <c r="D196" s="7" t="n">
        <v>8.4</v>
      </c>
      <c r="F196" s="7" t="n">
        <v>8.699999999999999</v>
      </c>
      <c r="H196" s="7" t="n">
        <v>19.4</v>
      </c>
      <c r="J196" s="7" t="n">
        <v>14.3</v>
      </c>
      <c r="L196" s="7" t="n">
        <v>29.3</v>
      </c>
      <c r="N196" s="7" t="n">
        <v>37</v>
      </c>
      <c r="P196" s="7" t="n">
        <v>34.5</v>
      </c>
      <c r="R196" s="7" t="n">
        <v>21.1</v>
      </c>
      <c r="T196" s="7" t="n">
        <v>16.2</v>
      </c>
      <c r="V196" s="7" t="n">
        <v>34.4</v>
      </c>
      <c r="X196" s="7" t="n">
        <v>11.8</v>
      </c>
      <c r="Z196" s="7" t="n">
        <v>15.6</v>
      </c>
      <c r="AB196" s="7" t="n">
        <v>250.7</v>
      </c>
    </row>
    <row r="197">
      <c r="A197" s="4" t="inlineStr">
        <is>
          <t>差旅费</t>
        </is>
      </c>
      <c r="D197" s="7" t="n">
        <v>963.3</v>
      </c>
      <c r="F197" s="7" t="n">
        <v>1054</v>
      </c>
      <c r="H197" s="7" t="n">
        <v>4121.3</v>
      </c>
      <c r="J197" s="7" t="n">
        <v>3140.7</v>
      </c>
      <c r="L197" s="7" t="n">
        <v>4678.4</v>
      </c>
      <c r="N197" s="7" t="n">
        <v>6910.2</v>
      </c>
      <c r="P197" s="7" t="n">
        <v>7772.4</v>
      </c>
      <c r="R197" s="7" t="n">
        <v>4219.4</v>
      </c>
      <c r="T197" s="7" t="n">
        <v>2093.3</v>
      </c>
      <c r="V197" s="7" t="n">
        <v>6743.8</v>
      </c>
      <c r="X197" s="7" t="n">
        <v>1214.9</v>
      </c>
      <c r="Z197" s="7" t="n">
        <v>3531.1</v>
      </c>
      <c r="AB197" s="7" t="n">
        <v>46442.8</v>
      </c>
    </row>
    <row r="198">
      <c r="A198" s="4" t="inlineStr">
        <is>
          <t>交通费</t>
        </is>
      </c>
      <c r="D198" s="7" t="n">
        <v>67.59999999999999</v>
      </c>
      <c r="F198" s="7" t="n">
        <v>70.5</v>
      </c>
      <c r="H198" s="7" t="n">
        <v>287.6</v>
      </c>
      <c r="J198" s="7" t="n">
        <v>182.9</v>
      </c>
      <c r="L198" s="7" t="n">
        <v>319.6</v>
      </c>
      <c r="N198" s="7" t="n">
        <v>386.5</v>
      </c>
      <c r="P198" s="7" t="n">
        <v>474.7</v>
      </c>
      <c r="R198" s="7" t="n">
        <v>432.1</v>
      </c>
      <c r="T198" s="7" t="n">
        <v>171.5</v>
      </c>
      <c r="V198" s="7" t="n">
        <v>287.4</v>
      </c>
      <c r="X198" s="7" t="n">
        <v>100.3</v>
      </c>
      <c r="Z198" s="7" t="n">
        <v>252.5</v>
      </c>
      <c r="AB198" s="7" t="n">
        <v>3033.2</v>
      </c>
    </row>
    <row r="199">
      <c r="A199" s="4" t="inlineStr">
        <is>
          <t>住宿费</t>
        </is>
      </c>
      <c r="D199" s="7" t="n">
        <v>149.9</v>
      </c>
      <c r="F199" s="7" t="n">
        <v>173.4</v>
      </c>
      <c r="H199" s="7" t="n">
        <v>397.7</v>
      </c>
      <c r="J199" s="7" t="n">
        <v>403.5</v>
      </c>
      <c r="L199" s="7" t="n">
        <v>667.9</v>
      </c>
      <c r="N199" s="7" t="n">
        <v>816.1</v>
      </c>
      <c r="P199" s="7" t="n">
        <v>737.5</v>
      </c>
      <c r="R199" s="7" t="n">
        <v>493.7</v>
      </c>
      <c r="T199" s="7" t="n">
        <v>274.3</v>
      </c>
      <c r="V199" s="7" t="n">
        <v>454</v>
      </c>
      <c r="X199" s="7" t="n">
        <v>220.8</v>
      </c>
      <c r="Z199" s="7" t="n">
        <v>418.8</v>
      </c>
      <c r="AB199" s="7" t="n">
        <v>5207.6</v>
      </c>
    </row>
    <row r="200">
      <c r="A200" s="4" t="inlineStr">
        <is>
          <t>餐补</t>
        </is>
      </c>
      <c r="D200" s="7" t="n">
        <v>25</v>
      </c>
      <c r="F200" s="7" t="n">
        <v>25.7</v>
      </c>
      <c r="H200" s="7" t="n">
        <v>66.3</v>
      </c>
      <c r="J200" s="7" t="n">
        <v>51.4</v>
      </c>
      <c r="L200" s="7" t="n">
        <v>115.2</v>
      </c>
      <c r="N200" s="7" t="n">
        <v>148.8</v>
      </c>
      <c r="P200" s="7" t="n">
        <v>119.2</v>
      </c>
      <c r="R200" s="7" t="n">
        <v>98.40000000000001</v>
      </c>
      <c r="T200" s="7" t="n">
        <v>41.2</v>
      </c>
      <c r="V200" s="7" t="n">
        <v>108.8</v>
      </c>
      <c r="X200" s="7" t="n">
        <v>24.6</v>
      </c>
      <c r="Z200" s="7" t="n">
        <v>63.2</v>
      </c>
      <c r="AB200" s="7" t="n">
        <v>887.8</v>
      </c>
    </row>
    <row r="201">
      <c r="A201" s="4" t="inlineStr">
        <is>
          <t>交通补助</t>
        </is>
      </c>
      <c r="D201" s="7" t="n">
        <v>39</v>
      </c>
      <c r="F201" s="7" t="n">
        <v>60.6</v>
      </c>
      <c r="H201" s="7" t="n">
        <v>173.7</v>
      </c>
      <c r="J201" s="7" t="n">
        <v>103.3</v>
      </c>
      <c r="L201" s="7" t="n">
        <v>229.6</v>
      </c>
      <c r="N201" s="7" t="n">
        <v>315.5</v>
      </c>
      <c r="P201" s="7" t="n">
        <v>368.2</v>
      </c>
      <c r="R201" s="7" t="n">
        <v>238.5</v>
      </c>
      <c r="T201" s="7" t="n">
        <v>79.5</v>
      </c>
      <c r="V201" s="7" t="n">
        <v>301.2</v>
      </c>
      <c r="X201" s="7" t="n">
        <v>102.4</v>
      </c>
      <c r="Z201" s="7" t="n">
        <v>162.3</v>
      </c>
      <c r="AB201" s="7" t="n">
        <v>2173.8</v>
      </c>
    </row>
    <row r="202">
      <c r="A202" s="4" t="inlineStr">
        <is>
          <t>通讯补助</t>
        </is>
      </c>
      <c r="D202" s="7" t="n">
        <v>80.09999999999999</v>
      </c>
      <c r="F202" s="7" t="n">
        <v>136.5</v>
      </c>
      <c r="H202" s="7" t="n">
        <v>260.3</v>
      </c>
      <c r="J202" s="7" t="n">
        <v>302</v>
      </c>
      <c r="L202" s="7" t="n">
        <v>444.1</v>
      </c>
      <c r="N202" s="7" t="n">
        <v>449.2</v>
      </c>
      <c r="P202" s="7" t="n">
        <v>569.8</v>
      </c>
      <c r="R202" s="7" t="n">
        <v>353.8</v>
      </c>
      <c r="T202" s="7" t="n">
        <v>137.6</v>
      </c>
      <c r="V202" s="7" t="n">
        <v>450.5</v>
      </c>
      <c r="X202" s="7" t="n">
        <v>124.3</v>
      </c>
      <c r="Z202" s="7" t="n">
        <v>318.6</v>
      </c>
      <c r="AB202" s="7" t="n">
        <v>3626.8</v>
      </c>
    </row>
    <row r="203">
      <c r="A203" s="4" t="inlineStr">
        <is>
          <t>招待费</t>
        </is>
      </c>
      <c r="D203" s="7" t="n">
        <v>705</v>
      </c>
      <c r="F203" s="7" t="n">
        <v>1008.8</v>
      </c>
      <c r="H203" s="7" t="n">
        <v>2814.2</v>
      </c>
      <c r="J203" s="7" t="n">
        <v>1820.5</v>
      </c>
      <c r="L203" s="7" t="n">
        <v>4328.3</v>
      </c>
      <c r="N203" s="7" t="n">
        <v>3674.7</v>
      </c>
      <c r="P203" s="7" t="n">
        <v>4005.3</v>
      </c>
      <c r="R203" s="7" t="n">
        <v>3992.2</v>
      </c>
      <c r="T203" s="7" t="n">
        <v>1711.3</v>
      </c>
      <c r="V203" s="7" t="n">
        <v>3218.2</v>
      </c>
      <c r="X203" s="7" t="n">
        <v>1131.2</v>
      </c>
      <c r="Z203" s="7" t="n">
        <v>2602.1</v>
      </c>
      <c r="AB203" s="7" t="n">
        <v>31011.8</v>
      </c>
    </row>
    <row r="204">
      <c r="A204" s="4" t="inlineStr">
        <is>
          <t>通讯费</t>
        </is>
      </c>
      <c r="D204" s="7" t="n">
        <v>92.59999999999999</v>
      </c>
      <c r="F204" s="7" t="n">
        <v>98.3</v>
      </c>
      <c r="H204" s="7" t="n">
        <v>230.2</v>
      </c>
      <c r="J204" s="7" t="n">
        <v>154.2</v>
      </c>
      <c r="L204" s="7" t="n">
        <v>315.8</v>
      </c>
      <c r="N204" s="7" t="n">
        <v>501</v>
      </c>
      <c r="P204" s="7" t="n">
        <v>367.1</v>
      </c>
      <c r="R204" s="7" t="n">
        <v>322.9</v>
      </c>
      <c r="T204" s="7" t="n">
        <v>140.1</v>
      </c>
      <c r="V204" s="7" t="n">
        <v>238.6</v>
      </c>
      <c r="X204" s="7" t="n">
        <v>131.6</v>
      </c>
      <c r="Z204" s="7" t="n">
        <v>178.5</v>
      </c>
      <c r="AB204" s="7" t="n">
        <v>2770.9</v>
      </c>
    </row>
    <row r="205">
      <c r="A205" s="4" t="inlineStr">
        <is>
          <t>网络费</t>
        </is>
      </c>
      <c r="D205" s="7" t="n">
        <v>9.4</v>
      </c>
      <c r="F205" s="7" t="n">
        <v>17.8</v>
      </c>
      <c r="H205" s="7" t="n">
        <v>37.5</v>
      </c>
      <c r="J205" s="7" t="n">
        <v>38.4</v>
      </c>
      <c r="L205" s="7" t="n">
        <v>76.3</v>
      </c>
      <c r="N205" s="7" t="n">
        <v>78.2</v>
      </c>
      <c r="P205" s="7" t="n">
        <v>77.09999999999999</v>
      </c>
      <c r="R205" s="7" t="n">
        <v>42.6</v>
      </c>
      <c r="T205" s="7" t="n">
        <v>30.9</v>
      </c>
      <c r="V205" s="7" t="n">
        <v>44.2</v>
      </c>
      <c r="X205" s="7" t="n">
        <v>22.5</v>
      </c>
      <c r="Z205" s="7" t="n">
        <v>43.4</v>
      </c>
      <c r="AB205" s="7" t="n">
        <v>518.3</v>
      </c>
    </row>
    <row r="206">
      <c r="A206" s="4" t="inlineStr">
        <is>
          <t>修理费</t>
        </is>
      </c>
      <c r="D206" s="7" t="n">
        <v>39.7</v>
      </c>
      <c r="F206" s="7" t="n">
        <v>65.7</v>
      </c>
      <c r="H206" s="7" t="n">
        <v>127.1</v>
      </c>
      <c r="J206" s="7" t="n">
        <v>174.7</v>
      </c>
      <c r="L206" s="7" t="n">
        <v>191.5</v>
      </c>
      <c r="N206" s="7" t="n">
        <v>332.3</v>
      </c>
      <c r="P206" s="7" t="n">
        <v>313.4</v>
      </c>
      <c r="R206" s="7" t="n">
        <v>264.9</v>
      </c>
      <c r="T206" s="7" t="n">
        <v>135.9</v>
      </c>
      <c r="V206" s="7" t="n">
        <v>213.7</v>
      </c>
      <c r="X206" s="7" t="n">
        <v>88.7</v>
      </c>
      <c r="Z206" s="7" t="n">
        <v>151.6</v>
      </c>
      <c r="AB206" s="7" t="n">
        <v>2099.2</v>
      </c>
    </row>
    <row r="207">
      <c r="A207" s="4" t="inlineStr">
        <is>
          <t>车辆费</t>
        </is>
      </c>
      <c r="D207" s="7" t="n">
        <v>132.1</v>
      </c>
      <c r="F207" s="7" t="n">
        <v>118.7</v>
      </c>
      <c r="H207" s="7" t="n">
        <v>331.4</v>
      </c>
      <c r="J207" s="7" t="n">
        <v>327.6</v>
      </c>
      <c r="L207" s="7" t="n">
        <v>528.4</v>
      </c>
      <c r="N207" s="7" t="n">
        <v>554.5</v>
      </c>
      <c r="P207" s="7" t="n">
        <v>552.8</v>
      </c>
      <c r="R207" s="7" t="n">
        <v>615.4</v>
      </c>
      <c r="T207" s="7" t="n">
        <v>302.5</v>
      </c>
      <c r="V207" s="7" t="n">
        <v>459.4</v>
      </c>
      <c r="X207" s="7" t="n">
        <v>195.7</v>
      </c>
      <c r="Z207" s="7" t="n">
        <v>414.9</v>
      </c>
      <c r="AB207" s="7" t="n">
        <v>4533.4</v>
      </c>
    </row>
    <row r="208">
      <c r="A208" s="4" t="inlineStr">
        <is>
          <t>租赁费</t>
        </is>
      </c>
      <c r="D208" s="7" t="n">
        <v>1074</v>
      </c>
      <c r="F208" s="7" t="n">
        <v>918.1</v>
      </c>
      <c r="H208" s="7" t="n">
        <v>3559.7</v>
      </c>
      <c r="J208" s="7" t="n">
        <v>3244</v>
      </c>
      <c r="L208" s="7" t="n">
        <v>4280.1</v>
      </c>
      <c r="N208" s="7" t="n">
        <v>4921.9</v>
      </c>
      <c r="P208" s="7" t="n">
        <v>5496.3</v>
      </c>
      <c r="R208" s="7" t="n">
        <v>2967.7</v>
      </c>
      <c r="T208" s="7" t="n">
        <v>1596.2</v>
      </c>
      <c r="V208" s="7" t="n">
        <v>4944.2</v>
      </c>
      <c r="X208" s="7" t="n">
        <v>1793</v>
      </c>
      <c r="Z208" s="7" t="n">
        <v>3222.8</v>
      </c>
      <c r="AB208" s="7" t="n">
        <v>38018</v>
      </c>
    </row>
    <row r="209">
      <c r="A209" s="4" t="inlineStr">
        <is>
          <t>能源费</t>
        </is>
      </c>
      <c r="D209" s="7" t="n">
        <v>190.5</v>
      </c>
      <c r="F209" s="7" t="n">
        <v>153.3</v>
      </c>
      <c r="H209" s="7" t="n">
        <v>503.1</v>
      </c>
      <c r="J209" s="7" t="n">
        <v>496.8</v>
      </c>
      <c r="L209" s="7" t="n">
        <v>942.5</v>
      </c>
      <c r="N209" s="7" t="n">
        <v>848.4</v>
      </c>
      <c r="P209" s="7" t="n">
        <v>874.5</v>
      </c>
      <c r="R209" s="7" t="n">
        <v>584.2</v>
      </c>
      <c r="T209" s="7" t="n">
        <v>382.1</v>
      </c>
      <c r="V209" s="7" t="n">
        <v>614.2</v>
      </c>
      <c r="X209" s="7" t="n">
        <v>253.1</v>
      </c>
      <c r="Z209" s="7" t="n">
        <v>569.1</v>
      </c>
      <c r="AB209" s="7" t="n">
        <v>6411.8</v>
      </c>
    </row>
    <row r="210">
      <c r="A210" s="4" t="inlineStr">
        <is>
          <t>水费</t>
        </is>
      </c>
      <c r="D210" s="7" t="n">
        <v>11.7</v>
      </c>
      <c r="F210" s="7" t="n">
        <v>10.1</v>
      </c>
      <c r="H210" s="7" t="n">
        <v>23.7</v>
      </c>
      <c r="J210" s="7" t="n">
        <v>22.6</v>
      </c>
      <c r="L210" s="7" t="n">
        <v>50.8</v>
      </c>
      <c r="N210" s="7" t="n">
        <v>48</v>
      </c>
      <c r="P210" s="7" t="n">
        <v>45.7</v>
      </c>
      <c r="R210" s="7" t="n">
        <v>51.7</v>
      </c>
      <c r="T210" s="7" t="n">
        <v>25.3</v>
      </c>
      <c r="V210" s="7" t="n">
        <v>37.9</v>
      </c>
      <c r="X210" s="7" t="n">
        <v>16.5</v>
      </c>
      <c r="Z210" s="7" t="n">
        <v>22.5</v>
      </c>
      <c r="AB210" s="7" t="n">
        <v>366.5</v>
      </c>
    </row>
    <row r="211">
      <c r="A211" s="4" t="inlineStr">
        <is>
          <t>电费</t>
        </is>
      </c>
      <c r="D211" s="7" t="n">
        <v>142.8</v>
      </c>
      <c r="F211" s="7" t="n">
        <v>95.09999999999999</v>
      </c>
      <c r="H211" s="7" t="n">
        <v>358.5</v>
      </c>
      <c r="J211" s="7" t="n">
        <v>363.5</v>
      </c>
      <c r="L211" s="7" t="n">
        <v>672.6</v>
      </c>
      <c r="N211" s="7" t="n">
        <v>595.4</v>
      </c>
      <c r="P211" s="7" t="n">
        <v>574.2</v>
      </c>
      <c r="R211" s="7" t="n">
        <v>335</v>
      </c>
      <c r="T211" s="7" t="n">
        <v>251.5</v>
      </c>
      <c r="V211" s="7" t="n">
        <v>380.6</v>
      </c>
      <c r="X211" s="7" t="n">
        <v>161.5</v>
      </c>
      <c r="Z211" s="7" t="n">
        <v>424.4</v>
      </c>
      <c r="AB211" s="7" t="n">
        <v>4355.1</v>
      </c>
    </row>
    <row r="212">
      <c r="A212" s="4" t="inlineStr">
        <is>
          <t>燃气费</t>
        </is>
      </c>
      <c r="D212" s="7" t="n">
        <v>24.2</v>
      </c>
      <c r="F212" s="7" t="n">
        <v>34.8</v>
      </c>
      <c r="H212" s="7" t="n">
        <v>88.7</v>
      </c>
      <c r="J212" s="7" t="n">
        <v>81.59999999999999</v>
      </c>
      <c r="L212" s="7" t="n">
        <v>186.9</v>
      </c>
      <c r="N212" s="7" t="n">
        <v>140.8</v>
      </c>
      <c r="P212" s="7" t="n">
        <v>189.7</v>
      </c>
      <c r="R212" s="7" t="n">
        <v>157.1</v>
      </c>
      <c r="T212" s="7" t="n">
        <v>85.2</v>
      </c>
      <c r="V212" s="7" t="n">
        <v>164.6</v>
      </c>
      <c r="X212" s="7" t="n">
        <v>60.9</v>
      </c>
      <c r="Z212" s="7" t="n">
        <v>86.2</v>
      </c>
      <c r="AB212" s="7" t="n">
        <v>1300.7</v>
      </c>
    </row>
    <row r="213">
      <c r="A213" s="4" t="inlineStr">
        <is>
          <t>蒸汽费</t>
        </is>
      </c>
      <c r="D213" s="7" t="n">
        <v>11.8</v>
      </c>
      <c r="F213" s="7" t="n">
        <v>13.3</v>
      </c>
      <c r="H213" s="7" t="n">
        <v>32.2</v>
      </c>
      <c r="J213" s="7" t="n">
        <v>29.1</v>
      </c>
      <c r="L213" s="7" t="n">
        <v>32.2</v>
      </c>
      <c r="N213" s="7" t="n">
        <v>64.2</v>
      </c>
      <c r="P213" s="7" t="n">
        <v>64.90000000000001</v>
      </c>
      <c r="R213" s="7" t="n">
        <v>40.4</v>
      </c>
      <c r="T213" s="7" t="n">
        <v>20.1</v>
      </c>
      <c r="V213" s="7" t="n">
        <v>31.1</v>
      </c>
      <c r="X213" s="7" t="n">
        <v>14.2</v>
      </c>
      <c r="Z213" s="7" t="n">
        <v>36</v>
      </c>
      <c r="AB213" s="7" t="n">
        <v>389.5</v>
      </c>
    </row>
    <row r="214">
      <c r="A214" s="4" t="inlineStr">
        <is>
          <t>物业费</t>
        </is>
      </c>
      <c r="D214" s="7" t="n">
        <v>25.1</v>
      </c>
      <c r="F214" s="7" t="n">
        <v>28.6</v>
      </c>
      <c r="H214" s="7" t="n">
        <v>107</v>
      </c>
      <c r="J214" s="7" t="n">
        <v>101.5</v>
      </c>
      <c r="L214" s="7" t="n">
        <v>159</v>
      </c>
      <c r="N214" s="7" t="n">
        <v>163</v>
      </c>
      <c r="P214" s="7" t="n">
        <v>229.5</v>
      </c>
      <c r="R214" s="7" t="n">
        <v>181.7</v>
      </c>
      <c r="T214" s="7" t="n">
        <v>49.8</v>
      </c>
      <c r="V214" s="7" t="n">
        <v>113</v>
      </c>
      <c r="X214" s="7" t="n">
        <v>59.4</v>
      </c>
      <c r="Z214" s="7" t="n">
        <v>125</v>
      </c>
      <c r="AB214" s="7" t="n">
        <v>1342.6</v>
      </c>
    </row>
    <row r="215">
      <c r="A215" s="4" t="inlineStr">
        <is>
          <t>劳动保护费</t>
        </is>
      </c>
      <c r="D215" s="7" t="n">
        <v>83.09999999999999</v>
      </c>
      <c r="F215" s="7" t="n">
        <v>86.8</v>
      </c>
      <c r="H215" s="7" t="n">
        <v>240.3</v>
      </c>
      <c r="J215" s="7" t="n">
        <v>189.7</v>
      </c>
      <c r="L215" s="7" t="n">
        <v>239.5</v>
      </c>
      <c r="N215" s="7" t="n">
        <v>423.1</v>
      </c>
      <c r="P215" s="7" t="n">
        <v>418.5</v>
      </c>
      <c r="R215" s="7" t="n">
        <v>268</v>
      </c>
      <c r="T215" s="7" t="n">
        <v>131.8</v>
      </c>
      <c r="V215" s="7" t="n">
        <v>238.2</v>
      </c>
      <c r="X215" s="7" t="n">
        <v>97</v>
      </c>
      <c r="Z215" s="7" t="n">
        <v>257.6</v>
      </c>
      <c r="AB215" s="7" t="n">
        <v>2673.6</v>
      </c>
    </row>
    <row r="216">
      <c r="A216" s="4" t="inlineStr">
        <is>
          <t>顾问费</t>
        </is>
      </c>
      <c r="D216" s="7" t="n">
        <v>115.7</v>
      </c>
      <c r="F216" s="7" t="n">
        <v>117.5</v>
      </c>
      <c r="H216" s="7" t="n">
        <v>372</v>
      </c>
      <c r="J216" s="7" t="n">
        <v>248.5</v>
      </c>
      <c r="L216" s="7" t="n">
        <v>505.4</v>
      </c>
      <c r="N216" s="7" t="n">
        <v>707</v>
      </c>
      <c r="P216" s="7" t="n">
        <v>576.2</v>
      </c>
      <c r="R216" s="7" t="n">
        <v>591</v>
      </c>
      <c r="T216" s="7" t="n">
        <v>312.6</v>
      </c>
      <c r="V216" s="7" t="n">
        <v>658.3</v>
      </c>
      <c r="X216" s="7" t="n">
        <v>192.9</v>
      </c>
      <c r="Z216" s="7" t="n">
        <v>495.3</v>
      </c>
      <c r="AB216" s="7" t="n">
        <v>4892.4</v>
      </c>
    </row>
    <row r="217">
      <c r="A217" s="4" t="inlineStr">
        <is>
          <t>快递费</t>
        </is>
      </c>
      <c r="D217" s="7" t="n">
        <v>2.2</v>
      </c>
      <c r="F217" s="7" t="n">
        <v>2.6</v>
      </c>
      <c r="H217" s="7" t="n">
        <v>4.4</v>
      </c>
      <c r="J217" s="7" t="n">
        <v>4</v>
      </c>
      <c r="L217" s="7" t="n">
        <v>7.4</v>
      </c>
      <c r="N217" s="7" t="n">
        <v>7.4</v>
      </c>
      <c r="P217" s="7" t="n">
        <v>9.5</v>
      </c>
      <c r="R217" s="7" t="n">
        <v>8.5</v>
      </c>
      <c r="T217" s="7" t="n">
        <v>3.3</v>
      </c>
      <c r="V217" s="7" t="n">
        <v>7.4</v>
      </c>
      <c r="X217" s="7" t="n">
        <v>3</v>
      </c>
      <c r="Z217" s="7" t="n">
        <v>5.7</v>
      </c>
      <c r="AB217" s="7" t="n">
        <v>65.40000000000001</v>
      </c>
    </row>
    <row r="218">
      <c r="A218" s="4" t="inlineStr">
        <is>
          <t>诉讼费</t>
        </is>
      </c>
      <c r="D218" s="7" t="n">
        <v>11.7</v>
      </c>
      <c r="F218" s="7" t="n">
        <v>15.2</v>
      </c>
      <c r="H218" s="7" t="n">
        <v>49.4</v>
      </c>
      <c r="J218" s="7" t="n">
        <v>42</v>
      </c>
      <c r="L218" s="7" t="n">
        <v>85.59999999999999</v>
      </c>
      <c r="N218" s="7" t="n">
        <v>76.40000000000001</v>
      </c>
      <c r="P218" s="7" t="n">
        <v>107.2</v>
      </c>
      <c r="R218" s="7" t="n">
        <v>53.3</v>
      </c>
      <c r="T218" s="7" t="n">
        <v>35.6</v>
      </c>
      <c r="V218" s="7" t="n">
        <v>88.2</v>
      </c>
      <c r="X218" s="7" t="n">
        <v>27</v>
      </c>
      <c r="Z218" s="7" t="n">
        <v>41.7</v>
      </c>
      <c r="AB218" s="7" t="n">
        <v>633.3</v>
      </c>
    </row>
    <row r="219">
      <c r="A219" s="4" t="inlineStr">
        <is>
          <t>会员费</t>
        </is>
      </c>
      <c r="D219" s="7" t="n">
        <v>85</v>
      </c>
      <c r="F219" s="7" t="n">
        <v>82.40000000000001</v>
      </c>
      <c r="H219" s="7" t="n">
        <v>287.8</v>
      </c>
      <c r="J219" s="7" t="n">
        <v>225.5</v>
      </c>
      <c r="L219" s="7" t="n">
        <v>293.4</v>
      </c>
      <c r="N219" s="7" t="n">
        <v>553.9</v>
      </c>
      <c r="P219" s="7" t="n">
        <v>514.9</v>
      </c>
      <c r="R219" s="7" t="n">
        <v>367.3</v>
      </c>
      <c r="T219" s="7" t="n">
        <v>146.4</v>
      </c>
      <c r="V219" s="7" t="n">
        <v>306.2</v>
      </c>
      <c r="X219" s="7" t="n">
        <v>96.5</v>
      </c>
      <c r="Z219" s="7" t="n">
        <v>327.2</v>
      </c>
      <c r="AB219" s="7" t="n">
        <v>3286.5</v>
      </c>
    </row>
    <row r="220">
      <c r="A220" s="4" t="inlineStr">
        <is>
          <t>广告宣传费</t>
        </is>
      </c>
      <c r="D220" s="7" t="n">
        <v>490.6</v>
      </c>
      <c r="F220" s="7" t="n">
        <v>767.3</v>
      </c>
      <c r="H220" s="7" t="n">
        <v>1488.3</v>
      </c>
      <c r="J220" s="7" t="n">
        <v>1454.2</v>
      </c>
      <c r="L220" s="7" t="n">
        <v>3336.7</v>
      </c>
      <c r="N220" s="7" t="n">
        <v>2454.2</v>
      </c>
      <c r="P220" s="7" t="n">
        <v>4128.1</v>
      </c>
      <c r="R220" s="7" t="n">
        <v>2681.1</v>
      </c>
      <c r="T220" s="7" t="n">
        <v>1286.8</v>
      </c>
      <c r="V220" s="7" t="n">
        <v>2534.5</v>
      </c>
      <c r="X220" s="7" t="n">
        <v>663.2</v>
      </c>
      <c r="Z220" s="7" t="n">
        <v>1780.5</v>
      </c>
      <c r="AB220" s="7" t="n">
        <v>23065.5</v>
      </c>
    </row>
    <row r="221">
      <c r="A221" s="4" t="inlineStr">
        <is>
          <t>会务费</t>
        </is>
      </c>
      <c r="D221" s="7" t="n">
        <v>3.7</v>
      </c>
      <c r="F221" s="7" t="n">
        <v>4.6</v>
      </c>
      <c r="H221" s="7" t="n">
        <v>15.9</v>
      </c>
      <c r="J221" s="7" t="n">
        <v>8.699999999999999</v>
      </c>
      <c r="L221" s="7" t="n">
        <v>17.9</v>
      </c>
      <c r="N221" s="7" t="n">
        <v>24.6</v>
      </c>
      <c r="P221" s="7" t="n">
        <v>23.6</v>
      </c>
      <c r="R221" s="7" t="n">
        <v>21.5</v>
      </c>
      <c r="T221" s="7" t="n">
        <v>8.1</v>
      </c>
      <c r="V221" s="7" t="n">
        <v>14</v>
      </c>
      <c r="X221" s="7" t="n">
        <v>5.2</v>
      </c>
      <c r="Z221" s="7" t="n">
        <v>10.7</v>
      </c>
      <c r="AB221" s="7" t="n">
        <v>158.5</v>
      </c>
    </row>
    <row r="222">
      <c r="A222" s="4" t="inlineStr">
        <is>
          <t>装修费</t>
        </is>
      </c>
      <c r="D222" s="7" t="n">
        <v>40.3</v>
      </c>
      <c r="F222" s="7" t="n">
        <v>55.8</v>
      </c>
      <c r="H222" s="7" t="n">
        <v>173.9</v>
      </c>
      <c r="J222" s="7" t="n">
        <v>134.8</v>
      </c>
      <c r="L222" s="7" t="n">
        <v>189.1</v>
      </c>
      <c r="N222" s="7" t="n">
        <v>313.7</v>
      </c>
      <c r="P222" s="7" t="n">
        <v>373.6</v>
      </c>
      <c r="R222" s="7" t="n">
        <v>283</v>
      </c>
      <c r="T222" s="7" t="n">
        <v>138.4</v>
      </c>
      <c r="V222" s="7" t="n">
        <v>291.4</v>
      </c>
      <c r="X222" s="7" t="n">
        <v>85.8</v>
      </c>
      <c r="Z222" s="7" t="n">
        <v>193.8</v>
      </c>
      <c r="AB222" s="7" t="n">
        <v>2273.6</v>
      </c>
    </row>
    <row r="223">
      <c r="A223" s="4" t="inlineStr">
        <is>
          <t>推广费</t>
        </is>
      </c>
      <c r="D223" s="7" t="n">
        <v>52.2</v>
      </c>
      <c r="F223" s="7" t="n">
        <v>48</v>
      </c>
      <c r="H223" s="7" t="n">
        <v>128.4</v>
      </c>
      <c r="J223" s="7" t="n">
        <v>133.5</v>
      </c>
      <c r="L223" s="7" t="n">
        <v>238.5</v>
      </c>
      <c r="N223" s="7" t="n">
        <v>171</v>
      </c>
      <c r="P223" s="7" t="n">
        <v>183</v>
      </c>
      <c r="R223" s="7" t="n">
        <v>166.6</v>
      </c>
      <c r="T223" s="7" t="n">
        <v>99.7</v>
      </c>
      <c r="V223" s="7" t="n">
        <v>215</v>
      </c>
      <c r="X223" s="7" t="n">
        <v>78.09999999999999</v>
      </c>
      <c r="Z223" s="7" t="n">
        <v>167.7</v>
      </c>
      <c r="AB223" s="7" t="n">
        <v>1681.7</v>
      </c>
    </row>
    <row r="224">
      <c r="A224" s="4" t="inlineStr">
        <is>
          <t>展会费</t>
        </is>
      </c>
      <c r="D224" s="7" t="n">
        <v>61.9</v>
      </c>
      <c r="F224" s="7" t="n">
        <v>70.7</v>
      </c>
      <c r="H224" s="7" t="n">
        <v>184.5</v>
      </c>
      <c r="J224" s="7" t="n">
        <v>127.2</v>
      </c>
      <c r="L224" s="7" t="n">
        <v>263.9</v>
      </c>
      <c r="N224" s="7" t="n">
        <v>363.3</v>
      </c>
      <c r="P224" s="7" t="n">
        <v>407.8</v>
      </c>
      <c r="R224" s="7" t="n">
        <v>189.1</v>
      </c>
      <c r="T224" s="7" t="n">
        <v>84.8</v>
      </c>
      <c r="V224" s="7" t="n">
        <v>311.6</v>
      </c>
      <c r="X224" s="7" t="n">
        <v>111.1</v>
      </c>
      <c r="Z224" s="7" t="n">
        <v>135.6</v>
      </c>
      <c r="AB224" s="7" t="n">
        <v>2311.5</v>
      </c>
    </row>
    <row r="225">
      <c r="A225" s="4" t="inlineStr">
        <is>
          <t>设计费</t>
        </is>
      </c>
      <c r="D225" s="7" t="n">
        <v>32.8</v>
      </c>
      <c r="F225" s="7" t="n">
        <v>33</v>
      </c>
      <c r="H225" s="7" t="n">
        <v>92.2</v>
      </c>
      <c r="J225" s="7" t="n">
        <v>92</v>
      </c>
      <c r="L225" s="7" t="n">
        <v>140.5</v>
      </c>
      <c r="N225" s="7" t="n">
        <v>187.1</v>
      </c>
      <c r="P225" s="7" t="n">
        <v>205</v>
      </c>
      <c r="R225" s="7" t="n">
        <v>155.3</v>
      </c>
      <c r="T225" s="7" t="n">
        <v>68.7</v>
      </c>
      <c r="V225" s="7" t="n">
        <v>110.3</v>
      </c>
      <c r="X225" s="7" t="n">
        <v>49.1</v>
      </c>
      <c r="Z225" s="7" t="n">
        <v>86.90000000000001</v>
      </c>
      <c r="AB225" s="7" t="n">
        <v>1252.9</v>
      </c>
    </row>
    <row r="226">
      <c r="A226" s="4" t="inlineStr">
        <is>
          <t>折旧费</t>
        </is>
      </c>
      <c r="D226" s="7" t="n">
        <v>670</v>
      </c>
      <c r="F226" s="7" t="n">
        <v>721.2</v>
      </c>
      <c r="H226" s="7" t="n">
        <v>2347.4</v>
      </c>
      <c r="J226" s="7" t="n">
        <v>2024</v>
      </c>
      <c r="L226" s="7" t="n">
        <v>3663.9</v>
      </c>
      <c r="N226" s="7" t="n">
        <v>5332.5</v>
      </c>
      <c r="P226" s="7" t="n">
        <v>4226.7</v>
      </c>
      <c r="R226" s="7" t="n">
        <v>3854.6</v>
      </c>
      <c r="T226" s="7" t="n">
        <v>1307.7</v>
      </c>
      <c r="V226" s="7" t="n">
        <v>2555.2</v>
      </c>
      <c r="X226" s="7" t="n">
        <v>1453.6</v>
      </c>
      <c r="Z226" s="7" t="n">
        <v>2056.9</v>
      </c>
      <c r="AB226" s="7" t="n">
        <v>30213.7</v>
      </c>
    </row>
    <row r="227">
      <c r="A227" s="4" t="inlineStr">
        <is>
          <t>认证费</t>
        </is>
      </c>
      <c r="D227" s="7" t="n">
        <v>69.40000000000001</v>
      </c>
      <c r="F227" s="7" t="n">
        <v>66</v>
      </c>
      <c r="H227" s="7" t="n">
        <v>194.1</v>
      </c>
      <c r="J227" s="7" t="n">
        <v>243.6</v>
      </c>
      <c r="L227" s="7" t="n">
        <v>323.9</v>
      </c>
      <c r="N227" s="7" t="n">
        <v>509.3</v>
      </c>
      <c r="P227" s="7" t="n">
        <v>332.3</v>
      </c>
      <c r="R227" s="7" t="n">
        <v>344.6</v>
      </c>
      <c r="T227" s="7" t="n">
        <v>124.1</v>
      </c>
      <c r="V227" s="7" t="n">
        <v>372.4</v>
      </c>
      <c r="X227" s="7" t="n">
        <v>84</v>
      </c>
      <c r="Z227" s="7" t="n">
        <v>182.7</v>
      </c>
      <c r="AB227" s="7" t="n">
        <v>2846.4</v>
      </c>
    </row>
    <row r="228">
      <c r="A228" s="4" t="inlineStr">
        <is>
          <t>样品费</t>
        </is>
      </c>
      <c r="D228" s="7" t="n">
        <v>282.1</v>
      </c>
      <c r="F228" s="7" t="n">
        <v>496.1</v>
      </c>
      <c r="H228" s="7" t="n">
        <v>1460.3</v>
      </c>
      <c r="J228" s="7" t="n">
        <v>1100.2</v>
      </c>
      <c r="L228" s="7" t="n">
        <v>1355.8</v>
      </c>
      <c r="N228" s="7" t="n">
        <v>2355.5</v>
      </c>
      <c r="P228" s="7" t="n">
        <v>1575.2</v>
      </c>
      <c r="R228" s="7" t="n">
        <v>1802.9</v>
      </c>
      <c r="T228" s="7" t="n">
        <v>673.3</v>
      </c>
      <c r="V228" s="7" t="n">
        <v>1485</v>
      </c>
      <c r="X228" s="7" t="n">
        <v>636.9</v>
      </c>
      <c r="Z228" s="7" t="n">
        <v>1442.5</v>
      </c>
      <c r="AB228" s="7" t="n">
        <v>14665.8</v>
      </c>
    </row>
    <row r="229">
      <c r="A229" s="4" t="inlineStr">
        <is>
          <t>劳务费</t>
        </is>
      </c>
      <c r="D229" s="7" t="n">
        <v>51.1</v>
      </c>
      <c r="F229" s="7" t="n">
        <v>54.9</v>
      </c>
      <c r="H229" s="7" t="n">
        <v>126.5</v>
      </c>
      <c r="J229" s="7" t="n">
        <v>90.8</v>
      </c>
      <c r="L229" s="7" t="n">
        <v>209.3</v>
      </c>
      <c r="N229" s="7" t="n">
        <v>243</v>
      </c>
      <c r="P229" s="7" t="n">
        <v>208.7</v>
      </c>
      <c r="R229" s="7" t="n">
        <v>165.7</v>
      </c>
      <c r="T229" s="7" t="n">
        <v>84.09999999999999</v>
      </c>
      <c r="V229" s="7" t="n">
        <v>240.3</v>
      </c>
      <c r="X229" s="7" t="n">
        <v>63.3</v>
      </c>
      <c r="Z229" s="7" t="n">
        <v>149.3</v>
      </c>
      <c r="AB229" s="7" t="n">
        <v>1687</v>
      </c>
    </row>
    <row r="230">
      <c r="A230" s="4" t="inlineStr">
        <is>
          <t>销售佣金</t>
        </is>
      </c>
      <c r="D230" s="7" t="n">
        <v>88</v>
      </c>
      <c r="F230" s="7" t="n">
        <v>114.9</v>
      </c>
      <c r="H230" s="7" t="n">
        <v>404.4</v>
      </c>
      <c r="J230" s="7" t="n">
        <v>271.6</v>
      </c>
      <c r="L230" s="7" t="n">
        <v>507.3</v>
      </c>
      <c r="N230" s="7" t="n">
        <v>652.9</v>
      </c>
      <c r="P230" s="7" t="n">
        <v>603.4</v>
      </c>
      <c r="R230" s="7" t="n">
        <v>589</v>
      </c>
      <c r="T230" s="7" t="n">
        <v>242.6</v>
      </c>
      <c r="V230" s="7" t="n">
        <v>397.3</v>
      </c>
      <c r="X230" s="7" t="n">
        <v>120.1</v>
      </c>
      <c r="Z230" s="7" t="n">
        <v>429.1</v>
      </c>
      <c r="AB230" s="7" t="n">
        <v>4420.6</v>
      </c>
    </row>
    <row r="231">
      <c r="A231" s="4" t="inlineStr">
        <is>
          <t>检测费</t>
        </is>
      </c>
      <c r="D231" s="7" t="n">
        <v>83.40000000000001</v>
      </c>
      <c r="F231" s="7" t="n">
        <v>142.3</v>
      </c>
      <c r="H231" s="7" t="n">
        <v>425.3</v>
      </c>
      <c r="J231" s="7" t="n">
        <v>315.9</v>
      </c>
      <c r="L231" s="7" t="n">
        <v>653.2</v>
      </c>
      <c r="N231" s="7" t="n">
        <v>626.1</v>
      </c>
      <c r="P231" s="7" t="n">
        <v>670.7</v>
      </c>
      <c r="R231" s="7" t="n">
        <v>432.9</v>
      </c>
      <c r="T231" s="7" t="n">
        <v>195.1</v>
      </c>
      <c r="V231" s="7" t="n">
        <v>622.7</v>
      </c>
      <c r="X231" s="7" t="n">
        <v>123.8</v>
      </c>
      <c r="Z231" s="7" t="n">
        <v>403.3</v>
      </c>
      <c r="AB231" s="7" t="n">
        <v>4694.7</v>
      </c>
    </row>
    <row r="232">
      <c r="A232" s="4" t="inlineStr">
        <is>
          <t>质量赔偿</t>
        </is>
      </c>
      <c r="D232" s="7" t="n">
        <v>63.3</v>
      </c>
      <c r="F232" s="7" t="n">
        <v>41.7</v>
      </c>
      <c r="H232" s="7" t="n">
        <v>112</v>
      </c>
      <c r="J232" s="7" t="n">
        <v>165.5</v>
      </c>
      <c r="L232" s="7" t="n">
        <v>195</v>
      </c>
      <c r="N232" s="7" t="n">
        <v>260.9</v>
      </c>
      <c r="P232" s="7" t="n">
        <v>279.2</v>
      </c>
      <c r="R232" s="7" t="n">
        <v>205.4</v>
      </c>
      <c r="T232" s="7" t="n">
        <v>93.5</v>
      </c>
      <c r="V232" s="7" t="n">
        <v>247.5</v>
      </c>
      <c r="X232" s="7" t="n">
        <v>86.90000000000001</v>
      </c>
      <c r="Z232" s="7" t="n">
        <v>150.9</v>
      </c>
      <c r="AB232" s="7" t="n">
        <v>1901.8</v>
      </c>
    </row>
    <row r="233">
      <c r="A233" s="4" t="inlineStr">
        <is>
          <t>保险费</t>
        </is>
      </c>
      <c r="D233" s="7" t="n">
        <v>6.5</v>
      </c>
      <c r="F233" s="7" t="n">
        <v>7.6</v>
      </c>
      <c r="H233" s="7" t="n">
        <v>19.5</v>
      </c>
      <c r="J233" s="7" t="n">
        <v>15.3</v>
      </c>
      <c r="L233" s="7" t="n">
        <v>37.9</v>
      </c>
      <c r="N233" s="7" t="n">
        <v>30.8</v>
      </c>
      <c r="P233" s="7" t="n">
        <v>30.5</v>
      </c>
      <c r="R233" s="7" t="n">
        <v>22.8</v>
      </c>
      <c r="T233" s="7" t="n">
        <v>15.4</v>
      </c>
      <c r="V233" s="7" t="n">
        <v>26.9</v>
      </c>
      <c r="X233" s="7" t="n">
        <v>9.4</v>
      </c>
      <c r="Z233" s="7" t="n">
        <v>23</v>
      </c>
      <c r="AB233" s="7" t="n">
        <v>245.6</v>
      </c>
    </row>
    <row r="234">
      <c r="A234" s="4" t="inlineStr">
        <is>
          <t>清洁费</t>
        </is>
      </c>
      <c r="D234" s="7" t="n">
        <v>12.5</v>
      </c>
      <c r="F234" s="7" t="n">
        <v>19.3</v>
      </c>
      <c r="H234" s="7" t="n">
        <v>55.8</v>
      </c>
      <c r="J234" s="7" t="n">
        <v>36.4</v>
      </c>
      <c r="L234" s="7" t="n">
        <v>64.5</v>
      </c>
      <c r="N234" s="7" t="n">
        <v>79.09999999999999</v>
      </c>
      <c r="P234" s="7" t="n">
        <v>101.1</v>
      </c>
      <c r="R234" s="7" t="n">
        <v>66</v>
      </c>
      <c r="T234" s="7" t="n">
        <v>31.7</v>
      </c>
      <c r="V234" s="7" t="n">
        <v>63.8</v>
      </c>
      <c r="X234" s="7" t="n">
        <v>20.7</v>
      </c>
      <c r="Z234" s="7" t="n">
        <v>46.8</v>
      </c>
      <c r="AB234" s="7" t="n">
        <v>597.7</v>
      </c>
    </row>
    <row r="235">
      <c r="A235" s="4" t="inlineStr">
        <is>
          <t>低值易耗品</t>
        </is>
      </c>
      <c r="D235" s="7" t="n">
        <v>82</v>
      </c>
      <c r="F235" s="7" t="n">
        <v>123.8</v>
      </c>
      <c r="H235" s="7" t="n">
        <v>379.4</v>
      </c>
      <c r="J235" s="7" t="n">
        <v>268.8</v>
      </c>
      <c r="L235" s="7" t="n">
        <v>532.6</v>
      </c>
      <c r="N235" s="7" t="n">
        <v>442.2</v>
      </c>
      <c r="P235" s="7" t="n">
        <v>496.4</v>
      </c>
      <c r="R235" s="7" t="n">
        <v>377.6</v>
      </c>
      <c r="T235" s="7" t="n">
        <v>189.5</v>
      </c>
      <c r="V235" s="7" t="n">
        <v>352.8</v>
      </c>
      <c r="X235" s="7" t="n">
        <v>148.6</v>
      </c>
      <c r="Z235" s="7" t="n">
        <v>415.3</v>
      </c>
      <c r="AB235" s="7" t="n">
        <v>3809</v>
      </c>
    </row>
    <row r="236">
      <c r="A236" s="4" t="inlineStr">
        <is>
          <t>物料消耗</t>
        </is>
      </c>
      <c r="D236" s="7" t="n">
        <v>79.5</v>
      </c>
      <c r="F236" s="7" t="n">
        <v>98.2</v>
      </c>
      <c r="H236" s="7" t="n">
        <v>281.1</v>
      </c>
      <c r="J236" s="7" t="n">
        <v>243.1</v>
      </c>
      <c r="L236" s="7" t="n">
        <v>250.4</v>
      </c>
      <c r="N236" s="7" t="n">
        <v>304</v>
      </c>
      <c r="P236" s="7" t="n">
        <v>346.6</v>
      </c>
      <c r="R236" s="7" t="n">
        <v>311.5</v>
      </c>
      <c r="T236" s="7" t="n">
        <v>187</v>
      </c>
      <c r="V236" s="7" t="n">
        <v>376</v>
      </c>
      <c r="X236" s="7" t="n">
        <v>84.3</v>
      </c>
      <c r="Z236" s="7" t="n">
        <v>161.6</v>
      </c>
      <c r="AB236" s="7" t="n">
        <v>2723.3</v>
      </c>
    </row>
    <row r="237">
      <c r="A237" s="4" t="inlineStr">
        <is>
          <t>盘盈盘亏</t>
        </is>
      </c>
      <c r="D237" s="7" t="n">
        <v>61.5</v>
      </c>
      <c r="F237" s="7" t="n">
        <v>81.8</v>
      </c>
      <c r="H237" s="7" t="n">
        <v>132.4</v>
      </c>
      <c r="J237" s="7" t="n">
        <v>181.2</v>
      </c>
      <c r="L237" s="7" t="n">
        <v>330.9</v>
      </c>
      <c r="N237" s="7" t="n">
        <v>366.2</v>
      </c>
      <c r="P237" s="7" t="n">
        <v>276.1</v>
      </c>
      <c r="R237" s="7" t="n">
        <v>212.7</v>
      </c>
      <c r="T237" s="7" t="n">
        <v>115.1</v>
      </c>
      <c r="V237" s="7" t="n">
        <v>277.1</v>
      </c>
      <c r="X237" s="7" t="n">
        <v>62.8</v>
      </c>
      <c r="Z237" s="7" t="n">
        <v>208.1</v>
      </c>
      <c r="AB237" s="7" t="n">
        <v>2305.9</v>
      </c>
    </row>
    <row r="238">
      <c r="A238" s="4" t="inlineStr">
        <is>
          <t>平台服务费</t>
        </is>
      </c>
      <c r="D238" s="7" t="n">
        <v>121.2</v>
      </c>
      <c r="F238" s="7" t="n">
        <v>140.8</v>
      </c>
      <c r="H238" s="7" t="n">
        <v>458.5</v>
      </c>
      <c r="J238" s="7" t="n">
        <v>224.9</v>
      </c>
      <c r="L238" s="7" t="n">
        <v>629.6</v>
      </c>
      <c r="N238" s="7" t="n">
        <v>560.3</v>
      </c>
      <c r="P238" s="7" t="n">
        <v>610.6</v>
      </c>
      <c r="R238" s="7" t="n">
        <v>444.7</v>
      </c>
      <c r="T238" s="7" t="n">
        <v>224.8</v>
      </c>
      <c r="V238" s="7" t="n">
        <v>614.7</v>
      </c>
      <c r="X238" s="7" t="n">
        <v>148</v>
      </c>
      <c r="Z238" s="7" t="n">
        <v>345</v>
      </c>
      <c r="AB238" s="7" t="n">
        <v>4523.1</v>
      </c>
    </row>
    <row r="239">
      <c r="A239" s="4" t="inlineStr">
        <is>
          <t>无形资产摊销</t>
        </is>
      </c>
      <c r="D239" s="7" t="n">
        <v>13.9</v>
      </c>
      <c r="F239" s="7" t="n">
        <v>22.9</v>
      </c>
      <c r="H239" s="7" t="n">
        <v>66.2</v>
      </c>
      <c r="J239" s="7" t="n">
        <v>58.5</v>
      </c>
      <c r="L239" s="7" t="n">
        <v>61.9</v>
      </c>
      <c r="N239" s="7" t="n">
        <v>113.8</v>
      </c>
      <c r="P239" s="7" t="n">
        <v>99.7</v>
      </c>
      <c r="R239" s="7" t="n">
        <v>65</v>
      </c>
      <c r="T239" s="7" t="n">
        <v>37.9</v>
      </c>
      <c r="V239" s="7" t="n">
        <v>71.09999999999999</v>
      </c>
      <c r="X239" s="7" t="n">
        <v>24.5</v>
      </c>
      <c r="Z239" s="7" t="n">
        <v>52.7</v>
      </c>
      <c r="AB239" s="7" t="n">
        <v>688.1</v>
      </c>
    </row>
    <row r="240">
      <c r="A240" s="4" t="inlineStr">
        <is>
          <t>研发材料</t>
        </is>
      </c>
      <c r="D240" s="7" t="n">
        <v>95.3</v>
      </c>
      <c r="F240" s="7" t="n">
        <v>65.3</v>
      </c>
      <c r="H240" s="7" t="n">
        <v>203.3</v>
      </c>
      <c r="J240" s="7" t="n">
        <v>183.1</v>
      </c>
      <c r="L240" s="7" t="n">
        <v>374.3</v>
      </c>
      <c r="N240" s="7" t="n">
        <v>497.6</v>
      </c>
      <c r="P240" s="7" t="n">
        <v>432.1</v>
      </c>
      <c r="R240" s="7" t="n">
        <v>371.6</v>
      </c>
      <c r="T240" s="7" t="n">
        <v>145.1</v>
      </c>
      <c r="V240" s="7" t="n">
        <v>299.5</v>
      </c>
      <c r="X240" s="7" t="n">
        <v>98.90000000000001</v>
      </c>
      <c r="Z240" s="7" t="n">
        <v>184.8</v>
      </c>
      <c r="AB240" s="7" t="n">
        <v>2950.9</v>
      </c>
    </row>
    <row r="241">
      <c r="A241" s="4" t="inlineStr">
        <is>
          <t>项目名称</t>
        </is>
      </c>
      <c r="D241" s="7" t="n">
        <v>21.8</v>
      </c>
      <c r="F241" s="7" t="n">
        <v>23.9</v>
      </c>
      <c r="H241" s="7" t="n">
        <v>72.90000000000001</v>
      </c>
      <c r="J241" s="7" t="n">
        <v>40.7</v>
      </c>
      <c r="L241" s="7" t="n">
        <v>88.8</v>
      </c>
      <c r="N241" s="7" t="n">
        <v>102.2</v>
      </c>
      <c r="P241" s="7" t="n">
        <v>107.4</v>
      </c>
      <c r="R241" s="7" t="n">
        <v>57</v>
      </c>
      <c r="T241" s="7" t="n">
        <v>32.2</v>
      </c>
      <c r="V241" s="7" t="n">
        <v>62.9</v>
      </c>
      <c r="X241" s="7" t="n">
        <v>23.3</v>
      </c>
      <c r="Z241" s="7" t="n">
        <v>53.7</v>
      </c>
      <c r="AB241" s="7" t="n">
        <v>686.8</v>
      </c>
    </row>
    <row r="242">
      <c r="A242" s="4" t="inlineStr">
        <is>
          <t>研发费</t>
        </is>
      </c>
      <c r="D242" s="7" t="n">
        <v>98.90000000000001</v>
      </c>
      <c r="F242" s="7" t="n">
        <v>162.2</v>
      </c>
      <c r="H242" s="7" t="n">
        <v>450.7</v>
      </c>
      <c r="J242" s="7" t="n">
        <v>351.1</v>
      </c>
      <c r="L242" s="7" t="n">
        <v>680.9</v>
      </c>
      <c r="N242" s="7" t="n">
        <v>665.3</v>
      </c>
      <c r="P242" s="7" t="n">
        <v>487.1</v>
      </c>
      <c r="R242" s="7" t="n">
        <v>382.1</v>
      </c>
      <c r="T242" s="7" t="n">
        <v>274.9</v>
      </c>
      <c r="V242" s="7" t="n">
        <v>581.6</v>
      </c>
      <c r="X242" s="7" t="n">
        <v>119.6</v>
      </c>
      <c r="Z242" s="7" t="n">
        <v>428.1</v>
      </c>
      <c r="AB242" s="7" t="n">
        <v>4682.5</v>
      </c>
    </row>
    <row r="243">
      <c r="A243" s="4" t="inlineStr">
        <is>
          <t>残保金</t>
        </is>
      </c>
      <c r="D243" s="7" t="n">
        <v>125.7</v>
      </c>
      <c r="F243" s="7" t="n">
        <v>165.8</v>
      </c>
      <c r="H243" s="7" t="n">
        <v>266</v>
      </c>
      <c r="J243" s="7" t="n">
        <v>396.3</v>
      </c>
      <c r="L243" s="7" t="n">
        <v>421</v>
      </c>
      <c r="N243" s="7" t="n">
        <v>539</v>
      </c>
      <c r="P243" s="7" t="n">
        <v>851.5</v>
      </c>
      <c r="R243" s="7" t="n">
        <v>524.1</v>
      </c>
      <c r="T243" s="7" t="n">
        <v>282.2</v>
      </c>
      <c r="V243" s="7" t="n">
        <v>553.8</v>
      </c>
      <c r="X243" s="7" t="n">
        <v>217</v>
      </c>
      <c r="Z243" s="7" t="n">
        <v>327.8</v>
      </c>
      <c r="AB243" s="7" t="n">
        <v>4670.2</v>
      </c>
    </row>
    <row r="244">
      <c r="A244" s="4" t="inlineStr">
        <is>
          <t>环保费</t>
        </is>
      </c>
      <c r="D244" s="7" t="n">
        <v>15.8</v>
      </c>
      <c r="F244" s="7" t="n">
        <v>19.4</v>
      </c>
      <c r="H244" s="7" t="n">
        <v>41.7</v>
      </c>
      <c r="J244" s="7" t="n">
        <v>36.2</v>
      </c>
      <c r="L244" s="7" t="n">
        <v>57.6</v>
      </c>
      <c r="N244" s="7" t="n">
        <v>91.3</v>
      </c>
      <c r="P244" s="7" t="n">
        <v>99.59999999999999</v>
      </c>
      <c r="R244" s="7" t="n">
        <v>65.40000000000001</v>
      </c>
      <c r="T244" s="7" t="n">
        <v>21.8</v>
      </c>
      <c r="V244" s="7" t="n">
        <v>57</v>
      </c>
      <c r="X244" s="7" t="n">
        <v>15.5</v>
      </c>
      <c r="Z244" s="7" t="n">
        <v>50.2</v>
      </c>
      <c r="AB244" s="7" t="n">
        <v>571.5</v>
      </c>
    </row>
    <row r="245">
      <c r="A245" s="4" t="inlineStr">
        <is>
          <t>报废损失</t>
        </is>
      </c>
      <c r="D245" s="7" t="n">
        <v>83.40000000000001</v>
      </c>
      <c r="F245" s="7" t="n">
        <v>107</v>
      </c>
      <c r="H245" s="7" t="n">
        <v>247.8</v>
      </c>
      <c r="J245" s="7" t="n">
        <v>270</v>
      </c>
      <c r="L245" s="7" t="n">
        <v>449.3</v>
      </c>
      <c r="N245" s="7" t="n">
        <v>579.5</v>
      </c>
      <c r="P245" s="7" t="n">
        <v>573.3</v>
      </c>
      <c r="R245" s="7" t="n">
        <v>338.6</v>
      </c>
      <c r="T245" s="7" t="n">
        <v>235.5</v>
      </c>
      <c r="V245" s="7" t="n">
        <v>397.9</v>
      </c>
      <c r="X245" s="7" t="n">
        <v>172.8</v>
      </c>
      <c r="Z245" s="7" t="n">
        <v>333.3</v>
      </c>
      <c r="AB245" s="7" t="n">
        <v>3788.4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6287.9</v>
      </c>
      <c r="D246" s="7" t="n">
        <v>2938.2</v>
      </c>
      <c r="E246" s="7" t="n">
        <v>7683.4</v>
      </c>
      <c r="F246" s="7" t="n">
        <v>16035.8</v>
      </c>
      <c r="G246" s="7" t="n">
        <v>7514.2</v>
      </c>
      <c r="H246" s="7" t="n">
        <v>11528.3</v>
      </c>
      <c r="I246" s="7" t="n">
        <v>6564.2</v>
      </c>
      <c r="J246" s="7" t="n">
        <v>16939.3</v>
      </c>
      <c r="K246" s="7" t="n">
        <v>6387.2</v>
      </c>
      <c r="L246" s="7" t="n">
        <v>-4109.1</v>
      </c>
      <c r="M246" s="7" t="n">
        <v>7814</v>
      </c>
      <c r="N246" s="7" t="n">
        <v>10862.4</v>
      </c>
      <c r="O246" s="7" t="n">
        <v>7971.9</v>
      </c>
      <c r="P246" s="7" t="n">
        <v>-4800.7</v>
      </c>
      <c r="Q246" s="7" t="n">
        <v>7774.6</v>
      </c>
      <c r="R246" s="7" t="n">
        <v>-1578.1</v>
      </c>
      <c r="S246" s="7" t="n">
        <v>7547.7</v>
      </c>
      <c r="T246" s="7" t="n">
        <v>4405.2</v>
      </c>
      <c r="U246" s="7" t="n">
        <v>5975.6</v>
      </c>
      <c r="V246" s="7" t="n">
        <v>18579.1</v>
      </c>
      <c r="W246" s="7" t="n">
        <v>6110.6</v>
      </c>
      <c r="X246" s="7" t="n">
        <v>11833.7</v>
      </c>
      <c r="Y246" s="7" t="n">
        <v>7143.8</v>
      </c>
      <c r="Z246" s="7" t="n">
        <v>1632.2</v>
      </c>
      <c r="AA246" s="8" t="n">
        <v>84775.10000000001</v>
      </c>
      <c r="AB246" s="8" t="n">
        <v>84266.3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-2914.5</v>
      </c>
      <c r="E248" s="7" t="n">
        <v>0</v>
      </c>
      <c r="F248" s="7" t="n">
        <v>-3218.8</v>
      </c>
      <c r="G248" s="7" t="n">
        <v>0</v>
      </c>
      <c r="H248" s="7" t="n">
        <v>-818.4</v>
      </c>
      <c r="I248" s="7" t="n">
        <v>0</v>
      </c>
      <c r="J248" s="7" t="n">
        <v>-2369.3</v>
      </c>
      <c r="K248" s="7" t="n">
        <v>0</v>
      </c>
      <c r="L248" s="7" t="n">
        <v>-1197.1</v>
      </c>
      <c r="M248" s="7" t="n">
        <v>0</v>
      </c>
      <c r="N248" s="7" t="n">
        <v>839</v>
      </c>
      <c r="O248" s="7" t="n">
        <v>0</v>
      </c>
      <c r="P248" s="7" t="n">
        <v>1377.1</v>
      </c>
      <c r="Q248" s="7" t="n">
        <v>0</v>
      </c>
      <c r="R248" s="7" t="n">
        <v>-157.7</v>
      </c>
      <c r="S248" s="7" t="n">
        <v>0</v>
      </c>
      <c r="T248" s="7" t="n">
        <v>1569.4</v>
      </c>
      <c r="U248" s="7" t="n">
        <v>0</v>
      </c>
      <c r="V248" s="7" t="n">
        <v>-3199.4</v>
      </c>
      <c r="W248" s="7" t="n">
        <v>0</v>
      </c>
      <c r="X248" s="7" t="n">
        <v>-1999</v>
      </c>
      <c r="Y248" s="7" t="n">
        <v>0</v>
      </c>
      <c r="Z248" s="7" t="n">
        <v>-2681.1</v>
      </c>
      <c r="AA248" s="7" t="n">
        <v>0</v>
      </c>
      <c r="AB248" s="7" t="n">
        <v>-14769.8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13990.7</v>
      </c>
      <c r="D253" s="7" t="n">
        <v>8763.5</v>
      </c>
      <c r="E253" s="7" t="n">
        <v>15483.4</v>
      </c>
      <c r="F253" s="7" t="n">
        <v>14551.8</v>
      </c>
      <c r="G253" s="7" t="n">
        <v>13062.4</v>
      </c>
      <c r="H253" s="7" t="n">
        <v>23902.4</v>
      </c>
      <c r="I253" s="7" t="n">
        <v>14607.8</v>
      </c>
      <c r="J253" s="7" t="n">
        <v>11766.3</v>
      </c>
      <c r="K253" s="7" t="n">
        <v>13961.9</v>
      </c>
      <c r="L253" s="7" t="n">
        <v>10713.8</v>
      </c>
      <c r="M253" s="7" t="n">
        <v>13052.3</v>
      </c>
      <c r="N253" s="7" t="n">
        <v>14428.8</v>
      </c>
      <c r="O253" s="7" t="n">
        <v>15636.4</v>
      </c>
      <c r="P253" s="7" t="n">
        <v>2896</v>
      </c>
      <c r="Q253" s="7" t="n">
        <v>15671.2</v>
      </c>
      <c r="R253" s="7" t="n">
        <v>3371</v>
      </c>
      <c r="S253" s="7" t="n">
        <v>15976.2</v>
      </c>
      <c r="T253" s="7" t="n">
        <v>26426.9</v>
      </c>
      <c r="U253" s="7" t="n">
        <v>14692</v>
      </c>
      <c r="V253" s="7" t="n">
        <v>22648.8</v>
      </c>
      <c r="W253" s="7" t="n">
        <v>16113.7</v>
      </c>
      <c r="X253" s="7" t="n">
        <v>8618.1</v>
      </c>
      <c r="Y253" s="7" t="n">
        <v>14716.1</v>
      </c>
      <c r="Z253" s="7" t="n">
        <v>29080.9</v>
      </c>
      <c r="AA253" s="7" t="n">
        <v>176964.1</v>
      </c>
      <c r="AB253" s="7" t="n">
        <v>177168.3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182811.6</v>
      </c>
      <c r="D254" s="7" t="n">
        <v>105862.5</v>
      </c>
      <c r="E254" s="7" t="n">
        <v>211867.2</v>
      </c>
      <c r="F254" s="7" t="n">
        <v>100100.6</v>
      </c>
      <c r="G254" s="7" t="n">
        <v>175437.9</v>
      </c>
      <c r="H254" s="7" t="n">
        <v>120593.9</v>
      </c>
      <c r="I254" s="7" t="n">
        <v>201449.4</v>
      </c>
      <c r="J254" s="7" t="n">
        <v>242386.6</v>
      </c>
      <c r="K254" s="7" t="n">
        <v>179483.5</v>
      </c>
      <c r="L254" s="7" t="n">
        <v>292364.1</v>
      </c>
      <c r="M254" s="7" t="n">
        <v>206559.2</v>
      </c>
      <c r="N254" s="7" t="n">
        <v>298586.1</v>
      </c>
      <c r="O254" s="7" t="n">
        <v>177711.4</v>
      </c>
      <c r="P254" s="7" t="n">
        <v>155139.2</v>
      </c>
      <c r="Q254" s="7" t="n">
        <v>183441.2</v>
      </c>
      <c r="R254" s="7" t="n">
        <v>262672.2</v>
      </c>
      <c r="S254" s="7" t="n">
        <v>192643.7</v>
      </c>
      <c r="T254" s="7" t="n">
        <v>167239.2</v>
      </c>
      <c r="U254" s="7" t="n">
        <v>169680.8</v>
      </c>
      <c r="V254" s="7" t="n">
        <v>197970.3</v>
      </c>
      <c r="W254" s="7" t="n">
        <v>171924.4</v>
      </c>
      <c r="X254" s="7" t="n">
        <v>178647.9</v>
      </c>
      <c r="Y254" s="7" t="n">
        <v>195629.1</v>
      </c>
      <c r="Z254" s="7" t="n">
        <v>140947.8</v>
      </c>
      <c r="AA254" s="8" t="n">
        <v>2248639.4</v>
      </c>
      <c r="AB254" s="8" t="n">
        <v>2262510.4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4739.4</v>
      </c>
      <c r="E255" s="7" t="n">
        <v>0</v>
      </c>
      <c r="F255" s="7" t="n">
        <v>3066.5</v>
      </c>
      <c r="G255" s="7" t="n">
        <v>0</v>
      </c>
      <c r="H255" s="7" t="n">
        <v>1648.4</v>
      </c>
      <c r="I255" s="7" t="n">
        <v>0</v>
      </c>
      <c r="J255" s="7" t="n">
        <v>3024.8</v>
      </c>
      <c r="K255" s="7" t="n">
        <v>0</v>
      </c>
      <c r="L255" s="7" t="n">
        <v>99.59999999999999</v>
      </c>
      <c r="M255" s="7" t="n">
        <v>0</v>
      </c>
      <c r="N255" s="7" t="n">
        <v>3611.1</v>
      </c>
      <c r="O255" s="7" t="n">
        <v>0</v>
      </c>
      <c r="P255" s="7" t="n">
        <v>4012.1</v>
      </c>
      <c r="Q255" s="7" t="n">
        <v>0</v>
      </c>
      <c r="R255" s="7" t="n">
        <v>451.3</v>
      </c>
      <c r="S255" s="7" t="n">
        <v>0</v>
      </c>
      <c r="T255" s="7" t="n">
        <v>3523.7</v>
      </c>
      <c r="U255" s="7" t="n">
        <v>0</v>
      </c>
      <c r="V255" s="7" t="n">
        <v>4561.1</v>
      </c>
      <c r="W255" s="7" t="n">
        <v>0</v>
      </c>
      <c r="X255" s="7" t="n">
        <v>3834.2</v>
      </c>
      <c r="Y255" s="7" t="n">
        <v>0</v>
      </c>
      <c r="Z255" s="7" t="n">
        <v>2764.5</v>
      </c>
      <c r="AA255" s="7" t="n">
        <v>0</v>
      </c>
      <c r="AB255" s="7" t="n">
        <v>35336.7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1964.8</v>
      </c>
      <c r="E256" s="7" t="n">
        <v>0</v>
      </c>
      <c r="F256" s="7" t="n">
        <v>1555.9</v>
      </c>
      <c r="G256" s="7" t="n">
        <v>0</v>
      </c>
      <c r="H256" s="7" t="n">
        <v>1086.3</v>
      </c>
      <c r="I256" s="7" t="n">
        <v>0</v>
      </c>
      <c r="J256" s="7" t="n">
        <v>595.3</v>
      </c>
      <c r="K256" s="7" t="n">
        <v>0</v>
      </c>
      <c r="L256" s="7" t="n">
        <v>471</v>
      </c>
      <c r="M256" s="7" t="n">
        <v>0</v>
      </c>
      <c r="N256" s="7" t="n">
        <v>1607.1</v>
      </c>
      <c r="O256" s="7" t="n">
        <v>0</v>
      </c>
      <c r="P256" s="7" t="n">
        <v>2579.2</v>
      </c>
      <c r="Q256" s="7" t="n">
        <v>0</v>
      </c>
      <c r="R256" s="7" t="n">
        <v>688</v>
      </c>
      <c r="S256" s="7" t="n">
        <v>0</v>
      </c>
      <c r="T256" s="7" t="n">
        <v>2403.9</v>
      </c>
      <c r="U256" s="7" t="n">
        <v>0</v>
      </c>
      <c r="V256" s="7" t="n">
        <v>2732</v>
      </c>
      <c r="W256" s="7" t="n">
        <v>0</v>
      </c>
      <c r="X256" s="7" t="n">
        <v>994.5</v>
      </c>
      <c r="Y256" s="7" t="n">
        <v>0</v>
      </c>
      <c r="Z256" s="7" t="n">
        <v>646.8</v>
      </c>
      <c r="AA256" s="7" t="n">
        <v>0</v>
      </c>
      <c r="AB256" s="7" t="n">
        <v>17324.8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170864.1</v>
      </c>
      <c r="D257" s="7" t="n">
        <v>110802.8</v>
      </c>
      <c r="E257" s="7" t="n">
        <v>172259</v>
      </c>
      <c r="F257" s="7" t="n">
        <v>108909.7</v>
      </c>
      <c r="G257" s="7" t="n">
        <v>164005.2</v>
      </c>
      <c r="H257" s="7" t="n">
        <v>109404.6</v>
      </c>
      <c r="I257" s="7" t="n">
        <v>200634.1</v>
      </c>
      <c r="J257" s="7" t="n">
        <v>219118.9</v>
      </c>
      <c r="K257" s="7" t="n">
        <v>193491.6</v>
      </c>
      <c r="L257" s="7" t="n">
        <v>318112.9</v>
      </c>
      <c r="M257" s="7" t="n">
        <v>164423.9</v>
      </c>
      <c r="N257" s="7" t="n">
        <v>274849.7</v>
      </c>
      <c r="O257" s="7" t="n">
        <v>198219.8</v>
      </c>
      <c r="P257" s="7" t="n">
        <v>151972.4</v>
      </c>
      <c r="Q257" s="7" t="n">
        <v>172122.6</v>
      </c>
      <c r="R257" s="7" t="n">
        <v>261878.9</v>
      </c>
      <c r="S257" s="7" t="n">
        <v>161857.3</v>
      </c>
      <c r="T257" s="7" t="n">
        <v>155764.8</v>
      </c>
      <c r="U257" s="7" t="n">
        <v>161245.7</v>
      </c>
      <c r="V257" s="7" t="n">
        <v>190109.6</v>
      </c>
      <c r="W257" s="7" t="n">
        <v>197198.6</v>
      </c>
      <c r="X257" s="7" t="n">
        <v>169001.1</v>
      </c>
      <c r="Y257" s="7" t="n">
        <v>199432.3</v>
      </c>
      <c r="Z257" s="7" t="n">
        <v>148627</v>
      </c>
      <c r="AA257" s="8" t="n">
        <v>2155754.2</v>
      </c>
      <c r="AB257" s="8" t="n">
        <v>2218552.4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45046.5</v>
      </c>
      <c r="D258" s="7" t="n">
        <v>27700.7</v>
      </c>
      <c r="E258" s="7" t="n">
        <v>39491.3</v>
      </c>
      <c r="F258" s="7" t="n">
        <v>27227.4</v>
      </c>
      <c r="G258" s="7" t="n">
        <v>50799.1</v>
      </c>
      <c r="H258" s="7" t="n">
        <v>27351.2</v>
      </c>
      <c r="I258" s="7" t="n">
        <v>47674</v>
      </c>
      <c r="J258" s="7" t="n">
        <v>54779.7</v>
      </c>
      <c r="K258" s="7" t="n">
        <v>41392.4</v>
      </c>
      <c r="L258" s="7" t="n">
        <v>79528.2</v>
      </c>
      <c r="M258" s="7" t="n">
        <v>49490.5</v>
      </c>
      <c r="N258" s="7" t="n">
        <v>68712.39999999999</v>
      </c>
      <c r="O258" s="7" t="n">
        <v>50277.3</v>
      </c>
      <c r="P258" s="7" t="n">
        <v>37993.1</v>
      </c>
      <c r="Q258" s="7" t="n">
        <v>41980.8</v>
      </c>
      <c r="R258" s="7" t="n">
        <v>65469.7</v>
      </c>
      <c r="S258" s="7" t="n">
        <v>47685.4</v>
      </c>
      <c r="T258" s="7" t="n">
        <v>38941.2</v>
      </c>
      <c r="U258" s="7" t="n">
        <v>43615.7</v>
      </c>
      <c r="V258" s="7" t="n">
        <v>47527.4</v>
      </c>
      <c r="W258" s="7" t="n">
        <v>43775.6</v>
      </c>
      <c r="X258" s="7" t="n">
        <v>42250.3</v>
      </c>
      <c r="Y258" s="7" t="n">
        <v>46391.2</v>
      </c>
      <c r="Z258" s="7" t="n">
        <v>37156.8</v>
      </c>
      <c r="AA258" s="7" t="n">
        <v>547619.8</v>
      </c>
      <c r="AB258" s="7" t="n">
        <v>554638.1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164815.4</v>
      </c>
      <c r="D259" s="7" t="n">
        <v>83102.10000000001</v>
      </c>
      <c r="E259" s="7" t="n">
        <v>192654.4</v>
      </c>
      <c r="F259" s="7" t="n">
        <v>81682.3</v>
      </c>
      <c r="G259" s="7" t="n">
        <v>113316.2</v>
      </c>
      <c r="H259" s="7" t="n">
        <v>82053.39999999999</v>
      </c>
      <c r="I259" s="7" t="n">
        <v>140564.3</v>
      </c>
      <c r="J259" s="7" t="n">
        <v>164339.2</v>
      </c>
      <c r="K259" s="7" t="n">
        <v>134892.8</v>
      </c>
      <c r="L259" s="7" t="n">
        <v>238584.7</v>
      </c>
      <c r="M259" s="7" t="n">
        <v>181682.5</v>
      </c>
      <c r="N259" s="7" t="n">
        <v>206137.3</v>
      </c>
      <c r="O259" s="7" t="n">
        <v>126773.4</v>
      </c>
      <c r="P259" s="7" t="n">
        <v>113979.3</v>
      </c>
      <c r="Q259" s="7" t="n">
        <v>121538.1</v>
      </c>
      <c r="R259" s="7" t="n">
        <v>196409.2</v>
      </c>
      <c r="S259" s="7" t="n">
        <v>144684</v>
      </c>
      <c r="T259" s="7" t="n">
        <v>116823.6</v>
      </c>
      <c r="U259" s="7" t="n">
        <v>142289.5</v>
      </c>
      <c r="V259" s="7" t="n">
        <v>142582.2</v>
      </c>
      <c r="W259" s="7" t="n">
        <v>129450.6</v>
      </c>
      <c r="X259" s="7" t="n">
        <v>126750.8</v>
      </c>
      <c r="Y259" s="7" t="n">
        <v>126876.4</v>
      </c>
      <c r="Z259" s="7" t="n">
        <v>111470.2</v>
      </c>
      <c r="AA259" s="8" t="n">
        <v>1719537.6</v>
      </c>
      <c r="AB259" s="8" t="n">
        <v>1663914.3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584.2</v>
      </c>
      <c r="E260" s="7" t="n">
        <v>0</v>
      </c>
      <c r="F260" s="7" t="n">
        <v>6715.5</v>
      </c>
      <c r="G260" s="7" t="n">
        <v>0</v>
      </c>
      <c r="H260" s="7" t="n">
        <v>4988.8</v>
      </c>
      <c r="I260" s="7" t="n">
        <v>0</v>
      </c>
      <c r="J260" s="7" t="n">
        <v>13029</v>
      </c>
      <c r="K260" s="7" t="n">
        <v>0</v>
      </c>
      <c r="L260" s="7" t="n">
        <v>46957.1</v>
      </c>
      <c r="M260" s="7" t="n">
        <v>0</v>
      </c>
      <c r="N260" s="7" t="n">
        <v>29152</v>
      </c>
      <c r="O260" s="7" t="n">
        <v>0</v>
      </c>
      <c r="P260" s="7" t="n">
        <v>9958.6</v>
      </c>
      <c r="Q260" s="7" t="n">
        <v>0</v>
      </c>
      <c r="R260" s="7" t="n">
        <v>5483.5</v>
      </c>
      <c r="S260" s="7" t="n">
        <v>0</v>
      </c>
      <c r="T260" s="7" t="n">
        <v>33886.5</v>
      </c>
      <c r="U260" s="7" t="n">
        <v>0</v>
      </c>
      <c r="V260" s="7" t="n">
        <v>23996.4</v>
      </c>
      <c r="W260" s="7" t="n">
        <v>0</v>
      </c>
      <c r="X260" s="7" t="n">
        <v>18379.5</v>
      </c>
      <c r="Y260" s="7" t="n">
        <v>0</v>
      </c>
      <c r="Z260" s="7" t="n">
        <v>30353.3</v>
      </c>
      <c r="AA260" s="7" t="n">
        <v>0</v>
      </c>
      <c r="AB260" s="7" t="n">
        <v>223484.4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164815.4</v>
      </c>
      <c r="D261" s="7" t="n">
        <v>82517.89999999999</v>
      </c>
      <c r="E261" s="7" t="n">
        <v>192654.4</v>
      </c>
      <c r="F261" s="7" t="n">
        <v>74966.8</v>
      </c>
      <c r="G261" s="7" t="n">
        <v>113316.2</v>
      </c>
      <c r="H261" s="7" t="n">
        <v>77064.60000000001</v>
      </c>
      <c r="I261" s="7" t="n">
        <v>140564.3</v>
      </c>
      <c r="J261" s="7" t="n">
        <v>151310.2</v>
      </c>
      <c r="K261" s="7" t="n">
        <v>134892.8</v>
      </c>
      <c r="L261" s="7" t="n">
        <v>191627.6</v>
      </c>
      <c r="M261" s="7" t="n">
        <v>181682.5</v>
      </c>
      <c r="N261" s="7" t="n">
        <v>176985.3</v>
      </c>
      <c r="O261" s="7" t="n">
        <v>126773.4</v>
      </c>
      <c r="P261" s="7" t="n">
        <v>104020.7</v>
      </c>
      <c r="Q261" s="7" t="n">
        <v>121538.1</v>
      </c>
      <c r="R261" s="7" t="n">
        <v>190925.7</v>
      </c>
      <c r="S261" s="7" t="n">
        <v>144684</v>
      </c>
      <c r="T261" s="7" t="n">
        <v>82937.10000000001</v>
      </c>
      <c r="U261" s="7" t="n">
        <v>142289.5</v>
      </c>
      <c r="V261" s="7" t="n">
        <v>118585.8</v>
      </c>
      <c r="W261" s="7" t="n">
        <v>129450.6</v>
      </c>
      <c r="X261" s="7" t="n">
        <v>108371.3</v>
      </c>
      <c r="Y261" s="7" t="n">
        <v>126876.4</v>
      </c>
      <c r="Z261" s="7" t="n">
        <v>81116.89999999999</v>
      </c>
      <c r="AA261" s="8" t="n">
        <v>1719537.6</v>
      </c>
      <c r="AB261" s="8" t="n">
        <v>1440429.9</v>
      </c>
    </row>
    <row r="262">
      <c r="A262" s="4" t="inlineStr">
        <is>
          <t>净利率</t>
        </is>
      </c>
      <c r="D262" s="13" t="n">
        <v>6.4</v>
      </c>
      <c r="F262" s="13" t="n">
        <v>5.8</v>
      </c>
      <c r="H262" s="13" t="n">
        <v>5.1</v>
      </c>
      <c r="J262" s="13" t="n">
        <v>6.6</v>
      </c>
      <c r="L262" s="13" t="n">
        <v>9.5</v>
      </c>
      <c r="N262" s="13" t="n">
        <v>7.9</v>
      </c>
      <c r="P262" s="13" t="n">
        <v>4.1</v>
      </c>
      <c r="R262" s="13" t="n">
        <v>8.9</v>
      </c>
      <c r="T262" s="13" t="n">
        <v>5.3</v>
      </c>
      <c r="V262" s="13" t="n">
        <v>5.5</v>
      </c>
      <c r="X262" s="13" t="n">
        <v>5.9</v>
      </c>
      <c r="Z262" s="13" t="n">
        <v>7.2</v>
      </c>
    </row>
    <row r="263">
      <c r="A263" s="4" t="inlineStr">
        <is>
          <t>销售达成率</t>
        </is>
      </c>
      <c r="D263" s="13" t="n">
        <v>58.6</v>
      </c>
      <c r="F263" s="13" t="n">
        <v>71.90000000000001</v>
      </c>
      <c r="H263" s="13" t="n">
        <v>82.3</v>
      </c>
      <c r="J263" s="13" t="n">
        <v>133.2</v>
      </c>
      <c r="L263" s="13" t="n">
        <v>112.9</v>
      </c>
      <c r="N263" s="13" t="n">
        <v>133.1</v>
      </c>
      <c r="P263" s="13" t="n">
        <v>116.8</v>
      </c>
      <c r="R263" s="13" t="n">
        <v>93.09999999999999</v>
      </c>
      <c r="T263" s="13" t="n">
        <v>118.2</v>
      </c>
      <c r="V263" s="13" t="n">
        <v>130.9</v>
      </c>
      <c r="X263" s="13" t="n">
        <v>95.7</v>
      </c>
      <c r="Z263" s="13" t="n">
        <v>78.7</v>
      </c>
    </row>
    <row r="264">
      <c r="A264" s="4" t="inlineStr">
        <is>
          <t>净利达成率</t>
        </is>
      </c>
      <c r="D264" s="13" t="n">
        <v>50.4</v>
      </c>
      <c r="F264" s="13" t="n">
        <v>42.4</v>
      </c>
      <c r="H264" s="13" t="n">
        <v>72.40000000000001</v>
      </c>
      <c r="J264" s="13" t="n">
        <v>116.9</v>
      </c>
      <c r="L264" s="13" t="n">
        <v>176.9</v>
      </c>
      <c r="N264" s="13" t="n">
        <v>113.5</v>
      </c>
      <c r="P264" s="13" t="n">
        <v>89.90000000000001</v>
      </c>
      <c r="R264" s="13" t="n">
        <v>161.6</v>
      </c>
      <c r="T264" s="13" t="n">
        <v>80.7</v>
      </c>
      <c r="V264" s="13" t="n">
        <v>100.2</v>
      </c>
      <c r="X264" s="13" t="n">
        <v>97.90000000000001</v>
      </c>
      <c r="Z264" s="13" t="n">
        <v>87.90000000000001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江苏加盟利润表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2458265.6</v>
      </c>
      <c r="D6" s="7" t="n">
        <v>1545524.2</v>
      </c>
      <c r="E6" s="7" t="n">
        <v>2171525.4</v>
      </c>
      <c r="F6" s="7" t="n">
        <v>1364991.7</v>
      </c>
      <c r="G6" s="7" t="n">
        <v>2431254.9</v>
      </c>
      <c r="H6" s="7" t="n">
        <v>1790205.2</v>
      </c>
      <c r="I6" s="7" t="n">
        <v>1900290.7</v>
      </c>
      <c r="J6" s="7" t="n">
        <v>2169033.9</v>
      </c>
      <c r="K6" s="7" t="n">
        <v>2451338.3</v>
      </c>
      <c r="L6" s="7" t="n">
        <v>2334122.5</v>
      </c>
      <c r="M6" s="7" t="n">
        <v>1941037.1</v>
      </c>
      <c r="N6" s="7" t="n">
        <v>2480310.2</v>
      </c>
      <c r="O6" s="7" t="n">
        <v>2446268.9</v>
      </c>
      <c r="P6" s="7" t="n">
        <v>2938797.2</v>
      </c>
      <c r="Q6" s="7" t="n">
        <v>1997039.4</v>
      </c>
      <c r="R6" s="7" t="n">
        <v>2870833.4</v>
      </c>
      <c r="S6" s="7" t="n">
        <v>1895818.7</v>
      </c>
      <c r="T6" s="7" t="n">
        <v>2130846.8</v>
      </c>
      <c r="U6" s="7" t="n">
        <v>2106015.2</v>
      </c>
      <c r="V6" s="7" t="n">
        <v>2203405.3</v>
      </c>
      <c r="W6" s="7" t="n">
        <v>2295473.1</v>
      </c>
      <c r="X6" s="7" t="n">
        <v>2279908.6</v>
      </c>
      <c r="Y6" s="7" t="n">
        <v>2028109.2</v>
      </c>
      <c r="Z6" s="7" t="n">
        <v>1452925.5</v>
      </c>
      <c r="AA6" s="8" t="n">
        <v>26122436.5</v>
      </c>
      <c r="AB6" s="8" t="n">
        <v>25560904.5</v>
      </c>
    </row>
    <row r="7">
      <c r="A7" s="4" t="inlineStr">
        <is>
          <t>生鲜蔬果</t>
        </is>
      </c>
      <c r="D7" s="7" t="n">
        <v>277376.6</v>
      </c>
      <c r="F7" s="7" t="n">
        <v>160781.6</v>
      </c>
      <c r="H7" s="7" t="n">
        <v>409526.7</v>
      </c>
      <c r="J7" s="7" t="n">
        <v>480947.9</v>
      </c>
      <c r="L7" s="7" t="n">
        <v>289177.6</v>
      </c>
      <c r="N7" s="7" t="n">
        <v>331797.7</v>
      </c>
      <c r="P7" s="7" t="n">
        <v>301595.6</v>
      </c>
      <c r="R7" s="7" t="n">
        <v>547644.1</v>
      </c>
      <c r="T7" s="7" t="n">
        <v>440123.3</v>
      </c>
      <c r="V7" s="7" t="n">
        <v>403841.6</v>
      </c>
      <c r="X7" s="7" t="n">
        <v>450684</v>
      </c>
      <c r="Z7" s="7" t="n">
        <v>294899.4</v>
      </c>
      <c r="AB7" s="7" t="n">
        <v>4388396.1</v>
      </c>
    </row>
    <row r="8">
      <c r="A8" s="4" t="inlineStr">
        <is>
          <t>肉禽蛋奶</t>
        </is>
      </c>
      <c r="D8" s="7" t="n">
        <v>224817</v>
      </c>
      <c r="F8" s="7" t="n">
        <v>197197.6</v>
      </c>
      <c r="H8" s="7" t="n">
        <v>158372.8</v>
      </c>
      <c r="J8" s="7" t="n">
        <v>273133.3</v>
      </c>
      <c r="L8" s="7" t="n">
        <v>217611.9</v>
      </c>
      <c r="N8" s="7" t="n">
        <v>217166.7</v>
      </c>
      <c r="P8" s="7" t="n">
        <v>381199.6</v>
      </c>
      <c r="R8" s="7" t="n">
        <v>236262.2</v>
      </c>
      <c r="T8" s="7" t="n">
        <v>357598.3</v>
      </c>
      <c r="V8" s="7" t="n">
        <v>351741.6</v>
      </c>
      <c r="X8" s="7" t="n">
        <v>229412</v>
      </c>
      <c r="Z8" s="7" t="n">
        <v>194235.2</v>
      </c>
      <c r="AB8" s="7" t="n">
        <v>3038748.2</v>
      </c>
    </row>
    <row r="9">
      <c r="A9" s="4" t="inlineStr">
        <is>
          <t>粮油调味</t>
        </is>
      </c>
      <c r="D9" s="7" t="n">
        <v>153522.7</v>
      </c>
      <c r="F9" s="7" t="n">
        <v>139969</v>
      </c>
      <c r="H9" s="7" t="n">
        <v>164915.4</v>
      </c>
      <c r="J9" s="7" t="n">
        <v>262096.5</v>
      </c>
      <c r="L9" s="7" t="n">
        <v>231949.1</v>
      </c>
      <c r="N9" s="7" t="n">
        <v>365662.1</v>
      </c>
      <c r="P9" s="7" t="n">
        <v>218509.2</v>
      </c>
      <c r="R9" s="7" t="n">
        <v>323127.7</v>
      </c>
      <c r="T9" s="7" t="n">
        <v>284330.6</v>
      </c>
      <c r="V9" s="7" t="n">
        <v>190097.5</v>
      </c>
      <c r="X9" s="7" t="n">
        <v>228296.9</v>
      </c>
      <c r="Z9" s="7" t="n">
        <v>212220.2</v>
      </c>
      <c r="AB9" s="7" t="n">
        <v>2774696.9</v>
      </c>
    </row>
    <row r="10">
      <c r="A10" s="4" t="inlineStr">
        <is>
          <t>酒水饮料</t>
        </is>
      </c>
      <c r="D10" s="7" t="n">
        <v>77190.3</v>
      </c>
      <c r="F10" s="7" t="n">
        <v>81221.89999999999</v>
      </c>
      <c r="H10" s="7" t="n">
        <v>65335.8</v>
      </c>
      <c r="J10" s="7" t="n">
        <v>70357.8</v>
      </c>
      <c r="L10" s="7" t="n">
        <v>92321.89999999999</v>
      </c>
      <c r="N10" s="7" t="n">
        <v>144579.2</v>
      </c>
      <c r="P10" s="7" t="n">
        <v>147729.6</v>
      </c>
      <c r="R10" s="7" t="n">
        <v>111844.1</v>
      </c>
      <c r="T10" s="7" t="n">
        <v>131031.1</v>
      </c>
      <c r="V10" s="7" t="n">
        <v>115612.8</v>
      </c>
      <c r="X10" s="7" t="n">
        <v>55675.7</v>
      </c>
      <c r="Z10" s="7" t="n">
        <v>79711.89999999999</v>
      </c>
      <c r="AB10" s="7" t="n">
        <v>1172612.1</v>
      </c>
    </row>
    <row r="11">
      <c r="A11" s="4" t="inlineStr">
        <is>
          <t>休闲零食</t>
        </is>
      </c>
      <c r="D11" s="7" t="n">
        <v>333607.6</v>
      </c>
      <c r="F11" s="7" t="n">
        <v>227145</v>
      </c>
      <c r="H11" s="7" t="n">
        <v>627823</v>
      </c>
      <c r="J11" s="7" t="n">
        <v>553411.2</v>
      </c>
      <c r="L11" s="7" t="n">
        <v>626099.4</v>
      </c>
      <c r="N11" s="7" t="n">
        <v>449760.9</v>
      </c>
      <c r="P11" s="7" t="n">
        <v>915670.8</v>
      </c>
      <c r="R11" s="7" t="n">
        <v>756812.5</v>
      </c>
      <c r="T11" s="7" t="n">
        <v>410096.5</v>
      </c>
      <c r="V11" s="7" t="n">
        <v>437124.8</v>
      </c>
      <c r="X11" s="7" t="n">
        <v>628218.3</v>
      </c>
      <c r="Z11" s="7" t="n">
        <v>409834.5</v>
      </c>
      <c r="AB11" s="7" t="n">
        <v>6375604.5</v>
      </c>
    </row>
    <row r="12">
      <c r="A12" s="4" t="inlineStr">
        <is>
          <t>日用百货</t>
        </is>
      </c>
      <c r="D12" s="7" t="n">
        <v>499791.2</v>
      </c>
      <c r="F12" s="7" t="n">
        <v>563648.5</v>
      </c>
      <c r="H12" s="7" t="n">
        <v>359745.5</v>
      </c>
      <c r="J12" s="7" t="n">
        <v>558306.4</v>
      </c>
      <c r="L12" s="7" t="n">
        <v>880888.8</v>
      </c>
      <c r="N12" s="7" t="n">
        <v>966240.7</v>
      </c>
      <c r="P12" s="7" t="n">
        <v>1031083.8</v>
      </c>
      <c r="R12" s="7" t="n">
        <v>920574.8</v>
      </c>
      <c r="T12" s="7" t="n">
        <v>501684.8</v>
      </c>
      <c r="V12" s="7" t="n">
        <v>749283.8</v>
      </c>
      <c r="X12" s="7" t="n">
        <v>717528.3</v>
      </c>
      <c r="Z12" s="7" t="n">
        <v>279396.9</v>
      </c>
      <c r="AB12" s="7" t="n">
        <v>8028173.5</v>
      </c>
    </row>
    <row r="13">
      <c r="A13" s="4" t="inlineStr">
        <is>
          <t>返利</t>
        </is>
      </c>
      <c r="D13" s="7" t="n">
        <v>-32366.3</v>
      </c>
      <c r="F13" s="7" t="n">
        <v>-20401.9</v>
      </c>
      <c r="H13" s="7" t="n">
        <v>-18471.9</v>
      </c>
      <c r="J13" s="7" t="n">
        <v>-43834.7</v>
      </c>
      <c r="L13" s="7" t="n">
        <v>-41787.7</v>
      </c>
      <c r="N13" s="7" t="n">
        <v>-43204.1</v>
      </c>
      <c r="P13" s="7" t="n">
        <v>-62706.7</v>
      </c>
      <c r="R13" s="7" t="n">
        <v>-35236.2</v>
      </c>
      <c r="T13" s="7" t="n">
        <v>-30770.6</v>
      </c>
      <c r="V13" s="7" t="n">
        <v>-66315.8</v>
      </c>
      <c r="X13" s="7" t="n">
        <v>-41454.2</v>
      </c>
      <c r="Z13" s="7" t="n">
        <v>-21528.6</v>
      </c>
      <c r="AB13" s="7" t="n">
        <v>-458078.7</v>
      </c>
    </row>
    <row r="14">
      <c r="A14" s="4" t="inlineStr">
        <is>
          <t>其他</t>
        </is>
      </c>
      <c r="D14" s="7" t="n">
        <v>11585.1</v>
      </c>
      <c r="F14" s="7" t="n">
        <v>15430</v>
      </c>
      <c r="H14" s="7" t="n">
        <v>22957.9</v>
      </c>
      <c r="J14" s="7" t="n">
        <v>14615.5</v>
      </c>
      <c r="L14" s="7" t="n">
        <v>37861.5</v>
      </c>
      <c r="N14" s="7" t="n">
        <v>48307</v>
      </c>
      <c r="P14" s="7" t="n">
        <v>5715.3</v>
      </c>
      <c r="R14" s="7" t="n">
        <v>9804.200000000001</v>
      </c>
      <c r="T14" s="7" t="n">
        <v>36752.8</v>
      </c>
      <c r="V14" s="7" t="n">
        <v>22019</v>
      </c>
      <c r="X14" s="7" t="n">
        <v>11547.6</v>
      </c>
      <c r="Z14" s="7" t="n">
        <v>4156</v>
      </c>
      <c r="AB14" s="7" t="n">
        <v>240751.9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1623313.5</v>
      </c>
      <c r="D15" s="7" t="n">
        <v>1226143.1</v>
      </c>
      <c r="E15" s="7" t="n">
        <v>1422414</v>
      </c>
      <c r="F15" s="7" t="n">
        <v>1065213.9</v>
      </c>
      <c r="G15" s="7" t="n">
        <v>1765541.2</v>
      </c>
      <c r="H15" s="7" t="n">
        <v>1404406.4</v>
      </c>
      <c r="I15" s="7" t="n">
        <v>1797928.9</v>
      </c>
      <c r="J15" s="7" t="n">
        <v>1721875.9</v>
      </c>
      <c r="K15" s="7" t="n">
        <v>1817799.2</v>
      </c>
      <c r="L15" s="7" t="n">
        <v>1801545</v>
      </c>
      <c r="M15" s="7" t="n">
        <v>1692985.8</v>
      </c>
      <c r="N15" s="7" t="n">
        <v>1947463.6</v>
      </c>
      <c r="O15" s="7" t="n">
        <v>1576456.9</v>
      </c>
      <c r="P15" s="7" t="n">
        <v>2315512.1</v>
      </c>
      <c r="Q15" s="7" t="n">
        <v>1746306.8</v>
      </c>
      <c r="R15" s="7" t="n">
        <v>2236337.6</v>
      </c>
      <c r="S15" s="7" t="n">
        <v>1580877</v>
      </c>
      <c r="T15" s="7" t="n">
        <v>1654065.6</v>
      </c>
      <c r="U15" s="7" t="n">
        <v>1774795.9</v>
      </c>
      <c r="V15" s="7" t="n">
        <v>1725649.6</v>
      </c>
      <c r="W15" s="7" t="n">
        <v>1677374.5</v>
      </c>
      <c r="X15" s="7" t="n">
        <v>1786138.8</v>
      </c>
      <c r="Y15" s="7" t="n">
        <v>1849844.5</v>
      </c>
      <c r="Z15" s="7" t="n">
        <v>1157375</v>
      </c>
      <c r="AA15" s="8" t="n">
        <v>20325638.2</v>
      </c>
      <c r="AB15" s="8" t="n">
        <v>20041726.6</v>
      </c>
    </row>
    <row r="16">
      <c r="A16" s="4" t="inlineStr">
        <is>
          <t>生鲜蔬果</t>
        </is>
      </c>
      <c r="D16" s="7" t="n">
        <v>195773.7</v>
      </c>
      <c r="F16" s="7" t="n">
        <v>113480.4</v>
      </c>
      <c r="H16" s="7" t="n">
        <v>289045.8</v>
      </c>
      <c r="J16" s="7" t="n">
        <v>339455.2</v>
      </c>
      <c r="L16" s="7" t="n">
        <v>204102.9</v>
      </c>
      <c r="N16" s="7" t="n">
        <v>234184.3</v>
      </c>
      <c r="P16" s="7" t="n">
        <v>212867.5</v>
      </c>
      <c r="R16" s="7" t="n">
        <v>386529.7</v>
      </c>
      <c r="T16" s="7" t="n">
        <v>310641</v>
      </c>
      <c r="V16" s="7" t="n">
        <v>285033.2</v>
      </c>
      <c r="X16" s="7" t="n">
        <v>318094.8</v>
      </c>
      <c r="Z16" s="7" t="n">
        <v>208141.3</v>
      </c>
      <c r="AB16" s="7" t="n">
        <v>3097349.8</v>
      </c>
    </row>
    <row r="17">
      <c r="A17" s="4" t="inlineStr">
        <is>
          <t>肉禽蛋奶</t>
        </is>
      </c>
      <c r="D17" s="7" t="n">
        <v>179165.7</v>
      </c>
      <c r="F17" s="7" t="n">
        <v>157154.7</v>
      </c>
      <c r="H17" s="7" t="n">
        <v>126213.6</v>
      </c>
      <c r="J17" s="7" t="n">
        <v>217670.9</v>
      </c>
      <c r="L17" s="7" t="n">
        <v>173423.6</v>
      </c>
      <c r="N17" s="7" t="n">
        <v>173068.8</v>
      </c>
      <c r="P17" s="7" t="n">
        <v>303793.2</v>
      </c>
      <c r="R17" s="7" t="n">
        <v>188286.8</v>
      </c>
      <c r="T17" s="7" t="n">
        <v>284984.4</v>
      </c>
      <c r="V17" s="7" t="n">
        <v>280317</v>
      </c>
      <c r="X17" s="7" t="n">
        <v>182827.6</v>
      </c>
      <c r="Z17" s="7" t="n">
        <v>154793.8</v>
      </c>
      <c r="AB17" s="7" t="n">
        <v>2421700.1</v>
      </c>
    </row>
    <row r="18">
      <c r="A18" s="4" t="inlineStr">
        <is>
          <t>粮油调味</t>
        </is>
      </c>
      <c r="D18" s="7" t="n">
        <v>125024.5</v>
      </c>
      <c r="F18" s="7" t="n">
        <v>113986.7</v>
      </c>
      <c r="H18" s="7" t="n">
        <v>134302.3</v>
      </c>
      <c r="J18" s="7" t="n">
        <v>213443.8</v>
      </c>
      <c r="L18" s="7" t="n">
        <v>188892.7</v>
      </c>
      <c r="N18" s="7" t="n">
        <v>297784.7</v>
      </c>
      <c r="P18" s="7" t="n">
        <v>177947.6</v>
      </c>
      <c r="R18" s="7" t="n">
        <v>263145.9</v>
      </c>
      <c r="T18" s="7" t="n">
        <v>231550.6</v>
      </c>
      <c r="V18" s="7" t="n">
        <v>154809.9</v>
      </c>
      <c r="X18" s="7" t="n">
        <v>185918.4</v>
      </c>
      <c r="Z18" s="7" t="n">
        <v>172826</v>
      </c>
      <c r="AB18" s="7" t="n">
        <v>2259633.1</v>
      </c>
    </row>
    <row r="19">
      <c r="A19" s="4" t="inlineStr">
        <is>
          <t>酒水饮料</t>
        </is>
      </c>
      <c r="D19" s="7" t="n">
        <v>53836.5</v>
      </c>
      <c r="F19" s="7" t="n">
        <v>56648.3</v>
      </c>
      <c r="H19" s="7" t="n">
        <v>45568.5</v>
      </c>
      <c r="J19" s="7" t="n">
        <v>49071.1</v>
      </c>
      <c r="L19" s="7" t="n">
        <v>64390</v>
      </c>
      <c r="N19" s="7" t="n">
        <v>100836.9</v>
      </c>
      <c r="P19" s="7" t="n">
        <v>103034.2</v>
      </c>
      <c r="R19" s="7" t="n">
        <v>78005.8</v>
      </c>
      <c r="T19" s="7" t="n">
        <v>91387.8</v>
      </c>
      <c r="V19" s="7" t="n">
        <v>80634.3</v>
      </c>
      <c r="X19" s="7" t="n">
        <v>38831.1</v>
      </c>
      <c r="Z19" s="7" t="n">
        <v>55595.2</v>
      </c>
      <c r="AB19" s="7" t="n">
        <v>817839.7</v>
      </c>
    </row>
    <row r="20">
      <c r="A20" s="4" t="inlineStr">
        <is>
          <t>休闲零食</t>
        </is>
      </c>
      <c r="D20" s="7" t="n">
        <v>253225.5</v>
      </c>
      <c r="F20" s="7" t="n">
        <v>172414.8</v>
      </c>
      <c r="H20" s="7" t="n">
        <v>476550.2</v>
      </c>
      <c r="J20" s="7" t="n">
        <v>420067.8</v>
      </c>
      <c r="L20" s="7" t="n">
        <v>475241.9</v>
      </c>
      <c r="N20" s="7" t="n">
        <v>341391.9</v>
      </c>
      <c r="P20" s="7" t="n">
        <v>695041.7</v>
      </c>
      <c r="R20" s="7" t="n">
        <v>574460</v>
      </c>
      <c r="T20" s="7" t="n">
        <v>311284.5</v>
      </c>
      <c r="V20" s="7" t="n">
        <v>331800.4</v>
      </c>
      <c r="X20" s="7" t="n">
        <v>476850.3</v>
      </c>
      <c r="Z20" s="7" t="n">
        <v>311085.7</v>
      </c>
      <c r="AB20" s="7" t="n">
        <v>4839414.7</v>
      </c>
    </row>
    <row r="21">
      <c r="A21" s="4" t="inlineStr">
        <is>
          <t>日用百货</t>
        </is>
      </c>
      <c r="D21" s="7" t="n">
        <v>358822.8</v>
      </c>
      <c r="F21" s="7" t="n">
        <v>404668.8</v>
      </c>
      <c r="H21" s="7" t="n">
        <v>258277.6</v>
      </c>
      <c r="J21" s="7" t="n">
        <v>400833.5</v>
      </c>
      <c r="L21" s="7" t="n">
        <v>632430</v>
      </c>
      <c r="N21" s="7" t="n">
        <v>693708</v>
      </c>
      <c r="P21" s="7" t="n">
        <v>740261.8</v>
      </c>
      <c r="R21" s="7" t="n">
        <v>660922.4</v>
      </c>
      <c r="T21" s="7" t="n">
        <v>360182.3</v>
      </c>
      <c r="V21" s="7" t="n">
        <v>537944.8</v>
      </c>
      <c r="X21" s="7" t="n">
        <v>515146.1</v>
      </c>
      <c r="Z21" s="7" t="n">
        <v>200591.7</v>
      </c>
      <c r="AB21" s="7" t="n">
        <v>5763789.8</v>
      </c>
    </row>
    <row r="22">
      <c r="A22" s="4" t="inlineStr">
        <is>
          <t>其他</t>
        </is>
      </c>
      <c r="D22" s="7" t="n">
        <v>23148.1</v>
      </c>
      <c r="F22" s="7" t="n">
        <v>1658.6</v>
      </c>
      <c r="H22" s="7" t="n">
        <v>2794.1</v>
      </c>
      <c r="J22" s="7" t="n">
        <v>22943.2</v>
      </c>
      <c r="L22" s="7" t="n">
        <v>13062.5</v>
      </c>
      <c r="N22" s="7" t="n">
        <v>27868.2</v>
      </c>
      <c r="P22" s="7" t="n">
        <v>7238.9</v>
      </c>
      <c r="R22" s="7" t="n">
        <v>32190.6</v>
      </c>
      <c r="T22" s="7" t="n">
        <v>5285.2</v>
      </c>
      <c r="V22" s="7" t="n">
        <v>14620.6</v>
      </c>
      <c r="X22" s="7" t="n">
        <v>33388.6</v>
      </c>
      <c r="Z22" s="7" t="n">
        <v>861.7</v>
      </c>
      <c r="AB22" s="7" t="n">
        <v>185060.3</v>
      </c>
    </row>
    <row r="23">
      <c r="A23" s="4" t="inlineStr">
        <is>
          <t>运费</t>
        </is>
      </c>
      <c r="D23" s="7" t="n">
        <v>60294.4</v>
      </c>
      <c r="F23" s="7" t="n">
        <v>46860.2</v>
      </c>
      <c r="H23" s="7" t="n">
        <v>74448.39999999999</v>
      </c>
      <c r="J23" s="7" t="n">
        <v>81333.60000000001</v>
      </c>
      <c r="L23" s="7" t="n">
        <v>63063.9</v>
      </c>
      <c r="N23" s="7" t="n">
        <v>106489</v>
      </c>
      <c r="P23" s="7" t="n">
        <v>82566.10000000001</v>
      </c>
      <c r="R23" s="7" t="n">
        <v>84987</v>
      </c>
      <c r="T23" s="7" t="n">
        <v>64035</v>
      </c>
      <c r="V23" s="7" t="n">
        <v>55110</v>
      </c>
      <c r="X23" s="7" t="n">
        <v>68470.5</v>
      </c>
      <c r="Z23" s="7" t="n">
        <v>54341.3</v>
      </c>
      <c r="AB23" s="7" t="n">
        <v>841999.4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834952.1</v>
      </c>
      <c r="D24" s="7" t="n">
        <v>319381.1</v>
      </c>
      <c r="E24" s="7" t="n">
        <v>749111.4</v>
      </c>
      <c r="F24" s="7" t="n">
        <v>299777.8</v>
      </c>
      <c r="G24" s="7" t="n">
        <v>665713.7</v>
      </c>
      <c r="H24" s="7" t="n">
        <v>385798.8</v>
      </c>
      <c r="I24" s="7" t="n">
        <v>102361.8</v>
      </c>
      <c r="J24" s="7" t="n">
        <v>447158</v>
      </c>
      <c r="K24" s="7" t="n">
        <v>633539.1</v>
      </c>
      <c r="L24" s="7" t="n">
        <v>532577.5</v>
      </c>
      <c r="M24" s="7" t="n">
        <v>248051.3</v>
      </c>
      <c r="N24" s="7" t="n">
        <v>532846.6</v>
      </c>
      <c r="O24" s="7" t="n">
        <v>869812</v>
      </c>
      <c r="P24" s="7" t="n">
        <v>623285.1</v>
      </c>
      <c r="Q24" s="7" t="n">
        <v>250732.6</v>
      </c>
      <c r="R24" s="7" t="n">
        <v>634495.8</v>
      </c>
      <c r="S24" s="7" t="n">
        <v>314941.7</v>
      </c>
      <c r="T24" s="7" t="n">
        <v>476781.2</v>
      </c>
      <c r="U24" s="7" t="n">
        <v>331219.3</v>
      </c>
      <c r="V24" s="7" t="n">
        <v>477755.7</v>
      </c>
      <c r="W24" s="7" t="n">
        <v>618098.6</v>
      </c>
      <c r="X24" s="7" t="n">
        <v>493769.8</v>
      </c>
      <c r="Y24" s="7" t="n">
        <v>178264.7</v>
      </c>
      <c r="Z24" s="7" t="n">
        <v>295550.5</v>
      </c>
      <c r="AA24" s="8" t="n">
        <v>5796798.3</v>
      </c>
      <c r="AB24" s="8" t="n">
        <v>5519177.9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34</v>
      </c>
      <c r="D25" s="13" t="n">
        <v>20.7</v>
      </c>
      <c r="E25" s="13" t="n">
        <v>34.5</v>
      </c>
      <c r="F25" s="13" t="n">
        <v>22</v>
      </c>
      <c r="G25" s="13" t="n">
        <v>27.4</v>
      </c>
      <c r="H25" s="13" t="n">
        <v>21.6</v>
      </c>
      <c r="I25" s="13" t="n">
        <v>5.4</v>
      </c>
      <c r="J25" s="13" t="n">
        <v>20.6</v>
      </c>
      <c r="K25" s="13" t="n">
        <v>25.8</v>
      </c>
      <c r="L25" s="13" t="n">
        <v>22.8</v>
      </c>
      <c r="M25" s="13" t="n">
        <v>12.8</v>
      </c>
      <c r="N25" s="13" t="n">
        <v>21.5</v>
      </c>
      <c r="O25" s="13" t="n">
        <v>35.6</v>
      </c>
      <c r="P25" s="13" t="n">
        <v>21.2</v>
      </c>
      <c r="Q25" s="13" t="n">
        <v>12.6</v>
      </c>
      <c r="R25" s="13" t="n">
        <v>22.1</v>
      </c>
      <c r="S25" s="13" t="n">
        <v>16.6</v>
      </c>
      <c r="T25" s="13" t="n">
        <v>22.4</v>
      </c>
      <c r="U25" s="13" t="n">
        <v>15.7</v>
      </c>
      <c r="V25" s="13" t="n">
        <v>21.7</v>
      </c>
      <c r="W25" s="13" t="n">
        <v>26.9</v>
      </c>
      <c r="X25" s="13" t="n">
        <v>21.7</v>
      </c>
      <c r="Y25" s="13" t="n">
        <v>8.800000000000001</v>
      </c>
      <c r="Z25" s="13" t="n">
        <v>20.3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21775.8</v>
      </c>
      <c r="D26" s="7" t="n">
        <v>14283.5</v>
      </c>
      <c r="E26" s="7" t="n">
        <v>22376.8</v>
      </c>
      <c r="F26" s="7" t="n">
        <v>9155.299999999999</v>
      </c>
      <c r="G26" s="7" t="n">
        <v>20796.9</v>
      </c>
      <c r="H26" s="7" t="n">
        <v>23329.1</v>
      </c>
      <c r="I26" s="7" t="n">
        <v>22604.7</v>
      </c>
      <c r="J26" s="7" t="n">
        <v>21412.6</v>
      </c>
      <c r="K26" s="7" t="n">
        <v>19303.7</v>
      </c>
      <c r="L26" s="7" t="n">
        <v>29153</v>
      </c>
      <c r="M26" s="7" t="n">
        <v>21780.8</v>
      </c>
      <c r="N26" s="7" t="n">
        <v>25971</v>
      </c>
      <c r="O26" s="7" t="n">
        <v>19712.2</v>
      </c>
      <c r="P26" s="7" t="n">
        <v>26431.7</v>
      </c>
      <c r="Q26" s="7" t="n">
        <v>22369.7</v>
      </c>
      <c r="R26" s="7" t="n">
        <v>22873.4</v>
      </c>
      <c r="S26" s="7" t="n">
        <v>23021.6</v>
      </c>
      <c r="T26" s="7" t="n">
        <v>19933.6</v>
      </c>
      <c r="U26" s="7" t="n">
        <v>21755.7</v>
      </c>
      <c r="V26" s="7" t="n">
        <v>17500</v>
      </c>
      <c r="W26" s="7" t="n">
        <v>20015.7</v>
      </c>
      <c r="X26" s="7" t="n">
        <v>32419.6</v>
      </c>
      <c r="Y26" s="7" t="n">
        <v>21389.1</v>
      </c>
      <c r="Z26" s="7" t="n">
        <v>17096.3</v>
      </c>
      <c r="AA26" s="8" t="n">
        <v>256902.7</v>
      </c>
      <c r="AB26" s="8" t="n">
        <v>259559.1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280838</v>
      </c>
      <c r="D27" s="7" t="n">
        <v>297272.8</v>
      </c>
      <c r="E27" s="7" t="n">
        <v>269751</v>
      </c>
      <c r="F27" s="7" t="n">
        <v>261054.1</v>
      </c>
      <c r="G27" s="7" t="n">
        <v>314965.8</v>
      </c>
      <c r="H27" s="7" t="n">
        <v>297918.1</v>
      </c>
      <c r="I27" s="7" t="n">
        <v>301008.2</v>
      </c>
      <c r="J27" s="7" t="n">
        <v>395387.9</v>
      </c>
      <c r="K27" s="7" t="n">
        <v>282552</v>
      </c>
      <c r="L27" s="7" t="n">
        <v>224637.6</v>
      </c>
      <c r="M27" s="7" t="n">
        <v>258449.7</v>
      </c>
      <c r="N27" s="7" t="n">
        <v>354499.4</v>
      </c>
      <c r="O27" s="7" t="n">
        <v>294843.8</v>
      </c>
      <c r="P27" s="7" t="n">
        <v>527599.2</v>
      </c>
      <c r="Q27" s="7" t="n">
        <v>266963.2</v>
      </c>
      <c r="R27" s="7" t="n">
        <v>233050.1</v>
      </c>
      <c r="S27" s="7" t="n">
        <v>284285.8</v>
      </c>
      <c r="T27" s="7" t="n">
        <v>276917.1</v>
      </c>
      <c r="U27" s="7" t="n">
        <v>302921.3</v>
      </c>
      <c r="V27" s="7" t="n">
        <v>216026</v>
      </c>
      <c r="W27" s="7" t="n">
        <v>273175.8</v>
      </c>
      <c r="X27" s="7" t="n">
        <v>200736.3</v>
      </c>
      <c r="Y27" s="7" t="n">
        <v>309141.8</v>
      </c>
      <c r="Z27" s="7" t="n">
        <v>286570.9</v>
      </c>
      <c r="AA27" s="8" t="n">
        <v>3438896.4</v>
      </c>
      <c r="AB27" s="8" t="n">
        <v>3571669.5</v>
      </c>
    </row>
    <row r="28">
      <c r="A28" s="4" t="inlineStr">
        <is>
          <t>职工薪酬</t>
        </is>
      </c>
      <c r="D28" s="7" t="n">
        <v>133318.6</v>
      </c>
      <c r="F28" s="7" t="n">
        <v>152499.1</v>
      </c>
      <c r="H28" s="7" t="n">
        <v>134428.9</v>
      </c>
      <c r="J28" s="7" t="n">
        <v>180417</v>
      </c>
      <c r="L28" s="7" t="n">
        <v>91640.8</v>
      </c>
      <c r="N28" s="7" t="n">
        <v>205707.6</v>
      </c>
      <c r="P28" s="7" t="n">
        <v>285262.2</v>
      </c>
      <c r="R28" s="7" t="n">
        <v>122449.9</v>
      </c>
      <c r="T28" s="7" t="n">
        <v>130094.4</v>
      </c>
      <c r="V28" s="7" t="n">
        <v>114435.8</v>
      </c>
      <c r="X28" s="7" t="n">
        <v>99205.5</v>
      </c>
      <c r="Z28" s="7" t="n">
        <v>137324.5</v>
      </c>
      <c r="AB28" s="7" t="n">
        <v>1786784.3</v>
      </c>
    </row>
    <row r="29">
      <c r="A29" s="4" t="inlineStr">
        <is>
          <t>工资</t>
        </is>
      </c>
      <c r="D29" s="7" t="n">
        <v>70583.2</v>
      </c>
      <c r="F29" s="7" t="n">
        <v>89154.8</v>
      </c>
      <c r="H29" s="7" t="n">
        <v>77577.10000000001</v>
      </c>
      <c r="J29" s="7" t="n">
        <v>101744.7</v>
      </c>
      <c r="L29" s="7" t="n">
        <v>51311.3</v>
      </c>
      <c r="N29" s="7" t="n">
        <v>125294</v>
      </c>
      <c r="P29" s="7" t="n">
        <v>166572.1</v>
      </c>
      <c r="R29" s="7" t="n">
        <v>81075.7</v>
      </c>
      <c r="T29" s="7" t="n">
        <v>74609.5</v>
      </c>
      <c r="V29" s="7" t="n">
        <v>75383.60000000001</v>
      </c>
      <c r="X29" s="7" t="n">
        <v>63551.2</v>
      </c>
      <c r="Z29" s="7" t="n">
        <v>74480.60000000001</v>
      </c>
      <c r="AB29" s="7" t="n">
        <v>1051337.8</v>
      </c>
    </row>
    <row r="30">
      <c r="A30" s="4" t="inlineStr">
        <is>
          <t>奖金及提成</t>
        </is>
      </c>
      <c r="D30" s="7" t="n">
        <v>35208.4</v>
      </c>
      <c r="F30" s="7" t="n">
        <v>31921.7</v>
      </c>
      <c r="H30" s="7" t="n">
        <v>32803.7</v>
      </c>
      <c r="J30" s="7" t="n">
        <v>38907.9</v>
      </c>
      <c r="L30" s="7" t="n">
        <v>17990.3</v>
      </c>
      <c r="N30" s="7" t="n">
        <v>41477.1</v>
      </c>
      <c r="P30" s="7" t="n">
        <v>68242.39999999999</v>
      </c>
      <c r="R30" s="7" t="n">
        <v>17590.7</v>
      </c>
      <c r="T30" s="7" t="n">
        <v>32731.9</v>
      </c>
      <c r="V30" s="7" t="n">
        <v>17020.6</v>
      </c>
      <c r="X30" s="7" t="n">
        <v>16036.6</v>
      </c>
      <c r="Z30" s="7" t="n">
        <v>35098.3</v>
      </c>
      <c r="AB30" s="7" t="n">
        <v>385029.6</v>
      </c>
    </row>
    <row r="31">
      <c r="A31" s="4" t="inlineStr">
        <is>
          <t>社保</t>
        </is>
      </c>
      <c r="D31" s="7" t="n">
        <v>21261</v>
      </c>
      <c r="F31" s="7" t="n">
        <v>25845.9</v>
      </c>
      <c r="H31" s="7" t="n">
        <v>17429.7</v>
      </c>
      <c r="J31" s="7" t="n">
        <v>31853.2</v>
      </c>
      <c r="L31" s="7" t="n">
        <v>17320.7</v>
      </c>
      <c r="N31" s="7" t="n">
        <v>31164.9</v>
      </c>
      <c r="P31" s="7" t="n">
        <v>37829</v>
      </c>
      <c r="R31" s="7" t="n">
        <v>18648.2</v>
      </c>
      <c r="T31" s="7" t="n">
        <v>17066.5</v>
      </c>
      <c r="V31" s="7" t="n">
        <v>17905.7</v>
      </c>
      <c r="X31" s="7" t="n">
        <v>14876.7</v>
      </c>
      <c r="Z31" s="7" t="n">
        <v>21351.1</v>
      </c>
      <c r="AB31" s="7" t="n">
        <v>272552.6</v>
      </c>
    </row>
    <row r="32">
      <c r="A32" s="4" t="inlineStr">
        <is>
          <t>养老</t>
        </is>
      </c>
      <c r="D32" s="7" t="n">
        <v>820.5</v>
      </c>
      <c r="F32" s="7" t="n">
        <v>822.9</v>
      </c>
      <c r="H32" s="7" t="n">
        <v>944</v>
      </c>
      <c r="J32" s="7" t="n">
        <v>1513.1</v>
      </c>
      <c r="L32" s="7" t="n">
        <v>842.4</v>
      </c>
      <c r="N32" s="7" t="n">
        <v>1404.3</v>
      </c>
      <c r="P32" s="7" t="n">
        <v>2080.3</v>
      </c>
      <c r="R32" s="7" t="n">
        <v>870.2</v>
      </c>
      <c r="T32" s="7" t="n">
        <v>970.8</v>
      </c>
      <c r="V32" s="7" t="n">
        <v>809.2</v>
      </c>
      <c r="X32" s="7" t="n">
        <v>647.2</v>
      </c>
      <c r="Z32" s="7" t="n">
        <v>886.3</v>
      </c>
      <c r="AB32" s="7" t="n">
        <v>12611.2</v>
      </c>
    </row>
    <row r="33">
      <c r="A33" s="4" t="inlineStr">
        <is>
          <t>医疗</t>
        </is>
      </c>
      <c r="D33" s="7" t="n">
        <v>1709</v>
      </c>
      <c r="F33" s="7" t="n">
        <v>1397.5</v>
      </c>
      <c r="H33" s="7" t="n">
        <v>1481.6</v>
      </c>
      <c r="J33" s="7" t="n">
        <v>1859.2</v>
      </c>
      <c r="L33" s="7" t="n">
        <v>831.2</v>
      </c>
      <c r="N33" s="7" t="n">
        <v>1686.2</v>
      </c>
      <c r="P33" s="7" t="n">
        <v>2674</v>
      </c>
      <c r="R33" s="7" t="n">
        <v>1328.7</v>
      </c>
      <c r="T33" s="7" t="n">
        <v>1629</v>
      </c>
      <c r="V33" s="7" t="n">
        <v>925.7</v>
      </c>
      <c r="X33" s="7" t="n">
        <v>1075.8</v>
      </c>
      <c r="Z33" s="7" t="n">
        <v>1925.5</v>
      </c>
      <c r="AB33" s="7" t="n">
        <v>18523.4</v>
      </c>
    </row>
    <row r="34">
      <c r="A34" s="4" t="inlineStr">
        <is>
          <t>工伤</t>
        </is>
      </c>
      <c r="D34" s="7" t="n">
        <v>1702.1</v>
      </c>
      <c r="F34" s="7" t="n">
        <v>1298.4</v>
      </c>
      <c r="H34" s="7" t="n">
        <v>2107.9</v>
      </c>
      <c r="J34" s="7" t="n">
        <v>1720.5</v>
      </c>
      <c r="L34" s="7" t="n">
        <v>1335.7</v>
      </c>
      <c r="N34" s="7" t="n">
        <v>2217.8</v>
      </c>
      <c r="P34" s="7" t="n">
        <v>2286</v>
      </c>
      <c r="R34" s="7" t="n">
        <v>1272.3</v>
      </c>
      <c r="T34" s="7" t="n">
        <v>1290.4</v>
      </c>
      <c r="V34" s="7" t="n">
        <v>1226</v>
      </c>
      <c r="X34" s="7" t="n">
        <v>1053.9</v>
      </c>
      <c r="Z34" s="7" t="n">
        <v>2211.8</v>
      </c>
      <c r="AB34" s="7" t="n">
        <v>19722.8</v>
      </c>
    </row>
    <row r="35">
      <c r="A35" s="4" t="inlineStr">
        <is>
          <t>失业</t>
        </is>
      </c>
      <c r="D35" s="7" t="n">
        <v>851.8</v>
      </c>
      <c r="F35" s="7" t="n">
        <v>898.4</v>
      </c>
      <c r="H35" s="7" t="n">
        <v>1170.2</v>
      </c>
      <c r="J35" s="7" t="n">
        <v>1142.7</v>
      </c>
      <c r="L35" s="7" t="n">
        <v>998.6</v>
      </c>
      <c r="N35" s="7" t="n">
        <v>1201.5</v>
      </c>
      <c r="P35" s="7" t="n">
        <v>2257</v>
      </c>
      <c r="R35" s="7" t="n">
        <v>1189.4</v>
      </c>
      <c r="T35" s="7" t="n">
        <v>1315.6</v>
      </c>
      <c r="V35" s="7" t="n">
        <v>1046.8</v>
      </c>
      <c r="X35" s="7" t="n">
        <v>1003.6</v>
      </c>
      <c r="Z35" s="7" t="n">
        <v>1480.4</v>
      </c>
      <c r="AB35" s="7" t="n">
        <v>14556</v>
      </c>
    </row>
    <row r="36">
      <c r="A36" s="4" t="inlineStr">
        <is>
          <t>生育</t>
        </is>
      </c>
      <c r="D36" s="7" t="n">
        <v>1225.3</v>
      </c>
      <c r="F36" s="7" t="n">
        <v>1065</v>
      </c>
      <c r="H36" s="7" t="n">
        <v>1513</v>
      </c>
      <c r="J36" s="7" t="n">
        <v>1885.7</v>
      </c>
      <c r="L36" s="7" t="n">
        <v>1103.1</v>
      </c>
      <c r="N36" s="7" t="n">
        <v>1062.5</v>
      </c>
      <c r="P36" s="7" t="n">
        <v>1569</v>
      </c>
      <c r="R36" s="7" t="n">
        <v>1194.7</v>
      </c>
      <c r="T36" s="7" t="n">
        <v>909.2</v>
      </c>
      <c r="V36" s="7" t="n">
        <v>1022.5</v>
      </c>
      <c r="X36" s="7" t="n">
        <v>1017.4</v>
      </c>
      <c r="Z36" s="7" t="n">
        <v>925.5</v>
      </c>
      <c r="AB36" s="7" t="n">
        <v>14492.9</v>
      </c>
    </row>
    <row r="37">
      <c r="A37" s="4" t="inlineStr">
        <is>
          <t>公积金</t>
        </is>
      </c>
      <c r="D37" s="7" t="n">
        <v>987.6</v>
      </c>
      <c r="F37" s="7" t="n">
        <v>526.9</v>
      </c>
      <c r="H37" s="7" t="n">
        <v>887.3</v>
      </c>
      <c r="J37" s="7" t="n">
        <v>802.2</v>
      </c>
      <c r="L37" s="7" t="n">
        <v>468.8</v>
      </c>
      <c r="N37" s="7" t="n">
        <v>1001.1</v>
      </c>
      <c r="P37" s="7" t="n">
        <v>1872.6</v>
      </c>
      <c r="R37" s="7" t="n">
        <v>523.5</v>
      </c>
      <c r="T37" s="7" t="n">
        <v>814</v>
      </c>
      <c r="V37" s="7" t="n">
        <v>422</v>
      </c>
      <c r="X37" s="7" t="n">
        <v>664</v>
      </c>
      <c r="Z37" s="7" t="n">
        <v>953.2</v>
      </c>
      <c r="AB37" s="7" t="n">
        <v>9923.200000000001</v>
      </c>
    </row>
    <row r="38">
      <c r="A38" s="4" t="inlineStr">
        <is>
          <t>工会经费</t>
        </is>
      </c>
      <c r="D38" s="7" t="n">
        <v>694.4</v>
      </c>
      <c r="F38" s="7" t="n">
        <v>673.6</v>
      </c>
      <c r="H38" s="7" t="n">
        <v>650.5</v>
      </c>
      <c r="J38" s="7" t="n">
        <v>1039.3</v>
      </c>
      <c r="L38" s="7" t="n">
        <v>470.8</v>
      </c>
      <c r="N38" s="7" t="n">
        <v>930.1</v>
      </c>
      <c r="P38" s="7" t="n">
        <v>1031.3</v>
      </c>
      <c r="R38" s="7" t="n">
        <v>581.6</v>
      </c>
      <c r="T38" s="7" t="n">
        <v>633.2</v>
      </c>
      <c r="V38" s="7" t="n">
        <v>331.3</v>
      </c>
      <c r="X38" s="7" t="n">
        <v>497.8</v>
      </c>
      <c r="Z38" s="7" t="n">
        <v>595.3</v>
      </c>
      <c r="AB38" s="7" t="n">
        <v>8129.2</v>
      </c>
    </row>
    <row r="39">
      <c r="A39" s="4" t="inlineStr">
        <is>
          <t>职工教育经费</t>
        </is>
      </c>
      <c r="D39" s="7" t="n">
        <v>1066.3</v>
      </c>
      <c r="F39" s="7" t="n">
        <v>1205.5</v>
      </c>
      <c r="H39" s="7" t="n">
        <v>1232.3</v>
      </c>
      <c r="J39" s="7" t="n">
        <v>1548.3</v>
      </c>
      <c r="L39" s="7" t="n">
        <v>1077.3</v>
      </c>
      <c r="N39" s="7" t="n">
        <v>1362</v>
      </c>
      <c r="P39" s="7" t="n">
        <v>2895.4</v>
      </c>
      <c r="R39" s="7" t="n">
        <v>1339.8</v>
      </c>
      <c r="T39" s="7" t="n">
        <v>929.1</v>
      </c>
      <c r="V39" s="7" t="n">
        <v>892.4</v>
      </c>
      <c r="X39" s="7" t="n">
        <v>873.6</v>
      </c>
      <c r="Z39" s="7" t="n">
        <v>1239.5</v>
      </c>
      <c r="AB39" s="7" t="n">
        <v>15661.5</v>
      </c>
    </row>
    <row r="40">
      <c r="A40" s="4" t="inlineStr">
        <is>
          <t>福利费</t>
        </is>
      </c>
      <c r="D40" s="7" t="n">
        <v>3517.7</v>
      </c>
      <c r="F40" s="7" t="n">
        <v>3170.7</v>
      </c>
      <c r="H40" s="7" t="n">
        <v>3848.3</v>
      </c>
      <c r="J40" s="7" t="n">
        <v>4521.4</v>
      </c>
      <c r="L40" s="7" t="n">
        <v>3001.6</v>
      </c>
      <c r="N40" s="7" t="n">
        <v>4478.4</v>
      </c>
      <c r="P40" s="7" t="n">
        <v>6819.4</v>
      </c>
      <c r="R40" s="7" t="n">
        <v>2690.4</v>
      </c>
      <c r="T40" s="7" t="n">
        <v>3310.2</v>
      </c>
      <c r="V40" s="7" t="n">
        <v>2480.2</v>
      </c>
      <c r="X40" s="7" t="n">
        <v>2705.6</v>
      </c>
      <c r="Z40" s="7" t="n">
        <v>3606.5</v>
      </c>
      <c r="AB40" s="7" t="n">
        <v>44150.4</v>
      </c>
    </row>
    <row r="41">
      <c r="A41" s="4" t="inlineStr">
        <is>
          <t>职工房租</t>
        </is>
      </c>
      <c r="D41" s="7" t="n">
        <v>392.1</v>
      </c>
      <c r="F41" s="7" t="n">
        <v>278.8</v>
      </c>
      <c r="H41" s="7" t="n">
        <v>482.1</v>
      </c>
      <c r="J41" s="7" t="n">
        <v>478.3</v>
      </c>
      <c r="L41" s="7" t="n">
        <v>385.3</v>
      </c>
      <c r="N41" s="7" t="n">
        <v>548.8</v>
      </c>
      <c r="P41" s="7" t="n">
        <v>933.9</v>
      </c>
      <c r="R41" s="7" t="n">
        <v>270.8</v>
      </c>
      <c r="T41" s="7" t="n">
        <v>455.6</v>
      </c>
      <c r="V41" s="7" t="n">
        <v>240.2</v>
      </c>
      <c r="X41" s="7" t="n">
        <v>209.6</v>
      </c>
      <c r="Z41" s="7" t="n">
        <v>459.3</v>
      </c>
      <c r="AB41" s="7" t="n">
        <v>5134.8</v>
      </c>
    </row>
    <row r="42">
      <c r="A42" s="4" t="inlineStr">
        <is>
          <t>水电物业费</t>
        </is>
      </c>
      <c r="D42" s="7" t="n">
        <v>272.1</v>
      </c>
      <c r="F42" s="7" t="n">
        <v>271</v>
      </c>
      <c r="H42" s="7" t="n">
        <v>290.6</v>
      </c>
      <c r="J42" s="7" t="n">
        <v>375.2</v>
      </c>
      <c r="L42" s="7" t="n">
        <v>322.6</v>
      </c>
      <c r="N42" s="7" t="n">
        <v>333.6</v>
      </c>
      <c r="P42" s="7" t="n">
        <v>540.1</v>
      </c>
      <c r="R42" s="7" t="n">
        <v>304.3</v>
      </c>
      <c r="T42" s="7" t="n">
        <v>277.6</v>
      </c>
      <c r="V42" s="7" t="n">
        <v>250.6</v>
      </c>
      <c r="X42" s="7" t="n">
        <v>245.4</v>
      </c>
      <c r="Z42" s="7" t="n">
        <v>304.2</v>
      </c>
      <c r="AB42" s="7" t="n">
        <v>3787.3</v>
      </c>
    </row>
    <row r="43">
      <c r="A43" s="4" t="inlineStr">
        <is>
          <t>员工餐</t>
        </is>
      </c>
      <c r="D43" s="7" t="n">
        <v>1213.4</v>
      </c>
      <c r="F43" s="7" t="n">
        <v>1185.1</v>
      </c>
      <c r="H43" s="7" t="n">
        <v>1503.4</v>
      </c>
      <c r="J43" s="7" t="n">
        <v>1201.5</v>
      </c>
      <c r="L43" s="7" t="n">
        <v>1135.3</v>
      </c>
      <c r="N43" s="7" t="n">
        <v>1389.6</v>
      </c>
      <c r="P43" s="7" t="n">
        <v>2271.1</v>
      </c>
      <c r="R43" s="7" t="n">
        <v>810.6</v>
      </c>
      <c r="T43" s="7" t="n">
        <v>1306.8</v>
      </c>
      <c r="V43" s="7" t="n">
        <v>825.7</v>
      </c>
      <c r="X43" s="7" t="n">
        <v>1002.4</v>
      </c>
      <c r="Z43" s="7" t="n">
        <v>1420.5</v>
      </c>
      <c r="AB43" s="7" t="n">
        <v>15265.4</v>
      </c>
    </row>
    <row r="44">
      <c r="A44" s="4" t="inlineStr">
        <is>
          <t>节日礼品</t>
        </is>
      </c>
      <c r="D44" s="7" t="n">
        <v>452.8</v>
      </c>
      <c r="F44" s="7" t="n">
        <v>355.9</v>
      </c>
      <c r="H44" s="7" t="n">
        <v>485.5</v>
      </c>
      <c r="J44" s="7" t="n">
        <v>632.8</v>
      </c>
      <c r="L44" s="7" t="n">
        <v>230.5</v>
      </c>
      <c r="N44" s="7" t="n">
        <v>561.3</v>
      </c>
      <c r="P44" s="7" t="n">
        <v>613.6</v>
      </c>
      <c r="R44" s="7" t="n">
        <v>310.9</v>
      </c>
      <c r="T44" s="7" t="n">
        <v>270.8</v>
      </c>
      <c r="V44" s="7" t="n">
        <v>226</v>
      </c>
      <c r="X44" s="7" t="n">
        <v>299</v>
      </c>
      <c r="Z44" s="7" t="n">
        <v>316.5</v>
      </c>
      <c r="AB44" s="7" t="n">
        <v>4755.6</v>
      </c>
    </row>
    <row r="45">
      <c r="A45" s="4" t="inlineStr">
        <is>
          <t>生日礼品</t>
        </is>
      </c>
      <c r="D45" s="7" t="n">
        <v>286.7</v>
      </c>
      <c r="F45" s="7" t="n">
        <v>221</v>
      </c>
      <c r="H45" s="7" t="n">
        <v>253.1</v>
      </c>
      <c r="J45" s="7" t="n">
        <v>381.7</v>
      </c>
      <c r="L45" s="7" t="n">
        <v>148.3</v>
      </c>
      <c r="N45" s="7" t="n">
        <v>364.3</v>
      </c>
      <c r="P45" s="7" t="n">
        <v>521.3</v>
      </c>
      <c r="R45" s="7" t="n">
        <v>261</v>
      </c>
      <c r="T45" s="7" t="n">
        <v>178.9</v>
      </c>
      <c r="V45" s="7" t="n">
        <v>188.7</v>
      </c>
      <c r="X45" s="7" t="n">
        <v>165.8</v>
      </c>
      <c r="Z45" s="7" t="n">
        <v>286</v>
      </c>
      <c r="AB45" s="7" t="n">
        <v>3256.8</v>
      </c>
    </row>
    <row r="46">
      <c r="A46" s="4" t="inlineStr">
        <is>
          <t>体检</t>
        </is>
      </c>
      <c r="D46" s="7" t="n">
        <v>243.8</v>
      </c>
      <c r="F46" s="7" t="n">
        <v>151.6</v>
      </c>
      <c r="H46" s="7" t="n">
        <v>191.9</v>
      </c>
      <c r="J46" s="7" t="n">
        <v>210.9</v>
      </c>
      <c r="L46" s="7" t="n">
        <v>105.3</v>
      </c>
      <c r="N46" s="7" t="n">
        <v>276.2</v>
      </c>
      <c r="P46" s="7" t="n">
        <v>337.6</v>
      </c>
      <c r="R46" s="7" t="n">
        <v>160.1</v>
      </c>
      <c r="T46" s="7" t="n">
        <v>174.9</v>
      </c>
      <c r="V46" s="7" t="n">
        <v>133.4</v>
      </c>
      <c r="X46" s="7" t="n">
        <v>158.3</v>
      </c>
      <c r="Z46" s="7" t="n">
        <v>160.4</v>
      </c>
      <c r="AB46" s="7" t="n">
        <v>2304.4</v>
      </c>
    </row>
    <row r="47">
      <c r="A47" s="4" t="inlineStr">
        <is>
          <t>其他福利支出</t>
        </is>
      </c>
      <c r="D47" s="7" t="n">
        <v>656.8</v>
      </c>
      <c r="F47" s="7" t="n">
        <v>707.3</v>
      </c>
      <c r="H47" s="7" t="n">
        <v>641.7</v>
      </c>
      <c r="J47" s="7" t="n">
        <v>1241</v>
      </c>
      <c r="L47" s="7" t="n">
        <v>674.3</v>
      </c>
      <c r="N47" s="7" t="n">
        <v>1004.6</v>
      </c>
      <c r="P47" s="7" t="n">
        <v>1601.8</v>
      </c>
      <c r="R47" s="7" t="n">
        <v>572.7</v>
      </c>
      <c r="T47" s="7" t="n">
        <v>645.6</v>
      </c>
      <c r="V47" s="7" t="n">
        <v>615.6</v>
      </c>
      <c r="X47" s="7" t="n">
        <v>625.1</v>
      </c>
      <c r="Z47" s="7" t="n">
        <v>659.6</v>
      </c>
      <c r="AB47" s="7" t="n">
        <v>9646.1</v>
      </c>
    </row>
    <row r="48">
      <c r="A48" s="4" t="inlineStr">
        <is>
          <t>招聘费</t>
        </is>
      </c>
      <c r="D48" s="7" t="n">
        <v>56.1</v>
      </c>
      <c r="F48" s="7" t="n">
        <v>61.3</v>
      </c>
      <c r="H48" s="7" t="n">
        <v>68.7</v>
      </c>
      <c r="J48" s="7" t="n">
        <v>94.7</v>
      </c>
      <c r="L48" s="7" t="n">
        <v>53.2</v>
      </c>
      <c r="N48" s="7" t="n">
        <v>54.4</v>
      </c>
      <c r="P48" s="7" t="n">
        <v>126.8</v>
      </c>
      <c r="R48" s="7" t="n">
        <v>50.2</v>
      </c>
      <c r="T48" s="7" t="n">
        <v>40.3</v>
      </c>
      <c r="V48" s="7" t="n">
        <v>36.4</v>
      </c>
      <c r="X48" s="7" t="n">
        <v>48</v>
      </c>
      <c r="Z48" s="7" t="n">
        <v>68.8</v>
      </c>
      <c r="AB48" s="7" t="n">
        <v>758.9</v>
      </c>
    </row>
    <row r="49">
      <c r="A49" s="4" t="inlineStr">
        <is>
          <t>办公费</t>
        </is>
      </c>
      <c r="D49" s="7" t="n">
        <v>7897.6</v>
      </c>
      <c r="F49" s="7" t="n">
        <v>9080.700000000001</v>
      </c>
      <c r="H49" s="7" t="n">
        <v>10554.3</v>
      </c>
      <c r="J49" s="7" t="n">
        <v>11567.8</v>
      </c>
      <c r="L49" s="7" t="n">
        <v>5385.9</v>
      </c>
      <c r="N49" s="7" t="n">
        <v>7449.9</v>
      </c>
      <c r="P49" s="7" t="n">
        <v>12480.3</v>
      </c>
      <c r="R49" s="7" t="n">
        <v>8598</v>
      </c>
      <c r="T49" s="7" t="n">
        <v>7317</v>
      </c>
      <c r="V49" s="7" t="n">
        <v>4849.1</v>
      </c>
      <c r="X49" s="7" t="n">
        <v>5068.9</v>
      </c>
      <c r="Z49" s="7" t="n">
        <v>7066.8</v>
      </c>
      <c r="AB49" s="7" t="n">
        <v>97316.3</v>
      </c>
    </row>
    <row r="50">
      <c r="A50" s="4" t="inlineStr">
        <is>
          <t>市内交通费</t>
        </is>
      </c>
      <c r="D50" s="7" t="n">
        <v>148.8</v>
      </c>
      <c r="F50" s="7" t="n">
        <v>171.5</v>
      </c>
      <c r="H50" s="7" t="n">
        <v>212.7</v>
      </c>
      <c r="J50" s="7" t="n">
        <v>216.1</v>
      </c>
      <c r="L50" s="7" t="n">
        <v>131</v>
      </c>
      <c r="N50" s="7" t="n">
        <v>190.1</v>
      </c>
      <c r="P50" s="7" t="n">
        <v>306.5</v>
      </c>
      <c r="R50" s="7" t="n">
        <v>153.2</v>
      </c>
      <c r="T50" s="7" t="n">
        <v>183.3</v>
      </c>
      <c r="V50" s="7" t="n">
        <v>159.4</v>
      </c>
      <c r="X50" s="7" t="n">
        <v>130.7</v>
      </c>
      <c r="Z50" s="7" t="n">
        <v>203.1</v>
      </c>
      <c r="AB50" s="7" t="n">
        <v>2206.4</v>
      </c>
    </row>
    <row r="51">
      <c r="A51" s="4" t="inlineStr">
        <is>
          <t>差旅费</t>
        </is>
      </c>
      <c r="D51" s="7" t="n">
        <v>20043.3</v>
      </c>
      <c r="F51" s="7" t="n">
        <v>18135.4</v>
      </c>
      <c r="H51" s="7" t="n">
        <v>13540.3</v>
      </c>
      <c r="J51" s="7" t="n">
        <v>18435.4</v>
      </c>
      <c r="L51" s="7" t="n">
        <v>15605.5</v>
      </c>
      <c r="N51" s="7" t="n">
        <v>16593</v>
      </c>
      <c r="P51" s="7" t="n">
        <v>36846.1</v>
      </c>
      <c r="R51" s="7" t="n">
        <v>17322.3</v>
      </c>
      <c r="T51" s="7" t="n">
        <v>19803</v>
      </c>
      <c r="V51" s="7" t="n">
        <v>14753.1</v>
      </c>
      <c r="X51" s="7" t="n">
        <v>11499.2</v>
      </c>
      <c r="Z51" s="7" t="n">
        <v>16099.2</v>
      </c>
      <c r="AB51" s="7" t="n">
        <v>218675.8</v>
      </c>
    </row>
    <row r="52">
      <c r="A52" s="4" t="inlineStr">
        <is>
          <t>交通费</t>
        </is>
      </c>
      <c r="D52" s="7" t="n">
        <v>138.7</v>
      </c>
      <c r="F52" s="7" t="n">
        <v>140.4</v>
      </c>
      <c r="H52" s="7" t="n">
        <v>147.2</v>
      </c>
      <c r="J52" s="7" t="n">
        <v>154.8</v>
      </c>
      <c r="L52" s="7" t="n">
        <v>112.4</v>
      </c>
      <c r="N52" s="7" t="n">
        <v>193.3</v>
      </c>
      <c r="P52" s="7" t="n">
        <v>228.4</v>
      </c>
      <c r="R52" s="7" t="n">
        <v>99</v>
      </c>
      <c r="T52" s="7" t="n">
        <v>155.4</v>
      </c>
      <c r="V52" s="7" t="n">
        <v>108.2</v>
      </c>
      <c r="X52" s="7" t="n">
        <v>108.6</v>
      </c>
      <c r="Z52" s="7" t="n">
        <v>168.1</v>
      </c>
      <c r="AB52" s="7" t="n">
        <v>1754.5</v>
      </c>
    </row>
    <row r="53">
      <c r="A53" s="4" t="inlineStr">
        <is>
          <t>住宿费</t>
        </is>
      </c>
      <c r="D53" s="7" t="n">
        <v>985.2</v>
      </c>
      <c r="F53" s="7" t="n">
        <v>898.2</v>
      </c>
      <c r="H53" s="7" t="n">
        <v>1042.7</v>
      </c>
      <c r="J53" s="7" t="n">
        <v>1608.9</v>
      </c>
      <c r="L53" s="7" t="n">
        <v>859.4</v>
      </c>
      <c r="N53" s="7" t="n">
        <v>1639.4</v>
      </c>
      <c r="P53" s="7" t="n">
        <v>2133.9</v>
      </c>
      <c r="R53" s="7" t="n">
        <v>859.3</v>
      </c>
      <c r="T53" s="7" t="n">
        <v>1092.7</v>
      </c>
      <c r="V53" s="7" t="n">
        <v>1090.8</v>
      </c>
      <c r="X53" s="7" t="n">
        <v>612.6</v>
      </c>
      <c r="Z53" s="7" t="n">
        <v>1546.9</v>
      </c>
      <c r="AB53" s="7" t="n">
        <v>14370</v>
      </c>
    </row>
    <row r="54">
      <c r="A54" s="4" t="inlineStr">
        <is>
          <t>餐补</t>
        </is>
      </c>
      <c r="D54" s="7" t="n">
        <v>656.1</v>
      </c>
      <c r="F54" s="7" t="n">
        <v>800.9</v>
      </c>
      <c r="H54" s="7" t="n">
        <v>989.1</v>
      </c>
      <c r="J54" s="7" t="n">
        <v>1070.4</v>
      </c>
      <c r="L54" s="7" t="n">
        <v>465.7</v>
      </c>
      <c r="N54" s="7" t="n">
        <v>1089.8</v>
      </c>
      <c r="P54" s="7" t="n">
        <v>1110.1</v>
      </c>
      <c r="R54" s="7" t="n">
        <v>784.7</v>
      </c>
      <c r="T54" s="7" t="n">
        <v>905.3</v>
      </c>
      <c r="V54" s="7" t="n">
        <v>422.6</v>
      </c>
      <c r="X54" s="7" t="n">
        <v>494.9</v>
      </c>
      <c r="Z54" s="7" t="n">
        <v>828</v>
      </c>
      <c r="AB54" s="7" t="n">
        <v>9617.6</v>
      </c>
    </row>
    <row r="55">
      <c r="A55" s="4" t="inlineStr">
        <is>
          <t>交通补助</t>
        </is>
      </c>
      <c r="D55" s="7" t="n">
        <v>728.2</v>
      </c>
      <c r="F55" s="7" t="n">
        <v>651.9</v>
      </c>
      <c r="H55" s="7" t="n">
        <v>957.2</v>
      </c>
      <c r="J55" s="7" t="n">
        <v>936.9</v>
      </c>
      <c r="L55" s="7" t="n">
        <v>657.7</v>
      </c>
      <c r="N55" s="7" t="n">
        <v>787.1</v>
      </c>
      <c r="P55" s="7" t="n">
        <v>1136.1</v>
      </c>
      <c r="R55" s="7" t="n">
        <v>634</v>
      </c>
      <c r="T55" s="7" t="n">
        <v>740.6</v>
      </c>
      <c r="V55" s="7" t="n">
        <v>642.6</v>
      </c>
      <c r="X55" s="7" t="n">
        <v>490.4</v>
      </c>
      <c r="Z55" s="7" t="n">
        <v>666.5</v>
      </c>
      <c r="AB55" s="7" t="n">
        <v>9029.200000000001</v>
      </c>
    </row>
    <row r="56">
      <c r="A56" s="4" t="inlineStr">
        <is>
          <t>通讯补助</t>
        </is>
      </c>
      <c r="D56" s="7" t="n">
        <v>831.7</v>
      </c>
      <c r="F56" s="7" t="n">
        <v>827.7</v>
      </c>
      <c r="H56" s="7" t="n">
        <v>850.1</v>
      </c>
      <c r="J56" s="7" t="n">
        <v>1438.1</v>
      </c>
      <c r="L56" s="7" t="n">
        <v>898.8</v>
      </c>
      <c r="N56" s="7" t="n">
        <v>1121.7</v>
      </c>
      <c r="P56" s="7" t="n">
        <v>1523.8</v>
      </c>
      <c r="R56" s="7" t="n">
        <v>799.5</v>
      </c>
      <c r="T56" s="7" t="n">
        <v>679.5</v>
      </c>
      <c r="V56" s="7" t="n">
        <v>605.3</v>
      </c>
      <c r="X56" s="7" t="n">
        <v>785.7</v>
      </c>
      <c r="Z56" s="7" t="n">
        <v>938</v>
      </c>
      <c r="AB56" s="7" t="n">
        <v>11299.9</v>
      </c>
    </row>
    <row r="57">
      <c r="A57" s="4" t="inlineStr">
        <is>
          <t>招待费</t>
        </is>
      </c>
      <c r="D57" s="7" t="n">
        <v>9733.5</v>
      </c>
      <c r="F57" s="7" t="n">
        <v>12402.2</v>
      </c>
      <c r="H57" s="7" t="n">
        <v>13544.3</v>
      </c>
      <c r="J57" s="7" t="n">
        <v>15388.4</v>
      </c>
      <c r="L57" s="7" t="n">
        <v>6551.6</v>
      </c>
      <c r="N57" s="7" t="n">
        <v>12322.8</v>
      </c>
      <c r="P57" s="7" t="n">
        <v>16311.9</v>
      </c>
      <c r="R57" s="7" t="n">
        <v>9264</v>
      </c>
      <c r="T57" s="7" t="n">
        <v>10193.5</v>
      </c>
      <c r="V57" s="7" t="n">
        <v>10658.7</v>
      </c>
      <c r="X57" s="7" t="n">
        <v>8927.4</v>
      </c>
      <c r="Z57" s="7" t="n">
        <v>9759.4</v>
      </c>
      <c r="AB57" s="7" t="n">
        <v>135057.7</v>
      </c>
    </row>
    <row r="58">
      <c r="A58" s="4" t="inlineStr">
        <is>
          <t>通讯费</t>
        </is>
      </c>
      <c r="D58" s="7" t="n">
        <v>577.4</v>
      </c>
      <c r="F58" s="7" t="n">
        <v>688.3</v>
      </c>
      <c r="H58" s="7" t="n">
        <v>676.2</v>
      </c>
      <c r="J58" s="7" t="n">
        <v>706.3</v>
      </c>
      <c r="L58" s="7" t="n">
        <v>454.4</v>
      </c>
      <c r="N58" s="7" t="n">
        <v>557.4</v>
      </c>
      <c r="P58" s="7" t="n">
        <v>1044.7</v>
      </c>
      <c r="R58" s="7" t="n">
        <v>557.8</v>
      </c>
      <c r="T58" s="7" t="n">
        <v>648</v>
      </c>
      <c r="V58" s="7" t="n">
        <v>437.1</v>
      </c>
      <c r="X58" s="7" t="n">
        <v>320.7</v>
      </c>
      <c r="Z58" s="7" t="n">
        <v>725</v>
      </c>
      <c r="AB58" s="7" t="n">
        <v>7393.3</v>
      </c>
    </row>
    <row r="59">
      <c r="A59" s="4" t="inlineStr">
        <is>
          <t>网络费</t>
        </is>
      </c>
      <c r="D59" s="7" t="n">
        <v>363.7</v>
      </c>
      <c r="F59" s="7" t="n">
        <v>322.1</v>
      </c>
      <c r="H59" s="7" t="n">
        <v>551.8</v>
      </c>
      <c r="J59" s="7" t="n">
        <v>696</v>
      </c>
      <c r="L59" s="7" t="n">
        <v>351.1</v>
      </c>
      <c r="N59" s="7" t="n">
        <v>499.8</v>
      </c>
      <c r="P59" s="7" t="n">
        <v>1103.7</v>
      </c>
      <c r="R59" s="7" t="n">
        <v>423</v>
      </c>
      <c r="T59" s="7" t="n">
        <v>382.2</v>
      </c>
      <c r="V59" s="7" t="n">
        <v>421</v>
      </c>
      <c r="X59" s="7" t="n">
        <v>393</v>
      </c>
      <c r="Z59" s="7" t="n">
        <v>532.4</v>
      </c>
      <c r="AB59" s="7" t="n">
        <v>6039.8</v>
      </c>
    </row>
    <row r="60">
      <c r="A60" s="4" t="inlineStr">
        <is>
          <t>修理费</t>
        </is>
      </c>
      <c r="D60" s="7" t="n">
        <v>995.1</v>
      </c>
      <c r="F60" s="7" t="n">
        <v>668.5</v>
      </c>
      <c r="H60" s="7" t="n">
        <v>944.7</v>
      </c>
      <c r="J60" s="7" t="n">
        <v>1069.7</v>
      </c>
      <c r="L60" s="7" t="n">
        <v>991.9</v>
      </c>
      <c r="N60" s="7" t="n">
        <v>1317.7</v>
      </c>
      <c r="P60" s="7" t="n">
        <v>2226.5</v>
      </c>
      <c r="R60" s="7" t="n">
        <v>743.4</v>
      </c>
      <c r="T60" s="7" t="n">
        <v>1224.7</v>
      </c>
      <c r="V60" s="7" t="n">
        <v>554.2</v>
      </c>
      <c r="X60" s="7" t="n">
        <v>865.9</v>
      </c>
      <c r="Z60" s="7" t="n">
        <v>1131</v>
      </c>
      <c r="AB60" s="7" t="n">
        <v>12733.3</v>
      </c>
    </row>
    <row r="61">
      <c r="A61" s="4" t="inlineStr">
        <is>
          <t>车辆费</t>
        </is>
      </c>
      <c r="D61" s="7" t="n">
        <v>587.6</v>
      </c>
      <c r="F61" s="7" t="n">
        <v>918.7</v>
      </c>
      <c r="H61" s="7" t="n">
        <v>705</v>
      </c>
      <c r="J61" s="7" t="n">
        <v>1196</v>
      </c>
      <c r="L61" s="7" t="n">
        <v>765.4</v>
      </c>
      <c r="N61" s="7" t="n">
        <v>1180.7</v>
      </c>
      <c r="P61" s="7" t="n">
        <v>1403.4</v>
      </c>
      <c r="R61" s="7" t="n">
        <v>497.1</v>
      </c>
      <c r="T61" s="7" t="n">
        <v>625.3</v>
      </c>
      <c r="V61" s="7" t="n">
        <v>512.7</v>
      </c>
      <c r="X61" s="7" t="n">
        <v>490.5</v>
      </c>
      <c r="Z61" s="7" t="n">
        <v>800.7</v>
      </c>
      <c r="AB61" s="7" t="n">
        <v>9683.1</v>
      </c>
    </row>
    <row r="62">
      <c r="A62" s="4" t="inlineStr">
        <is>
          <t>租赁费</t>
        </is>
      </c>
      <c r="D62" s="7" t="n">
        <v>18022.9</v>
      </c>
      <c r="F62" s="7" t="n">
        <v>11045.9</v>
      </c>
      <c r="H62" s="7" t="n">
        <v>17567.8</v>
      </c>
      <c r="J62" s="7" t="n">
        <v>18277.6</v>
      </c>
      <c r="L62" s="7" t="n">
        <v>11049.4</v>
      </c>
      <c r="N62" s="7" t="n">
        <v>20497.7</v>
      </c>
      <c r="P62" s="7" t="n">
        <v>25381.9</v>
      </c>
      <c r="R62" s="7" t="n">
        <v>13378.5</v>
      </c>
      <c r="T62" s="7" t="n">
        <v>16157.9</v>
      </c>
      <c r="V62" s="7" t="n">
        <v>9355.1</v>
      </c>
      <c r="X62" s="7" t="n">
        <v>11069.2</v>
      </c>
      <c r="Z62" s="7" t="n">
        <v>15228</v>
      </c>
      <c r="AB62" s="7" t="n">
        <v>187031.9</v>
      </c>
    </row>
    <row r="63">
      <c r="A63" s="4" t="inlineStr">
        <is>
          <t>能源费</t>
        </is>
      </c>
      <c r="D63" s="7" t="n">
        <v>1297.8</v>
      </c>
      <c r="F63" s="7" t="n">
        <v>1406.7</v>
      </c>
      <c r="H63" s="7" t="n">
        <v>1473</v>
      </c>
      <c r="J63" s="7" t="n">
        <v>1629.3</v>
      </c>
      <c r="L63" s="7" t="n">
        <v>1098</v>
      </c>
      <c r="N63" s="7" t="n">
        <v>1862</v>
      </c>
      <c r="P63" s="7" t="n">
        <v>2033.9</v>
      </c>
      <c r="R63" s="7" t="n">
        <v>1016.1</v>
      </c>
      <c r="T63" s="7" t="n">
        <v>1326.3</v>
      </c>
      <c r="V63" s="7" t="n">
        <v>1133.7</v>
      </c>
      <c r="X63" s="7" t="n">
        <v>984.4</v>
      </c>
      <c r="Z63" s="7" t="n">
        <v>1593.3</v>
      </c>
      <c r="AB63" s="7" t="n">
        <v>16854.5</v>
      </c>
    </row>
    <row r="64">
      <c r="A64" s="4" t="inlineStr">
        <is>
          <t>水费</t>
        </is>
      </c>
      <c r="D64" s="7" t="n">
        <v>31.5</v>
      </c>
      <c r="F64" s="7" t="n">
        <v>22.8</v>
      </c>
      <c r="H64" s="7" t="n">
        <v>30.8</v>
      </c>
      <c r="J64" s="7" t="n">
        <v>52.8</v>
      </c>
      <c r="L64" s="7" t="n">
        <v>31.8</v>
      </c>
      <c r="N64" s="7" t="n">
        <v>44.2</v>
      </c>
      <c r="P64" s="7" t="n">
        <v>67.59999999999999</v>
      </c>
      <c r="R64" s="7" t="n">
        <v>24.8</v>
      </c>
      <c r="T64" s="7" t="n">
        <v>30.6</v>
      </c>
      <c r="V64" s="7" t="n">
        <v>32.2</v>
      </c>
      <c r="X64" s="7" t="n">
        <v>16.8</v>
      </c>
      <c r="Z64" s="7" t="n">
        <v>30.7</v>
      </c>
      <c r="AB64" s="7" t="n">
        <v>416.6</v>
      </c>
    </row>
    <row r="65">
      <c r="A65" s="4" t="inlineStr">
        <is>
          <t>电费</t>
        </is>
      </c>
      <c r="D65" s="7" t="n">
        <v>652.7</v>
      </c>
      <c r="F65" s="7" t="n">
        <v>579.4</v>
      </c>
      <c r="H65" s="7" t="n">
        <v>775.1</v>
      </c>
      <c r="J65" s="7" t="n">
        <v>742.1</v>
      </c>
      <c r="L65" s="7" t="n">
        <v>570.7</v>
      </c>
      <c r="N65" s="7" t="n">
        <v>888.7</v>
      </c>
      <c r="P65" s="7" t="n">
        <v>1022.7</v>
      </c>
      <c r="R65" s="7" t="n">
        <v>380.8</v>
      </c>
      <c r="T65" s="7" t="n">
        <v>761.9</v>
      </c>
      <c r="V65" s="7" t="n">
        <v>628.3</v>
      </c>
      <c r="X65" s="7" t="n">
        <v>491.9</v>
      </c>
      <c r="Z65" s="7" t="n">
        <v>674.8</v>
      </c>
      <c r="AB65" s="7" t="n">
        <v>8169.1</v>
      </c>
    </row>
    <row r="66">
      <c r="A66" s="4" t="inlineStr">
        <is>
          <t>燃气费</t>
        </is>
      </c>
      <c r="D66" s="7" t="n">
        <v>555</v>
      </c>
      <c r="F66" s="7" t="n">
        <v>763.1</v>
      </c>
      <c r="H66" s="7" t="n">
        <v>621.6</v>
      </c>
      <c r="J66" s="7" t="n">
        <v>783.4</v>
      </c>
      <c r="L66" s="7" t="n">
        <v>452.3</v>
      </c>
      <c r="N66" s="7" t="n">
        <v>886.7</v>
      </c>
      <c r="P66" s="7" t="n">
        <v>857.4</v>
      </c>
      <c r="R66" s="7" t="n">
        <v>567.2</v>
      </c>
      <c r="T66" s="7" t="n">
        <v>501.6</v>
      </c>
      <c r="V66" s="7" t="n">
        <v>445.6</v>
      </c>
      <c r="X66" s="7" t="n">
        <v>435.8</v>
      </c>
      <c r="Z66" s="7" t="n">
        <v>841.9</v>
      </c>
      <c r="AB66" s="7" t="n">
        <v>7711.6</v>
      </c>
    </row>
    <row r="67">
      <c r="A67" s="4" t="inlineStr">
        <is>
          <t>蒸汽费</t>
        </is>
      </c>
      <c r="D67" s="7" t="n">
        <v>58.6</v>
      </c>
      <c r="F67" s="7" t="n">
        <v>41.4</v>
      </c>
      <c r="H67" s="7" t="n">
        <v>45.5</v>
      </c>
      <c r="J67" s="7" t="n">
        <v>51</v>
      </c>
      <c r="L67" s="7" t="n">
        <v>43.2</v>
      </c>
      <c r="N67" s="7" t="n">
        <v>42.4</v>
      </c>
      <c r="P67" s="7" t="n">
        <v>86.2</v>
      </c>
      <c r="R67" s="7" t="n">
        <v>43.3</v>
      </c>
      <c r="T67" s="7" t="n">
        <v>32.2</v>
      </c>
      <c r="V67" s="7" t="n">
        <v>27.6</v>
      </c>
      <c r="X67" s="7" t="n">
        <v>39.9</v>
      </c>
      <c r="Z67" s="7" t="n">
        <v>45.9</v>
      </c>
      <c r="AB67" s="7" t="n">
        <v>557.2</v>
      </c>
    </row>
    <row r="68">
      <c r="A68" s="4" t="inlineStr">
        <is>
          <t>物业费</t>
        </is>
      </c>
      <c r="D68" s="7" t="n">
        <v>277</v>
      </c>
      <c r="F68" s="7" t="n">
        <v>356.7</v>
      </c>
      <c r="H68" s="7" t="n">
        <v>398</v>
      </c>
      <c r="J68" s="7" t="n">
        <v>435.6</v>
      </c>
      <c r="L68" s="7" t="n">
        <v>248.7</v>
      </c>
      <c r="N68" s="7" t="n">
        <v>477.8</v>
      </c>
      <c r="P68" s="7" t="n">
        <v>587.6</v>
      </c>
      <c r="R68" s="7" t="n">
        <v>289.2</v>
      </c>
      <c r="T68" s="7" t="n">
        <v>289.2</v>
      </c>
      <c r="V68" s="7" t="n">
        <v>232.3</v>
      </c>
      <c r="X68" s="7" t="n">
        <v>179.5</v>
      </c>
      <c r="Z68" s="7" t="n">
        <v>413.1</v>
      </c>
      <c r="AB68" s="7" t="n">
        <v>4184.7</v>
      </c>
    </row>
    <row r="69">
      <c r="A69" s="4" t="inlineStr">
        <is>
          <t>劳动保护费</t>
        </is>
      </c>
      <c r="D69" s="7" t="n">
        <v>2165.8</v>
      </c>
      <c r="F69" s="7" t="n">
        <v>1464</v>
      </c>
      <c r="H69" s="7" t="n">
        <v>1916</v>
      </c>
      <c r="J69" s="7" t="n">
        <v>2328.6</v>
      </c>
      <c r="L69" s="7" t="n">
        <v>1719.2</v>
      </c>
      <c r="N69" s="7" t="n">
        <v>2225.2</v>
      </c>
      <c r="P69" s="7" t="n">
        <v>3250.2</v>
      </c>
      <c r="R69" s="7" t="n">
        <v>1754.6</v>
      </c>
      <c r="T69" s="7" t="n">
        <v>1690.8</v>
      </c>
      <c r="V69" s="7" t="n">
        <v>1706.2</v>
      </c>
      <c r="X69" s="7" t="n">
        <v>1019.5</v>
      </c>
      <c r="Z69" s="7" t="n">
        <v>1575.4</v>
      </c>
      <c r="AB69" s="7" t="n">
        <v>22815.5</v>
      </c>
    </row>
    <row r="70">
      <c r="A70" s="4" t="inlineStr">
        <is>
          <t>顾问费</t>
        </is>
      </c>
      <c r="D70" s="7" t="n">
        <v>935</v>
      </c>
      <c r="F70" s="7" t="n">
        <v>892.1</v>
      </c>
      <c r="H70" s="7" t="n">
        <v>836</v>
      </c>
      <c r="J70" s="7" t="n">
        <v>1718.5</v>
      </c>
      <c r="L70" s="7" t="n">
        <v>729.7</v>
      </c>
      <c r="N70" s="7" t="n">
        <v>1352</v>
      </c>
      <c r="P70" s="7" t="n">
        <v>2367.2</v>
      </c>
      <c r="R70" s="7" t="n">
        <v>770.2</v>
      </c>
      <c r="T70" s="7" t="n">
        <v>1046.4</v>
      </c>
      <c r="V70" s="7" t="n">
        <v>808.4</v>
      </c>
      <c r="X70" s="7" t="n">
        <v>549.1</v>
      </c>
      <c r="Z70" s="7" t="n">
        <v>1073</v>
      </c>
      <c r="AB70" s="7" t="n">
        <v>13077.6</v>
      </c>
    </row>
    <row r="71">
      <c r="A71" s="4" t="inlineStr">
        <is>
          <t>快递费</t>
        </is>
      </c>
      <c r="D71" s="7" t="n">
        <v>2063.5</v>
      </c>
      <c r="F71" s="7" t="n">
        <v>1948.1</v>
      </c>
      <c r="H71" s="7" t="n">
        <v>2473</v>
      </c>
      <c r="J71" s="7" t="n">
        <v>2318</v>
      </c>
      <c r="L71" s="7" t="n">
        <v>1250.7</v>
      </c>
      <c r="N71" s="7" t="n">
        <v>2418.6</v>
      </c>
      <c r="P71" s="7" t="n">
        <v>3397.7</v>
      </c>
      <c r="R71" s="7" t="n">
        <v>1151.9</v>
      </c>
      <c r="T71" s="7" t="n">
        <v>1672.7</v>
      </c>
      <c r="V71" s="7" t="n">
        <v>1621.3</v>
      </c>
      <c r="X71" s="7" t="n">
        <v>1617.4</v>
      </c>
      <c r="Z71" s="7" t="n">
        <v>2050.7</v>
      </c>
      <c r="AB71" s="7" t="n">
        <v>23983.6</v>
      </c>
    </row>
    <row r="72">
      <c r="A72" s="4" t="inlineStr">
        <is>
          <t>诉讼费</t>
        </is>
      </c>
      <c r="D72" s="7" t="n">
        <v>1310.8</v>
      </c>
      <c r="F72" s="7" t="n">
        <v>1143.7</v>
      </c>
      <c r="H72" s="7" t="n">
        <v>859.4</v>
      </c>
      <c r="J72" s="7" t="n">
        <v>1318.9</v>
      </c>
      <c r="L72" s="7" t="n">
        <v>996</v>
      </c>
      <c r="N72" s="7" t="n">
        <v>1033.2</v>
      </c>
      <c r="P72" s="7" t="n">
        <v>2410.9</v>
      </c>
      <c r="R72" s="7" t="n">
        <v>1057</v>
      </c>
      <c r="T72" s="7" t="n">
        <v>895.8</v>
      </c>
      <c r="V72" s="7" t="n">
        <v>684.9</v>
      </c>
      <c r="X72" s="7" t="n">
        <v>898.7</v>
      </c>
      <c r="Z72" s="7" t="n">
        <v>855</v>
      </c>
      <c r="AB72" s="7" t="n">
        <v>13464.3</v>
      </c>
    </row>
    <row r="73">
      <c r="A73" s="4" t="inlineStr">
        <is>
          <t>会员费</t>
        </is>
      </c>
      <c r="D73" s="7" t="n">
        <v>761.5</v>
      </c>
      <c r="F73" s="7" t="n">
        <v>838.4</v>
      </c>
      <c r="H73" s="7" t="n">
        <v>1165.7</v>
      </c>
      <c r="J73" s="7" t="n">
        <v>1408.6</v>
      </c>
      <c r="L73" s="7" t="n">
        <v>872</v>
      </c>
      <c r="N73" s="7" t="n">
        <v>1072.2</v>
      </c>
      <c r="P73" s="7" t="n">
        <v>1223.3</v>
      </c>
      <c r="R73" s="7" t="n">
        <v>748.8</v>
      </c>
      <c r="T73" s="7" t="n">
        <v>752.6</v>
      </c>
      <c r="V73" s="7" t="n">
        <v>818</v>
      </c>
      <c r="X73" s="7" t="n">
        <v>482.9</v>
      </c>
      <c r="Z73" s="7" t="n">
        <v>847</v>
      </c>
      <c r="AB73" s="7" t="n">
        <v>10991</v>
      </c>
    </row>
    <row r="74">
      <c r="A74" s="4" t="inlineStr">
        <is>
          <t>广告宣传费</t>
        </is>
      </c>
      <c r="D74" s="7" t="n">
        <v>11392.8</v>
      </c>
      <c r="F74" s="7" t="n">
        <v>5514.5</v>
      </c>
      <c r="H74" s="7" t="n">
        <v>6429.6</v>
      </c>
      <c r="J74" s="7" t="n">
        <v>13120.4</v>
      </c>
      <c r="L74" s="7" t="n">
        <v>8223.299999999999</v>
      </c>
      <c r="N74" s="7" t="n">
        <v>13797</v>
      </c>
      <c r="P74" s="7" t="n">
        <v>19267.4</v>
      </c>
      <c r="R74" s="7" t="n">
        <v>5189.2</v>
      </c>
      <c r="T74" s="7" t="n">
        <v>7894.2</v>
      </c>
      <c r="V74" s="7" t="n">
        <v>5547.7</v>
      </c>
      <c r="X74" s="7" t="n">
        <v>6802.5</v>
      </c>
      <c r="Z74" s="7" t="n">
        <v>6642</v>
      </c>
      <c r="AB74" s="7" t="n">
        <v>109820.6</v>
      </c>
    </row>
    <row r="75">
      <c r="A75" s="4" t="inlineStr">
        <is>
          <t>会务费</t>
        </is>
      </c>
      <c r="D75" s="7" t="n">
        <v>1647.4</v>
      </c>
      <c r="F75" s="7" t="n">
        <v>1356.7</v>
      </c>
      <c r="H75" s="7" t="n">
        <v>1083.6</v>
      </c>
      <c r="J75" s="7" t="n">
        <v>1990.3</v>
      </c>
      <c r="L75" s="7" t="n">
        <v>1299.1</v>
      </c>
      <c r="N75" s="7" t="n">
        <v>1581</v>
      </c>
      <c r="P75" s="7" t="n">
        <v>2523</v>
      </c>
      <c r="R75" s="7" t="n">
        <v>1416.3</v>
      </c>
      <c r="T75" s="7" t="n">
        <v>1637.6</v>
      </c>
      <c r="V75" s="7" t="n">
        <v>1009.9</v>
      </c>
      <c r="X75" s="7" t="n">
        <v>1155.1</v>
      </c>
      <c r="Z75" s="7" t="n">
        <v>1469.5</v>
      </c>
      <c r="AB75" s="7" t="n">
        <v>18169.5</v>
      </c>
    </row>
    <row r="76">
      <c r="A76" s="4" t="inlineStr">
        <is>
          <t>装修费</t>
        </is>
      </c>
      <c r="D76" s="7" t="n">
        <v>1212.1</v>
      </c>
      <c r="F76" s="7" t="n">
        <v>861.2</v>
      </c>
      <c r="H76" s="7" t="n">
        <v>999.5</v>
      </c>
      <c r="J76" s="7" t="n">
        <v>1444.3</v>
      </c>
      <c r="L76" s="7" t="n">
        <v>1143.7</v>
      </c>
      <c r="N76" s="7" t="n">
        <v>1739.9</v>
      </c>
      <c r="P76" s="7" t="n">
        <v>1724</v>
      </c>
      <c r="R76" s="7" t="n">
        <v>795.6</v>
      </c>
      <c r="T76" s="7" t="n">
        <v>1118</v>
      </c>
      <c r="V76" s="7" t="n">
        <v>831.8</v>
      </c>
      <c r="X76" s="7" t="n">
        <v>1067</v>
      </c>
      <c r="Z76" s="7" t="n">
        <v>1437.2</v>
      </c>
      <c r="AB76" s="7" t="n">
        <v>14374.3</v>
      </c>
    </row>
    <row r="77">
      <c r="A77" s="4" t="inlineStr">
        <is>
          <t>推广费</t>
        </is>
      </c>
      <c r="D77" s="7" t="n">
        <v>310.5</v>
      </c>
      <c r="F77" s="7" t="n">
        <v>390.3</v>
      </c>
      <c r="H77" s="7" t="n">
        <v>305.5</v>
      </c>
      <c r="J77" s="7" t="n">
        <v>675.2</v>
      </c>
      <c r="L77" s="7" t="n">
        <v>307.9</v>
      </c>
      <c r="N77" s="7" t="n">
        <v>413.6</v>
      </c>
      <c r="P77" s="7" t="n">
        <v>622.2</v>
      </c>
      <c r="R77" s="7" t="n">
        <v>281.6</v>
      </c>
      <c r="T77" s="7" t="n">
        <v>368.8</v>
      </c>
      <c r="V77" s="7" t="n">
        <v>348.9</v>
      </c>
      <c r="X77" s="7" t="n">
        <v>309.6</v>
      </c>
      <c r="Z77" s="7" t="n">
        <v>410.9</v>
      </c>
      <c r="AB77" s="7" t="n">
        <v>4745</v>
      </c>
    </row>
    <row r="78">
      <c r="A78" s="4" t="inlineStr">
        <is>
          <t>展会费</t>
        </is>
      </c>
      <c r="D78" s="7" t="n">
        <v>1340.4</v>
      </c>
      <c r="F78" s="7" t="n">
        <v>802.7</v>
      </c>
      <c r="H78" s="7" t="n">
        <v>1013.8</v>
      </c>
      <c r="J78" s="7" t="n">
        <v>1283.2</v>
      </c>
      <c r="L78" s="7" t="n">
        <v>807.8</v>
      </c>
      <c r="N78" s="7" t="n">
        <v>1268</v>
      </c>
      <c r="P78" s="7" t="n">
        <v>1798.9</v>
      </c>
      <c r="R78" s="7" t="n">
        <v>1150.8</v>
      </c>
      <c r="T78" s="7" t="n">
        <v>858.1</v>
      </c>
      <c r="V78" s="7" t="n">
        <v>909.7</v>
      </c>
      <c r="X78" s="7" t="n">
        <v>770.8</v>
      </c>
      <c r="Z78" s="7" t="n">
        <v>1076.7</v>
      </c>
      <c r="AB78" s="7" t="n">
        <v>13080.9</v>
      </c>
    </row>
    <row r="79">
      <c r="A79" s="4" t="inlineStr">
        <is>
          <t>设计费</t>
        </is>
      </c>
      <c r="D79" s="7" t="n">
        <v>658.9</v>
      </c>
      <c r="F79" s="7" t="n">
        <v>563.9</v>
      </c>
      <c r="H79" s="7" t="n">
        <v>453.9</v>
      </c>
      <c r="J79" s="7" t="n">
        <v>669.3</v>
      </c>
      <c r="L79" s="7" t="n">
        <v>404.2</v>
      </c>
      <c r="N79" s="7" t="n">
        <v>741.7</v>
      </c>
      <c r="P79" s="7" t="n">
        <v>731.3</v>
      </c>
      <c r="R79" s="7" t="n">
        <v>372.7</v>
      </c>
      <c r="T79" s="7" t="n">
        <v>472.2</v>
      </c>
      <c r="V79" s="7" t="n">
        <v>438.8</v>
      </c>
      <c r="X79" s="7" t="n">
        <v>332.1</v>
      </c>
      <c r="Z79" s="7" t="n">
        <v>627.6</v>
      </c>
      <c r="AB79" s="7" t="n">
        <v>6466.6</v>
      </c>
    </row>
    <row r="80">
      <c r="A80" s="4" t="inlineStr">
        <is>
          <t>折旧费</t>
        </is>
      </c>
      <c r="D80" s="7" t="n">
        <v>13642.1</v>
      </c>
      <c r="F80" s="7" t="n">
        <v>13550.5</v>
      </c>
      <c r="H80" s="7" t="n">
        <v>11243.5</v>
      </c>
      <c r="J80" s="7" t="n">
        <v>16939.6</v>
      </c>
      <c r="L80" s="7" t="n">
        <v>7208.6</v>
      </c>
      <c r="N80" s="7" t="n">
        <v>12854.5</v>
      </c>
      <c r="P80" s="7" t="n">
        <v>16746.5</v>
      </c>
      <c r="R80" s="7" t="n">
        <v>11294.2</v>
      </c>
      <c r="T80" s="7" t="n">
        <v>9842.5</v>
      </c>
      <c r="V80" s="7" t="n">
        <v>7989.7</v>
      </c>
      <c r="X80" s="7" t="n">
        <v>9789.9</v>
      </c>
      <c r="Z80" s="7" t="n">
        <v>11361.4</v>
      </c>
      <c r="AB80" s="7" t="n">
        <v>142463</v>
      </c>
    </row>
    <row r="81">
      <c r="A81" s="4" t="inlineStr">
        <is>
          <t>认证费</t>
        </is>
      </c>
      <c r="D81" s="7" t="n">
        <v>334.7</v>
      </c>
      <c r="F81" s="7" t="n">
        <v>233.1</v>
      </c>
      <c r="H81" s="7" t="n">
        <v>409.1</v>
      </c>
      <c r="J81" s="7" t="n">
        <v>310.7</v>
      </c>
      <c r="L81" s="7" t="n">
        <v>315.9</v>
      </c>
      <c r="N81" s="7" t="n">
        <v>356</v>
      </c>
      <c r="P81" s="7" t="n">
        <v>518.2</v>
      </c>
      <c r="R81" s="7" t="n">
        <v>215.7</v>
      </c>
      <c r="T81" s="7" t="n">
        <v>266.3</v>
      </c>
      <c r="V81" s="7" t="n">
        <v>279.5</v>
      </c>
      <c r="X81" s="7" t="n">
        <v>261.3</v>
      </c>
      <c r="Z81" s="7" t="n">
        <v>346.4</v>
      </c>
      <c r="AB81" s="7" t="n">
        <v>3846.9</v>
      </c>
    </row>
    <row r="82">
      <c r="A82" s="4" t="inlineStr">
        <is>
          <t>样品费</t>
        </is>
      </c>
      <c r="D82" s="7" t="n">
        <v>5433.6</v>
      </c>
      <c r="F82" s="7" t="n">
        <v>5093.7</v>
      </c>
      <c r="H82" s="7" t="n">
        <v>7433.8</v>
      </c>
      <c r="J82" s="7" t="n">
        <v>9835.5</v>
      </c>
      <c r="L82" s="7" t="n">
        <v>5409.2</v>
      </c>
      <c r="N82" s="7" t="n">
        <v>8560.799999999999</v>
      </c>
      <c r="P82" s="7" t="n">
        <v>12344.3</v>
      </c>
      <c r="R82" s="7" t="n">
        <v>4728.5</v>
      </c>
      <c r="T82" s="7" t="n">
        <v>4635.7</v>
      </c>
      <c r="V82" s="7" t="n">
        <v>3549.4</v>
      </c>
      <c r="X82" s="7" t="n">
        <v>4410.4</v>
      </c>
      <c r="Z82" s="7" t="n">
        <v>5382.3</v>
      </c>
      <c r="AB82" s="7" t="n">
        <v>76817.2</v>
      </c>
    </row>
    <row r="83">
      <c r="A83" s="4" t="inlineStr">
        <is>
          <t>劳务费</t>
        </is>
      </c>
      <c r="D83" s="7" t="n">
        <v>173</v>
      </c>
      <c r="F83" s="7" t="n">
        <v>125.3</v>
      </c>
      <c r="H83" s="7" t="n">
        <v>199.3</v>
      </c>
      <c r="J83" s="7" t="n">
        <v>261.6</v>
      </c>
      <c r="L83" s="7" t="n">
        <v>166.7</v>
      </c>
      <c r="N83" s="7" t="n">
        <v>281.1</v>
      </c>
      <c r="P83" s="7" t="n">
        <v>438.5</v>
      </c>
      <c r="R83" s="7" t="n">
        <v>110.8</v>
      </c>
      <c r="T83" s="7" t="n">
        <v>186.7</v>
      </c>
      <c r="V83" s="7" t="n">
        <v>118.8</v>
      </c>
      <c r="X83" s="7" t="n">
        <v>111.1</v>
      </c>
      <c r="Z83" s="7" t="n">
        <v>212.4</v>
      </c>
      <c r="AB83" s="7" t="n">
        <v>2385.3</v>
      </c>
    </row>
    <row r="84">
      <c r="A84" s="4" t="inlineStr">
        <is>
          <t>销售佣金</t>
        </is>
      </c>
      <c r="D84" s="7" t="n">
        <v>1466.1</v>
      </c>
      <c r="F84" s="7" t="n">
        <v>1000.1</v>
      </c>
      <c r="H84" s="7" t="n">
        <v>1500.7</v>
      </c>
      <c r="J84" s="7" t="n">
        <v>1741.1</v>
      </c>
      <c r="L84" s="7" t="n">
        <v>735.7</v>
      </c>
      <c r="N84" s="7" t="n">
        <v>1708.3</v>
      </c>
      <c r="P84" s="7" t="n">
        <v>2460.5</v>
      </c>
      <c r="R84" s="7" t="n">
        <v>795.6</v>
      </c>
      <c r="T84" s="7" t="n">
        <v>1019.5</v>
      </c>
      <c r="V84" s="7" t="n">
        <v>1170.9</v>
      </c>
      <c r="X84" s="7" t="n">
        <v>670.2</v>
      </c>
      <c r="Z84" s="7" t="n">
        <v>1609.5</v>
      </c>
      <c r="AB84" s="7" t="n">
        <v>15878.2</v>
      </c>
    </row>
    <row r="85">
      <c r="A85" s="4" t="inlineStr">
        <is>
          <t>检测费</t>
        </is>
      </c>
      <c r="D85" s="7" t="n">
        <v>750.2</v>
      </c>
      <c r="F85" s="7" t="n">
        <v>748.3</v>
      </c>
      <c r="H85" s="7" t="n">
        <v>1073.3</v>
      </c>
      <c r="J85" s="7" t="n">
        <v>1420.9</v>
      </c>
      <c r="L85" s="7" t="n">
        <v>753.2</v>
      </c>
      <c r="N85" s="7" t="n">
        <v>1241.6</v>
      </c>
      <c r="P85" s="7" t="n">
        <v>2113.1</v>
      </c>
      <c r="R85" s="7" t="n">
        <v>711.8</v>
      </c>
      <c r="T85" s="7" t="n">
        <v>1025.1</v>
      </c>
      <c r="V85" s="7" t="n">
        <v>605.4</v>
      </c>
      <c r="X85" s="7" t="n">
        <v>529.5</v>
      </c>
      <c r="Z85" s="7" t="n">
        <v>736.5</v>
      </c>
      <c r="AB85" s="7" t="n">
        <v>11708.9</v>
      </c>
    </row>
    <row r="86">
      <c r="A86" s="4" t="inlineStr">
        <is>
          <t>质量赔偿</t>
        </is>
      </c>
      <c r="D86" s="7" t="n">
        <v>394.6</v>
      </c>
      <c r="F86" s="7" t="n">
        <v>280.1</v>
      </c>
      <c r="H86" s="7" t="n">
        <v>382.7</v>
      </c>
      <c r="J86" s="7" t="n">
        <v>533.1</v>
      </c>
      <c r="L86" s="7" t="n">
        <v>305</v>
      </c>
      <c r="N86" s="7" t="n">
        <v>558.3</v>
      </c>
      <c r="P86" s="7" t="n">
        <v>523.7</v>
      </c>
      <c r="R86" s="7" t="n">
        <v>371.6</v>
      </c>
      <c r="T86" s="7" t="n">
        <v>418.1</v>
      </c>
      <c r="V86" s="7" t="n">
        <v>228.4</v>
      </c>
      <c r="X86" s="7" t="n">
        <v>307.5</v>
      </c>
      <c r="Z86" s="7" t="n">
        <v>396.4</v>
      </c>
      <c r="AB86" s="7" t="n">
        <v>4699.5</v>
      </c>
    </row>
    <row r="87">
      <c r="A87" s="4" t="inlineStr">
        <is>
          <t>保险费</t>
        </is>
      </c>
      <c r="D87" s="7" t="n">
        <v>622.8</v>
      </c>
      <c r="F87" s="7" t="n">
        <v>900.3</v>
      </c>
      <c r="H87" s="7" t="n">
        <v>945.5</v>
      </c>
      <c r="J87" s="7" t="n">
        <v>1177.7</v>
      </c>
      <c r="L87" s="7" t="n">
        <v>541.6</v>
      </c>
      <c r="N87" s="7" t="n">
        <v>1065.2</v>
      </c>
      <c r="P87" s="7" t="n">
        <v>1591.9</v>
      </c>
      <c r="R87" s="7" t="n">
        <v>886.1</v>
      </c>
      <c r="T87" s="7" t="n">
        <v>728.9</v>
      </c>
      <c r="V87" s="7" t="n">
        <v>788.7</v>
      </c>
      <c r="X87" s="7" t="n">
        <v>510.1</v>
      </c>
      <c r="Z87" s="7" t="n">
        <v>741.8</v>
      </c>
      <c r="AB87" s="7" t="n">
        <v>10500.6</v>
      </c>
    </row>
    <row r="88">
      <c r="A88" s="4" t="inlineStr">
        <is>
          <t>清洁费</t>
        </is>
      </c>
      <c r="D88" s="7" t="n">
        <v>968.6</v>
      </c>
      <c r="F88" s="7" t="n">
        <v>926.2</v>
      </c>
      <c r="H88" s="7" t="n">
        <v>1410.4</v>
      </c>
      <c r="J88" s="7" t="n">
        <v>1844.3</v>
      </c>
      <c r="L88" s="7" t="n">
        <v>820.6</v>
      </c>
      <c r="N88" s="7" t="n">
        <v>1163.2</v>
      </c>
      <c r="P88" s="7" t="n">
        <v>2494.4</v>
      </c>
      <c r="R88" s="7" t="n">
        <v>842.5</v>
      </c>
      <c r="T88" s="7" t="n">
        <v>813.2</v>
      </c>
      <c r="V88" s="7" t="n">
        <v>587.8</v>
      </c>
      <c r="X88" s="7" t="n">
        <v>708.7</v>
      </c>
      <c r="Z88" s="7" t="n">
        <v>931.1</v>
      </c>
      <c r="AB88" s="7" t="n">
        <v>13511</v>
      </c>
    </row>
    <row r="89">
      <c r="A89" s="4" t="inlineStr">
        <is>
          <t>低值易耗品</t>
        </is>
      </c>
      <c r="D89" s="7" t="n">
        <v>1742.2</v>
      </c>
      <c r="F89" s="7" t="n">
        <v>1715</v>
      </c>
      <c r="H89" s="7" t="n">
        <v>1849.5</v>
      </c>
      <c r="J89" s="7" t="n">
        <v>1942.2</v>
      </c>
      <c r="L89" s="7" t="n">
        <v>1591</v>
      </c>
      <c r="N89" s="7" t="n">
        <v>2490.2</v>
      </c>
      <c r="P89" s="7" t="n">
        <v>2650.4</v>
      </c>
      <c r="R89" s="7" t="n">
        <v>1415.5</v>
      </c>
      <c r="T89" s="7" t="n">
        <v>1498.8</v>
      </c>
      <c r="V89" s="7" t="n">
        <v>1334.6</v>
      </c>
      <c r="X89" s="7" t="n">
        <v>927.8</v>
      </c>
      <c r="Z89" s="7" t="n">
        <v>1530.2</v>
      </c>
      <c r="AB89" s="7" t="n">
        <v>20687.4</v>
      </c>
    </row>
    <row r="90">
      <c r="A90" s="4" t="inlineStr">
        <is>
          <t>物料消耗</t>
        </is>
      </c>
      <c r="D90" s="7" t="n">
        <v>1238.8</v>
      </c>
      <c r="F90" s="7" t="n">
        <v>827.2</v>
      </c>
      <c r="H90" s="7" t="n">
        <v>945.3</v>
      </c>
      <c r="J90" s="7" t="n">
        <v>1832.9</v>
      </c>
      <c r="L90" s="7" t="n">
        <v>1051.8</v>
      </c>
      <c r="N90" s="7" t="n">
        <v>1716.4</v>
      </c>
      <c r="P90" s="7" t="n">
        <v>2248.1</v>
      </c>
      <c r="R90" s="7" t="n">
        <v>739.9</v>
      </c>
      <c r="T90" s="7" t="n">
        <v>1410.1</v>
      </c>
      <c r="V90" s="7" t="n">
        <v>1112.7</v>
      </c>
      <c r="X90" s="7" t="n">
        <v>876.2</v>
      </c>
      <c r="Z90" s="7" t="n">
        <v>1343.8</v>
      </c>
      <c r="AB90" s="7" t="n">
        <v>15343.2</v>
      </c>
    </row>
    <row r="91">
      <c r="A91" s="4" t="inlineStr">
        <is>
          <t>盘盈盘亏</t>
        </is>
      </c>
      <c r="D91" s="7" t="n">
        <v>1309.7</v>
      </c>
      <c r="F91" s="7" t="n">
        <v>1681.5</v>
      </c>
      <c r="H91" s="7" t="n">
        <v>1497.7</v>
      </c>
      <c r="J91" s="7" t="n">
        <v>2453.8</v>
      </c>
      <c r="L91" s="7" t="n">
        <v>1013.3</v>
      </c>
      <c r="N91" s="7" t="n">
        <v>1426.5</v>
      </c>
      <c r="P91" s="7" t="n">
        <v>2428.6</v>
      </c>
      <c r="R91" s="7" t="n">
        <v>1087.2</v>
      </c>
      <c r="T91" s="7" t="n">
        <v>1624.2</v>
      </c>
      <c r="V91" s="7" t="n">
        <v>1071.2</v>
      </c>
      <c r="X91" s="7" t="n">
        <v>980.4</v>
      </c>
      <c r="Z91" s="7" t="n">
        <v>1371.7</v>
      </c>
      <c r="AB91" s="7" t="n">
        <v>17945.8</v>
      </c>
    </row>
    <row r="92">
      <c r="A92" s="4" t="inlineStr">
        <is>
          <t>平台服务费</t>
        </is>
      </c>
      <c r="D92" s="7" t="n">
        <v>941</v>
      </c>
      <c r="F92" s="7" t="n">
        <v>673</v>
      </c>
      <c r="H92" s="7" t="n">
        <v>1044</v>
      </c>
      <c r="J92" s="7" t="n">
        <v>986.5</v>
      </c>
      <c r="L92" s="7" t="n">
        <v>727</v>
      </c>
      <c r="N92" s="7" t="n">
        <v>1246</v>
      </c>
      <c r="P92" s="7" t="n">
        <v>1674.3</v>
      </c>
      <c r="R92" s="7" t="n">
        <v>453.7</v>
      </c>
      <c r="T92" s="7" t="n">
        <v>850.3</v>
      </c>
      <c r="V92" s="7" t="n">
        <v>487.6</v>
      </c>
      <c r="X92" s="7" t="n">
        <v>620.4</v>
      </c>
      <c r="Z92" s="7" t="n">
        <v>687.3</v>
      </c>
      <c r="AB92" s="7" t="n">
        <v>10391.1</v>
      </c>
    </row>
    <row r="93">
      <c r="A93" s="4" t="inlineStr">
        <is>
          <t>无形资产摊销</t>
        </is>
      </c>
      <c r="D93" s="7" t="n">
        <v>650.2</v>
      </c>
      <c r="F93" s="7" t="n">
        <v>750.9</v>
      </c>
      <c r="H93" s="7" t="n">
        <v>653.3</v>
      </c>
      <c r="J93" s="7" t="n">
        <v>1003.2</v>
      </c>
      <c r="L93" s="7" t="n">
        <v>450.9</v>
      </c>
      <c r="N93" s="7" t="n">
        <v>719.7</v>
      </c>
      <c r="P93" s="7" t="n">
        <v>1294.4</v>
      </c>
      <c r="R93" s="7" t="n">
        <v>692.8</v>
      </c>
      <c r="T93" s="7" t="n">
        <v>518.2</v>
      </c>
      <c r="V93" s="7" t="n">
        <v>447.5</v>
      </c>
      <c r="X93" s="7" t="n">
        <v>440.1</v>
      </c>
      <c r="Z93" s="7" t="n">
        <v>693.3</v>
      </c>
      <c r="AB93" s="7" t="n">
        <v>8314.5</v>
      </c>
    </row>
    <row r="94">
      <c r="A94" s="4" t="inlineStr">
        <is>
          <t>研发材料</t>
        </is>
      </c>
      <c r="D94" s="7" t="n">
        <v>1380.6</v>
      </c>
      <c r="F94" s="7" t="n">
        <v>1583.7</v>
      </c>
      <c r="H94" s="7" t="n">
        <v>1025.2</v>
      </c>
      <c r="J94" s="7" t="n">
        <v>2048.9</v>
      </c>
      <c r="L94" s="7" t="n">
        <v>1182.2</v>
      </c>
      <c r="N94" s="7" t="n">
        <v>2088</v>
      </c>
      <c r="P94" s="7" t="n">
        <v>2475.9</v>
      </c>
      <c r="R94" s="7" t="n">
        <v>956.8</v>
      </c>
      <c r="T94" s="7" t="n">
        <v>1393.6</v>
      </c>
      <c r="V94" s="7" t="n">
        <v>945.1</v>
      </c>
      <c r="X94" s="7" t="n">
        <v>722.4</v>
      </c>
      <c r="Z94" s="7" t="n">
        <v>1468.9</v>
      </c>
      <c r="AB94" s="7" t="n">
        <v>17271.3</v>
      </c>
    </row>
    <row r="95">
      <c r="A95" s="4" t="inlineStr">
        <is>
          <t>项目名称</t>
        </is>
      </c>
      <c r="D95" s="7" t="n">
        <v>496</v>
      </c>
      <c r="F95" s="7" t="n">
        <v>592.6</v>
      </c>
      <c r="H95" s="7" t="n">
        <v>413.4</v>
      </c>
      <c r="J95" s="7" t="n">
        <v>558.7</v>
      </c>
      <c r="L95" s="7" t="n">
        <v>467.6</v>
      </c>
      <c r="N95" s="7" t="n">
        <v>574.1</v>
      </c>
      <c r="P95" s="7" t="n">
        <v>1112.7</v>
      </c>
      <c r="R95" s="7" t="n">
        <v>400</v>
      </c>
      <c r="T95" s="7" t="n">
        <v>396.5</v>
      </c>
      <c r="V95" s="7" t="n">
        <v>309</v>
      </c>
      <c r="X95" s="7" t="n">
        <v>319.5</v>
      </c>
      <c r="Z95" s="7" t="n">
        <v>425.4</v>
      </c>
      <c r="AB95" s="7" t="n">
        <v>6065.5</v>
      </c>
    </row>
    <row r="96">
      <c r="A96" s="4" t="inlineStr">
        <is>
          <t>研发费</t>
        </is>
      </c>
      <c r="D96" s="7" t="n">
        <v>145.3</v>
      </c>
      <c r="F96" s="7" t="n">
        <v>157.2</v>
      </c>
      <c r="H96" s="7" t="n">
        <v>199</v>
      </c>
      <c r="J96" s="7" t="n">
        <v>195.4</v>
      </c>
      <c r="L96" s="7" t="n">
        <v>132</v>
      </c>
      <c r="N96" s="7" t="n">
        <v>179</v>
      </c>
      <c r="P96" s="7" t="n">
        <v>217.1</v>
      </c>
      <c r="R96" s="7" t="n">
        <v>156.4</v>
      </c>
      <c r="T96" s="7" t="n">
        <v>118.4</v>
      </c>
      <c r="V96" s="7" t="n">
        <v>146.1</v>
      </c>
      <c r="X96" s="7" t="n">
        <v>130.5</v>
      </c>
      <c r="Z96" s="7" t="n">
        <v>146.9</v>
      </c>
      <c r="AB96" s="7" t="n">
        <v>1923.3</v>
      </c>
    </row>
    <row r="97">
      <c r="A97" s="4" t="inlineStr">
        <is>
          <t>残保金</t>
        </is>
      </c>
      <c r="D97" s="7" t="n">
        <v>2068</v>
      </c>
      <c r="F97" s="7" t="n">
        <v>1413.5</v>
      </c>
      <c r="H97" s="7" t="n">
        <v>2052</v>
      </c>
      <c r="J97" s="7" t="n">
        <v>1793.4</v>
      </c>
      <c r="L97" s="7" t="n">
        <v>1233.2</v>
      </c>
      <c r="N97" s="7" t="n">
        <v>1937.2</v>
      </c>
      <c r="P97" s="7" t="n">
        <v>2656.8</v>
      </c>
      <c r="R97" s="7" t="n">
        <v>1443.2</v>
      </c>
      <c r="T97" s="7" t="n">
        <v>1739.4</v>
      </c>
      <c r="V97" s="7" t="n">
        <v>1031.5</v>
      </c>
      <c r="X97" s="7" t="n">
        <v>1290.3</v>
      </c>
      <c r="Z97" s="7" t="n">
        <v>1144.9</v>
      </c>
      <c r="AB97" s="7" t="n">
        <v>19803.4</v>
      </c>
    </row>
    <row r="98">
      <c r="A98" s="4" t="inlineStr">
        <is>
          <t>环保费</t>
        </is>
      </c>
      <c r="D98" s="7" t="n">
        <v>219.9</v>
      </c>
      <c r="F98" s="7" t="n">
        <v>191.3</v>
      </c>
      <c r="H98" s="7" t="n">
        <v>230.9</v>
      </c>
      <c r="J98" s="7" t="n">
        <v>225.2</v>
      </c>
      <c r="L98" s="7" t="n">
        <v>178.6</v>
      </c>
      <c r="N98" s="7" t="n">
        <v>345.7</v>
      </c>
      <c r="P98" s="7" t="n">
        <v>415.4</v>
      </c>
      <c r="R98" s="7" t="n">
        <v>129.3</v>
      </c>
      <c r="T98" s="7" t="n">
        <v>208.3</v>
      </c>
      <c r="V98" s="7" t="n">
        <v>121.4</v>
      </c>
      <c r="X98" s="7" t="n">
        <v>157.3</v>
      </c>
      <c r="Z98" s="7" t="n">
        <v>264.1</v>
      </c>
      <c r="AB98" s="7" t="n">
        <v>2687.4</v>
      </c>
    </row>
    <row r="99">
      <c r="A99" s="4" t="inlineStr">
        <is>
          <t>报废损失</t>
        </is>
      </c>
      <c r="D99" s="7" t="n">
        <v>1532.9</v>
      </c>
      <c r="F99" s="7" t="n">
        <v>1413.3</v>
      </c>
      <c r="H99" s="7" t="n">
        <v>1668</v>
      </c>
      <c r="J99" s="7" t="n">
        <v>2336.8</v>
      </c>
      <c r="L99" s="7" t="n">
        <v>1209.5</v>
      </c>
      <c r="N99" s="7" t="n">
        <v>2359.4</v>
      </c>
      <c r="P99" s="7" t="n">
        <v>3193.8</v>
      </c>
      <c r="R99" s="7" t="n">
        <v>1230.5</v>
      </c>
      <c r="T99" s="7" t="n">
        <v>1691.8</v>
      </c>
      <c r="V99" s="7" t="n">
        <v>1351.8</v>
      </c>
      <c r="X99" s="7" t="n">
        <v>782.8</v>
      </c>
      <c r="Z99" s="7" t="n">
        <v>1861.2</v>
      </c>
      <c r="AB99" s="7" t="n">
        <v>20631.8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120210.3</v>
      </c>
      <c r="D100" s="7" t="n">
        <v>93506.60000000001</v>
      </c>
      <c r="E100" s="7" t="n">
        <v>127328.8</v>
      </c>
      <c r="F100" s="7" t="n">
        <v>108718.2</v>
      </c>
      <c r="G100" s="7" t="n">
        <v>133574.7</v>
      </c>
      <c r="H100" s="7" t="n">
        <v>121009.6</v>
      </c>
      <c r="I100" s="7" t="n">
        <v>138409.5</v>
      </c>
      <c r="J100" s="7" t="n">
        <v>148266</v>
      </c>
      <c r="K100" s="7" t="n">
        <v>123717.8</v>
      </c>
      <c r="L100" s="7" t="n">
        <v>120317.8</v>
      </c>
      <c r="M100" s="7" t="n">
        <v>108150.9</v>
      </c>
      <c r="N100" s="7" t="n">
        <v>108744.8</v>
      </c>
      <c r="O100" s="7" t="n">
        <v>129110.2</v>
      </c>
      <c r="P100" s="7" t="n">
        <v>154476.2</v>
      </c>
      <c r="Q100" s="7" t="n">
        <v>107577.7</v>
      </c>
      <c r="R100" s="7" t="n">
        <v>212519.3</v>
      </c>
      <c r="S100" s="7" t="n">
        <v>138713.1</v>
      </c>
      <c r="T100" s="7" t="n">
        <v>142653.4</v>
      </c>
      <c r="U100" s="7" t="n">
        <v>108052</v>
      </c>
      <c r="V100" s="7" t="n">
        <v>137761.7</v>
      </c>
      <c r="W100" s="7" t="n">
        <v>115869.6</v>
      </c>
      <c r="X100" s="7" t="n">
        <v>76721.89999999999</v>
      </c>
      <c r="Y100" s="7" t="n">
        <v>123519</v>
      </c>
      <c r="Z100" s="7" t="n">
        <v>90650.89999999999</v>
      </c>
      <c r="AA100" s="8" t="n">
        <v>1474233.6</v>
      </c>
      <c r="AB100" s="8" t="n">
        <v>1515346.4</v>
      </c>
    </row>
    <row r="101">
      <c r="A101" s="4" t="inlineStr">
        <is>
          <t>职工薪酬</t>
        </is>
      </c>
      <c r="D101" s="7" t="n">
        <v>49851.7</v>
      </c>
      <c r="F101" s="7" t="n">
        <v>49611.7</v>
      </c>
      <c r="H101" s="7" t="n">
        <v>55507.3</v>
      </c>
      <c r="J101" s="7" t="n">
        <v>60037.3</v>
      </c>
      <c r="L101" s="7" t="n">
        <v>66320.7</v>
      </c>
      <c r="N101" s="7" t="n">
        <v>59597.8</v>
      </c>
      <c r="P101" s="7" t="n">
        <v>82751.10000000001</v>
      </c>
      <c r="R101" s="7" t="n">
        <v>103319.6</v>
      </c>
      <c r="T101" s="7" t="n">
        <v>89384</v>
      </c>
      <c r="V101" s="7" t="n">
        <v>62669.9</v>
      </c>
      <c r="X101" s="7" t="n">
        <v>36489.3</v>
      </c>
      <c r="Z101" s="7" t="n">
        <v>42678.6</v>
      </c>
      <c r="AB101" s="7" t="n">
        <v>758219</v>
      </c>
    </row>
    <row r="102">
      <c r="A102" s="4" t="inlineStr">
        <is>
          <t>工资</t>
        </is>
      </c>
      <c r="D102" s="7" t="n">
        <v>32646.8</v>
      </c>
      <c r="F102" s="7" t="n">
        <v>26864.9</v>
      </c>
      <c r="H102" s="7" t="n">
        <v>29367.3</v>
      </c>
      <c r="J102" s="7" t="n">
        <v>31835.7</v>
      </c>
      <c r="L102" s="7" t="n">
        <v>38302.7</v>
      </c>
      <c r="N102" s="7" t="n">
        <v>39370.6</v>
      </c>
      <c r="P102" s="7" t="n">
        <v>54113.5</v>
      </c>
      <c r="R102" s="7" t="n">
        <v>65288.8</v>
      </c>
      <c r="T102" s="7" t="n">
        <v>54470.6</v>
      </c>
      <c r="V102" s="7" t="n">
        <v>37050</v>
      </c>
      <c r="X102" s="7" t="n">
        <v>20466.4</v>
      </c>
      <c r="Z102" s="7" t="n">
        <v>22791.3</v>
      </c>
      <c r="AB102" s="7" t="n">
        <v>452568.6</v>
      </c>
    </row>
    <row r="103">
      <c r="A103" s="4" t="inlineStr">
        <is>
          <t>奖金及提成</t>
        </is>
      </c>
      <c r="D103" s="7" t="n">
        <v>7717</v>
      </c>
      <c r="F103" s="7" t="n">
        <v>9586.299999999999</v>
      </c>
      <c r="H103" s="7" t="n">
        <v>11551.2</v>
      </c>
      <c r="J103" s="7" t="n">
        <v>12790.1</v>
      </c>
      <c r="L103" s="7" t="n">
        <v>15181.5</v>
      </c>
      <c r="N103" s="7" t="n">
        <v>9029.5</v>
      </c>
      <c r="P103" s="7" t="n">
        <v>14106.9</v>
      </c>
      <c r="R103" s="7" t="n">
        <v>16627.2</v>
      </c>
      <c r="T103" s="7" t="n">
        <v>17679.4</v>
      </c>
      <c r="V103" s="7" t="n">
        <v>13277.3</v>
      </c>
      <c r="X103" s="7" t="n">
        <v>9210.4</v>
      </c>
      <c r="Z103" s="7" t="n">
        <v>8385.799999999999</v>
      </c>
      <c r="AB103" s="7" t="n">
        <v>145142.6</v>
      </c>
    </row>
    <row r="104">
      <c r="A104" s="4" t="inlineStr">
        <is>
          <t>社保</t>
        </is>
      </c>
      <c r="D104" s="7" t="n">
        <v>7229</v>
      </c>
      <c r="F104" s="7" t="n">
        <v>9970.5</v>
      </c>
      <c r="H104" s="7" t="n">
        <v>11074.3</v>
      </c>
      <c r="J104" s="7" t="n">
        <v>11010.2</v>
      </c>
      <c r="L104" s="7" t="n">
        <v>9318.299999999999</v>
      </c>
      <c r="N104" s="7" t="n">
        <v>8173.3</v>
      </c>
      <c r="P104" s="7" t="n">
        <v>10175.4</v>
      </c>
      <c r="R104" s="7" t="n">
        <v>15782.6</v>
      </c>
      <c r="T104" s="7" t="n">
        <v>13565.8</v>
      </c>
      <c r="V104" s="7" t="n">
        <v>8328.6</v>
      </c>
      <c r="X104" s="7" t="n">
        <v>4941.2</v>
      </c>
      <c r="Z104" s="7" t="n">
        <v>9050.4</v>
      </c>
      <c r="AB104" s="7" t="n">
        <v>118619.6</v>
      </c>
    </row>
    <row r="105">
      <c r="A105" s="4" t="inlineStr">
        <is>
          <t>养老</t>
        </is>
      </c>
      <c r="D105" s="7" t="n">
        <v>343.4</v>
      </c>
      <c r="F105" s="7" t="n">
        <v>596</v>
      </c>
      <c r="H105" s="7" t="n">
        <v>444</v>
      </c>
      <c r="J105" s="7" t="n">
        <v>699.8</v>
      </c>
      <c r="L105" s="7" t="n">
        <v>607.6</v>
      </c>
      <c r="N105" s="7" t="n">
        <v>594</v>
      </c>
      <c r="P105" s="7" t="n">
        <v>653.3</v>
      </c>
      <c r="R105" s="7" t="n">
        <v>822.5</v>
      </c>
      <c r="T105" s="7" t="n">
        <v>875</v>
      </c>
      <c r="V105" s="7" t="n">
        <v>772.2</v>
      </c>
      <c r="X105" s="7" t="n">
        <v>333.9</v>
      </c>
      <c r="Z105" s="7" t="n">
        <v>367.4</v>
      </c>
      <c r="AB105" s="7" t="n">
        <v>7109.1</v>
      </c>
    </row>
    <row r="106">
      <c r="A106" s="4" t="inlineStr">
        <is>
          <t>医疗</t>
        </is>
      </c>
      <c r="D106" s="7" t="n">
        <v>66.90000000000001</v>
      </c>
      <c r="F106" s="7" t="n">
        <v>56.2</v>
      </c>
      <c r="H106" s="7" t="n">
        <v>105</v>
      </c>
      <c r="J106" s="7" t="n">
        <v>102.4</v>
      </c>
      <c r="L106" s="7" t="n">
        <v>107.3</v>
      </c>
      <c r="N106" s="7" t="n">
        <v>72.90000000000001</v>
      </c>
      <c r="P106" s="7" t="n">
        <v>143.8</v>
      </c>
      <c r="R106" s="7" t="n">
        <v>187.6</v>
      </c>
      <c r="T106" s="7" t="n">
        <v>100.6</v>
      </c>
      <c r="V106" s="7" t="n">
        <v>122.3</v>
      </c>
      <c r="X106" s="7" t="n">
        <v>49.6</v>
      </c>
      <c r="Z106" s="7" t="n">
        <v>86.5</v>
      </c>
      <c r="AB106" s="7" t="n">
        <v>1201.1</v>
      </c>
    </row>
    <row r="107">
      <c r="A107" s="4" t="inlineStr">
        <is>
          <t>工伤</t>
        </is>
      </c>
      <c r="D107" s="7" t="n">
        <v>56.2</v>
      </c>
      <c r="F107" s="7" t="n">
        <v>56.2</v>
      </c>
      <c r="H107" s="7" t="n">
        <v>65.90000000000001</v>
      </c>
      <c r="J107" s="7" t="n">
        <v>104.3</v>
      </c>
      <c r="L107" s="7" t="n">
        <v>57.6</v>
      </c>
      <c r="N107" s="7" t="n">
        <v>65.5</v>
      </c>
      <c r="P107" s="7" t="n">
        <v>76.5</v>
      </c>
      <c r="R107" s="7" t="n">
        <v>92.3</v>
      </c>
      <c r="T107" s="7" t="n">
        <v>67.09999999999999</v>
      </c>
      <c r="V107" s="7" t="n">
        <v>79.2</v>
      </c>
      <c r="X107" s="7" t="n">
        <v>33</v>
      </c>
      <c r="Z107" s="7" t="n">
        <v>39.8</v>
      </c>
      <c r="AB107" s="7" t="n">
        <v>793.6</v>
      </c>
    </row>
    <row r="108">
      <c r="A108" s="4" t="inlineStr">
        <is>
          <t>失业</t>
        </is>
      </c>
      <c r="D108" s="7" t="n">
        <v>493.3</v>
      </c>
      <c r="F108" s="7" t="n">
        <v>365.1</v>
      </c>
      <c r="H108" s="7" t="n">
        <v>651.6</v>
      </c>
      <c r="J108" s="7" t="n">
        <v>824.3</v>
      </c>
      <c r="L108" s="7" t="n">
        <v>601.3</v>
      </c>
      <c r="N108" s="7" t="n">
        <v>457.5</v>
      </c>
      <c r="P108" s="7" t="n">
        <v>668.1</v>
      </c>
      <c r="R108" s="7" t="n">
        <v>769.6</v>
      </c>
      <c r="T108" s="7" t="n">
        <v>522.4</v>
      </c>
      <c r="V108" s="7" t="n">
        <v>792.3</v>
      </c>
      <c r="X108" s="7" t="n">
        <v>447.3</v>
      </c>
      <c r="Z108" s="7" t="n">
        <v>473.2</v>
      </c>
      <c r="AB108" s="7" t="n">
        <v>7066</v>
      </c>
    </row>
    <row r="109">
      <c r="A109" s="4" t="inlineStr">
        <is>
          <t>生育</t>
        </is>
      </c>
      <c r="D109" s="7" t="n">
        <v>401.9</v>
      </c>
      <c r="F109" s="7" t="n">
        <v>709.1</v>
      </c>
      <c r="H109" s="7" t="n">
        <v>492.3</v>
      </c>
      <c r="J109" s="7" t="n">
        <v>628.2</v>
      </c>
      <c r="L109" s="7" t="n">
        <v>638.4</v>
      </c>
      <c r="N109" s="7" t="n">
        <v>510.6</v>
      </c>
      <c r="P109" s="7" t="n">
        <v>882.5</v>
      </c>
      <c r="R109" s="7" t="n">
        <v>1406.3</v>
      </c>
      <c r="T109" s="7" t="n">
        <v>651.2</v>
      </c>
      <c r="V109" s="7" t="n">
        <v>653.4</v>
      </c>
      <c r="X109" s="7" t="n">
        <v>477</v>
      </c>
      <c r="Z109" s="7" t="n">
        <v>433</v>
      </c>
      <c r="AB109" s="7" t="n">
        <v>7883.9</v>
      </c>
    </row>
    <row r="110">
      <c r="A110" s="4" t="inlineStr">
        <is>
          <t>公积金</t>
        </is>
      </c>
      <c r="D110" s="7" t="n">
        <v>392.7</v>
      </c>
      <c r="F110" s="7" t="n">
        <v>775.1</v>
      </c>
      <c r="H110" s="7" t="n">
        <v>880.3</v>
      </c>
      <c r="J110" s="7" t="n">
        <v>629</v>
      </c>
      <c r="L110" s="7" t="n">
        <v>649.5</v>
      </c>
      <c r="N110" s="7" t="n">
        <v>671.3</v>
      </c>
      <c r="P110" s="7" t="n">
        <v>914</v>
      </c>
      <c r="R110" s="7" t="n">
        <v>984.6</v>
      </c>
      <c r="T110" s="7" t="n">
        <v>589.5</v>
      </c>
      <c r="V110" s="7" t="n">
        <v>994.3</v>
      </c>
      <c r="X110" s="7" t="n">
        <v>337.7</v>
      </c>
      <c r="Z110" s="7" t="n">
        <v>683.1</v>
      </c>
      <c r="AB110" s="7" t="n">
        <v>8501.1</v>
      </c>
    </row>
    <row r="111">
      <c r="A111" s="4" t="inlineStr">
        <is>
          <t>工会经费</t>
        </is>
      </c>
      <c r="D111" s="7" t="n">
        <v>67.90000000000001</v>
      </c>
      <c r="F111" s="7" t="n">
        <v>103.4</v>
      </c>
      <c r="H111" s="7" t="n">
        <v>108.3</v>
      </c>
      <c r="J111" s="7" t="n">
        <v>111.7</v>
      </c>
      <c r="L111" s="7" t="n">
        <v>69.2</v>
      </c>
      <c r="N111" s="7" t="n">
        <v>85.09999999999999</v>
      </c>
      <c r="P111" s="7" t="n">
        <v>123.2</v>
      </c>
      <c r="R111" s="7" t="n">
        <v>138.9</v>
      </c>
      <c r="T111" s="7" t="n">
        <v>103.2</v>
      </c>
      <c r="V111" s="7" t="n">
        <v>126.1</v>
      </c>
      <c r="X111" s="7" t="n">
        <v>43.9</v>
      </c>
      <c r="Z111" s="7" t="n">
        <v>73.09999999999999</v>
      </c>
      <c r="AB111" s="7" t="n">
        <v>1154</v>
      </c>
    </row>
    <row r="112">
      <c r="A112" s="4" t="inlineStr">
        <is>
          <t>职工教育经费</t>
        </is>
      </c>
      <c r="D112" s="7" t="n">
        <v>239.4</v>
      </c>
      <c r="F112" s="7" t="n">
        <v>294.5</v>
      </c>
      <c r="H112" s="7" t="n">
        <v>286.2</v>
      </c>
      <c r="J112" s="7" t="n">
        <v>408.5</v>
      </c>
      <c r="L112" s="7" t="n">
        <v>349.3</v>
      </c>
      <c r="N112" s="7" t="n">
        <v>213.2</v>
      </c>
      <c r="P112" s="7" t="n">
        <v>308</v>
      </c>
      <c r="R112" s="7" t="n">
        <v>396.3</v>
      </c>
      <c r="T112" s="7" t="n">
        <v>432.7</v>
      </c>
      <c r="V112" s="7" t="n">
        <v>275.9</v>
      </c>
      <c r="X112" s="7" t="n">
        <v>137.8</v>
      </c>
      <c r="Z112" s="7" t="n">
        <v>164.5</v>
      </c>
      <c r="AB112" s="7" t="n">
        <v>3506.3</v>
      </c>
    </row>
    <row r="113">
      <c r="A113" s="4" t="inlineStr">
        <is>
          <t>福利费</t>
        </is>
      </c>
      <c r="D113" s="7" t="n">
        <v>1558.9</v>
      </c>
      <c r="F113" s="7" t="n">
        <v>2017</v>
      </c>
      <c r="H113" s="7" t="n">
        <v>2239.7</v>
      </c>
      <c r="J113" s="7" t="n">
        <v>3252.1</v>
      </c>
      <c r="L113" s="7" t="n">
        <v>2450.2</v>
      </c>
      <c r="N113" s="7" t="n">
        <v>2054.8</v>
      </c>
      <c r="P113" s="7" t="n">
        <v>3010.1</v>
      </c>
      <c r="R113" s="7" t="n">
        <v>4101.2</v>
      </c>
      <c r="T113" s="7" t="n">
        <v>2542.8</v>
      </c>
      <c r="V113" s="7" t="n">
        <v>2617.7</v>
      </c>
      <c r="X113" s="7" t="n">
        <v>1351.9</v>
      </c>
      <c r="Z113" s="7" t="n">
        <v>1530.4</v>
      </c>
      <c r="AB113" s="7" t="n">
        <v>28726.8</v>
      </c>
    </row>
    <row r="114">
      <c r="A114" s="4" t="inlineStr">
        <is>
          <t>职工房租</t>
        </is>
      </c>
      <c r="D114" s="7" t="n">
        <v>363</v>
      </c>
      <c r="F114" s="7" t="n">
        <v>516.4</v>
      </c>
      <c r="H114" s="7" t="n">
        <v>661.3</v>
      </c>
      <c r="J114" s="7" t="n">
        <v>774</v>
      </c>
      <c r="L114" s="7" t="n">
        <v>755.9</v>
      </c>
      <c r="N114" s="7" t="n">
        <v>390.4</v>
      </c>
      <c r="P114" s="7" t="n">
        <v>957.3</v>
      </c>
      <c r="R114" s="7" t="n">
        <v>985.9</v>
      </c>
      <c r="T114" s="7" t="n">
        <v>518.1</v>
      </c>
      <c r="V114" s="7" t="n">
        <v>562</v>
      </c>
      <c r="X114" s="7" t="n">
        <v>309.4</v>
      </c>
      <c r="Z114" s="7" t="n">
        <v>354.9</v>
      </c>
      <c r="AB114" s="7" t="n">
        <v>7148.6</v>
      </c>
    </row>
    <row r="115">
      <c r="A115" s="4" t="inlineStr">
        <is>
          <t>水电物业费</t>
        </is>
      </c>
      <c r="D115" s="7" t="n">
        <v>24.6</v>
      </c>
      <c r="F115" s="7" t="n">
        <v>19.4</v>
      </c>
      <c r="H115" s="7" t="n">
        <v>24.2</v>
      </c>
      <c r="J115" s="7" t="n">
        <v>34.6</v>
      </c>
      <c r="L115" s="7" t="n">
        <v>26.7</v>
      </c>
      <c r="N115" s="7" t="n">
        <v>22</v>
      </c>
      <c r="P115" s="7" t="n">
        <v>37.2</v>
      </c>
      <c r="R115" s="7" t="n">
        <v>56.6</v>
      </c>
      <c r="T115" s="7" t="n">
        <v>33.4</v>
      </c>
      <c r="V115" s="7" t="n">
        <v>29.9</v>
      </c>
      <c r="X115" s="7" t="n">
        <v>14.2</v>
      </c>
      <c r="Z115" s="7" t="n">
        <v>21.8</v>
      </c>
      <c r="AB115" s="7" t="n">
        <v>344.6</v>
      </c>
    </row>
    <row r="116">
      <c r="A116" s="4" t="inlineStr">
        <is>
          <t>员工餐</t>
        </is>
      </c>
      <c r="D116" s="7" t="n">
        <v>258</v>
      </c>
      <c r="F116" s="7" t="n">
        <v>337.6</v>
      </c>
      <c r="H116" s="7" t="n">
        <v>502.9</v>
      </c>
      <c r="J116" s="7" t="n">
        <v>665.7</v>
      </c>
      <c r="L116" s="7" t="n">
        <v>388.6</v>
      </c>
      <c r="N116" s="7" t="n">
        <v>480.9</v>
      </c>
      <c r="P116" s="7" t="n">
        <v>471.8</v>
      </c>
      <c r="R116" s="7" t="n">
        <v>900.8</v>
      </c>
      <c r="T116" s="7" t="n">
        <v>506.8</v>
      </c>
      <c r="V116" s="7" t="n">
        <v>507.6</v>
      </c>
      <c r="X116" s="7" t="n">
        <v>301.5</v>
      </c>
      <c r="Z116" s="7" t="n">
        <v>357.2</v>
      </c>
      <c r="AB116" s="7" t="n">
        <v>5679.4</v>
      </c>
    </row>
    <row r="117">
      <c r="A117" s="4" t="inlineStr">
        <is>
          <t>节日礼品</t>
        </is>
      </c>
      <c r="D117" s="7" t="n">
        <v>212.3</v>
      </c>
      <c r="F117" s="7" t="n">
        <v>180.1</v>
      </c>
      <c r="H117" s="7" t="n">
        <v>249.7</v>
      </c>
      <c r="J117" s="7" t="n">
        <v>361.3</v>
      </c>
      <c r="L117" s="7" t="n">
        <v>345.4</v>
      </c>
      <c r="N117" s="7" t="n">
        <v>189.4</v>
      </c>
      <c r="P117" s="7" t="n">
        <v>290</v>
      </c>
      <c r="R117" s="7" t="n">
        <v>464.9</v>
      </c>
      <c r="T117" s="7" t="n">
        <v>245.5</v>
      </c>
      <c r="V117" s="7" t="n">
        <v>318.7</v>
      </c>
      <c r="X117" s="7" t="n">
        <v>151.1</v>
      </c>
      <c r="Z117" s="7" t="n">
        <v>249.1</v>
      </c>
      <c r="AB117" s="7" t="n">
        <v>3257.5</v>
      </c>
    </row>
    <row r="118">
      <c r="A118" s="4" t="inlineStr">
        <is>
          <t>生日礼品</t>
        </is>
      </c>
      <c r="D118" s="7" t="n">
        <v>181</v>
      </c>
      <c r="F118" s="7" t="n">
        <v>282.5</v>
      </c>
      <c r="H118" s="7" t="n">
        <v>182.7</v>
      </c>
      <c r="J118" s="7" t="n">
        <v>364.2</v>
      </c>
      <c r="L118" s="7" t="n">
        <v>242.9</v>
      </c>
      <c r="N118" s="7" t="n">
        <v>205.5</v>
      </c>
      <c r="P118" s="7" t="n">
        <v>393.3</v>
      </c>
      <c r="R118" s="7" t="n">
        <v>555.9</v>
      </c>
      <c r="T118" s="7" t="n">
        <v>234.6</v>
      </c>
      <c r="V118" s="7" t="n">
        <v>333.9</v>
      </c>
      <c r="X118" s="7" t="n">
        <v>128.7</v>
      </c>
      <c r="Z118" s="7" t="n">
        <v>129.6</v>
      </c>
      <c r="AB118" s="7" t="n">
        <v>3234.8</v>
      </c>
    </row>
    <row r="119">
      <c r="A119" s="4" t="inlineStr">
        <is>
          <t>体检</t>
        </is>
      </c>
      <c r="D119" s="7" t="n">
        <v>410.3</v>
      </c>
      <c r="F119" s="7" t="n">
        <v>554.5</v>
      </c>
      <c r="H119" s="7" t="n">
        <v>460.4</v>
      </c>
      <c r="J119" s="7" t="n">
        <v>867</v>
      </c>
      <c r="L119" s="7" t="n">
        <v>587.3</v>
      </c>
      <c r="N119" s="7" t="n">
        <v>617.2</v>
      </c>
      <c r="P119" s="7" t="n">
        <v>681.7</v>
      </c>
      <c r="R119" s="7" t="n">
        <v>856.7</v>
      </c>
      <c r="T119" s="7" t="n">
        <v>870.1</v>
      </c>
      <c r="V119" s="7" t="n">
        <v>674.8</v>
      </c>
      <c r="X119" s="7" t="n">
        <v>341.2</v>
      </c>
      <c r="Z119" s="7" t="n">
        <v>331.4</v>
      </c>
      <c r="AB119" s="7" t="n">
        <v>7252.6</v>
      </c>
    </row>
    <row r="120">
      <c r="A120" s="4" t="inlineStr">
        <is>
          <t>其他福利支出</t>
        </is>
      </c>
      <c r="D120" s="7" t="n">
        <v>109.7</v>
      </c>
      <c r="F120" s="7" t="n">
        <v>126.5</v>
      </c>
      <c r="H120" s="7" t="n">
        <v>158.5</v>
      </c>
      <c r="J120" s="7" t="n">
        <v>185.3</v>
      </c>
      <c r="L120" s="7" t="n">
        <v>103.4</v>
      </c>
      <c r="N120" s="7" t="n">
        <v>149.4</v>
      </c>
      <c r="P120" s="7" t="n">
        <v>178.8</v>
      </c>
      <c r="R120" s="7" t="n">
        <v>280.4</v>
      </c>
      <c r="T120" s="7" t="n">
        <v>134.3</v>
      </c>
      <c r="V120" s="7" t="n">
        <v>190.8</v>
      </c>
      <c r="X120" s="7" t="n">
        <v>105.8</v>
      </c>
      <c r="Z120" s="7" t="n">
        <v>86.40000000000001</v>
      </c>
      <c r="AB120" s="7" t="n">
        <v>1809.3</v>
      </c>
    </row>
    <row r="121">
      <c r="A121" s="4" t="inlineStr">
        <is>
          <t>招聘费</t>
        </is>
      </c>
      <c r="D121" s="7" t="n">
        <v>708.9</v>
      </c>
      <c r="F121" s="7" t="n">
        <v>794</v>
      </c>
      <c r="H121" s="7" t="n">
        <v>701.2</v>
      </c>
      <c r="J121" s="7" t="n">
        <v>684.7</v>
      </c>
      <c r="L121" s="7" t="n">
        <v>897.7</v>
      </c>
      <c r="N121" s="7" t="n">
        <v>449.9</v>
      </c>
      <c r="P121" s="7" t="n">
        <v>776.5</v>
      </c>
      <c r="R121" s="7" t="n">
        <v>1297.5</v>
      </c>
      <c r="T121" s="7" t="n">
        <v>747.5</v>
      </c>
      <c r="V121" s="7" t="n">
        <v>1020.5</v>
      </c>
      <c r="X121" s="7" t="n">
        <v>484</v>
      </c>
      <c r="Z121" s="7" t="n">
        <v>683.1</v>
      </c>
      <c r="AB121" s="7" t="n">
        <v>9245.5</v>
      </c>
    </row>
    <row r="122">
      <c r="A122" s="4" t="inlineStr">
        <is>
          <t>办公费</t>
        </is>
      </c>
      <c r="D122" s="7" t="n">
        <v>2063.3</v>
      </c>
      <c r="F122" s="7" t="n">
        <v>3086.2</v>
      </c>
      <c r="H122" s="7" t="n">
        <v>2854.4</v>
      </c>
      <c r="J122" s="7" t="n">
        <v>5308.5</v>
      </c>
      <c r="L122" s="7" t="n">
        <v>4182.6</v>
      </c>
      <c r="N122" s="7" t="n">
        <v>3863.2</v>
      </c>
      <c r="P122" s="7" t="n">
        <v>5888.1</v>
      </c>
      <c r="R122" s="7" t="n">
        <v>5390.4</v>
      </c>
      <c r="T122" s="7" t="n">
        <v>5014.8</v>
      </c>
      <c r="V122" s="7" t="n">
        <v>4495.1</v>
      </c>
      <c r="X122" s="7" t="n">
        <v>2151.1</v>
      </c>
      <c r="Z122" s="7" t="n">
        <v>2219.2</v>
      </c>
      <c r="AB122" s="7" t="n">
        <v>46516.9</v>
      </c>
    </row>
    <row r="123">
      <c r="A123" s="4" t="inlineStr">
        <is>
          <t>市内交通费</t>
        </is>
      </c>
      <c r="D123" s="7" t="n">
        <v>379.8</v>
      </c>
      <c r="F123" s="7" t="n">
        <v>760.2</v>
      </c>
      <c r="H123" s="7" t="n">
        <v>573.2</v>
      </c>
      <c r="J123" s="7" t="n">
        <v>1002.3</v>
      </c>
      <c r="L123" s="7" t="n">
        <v>509.5</v>
      </c>
      <c r="N123" s="7" t="n">
        <v>680.5</v>
      </c>
      <c r="P123" s="7" t="n">
        <v>1070.5</v>
      </c>
      <c r="R123" s="7" t="n">
        <v>919.8</v>
      </c>
      <c r="T123" s="7" t="n">
        <v>753.9</v>
      </c>
      <c r="V123" s="7" t="n">
        <v>831.6</v>
      </c>
      <c r="X123" s="7" t="n">
        <v>485.4</v>
      </c>
      <c r="Z123" s="7" t="n">
        <v>350.4</v>
      </c>
      <c r="AB123" s="7" t="n">
        <v>8317.1</v>
      </c>
    </row>
    <row r="124">
      <c r="A124" s="4" t="inlineStr">
        <is>
          <t>差旅费</t>
        </is>
      </c>
      <c r="D124" s="7" t="n">
        <v>4322.1</v>
      </c>
      <c r="F124" s="7" t="n">
        <v>5784</v>
      </c>
      <c r="H124" s="7" t="n">
        <v>5529.4</v>
      </c>
      <c r="J124" s="7" t="n">
        <v>9582.1</v>
      </c>
      <c r="L124" s="7" t="n">
        <v>7093.9</v>
      </c>
      <c r="N124" s="7" t="n">
        <v>7152.7</v>
      </c>
      <c r="P124" s="7" t="n">
        <v>8149.8</v>
      </c>
      <c r="R124" s="7" t="n">
        <v>9881.1</v>
      </c>
      <c r="T124" s="7" t="n">
        <v>9806.700000000001</v>
      </c>
      <c r="V124" s="7" t="n">
        <v>8039.4</v>
      </c>
      <c r="X124" s="7" t="n">
        <v>3416.8</v>
      </c>
      <c r="Z124" s="7" t="n">
        <v>7002.2</v>
      </c>
      <c r="AB124" s="7" t="n">
        <v>85760.2</v>
      </c>
    </row>
    <row r="125">
      <c r="A125" s="4" t="inlineStr">
        <is>
          <t>交通费</t>
        </is>
      </c>
      <c r="D125" s="7" t="n">
        <v>505.2</v>
      </c>
      <c r="F125" s="7" t="n">
        <v>560.3</v>
      </c>
      <c r="H125" s="7" t="n">
        <v>934</v>
      </c>
      <c r="J125" s="7" t="n">
        <v>822.3</v>
      </c>
      <c r="L125" s="7" t="n">
        <v>886.9</v>
      </c>
      <c r="N125" s="7" t="n">
        <v>498.4</v>
      </c>
      <c r="P125" s="7" t="n">
        <v>903.8</v>
      </c>
      <c r="R125" s="7" t="n">
        <v>1333.5</v>
      </c>
      <c r="T125" s="7" t="n">
        <v>1044</v>
      </c>
      <c r="V125" s="7" t="n">
        <v>917</v>
      </c>
      <c r="X125" s="7" t="n">
        <v>539</v>
      </c>
      <c r="Z125" s="7" t="n">
        <v>625.2</v>
      </c>
      <c r="AB125" s="7" t="n">
        <v>9569.6</v>
      </c>
    </row>
    <row r="126">
      <c r="A126" s="4" t="inlineStr">
        <is>
          <t>住宿费</t>
        </is>
      </c>
      <c r="D126" s="7" t="n">
        <v>104.9</v>
      </c>
      <c r="F126" s="7" t="n">
        <v>208</v>
      </c>
      <c r="H126" s="7" t="n">
        <v>189.3</v>
      </c>
      <c r="J126" s="7" t="n">
        <v>231.4</v>
      </c>
      <c r="L126" s="7" t="n">
        <v>162.6</v>
      </c>
      <c r="N126" s="7" t="n">
        <v>195.7</v>
      </c>
      <c r="P126" s="7" t="n">
        <v>250.1</v>
      </c>
      <c r="R126" s="7" t="n">
        <v>376.3</v>
      </c>
      <c r="T126" s="7" t="n">
        <v>268.5</v>
      </c>
      <c r="V126" s="7" t="n">
        <v>193.4</v>
      </c>
      <c r="X126" s="7" t="n">
        <v>122.4</v>
      </c>
      <c r="Z126" s="7" t="n">
        <v>162.8</v>
      </c>
      <c r="AB126" s="7" t="n">
        <v>2465.4</v>
      </c>
    </row>
    <row r="127">
      <c r="A127" s="4" t="inlineStr">
        <is>
          <t>餐补</t>
        </is>
      </c>
      <c r="D127" s="7" t="n">
        <v>194.9</v>
      </c>
      <c r="F127" s="7" t="n">
        <v>172.9</v>
      </c>
      <c r="H127" s="7" t="n">
        <v>189.2</v>
      </c>
      <c r="J127" s="7" t="n">
        <v>273.7</v>
      </c>
      <c r="L127" s="7" t="n">
        <v>210.4</v>
      </c>
      <c r="N127" s="7" t="n">
        <v>240.1</v>
      </c>
      <c r="P127" s="7" t="n">
        <v>366.1</v>
      </c>
      <c r="R127" s="7" t="n">
        <v>292.8</v>
      </c>
      <c r="T127" s="7" t="n">
        <v>199.4</v>
      </c>
      <c r="V127" s="7" t="n">
        <v>299.6</v>
      </c>
      <c r="X127" s="7" t="n">
        <v>119.2</v>
      </c>
      <c r="Z127" s="7" t="n">
        <v>166.1</v>
      </c>
      <c r="AB127" s="7" t="n">
        <v>2724.4</v>
      </c>
    </row>
    <row r="128">
      <c r="A128" s="4" t="inlineStr">
        <is>
          <t>交通补助</t>
        </is>
      </c>
      <c r="D128" s="7" t="n">
        <v>398.4</v>
      </c>
      <c r="F128" s="7" t="n">
        <v>321.3</v>
      </c>
      <c r="H128" s="7" t="n">
        <v>548.1</v>
      </c>
      <c r="J128" s="7" t="n">
        <v>646.6</v>
      </c>
      <c r="L128" s="7" t="n">
        <v>483.3</v>
      </c>
      <c r="N128" s="7" t="n">
        <v>506.8</v>
      </c>
      <c r="P128" s="7" t="n">
        <v>554.1</v>
      </c>
      <c r="R128" s="7" t="n">
        <v>833.1</v>
      </c>
      <c r="T128" s="7" t="n">
        <v>694</v>
      </c>
      <c r="V128" s="7" t="n">
        <v>496.3</v>
      </c>
      <c r="X128" s="7" t="n">
        <v>315.5</v>
      </c>
      <c r="Z128" s="7" t="n">
        <v>370.4</v>
      </c>
      <c r="AB128" s="7" t="n">
        <v>6167.9</v>
      </c>
    </row>
    <row r="129">
      <c r="A129" s="4" t="inlineStr">
        <is>
          <t>通讯补助</t>
        </is>
      </c>
      <c r="D129" s="7" t="n">
        <v>619.2</v>
      </c>
      <c r="F129" s="7" t="n">
        <v>591.4</v>
      </c>
      <c r="H129" s="7" t="n">
        <v>485.2</v>
      </c>
      <c r="J129" s="7" t="n">
        <v>893.8</v>
      </c>
      <c r="L129" s="7" t="n">
        <v>573.8</v>
      </c>
      <c r="N129" s="7" t="n">
        <v>624.5</v>
      </c>
      <c r="P129" s="7" t="n">
        <v>998.6</v>
      </c>
      <c r="R129" s="7" t="n">
        <v>1054.1</v>
      </c>
      <c r="T129" s="7" t="n">
        <v>695</v>
      </c>
      <c r="V129" s="7" t="n">
        <v>822</v>
      </c>
      <c r="X129" s="7" t="n">
        <v>362.7</v>
      </c>
      <c r="Z129" s="7" t="n">
        <v>553.3</v>
      </c>
      <c r="AB129" s="7" t="n">
        <v>8273.6</v>
      </c>
    </row>
    <row r="130">
      <c r="A130" s="4" t="inlineStr">
        <is>
          <t>招待费</t>
        </is>
      </c>
      <c r="D130" s="7" t="n">
        <v>4530.7</v>
      </c>
      <c r="F130" s="7" t="n">
        <v>4540.1</v>
      </c>
      <c r="H130" s="7" t="n">
        <v>4906.5</v>
      </c>
      <c r="J130" s="7" t="n">
        <v>7497</v>
      </c>
      <c r="L130" s="7" t="n">
        <v>5717</v>
      </c>
      <c r="N130" s="7" t="n">
        <v>4684.2</v>
      </c>
      <c r="P130" s="7" t="n">
        <v>7208.3</v>
      </c>
      <c r="R130" s="7" t="n">
        <v>9363.1</v>
      </c>
      <c r="T130" s="7" t="n">
        <v>4082.1</v>
      </c>
      <c r="V130" s="7" t="n">
        <v>5731.8</v>
      </c>
      <c r="X130" s="7" t="n">
        <v>2192.7</v>
      </c>
      <c r="Z130" s="7" t="n">
        <v>4596.3</v>
      </c>
      <c r="AB130" s="7" t="n">
        <v>65049.8</v>
      </c>
    </row>
    <row r="131">
      <c r="A131" s="4" t="inlineStr">
        <is>
          <t>通讯费</t>
        </is>
      </c>
      <c r="D131" s="7" t="n">
        <v>75.90000000000001</v>
      </c>
      <c r="F131" s="7" t="n">
        <v>83.2</v>
      </c>
      <c r="H131" s="7" t="n">
        <v>89.2</v>
      </c>
      <c r="J131" s="7" t="n">
        <v>116.2</v>
      </c>
      <c r="L131" s="7" t="n">
        <v>66.40000000000001</v>
      </c>
      <c r="N131" s="7" t="n">
        <v>83.90000000000001</v>
      </c>
      <c r="P131" s="7" t="n">
        <v>90.7</v>
      </c>
      <c r="R131" s="7" t="n">
        <v>176.8</v>
      </c>
      <c r="T131" s="7" t="n">
        <v>78.5</v>
      </c>
      <c r="V131" s="7" t="n">
        <v>86.40000000000001</v>
      </c>
      <c r="X131" s="7" t="n">
        <v>36.2</v>
      </c>
      <c r="Z131" s="7" t="n">
        <v>57.3</v>
      </c>
      <c r="AB131" s="7" t="n">
        <v>1040.7</v>
      </c>
    </row>
    <row r="132">
      <c r="A132" s="4" t="inlineStr">
        <is>
          <t>网络费</t>
        </is>
      </c>
      <c r="D132" s="7" t="n">
        <v>521.3</v>
      </c>
      <c r="F132" s="7" t="n">
        <v>830.9</v>
      </c>
      <c r="H132" s="7" t="n">
        <v>649.2</v>
      </c>
      <c r="J132" s="7" t="n">
        <v>1120</v>
      </c>
      <c r="L132" s="7" t="n">
        <v>804</v>
      </c>
      <c r="N132" s="7" t="n">
        <v>631.1</v>
      </c>
      <c r="P132" s="7" t="n">
        <v>944.4</v>
      </c>
      <c r="R132" s="7" t="n">
        <v>1255.5</v>
      </c>
      <c r="T132" s="7" t="n">
        <v>1102.5</v>
      </c>
      <c r="V132" s="7" t="n">
        <v>1080.4</v>
      </c>
      <c r="X132" s="7" t="n">
        <v>605.2</v>
      </c>
      <c r="Z132" s="7" t="n">
        <v>530.3</v>
      </c>
      <c r="AB132" s="7" t="n">
        <v>10074.8</v>
      </c>
    </row>
    <row r="133">
      <c r="A133" s="4" t="inlineStr">
        <is>
          <t>修理费</t>
        </is>
      </c>
      <c r="D133" s="7" t="n">
        <v>432.3</v>
      </c>
      <c r="F133" s="7" t="n">
        <v>528.1</v>
      </c>
      <c r="H133" s="7" t="n">
        <v>409.2</v>
      </c>
      <c r="J133" s="7" t="n">
        <v>717.5</v>
      </c>
      <c r="L133" s="7" t="n">
        <v>370</v>
      </c>
      <c r="N133" s="7" t="n">
        <v>498.1</v>
      </c>
      <c r="P133" s="7" t="n">
        <v>676.6</v>
      </c>
      <c r="R133" s="7" t="n">
        <v>762.6</v>
      </c>
      <c r="T133" s="7" t="n">
        <v>575.6</v>
      </c>
      <c r="V133" s="7" t="n">
        <v>452</v>
      </c>
      <c r="X133" s="7" t="n">
        <v>288.3</v>
      </c>
      <c r="Z133" s="7" t="n">
        <v>314.7</v>
      </c>
      <c r="AB133" s="7" t="n">
        <v>6025</v>
      </c>
    </row>
    <row r="134">
      <c r="A134" s="4" t="inlineStr">
        <is>
          <t>车辆费</t>
        </is>
      </c>
      <c r="D134" s="7" t="n">
        <v>394.9</v>
      </c>
      <c r="F134" s="7" t="n">
        <v>596.9</v>
      </c>
      <c r="H134" s="7" t="n">
        <v>694.6</v>
      </c>
      <c r="J134" s="7" t="n">
        <v>792.9</v>
      </c>
      <c r="L134" s="7" t="n">
        <v>711.9</v>
      </c>
      <c r="N134" s="7" t="n">
        <v>450.8</v>
      </c>
      <c r="P134" s="7" t="n">
        <v>549.5</v>
      </c>
      <c r="R134" s="7" t="n">
        <v>1034.2</v>
      </c>
      <c r="T134" s="7" t="n">
        <v>824</v>
      </c>
      <c r="V134" s="7" t="n">
        <v>715.8</v>
      </c>
      <c r="X134" s="7" t="n">
        <v>368.8</v>
      </c>
      <c r="Z134" s="7" t="n">
        <v>485.3</v>
      </c>
      <c r="AB134" s="7" t="n">
        <v>7619.6</v>
      </c>
    </row>
    <row r="135">
      <c r="A135" s="4" t="inlineStr">
        <is>
          <t>租赁费</t>
        </is>
      </c>
      <c r="D135" s="7" t="n">
        <v>4782.6</v>
      </c>
      <c r="F135" s="7" t="n">
        <v>5103.1</v>
      </c>
      <c r="H135" s="7" t="n">
        <v>6760.7</v>
      </c>
      <c r="J135" s="7" t="n">
        <v>6072.8</v>
      </c>
      <c r="L135" s="7" t="n">
        <v>4537.9</v>
      </c>
      <c r="N135" s="7" t="n">
        <v>5756.8</v>
      </c>
      <c r="P135" s="7" t="n">
        <v>9470.6</v>
      </c>
      <c r="R135" s="7" t="n">
        <v>10018</v>
      </c>
      <c r="T135" s="7" t="n">
        <v>6120</v>
      </c>
      <c r="V135" s="7" t="n">
        <v>7780.3</v>
      </c>
      <c r="X135" s="7" t="n">
        <v>3911.7</v>
      </c>
      <c r="Z135" s="7" t="n">
        <v>4251.8</v>
      </c>
      <c r="AB135" s="7" t="n">
        <v>74566.3</v>
      </c>
    </row>
    <row r="136">
      <c r="A136" s="4" t="inlineStr">
        <is>
          <t>能源费</t>
        </is>
      </c>
      <c r="D136" s="7" t="n">
        <v>1365.5</v>
      </c>
      <c r="F136" s="7" t="n">
        <v>1725.7</v>
      </c>
      <c r="H136" s="7" t="n">
        <v>2220.8</v>
      </c>
      <c r="J136" s="7" t="n">
        <v>2718.3</v>
      </c>
      <c r="L136" s="7" t="n">
        <v>1901</v>
      </c>
      <c r="N136" s="7" t="n">
        <v>1656.7</v>
      </c>
      <c r="P136" s="7" t="n">
        <v>2825.9</v>
      </c>
      <c r="R136" s="7" t="n">
        <v>3288.9</v>
      </c>
      <c r="T136" s="7" t="n">
        <v>2501</v>
      </c>
      <c r="V136" s="7" t="n">
        <v>2443.2</v>
      </c>
      <c r="X136" s="7" t="n">
        <v>1122.9</v>
      </c>
      <c r="Z136" s="7" t="n">
        <v>1653</v>
      </c>
      <c r="AB136" s="7" t="n">
        <v>25422.9</v>
      </c>
    </row>
    <row r="137">
      <c r="A137" s="4" t="inlineStr">
        <is>
          <t>水费</t>
        </is>
      </c>
      <c r="D137" s="7" t="n">
        <v>353.7</v>
      </c>
      <c r="F137" s="7" t="n">
        <v>474.3</v>
      </c>
      <c r="H137" s="7" t="n">
        <v>635.6</v>
      </c>
      <c r="J137" s="7" t="n">
        <v>837.2</v>
      </c>
      <c r="L137" s="7" t="n">
        <v>446.2</v>
      </c>
      <c r="N137" s="7" t="n">
        <v>397.7</v>
      </c>
      <c r="P137" s="7" t="n">
        <v>736.2</v>
      </c>
      <c r="R137" s="7" t="n">
        <v>771.7</v>
      </c>
      <c r="T137" s="7" t="n">
        <v>441.7</v>
      </c>
      <c r="V137" s="7" t="n">
        <v>510.3</v>
      </c>
      <c r="X137" s="7" t="n">
        <v>239.3</v>
      </c>
      <c r="Z137" s="7" t="n">
        <v>423.5</v>
      </c>
      <c r="AB137" s="7" t="n">
        <v>6267.4</v>
      </c>
    </row>
    <row r="138">
      <c r="A138" s="4" t="inlineStr">
        <is>
          <t>电费</t>
        </is>
      </c>
      <c r="D138" s="7" t="n">
        <v>487.4</v>
      </c>
      <c r="F138" s="7" t="n">
        <v>615.7</v>
      </c>
      <c r="H138" s="7" t="n">
        <v>692.1</v>
      </c>
      <c r="J138" s="7" t="n">
        <v>771.8</v>
      </c>
      <c r="L138" s="7" t="n">
        <v>799.1</v>
      </c>
      <c r="N138" s="7" t="n">
        <v>626.5</v>
      </c>
      <c r="P138" s="7" t="n">
        <v>913.6</v>
      </c>
      <c r="R138" s="7" t="n">
        <v>1440</v>
      </c>
      <c r="T138" s="7" t="n">
        <v>1009.2</v>
      </c>
      <c r="V138" s="7" t="n">
        <v>869</v>
      </c>
      <c r="X138" s="7" t="n">
        <v>473.9</v>
      </c>
      <c r="Z138" s="7" t="n">
        <v>642.1</v>
      </c>
      <c r="AB138" s="7" t="n">
        <v>9340.4</v>
      </c>
    </row>
    <row r="139">
      <c r="A139" s="4" t="inlineStr">
        <is>
          <t>燃气费</t>
        </is>
      </c>
      <c r="D139" s="7" t="n">
        <v>422.7</v>
      </c>
      <c r="F139" s="7" t="n">
        <v>528.2</v>
      </c>
      <c r="H139" s="7" t="n">
        <v>790.5</v>
      </c>
      <c r="J139" s="7" t="n">
        <v>985.9</v>
      </c>
      <c r="L139" s="7" t="n">
        <v>565.5</v>
      </c>
      <c r="N139" s="7" t="n">
        <v>523.8</v>
      </c>
      <c r="P139" s="7" t="n">
        <v>1037.5</v>
      </c>
      <c r="R139" s="7" t="n">
        <v>874.1</v>
      </c>
      <c r="T139" s="7" t="n">
        <v>913.9</v>
      </c>
      <c r="V139" s="7" t="n">
        <v>937.5</v>
      </c>
      <c r="X139" s="7" t="n">
        <v>342.8</v>
      </c>
      <c r="Z139" s="7" t="n">
        <v>488.6</v>
      </c>
      <c r="AB139" s="7" t="n">
        <v>8411</v>
      </c>
    </row>
    <row r="140">
      <c r="A140" s="4" t="inlineStr">
        <is>
          <t>蒸汽费</t>
        </is>
      </c>
      <c r="D140" s="7" t="n">
        <v>101.7</v>
      </c>
      <c r="F140" s="7" t="n">
        <v>107.5</v>
      </c>
      <c r="H140" s="7" t="n">
        <v>102.6</v>
      </c>
      <c r="J140" s="7" t="n">
        <v>123.4</v>
      </c>
      <c r="L140" s="7" t="n">
        <v>90.2</v>
      </c>
      <c r="N140" s="7" t="n">
        <v>108.7</v>
      </c>
      <c r="P140" s="7" t="n">
        <v>138.6</v>
      </c>
      <c r="R140" s="7" t="n">
        <v>203.1</v>
      </c>
      <c r="T140" s="7" t="n">
        <v>136.2</v>
      </c>
      <c r="V140" s="7" t="n">
        <v>126.4</v>
      </c>
      <c r="X140" s="7" t="n">
        <v>66.90000000000001</v>
      </c>
      <c r="Z140" s="7" t="n">
        <v>98.8</v>
      </c>
      <c r="AB140" s="7" t="n">
        <v>1404.1</v>
      </c>
    </row>
    <row r="141">
      <c r="A141" s="4" t="inlineStr">
        <is>
          <t>物业费</t>
        </is>
      </c>
      <c r="D141" s="7" t="n">
        <v>298</v>
      </c>
      <c r="F141" s="7" t="n">
        <v>242.8</v>
      </c>
      <c r="H141" s="7" t="n">
        <v>395.5</v>
      </c>
      <c r="J141" s="7" t="n">
        <v>451.6</v>
      </c>
      <c r="L141" s="7" t="n">
        <v>353</v>
      </c>
      <c r="N141" s="7" t="n">
        <v>422</v>
      </c>
      <c r="P141" s="7" t="n">
        <v>378.4</v>
      </c>
      <c r="R141" s="7" t="n">
        <v>671.7</v>
      </c>
      <c r="T141" s="7" t="n">
        <v>450.7</v>
      </c>
      <c r="V141" s="7" t="n">
        <v>308.7</v>
      </c>
      <c r="X141" s="7" t="n">
        <v>212.7</v>
      </c>
      <c r="Z141" s="7" t="n">
        <v>337.6</v>
      </c>
      <c r="AB141" s="7" t="n">
        <v>4522.7</v>
      </c>
    </row>
    <row r="142">
      <c r="A142" s="4" t="inlineStr">
        <is>
          <t>劳动保护费</t>
        </is>
      </c>
      <c r="D142" s="7" t="n">
        <v>100.6</v>
      </c>
      <c r="F142" s="7" t="n">
        <v>77.90000000000001</v>
      </c>
      <c r="H142" s="7" t="n">
        <v>132.8</v>
      </c>
      <c r="J142" s="7" t="n">
        <v>149.8</v>
      </c>
      <c r="L142" s="7" t="n">
        <v>148</v>
      </c>
      <c r="N142" s="7" t="n">
        <v>119.9</v>
      </c>
      <c r="P142" s="7" t="n">
        <v>169</v>
      </c>
      <c r="R142" s="7" t="n">
        <v>204.9</v>
      </c>
      <c r="T142" s="7" t="n">
        <v>155.3</v>
      </c>
      <c r="V142" s="7" t="n">
        <v>169.1</v>
      </c>
      <c r="X142" s="7" t="n">
        <v>96.09999999999999</v>
      </c>
      <c r="Z142" s="7" t="n">
        <v>72.90000000000001</v>
      </c>
      <c r="AB142" s="7" t="n">
        <v>1596.3</v>
      </c>
    </row>
    <row r="143">
      <c r="A143" s="4" t="inlineStr">
        <is>
          <t>顾问费</t>
        </is>
      </c>
      <c r="D143" s="7" t="n">
        <v>283.6</v>
      </c>
      <c r="F143" s="7" t="n">
        <v>356.1</v>
      </c>
      <c r="H143" s="7" t="n">
        <v>322.3</v>
      </c>
      <c r="J143" s="7" t="n">
        <v>458</v>
      </c>
      <c r="L143" s="7" t="n">
        <v>437.2</v>
      </c>
      <c r="N143" s="7" t="n">
        <v>408.7</v>
      </c>
      <c r="P143" s="7" t="n">
        <v>360.2</v>
      </c>
      <c r="R143" s="7" t="n">
        <v>645</v>
      </c>
      <c r="T143" s="7" t="n">
        <v>468.9</v>
      </c>
      <c r="V143" s="7" t="n">
        <v>363</v>
      </c>
      <c r="X143" s="7" t="n">
        <v>160.1</v>
      </c>
      <c r="Z143" s="7" t="n">
        <v>286.4</v>
      </c>
      <c r="AB143" s="7" t="n">
        <v>4549.5</v>
      </c>
    </row>
    <row r="144">
      <c r="A144" s="4" t="inlineStr">
        <is>
          <t>快递费</t>
        </is>
      </c>
      <c r="D144" s="7" t="n">
        <v>399.5</v>
      </c>
      <c r="F144" s="7" t="n">
        <v>391.8</v>
      </c>
      <c r="H144" s="7" t="n">
        <v>726.9</v>
      </c>
      <c r="J144" s="7" t="n">
        <v>739.6</v>
      </c>
      <c r="L144" s="7" t="n">
        <v>571.9</v>
      </c>
      <c r="N144" s="7" t="n">
        <v>578</v>
      </c>
      <c r="P144" s="7" t="n">
        <v>822</v>
      </c>
      <c r="R144" s="7" t="n">
        <v>842.8</v>
      </c>
      <c r="T144" s="7" t="n">
        <v>706.7</v>
      </c>
      <c r="V144" s="7" t="n">
        <v>743.2</v>
      </c>
      <c r="X144" s="7" t="n">
        <v>289.3</v>
      </c>
      <c r="Z144" s="7" t="n">
        <v>342.3</v>
      </c>
      <c r="AB144" s="7" t="n">
        <v>7154</v>
      </c>
    </row>
    <row r="145">
      <c r="A145" s="4" t="inlineStr">
        <is>
          <t>诉讼费</t>
        </is>
      </c>
      <c r="D145" s="7" t="n">
        <v>397</v>
      </c>
      <c r="F145" s="7" t="n">
        <v>357.3</v>
      </c>
      <c r="H145" s="7" t="n">
        <v>388.3</v>
      </c>
      <c r="J145" s="7" t="n">
        <v>800.4</v>
      </c>
      <c r="L145" s="7" t="n">
        <v>535.1</v>
      </c>
      <c r="N145" s="7" t="n">
        <v>587.8</v>
      </c>
      <c r="P145" s="7" t="n">
        <v>613.4</v>
      </c>
      <c r="R145" s="7" t="n">
        <v>854.8</v>
      </c>
      <c r="T145" s="7" t="n">
        <v>679.1</v>
      </c>
      <c r="V145" s="7" t="n">
        <v>459.4</v>
      </c>
      <c r="X145" s="7" t="n">
        <v>296</v>
      </c>
      <c r="Z145" s="7" t="n">
        <v>292.4</v>
      </c>
      <c r="AB145" s="7" t="n">
        <v>6261</v>
      </c>
    </row>
    <row r="146">
      <c r="A146" s="4" t="inlineStr">
        <is>
          <t>会员费</t>
        </is>
      </c>
      <c r="D146" s="7" t="n">
        <v>244.8</v>
      </c>
      <c r="F146" s="7" t="n">
        <v>310.8</v>
      </c>
      <c r="H146" s="7" t="n">
        <v>281.8</v>
      </c>
      <c r="J146" s="7" t="n">
        <v>279.9</v>
      </c>
      <c r="L146" s="7" t="n">
        <v>263.6</v>
      </c>
      <c r="N146" s="7" t="n">
        <v>211.7</v>
      </c>
      <c r="P146" s="7" t="n">
        <v>464.6</v>
      </c>
      <c r="R146" s="7" t="n">
        <v>534.4</v>
      </c>
      <c r="T146" s="7" t="n">
        <v>300.3</v>
      </c>
      <c r="V146" s="7" t="n">
        <v>369.3</v>
      </c>
      <c r="X146" s="7" t="n">
        <v>181.2</v>
      </c>
      <c r="Z146" s="7" t="n">
        <v>150.4</v>
      </c>
      <c r="AB146" s="7" t="n">
        <v>3592.8</v>
      </c>
    </row>
    <row r="147">
      <c r="A147" s="4" t="inlineStr">
        <is>
          <t>广告宣传费</t>
        </is>
      </c>
      <c r="D147" s="7" t="n">
        <v>2983.9</v>
      </c>
      <c r="F147" s="7" t="n">
        <v>4204.8</v>
      </c>
      <c r="H147" s="7" t="n">
        <v>2670</v>
      </c>
      <c r="J147" s="7" t="n">
        <v>4109.4</v>
      </c>
      <c r="L147" s="7" t="n">
        <v>2891.6</v>
      </c>
      <c r="N147" s="7" t="n">
        <v>4169.8</v>
      </c>
      <c r="P147" s="7" t="n">
        <v>4715.3</v>
      </c>
      <c r="R147" s="7" t="n">
        <v>4480.7</v>
      </c>
      <c r="T147" s="7" t="n">
        <v>3983.7</v>
      </c>
      <c r="V147" s="7" t="n">
        <v>2961.6</v>
      </c>
      <c r="X147" s="7" t="n">
        <v>2861.2</v>
      </c>
      <c r="Z147" s="7" t="n">
        <v>2822.9</v>
      </c>
      <c r="AB147" s="7" t="n">
        <v>42854.9</v>
      </c>
    </row>
    <row r="148">
      <c r="A148" s="4" t="inlineStr">
        <is>
          <t>会务费</t>
        </is>
      </c>
      <c r="D148" s="7" t="n">
        <v>671</v>
      </c>
      <c r="F148" s="7" t="n">
        <v>498.1</v>
      </c>
      <c r="H148" s="7" t="n">
        <v>731.4</v>
      </c>
      <c r="J148" s="7" t="n">
        <v>676</v>
      </c>
      <c r="L148" s="7" t="n">
        <v>563.4</v>
      </c>
      <c r="N148" s="7" t="n">
        <v>555.9</v>
      </c>
      <c r="P148" s="7" t="n">
        <v>1064.8</v>
      </c>
      <c r="R148" s="7" t="n">
        <v>1494.1</v>
      </c>
      <c r="T148" s="7" t="n">
        <v>852</v>
      </c>
      <c r="V148" s="7" t="n">
        <v>810.8</v>
      </c>
      <c r="X148" s="7" t="n">
        <v>533.9</v>
      </c>
      <c r="Z148" s="7" t="n">
        <v>574.1</v>
      </c>
      <c r="AB148" s="7" t="n">
        <v>9025.5</v>
      </c>
    </row>
    <row r="149">
      <c r="A149" s="4" t="inlineStr">
        <is>
          <t>装修费</t>
        </is>
      </c>
      <c r="D149" s="7" t="n">
        <v>435</v>
      </c>
      <c r="F149" s="7" t="n">
        <v>495</v>
      </c>
      <c r="H149" s="7" t="n">
        <v>831.6</v>
      </c>
      <c r="J149" s="7" t="n">
        <v>614.2</v>
      </c>
      <c r="L149" s="7" t="n">
        <v>502</v>
      </c>
      <c r="N149" s="7" t="n">
        <v>641.4</v>
      </c>
      <c r="P149" s="7" t="n">
        <v>1136</v>
      </c>
      <c r="R149" s="7" t="n">
        <v>1550</v>
      </c>
      <c r="T149" s="7" t="n">
        <v>974.5</v>
      </c>
      <c r="V149" s="7" t="n">
        <v>704.9</v>
      </c>
      <c r="X149" s="7" t="n">
        <v>387.2</v>
      </c>
      <c r="Z149" s="7" t="n">
        <v>475.5</v>
      </c>
      <c r="AB149" s="7" t="n">
        <v>8747.299999999999</v>
      </c>
    </row>
    <row r="150">
      <c r="A150" s="4" t="inlineStr">
        <is>
          <t>推广费</t>
        </is>
      </c>
      <c r="D150" s="7" t="n">
        <v>111.9</v>
      </c>
      <c r="F150" s="7" t="n">
        <v>159.5</v>
      </c>
      <c r="H150" s="7" t="n">
        <v>143</v>
      </c>
      <c r="J150" s="7" t="n">
        <v>186.3</v>
      </c>
      <c r="L150" s="7" t="n">
        <v>184.8</v>
      </c>
      <c r="N150" s="7" t="n">
        <v>161.1</v>
      </c>
      <c r="P150" s="7" t="n">
        <v>230.8</v>
      </c>
      <c r="R150" s="7" t="n">
        <v>316.1</v>
      </c>
      <c r="T150" s="7" t="n">
        <v>173.6</v>
      </c>
      <c r="V150" s="7" t="n">
        <v>152.1</v>
      </c>
      <c r="X150" s="7" t="n">
        <v>87.90000000000001</v>
      </c>
      <c r="Z150" s="7" t="n">
        <v>82.59999999999999</v>
      </c>
      <c r="AB150" s="7" t="n">
        <v>1989.7</v>
      </c>
    </row>
    <row r="151">
      <c r="A151" s="4" t="inlineStr">
        <is>
          <t>展会费</t>
        </is>
      </c>
      <c r="D151" s="7" t="n">
        <v>307</v>
      </c>
      <c r="F151" s="7" t="n">
        <v>363.4</v>
      </c>
      <c r="H151" s="7" t="n">
        <v>371.2</v>
      </c>
      <c r="J151" s="7" t="n">
        <v>641.8</v>
      </c>
      <c r="L151" s="7" t="n">
        <v>355.7</v>
      </c>
      <c r="N151" s="7" t="n">
        <v>372.7</v>
      </c>
      <c r="P151" s="7" t="n">
        <v>513.9</v>
      </c>
      <c r="R151" s="7" t="n">
        <v>965.8</v>
      </c>
      <c r="T151" s="7" t="n">
        <v>649.7</v>
      </c>
      <c r="V151" s="7" t="n">
        <v>594.3</v>
      </c>
      <c r="X151" s="7" t="n">
        <v>347.5</v>
      </c>
      <c r="Z151" s="7" t="n">
        <v>370.7</v>
      </c>
      <c r="AB151" s="7" t="n">
        <v>5853.7</v>
      </c>
    </row>
    <row r="152">
      <c r="A152" s="4" t="inlineStr">
        <is>
          <t>设计费</t>
        </is>
      </c>
      <c r="D152" s="7" t="n">
        <v>390.6</v>
      </c>
      <c r="F152" s="7" t="n">
        <v>605.3</v>
      </c>
      <c r="H152" s="7" t="n">
        <v>731.1</v>
      </c>
      <c r="J152" s="7" t="n">
        <v>727.9</v>
      </c>
      <c r="L152" s="7" t="n">
        <v>672.9</v>
      </c>
      <c r="N152" s="7" t="n">
        <v>625.3</v>
      </c>
      <c r="P152" s="7" t="n">
        <v>866.2</v>
      </c>
      <c r="R152" s="7" t="n">
        <v>1095.1</v>
      </c>
      <c r="T152" s="7" t="n">
        <v>806.7</v>
      </c>
      <c r="V152" s="7" t="n">
        <v>622</v>
      </c>
      <c r="X152" s="7" t="n">
        <v>376.6</v>
      </c>
      <c r="Z152" s="7" t="n">
        <v>483.2</v>
      </c>
      <c r="AB152" s="7" t="n">
        <v>8002.9</v>
      </c>
    </row>
    <row r="153">
      <c r="A153" s="4" t="inlineStr">
        <is>
          <t>折旧费</t>
        </is>
      </c>
      <c r="D153" s="7" t="n">
        <v>3062.6</v>
      </c>
      <c r="F153" s="7" t="n">
        <v>5507.9</v>
      </c>
      <c r="H153" s="7" t="n">
        <v>4626.4</v>
      </c>
      <c r="J153" s="7" t="n">
        <v>5699.8</v>
      </c>
      <c r="L153" s="7" t="n">
        <v>3606.8</v>
      </c>
      <c r="N153" s="7" t="n">
        <v>3107.1</v>
      </c>
      <c r="P153" s="7" t="n">
        <v>4712.1</v>
      </c>
      <c r="R153" s="7" t="n">
        <v>8813.200000000001</v>
      </c>
      <c r="T153" s="7" t="n">
        <v>6081.6</v>
      </c>
      <c r="V153" s="7" t="n">
        <v>4868.7</v>
      </c>
      <c r="X153" s="7" t="n">
        <v>3975.3</v>
      </c>
      <c r="Z153" s="7" t="n">
        <v>4215.1</v>
      </c>
      <c r="AB153" s="7" t="n">
        <v>58276.6</v>
      </c>
    </row>
    <row r="154">
      <c r="A154" s="4" t="inlineStr">
        <is>
          <t>认证费</t>
        </is>
      </c>
      <c r="D154" s="7" t="n">
        <v>529.1</v>
      </c>
      <c r="F154" s="7" t="n">
        <v>558.6</v>
      </c>
      <c r="H154" s="7" t="n">
        <v>443.4</v>
      </c>
      <c r="J154" s="7" t="n">
        <v>950.3</v>
      </c>
      <c r="L154" s="7" t="n">
        <v>537.8</v>
      </c>
      <c r="N154" s="7" t="n">
        <v>578.5</v>
      </c>
      <c r="P154" s="7" t="n">
        <v>968.4</v>
      </c>
      <c r="R154" s="7" t="n">
        <v>1101.8</v>
      </c>
      <c r="T154" s="7" t="n">
        <v>782</v>
      </c>
      <c r="V154" s="7" t="n">
        <v>796.3</v>
      </c>
      <c r="X154" s="7" t="n">
        <v>395.8</v>
      </c>
      <c r="Z154" s="7" t="n">
        <v>333.7</v>
      </c>
      <c r="AB154" s="7" t="n">
        <v>7975.7</v>
      </c>
    </row>
    <row r="155">
      <c r="A155" s="4" t="inlineStr">
        <is>
          <t>样品费</t>
        </is>
      </c>
      <c r="D155" s="7" t="n">
        <v>1649</v>
      </c>
      <c r="F155" s="7" t="n">
        <v>1767.6</v>
      </c>
      <c r="H155" s="7" t="n">
        <v>3094.2</v>
      </c>
      <c r="J155" s="7" t="n">
        <v>2169</v>
      </c>
      <c r="L155" s="7" t="n">
        <v>2876.2</v>
      </c>
      <c r="N155" s="7" t="n">
        <v>2662.6</v>
      </c>
      <c r="P155" s="7" t="n">
        <v>3531.7</v>
      </c>
      <c r="R155" s="7" t="n">
        <v>4311.6</v>
      </c>
      <c r="T155" s="7" t="n">
        <v>2302.4</v>
      </c>
      <c r="V155" s="7" t="n">
        <v>2541.7</v>
      </c>
      <c r="X155" s="7" t="n">
        <v>1717.8</v>
      </c>
      <c r="Z155" s="7" t="n">
        <v>2259.7</v>
      </c>
      <c r="AB155" s="7" t="n">
        <v>30883.5</v>
      </c>
    </row>
    <row r="156">
      <c r="A156" s="4" t="inlineStr">
        <is>
          <t>劳务费</t>
        </is>
      </c>
      <c r="D156" s="7" t="n">
        <v>76.8</v>
      </c>
      <c r="F156" s="7" t="n">
        <v>86.90000000000001</v>
      </c>
      <c r="H156" s="7" t="n">
        <v>88.3</v>
      </c>
      <c r="J156" s="7" t="n">
        <v>71.3</v>
      </c>
      <c r="L156" s="7" t="n">
        <v>64</v>
      </c>
      <c r="N156" s="7" t="n">
        <v>58</v>
      </c>
      <c r="P156" s="7" t="n">
        <v>108.3</v>
      </c>
      <c r="R156" s="7" t="n">
        <v>97.5</v>
      </c>
      <c r="T156" s="7" t="n">
        <v>115.7</v>
      </c>
      <c r="V156" s="7" t="n">
        <v>73.40000000000001</v>
      </c>
      <c r="X156" s="7" t="n">
        <v>55.3</v>
      </c>
      <c r="Z156" s="7" t="n">
        <v>73.59999999999999</v>
      </c>
      <c r="AB156" s="7" t="n">
        <v>969.1</v>
      </c>
    </row>
    <row r="157">
      <c r="A157" s="4" t="inlineStr">
        <is>
          <t>销售佣金</t>
        </is>
      </c>
      <c r="D157" s="7" t="n">
        <v>2.5</v>
      </c>
      <c r="F157" s="7" t="n">
        <v>4</v>
      </c>
      <c r="H157" s="7" t="n">
        <v>4.5</v>
      </c>
      <c r="J157" s="7" t="n">
        <v>5.9</v>
      </c>
      <c r="L157" s="7" t="n">
        <v>4.8</v>
      </c>
      <c r="N157" s="7" t="n">
        <v>4</v>
      </c>
      <c r="P157" s="7" t="n">
        <v>4.4</v>
      </c>
      <c r="R157" s="7" t="n">
        <v>7.9</v>
      </c>
      <c r="T157" s="7" t="n">
        <v>3.2</v>
      </c>
      <c r="V157" s="7" t="n">
        <v>3.4</v>
      </c>
      <c r="X157" s="7" t="n">
        <v>2</v>
      </c>
      <c r="Z157" s="7" t="n">
        <v>3.1</v>
      </c>
      <c r="AB157" s="7" t="n">
        <v>49.7</v>
      </c>
    </row>
    <row r="158">
      <c r="A158" s="4" t="inlineStr">
        <is>
          <t>检测费</t>
        </is>
      </c>
      <c r="D158" s="7" t="n">
        <v>515.7</v>
      </c>
      <c r="F158" s="7" t="n">
        <v>655.4</v>
      </c>
      <c r="H158" s="7" t="n">
        <v>852.6</v>
      </c>
      <c r="J158" s="7" t="n">
        <v>922.4</v>
      </c>
      <c r="L158" s="7" t="n">
        <v>572.6</v>
      </c>
      <c r="N158" s="7" t="n">
        <v>771.8</v>
      </c>
      <c r="P158" s="7" t="n">
        <v>1020.2</v>
      </c>
      <c r="R158" s="7" t="n">
        <v>1061.4</v>
      </c>
      <c r="T158" s="7" t="n">
        <v>919.2</v>
      </c>
      <c r="V158" s="7" t="n">
        <v>756.5</v>
      </c>
      <c r="X158" s="7" t="n">
        <v>420.7</v>
      </c>
      <c r="Z158" s="7" t="n">
        <v>454.5</v>
      </c>
      <c r="AB158" s="7" t="n">
        <v>8923</v>
      </c>
    </row>
    <row r="159">
      <c r="A159" s="4" t="inlineStr">
        <is>
          <t>质量赔偿</t>
        </is>
      </c>
      <c r="D159" s="7" t="n">
        <v>657.5</v>
      </c>
      <c r="F159" s="7" t="n">
        <v>637.8</v>
      </c>
      <c r="H159" s="7" t="n">
        <v>758</v>
      </c>
      <c r="J159" s="7" t="n">
        <v>942.6</v>
      </c>
      <c r="L159" s="7" t="n">
        <v>666.3</v>
      </c>
      <c r="N159" s="7" t="n">
        <v>718.1</v>
      </c>
      <c r="P159" s="7" t="n">
        <v>884.9</v>
      </c>
      <c r="R159" s="7" t="n">
        <v>1378.5</v>
      </c>
      <c r="T159" s="7" t="n">
        <v>702.8</v>
      </c>
      <c r="V159" s="7" t="n">
        <v>881.2</v>
      </c>
      <c r="X159" s="7" t="n">
        <v>348.7</v>
      </c>
      <c r="Z159" s="7" t="n">
        <v>664.9</v>
      </c>
      <c r="AB159" s="7" t="n">
        <v>9241.299999999999</v>
      </c>
    </row>
    <row r="160">
      <c r="A160" s="4" t="inlineStr">
        <is>
          <t>保险费</t>
        </is>
      </c>
      <c r="D160" s="7" t="n">
        <v>242.6</v>
      </c>
      <c r="F160" s="7" t="n">
        <v>312.2</v>
      </c>
      <c r="H160" s="7" t="n">
        <v>490.8</v>
      </c>
      <c r="J160" s="7" t="n">
        <v>405.6</v>
      </c>
      <c r="L160" s="7" t="n">
        <v>427.3</v>
      </c>
      <c r="N160" s="7" t="n">
        <v>438.4</v>
      </c>
      <c r="P160" s="7" t="n">
        <v>464.6</v>
      </c>
      <c r="R160" s="7" t="n">
        <v>695.6</v>
      </c>
      <c r="T160" s="7" t="n">
        <v>398</v>
      </c>
      <c r="V160" s="7" t="n">
        <v>459.9</v>
      </c>
      <c r="X160" s="7" t="n">
        <v>188</v>
      </c>
      <c r="Z160" s="7" t="n">
        <v>224.1</v>
      </c>
      <c r="AB160" s="7" t="n">
        <v>4747.1</v>
      </c>
    </row>
    <row r="161">
      <c r="A161" s="4" t="inlineStr">
        <is>
          <t>清洁费</t>
        </is>
      </c>
      <c r="D161" s="7" t="n">
        <v>620.8</v>
      </c>
      <c r="F161" s="7" t="n">
        <v>745.1</v>
      </c>
      <c r="H161" s="7" t="n">
        <v>674.4</v>
      </c>
      <c r="J161" s="7" t="n">
        <v>799.1</v>
      </c>
      <c r="L161" s="7" t="n">
        <v>504</v>
      </c>
      <c r="N161" s="7" t="n">
        <v>761.2</v>
      </c>
      <c r="P161" s="7" t="n">
        <v>818</v>
      </c>
      <c r="R161" s="7" t="n">
        <v>877.9</v>
      </c>
      <c r="T161" s="7" t="n">
        <v>644.4</v>
      </c>
      <c r="V161" s="7" t="n">
        <v>891.9</v>
      </c>
      <c r="X161" s="7" t="n">
        <v>335.6</v>
      </c>
      <c r="Z161" s="7" t="n">
        <v>566.2</v>
      </c>
      <c r="AB161" s="7" t="n">
        <v>8238.6</v>
      </c>
    </row>
    <row r="162">
      <c r="A162" s="4" t="inlineStr">
        <is>
          <t>低值易耗品</t>
        </is>
      </c>
      <c r="D162" s="7" t="n">
        <v>417.8</v>
      </c>
      <c r="F162" s="7" t="n">
        <v>614.7</v>
      </c>
      <c r="H162" s="7" t="n">
        <v>616.1</v>
      </c>
      <c r="J162" s="7" t="n">
        <v>616</v>
      </c>
      <c r="L162" s="7" t="n">
        <v>673.3</v>
      </c>
      <c r="N162" s="7" t="n">
        <v>416.7</v>
      </c>
      <c r="P162" s="7" t="n">
        <v>1029.4</v>
      </c>
      <c r="R162" s="7" t="n">
        <v>1303.7</v>
      </c>
      <c r="T162" s="7" t="n">
        <v>613.6</v>
      </c>
      <c r="V162" s="7" t="n">
        <v>601.9</v>
      </c>
      <c r="X162" s="7" t="n">
        <v>361.4</v>
      </c>
      <c r="Z162" s="7" t="n">
        <v>499.1</v>
      </c>
      <c r="AB162" s="7" t="n">
        <v>7763.7</v>
      </c>
    </row>
    <row r="163">
      <c r="A163" s="4" t="inlineStr">
        <is>
          <t>物料消耗</t>
        </is>
      </c>
      <c r="D163" s="7" t="n">
        <v>526.3</v>
      </c>
      <c r="F163" s="7" t="n">
        <v>859</v>
      </c>
      <c r="H163" s="7" t="n">
        <v>943.2</v>
      </c>
      <c r="J163" s="7" t="n">
        <v>839.3</v>
      </c>
      <c r="L163" s="7" t="n">
        <v>614</v>
      </c>
      <c r="N163" s="7" t="n">
        <v>734.9</v>
      </c>
      <c r="P163" s="7" t="n">
        <v>898.2</v>
      </c>
      <c r="R163" s="7" t="n">
        <v>1046.8</v>
      </c>
      <c r="T163" s="7" t="n">
        <v>776.5</v>
      </c>
      <c r="V163" s="7" t="n">
        <v>632.6</v>
      </c>
      <c r="X163" s="7" t="n">
        <v>386.7</v>
      </c>
      <c r="Z163" s="7" t="n">
        <v>460.5</v>
      </c>
      <c r="AB163" s="7" t="n">
        <v>8718</v>
      </c>
    </row>
    <row r="164">
      <c r="A164" s="4" t="inlineStr">
        <is>
          <t>盘盈盘亏</t>
        </is>
      </c>
      <c r="D164" s="7" t="n">
        <v>388.7</v>
      </c>
      <c r="F164" s="7" t="n">
        <v>573.6</v>
      </c>
      <c r="H164" s="7" t="n">
        <v>387.2</v>
      </c>
      <c r="J164" s="7" t="n">
        <v>542.2</v>
      </c>
      <c r="L164" s="7" t="n">
        <v>528</v>
      </c>
      <c r="N164" s="7" t="n">
        <v>485.2</v>
      </c>
      <c r="P164" s="7" t="n">
        <v>523.9</v>
      </c>
      <c r="R164" s="7" t="n">
        <v>1172.4</v>
      </c>
      <c r="T164" s="7" t="n">
        <v>451.8</v>
      </c>
      <c r="V164" s="7" t="n">
        <v>660.3</v>
      </c>
      <c r="X164" s="7" t="n">
        <v>313.2</v>
      </c>
      <c r="Z164" s="7" t="n">
        <v>399.2</v>
      </c>
      <c r="AB164" s="7" t="n">
        <v>6425.7</v>
      </c>
    </row>
    <row r="165">
      <c r="A165" s="4" t="inlineStr">
        <is>
          <t>平台服务费</t>
        </is>
      </c>
      <c r="D165" s="7" t="n">
        <v>304.2</v>
      </c>
      <c r="F165" s="7" t="n">
        <v>555.5</v>
      </c>
      <c r="H165" s="7" t="n">
        <v>452.7</v>
      </c>
      <c r="J165" s="7" t="n">
        <v>472.8</v>
      </c>
      <c r="L165" s="7" t="n">
        <v>372</v>
      </c>
      <c r="N165" s="7" t="n">
        <v>370.6</v>
      </c>
      <c r="P165" s="7" t="n">
        <v>581.9</v>
      </c>
      <c r="R165" s="7" t="n">
        <v>894.5</v>
      </c>
      <c r="T165" s="7" t="n">
        <v>687.6</v>
      </c>
      <c r="V165" s="7" t="n">
        <v>648.9</v>
      </c>
      <c r="X165" s="7" t="n">
        <v>240.2</v>
      </c>
      <c r="Z165" s="7" t="n">
        <v>306.9</v>
      </c>
      <c r="AB165" s="7" t="n">
        <v>5887.8</v>
      </c>
    </row>
    <row r="166">
      <c r="A166" s="4" t="inlineStr">
        <is>
          <t>无形资产摊销</t>
        </is>
      </c>
      <c r="D166" s="7" t="n">
        <v>399.9</v>
      </c>
      <c r="F166" s="7" t="n">
        <v>333.4</v>
      </c>
      <c r="H166" s="7" t="n">
        <v>543.1</v>
      </c>
      <c r="J166" s="7" t="n">
        <v>761.4</v>
      </c>
      <c r="L166" s="7" t="n">
        <v>625.7</v>
      </c>
      <c r="N166" s="7" t="n">
        <v>486.9</v>
      </c>
      <c r="P166" s="7" t="n">
        <v>553.4</v>
      </c>
      <c r="R166" s="7" t="n">
        <v>936.5</v>
      </c>
      <c r="T166" s="7" t="n">
        <v>570</v>
      </c>
      <c r="V166" s="7" t="n">
        <v>652</v>
      </c>
      <c r="X166" s="7" t="n">
        <v>350.8</v>
      </c>
      <c r="Z166" s="7" t="n">
        <v>398.7</v>
      </c>
      <c r="AB166" s="7" t="n">
        <v>6611.8</v>
      </c>
    </row>
    <row r="167">
      <c r="A167" s="4" t="inlineStr">
        <is>
          <t>研发材料</t>
        </is>
      </c>
      <c r="D167" s="7" t="n">
        <v>273.6</v>
      </c>
      <c r="F167" s="7" t="n">
        <v>239.4</v>
      </c>
      <c r="H167" s="7" t="n">
        <v>342.8</v>
      </c>
      <c r="J167" s="7" t="n">
        <v>265.7</v>
      </c>
      <c r="L167" s="7" t="n">
        <v>278.3</v>
      </c>
      <c r="N167" s="7" t="n">
        <v>225.5</v>
      </c>
      <c r="P167" s="7" t="n">
        <v>275</v>
      </c>
      <c r="R167" s="7" t="n">
        <v>520.5</v>
      </c>
      <c r="T167" s="7" t="n">
        <v>259.8</v>
      </c>
      <c r="V167" s="7" t="n">
        <v>399.2</v>
      </c>
      <c r="X167" s="7" t="n">
        <v>225.6</v>
      </c>
      <c r="Z167" s="7" t="n">
        <v>252.2</v>
      </c>
      <c r="AB167" s="7" t="n">
        <v>3557.6</v>
      </c>
    </row>
    <row r="168">
      <c r="A168" s="4" t="inlineStr">
        <is>
          <t>项目名称</t>
        </is>
      </c>
      <c r="D168" s="7" t="n">
        <v>160.8</v>
      </c>
      <c r="F168" s="7" t="n">
        <v>310.5</v>
      </c>
      <c r="H168" s="7" t="n">
        <v>229.7</v>
      </c>
      <c r="J168" s="7" t="n">
        <v>349.3</v>
      </c>
      <c r="L168" s="7" t="n">
        <v>327.1</v>
      </c>
      <c r="N168" s="7" t="n">
        <v>269</v>
      </c>
      <c r="P168" s="7" t="n">
        <v>311.8</v>
      </c>
      <c r="R168" s="7" t="n">
        <v>482.9</v>
      </c>
      <c r="T168" s="7" t="n">
        <v>414.6</v>
      </c>
      <c r="V168" s="7" t="n">
        <v>303.2</v>
      </c>
      <c r="X168" s="7" t="n">
        <v>234.3</v>
      </c>
      <c r="Z168" s="7" t="n">
        <v>208.4</v>
      </c>
      <c r="AB168" s="7" t="n">
        <v>3601.6</v>
      </c>
    </row>
    <row r="169">
      <c r="A169" s="4" t="inlineStr">
        <is>
          <t>研发费</t>
        </is>
      </c>
      <c r="D169" s="7" t="n">
        <v>292</v>
      </c>
      <c r="F169" s="7" t="n">
        <v>287.8</v>
      </c>
      <c r="H169" s="7" t="n">
        <v>309.3</v>
      </c>
      <c r="J169" s="7" t="n">
        <v>372.9</v>
      </c>
      <c r="L169" s="7" t="n">
        <v>295.2</v>
      </c>
      <c r="N169" s="7" t="n">
        <v>279.8</v>
      </c>
      <c r="P169" s="7" t="n">
        <v>479.8</v>
      </c>
      <c r="R169" s="7" t="n">
        <v>479.4</v>
      </c>
      <c r="T169" s="7" t="n">
        <v>324.4</v>
      </c>
      <c r="V169" s="7" t="n">
        <v>307.4</v>
      </c>
      <c r="X169" s="7" t="n">
        <v>171.6</v>
      </c>
      <c r="Z169" s="7" t="n">
        <v>304</v>
      </c>
      <c r="AB169" s="7" t="n">
        <v>3903.6</v>
      </c>
    </row>
    <row r="170">
      <c r="A170" s="4" t="inlineStr">
        <is>
          <t>残保金</t>
        </is>
      </c>
      <c r="D170" s="7" t="n">
        <v>433.1</v>
      </c>
      <c r="F170" s="7" t="n">
        <v>582.9</v>
      </c>
      <c r="H170" s="7" t="n">
        <v>538.3</v>
      </c>
      <c r="J170" s="7" t="n">
        <v>742.5</v>
      </c>
      <c r="L170" s="7" t="n">
        <v>491.5</v>
      </c>
      <c r="N170" s="7" t="n">
        <v>510.8</v>
      </c>
      <c r="P170" s="7" t="n">
        <v>553.1</v>
      </c>
      <c r="R170" s="7" t="n">
        <v>721.1</v>
      </c>
      <c r="T170" s="7" t="n">
        <v>471.9</v>
      </c>
      <c r="V170" s="7" t="n">
        <v>650</v>
      </c>
      <c r="X170" s="7" t="n">
        <v>292</v>
      </c>
      <c r="Z170" s="7" t="n">
        <v>470.2</v>
      </c>
      <c r="AB170" s="7" t="n">
        <v>6457.4</v>
      </c>
    </row>
    <row r="171">
      <c r="A171" s="4" t="inlineStr">
        <is>
          <t>环保费</t>
        </is>
      </c>
      <c r="D171" s="7" t="n">
        <v>510.2</v>
      </c>
      <c r="F171" s="7" t="n">
        <v>403.4</v>
      </c>
      <c r="H171" s="7" t="n">
        <v>510.3</v>
      </c>
      <c r="J171" s="7" t="n">
        <v>776.4</v>
      </c>
      <c r="L171" s="7" t="n">
        <v>485.2</v>
      </c>
      <c r="N171" s="7" t="n">
        <v>514</v>
      </c>
      <c r="P171" s="7" t="n">
        <v>792.9</v>
      </c>
      <c r="R171" s="7" t="n">
        <v>872.4</v>
      </c>
      <c r="T171" s="7" t="n">
        <v>699.8</v>
      </c>
      <c r="V171" s="7" t="n">
        <v>781.2</v>
      </c>
      <c r="X171" s="7" t="n">
        <v>363</v>
      </c>
      <c r="Z171" s="7" t="n">
        <v>506.6</v>
      </c>
      <c r="AB171" s="7" t="n">
        <v>7215.4</v>
      </c>
    </row>
    <row r="172">
      <c r="A172" s="4" t="inlineStr">
        <is>
          <t>报废损失</t>
        </is>
      </c>
      <c r="D172" s="7" t="n">
        <v>192.3</v>
      </c>
      <c r="F172" s="7" t="n">
        <v>202.3</v>
      </c>
      <c r="H172" s="7" t="n">
        <v>172.1</v>
      </c>
      <c r="J172" s="7" t="n">
        <v>250.1</v>
      </c>
      <c r="L172" s="7" t="n">
        <v>252.1</v>
      </c>
      <c r="N172" s="7" t="n">
        <v>159.6</v>
      </c>
      <c r="P172" s="7" t="n">
        <v>262.1</v>
      </c>
      <c r="R172" s="7" t="n">
        <v>373.7</v>
      </c>
      <c r="T172" s="7" t="n">
        <v>312.1</v>
      </c>
      <c r="V172" s="7" t="n">
        <v>192.2</v>
      </c>
      <c r="X172" s="7" t="n">
        <v>173.1</v>
      </c>
      <c r="Z172" s="7" t="n">
        <v>144.6</v>
      </c>
      <c r="AB172" s="7" t="n">
        <v>2686.3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62117.5</v>
      </c>
      <c r="D173" s="7" t="n">
        <v>58715.4</v>
      </c>
      <c r="E173" s="7" t="n">
        <v>50496.1</v>
      </c>
      <c r="F173" s="7" t="n">
        <v>38724.5</v>
      </c>
      <c r="G173" s="7" t="n">
        <v>49624.6</v>
      </c>
      <c r="H173" s="7" t="n">
        <v>57393.1</v>
      </c>
      <c r="I173" s="7" t="n">
        <v>50662.5</v>
      </c>
      <c r="J173" s="7" t="n">
        <v>78687.10000000001</v>
      </c>
      <c r="K173" s="7" t="n">
        <v>61100.9</v>
      </c>
      <c r="L173" s="7" t="n">
        <v>70690.5</v>
      </c>
      <c r="M173" s="7" t="n">
        <v>53155.8</v>
      </c>
      <c r="N173" s="7" t="n">
        <v>83360.39999999999</v>
      </c>
      <c r="O173" s="7" t="n">
        <v>62241.2</v>
      </c>
      <c r="P173" s="7" t="n">
        <v>36948</v>
      </c>
      <c r="Q173" s="7" t="n">
        <v>56823</v>
      </c>
      <c r="R173" s="7" t="n">
        <v>29454.9</v>
      </c>
      <c r="S173" s="7" t="n">
        <v>60894.3</v>
      </c>
      <c r="T173" s="7" t="n">
        <v>76428.10000000001</v>
      </c>
      <c r="U173" s="7" t="n">
        <v>55020.9</v>
      </c>
      <c r="V173" s="7" t="n">
        <v>25521.1</v>
      </c>
      <c r="W173" s="7" t="n">
        <v>58821.3</v>
      </c>
      <c r="X173" s="7" t="n">
        <v>81114.7</v>
      </c>
      <c r="Y173" s="7" t="n">
        <v>51938.5</v>
      </c>
      <c r="Z173" s="7" t="n">
        <v>28185</v>
      </c>
      <c r="AA173" s="8" t="n">
        <v>672896.6</v>
      </c>
      <c r="AB173" s="8" t="n">
        <v>665222.8</v>
      </c>
    </row>
    <row r="174">
      <c r="A174" s="4" t="inlineStr">
        <is>
          <t>职工薪酬</t>
        </is>
      </c>
      <c r="D174" s="7" t="n">
        <v>34120.2</v>
      </c>
      <c r="F174" s="7" t="n">
        <v>23627.1</v>
      </c>
      <c r="H174" s="7" t="n">
        <v>30946.2</v>
      </c>
      <c r="J174" s="7" t="n">
        <v>32266.4</v>
      </c>
      <c r="L174" s="7" t="n">
        <v>38584.1</v>
      </c>
      <c r="N174" s="7" t="n">
        <v>49636.6</v>
      </c>
      <c r="P174" s="7" t="n">
        <v>17620.8</v>
      </c>
      <c r="R174" s="7" t="n">
        <v>15061.1</v>
      </c>
      <c r="T174" s="7" t="n">
        <v>37991.2</v>
      </c>
      <c r="V174" s="7" t="n">
        <v>12454.4</v>
      </c>
      <c r="X174" s="7" t="n">
        <v>37645.6</v>
      </c>
      <c r="Z174" s="7" t="n">
        <v>13980.3</v>
      </c>
      <c r="AB174" s="7" t="n">
        <v>343934</v>
      </c>
    </row>
    <row r="175">
      <c r="A175" s="4" t="inlineStr">
        <is>
          <t>工资</t>
        </is>
      </c>
      <c r="D175" s="7" t="n">
        <v>21880.7</v>
      </c>
      <c r="F175" s="7" t="n">
        <v>14936.1</v>
      </c>
      <c r="H175" s="7" t="n">
        <v>18910.8</v>
      </c>
      <c r="J175" s="7" t="n">
        <v>18601.3</v>
      </c>
      <c r="L175" s="7" t="n">
        <v>20506.1</v>
      </c>
      <c r="N175" s="7" t="n">
        <v>28844.5</v>
      </c>
      <c r="P175" s="7" t="n">
        <v>8660.9</v>
      </c>
      <c r="R175" s="7" t="n">
        <v>8205.299999999999</v>
      </c>
      <c r="T175" s="7" t="n">
        <v>21268.9</v>
      </c>
      <c r="V175" s="7" t="n">
        <v>6142.5</v>
      </c>
      <c r="X175" s="7" t="n">
        <v>17325.4</v>
      </c>
      <c r="Z175" s="7" t="n">
        <v>9409.9</v>
      </c>
      <c r="AB175" s="7" t="n">
        <v>194692.4</v>
      </c>
    </row>
    <row r="176">
      <c r="A176" s="4" t="inlineStr">
        <is>
          <t>奖金及提成</t>
        </is>
      </c>
      <c r="D176" s="7" t="n">
        <v>6991.7</v>
      </c>
      <c r="F176" s="7" t="n">
        <v>4873.7</v>
      </c>
      <c r="H176" s="7" t="n">
        <v>6031.6</v>
      </c>
      <c r="J176" s="7" t="n">
        <v>6366.6</v>
      </c>
      <c r="L176" s="7" t="n">
        <v>8740.1</v>
      </c>
      <c r="N176" s="7" t="n">
        <v>10688.3</v>
      </c>
      <c r="P176" s="7" t="n">
        <v>4684.9</v>
      </c>
      <c r="R176" s="7" t="n">
        <v>3063.5</v>
      </c>
      <c r="T176" s="7" t="n">
        <v>9411.1</v>
      </c>
      <c r="V176" s="7" t="n">
        <v>3299.1</v>
      </c>
      <c r="X176" s="7" t="n">
        <v>9992.5</v>
      </c>
      <c r="Z176" s="7" t="n">
        <v>2089.4</v>
      </c>
      <c r="AB176" s="7" t="n">
        <v>76232.5</v>
      </c>
    </row>
    <row r="177">
      <c r="A177" s="4" t="inlineStr">
        <is>
          <t>社保</t>
        </is>
      </c>
      <c r="D177" s="7" t="n">
        <v>3668.4</v>
      </c>
      <c r="F177" s="7" t="n">
        <v>2726.4</v>
      </c>
      <c r="H177" s="7" t="n">
        <v>4298.4</v>
      </c>
      <c r="J177" s="7" t="n">
        <v>4971.1</v>
      </c>
      <c r="L177" s="7" t="n">
        <v>7327.7</v>
      </c>
      <c r="N177" s="7" t="n">
        <v>7833.1</v>
      </c>
      <c r="P177" s="7" t="n">
        <v>3255.4</v>
      </c>
      <c r="R177" s="7" t="n">
        <v>3009</v>
      </c>
      <c r="T177" s="7" t="n">
        <v>5456.5</v>
      </c>
      <c r="V177" s="7" t="n">
        <v>2300.7</v>
      </c>
      <c r="X177" s="7" t="n">
        <v>8236.4</v>
      </c>
      <c r="Z177" s="7" t="n">
        <v>1690.7</v>
      </c>
      <c r="AB177" s="7" t="n">
        <v>54773.8</v>
      </c>
    </row>
    <row r="178">
      <c r="A178" s="4" t="inlineStr">
        <is>
          <t>养老</t>
        </is>
      </c>
      <c r="D178" s="7" t="n">
        <v>273.8</v>
      </c>
      <c r="F178" s="7" t="n">
        <v>108.6</v>
      </c>
      <c r="H178" s="7" t="n">
        <v>280.1</v>
      </c>
      <c r="J178" s="7" t="n">
        <v>295.7</v>
      </c>
      <c r="L178" s="7" t="n">
        <v>223.9</v>
      </c>
      <c r="N178" s="7" t="n">
        <v>399</v>
      </c>
      <c r="P178" s="7" t="n">
        <v>119.1</v>
      </c>
      <c r="R178" s="7" t="n">
        <v>101.1</v>
      </c>
      <c r="T178" s="7" t="n">
        <v>305.8</v>
      </c>
      <c r="V178" s="7" t="n">
        <v>126.1</v>
      </c>
      <c r="X178" s="7" t="n">
        <v>318.6</v>
      </c>
      <c r="Z178" s="7" t="n">
        <v>138.5</v>
      </c>
      <c r="AB178" s="7" t="n">
        <v>2690.3</v>
      </c>
    </row>
    <row r="179">
      <c r="A179" s="4" t="inlineStr">
        <is>
          <t>医疗</t>
        </is>
      </c>
      <c r="D179" s="7" t="n">
        <v>16.9</v>
      </c>
      <c r="F179" s="7" t="n">
        <v>11.7</v>
      </c>
      <c r="H179" s="7" t="n">
        <v>19</v>
      </c>
      <c r="J179" s="7" t="n">
        <v>25.8</v>
      </c>
      <c r="L179" s="7" t="n">
        <v>17.5</v>
      </c>
      <c r="N179" s="7" t="n">
        <v>32.7</v>
      </c>
      <c r="P179" s="7" t="n">
        <v>14.6</v>
      </c>
      <c r="R179" s="7" t="n">
        <v>9.800000000000001</v>
      </c>
      <c r="T179" s="7" t="n">
        <v>19.5</v>
      </c>
      <c r="V179" s="7" t="n">
        <v>9</v>
      </c>
      <c r="X179" s="7" t="n">
        <v>21.5</v>
      </c>
      <c r="Z179" s="7" t="n">
        <v>12.4</v>
      </c>
      <c r="AB179" s="7" t="n">
        <v>210.4</v>
      </c>
    </row>
    <row r="180">
      <c r="A180" s="4" t="inlineStr">
        <is>
          <t>工伤</t>
        </is>
      </c>
      <c r="D180" s="7" t="n">
        <v>274.2</v>
      </c>
      <c r="F180" s="7" t="n">
        <v>112.8</v>
      </c>
      <c r="H180" s="7" t="n">
        <v>218.1</v>
      </c>
      <c r="J180" s="7" t="n">
        <v>400.2</v>
      </c>
      <c r="L180" s="7" t="n">
        <v>268.5</v>
      </c>
      <c r="N180" s="7" t="n">
        <v>246.2</v>
      </c>
      <c r="P180" s="7" t="n">
        <v>166.8</v>
      </c>
      <c r="R180" s="7" t="n">
        <v>134.8</v>
      </c>
      <c r="T180" s="7" t="n">
        <v>282</v>
      </c>
      <c r="V180" s="7" t="n">
        <v>123.5</v>
      </c>
      <c r="X180" s="7" t="n">
        <v>402.4</v>
      </c>
      <c r="Z180" s="7" t="n">
        <v>135</v>
      </c>
      <c r="AB180" s="7" t="n">
        <v>2764.5</v>
      </c>
    </row>
    <row r="181">
      <c r="A181" s="4" t="inlineStr">
        <is>
          <t>失业</t>
        </is>
      </c>
      <c r="D181" s="7" t="n">
        <v>141.9</v>
      </c>
      <c r="F181" s="7" t="n">
        <v>130.9</v>
      </c>
      <c r="H181" s="7" t="n">
        <v>173.4</v>
      </c>
      <c r="J181" s="7" t="n">
        <v>216.7</v>
      </c>
      <c r="L181" s="7" t="n">
        <v>187.5</v>
      </c>
      <c r="N181" s="7" t="n">
        <v>191.4</v>
      </c>
      <c r="P181" s="7" t="n">
        <v>123.1</v>
      </c>
      <c r="R181" s="7" t="n">
        <v>98.40000000000001</v>
      </c>
      <c r="T181" s="7" t="n">
        <v>153.2</v>
      </c>
      <c r="V181" s="7" t="n">
        <v>74.90000000000001</v>
      </c>
      <c r="X181" s="7" t="n">
        <v>193</v>
      </c>
      <c r="Z181" s="7" t="n">
        <v>75.7</v>
      </c>
      <c r="AB181" s="7" t="n">
        <v>1760.1</v>
      </c>
    </row>
    <row r="182">
      <c r="A182" s="4" t="inlineStr">
        <is>
          <t>生育</t>
        </is>
      </c>
      <c r="D182" s="7" t="n">
        <v>51.9</v>
      </c>
      <c r="F182" s="7" t="n">
        <v>34.1</v>
      </c>
      <c r="H182" s="7" t="n">
        <v>32.7</v>
      </c>
      <c r="J182" s="7" t="n">
        <v>43.6</v>
      </c>
      <c r="L182" s="7" t="n">
        <v>48.6</v>
      </c>
      <c r="N182" s="7" t="n">
        <v>49.2</v>
      </c>
      <c r="P182" s="7" t="n">
        <v>32.5</v>
      </c>
      <c r="R182" s="7" t="n">
        <v>25.6</v>
      </c>
      <c r="T182" s="7" t="n">
        <v>69.3</v>
      </c>
      <c r="V182" s="7" t="n">
        <v>13.4</v>
      </c>
      <c r="X182" s="7" t="n">
        <v>42.8</v>
      </c>
      <c r="Z182" s="7" t="n">
        <v>24.8</v>
      </c>
      <c r="AB182" s="7" t="n">
        <v>468.5</v>
      </c>
    </row>
    <row r="183">
      <c r="A183" s="4" t="inlineStr">
        <is>
          <t>公积金</t>
        </is>
      </c>
      <c r="D183" s="7" t="n">
        <v>358.6</v>
      </c>
      <c r="F183" s="7" t="n">
        <v>175.4</v>
      </c>
      <c r="H183" s="7" t="n">
        <v>352.3</v>
      </c>
      <c r="J183" s="7" t="n">
        <v>549</v>
      </c>
      <c r="L183" s="7" t="n">
        <v>393.9</v>
      </c>
      <c r="N183" s="7" t="n">
        <v>582.2</v>
      </c>
      <c r="P183" s="7" t="n">
        <v>247</v>
      </c>
      <c r="R183" s="7" t="n">
        <v>128.3</v>
      </c>
      <c r="T183" s="7" t="n">
        <v>337.2</v>
      </c>
      <c r="V183" s="7" t="n">
        <v>163.5</v>
      </c>
      <c r="X183" s="7" t="n">
        <v>379.4</v>
      </c>
      <c r="Z183" s="7" t="n">
        <v>184.6</v>
      </c>
      <c r="AB183" s="7" t="n">
        <v>3851.4</v>
      </c>
    </row>
    <row r="184">
      <c r="A184" s="4" t="inlineStr">
        <is>
          <t>工会经费</t>
        </is>
      </c>
      <c r="D184" s="7" t="n">
        <v>23.6</v>
      </c>
      <c r="F184" s="7" t="n">
        <v>26.2</v>
      </c>
      <c r="H184" s="7" t="n">
        <v>21.5</v>
      </c>
      <c r="J184" s="7" t="n">
        <v>49.2</v>
      </c>
      <c r="L184" s="7" t="n">
        <v>31.6</v>
      </c>
      <c r="N184" s="7" t="n">
        <v>32.4</v>
      </c>
      <c r="P184" s="7" t="n">
        <v>14.7</v>
      </c>
      <c r="R184" s="7" t="n">
        <v>14</v>
      </c>
      <c r="T184" s="7" t="n">
        <v>41.4</v>
      </c>
      <c r="V184" s="7" t="n">
        <v>13.4</v>
      </c>
      <c r="X184" s="7" t="n">
        <v>35.3</v>
      </c>
      <c r="Z184" s="7" t="n">
        <v>19.4</v>
      </c>
      <c r="AB184" s="7" t="n">
        <v>322.7</v>
      </c>
    </row>
    <row r="185">
      <c r="A185" s="4" t="inlineStr">
        <is>
          <t>职工教育经费</t>
        </is>
      </c>
      <c r="D185" s="7" t="n">
        <v>189.2</v>
      </c>
      <c r="F185" s="7" t="n">
        <v>134.2</v>
      </c>
      <c r="H185" s="7" t="n">
        <v>251.9</v>
      </c>
      <c r="J185" s="7" t="n">
        <v>380.8</v>
      </c>
      <c r="L185" s="7" t="n">
        <v>206.8</v>
      </c>
      <c r="N185" s="7" t="n">
        <v>268.4</v>
      </c>
      <c r="P185" s="7" t="n">
        <v>103.2</v>
      </c>
      <c r="R185" s="7" t="n">
        <v>94.2</v>
      </c>
      <c r="T185" s="7" t="n">
        <v>248.4</v>
      </c>
      <c r="V185" s="7" t="n">
        <v>79.7</v>
      </c>
      <c r="X185" s="7" t="n">
        <v>330.2</v>
      </c>
      <c r="Z185" s="7" t="n">
        <v>143.6</v>
      </c>
      <c r="AB185" s="7" t="n">
        <v>2430.6</v>
      </c>
    </row>
    <row r="186">
      <c r="A186" s="4" t="inlineStr">
        <is>
          <t>福利费</t>
        </is>
      </c>
      <c r="D186" s="7" t="n">
        <v>1008</v>
      </c>
      <c r="F186" s="7" t="n">
        <v>755.1</v>
      </c>
      <c r="H186" s="7" t="n">
        <v>1079.7</v>
      </c>
      <c r="J186" s="7" t="n">
        <v>1348.4</v>
      </c>
      <c r="L186" s="7" t="n">
        <v>1377.9</v>
      </c>
      <c r="N186" s="7" t="n">
        <v>1387.7</v>
      </c>
      <c r="P186" s="7" t="n">
        <v>654.7</v>
      </c>
      <c r="R186" s="7" t="n">
        <v>546.8</v>
      </c>
      <c r="T186" s="7" t="n">
        <v>1227.7</v>
      </c>
      <c r="V186" s="7" t="n">
        <v>455.5</v>
      </c>
      <c r="X186" s="7" t="n">
        <v>1346.4</v>
      </c>
      <c r="Z186" s="7" t="n">
        <v>442.7</v>
      </c>
      <c r="AB186" s="7" t="n">
        <v>11630.6</v>
      </c>
    </row>
    <row r="187">
      <c r="A187" s="4" t="inlineStr">
        <is>
          <t>职工房租</t>
        </is>
      </c>
      <c r="D187" s="7" t="n">
        <v>196.2</v>
      </c>
      <c r="F187" s="7" t="n">
        <v>123.6</v>
      </c>
      <c r="H187" s="7" t="n">
        <v>163.5</v>
      </c>
      <c r="J187" s="7" t="n">
        <v>240.5</v>
      </c>
      <c r="L187" s="7" t="n">
        <v>253.2</v>
      </c>
      <c r="N187" s="7" t="n">
        <v>198.4</v>
      </c>
      <c r="P187" s="7" t="n">
        <v>119.1</v>
      </c>
      <c r="R187" s="7" t="n">
        <v>60.9</v>
      </c>
      <c r="T187" s="7" t="n">
        <v>157.7</v>
      </c>
      <c r="V187" s="7" t="n">
        <v>64.7</v>
      </c>
      <c r="X187" s="7" t="n">
        <v>258.6</v>
      </c>
      <c r="Z187" s="7" t="n">
        <v>84.5</v>
      </c>
      <c r="AB187" s="7" t="n">
        <v>1920.9</v>
      </c>
    </row>
    <row r="188">
      <c r="A188" s="4" t="inlineStr">
        <is>
          <t>水电物业费</t>
        </is>
      </c>
      <c r="D188" s="7" t="n">
        <v>235.5</v>
      </c>
      <c r="F188" s="7" t="n">
        <v>240.6</v>
      </c>
      <c r="H188" s="7" t="n">
        <v>347.6</v>
      </c>
      <c r="J188" s="7" t="n">
        <v>298.4</v>
      </c>
      <c r="L188" s="7" t="n">
        <v>434.6</v>
      </c>
      <c r="N188" s="7" t="n">
        <v>336.5</v>
      </c>
      <c r="P188" s="7" t="n">
        <v>208.6</v>
      </c>
      <c r="R188" s="7" t="n">
        <v>197.4</v>
      </c>
      <c r="T188" s="7" t="n">
        <v>375.7</v>
      </c>
      <c r="V188" s="7" t="n">
        <v>151.7</v>
      </c>
      <c r="X188" s="7" t="n">
        <v>481.4</v>
      </c>
      <c r="Z188" s="7" t="n">
        <v>111.8</v>
      </c>
      <c r="AB188" s="7" t="n">
        <v>3419.8</v>
      </c>
    </row>
    <row r="189">
      <c r="A189" s="4" t="inlineStr">
        <is>
          <t>员工餐</t>
        </is>
      </c>
      <c r="D189" s="7" t="n">
        <v>121.6</v>
      </c>
      <c r="F189" s="7" t="n">
        <v>64.7</v>
      </c>
      <c r="H189" s="7" t="n">
        <v>113.1</v>
      </c>
      <c r="J189" s="7" t="n">
        <v>133.8</v>
      </c>
      <c r="L189" s="7" t="n">
        <v>121.6</v>
      </c>
      <c r="N189" s="7" t="n">
        <v>166.1</v>
      </c>
      <c r="P189" s="7" t="n">
        <v>56.5</v>
      </c>
      <c r="R189" s="7" t="n">
        <v>65.90000000000001</v>
      </c>
      <c r="T189" s="7" t="n">
        <v>107.1</v>
      </c>
      <c r="V189" s="7" t="n">
        <v>46.2</v>
      </c>
      <c r="X189" s="7" t="n">
        <v>101.3</v>
      </c>
      <c r="Z189" s="7" t="n">
        <v>44.2</v>
      </c>
      <c r="AB189" s="7" t="n">
        <v>1142.1</v>
      </c>
    </row>
    <row r="190">
      <c r="A190" s="4" t="inlineStr">
        <is>
          <t>节日礼品</t>
        </is>
      </c>
      <c r="D190" s="7" t="n">
        <v>174.9</v>
      </c>
      <c r="F190" s="7" t="n">
        <v>148.1</v>
      </c>
      <c r="H190" s="7" t="n">
        <v>211.4</v>
      </c>
      <c r="J190" s="7" t="n">
        <v>307.9</v>
      </c>
      <c r="L190" s="7" t="n">
        <v>210.8</v>
      </c>
      <c r="N190" s="7" t="n">
        <v>315</v>
      </c>
      <c r="P190" s="7" t="n">
        <v>109.4</v>
      </c>
      <c r="R190" s="7" t="n">
        <v>70.5</v>
      </c>
      <c r="T190" s="7" t="n">
        <v>268</v>
      </c>
      <c r="V190" s="7" t="n">
        <v>74.09999999999999</v>
      </c>
      <c r="X190" s="7" t="n">
        <v>176.7</v>
      </c>
      <c r="Z190" s="7" t="n">
        <v>67.3</v>
      </c>
      <c r="AB190" s="7" t="n">
        <v>2134.1</v>
      </c>
    </row>
    <row r="191">
      <c r="A191" s="4" t="inlineStr">
        <is>
          <t>生日礼品</t>
        </is>
      </c>
      <c r="D191" s="7" t="n">
        <v>157.8</v>
      </c>
      <c r="F191" s="7" t="n">
        <v>86.8</v>
      </c>
      <c r="H191" s="7" t="n">
        <v>112</v>
      </c>
      <c r="J191" s="7" t="n">
        <v>115.8</v>
      </c>
      <c r="L191" s="7" t="n">
        <v>172.5</v>
      </c>
      <c r="N191" s="7" t="n">
        <v>189.9</v>
      </c>
      <c r="P191" s="7" t="n">
        <v>61.7</v>
      </c>
      <c r="R191" s="7" t="n">
        <v>64.59999999999999</v>
      </c>
      <c r="T191" s="7" t="n">
        <v>128.6</v>
      </c>
      <c r="V191" s="7" t="n">
        <v>40.1</v>
      </c>
      <c r="X191" s="7" t="n">
        <v>157.5</v>
      </c>
      <c r="Z191" s="7" t="n">
        <v>46.2</v>
      </c>
      <c r="AB191" s="7" t="n">
        <v>1333.5</v>
      </c>
    </row>
    <row r="192">
      <c r="A192" s="4" t="inlineStr">
        <is>
          <t>体检</t>
        </is>
      </c>
      <c r="D192" s="7" t="n">
        <v>92.59999999999999</v>
      </c>
      <c r="F192" s="7" t="n">
        <v>80.09999999999999</v>
      </c>
      <c r="H192" s="7" t="n">
        <v>112</v>
      </c>
      <c r="J192" s="7" t="n">
        <v>221.6</v>
      </c>
      <c r="L192" s="7" t="n">
        <v>161</v>
      </c>
      <c r="N192" s="7" t="n">
        <v>154.3</v>
      </c>
      <c r="P192" s="7" t="n">
        <v>81.09999999999999</v>
      </c>
      <c r="R192" s="7" t="n">
        <v>73.90000000000001</v>
      </c>
      <c r="T192" s="7" t="n">
        <v>162.2</v>
      </c>
      <c r="V192" s="7" t="n">
        <v>71.59999999999999</v>
      </c>
      <c r="X192" s="7" t="n">
        <v>142.8</v>
      </c>
      <c r="Z192" s="7" t="n">
        <v>79.90000000000001</v>
      </c>
      <c r="AB192" s="7" t="n">
        <v>1433.1</v>
      </c>
    </row>
    <row r="193">
      <c r="A193" s="4" t="inlineStr">
        <is>
          <t>其他福利支出</t>
        </is>
      </c>
      <c r="D193" s="7" t="n">
        <v>29.4</v>
      </c>
      <c r="F193" s="7" t="n">
        <v>11.2</v>
      </c>
      <c r="H193" s="7" t="n">
        <v>20.1</v>
      </c>
      <c r="J193" s="7" t="n">
        <v>30.4</v>
      </c>
      <c r="L193" s="7" t="n">
        <v>24.2</v>
      </c>
      <c r="N193" s="7" t="n">
        <v>27.5</v>
      </c>
      <c r="P193" s="7" t="n">
        <v>18.3</v>
      </c>
      <c r="R193" s="7" t="n">
        <v>13.6</v>
      </c>
      <c r="T193" s="7" t="n">
        <v>28.4</v>
      </c>
      <c r="V193" s="7" t="n">
        <v>7.1</v>
      </c>
      <c r="X193" s="7" t="n">
        <v>28.1</v>
      </c>
      <c r="Z193" s="7" t="n">
        <v>8.800000000000001</v>
      </c>
      <c r="AB193" s="7" t="n">
        <v>247.1</v>
      </c>
    </row>
    <row r="194">
      <c r="A194" s="4" t="inlineStr">
        <is>
          <t>招聘费</t>
        </is>
      </c>
      <c r="D194" s="7" t="n">
        <v>269.5</v>
      </c>
      <c r="F194" s="7" t="n">
        <v>153.3</v>
      </c>
      <c r="H194" s="7" t="n">
        <v>183.4</v>
      </c>
      <c r="J194" s="7" t="n">
        <v>253</v>
      </c>
      <c r="L194" s="7" t="n">
        <v>254</v>
      </c>
      <c r="N194" s="7" t="n">
        <v>391.1</v>
      </c>
      <c r="P194" s="7" t="n">
        <v>180.9</v>
      </c>
      <c r="R194" s="7" t="n">
        <v>148.4</v>
      </c>
      <c r="T194" s="7" t="n">
        <v>291.2</v>
      </c>
      <c r="V194" s="7" t="n">
        <v>135.3</v>
      </c>
      <c r="X194" s="7" t="n">
        <v>247.4</v>
      </c>
      <c r="Z194" s="7" t="n">
        <v>112.8</v>
      </c>
      <c r="AB194" s="7" t="n">
        <v>2620.3</v>
      </c>
    </row>
    <row r="195">
      <c r="A195" s="4" t="inlineStr">
        <is>
          <t>办公费</t>
        </is>
      </c>
      <c r="D195" s="7" t="n">
        <v>1673.7</v>
      </c>
      <c r="F195" s="7" t="n">
        <v>959.2</v>
      </c>
      <c r="H195" s="7" t="n">
        <v>1542.2</v>
      </c>
      <c r="J195" s="7" t="n">
        <v>1983.1</v>
      </c>
      <c r="L195" s="7" t="n">
        <v>2593.9</v>
      </c>
      <c r="N195" s="7" t="n">
        <v>2219.5</v>
      </c>
      <c r="P195" s="7" t="n">
        <v>1384.9</v>
      </c>
      <c r="R195" s="7" t="n">
        <v>1134.2</v>
      </c>
      <c r="T195" s="7" t="n">
        <v>2687.4</v>
      </c>
      <c r="V195" s="7" t="n">
        <v>790.9</v>
      </c>
      <c r="X195" s="7" t="n">
        <v>2546.2</v>
      </c>
      <c r="Z195" s="7" t="n">
        <v>759.8</v>
      </c>
      <c r="AB195" s="7" t="n">
        <v>20275</v>
      </c>
    </row>
    <row r="196">
      <c r="A196" s="4" t="inlineStr">
        <is>
          <t>市内交通费</t>
        </is>
      </c>
      <c r="D196" s="7" t="n">
        <v>58.1</v>
      </c>
      <c r="F196" s="7" t="n">
        <v>44.1</v>
      </c>
      <c r="H196" s="7" t="n">
        <v>79</v>
      </c>
      <c r="J196" s="7" t="n">
        <v>128.6</v>
      </c>
      <c r="L196" s="7" t="n">
        <v>75.40000000000001</v>
      </c>
      <c r="N196" s="7" t="n">
        <v>112.2</v>
      </c>
      <c r="P196" s="7" t="n">
        <v>39.7</v>
      </c>
      <c r="R196" s="7" t="n">
        <v>44.7</v>
      </c>
      <c r="T196" s="7" t="n">
        <v>96.7</v>
      </c>
      <c r="V196" s="7" t="n">
        <v>31.9</v>
      </c>
      <c r="X196" s="7" t="n">
        <v>73.59999999999999</v>
      </c>
      <c r="Z196" s="7" t="n">
        <v>36.2</v>
      </c>
      <c r="AB196" s="7" t="n">
        <v>820.2</v>
      </c>
    </row>
    <row r="197">
      <c r="A197" s="4" t="inlineStr">
        <is>
          <t>差旅费</t>
        </is>
      </c>
      <c r="D197" s="7" t="n">
        <v>2668.1</v>
      </c>
      <c r="F197" s="7" t="n">
        <v>2672.3</v>
      </c>
      <c r="H197" s="7" t="n">
        <v>3699</v>
      </c>
      <c r="J197" s="7" t="n">
        <v>3535.2</v>
      </c>
      <c r="L197" s="7" t="n">
        <v>4218.4</v>
      </c>
      <c r="N197" s="7" t="n">
        <v>5309.5</v>
      </c>
      <c r="P197" s="7" t="n">
        <v>2736.8</v>
      </c>
      <c r="R197" s="7" t="n">
        <v>2253.2</v>
      </c>
      <c r="T197" s="7" t="n">
        <v>3941.9</v>
      </c>
      <c r="V197" s="7" t="n">
        <v>1484.9</v>
      </c>
      <c r="X197" s="7" t="n">
        <v>5677</v>
      </c>
      <c r="Z197" s="7" t="n">
        <v>1986.7</v>
      </c>
      <c r="AB197" s="7" t="n">
        <v>40183</v>
      </c>
    </row>
    <row r="198">
      <c r="A198" s="4" t="inlineStr">
        <is>
          <t>交通费</t>
        </is>
      </c>
      <c r="D198" s="7" t="n">
        <v>83.59999999999999</v>
      </c>
      <c r="F198" s="7" t="n">
        <v>84.8</v>
      </c>
      <c r="H198" s="7" t="n">
        <v>76.40000000000001</v>
      </c>
      <c r="J198" s="7" t="n">
        <v>120.8</v>
      </c>
      <c r="L198" s="7" t="n">
        <v>138.3</v>
      </c>
      <c r="N198" s="7" t="n">
        <v>135.3</v>
      </c>
      <c r="P198" s="7" t="n">
        <v>80</v>
      </c>
      <c r="R198" s="7" t="n">
        <v>52.8</v>
      </c>
      <c r="T198" s="7" t="n">
        <v>109</v>
      </c>
      <c r="V198" s="7" t="n">
        <v>39.9</v>
      </c>
      <c r="X198" s="7" t="n">
        <v>131.1</v>
      </c>
      <c r="Z198" s="7" t="n">
        <v>65.90000000000001</v>
      </c>
      <c r="AB198" s="7" t="n">
        <v>1117.9</v>
      </c>
    </row>
    <row r="199">
      <c r="A199" s="4" t="inlineStr">
        <is>
          <t>住宿费</t>
        </is>
      </c>
      <c r="D199" s="7" t="n">
        <v>237.9</v>
      </c>
      <c r="F199" s="7" t="n">
        <v>183.4</v>
      </c>
      <c r="H199" s="7" t="n">
        <v>247.5</v>
      </c>
      <c r="J199" s="7" t="n">
        <v>397.8</v>
      </c>
      <c r="L199" s="7" t="n">
        <v>296.8</v>
      </c>
      <c r="N199" s="7" t="n">
        <v>255.3</v>
      </c>
      <c r="P199" s="7" t="n">
        <v>167</v>
      </c>
      <c r="R199" s="7" t="n">
        <v>133.3</v>
      </c>
      <c r="T199" s="7" t="n">
        <v>247.6</v>
      </c>
      <c r="V199" s="7" t="n">
        <v>119.4</v>
      </c>
      <c r="X199" s="7" t="n">
        <v>279.7</v>
      </c>
      <c r="Z199" s="7" t="n">
        <v>131.3</v>
      </c>
      <c r="AB199" s="7" t="n">
        <v>2697</v>
      </c>
    </row>
    <row r="200">
      <c r="A200" s="4" t="inlineStr">
        <is>
          <t>餐补</t>
        </is>
      </c>
      <c r="D200" s="7" t="n">
        <v>194</v>
      </c>
      <c r="F200" s="7" t="n">
        <v>75.90000000000001</v>
      </c>
      <c r="H200" s="7" t="n">
        <v>136.4</v>
      </c>
      <c r="J200" s="7" t="n">
        <v>171.6</v>
      </c>
      <c r="L200" s="7" t="n">
        <v>140.2</v>
      </c>
      <c r="N200" s="7" t="n">
        <v>252.3</v>
      </c>
      <c r="P200" s="7" t="n">
        <v>118.6</v>
      </c>
      <c r="R200" s="7" t="n">
        <v>61</v>
      </c>
      <c r="T200" s="7" t="n">
        <v>207.5</v>
      </c>
      <c r="V200" s="7" t="n">
        <v>88.2</v>
      </c>
      <c r="X200" s="7" t="n">
        <v>177.4</v>
      </c>
      <c r="Z200" s="7" t="n">
        <v>84.09999999999999</v>
      </c>
      <c r="AB200" s="7" t="n">
        <v>1707.2</v>
      </c>
    </row>
    <row r="201">
      <c r="A201" s="4" t="inlineStr">
        <is>
          <t>交通补助</t>
        </is>
      </c>
      <c r="D201" s="7" t="n">
        <v>225.8</v>
      </c>
      <c r="F201" s="7" t="n">
        <v>162.9</v>
      </c>
      <c r="H201" s="7" t="n">
        <v>159.8</v>
      </c>
      <c r="J201" s="7" t="n">
        <v>247.6</v>
      </c>
      <c r="L201" s="7" t="n">
        <v>222.8</v>
      </c>
      <c r="N201" s="7" t="n">
        <v>341.1</v>
      </c>
      <c r="P201" s="7" t="n">
        <v>130.8</v>
      </c>
      <c r="R201" s="7" t="n">
        <v>85.59999999999999</v>
      </c>
      <c r="T201" s="7" t="n">
        <v>216.3</v>
      </c>
      <c r="V201" s="7" t="n">
        <v>118.4</v>
      </c>
      <c r="X201" s="7" t="n">
        <v>228.7</v>
      </c>
      <c r="Z201" s="7" t="n">
        <v>125.3</v>
      </c>
      <c r="AB201" s="7" t="n">
        <v>2265.1</v>
      </c>
    </row>
    <row r="202">
      <c r="A202" s="4" t="inlineStr">
        <is>
          <t>通讯补助</t>
        </is>
      </c>
      <c r="D202" s="7" t="n">
        <v>196</v>
      </c>
      <c r="F202" s="7" t="n">
        <v>124.8</v>
      </c>
      <c r="H202" s="7" t="n">
        <v>235.5</v>
      </c>
      <c r="J202" s="7" t="n">
        <v>293.7</v>
      </c>
      <c r="L202" s="7" t="n">
        <v>276</v>
      </c>
      <c r="N202" s="7" t="n">
        <v>328.6</v>
      </c>
      <c r="P202" s="7" t="n">
        <v>125.5</v>
      </c>
      <c r="R202" s="7" t="n">
        <v>95.59999999999999</v>
      </c>
      <c r="T202" s="7" t="n">
        <v>332.8</v>
      </c>
      <c r="V202" s="7" t="n">
        <v>66.59999999999999</v>
      </c>
      <c r="X202" s="7" t="n">
        <v>255.6</v>
      </c>
      <c r="Z202" s="7" t="n">
        <v>106.1</v>
      </c>
      <c r="AB202" s="7" t="n">
        <v>2436.8</v>
      </c>
    </row>
    <row r="203">
      <c r="A203" s="4" t="inlineStr">
        <is>
          <t>招待费</t>
        </is>
      </c>
      <c r="D203" s="7" t="n">
        <v>2445.2</v>
      </c>
      <c r="F203" s="7" t="n">
        <v>1905.2</v>
      </c>
      <c r="H203" s="7" t="n">
        <v>1683.9</v>
      </c>
      <c r="J203" s="7" t="n">
        <v>3557.8</v>
      </c>
      <c r="L203" s="7" t="n">
        <v>2203.1</v>
      </c>
      <c r="N203" s="7" t="n">
        <v>2461.9</v>
      </c>
      <c r="P203" s="7" t="n">
        <v>1094.7</v>
      </c>
      <c r="R203" s="7" t="n">
        <v>931.9</v>
      </c>
      <c r="T203" s="7" t="n">
        <v>3098.9</v>
      </c>
      <c r="V203" s="7" t="n">
        <v>1290.4</v>
      </c>
      <c r="X203" s="7" t="n">
        <v>2728.7</v>
      </c>
      <c r="Z203" s="7" t="n">
        <v>1299.7</v>
      </c>
      <c r="AB203" s="7" t="n">
        <v>24701.4</v>
      </c>
    </row>
    <row r="204">
      <c r="A204" s="4" t="inlineStr">
        <is>
          <t>通讯费</t>
        </is>
      </c>
      <c r="D204" s="7" t="n">
        <v>338</v>
      </c>
      <c r="F204" s="7" t="n">
        <v>234</v>
      </c>
      <c r="H204" s="7" t="n">
        <v>421</v>
      </c>
      <c r="J204" s="7" t="n">
        <v>499.4</v>
      </c>
      <c r="L204" s="7" t="n">
        <v>462.9</v>
      </c>
      <c r="N204" s="7" t="n">
        <v>539.4</v>
      </c>
      <c r="P204" s="7" t="n">
        <v>255.6</v>
      </c>
      <c r="R204" s="7" t="n">
        <v>176.1</v>
      </c>
      <c r="T204" s="7" t="n">
        <v>386.4</v>
      </c>
      <c r="V204" s="7" t="n">
        <v>194.2</v>
      </c>
      <c r="X204" s="7" t="n">
        <v>614.7</v>
      </c>
      <c r="Z204" s="7" t="n">
        <v>174.2</v>
      </c>
      <c r="AB204" s="7" t="n">
        <v>4295.9</v>
      </c>
    </row>
    <row r="205">
      <c r="A205" s="4" t="inlineStr">
        <is>
          <t>网络费</t>
        </is>
      </c>
      <c r="D205" s="7" t="n">
        <v>55.3</v>
      </c>
      <c r="F205" s="7" t="n">
        <v>25.1</v>
      </c>
      <c r="H205" s="7" t="n">
        <v>36.6</v>
      </c>
      <c r="J205" s="7" t="n">
        <v>64.59999999999999</v>
      </c>
      <c r="L205" s="7" t="n">
        <v>55.3</v>
      </c>
      <c r="N205" s="7" t="n">
        <v>46.1</v>
      </c>
      <c r="P205" s="7" t="n">
        <v>33.7</v>
      </c>
      <c r="R205" s="7" t="n">
        <v>18.6</v>
      </c>
      <c r="T205" s="7" t="n">
        <v>41.9</v>
      </c>
      <c r="V205" s="7" t="n">
        <v>16</v>
      </c>
      <c r="X205" s="7" t="n">
        <v>51.5</v>
      </c>
      <c r="Z205" s="7" t="n">
        <v>16.9</v>
      </c>
      <c r="AB205" s="7" t="n">
        <v>461.6</v>
      </c>
    </row>
    <row r="206">
      <c r="A206" s="4" t="inlineStr">
        <is>
          <t>修理费</t>
        </is>
      </c>
      <c r="D206" s="7" t="n">
        <v>335.3</v>
      </c>
      <c r="F206" s="7" t="n">
        <v>197.6</v>
      </c>
      <c r="H206" s="7" t="n">
        <v>377.9</v>
      </c>
      <c r="J206" s="7" t="n">
        <v>495</v>
      </c>
      <c r="L206" s="7" t="n">
        <v>287.1</v>
      </c>
      <c r="N206" s="7" t="n">
        <v>551.6</v>
      </c>
      <c r="P206" s="7" t="n">
        <v>209.9</v>
      </c>
      <c r="R206" s="7" t="n">
        <v>185.2</v>
      </c>
      <c r="T206" s="7" t="n">
        <v>487.9</v>
      </c>
      <c r="V206" s="7" t="n">
        <v>150</v>
      </c>
      <c r="X206" s="7" t="n">
        <v>335.3</v>
      </c>
      <c r="Z206" s="7" t="n">
        <v>169.5</v>
      </c>
      <c r="AB206" s="7" t="n">
        <v>3782.3</v>
      </c>
    </row>
    <row r="207">
      <c r="A207" s="4" t="inlineStr">
        <is>
          <t>车辆费</t>
        </is>
      </c>
      <c r="D207" s="7" t="n">
        <v>84.40000000000001</v>
      </c>
      <c r="F207" s="7" t="n">
        <v>37.3</v>
      </c>
      <c r="H207" s="7" t="n">
        <v>88.09999999999999</v>
      </c>
      <c r="J207" s="7" t="n">
        <v>113</v>
      </c>
      <c r="L207" s="7" t="n">
        <v>89.09999999999999</v>
      </c>
      <c r="N207" s="7" t="n">
        <v>141.5</v>
      </c>
      <c r="P207" s="7" t="n">
        <v>40.4</v>
      </c>
      <c r="R207" s="7" t="n">
        <v>33.4</v>
      </c>
      <c r="T207" s="7" t="n">
        <v>106.9</v>
      </c>
      <c r="V207" s="7" t="n">
        <v>43.7</v>
      </c>
      <c r="X207" s="7" t="n">
        <v>127.4</v>
      </c>
      <c r="Z207" s="7" t="n">
        <v>33.5</v>
      </c>
      <c r="AB207" s="7" t="n">
        <v>938.7</v>
      </c>
    </row>
    <row r="208">
      <c r="A208" s="4" t="inlineStr">
        <is>
          <t>租赁费</t>
        </is>
      </c>
      <c r="D208" s="7" t="n">
        <v>3034.9</v>
      </c>
      <c r="F208" s="7" t="n">
        <v>1948.9</v>
      </c>
      <c r="H208" s="7" t="n">
        <v>2284</v>
      </c>
      <c r="J208" s="7" t="n">
        <v>3229.9</v>
      </c>
      <c r="L208" s="7" t="n">
        <v>3762.8</v>
      </c>
      <c r="N208" s="7" t="n">
        <v>3754.1</v>
      </c>
      <c r="P208" s="7" t="n">
        <v>1655.7</v>
      </c>
      <c r="R208" s="7" t="n">
        <v>1261</v>
      </c>
      <c r="T208" s="7" t="n">
        <v>2948.2</v>
      </c>
      <c r="V208" s="7" t="n">
        <v>1111.7</v>
      </c>
      <c r="X208" s="7" t="n">
        <v>2909.1</v>
      </c>
      <c r="Z208" s="7" t="n">
        <v>1496.7</v>
      </c>
      <c r="AB208" s="7" t="n">
        <v>29397</v>
      </c>
    </row>
    <row r="209">
      <c r="A209" s="4" t="inlineStr">
        <is>
          <t>能源费</t>
        </is>
      </c>
      <c r="D209" s="7" t="n">
        <v>790.1</v>
      </c>
      <c r="F209" s="7" t="n">
        <v>501.5</v>
      </c>
      <c r="H209" s="7" t="n">
        <v>620.4</v>
      </c>
      <c r="J209" s="7" t="n">
        <v>741.3</v>
      </c>
      <c r="L209" s="7" t="n">
        <v>833.1</v>
      </c>
      <c r="N209" s="7" t="n">
        <v>940.4</v>
      </c>
      <c r="P209" s="7" t="n">
        <v>428.3</v>
      </c>
      <c r="R209" s="7" t="n">
        <v>285.4</v>
      </c>
      <c r="T209" s="7" t="n">
        <v>815.6</v>
      </c>
      <c r="V209" s="7" t="n">
        <v>287.7</v>
      </c>
      <c r="X209" s="7" t="n">
        <v>956.9</v>
      </c>
      <c r="Z209" s="7" t="n">
        <v>345.9</v>
      </c>
      <c r="AB209" s="7" t="n">
        <v>7546.6</v>
      </c>
    </row>
    <row r="210">
      <c r="A210" s="4" t="inlineStr">
        <is>
          <t>水费</t>
        </is>
      </c>
      <c r="D210" s="7" t="n">
        <v>319.8</v>
      </c>
      <c r="F210" s="7" t="n">
        <v>203.9</v>
      </c>
      <c r="H210" s="7" t="n">
        <v>232.6</v>
      </c>
      <c r="J210" s="7" t="n">
        <v>254.9</v>
      </c>
      <c r="L210" s="7" t="n">
        <v>336.2</v>
      </c>
      <c r="N210" s="7" t="n">
        <v>383.3</v>
      </c>
      <c r="P210" s="7" t="n">
        <v>201</v>
      </c>
      <c r="R210" s="7" t="n">
        <v>110.9</v>
      </c>
      <c r="T210" s="7" t="n">
        <v>340.1</v>
      </c>
      <c r="V210" s="7" t="n">
        <v>100</v>
      </c>
      <c r="X210" s="7" t="n">
        <v>297.6</v>
      </c>
      <c r="Z210" s="7" t="n">
        <v>100.8</v>
      </c>
      <c r="AB210" s="7" t="n">
        <v>2881.1</v>
      </c>
    </row>
    <row r="211">
      <c r="A211" s="4" t="inlineStr">
        <is>
          <t>电费</t>
        </is>
      </c>
      <c r="D211" s="7" t="n">
        <v>128.5</v>
      </c>
      <c r="F211" s="7" t="n">
        <v>96</v>
      </c>
      <c r="H211" s="7" t="n">
        <v>142.3</v>
      </c>
      <c r="J211" s="7" t="n">
        <v>167.9</v>
      </c>
      <c r="L211" s="7" t="n">
        <v>144.6</v>
      </c>
      <c r="N211" s="7" t="n">
        <v>210.3</v>
      </c>
      <c r="P211" s="7" t="n">
        <v>101.3</v>
      </c>
      <c r="R211" s="7" t="n">
        <v>63.7</v>
      </c>
      <c r="T211" s="7" t="n">
        <v>177.1</v>
      </c>
      <c r="V211" s="7" t="n">
        <v>65.8</v>
      </c>
      <c r="X211" s="7" t="n">
        <v>195.4</v>
      </c>
      <c r="Z211" s="7" t="n">
        <v>77.90000000000001</v>
      </c>
      <c r="AB211" s="7" t="n">
        <v>1570.8</v>
      </c>
    </row>
    <row r="212">
      <c r="A212" s="4" t="inlineStr">
        <is>
          <t>燃气费</t>
        </is>
      </c>
      <c r="D212" s="7" t="n">
        <v>22.9</v>
      </c>
      <c r="F212" s="7" t="n">
        <v>13.8</v>
      </c>
      <c r="H212" s="7" t="n">
        <v>21</v>
      </c>
      <c r="J212" s="7" t="n">
        <v>29.3</v>
      </c>
      <c r="L212" s="7" t="n">
        <v>25.4</v>
      </c>
      <c r="N212" s="7" t="n">
        <v>36.7</v>
      </c>
      <c r="P212" s="7" t="n">
        <v>13.2</v>
      </c>
      <c r="R212" s="7" t="n">
        <v>14.5</v>
      </c>
      <c r="T212" s="7" t="n">
        <v>44.3</v>
      </c>
      <c r="V212" s="7" t="n">
        <v>16.6</v>
      </c>
      <c r="X212" s="7" t="n">
        <v>31.3</v>
      </c>
      <c r="Z212" s="7" t="n">
        <v>13.2</v>
      </c>
      <c r="AB212" s="7" t="n">
        <v>282.2</v>
      </c>
    </row>
    <row r="213">
      <c r="A213" s="4" t="inlineStr">
        <is>
          <t>蒸汽费</t>
        </is>
      </c>
      <c r="D213" s="7" t="n">
        <v>318.9</v>
      </c>
      <c r="F213" s="7" t="n">
        <v>187.8</v>
      </c>
      <c r="H213" s="7" t="n">
        <v>224.5</v>
      </c>
      <c r="J213" s="7" t="n">
        <v>289.2</v>
      </c>
      <c r="L213" s="7" t="n">
        <v>326.9</v>
      </c>
      <c r="N213" s="7" t="n">
        <v>310.1</v>
      </c>
      <c r="P213" s="7" t="n">
        <v>112.8</v>
      </c>
      <c r="R213" s="7" t="n">
        <v>96.3</v>
      </c>
      <c r="T213" s="7" t="n">
        <v>254.1</v>
      </c>
      <c r="V213" s="7" t="n">
        <v>105.3</v>
      </c>
      <c r="X213" s="7" t="n">
        <v>432.6</v>
      </c>
      <c r="Z213" s="7" t="n">
        <v>154</v>
      </c>
      <c r="AB213" s="7" t="n">
        <v>2812.5</v>
      </c>
    </row>
    <row r="214">
      <c r="A214" s="4" t="inlineStr">
        <is>
          <t>物业费</t>
        </is>
      </c>
      <c r="D214" s="7" t="n">
        <v>271.9</v>
      </c>
      <c r="F214" s="7" t="n">
        <v>251.3</v>
      </c>
      <c r="H214" s="7" t="n">
        <v>437.6</v>
      </c>
      <c r="J214" s="7" t="n">
        <v>554.8</v>
      </c>
      <c r="L214" s="7" t="n">
        <v>520.7</v>
      </c>
      <c r="N214" s="7" t="n">
        <v>629.5</v>
      </c>
      <c r="P214" s="7" t="n">
        <v>178.3</v>
      </c>
      <c r="R214" s="7" t="n">
        <v>135.6</v>
      </c>
      <c r="T214" s="7" t="n">
        <v>520.2</v>
      </c>
      <c r="V214" s="7" t="n">
        <v>148.9</v>
      </c>
      <c r="X214" s="7" t="n">
        <v>599.2</v>
      </c>
      <c r="Z214" s="7" t="n">
        <v>188.8</v>
      </c>
      <c r="AB214" s="7" t="n">
        <v>4436.8</v>
      </c>
    </row>
    <row r="215">
      <c r="A215" s="4" t="inlineStr">
        <is>
          <t>劳动保护费</t>
        </is>
      </c>
      <c r="D215" s="7" t="n">
        <v>75</v>
      </c>
      <c r="F215" s="7" t="n">
        <v>72</v>
      </c>
      <c r="H215" s="7" t="n">
        <v>75.90000000000001</v>
      </c>
      <c r="J215" s="7" t="n">
        <v>157.2</v>
      </c>
      <c r="L215" s="7" t="n">
        <v>105</v>
      </c>
      <c r="N215" s="7" t="n">
        <v>140.1</v>
      </c>
      <c r="P215" s="7" t="n">
        <v>61.3</v>
      </c>
      <c r="R215" s="7" t="n">
        <v>38.1</v>
      </c>
      <c r="T215" s="7" t="n">
        <v>131.3</v>
      </c>
      <c r="V215" s="7" t="n">
        <v>44.8</v>
      </c>
      <c r="X215" s="7" t="n">
        <v>117</v>
      </c>
      <c r="Z215" s="7" t="n">
        <v>35.7</v>
      </c>
      <c r="AB215" s="7" t="n">
        <v>1053.4</v>
      </c>
    </row>
    <row r="216">
      <c r="A216" s="4" t="inlineStr">
        <is>
          <t>顾问费</t>
        </is>
      </c>
      <c r="D216" s="7" t="n">
        <v>378</v>
      </c>
      <c r="F216" s="7" t="n">
        <v>290.7</v>
      </c>
      <c r="H216" s="7" t="n">
        <v>414</v>
      </c>
      <c r="J216" s="7" t="n">
        <v>521.4</v>
      </c>
      <c r="L216" s="7" t="n">
        <v>470.6</v>
      </c>
      <c r="N216" s="7" t="n">
        <v>403</v>
      </c>
      <c r="P216" s="7" t="n">
        <v>187.1</v>
      </c>
      <c r="R216" s="7" t="n">
        <v>191.1</v>
      </c>
      <c r="T216" s="7" t="n">
        <v>574.7</v>
      </c>
      <c r="V216" s="7" t="n">
        <v>122.1</v>
      </c>
      <c r="X216" s="7" t="n">
        <v>531.7</v>
      </c>
      <c r="Z216" s="7" t="n">
        <v>196.7</v>
      </c>
      <c r="AB216" s="7" t="n">
        <v>4281.1</v>
      </c>
    </row>
    <row r="217">
      <c r="A217" s="4" t="inlineStr">
        <is>
          <t>快递费</t>
        </is>
      </c>
      <c r="D217" s="7" t="n">
        <v>278.5</v>
      </c>
      <c r="F217" s="7" t="n">
        <v>262.5</v>
      </c>
      <c r="H217" s="7" t="n">
        <v>455.1</v>
      </c>
      <c r="J217" s="7" t="n">
        <v>532</v>
      </c>
      <c r="L217" s="7" t="n">
        <v>517.8</v>
      </c>
      <c r="N217" s="7" t="n">
        <v>639.7</v>
      </c>
      <c r="P217" s="7" t="n">
        <v>272.5</v>
      </c>
      <c r="R217" s="7" t="n">
        <v>220.3</v>
      </c>
      <c r="T217" s="7" t="n">
        <v>435.2</v>
      </c>
      <c r="V217" s="7" t="n">
        <v>125.5</v>
      </c>
      <c r="X217" s="7" t="n">
        <v>487.5</v>
      </c>
      <c r="Z217" s="7" t="n">
        <v>219.5</v>
      </c>
      <c r="AB217" s="7" t="n">
        <v>4446.1</v>
      </c>
    </row>
    <row r="218">
      <c r="A218" s="4" t="inlineStr">
        <is>
          <t>诉讼费</t>
        </is>
      </c>
      <c r="D218" s="7" t="n">
        <v>193.7</v>
      </c>
      <c r="F218" s="7" t="n">
        <v>171.6</v>
      </c>
      <c r="H218" s="7" t="n">
        <v>232.8</v>
      </c>
      <c r="J218" s="7" t="n">
        <v>287.9</v>
      </c>
      <c r="L218" s="7" t="n">
        <v>225.3</v>
      </c>
      <c r="N218" s="7" t="n">
        <v>322.6</v>
      </c>
      <c r="P218" s="7" t="n">
        <v>124.6</v>
      </c>
      <c r="R218" s="7" t="n">
        <v>110.2</v>
      </c>
      <c r="T218" s="7" t="n">
        <v>252</v>
      </c>
      <c r="V218" s="7" t="n">
        <v>117.6</v>
      </c>
      <c r="X218" s="7" t="n">
        <v>336.1</v>
      </c>
      <c r="Z218" s="7" t="n">
        <v>79.40000000000001</v>
      </c>
      <c r="AB218" s="7" t="n">
        <v>2453.8</v>
      </c>
    </row>
    <row r="219">
      <c r="A219" s="4" t="inlineStr">
        <is>
          <t>会员费</t>
        </is>
      </c>
      <c r="D219" s="7" t="n">
        <v>319.5</v>
      </c>
      <c r="F219" s="7" t="n">
        <v>188.8</v>
      </c>
      <c r="H219" s="7" t="n">
        <v>239.2</v>
      </c>
      <c r="J219" s="7" t="n">
        <v>443.2</v>
      </c>
      <c r="L219" s="7" t="n">
        <v>234.4</v>
      </c>
      <c r="N219" s="7" t="n">
        <v>313.2</v>
      </c>
      <c r="P219" s="7" t="n">
        <v>127.5</v>
      </c>
      <c r="R219" s="7" t="n">
        <v>163</v>
      </c>
      <c r="T219" s="7" t="n">
        <v>366.5</v>
      </c>
      <c r="V219" s="7" t="n">
        <v>109.2</v>
      </c>
      <c r="X219" s="7" t="n">
        <v>366.2</v>
      </c>
      <c r="Z219" s="7" t="n">
        <v>137.8</v>
      </c>
      <c r="AB219" s="7" t="n">
        <v>3008.5</v>
      </c>
    </row>
    <row r="220">
      <c r="A220" s="4" t="inlineStr">
        <is>
          <t>广告宣传费</t>
        </is>
      </c>
      <c r="D220" s="7" t="n">
        <v>2173.4</v>
      </c>
      <c r="F220" s="7" t="n">
        <v>1052.6</v>
      </c>
      <c r="H220" s="7" t="n">
        <v>2153.9</v>
      </c>
      <c r="J220" s="7" t="n">
        <v>3044.3</v>
      </c>
      <c r="L220" s="7" t="n">
        <v>1669.1</v>
      </c>
      <c r="N220" s="7" t="n">
        <v>2263.2</v>
      </c>
      <c r="P220" s="7" t="n">
        <v>1196.7</v>
      </c>
      <c r="R220" s="7" t="n">
        <v>1013.4</v>
      </c>
      <c r="T220" s="7" t="n">
        <v>2775.9</v>
      </c>
      <c r="V220" s="7" t="n">
        <v>799.5</v>
      </c>
      <c r="X220" s="7" t="n">
        <v>3130.2</v>
      </c>
      <c r="Z220" s="7" t="n">
        <v>993.8</v>
      </c>
      <c r="AB220" s="7" t="n">
        <v>22266</v>
      </c>
    </row>
    <row r="221">
      <c r="A221" s="4" t="inlineStr">
        <is>
          <t>会务费</t>
        </is>
      </c>
      <c r="D221" s="7" t="n">
        <v>297.8</v>
      </c>
      <c r="F221" s="7" t="n">
        <v>250.1</v>
      </c>
      <c r="H221" s="7" t="n">
        <v>381.3</v>
      </c>
      <c r="J221" s="7" t="n">
        <v>550.8</v>
      </c>
      <c r="L221" s="7" t="n">
        <v>392.4</v>
      </c>
      <c r="N221" s="7" t="n">
        <v>456.1</v>
      </c>
      <c r="P221" s="7" t="n">
        <v>208.9</v>
      </c>
      <c r="R221" s="7" t="n">
        <v>135.8</v>
      </c>
      <c r="T221" s="7" t="n">
        <v>425.8</v>
      </c>
      <c r="V221" s="7" t="n">
        <v>174.6</v>
      </c>
      <c r="X221" s="7" t="n">
        <v>501.7</v>
      </c>
      <c r="Z221" s="7" t="n">
        <v>169.2</v>
      </c>
      <c r="AB221" s="7" t="n">
        <v>3944.5</v>
      </c>
    </row>
    <row r="222">
      <c r="A222" s="4" t="inlineStr">
        <is>
          <t>装修费</t>
        </is>
      </c>
      <c r="D222" s="7" t="n">
        <v>301.3</v>
      </c>
      <c r="F222" s="7" t="n">
        <v>179.1</v>
      </c>
      <c r="H222" s="7" t="n">
        <v>356.3</v>
      </c>
      <c r="J222" s="7" t="n">
        <v>375.6</v>
      </c>
      <c r="L222" s="7" t="n">
        <v>460.9</v>
      </c>
      <c r="N222" s="7" t="n">
        <v>436.6</v>
      </c>
      <c r="P222" s="7" t="n">
        <v>227.4</v>
      </c>
      <c r="R222" s="7" t="n">
        <v>126.5</v>
      </c>
      <c r="T222" s="7" t="n">
        <v>359.5</v>
      </c>
      <c r="V222" s="7" t="n">
        <v>124.5</v>
      </c>
      <c r="X222" s="7" t="n">
        <v>482.2</v>
      </c>
      <c r="Z222" s="7" t="n">
        <v>111.2</v>
      </c>
      <c r="AB222" s="7" t="n">
        <v>3541.1</v>
      </c>
    </row>
    <row r="223">
      <c r="A223" s="4" t="inlineStr">
        <is>
          <t>推广费</t>
        </is>
      </c>
      <c r="D223" s="7" t="n">
        <v>239.7</v>
      </c>
      <c r="F223" s="7" t="n">
        <v>195.3</v>
      </c>
      <c r="H223" s="7" t="n">
        <v>298.2</v>
      </c>
      <c r="J223" s="7" t="n">
        <v>268.7</v>
      </c>
      <c r="L223" s="7" t="n">
        <v>207.9</v>
      </c>
      <c r="N223" s="7" t="n">
        <v>411.8</v>
      </c>
      <c r="P223" s="7" t="n">
        <v>155.6</v>
      </c>
      <c r="R223" s="7" t="n">
        <v>94.59999999999999</v>
      </c>
      <c r="T223" s="7" t="n">
        <v>252.5</v>
      </c>
      <c r="V223" s="7" t="n">
        <v>79.7</v>
      </c>
      <c r="X223" s="7" t="n">
        <v>432.7</v>
      </c>
      <c r="Z223" s="7" t="n">
        <v>100</v>
      </c>
      <c r="AB223" s="7" t="n">
        <v>2736.7</v>
      </c>
    </row>
    <row r="224">
      <c r="A224" s="4" t="inlineStr">
        <is>
          <t>展会费</t>
        </is>
      </c>
      <c r="D224" s="7" t="n">
        <v>186.9</v>
      </c>
      <c r="F224" s="7" t="n">
        <v>105.7</v>
      </c>
      <c r="H224" s="7" t="n">
        <v>115.8</v>
      </c>
      <c r="J224" s="7" t="n">
        <v>249.1</v>
      </c>
      <c r="L224" s="7" t="n">
        <v>134.4</v>
      </c>
      <c r="N224" s="7" t="n">
        <v>159.5</v>
      </c>
      <c r="P224" s="7" t="n">
        <v>76</v>
      </c>
      <c r="R224" s="7" t="n">
        <v>63.6</v>
      </c>
      <c r="T224" s="7" t="n">
        <v>237.2</v>
      </c>
      <c r="V224" s="7" t="n">
        <v>50.5</v>
      </c>
      <c r="X224" s="7" t="n">
        <v>184.1</v>
      </c>
      <c r="Z224" s="7" t="n">
        <v>95.40000000000001</v>
      </c>
      <c r="AB224" s="7" t="n">
        <v>1658.2</v>
      </c>
    </row>
    <row r="225">
      <c r="A225" s="4" t="inlineStr">
        <is>
          <t>设计费</t>
        </is>
      </c>
      <c r="D225" s="7" t="n">
        <v>148.6</v>
      </c>
      <c r="F225" s="7" t="n">
        <v>100.9</v>
      </c>
      <c r="H225" s="7" t="n">
        <v>177.6</v>
      </c>
      <c r="J225" s="7" t="n">
        <v>191.6</v>
      </c>
      <c r="L225" s="7" t="n">
        <v>182.4</v>
      </c>
      <c r="N225" s="7" t="n">
        <v>190.3</v>
      </c>
      <c r="P225" s="7" t="n">
        <v>97.8</v>
      </c>
      <c r="R225" s="7" t="n">
        <v>85.90000000000001</v>
      </c>
      <c r="T225" s="7" t="n">
        <v>208.7</v>
      </c>
      <c r="V225" s="7" t="n">
        <v>75.5</v>
      </c>
      <c r="X225" s="7" t="n">
        <v>162.7</v>
      </c>
      <c r="Z225" s="7" t="n">
        <v>77.59999999999999</v>
      </c>
      <c r="AB225" s="7" t="n">
        <v>1699.6</v>
      </c>
    </row>
    <row r="226">
      <c r="A226" s="4" t="inlineStr">
        <is>
          <t>折旧费</t>
        </is>
      </c>
      <c r="D226" s="7" t="n">
        <v>1688.4</v>
      </c>
      <c r="F226" s="7" t="n">
        <v>1381.3</v>
      </c>
      <c r="H226" s="7" t="n">
        <v>1649.8</v>
      </c>
      <c r="J226" s="7" t="n">
        <v>3526.4</v>
      </c>
      <c r="L226" s="7" t="n">
        <v>3440.4</v>
      </c>
      <c r="N226" s="7" t="n">
        <v>3101.9</v>
      </c>
      <c r="P226" s="7" t="n">
        <v>1512.5</v>
      </c>
      <c r="R226" s="7" t="n">
        <v>894</v>
      </c>
      <c r="T226" s="7" t="n">
        <v>3403.1</v>
      </c>
      <c r="V226" s="7" t="n">
        <v>1094.5</v>
      </c>
      <c r="X226" s="7" t="n">
        <v>2954.6</v>
      </c>
      <c r="Z226" s="7" t="n">
        <v>1446.2</v>
      </c>
      <c r="AB226" s="7" t="n">
        <v>26093.1</v>
      </c>
    </row>
    <row r="227">
      <c r="A227" s="4" t="inlineStr">
        <is>
          <t>认证费</t>
        </is>
      </c>
      <c r="D227" s="7" t="n">
        <v>135.2</v>
      </c>
      <c r="F227" s="7" t="n">
        <v>90</v>
      </c>
      <c r="H227" s="7" t="n">
        <v>183.1</v>
      </c>
      <c r="J227" s="7" t="n">
        <v>314.6</v>
      </c>
      <c r="L227" s="7" t="n">
        <v>223.9</v>
      </c>
      <c r="N227" s="7" t="n">
        <v>275</v>
      </c>
      <c r="P227" s="7" t="n">
        <v>89.09999999999999</v>
      </c>
      <c r="R227" s="7" t="n">
        <v>107.4</v>
      </c>
      <c r="T227" s="7" t="n">
        <v>277.5</v>
      </c>
      <c r="V227" s="7" t="n">
        <v>102.8</v>
      </c>
      <c r="X227" s="7" t="n">
        <v>253.7</v>
      </c>
      <c r="Z227" s="7" t="n">
        <v>104.2</v>
      </c>
      <c r="AB227" s="7" t="n">
        <v>2156.5</v>
      </c>
    </row>
    <row r="228">
      <c r="A228" s="4" t="inlineStr">
        <is>
          <t>样品费</t>
        </is>
      </c>
      <c r="D228" s="7" t="n">
        <v>992.1</v>
      </c>
      <c r="F228" s="7" t="n">
        <v>999.4</v>
      </c>
      <c r="H228" s="7" t="n">
        <v>827.2</v>
      </c>
      <c r="J228" s="7" t="n">
        <v>1394.2</v>
      </c>
      <c r="L228" s="7" t="n">
        <v>1648.9</v>
      </c>
      <c r="N228" s="7" t="n">
        <v>2022</v>
      </c>
      <c r="P228" s="7" t="n">
        <v>613.3</v>
      </c>
      <c r="R228" s="7" t="n">
        <v>557.5</v>
      </c>
      <c r="T228" s="7" t="n">
        <v>1079.4</v>
      </c>
      <c r="V228" s="7" t="n">
        <v>396.6</v>
      </c>
      <c r="X228" s="7" t="n">
        <v>1975.4</v>
      </c>
      <c r="Z228" s="7" t="n">
        <v>658.7</v>
      </c>
      <c r="AB228" s="7" t="n">
        <v>13164.7</v>
      </c>
    </row>
    <row r="229">
      <c r="A229" s="4" t="inlineStr">
        <is>
          <t>劳务费</t>
        </is>
      </c>
      <c r="D229" s="7" t="n">
        <v>348.2</v>
      </c>
      <c r="F229" s="7" t="n">
        <v>237.9</v>
      </c>
      <c r="H229" s="7" t="n">
        <v>344.3</v>
      </c>
      <c r="J229" s="7" t="n">
        <v>539.8</v>
      </c>
      <c r="L229" s="7" t="n">
        <v>404.6</v>
      </c>
      <c r="N229" s="7" t="n">
        <v>641.8</v>
      </c>
      <c r="P229" s="7" t="n">
        <v>247.6</v>
      </c>
      <c r="R229" s="7" t="n">
        <v>131.8</v>
      </c>
      <c r="T229" s="7" t="n">
        <v>493</v>
      </c>
      <c r="V229" s="7" t="n">
        <v>175.2</v>
      </c>
      <c r="X229" s="7" t="n">
        <v>495</v>
      </c>
      <c r="Z229" s="7" t="n">
        <v>214.6</v>
      </c>
      <c r="AB229" s="7" t="n">
        <v>4273.8</v>
      </c>
    </row>
    <row r="230">
      <c r="A230" s="4" t="inlineStr">
        <is>
          <t>销售佣金</t>
        </is>
      </c>
      <c r="D230" s="7" t="n">
        <v>90.09999999999999</v>
      </c>
      <c r="F230" s="7" t="n">
        <v>65.09999999999999</v>
      </c>
      <c r="H230" s="7" t="n">
        <v>99.2</v>
      </c>
      <c r="J230" s="7" t="n">
        <v>115.9</v>
      </c>
      <c r="L230" s="7" t="n">
        <v>107.8</v>
      </c>
      <c r="N230" s="7" t="n">
        <v>192.8</v>
      </c>
      <c r="P230" s="7" t="n">
        <v>58.3</v>
      </c>
      <c r="R230" s="7" t="n">
        <v>56.2</v>
      </c>
      <c r="T230" s="7" t="n">
        <v>103.4</v>
      </c>
      <c r="V230" s="7" t="n">
        <v>57.2</v>
      </c>
      <c r="X230" s="7" t="n">
        <v>184.8</v>
      </c>
      <c r="Z230" s="7" t="n">
        <v>67.40000000000001</v>
      </c>
      <c r="AB230" s="7" t="n">
        <v>1198.2</v>
      </c>
    </row>
    <row r="231">
      <c r="A231" s="4" t="inlineStr">
        <is>
          <t>检测费</t>
        </is>
      </c>
      <c r="D231" s="7" t="n">
        <v>216</v>
      </c>
      <c r="F231" s="7" t="n">
        <v>158.8</v>
      </c>
      <c r="H231" s="7" t="n">
        <v>262.8</v>
      </c>
      <c r="J231" s="7" t="n">
        <v>442.3</v>
      </c>
      <c r="L231" s="7" t="n">
        <v>432.3</v>
      </c>
      <c r="N231" s="7" t="n">
        <v>353.5</v>
      </c>
      <c r="P231" s="7" t="n">
        <v>180.9</v>
      </c>
      <c r="R231" s="7" t="n">
        <v>167.2</v>
      </c>
      <c r="T231" s="7" t="n">
        <v>482.8</v>
      </c>
      <c r="V231" s="7" t="n">
        <v>98.40000000000001</v>
      </c>
      <c r="X231" s="7" t="n">
        <v>321.9</v>
      </c>
      <c r="Z231" s="7" t="n">
        <v>163.4</v>
      </c>
      <c r="AB231" s="7" t="n">
        <v>3280.3</v>
      </c>
    </row>
    <row r="232">
      <c r="A232" s="4" t="inlineStr">
        <is>
          <t>质量赔偿</t>
        </is>
      </c>
      <c r="D232" s="7" t="n">
        <v>378.2</v>
      </c>
      <c r="F232" s="7" t="n">
        <v>231.5</v>
      </c>
      <c r="H232" s="7" t="n">
        <v>327.8</v>
      </c>
      <c r="J232" s="7" t="n">
        <v>546.8</v>
      </c>
      <c r="L232" s="7" t="n">
        <v>312.6</v>
      </c>
      <c r="N232" s="7" t="n">
        <v>525.3</v>
      </c>
      <c r="P232" s="7" t="n">
        <v>256</v>
      </c>
      <c r="R232" s="7" t="n">
        <v>197.6</v>
      </c>
      <c r="T232" s="7" t="n">
        <v>362.4</v>
      </c>
      <c r="V232" s="7" t="n">
        <v>155.9</v>
      </c>
      <c r="X232" s="7" t="n">
        <v>436.7</v>
      </c>
      <c r="Z232" s="7" t="n">
        <v>181</v>
      </c>
      <c r="AB232" s="7" t="n">
        <v>3911.8</v>
      </c>
    </row>
    <row r="233">
      <c r="A233" s="4" t="inlineStr">
        <is>
          <t>保险费</t>
        </is>
      </c>
      <c r="D233" s="7" t="n">
        <v>120.2</v>
      </c>
      <c r="F233" s="7" t="n">
        <v>92</v>
      </c>
      <c r="H233" s="7" t="n">
        <v>201.7</v>
      </c>
      <c r="J233" s="7" t="n">
        <v>199.3</v>
      </c>
      <c r="L233" s="7" t="n">
        <v>184.1</v>
      </c>
      <c r="N233" s="7" t="n">
        <v>288.9</v>
      </c>
      <c r="P233" s="7" t="n">
        <v>127.3</v>
      </c>
      <c r="R233" s="7" t="n">
        <v>99.90000000000001</v>
      </c>
      <c r="T233" s="7" t="n">
        <v>163.5</v>
      </c>
      <c r="V233" s="7" t="n">
        <v>56.3</v>
      </c>
      <c r="X233" s="7" t="n">
        <v>234.1</v>
      </c>
      <c r="Z233" s="7" t="n">
        <v>85.8</v>
      </c>
      <c r="AB233" s="7" t="n">
        <v>1853.1</v>
      </c>
    </row>
    <row r="234">
      <c r="A234" s="4" t="inlineStr">
        <is>
          <t>清洁费</t>
        </is>
      </c>
      <c r="D234" s="7" t="n">
        <v>222.9</v>
      </c>
      <c r="F234" s="7" t="n">
        <v>104.7</v>
      </c>
      <c r="H234" s="7" t="n">
        <v>144</v>
      </c>
      <c r="J234" s="7" t="n">
        <v>170.4</v>
      </c>
      <c r="L234" s="7" t="n">
        <v>242.8</v>
      </c>
      <c r="N234" s="7" t="n">
        <v>197.8</v>
      </c>
      <c r="P234" s="7" t="n">
        <v>102.5</v>
      </c>
      <c r="R234" s="7" t="n">
        <v>89.2</v>
      </c>
      <c r="T234" s="7" t="n">
        <v>187.7</v>
      </c>
      <c r="V234" s="7" t="n">
        <v>58.9</v>
      </c>
      <c r="X234" s="7" t="n">
        <v>185.1</v>
      </c>
      <c r="Z234" s="7" t="n">
        <v>92.40000000000001</v>
      </c>
      <c r="AB234" s="7" t="n">
        <v>1798.4</v>
      </c>
    </row>
    <row r="235">
      <c r="A235" s="4" t="inlineStr">
        <is>
          <t>低值易耗品</t>
        </is>
      </c>
      <c r="D235" s="7" t="n">
        <v>3.2</v>
      </c>
      <c r="F235" s="7" t="n">
        <v>3.3</v>
      </c>
      <c r="H235" s="7" t="n">
        <v>3.2</v>
      </c>
      <c r="J235" s="7" t="n">
        <v>6.4</v>
      </c>
      <c r="L235" s="7" t="n">
        <v>5.5</v>
      </c>
      <c r="N235" s="7" t="n">
        <v>4.3</v>
      </c>
      <c r="P235" s="7" t="n">
        <v>3.3</v>
      </c>
      <c r="R235" s="7" t="n">
        <v>1.7</v>
      </c>
      <c r="T235" s="7" t="n">
        <v>7</v>
      </c>
      <c r="V235" s="7" t="n">
        <v>2.3</v>
      </c>
      <c r="X235" s="7" t="n">
        <v>7</v>
      </c>
      <c r="Z235" s="7" t="n">
        <v>1.7</v>
      </c>
      <c r="AB235" s="7" t="n">
        <v>48.9</v>
      </c>
    </row>
    <row r="236">
      <c r="A236" s="4" t="inlineStr">
        <is>
          <t>物料消耗</t>
        </is>
      </c>
      <c r="D236" s="7" t="n">
        <v>180.5</v>
      </c>
      <c r="F236" s="7" t="n">
        <v>91.59999999999999</v>
      </c>
      <c r="H236" s="7" t="n">
        <v>166.7</v>
      </c>
      <c r="J236" s="7" t="n">
        <v>264.6</v>
      </c>
      <c r="L236" s="7" t="n">
        <v>225.5</v>
      </c>
      <c r="N236" s="7" t="n">
        <v>306.8</v>
      </c>
      <c r="P236" s="7" t="n">
        <v>90.59999999999999</v>
      </c>
      <c r="R236" s="7" t="n">
        <v>71.2</v>
      </c>
      <c r="T236" s="7" t="n">
        <v>239.3</v>
      </c>
      <c r="V236" s="7" t="n">
        <v>96.7</v>
      </c>
      <c r="X236" s="7" t="n">
        <v>187.1</v>
      </c>
      <c r="Z236" s="7" t="n">
        <v>88.40000000000001</v>
      </c>
      <c r="AB236" s="7" t="n">
        <v>2009</v>
      </c>
    </row>
    <row r="237">
      <c r="A237" s="4" t="inlineStr">
        <is>
          <t>盘盈盘亏</t>
        </is>
      </c>
      <c r="D237" s="7" t="n">
        <v>395.2</v>
      </c>
      <c r="F237" s="7" t="n">
        <v>212.7</v>
      </c>
      <c r="H237" s="7" t="n">
        <v>428.1</v>
      </c>
      <c r="J237" s="7" t="n">
        <v>613.3</v>
      </c>
      <c r="L237" s="7" t="n">
        <v>419.7</v>
      </c>
      <c r="N237" s="7" t="n">
        <v>450.8</v>
      </c>
      <c r="P237" s="7" t="n">
        <v>205.1</v>
      </c>
      <c r="R237" s="7" t="n">
        <v>140.3</v>
      </c>
      <c r="T237" s="7" t="n">
        <v>474.6</v>
      </c>
      <c r="V237" s="7" t="n">
        <v>202</v>
      </c>
      <c r="X237" s="7" t="n">
        <v>613.6</v>
      </c>
      <c r="Z237" s="7" t="n">
        <v>130.8</v>
      </c>
      <c r="AB237" s="7" t="n">
        <v>4286.2</v>
      </c>
    </row>
    <row r="238">
      <c r="A238" s="4" t="inlineStr">
        <is>
          <t>平台服务费</t>
        </is>
      </c>
      <c r="D238" s="7" t="n">
        <v>325.4</v>
      </c>
      <c r="F238" s="7" t="n">
        <v>159.4</v>
      </c>
      <c r="H238" s="7" t="n">
        <v>268.9</v>
      </c>
      <c r="J238" s="7" t="n">
        <v>422.9</v>
      </c>
      <c r="L238" s="7" t="n">
        <v>357.8</v>
      </c>
      <c r="N238" s="7" t="n">
        <v>285</v>
      </c>
      <c r="P238" s="7" t="n">
        <v>173.9</v>
      </c>
      <c r="R238" s="7" t="n">
        <v>152.3</v>
      </c>
      <c r="T238" s="7" t="n">
        <v>415.1</v>
      </c>
      <c r="V238" s="7" t="n">
        <v>122.3</v>
      </c>
      <c r="X238" s="7" t="n">
        <v>412</v>
      </c>
      <c r="Z238" s="7" t="n">
        <v>98.59999999999999</v>
      </c>
      <c r="AB238" s="7" t="n">
        <v>3193.6</v>
      </c>
    </row>
    <row r="239">
      <c r="A239" s="4" t="inlineStr">
        <is>
          <t>无形资产摊销</t>
        </is>
      </c>
      <c r="D239" s="7" t="n">
        <v>201.2</v>
      </c>
      <c r="F239" s="7" t="n">
        <v>177</v>
      </c>
      <c r="H239" s="7" t="n">
        <v>216.3</v>
      </c>
      <c r="J239" s="7" t="n">
        <v>222.1</v>
      </c>
      <c r="L239" s="7" t="n">
        <v>205.4</v>
      </c>
      <c r="N239" s="7" t="n">
        <v>245.9</v>
      </c>
      <c r="P239" s="7" t="n">
        <v>179.2</v>
      </c>
      <c r="R239" s="7" t="n">
        <v>91.09999999999999</v>
      </c>
      <c r="T239" s="7" t="n">
        <v>325.7</v>
      </c>
      <c r="V239" s="7" t="n">
        <v>92.40000000000001</v>
      </c>
      <c r="X239" s="7" t="n">
        <v>298.2</v>
      </c>
      <c r="Z239" s="7" t="n">
        <v>108.3</v>
      </c>
      <c r="AB239" s="7" t="n">
        <v>2362.8</v>
      </c>
    </row>
    <row r="240">
      <c r="A240" s="4" t="inlineStr">
        <is>
          <t>研发材料</t>
        </is>
      </c>
      <c r="D240" s="7" t="n">
        <v>388.4</v>
      </c>
      <c r="F240" s="7" t="n">
        <v>180.7</v>
      </c>
      <c r="H240" s="7" t="n">
        <v>310.1</v>
      </c>
      <c r="J240" s="7" t="n">
        <v>373.1</v>
      </c>
      <c r="L240" s="7" t="n">
        <v>330.9</v>
      </c>
      <c r="N240" s="7" t="n">
        <v>559.7</v>
      </c>
      <c r="P240" s="7" t="n">
        <v>196.8</v>
      </c>
      <c r="R240" s="7" t="n">
        <v>145.2</v>
      </c>
      <c r="T240" s="7" t="n">
        <v>494.4</v>
      </c>
      <c r="V240" s="7" t="n">
        <v>150.3</v>
      </c>
      <c r="X240" s="7" t="n">
        <v>479.4</v>
      </c>
      <c r="Z240" s="7" t="n">
        <v>187</v>
      </c>
      <c r="AB240" s="7" t="n">
        <v>3796</v>
      </c>
    </row>
    <row r="241">
      <c r="A241" s="4" t="inlineStr">
        <is>
          <t>项目名称</t>
        </is>
      </c>
      <c r="D241" s="7" t="n">
        <v>255.5</v>
      </c>
      <c r="F241" s="7" t="n">
        <v>160.5</v>
      </c>
      <c r="H241" s="7" t="n">
        <v>223.6</v>
      </c>
      <c r="J241" s="7" t="n">
        <v>235.6</v>
      </c>
      <c r="L241" s="7" t="n">
        <v>278.8</v>
      </c>
      <c r="N241" s="7" t="n">
        <v>299.5</v>
      </c>
      <c r="P241" s="7" t="n">
        <v>148.1</v>
      </c>
      <c r="R241" s="7" t="n">
        <v>126.1</v>
      </c>
      <c r="T241" s="7" t="n">
        <v>258.1</v>
      </c>
      <c r="V241" s="7" t="n">
        <v>87.2</v>
      </c>
      <c r="X241" s="7" t="n">
        <v>277.7</v>
      </c>
      <c r="Z241" s="7" t="n">
        <v>97.7</v>
      </c>
      <c r="AB241" s="7" t="n">
        <v>2448.4</v>
      </c>
    </row>
    <row r="242">
      <c r="A242" s="4" t="inlineStr">
        <is>
          <t>研发费</t>
        </is>
      </c>
      <c r="D242" s="7" t="n">
        <v>175.5</v>
      </c>
      <c r="F242" s="7" t="n">
        <v>162.1</v>
      </c>
      <c r="H242" s="7" t="n">
        <v>240.5</v>
      </c>
      <c r="J242" s="7" t="n">
        <v>275.5</v>
      </c>
      <c r="L242" s="7" t="n">
        <v>216.4</v>
      </c>
      <c r="N242" s="7" t="n">
        <v>248.1</v>
      </c>
      <c r="P242" s="7" t="n">
        <v>148.7</v>
      </c>
      <c r="R242" s="7" t="n">
        <v>100.2</v>
      </c>
      <c r="T242" s="7" t="n">
        <v>243.7</v>
      </c>
      <c r="V242" s="7" t="n">
        <v>73.8</v>
      </c>
      <c r="X242" s="7" t="n">
        <v>260.7</v>
      </c>
      <c r="Z242" s="7" t="n">
        <v>104</v>
      </c>
      <c r="AB242" s="7" t="n">
        <v>2249.2</v>
      </c>
    </row>
    <row r="243">
      <c r="A243" s="4" t="inlineStr">
        <is>
          <t>残保金</t>
        </is>
      </c>
      <c r="D243" s="7" t="n">
        <v>365.1</v>
      </c>
      <c r="F243" s="7" t="n">
        <v>152.9</v>
      </c>
      <c r="H243" s="7" t="n">
        <v>336</v>
      </c>
      <c r="J243" s="7" t="n">
        <v>347.7</v>
      </c>
      <c r="L243" s="7" t="n">
        <v>396.1</v>
      </c>
      <c r="N243" s="7" t="n">
        <v>385.1</v>
      </c>
      <c r="P243" s="7" t="n">
        <v>190.9</v>
      </c>
      <c r="R243" s="7" t="n">
        <v>132.5</v>
      </c>
      <c r="T243" s="7" t="n">
        <v>453.9</v>
      </c>
      <c r="V243" s="7" t="n">
        <v>134.9</v>
      </c>
      <c r="X243" s="7" t="n">
        <v>328.6</v>
      </c>
      <c r="Z243" s="7" t="n">
        <v>161.1</v>
      </c>
      <c r="AB243" s="7" t="n">
        <v>3384.8</v>
      </c>
    </row>
    <row r="244">
      <c r="A244" s="4" t="inlineStr">
        <is>
          <t>环保费</t>
        </is>
      </c>
      <c r="D244" s="7" t="n">
        <v>365.4</v>
      </c>
      <c r="F244" s="7" t="n">
        <v>183.2</v>
      </c>
      <c r="H244" s="7" t="n">
        <v>387.1</v>
      </c>
      <c r="J244" s="7" t="n">
        <v>541.7</v>
      </c>
      <c r="L244" s="7" t="n">
        <v>328.9</v>
      </c>
      <c r="N244" s="7" t="n">
        <v>521.3</v>
      </c>
      <c r="P244" s="7" t="n">
        <v>211.9</v>
      </c>
      <c r="R244" s="7" t="n">
        <v>143.4</v>
      </c>
      <c r="T244" s="7" t="n">
        <v>435</v>
      </c>
      <c r="V244" s="7" t="n">
        <v>126.5</v>
      </c>
      <c r="X244" s="7" t="n">
        <v>485.1</v>
      </c>
      <c r="Z244" s="7" t="n">
        <v>165.6</v>
      </c>
      <c r="AB244" s="7" t="n">
        <v>3895.1</v>
      </c>
    </row>
    <row r="245">
      <c r="A245" s="4" t="inlineStr">
        <is>
          <t>报废损失</t>
        </is>
      </c>
      <c r="D245" s="7" t="n">
        <v>59.9</v>
      </c>
      <c r="F245" s="7" t="n">
        <v>31.6</v>
      </c>
      <c r="H245" s="7" t="n">
        <v>70.5</v>
      </c>
      <c r="J245" s="7" t="n">
        <v>89.7</v>
      </c>
      <c r="L245" s="7" t="n">
        <v>87.5</v>
      </c>
      <c r="N245" s="7" t="n">
        <v>56.2</v>
      </c>
      <c r="P245" s="7" t="n">
        <v>28.8</v>
      </c>
      <c r="R245" s="7" t="n">
        <v>35.6</v>
      </c>
      <c r="T245" s="7" t="n">
        <v>92.2</v>
      </c>
      <c r="V245" s="7" t="n">
        <v>23.8</v>
      </c>
      <c r="X245" s="7" t="n">
        <v>100.8</v>
      </c>
      <c r="Z245" s="7" t="n">
        <v>28.4</v>
      </c>
      <c r="AB245" s="7" t="n">
        <v>705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5053.4</v>
      </c>
      <c r="D246" s="7" t="n">
        <v>1927.3</v>
      </c>
      <c r="E246" s="7" t="n">
        <v>4015.1</v>
      </c>
      <c r="F246" s="7" t="n">
        <v>9186.299999999999</v>
      </c>
      <c r="G246" s="7" t="n">
        <v>5117.1</v>
      </c>
      <c r="H246" s="7" t="n">
        <v>-20.2</v>
      </c>
      <c r="I246" s="7" t="n">
        <v>4324.9</v>
      </c>
      <c r="J246" s="7" t="n">
        <v>-3725.2</v>
      </c>
      <c r="K246" s="7" t="n">
        <v>4701.9</v>
      </c>
      <c r="L246" s="7" t="n">
        <v>5692.7</v>
      </c>
      <c r="M246" s="7" t="n">
        <v>4312.5</v>
      </c>
      <c r="N246" s="7" t="n">
        <v>19542.4</v>
      </c>
      <c r="O246" s="7" t="n">
        <v>5029.1</v>
      </c>
      <c r="P246" s="7" t="n">
        <v>9881.799999999999</v>
      </c>
      <c r="Q246" s="7" t="n">
        <v>5226.4</v>
      </c>
      <c r="R246" s="7" t="n">
        <v>6909.2</v>
      </c>
      <c r="S246" s="7" t="n">
        <v>4894.1</v>
      </c>
      <c r="T246" s="7" t="n">
        <v>4672.1</v>
      </c>
      <c r="U246" s="7" t="n">
        <v>4224.2</v>
      </c>
      <c r="V246" s="7" t="n">
        <v>-2013.9</v>
      </c>
      <c r="W246" s="7" t="n">
        <v>5178.5</v>
      </c>
      <c r="X246" s="7" t="n">
        <v>-472.4</v>
      </c>
      <c r="Y246" s="7" t="n">
        <v>4727</v>
      </c>
      <c r="Z246" s="7" t="n">
        <v>4033.4</v>
      </c>
      <c r="AA246" s="8" t="n">
        <v>56804.2</v>
      </c>
      <c r="AB246" s="8" t="n">
        <v>55613.5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-4901.4</v>
      </c>
      <c r="E248" s="7" t="n">
        <v>0</v>
      </c>
      <c r="F248" s="7" t="n">
        <v>-1623.9</v>
      </c>
      <c r="G248" s="7" t="n">
        <v>0</v>
      </c>
      <c r="H248" s="7" t="n">
        <v>1243.6</v>
      </c>
      <c r="I248" s="7" t="n">
        <v>0</v>
      </c>
      <c r="J248" s="7" t="n">
        <v>-2228.3</v>
      </c>
      <c r="K248" s="7" t="n">
        <v>0</v>
      </c>
      <c r="L248" s="7" t="n">
        <v>-702</v>
      </c>
      <c r="M248" s="7" t="n">
        <v>0</v>
      </c>
      <c r="N248" s="7" t="n">
        <v>-2695.1</v>
      </c>
      <c r="O248" s="7" t="n">
        <v>0</v>
      </c>
      <c r="P248" s="7" t="n">
        <v>1183.1</v>
      </c>
      <c r="Q248" s="7" t="n">
        <v>0</v>
      </c>
      <c r="R248" s="7" t="n">
        <v>706.2</v>
      </c>
      <c r="S248" s="7" t="n">
        <v>0</v>
      </c>
      <c r="T248" s="7" t="n">
        <v>-2332.6</v>
      </c>
      <c r="U248" s="7" t="n">
        <v>0</v>
      </c>
      <c r="V248" s="7" t="n">
        <v>526.2</v>
      </c>
      <c r="W248" s="7" t="n">
        <v>0</v>
      </c>
      <c r="X248" s="7" t="n">
        <v>3407.7</v>
      </c>
      <c r="Y248" s="7" t="n">
        <v>0</v>
      </c>
      <c r="Z248" s="7" t="n">
        <v>-3483</v>
      </c>
      <c r="AA248" s="7" t="n">
        <v>0</v>
      </c>
      <c r="AB248" s="7" t="n">
        <v>-10899.5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16369.9</v>
      </c>
      <c r="D253" s="7" t="n">
        <v>16611.3</v>
      </c>
      <c r="E253" s="7" t="n">
        <v>14443.9</v>
      </c>
      <c r="F253" s="7" t="n">
        <v>9501.5</v>
      </c>
      <c r="G253" s="7" t="n">
        <v>18140.9</v>
      </c>
      <c r="H253" s="7" t="n">
        <v>6596.2</v>
      </c>
      <c r="I253" s="7" t="n">
        <v>15061.7</v>
      </c>
      <c r="J253" s="7" t="n">
        <v>24171.3</v>
      </c>
      <c r="K253" s="7" t="n">
        <v>16238</v>
      </c>
      <c r="L253" s="7" t="n">
        <v>24753.6</v>
      </c>
      <c r="M253" s="7" t="n">
        <v>14788.9</v>
      </c>
      <c r="N253" s="7" t="n">
        <v>6094.2</v>
      </c>
      <c r="O253" s="7" t="n">
        <v>14827.8</v>
      </c>
      <c r="P253" s="7" t="n">
        <v>18488.9</v>
      </c>
      <c r="Q253" s="7" t="n">
        <v>15058.6</v>
      </c>
      <c r="R253" s="7" t="n">
        <v>28634.2</v>
      </c>
      <c r="S253" s="7" t="n">
        <v>14501.6</v>
      </c>
      <c r="T253" s="7" t="n">
        <v>2735.3</v>
      </c>
      <c r="U253" s="7" t="n">
        <v>15149.5</v>
      </c>
      <c r="V253" s="7" t="n">
        <v>22213.7</v>
      </c>
      <c r="W253" s="7" t="n">
        <v>15493.3</v>
      </c>
      <c r="X253" s="7" t="n">
        <v>29360.2</v>
      </c>
      <c r="Y253" s="7" t="n">
        <v>16830.4</v>
      </c>
      <c r="Z253" s="7" t="n">
        <v>8091.9</v>
      </c>
      <c r="AA253" s="7" t="n">
        <v>186904.5</v>
      </c>
      <c r="AB253" s="7" t="n">
        <v>197252.3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142220.8</v>
      </c>
      <c r="D254" s="7" t="n">
        <v>121337.6</v>
      </c>
      <c r="E254" s="7" t="n">
        <v>170164.4</v>
      </c>
      <c r="F254" s="7" t="n">
        <v>94733.10000000001</v>
      </c>
      <c r="G254" s="7" t="n">
        <v>152288.1</v>
      </c>
      <c r="H254" s="7" t="n">
        <v>101857.2</v>
      </c>
      <c r="I254" s="7" t="n">
        <v>165940.5</v>
      </c>
      <c r="J254" s="7" t="n">
        <v>102895.5</v>
      </c>
      <c r="K254" s="7" t="n">
        <v>153772.8</v>
      </c>
      <c r="L254" s="7" t="n">
        <v>119616.4</v>
      </c>
      <c r="M254" s="7" t="n">
        <v>144527.2</v>
      </c>
      <c r="N254" s="7" t="n">
        <v>220453.3</v>
      </c>
      <c r="O254" s="7" t="n">
        <v>152632.2</v>
      </c>
      <c r="P254" s="7" t="n">
        <v>207403.3</v>
      </c>
      <c r="Q254" s="7" t="n">
        <v>157973.1</v>
      </c>
      <c r="R254" s="7" t="n">
        <v>267598.2</v>
      </c>
      <c r="S254" s="7" t="n">
        <v>168167.9</v>
      </c>
      <c r="T254" s="7" t="n">
        <v>150349.5</v>
      </c>
      <c r="U254" s="7" t="n">
        <v>157557</v>
      </c>
      <c r="V254" s="7" t="n">
        <v>183704.7</v>
      </c>
      <c r="W254" s="7" t="n">
        <v>146857.7</v>
      </c>
      <c r="X254" s="7" t="n">
        <v>155067.8</v>
      </c>
      <c r="Y254" s="7" t="n">
        <v>161995.4</v>
      </c>
      <c r="Z254" s="7" t="n">
        <v>107101.4</v>
      </c>
      <c r="AA254" s="8" t="n">
        <v>1874097.1</v>
      </c>
      <c r="AB254" s="8" t="n">
        <v>1832118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3004.8</v>
      </c>
      <c r="E255" s="7" t="n">
        <v>0</v>
      </c>
      <c r="F255" s="7" t="n">
        <v>3494.6</v>
      </c>
      <c r="G255" s="7" t="n">
        <v>0</v>
      </c>
      <c r="H255" s="7" t="n">
        <v>1888.3</v>
      </c>
      <c r="I255" s="7" t="n">
        <v>0</v>
      </c>
      <c r="J255" s="7" t="n">
        <v>3940.3</v>
      </c>
      <c r="K255" s="7" t="n">
        <v>0</v>
      </c>
      <c r="L255" s="7" t="n">
        <v>1035.7</v>
      </c>
      <c r="M255" s="7" t="n">
        <v>0</v>
      </c>
      <c r="N255" s="7" t="n">
        <v>1571.1</v>
      </c>
      <c r="O255" s="7" t="n">
        <v>0</v>
      </c>
      <c r="P255" s="7" t="n">
        <v>2025.5</v>
      </c>
      <c r="Q255" s="7" t="n">
        <v>0</v>
      </c>
      <c r="R255" s="7" t="n">
        <v>1243.8</v>
      </c>
      <c r="S255" s="7" t="n">
        <v>0</v>
      </c>
      <c r="T255" s="7" t="n">
        <v>1453.4</v>
      </c>
      <c r="U255" s="7" t="n">
        <v>0</v>
      </c>
      <c r="V255" s="7" t="n">
        <v>1154.5</v>
      </c>
      <c r="W255" s="7" t="n">
        <v>0</v>
      </c>
      <c r="X255" s="7" t="n">
        <v>3002.2</v>
      </c>
      <c r="Y255" s="7" t="n">
        <v>0</v>
      </c>
      <c r="Z255" s="7" t="n">
        <v>2348.6</v>
      </c>
      <c r="AA255" s="7" t="n">
        <v>0</v>
      </c>
      <c r="AB255" s="7" t="n">
        <v>26162.8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72.8</v>
      </c>
      <c r="E256" s="7" t="n">
        <v>0</v>
      </c>
      <c r="F256" s="7" t="n">
        <v>2805.8</v>
      </c>
      <c r="G256" s="7" t="n">
        <v>0</v>
      </c>
      <c r="H256" s="7" t="n">
        <v>732.2</v>
      </c>
      <c r="I256" s="7" t="n">
        <v>0</v>
      </c>
      <c r="J256" s="7" t="n">
        <v>2092.7</v>
      </c>
      <c r="K256" s="7" t="n">
        <v>0</v>
      </c>
      <c r="L256" s="7" t="n">
        <v>1356.7</v>
      </c>
      <c r="M256" s="7" t="n">
        <v>0</v>
      </c>
      <c r="N256" s="7" t="n">
        <v>2400.3</v>
      </c>
      <c r="O256" s="7" t="n">
        <v>0</v>
      </c>
      <c r="P256" s="7" t="n">
        <v>1166.6</v>
      </c>
      <c r="Q256" s="7" t="n">
        <v>0</v>
      </c>
      <c r="R256" s="7" t="n">
        <v>1035.6</v>
      </c>
      <c r="S256" s="7" t="n">
        <v>0</v>
      </c>
      <c r="T256" s="7" t="n">
        <v>1142.9</v>
      </c>
      <c r="U256" s="7" t="n">
        <v>0</v>
      </c>
      <c r="V256" s="7" t="n">
        <v>1472.9</v>
      </c>
      <c r="W256" s="7" t="n">
        <v>0</v>
      </c>
      <c r="X256" s="7" t="n">
        <v>2172.5</v>
      </c>
      <c r="Y256" s="7" t="n">
        <v>0</v>
      </c>
      <c r="Z256" s="7" t="n">
        <v>2727.6</v>
      </c>
      <c r="AA256" s="7" t="n">
        <v>0</v>
      </c>
      <c r="AB256" s="7" t="n">
        <v>19178.6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176365</v>
      </c>
      <c r="D257" s="7" t="n">
        <v>111374.8</v>
      </c>
      <c r="E257" s="7" t="n">
        <v>147934.3</v>
      </c>
      <c r="F257" s="7" t="n">
        <v>90089.8</v>
      </c>
      <c r="G257" s="7" t="n">
        <v>166259.5</v>
      </c>
      <c r="H257" s="7" t="n">
        <v>96327.5</v>
      </c>
      <c r="I257" s="7" t="n">
        <v>135231.4</v>
      </c>
      <c r="J257" s="7" t="n">
        <v>100150.1</v>
      </c>
      <c r="K257" s="7" t="n">
        <v>173436.3</v>
      </c>
      <c r="L257" s="7" t="n">
        <v>131508.6</v>
      </c>
      <c r="M257" s="7" t="n">
        <v>135342.6</v>
      </c>
      <c r="N257" s="7" t="n">
        <v>219506.7</v>
      </c>
      <c r="O257" s="7" t="n">
        <v>163234.3</v>
      </c>
      <c r="P257" s="7" t="n">
        <v>193654.2</v>
      </c>
      <c r="Q257" s="7" t="n">
        <v>133385.3</v>
      </c>
      <c r="R257" s="7" t="n">
        <v>286525.3</v>
      </c>
      <c r="S257" s="7" t="n">
        <v>134735.6</v>
      </c>
      <c r="T257" s="7" t="n">
        <v>154709.9</v>
      </c>
      <c r="U257" s="7" t="n">
        <v>174183.8</v>
      </c>
      <c r="V257" s="7" t="n">
        <v>187345.9</v>
      </c>
      <c r="W257" s="7" t="n">
        <v>152029.6</v>
      </c>
      <c r="X257" s="7" t="n">
        <v>164686.4</v>
      </c>
      <c r="Y257" s="7" t="n">
        <v>144630.5</v>
      </c>
      <c r="Z257" s="7" t="n">
        <v>114510.7</v>
      </c>
      <c r="AA257" s="8" t="n">
        <v>1836768.2</v>
      </c>
      <c r="AB257" s="8" t="n">
        <v>1850389.9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42695.8</v>
      </c>
      <c r="D258" s="7" t="n">
        <v>27843.7</v>
      </c>
      <c r="E258" s="7" t="n">
        <v>35988.3</v>
      </c>
      <c r="F258" s="7" t="n">
        <v>22522.5</v>
      </c>
      <c r="G258" s="7" t="n">
        <v>43360.4</v>
      </c>
      <c r="H258" s="7" t="n">
        <v>24081.9</v>
      </c>
      <c r="I258" s="7" t="n">
        <v>35416.7</v>
      </c>
      <c r="J258" s="7" t="n">
        <v>25037.5</v>
      </c>
      <c r="K258" s="7" t="n">
        <v>36371</v>
      </c>
      <c r="L258" s="7" t="n">
        <v>32877.2</v>
      </c>
      <c r="M258" s="7" t="n">
        <v>38787</v>
      </c>
      <c r="N258" s="7" t="n">
        <v>54876.7</v>
      </c>
      <c r="O258" s="7" t="n">
        <v>35448.3</v>
      </c>
      <c r="P258" s="7" t="n">
        <v>48413.6</v>
      </c>
      <c r="Q258" s="7" t="n">
        <v>33834.4</v>
      </c>
      <c r="R258" s="7" t="n">
        <v>71631.3</v>
      </c>
      <c r="S258" s="7" t="n">
        <v>33370.4</v>
      </c>
      <c r="T258" s="7" t="n">
        <v>38677.5</v>
      </c>
      <c r="U258" s="7" t="n">
        <v>40338</v>
      </c>
      <c r="V258" s="7" t="n">
        <v>46836.5</v>
      </c>
      <c r="W258" s="7" t="n">
        <v>41837.3</v>
      </c>
      <c r="X258" s="7" t="n">
        <v>41171.6</v>
      </c>
      <c r="Y258" s="7" t="n">
        <v>43798.4</v>
      </c>
      <c r="Z258" s="7" t="n">
        <v>28627.7</v>
      </c>
      <c r="AA258" s="7" t="n">
        <v>461246</v>
      </c>
      <c r="AB258" s="7" t="n">
        <v>462597.7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147408</v>
      </c>
      <c r="D259" s="7" t="n">
        <v>83531.10000000001</v>
      </c>
      <c r="E259" s="7" t="n">
        <v>119075.1</v>
      </c>
      <c r="F259" s="7" t="n">
        <v>67567.3</v>
      </c>
      <c r="G259" s="7" t="n">
        <v>176296.3</v>
      </c>
      <c r="H259" s="7" t="n">
        <v>72245.60000000001</v>
      </c>
      <c r="I259" s="7" t="n">
        <v>144132.1</v>
      </c>
      <c r="J259" s="7" t="n">
        <v>75112.60000000001</v>
      </c>
      <c r="K259" s="7" t="n">
        <v>142564.1</v>
      </c>
      <c r="L259" s="7" t="n">
        <v>98631.39999999999</v>
      </c>
      <c r="M259" s="7" t="n">
        <v>193992.1</v>
      </c>
      <c r="N259" s="7" t="n">
        <v>164630</v>
      </c>
      <c r="O259" s="7" t="n">
        <v>181641.9</v>
      </c>
      <c r="P259" s="7" t="n">
        <v>145240.6</v>
      </c>
      <c r="Q259" s="7" t="n">
        <v>141255.2</v>
      </c>
      <c r="R259" s="7" t="n">
        <v>214894</v>
      </c>
      <c r="S259" s="7" t="n">
        <v>142118.2</v>
      </c>
      <c r="T259" s="7" t="n">
        <v>116032.4</v>
      </c>
      <c r="U259" s="7" t="n">
        <v>151661.2</v>
      </c>
      <c r="V259" s="7" t="n">
        <v>140509.4</v>
      </c>
      <c r="W259" s="7" t="n">
        <v>151084.2</v>
      </c>
      <c r="X259" s="7" t="n">
        <v>123514.8</v>
      </c>
      <c r="Y259" s="7" t="n">
        <v>140805.8</v>
      </c>
      <c r="Z259" s="7" t="n">
        <v>85883</v>
      </c>
      <c r="AA259" s="8" t="n">
        <v>1832034.2</v>
      </c>
      <c r="AB259" s="8" t="n">
        <v>1387792.2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23593.6</v>
      </c>
      <c r="E260" s="7" t="n">
        <v>0</v>
      </c>
      <c r="F260" s="7" t="n">
        <v>3566.4</v>
      </c>
      <c r="G260" s="7" t="n">
        <v>0</v>
      </c>
      <c r="H260" s="7" t="n">
        <v>11875.8</v>
      </c>
      <c r="I260" s="7" t="n">
        <v>0</v>
      </c>
      <c r="J260" s="7" t="n">
        <v>21227.2</v>
      </c>
      <c r="K260" s="7" t="n">
        <v>0</v>
      </c>
      <c r="L260" s="7" t="n">
        <v>26480.2</v>
      </c>
      <c r="M260" s="7" t="n">
        <v>0</v>
      </c>
      <c r="N260" s="7" t="n">
        <v>11667.9</v>
      </c>
      <c r="O260" s="7" t="n">
        <v>0</v>
      </c>
      <c r="P260" s="7" t="n">
        <v>35194.5</v>
      </c>
      <c r="Q260" s="7" t="n">
        <v>0</v>
      </c>
      <c r="R260" s="7" t="n">
        <v>12596.1</v>
      </c>
      <c r="S260" s="7" t="n">
        <v>0</v>
      </c>
      <c r="T260" s="7" t="n">
        <v>24802.9</v>
      </c>
      <c r="U260" s="7" t="n">
        <v>0</v>
      </c>
      <c r="V260" s="7" t="n">
        <v>2840.3</v>
      </c>
      <c r="W260" s="7" t="n">
        <v>0</v>
      </c>
      <c r="X260" s="7" t="n">
        <v>3761.4</v>
      </c>
      <c r="Y260" s="7" t="n">
        <v>0</v>
      </c>
      <c r="Z260" s="7" t="n">
        <v>21057.4</v>
      </c>
      <c r="AA260" s="7" t="n">
        <v>0</v>
      </c>
      <c r="AB260" s="7" t="n">
        <v>198663.7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147408</v>
      </c>
      <c r="D261" s="7" t="n">
        <v>59937.5</v>
      </c>
      <c r="E261" s="7" t="n">
        <v>119075.1</v>
      </c>
      <c r="F261" s="7" t="n">
        <v>64000.9</v>
      </c>
      <c r="G261" s="7" t="n">
        <v>176296.3</v>
      </c>
      <c r="H261" s="7" t="n">
        <v>60369.8</v>
      </c>
      <c r="I261" s="7" t="n">
        <v>144132.1</v>
      </c>
      <c r="J261" s="7" t="n">
        <v>53885.4</v>
      </c>
      <c r="K261" s="7" t="n">
        <v>142564.1</v>
      </c>
      <c r="L261" s="7" t="n">
        <v>72151.2</v>
      </c>
      <c r="M261" s="7" t="n">
        <v>193992.1</v>
      </c>
      <c r="N261" s="7" t="n">
        <v>152962.1</v>
      </c>
      <c r="O261" s="7" t="n">
        <v>181641.9</v>
      </c>
      <c r="P261" s="7" t="n">
        <v>110046.1</v>
      </c>
      <c r="Q261" s="7" t="n">
        <v>141255.2</v>
      </c>
      <c r="R261" s="7" t="n">
        <v>202297.9</v>
      </c>
      <c r="S261" s="7" t="n">
        <v>142118.2</v>
      </c>
      <c r="T261" s="7" t="n">
        <v>91229.5</v>
      </c>
      <c r="U261" s="7" t="n">
        <v>151661.2</v>
      </c>
      <c r="V261" s="7" t="n">
        <v>137669.1</v>
      </c>
      <c r="W261" s="7" t="n">
        <v>151084.2</v>
      </c>
      <c r="X261" s="7" t="n">
        <v>119753.4</v>
      </c>
      <c r="Y261" s="7" t="n">
        <v>140805.8</v>
      </c>
      <c r="Z261" s="7" t="n">
        <v>64825.6</v>
      </c>
      <c r="AA261" s="8" t="n">
        <v>1832034.2</v>
      </c>
      <c r="AB261" s="8" t="n">
        <v>1189128.5</v>
      </c>
    </row>
    <row r="262">
      <c r="A262" s="4" t="inlineStr">
        <is>
          <t>净利率</t>
        </is>
      </c>
      <c r="D262" s="13" t="n">
        <v>5.4</v>
      </c>
      <c r="F262" s="13" t="n">
        <v>5</v>
      </c>
      <c r="H262" s="13" t="n">
        <v>4</v>
      </c>
      <c r="J262" s="13" t="n">
        <v>3.5</v>
      </c>
      <c r="L262" s="13" t="n">
        <v>4.2</v>
      </c>
      <c r="N262" s="13" t="n">
        <v>6.6</v>
      </c>
      <c r="P262" s="13" t="n">
        <v>4.9</v>
      </c>
      <c r="R262" s="13" t="n">
        <v>7.5</v>
      </c>
      <c r="T262" s="13" t="n">
        <v>5.4</v>
      </c>
      <c r="V262" s="13" t="n">
        <v>6.4</v>
      </c>
      <c r="X262" s="13" t="n">
        <v>5.4</v>
      </c>
      <c r="Z262" s="13" t="n">
        <v>5.9</v>
      </c>
    </row>
    <row r="263">
      <c r="A263" s="4" t="inlineStr">
        <is>
          <t>销售达成率</t>
        </is>
      </c>
      <c r="D263" s="13" t="n">
        <v>62.9</v>
      </c>
      <c r="F263" s="13" t="n">
        <v>62.9</v>
      </c>
      <c r="H263" s="13" t="n">
        <v>73.59999999999999</v>
      </c>
      <c r="J263" s="13" t="n">
        <v>114.1</v>
      </c>
      <c r="L263" s="13" t="n">
        <v>95.2</v>
      </c>
      <c r="N263" s="13" t="n">
        <v>127.8</v>
      </c>
      <c r="P263" s="13" t="n">
        <v>120.1</v>
      </c>
      <c r="R263" s="13" t="n">
        <v>143.8</v>
      </c>
      <c r="T263" s="13" t="n">
        <v>112.4</v>
      </c>
      <c r="V263" s="13" t="n">
        <v>104.6</v>
      </c>
      <c r="X263" s="13" t="n">
        <v>99.3</v>
      </c>
      <c r="Z263" s="13" t="n">
        <v>71.59999999999999</v>
      </c>
    </row>
    <row r="264">
      <c r="A264" s="4" t="inlineStr">
        <is>
          <t>净利达成率</t>
        </is>
      </c>
      <c r="D264" s="13" t="n">
        <v>56.7</v>
      </c>
      <c r="F264" s="13" t="n">
        <v>56.7</v>
      </c>
      <c r="H264" s="13" t="n">
        <v>41</v>
      </c>
      <c r="J264" s="13" t="n">
        <v>52.1</v>
      </c>
      <c r="L264" s="13" t="n">
        <v>69.2</v>
      </c>
      <c r="N264" s="13" t="n">
        <v>84.90000000000001</v>
      </c>
      <c r="P264" s="13" t="n">
        <v>80</v>
      </c>
      <c r="R264" s="13" t="n">
        <v>152.1</v>
      </c>
      <c r="T264" s="13" t="n">
        <v>81.59999999999999</v>
      </c>
      <c r="V264" s="13" t="n">
        <v>92.59999999999999</v>
      </c>
      <c r="X264" s="13" t="n">
        <v>81.8</v>
      </c>
      <c r="Z264" s="13" t="n">
        <v>61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浙江加盟利润表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593917.4</v>
      </c>
      <c r="D6" s="7" t="n">
        <v>417117</v>
      </c>
      <c r="E6" s="7" t="n">
        <v>653387.6</v>
      </c>
      <c r="F6" s="7" t="n">
        <v>497705.9</v>
      </c>
      <c r="G6" s="7" t="n">
        <v>729291.9</v>
      </c>
      <c r="H6" s="7" t="n">
        <v>596858.5</v>
      </c>
      <c r="I6" s="7" t="n">
        <v>787629.3</v>
      </c>
      <c r="J6" s="7" t="n">
        <v>641422.6</v>
      </c>
      <c r="K6" s="7" t="n">
        <v>670982.1</v>
      </c>
      <c r="L6" s="7" t="n">
        <v>789435.5</v>
      </c>
      <c r="M6" s="7" t="n">
        <v>737116.8</v>
      </c>
      <c r="N6" s="7" t="n">
        <v>962376.5</v>
      </c>
      <c r="O6" s="7" t="n">
        <v>604370.2</v>
      </c>
      <c r="P6" s="7" t="n">
        <v>1023425.7</v>
      </c>
      <c r="Q6" s="7" t="n">
        <v>732048</v>
      </c>
      <c r="R6" s="7" t="n">
        <v>698070.1</v>
      </c>
      <c r="S6" s="7" t="n">
        <v>718883.4</v>
      </c>
      <c r="T6" s="7" t="n">
        <v>668429.1</v>
      </c>
      <c r="U6" s="7" t="n">
        <v>609751.5</v>
      </c>
      <c r="V6" s="7" t="n">
        <v>793939.7</v>
      </c>
      <c r="W6" s="7" t="n">
        <v>749054.5</v>
      </c>
      <c r="X6" s="7" t="n">
        <v>642657.6</v>
      </c>
      <c r="Y6" s="7" t="n">
        <v>765218.9</v>
      </c>
      <c r="Z6" s="7" t="n">
        <v>462634.6</v>
      </c>
      <c r="AA6" s="8" t="n">
        <v>8351651.6</v>
      </c>
      <c r="AB6" s="8" t="n">
        <v>8194072.8</v>
      </c>
    </row>
    <row r="7">
      <c r="A7" s="4" t="inlineStr">
        <is>
          <t>生鲜蔬果</t>
        </is>
      </c>
      <c r="D7" s="7" t="n">
        <v>73122.2</v>
      </c>
      <c r="F7" s="7" t="n">
        <v>83413.7</v>
      </c>
      <c r="H7" s="7" t="n">
        <v>68193.39999999999</v>
      </c>
      <c r="J7" s="7" t="n">
        <v>54102.1</v>
      </c>
      <c r="L7" s="7" t="n">
        <v>93573.10000000001</v>
      </c>
      <c r="N7" s="7" t="n">
        <v>121530.2</v>
      </c>
      <c r="P7" s="7" t="n">
        <v>111736.6</v>
      </c>
      <c r="R7" s="7" t="n">
        <v>97007</v>
      </c>
      <c r="T7" s="7" t="n">
        <v>111463.9</v>
      </c>
      <c r="V7" s="7" t="n">
        <v>72223.60000000001</v>
      </c>
      <c r="X7" s="7" t="n">
        <v>89735.39999999999</v>
      </c>
      <c r="Z7" s="7" t="n">
        <v>79155.10000000001</v>
      </c>
      <c r="AB7" s="7" t="n">
        <v>1055256.3</v>
      </c>
    </row>
    <row r="8">
      <c r="A8" s="4" t="inlineStr">
        <is>
          <t>肉禽蛋奶</t>
        </is>
      </c>
      <c r="D8" s="7" t="n">
        <v>60282.7</v>
      </c>
      <c r="F8" s="7" t="n">
        <v>55882.4</v>
      </c>
      <c r="H8" s="7" t="n">
        <v>113664.3</v>
      </c>
      <c r="J8" s="7" t="n">
        <v>84821.60000000001</v>
      </c>
      <c r="L8" s="7" t="n">
        <v>156457</v>
      </c>
      <c r="N8" s="7" t="n">
        <v>178917.6</v>
      </c>
      <c r="P8" s="7" t="n">
        <v>133204.9</v>
      </c>
      <c r="R8" s="7" t="n">
        <v>85674.2</v>
      </c>
      <c r="T8" s="7" t="n">
        <v>156694.6</v>
      </c>
      <c r="V8" s="7" t="n">
        <v>145368.5</v>
      </c>
      <c r="X8" s="7" t="n">
        <v>158459.7</v>
      </c>
      <c r="Z8" s="7" t="n">
        <v>57743.6</v>
      </c>
      <c r="AB8" s="7" t="n">
        <v>1387171.1</v>
      </c>
    </row>
    <row r="9">
      <c r="A9" s="4" t="inlineStr">
        <is>
          <t>粮油调味</t>
        </is>
      </c>
      <c r="D9" s="7" t="n">
        <v>90225.3</v>
      </c>
      <c r="F9" s="7" t="n">
        <v>123682.5</v>
      </c>
      <c r="H9" s="7" t="n">
        <v>150929.5</v>
      </c>
      <c r="J9" s="7" t="n">
        <v>204590.1</v>
      </c>
      <c r="L9" s="7" t="n">
        <v>201446</v>
      </c>
      <c r="N9" s="7" t="n">
        <v>236405.7</v>
      </c>
      <c r="P9" s="7" t="n">
        <v>266904</v>
      </c>
      <c r="R9" s="7" t="n">
        <v>167910</v>
      </c>
      <c r="T9" s="7" t="n">
        <v>124297.6</v>
      </c>
      <c r="V9" s="7" t="n">
        <v>226720.3</v>
      </c>
      <c r="X9" s="7" t="n">
        <v>154440.2</v>
      </c>
      <c r="Z9" s="7" t="n">
        <v>72197.2</v>
      </c>
      <c r="AB9" s="7" t="n">
        <v>2019748.4</v>
      </c>
    </row>
    <row r="10">
      <c r="A10" s="4" t="inlineStr">
        <is>
          <t>酒水饮料</t>
        </is>
      </c>
      <c r="D10" s="7" t="n">
        <v>34551.4</v>
      </c>
      <c r="F10" s="7" t="n">
        <v>33476.7</v>
      </c>
      <c r="H10" s="7" t="n">
        <v>69958.89999999999</v>
      </c>
      <c r="J10" s="7" t="n">
        <v>43832.4</v>
      </c>
      <c r="L10" s="7" t="n">
        <v>76543.60000000001</v>
      </c>
      <c r="N10" s="7" t="n">
        <v>61811.1</v>
      </c>
      <c r="P10" s="7" t="n">
        <v>115810.4</v>
      </c>
      <c r="R10" s="7" t="n">
        <v>85598.5</v>
      </c>
      <c r="T10" s="7" t="n">
        <v>81589</v>
      </c>
      <c r="V10" s="7" t="n">
        <v>48830.6</v>
      </c>
      <c r="X10" s="7" t="n">
        <v>72842.89999999999</v>
      </c>
      <c r="Z10" s="7" t="n">
        <v>64190.5</v>
      </c>
      <c r="AB10" s="7" t="n">
        <v>789036</v>
      </c>
    </row>
    <row r="11">
      <c r="A11" s="4" t="inlineStr">
        <is>
          <t>休闲零食</t>
        </is>
      </c>
      <c r="D11" s="7" t="n">
        <v>87303</v>
      </c>
      <c r="F11" s="7" t="n">
        <v>76267.5</v>
      </c>
      <c r="H11" s="7" t="n">
        <v>119810.8</v>
      </c>
      <c r="J11" s="7" t="n">
        <v>121929.9</v>
      </c>
      <c r="L11" s="7" t="n">
        <v>142543.2</v>
      </c>
      <c r="N11" s="7" t="n">
        <v>163998.5</v>
      </c>
      <c r="P11" s="7" t="n">
        <v>200266.2</v>
      </c>
      <c r="R11" s="7" t="n">
        <v>141271.7</v>
      </c>
      <c r="T11" s="7" t="n">
        <v>87238.2</v>
      </c>
      <c r="V11" s="7" t="n">
        <v>119315.4</v>
      </c>
      <c r="X11" s="7" t="n">
        <v>80856.60000000001</v>
      </c>
      <c r="Z11" s="7" t="n">
        <v>75569.8</v>
      </c>
      <c r="AB11" s="7" t="n">
        <v>1416370.8</v>
      </c>
    </row>
    <row r="12">
      <c r="A12" s="4" t="inlineStr">
        <is>
          <t>日用百货</t>
        </is>
      </c>
      <c r="D12" s="7" t="n">
        <v>77195</v>
      </c>
      <c r="F12" s="7" t="n">
        <v>126176.7</v>
      </c>
      <c r="H12" s="7" t="n">
        <v>85312.39999999999</v>
      </c>
      <c r="J12" s="7" t="n">
        <v>146922.9</v>
      </c>
      <c r="L12" s="7" t="n">
        <v>137868.5</v>
      </c>
      <c r="N12" s="7" t="n">
        <v>209371.7</v>
      </c>
      <c r="P12" s="7" t="n">
        <v>222819.9</v>
      </c>
      <c r="R12" s="7" t="n">
        <v>118992.4</v>
      </c>
      <c r="T12" s="7" t="n">
        <v>102822</v>
      </c>
      <c r="V12" s="7" t="n">
        <v>194088.3</v>
      </c>
      <c r="X12" s="7" t="n">
        <v>99265.3</v>
      </c>
      <c r="Z12" s="7" t="n">
        <v>120990.1</v>
      </c>
      <c r="AB12" s="7" t="n">
        <v>1641825.2</v>
      </c>
    </row>
    <row r="13">
      <c r="A13" s="4" t="inlineStr">
        <is>
          <t>返利</t>
        </is>
      </c>
      <c r="D13" s="7" t="n">
        <v>-5737.7</v>
      </c>
      <c r="F13" s="7" t="n">
        <v>-6227.6</v>
      </c>
      <c r="H13" s="7" t="n">
        <v>-11701.9</v>
      </c>
      <c r="J13" s="7" t="n">
        <v>-16547.5</v>
      </c>
      <c r="L13" s="7" t="n">
        <v>-19777.6</v>
      </c>
      <c r="N13" s="7" t="n">
        <v>-12689.3</v>
      </c>
      <c r="P13" s="7" t="n">
        <v>-30096.4</v>
      </c>
      <c r="R13" s="7" t="n">
        <v>-10386.2</v>
      </c>
      <c r="T13" s="7" t="n">
        <v>-6757.2</v>
      </c>
      <c r="V13" s="7" t="n">
        <v>-21864</v>
      </c>
      <c r="X13" s="7" t="n">
        <v>-16604.4</v>
      </c>
      <c r="Z13" s="7" t="n">
        <v>-9521.4</v>
      </c>
      <c r="AB13" s="7" t="n">
        <v>-167911.2</v>
      </c>
    </row>
    <row r="14">
      <c r="A14" s="4" t="inlineStr">
        <is>
          <t>其他</t>
        </is>
      </c>
      <c r="D14" s="7" t="n">
        <v>175.1</v>
      </c>
      <c r="F14" s="7" t="n">
        <v>5034</v>
      </c>
      <c r="H14" s="7" t="n">
        <v>691.1</v>
      </c>
      <c r="J14" s="7" t="n">
        <v>1771.1</v>
      </c>
      <c r="L14" s="7" t="n">
        <v>781.7</v>
      </c>
      <c r="N14" s="7" t="n">
        <v>3031</v>
      </c>
      <c r="P14" s="7" t="n">
        <v>2780.1</v>
      </c>
      <c r="R14" s="7" t="n">
        <v>12002.5</v>
      </c>
      <c r="T14" s="7" t="n">
        <v>11081</v>
      </c>
      <c r="V14" s="7" t="n">
        <v>9257</v>
      </c>
      <c r="X14" s="7" t="n">
        <v>3661.9</v>
      </c>
      <c r="Z14" s="7" t="n">
        <v>2309.7</v>
      </c>
      <c r="AB14" s="7" t="n">
        <v>52576.2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537003.5</v>
      </c>
      <c r="D15" s="7" t="n">
        <v>322935.2</v>
      </c>
      <c r="E15" s="7" t="n">
        <v>515113.1</v>
      </c>
      <c r="F15" s="7" t="n">
        <v>373521.1</v>
      </c>
      <c r="G15" s="7" t="n">
        <v>534391</v>
      </c>
      <c r="H15" s="7" t="n">
        <v>467190.5</v>
      </c>
      <c r="I15" s="7" t="n">
        <v>603935.7</v>
      </c>
      <c r="J15" s="7" t="n">
        <v>501410.3</v>
      </c>
      <c r="K15" s="7" t="n">
        <v>600941.1</v>
      </c>
      <c r="L15" s="7" t="n">
        <v>629995.4</v>
      </c>
      <c r="M15" s="7" t="n">
        <v>507162.9</v>
      </c>
      <c r="N15" s="7" t="n">
        <v>732469.7</v>
      </c>
      <c r="O15" s="7" t="n">
        <v>547194.9</v>
      </c>
      <c r="P15" s="7" t="n">
        <v>802631.7</v>
      </c>
      <c r="Q15" s="7" t="n">
        <v>565150</v>
      </c>
      <c r="R15" s="7" t="n">
        <v>528090.8</v>
      </c>
      <c r="S15" s="7" t="n">
        <v>570080.8</v>
      </c>
      <c r="T15" s="7" t="n">
        <v>515541.4</v>
      </c>
      <c r="U15" s="7" t="n">
        <v>570444.8</v>
      </c>
      <c r="V15" s="7" t="n">
        <v>620004.5</v>
      </c>
      <c r="W15" s="7" t="n">
        <v>534139.5</v>
      </c>
      <c r="X15" s="7" t="n">
        <v>510226.5</v>
      </c>
      <c r="Y15" s="7" t="n">
        <v>515714.5</v>
      </c>
      <c r="Z15" s="7" t="n">
        <v>360841.6</v>
      </c>
      <c r="AA15" s="8" t="n">
        <v>6601271.8</v>
      </c>
      <c r="AB15" s="8" t="n">
        <v>6364858.7</v>
      </c>
    </row>
    <row r="16">
      <c r="A16" s="4" t="inlineStr">
        <is>
          <t>生鲜蔬果</t>
        </is>
      </c>
      <c r="D16" s="7" t="n">
        <v>55078</v>
      </c>
      <c r="F16" s="7" t="n">
        <v>62829.9</v>
      </c>
      <c r="H16" s="7" t="n">
        <v>51365.5</v>
      </c>
      <c r="J16" s="7" t="n">
        <v>40751.4</v>
      </c>
      <c r="L16" s="7" t="n">
        <v>70482.3</v>
      </c>
      <c r="N16" s="7" t="n">
        <v>91540.39999999999</v>
      </c>
      <c r="P16" s="7" t="n">
        <v>84163.60000000001</v>
      </c>
      <c r="R16" s="7" t="n">
        <v>73068.8</v>
      </c>
      <c r="T16" s="7" t="n">
        <v>83958.2</v>
      </c>
      <c r="V16" s="7" t="n">
        <v>54401.1</v>
      </c>
      <c r="X16" s="7" t="n">
        <v>67591.60000000001</v>
      </c>
      <c r="Z16" s="7" t="n">
        <v>59622.2</v>
      </c>
      <c r="AB16" s="7" t="n">
        <v>794853</v>
      </c>
    </row>
    <row r="17">
      <c r="A17" s="4" t="inlineStr">
        <is>
          <t>肉禽蛋奶</t>
        </is>
      </c>
      <c r="D17" s="7" t="n">
        <v>46848.5</v>
      </c>
      <c r="F17" s="7" t="n">
        <v>43428.9</v>
      </c>
      <c r="H17" s="7" t="n">
        <v>88333.89999999999</v>
      </c>
      <c r="J17" s="7" t="n">
        <v>65918.89999999999</v>
      </c>
      <c r="L17" s="7" t="n">
        <v>121590.1</v>
      </c>
      <c r="N17" s="7" t="n">
        <v>139045.3</v>
      </c>
      <c r="P17" s="7" t="n">
        <v>103519.8</v>
      </c>
      <c r="R17" s="7" t="n">
        <v>66581.5</v>
      </c>
      <c r="T17" s="7" t="n">
        <v>121774.8</v>
      </c>
      <c r="V17" s="7" t="n">
        <v>112972.7</v>
      </c>
      <c r="X17" s="7" t="n">
        <v>123146.5</v>
      </c>
      <c r="Z17" s="7" t="n">
        <v>44875.3</v>
      </c>
      <c r="AB17" s="7" t="n">
        <v>1078036.2</v>
      </c>
    </row>
    <row r="18">
      <c r="A18" s="4" t="inlineStr">
        <is>
          <t>粮油调味</t>
        </is>
      </c>
      <c r="D18" s="7" t="n">
        <v>60403.2</v>
      </c>
      <c r="F18" s="7" t="n">
        <v>82801.8</v>
      </c>
      <c r="H18" s="7" t="n">
        <v>101042.9</v>
      </c>
      <c r="J18" s="7" t="n">
        <v>136967.1</v>
      </c>
      <c r="L18" s="7" t="n">
        <v>134862.2</v>
      </c>
      <c r="N18" s="7" t="n">
        <v>158266.7</v>
      </c>
      <c r="P18" s="7" t="n">
        <v>178684.4</v>
      </c>
      <c r="R18" s="7" t="n">
        <v>112410.8</v>
      </c>
      <c r="T18" s="7" t="n">
        <v>83213.60000000001</v>
      </c>
      <c r="V18" s="7" t="n">
        <v>151782.6</v>
      </c>
      <c r="X18" s="7" t="n">
        <v>103393.2</v>
      </c>
      <c r="Z18" s="7" t="n">
        <v>48333.9</v>
      </c>
      <c r="AB18" s="7" t="n">
        <v>1352162.4</v>
      </c>
    </row>
    <row r="19">
      <c r="A19" s="4" t="inlineStr">
        <is>
          <t>酒水饮料</t>
        </is>
      </c>
      <c r="D19" s="7" t="n">
        <v>27270.8</v>
      </c>
      <c r="F19" s="7" t="n">
        <v>26422.5</v>
      </c>
      <c r="H19" s="7" t="n">
        <v>55217.2</v>
      </c>
      <c r="J19" s="7" t="n">
        <v>34596.1</v>
      </c>
      <c r="L19" s="7" t="n">
        <v>60414.4</v>
      </c>
      <c r="N19" s="7" t="n">
        <v>48786.3</v>
      </c>
      <c r="P19" s="7" t="n">
        <v>91407</v>
      </c>
      <c r="R19" s="7" t="n">
        <v>67561.3</v>
      </c>
      <c r="T19" s="7" t="n">
        <v>64396.7</v>
      </c>
      <c r="V19" s="7" t="n">
        <v>38541.1</v>
      </c>
      <c r="X19" s="7" t="n">
        <v>57493.5</v>
      </c>
      <c r="Z19" s="7" t="n">
        <v>50664.4</v>
      </c>
      <c r="AB19" s="7" t="n">
        <v>622771.3</v>
      </c>
    </row>
    <row r="20">
      <c r="A20" s="4" t="inlineStr">
        <is>
          <t>休闲零食</t>
        </is>
      </c>
      <c r="D20" s="7" t="n">
        <v>71064.89999999999</v>
      </c>
      <c r="F20" s="7" t="n">
        <v>62081.9</v>
      </c>
      <c r="H20" s="7" t="n">
        <v>97526.3</v>
      </c>
      <c r="J20" s="7" t="n">
        <v>99251.2</v>
      </c>
      <c r="L20" s="7" t="n">
        <v>116030.5</v>
      </c>
      <c r="N20" s="7" t="n">
        <v>133495.2</v>
      </c>
      <c r="P20" s="7" t="n">
        <v>163017.2</v>
      </c>
      <c r="R20" s="7" t="n">
        <v>114995.5</v>
      </c>
      <c r="T20" s="7" t="n">
        <v>71012.10000000001</v>
      </c>
      <c r="V20" s="7" t="n">
        <v>97123</v>
      </c>
      <c r="X20" s="7" t="n">
        <v>65817.5</v>
      </c>
      <c r="Z20" s="7" t="n">
        <v>61514</v>
      </c>
      <c r="AB20" s="7" t="n">
        <v>1152929.3</v>
      </c>
    </row>
    <row r="21">
      <c r="A21" s="4" t="inlineStr">
        <is>
          <t>日用百货</t>
        </is>
      </c>
      <c r="D21" s="7" t="n">
        <v>51595.3</v>
      </c>
      <c r="F21" s="7" t="n">
        <v>84333.60000000001</v>
      </c>
      <c r="H21" s="7" t="n">
        <v>57020.8</v>
      </c>
      <c r="J21" s="7" t="n">
        <v>98199.89999999999</v>
      </c>
      <c r="L21" s="7" t="n">
        <v>92148.10000000001</v>
      </c>
      <c r="N21" s="7" t="n">
        <v>139939.2</v>
      </c>
      <c r="P21" s="7" t="n">
        <v>148927.6</v>
      </c>
      <c r="R21" s="7" t="n">
        <v>79531.8</v>
      </c>
      <c r="T21" s="7" t="n">
        <v>68723.8</v>
      </c>
      <c r="V21" s="7" t="n">
        <v>129724.1</v>
      </c>
      <c r="X21" s="7" t="n">
        <v>66346.60000000001</v>
      </c>
      <c r="Z21" s="7" t="n">
        <v>80867</v>
      </c>
      <c r="AB21" s="7" t="n">
        <v>1097357.8</v>
      </c>
    </row>
    <row r="22">
      <c r="A22" s="4" t="inlineStr">
        <is>
          <t>其他</t>
        </is>
      </c>
      <c r="D22" s="7" t="n">
        <v>3142.3</v>
      </c>
      <c r="F22" s="7" t="n">
        <v>3617</v>
      </c>
      <c r="H22" s="7" t="n">
        <v>7251.7</v>
      </c>
      <c r="J22" s="7" t="n">
        <v>1968.3</v>
      </c>
      <c r="L22" s="7" t="n">
        <v>7143.9</v>
      </c>
      <c r="N22" s="7" t="n">
        <v>5226.4</v>
      </c>
      <c r="P22" s="7" t="n">
        <v>4594.3</v>
      </c>
      <c r="R22" s="7" t="n">
        <v>6215</v>
      </c>
      <c r="T22" s="7" t="n">
        <v>4067</v>
      </c>
      <c r="V22" s="7" t="n">
        <v>4395.1</v>
      </c>
      <c r="X22" s="7" t="n">
        <v>3615.1</v>
      </c>
      <c r="Z22" s="7" t="n">
        <v>2175.9</v>
      </c>
      <c r="AB22" s="7" t="n">
        <v>53412</v>
      </c>
    </row>
    <row r="23">
      <c r="A23" s="4" t="inlineStr">
        <is>
          <t>运费</t>
        </is>
      </c>
      <c r="D23" s="7" t="n">
        <v>10674.5</v>
      </c>
      <c r="F23" s="7" t="n">
        <v>11622.5</v>
      </c>
      <c r="H23" s="7" t="n">
        <v>16683.9</v>
      </c>
      <c r="J23" s="7" t="n">
        <v>25725.7</v>
      </c>
      <c r="L23" s="7" t="n">
        <v>34467.8</v>
      </c>
      <c r="N23" s="7" t="n">
        <v>21396.6</v>
      </c>
      <c r="P23" s="7" t="n">
        <v>32912.1</v>
      </c>
      <c r="R23" s="7" t="n">
        <v>13941.1</v>
      </c>
      <c r="T23" s="7" t="n">
        <v>22462.2</v>
      </c>
      <c r="V23" s="7" t="n">
        <v>35459.9</v>
      </c>
      <c r="X23" s="7" t="n">
        <v>26437.6</v>
      </c>
      <c r="Z23" s="7" t="n">
        <v>14964.8</v>
      </c>
      <c r="AB23" s="7" t="n">
        <v>266748.7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56913.9</v>
      </c>
      <c r="D24" s="7" t="n">
        <v>94181.8</v>
      </c>
      <c r="E24" s="7" t="n">
        <v>138274.5</v>
      </c>
      <c r="F24" s="7" t="n">
        <v>124184.8</v>
      </c>
      <c r="G24" s="7" t="n">
        <v>194900.9</v>
      </c>
      <c r="H24" s="7" t="n">
        <v>129668</v>
      </c>
      <c r="I24" s="7" t="n">
        <v>183693.6</v>
      </c>
      <c r="J24" s="7" t="n">
        <v>140012.3</v>
      </c>
      <c r="K24" s="7" t="n">
        <v>70041</v>
      </c>
      <c r="L24" s="7" t="n">
        <v>159440.1</v>
      </c>
      <c r="M24" s="7" t="n">
        <v>229953.9</v>
      </c>
      <c r="N24" s="7" t="n">
        <v>229906.8</v>
      </c>
      <c r="O24" s="7" t="n">
        <v>57175.3</v>
      </c>
      <c r="P24" s="7" t="n">
        <v>220794</v>
      </c>
      <c r="Q24" s="7" t="n">
        <v>166898</v>
      </c>
      <c r="R24" s="7" t="n">
        <v>169979.3</v>
      </c>
      <c r="S24" s="7" t="n">
        <v>148802.6</v>
      </c>
      <c r="T24" s="7" t="n">
        <v>152887.7</v>
      </c>
      <c r="U24" s="7" t="n">
        <v>39306.7</v>
      </c>
      <c r="V24" s="7" t="n">
        <v>173935.2</v>
      </c>
      <c r="W24" s="7" t="n">
        <v>214915</v>
      </c>
      <c r="X24" s="7" t="n">
        <v>132431.1</v>
      </c>
      <c r="Y24" s="7" t="n">
        <v>249504.4</v>
      </c>
      <c r="Z24" s="7" t="n">
        <v>101793</v>
      </c>
      <c r="AA24" s="8" t="n">
        <v>1750379.8</v>
      </c>
      <c r="AB24" s="8" t="n">
        <v>1829214.1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9.6</v>
      </c>
      <c r="D25" s="13" t="n">
        <v>22.6</v>
      </c>
      <c r="E25" s="13" t="n">
        <v>21.2</v>
      </c>
      <c r="F25" s="13" t="n">
        <v>25</v>
      </c>
      <c r="G25" s="13" t="n">
        <v>26.7</v>
      </c>
      <c r="H25" s="13" t="n">
        <v>21.7</v>
      </c>
      <c r="I25" s="13" t="n">
        <v>23.3</v>
      </c>
      <c r="J25" s="13" t="n">
        <v>21.8</v>
      </c>
      <c r="K25" s="13" t="n">
        <v>10.4</v>
      </c>
      <c r="L25" s="13" t="n">
        <v>20.2</v>
      </c>
      <c r="M25" s="13" t="n">
        <v>31.2</v>
      </c>
      <c r="N25" s="13" t="n">
        <v>23.9</v>
      </c>
      <c r="O25" s="13" t="n">
        <v>9.5</v>
      </c>
      <c r="P25" s="13" t="n">
        <v>21.6</v>
      </c>
      <c r="Q25" s="13" t="n">
        <v>22.8</v>
      </c>
      <c r="R25" s="13" t="n">
        <v>24.3</v>
      </c>
      <c r="S25" s="13" t="n">
        <v>20.7</v>
      </c>
      <c r="T25" s="13" t="n">
        <v>22.9</v>
      </c>
      <c r="U25" s="13" t="n">
        <v>6.4</v>
      </c>
      <c r="V25" s="13" t="n">
        <v>21.9</v>
      </c>
      <c r="W25" s="13" t="n">
        <v>28.7</v>
      </c>
      <c r="X25" s="13" t="n">
        <v>20.6</v>
      </c>
      <c r="Y25" s="13" t="n">
        <v>32.6</v>
      </c>
      <c r="Z25" s="13" t="n">
        <v>22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6102.9</v>
      </c>
      <c r="D26" s="7" t="n">
        <v>2914.4</v>
      </c>
      <c r="E26" s="7" t="n">
        <v>6525.5</v>
      </c>
      <c r="F26" s="7" t="n">
        <v>2568.4</v>
      </c>
      <c r="G26" s="7" t="n">
        <v>6620.8</v>
      </c>
      <c r="H26" s="7" t="n">
        <v>5583.8</v>
      </c>
      <c r="I26" s="7" t="n">
        <v>6580</v>
      </c>
      <c r="J26" s="7" t="n">
        <v>7302.3</v>
      </c>
      <c r="K26" s="7" t="n">
        <v>6577.7</v>
      </c>
      <c r="L26" s="7" t="n">
        <v>5109</v>
      </c>
      <c r="M26" s="7" t="n">
        <v>7409.7</v>
      </c>
      <c r="N26" s="7" t="n">
        <v>13138.3</v>
      </c>
      <c r="O26" s="7" t="n">
        <v>6573.9</v>
      </c>
      <c r="P26" s="7" t="n">
        <v>13207.6</v>
      </c>
      <c r="Q26" s="7" t="n">
        <v>6479.2</v>
      </c>
      <c r="R26" s="7" t="n">
        <v>8720.5</v>
      </c>
      <c r="S26" s="7" t="n">
        <v>5752.5</v>
      </c>
      <c r="T26" s="7" t="n">
        <v>7680.7</v>
      </c>
      <c r="U26" s="7" t="n">
        <v>7540</v>
      </c>
      <c r="V26" s="7" t="n">
        <v>6367.2</v>
      </c>
      <c r="W26" s="7" t="n">
        <v>7438.9</v>
      </c>
      <c r="X26" s="7" t="n">
        <v>4784.5</v>
      </c>
      <c r="Y26" s="7" t="n">
        <v>7490.1</v>
      </c>
      <c r="Z26" s="7" t="n">
        <v>2388.9</v>
      </c>
      <c r="AA26" s="8" t="n">
        <v>81091.2</v>
      </c>
      <c r="AB26" s="8" t="n">
        <v>79765.60000000001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95947.39999999999</v>
      </c>
      <c r="D27" s="7" t="n">
        <v>48156.2</v>
      </c>
      <c r="E27" s="7" t="n">
        <v>92269.8</v>
      </c>
      <c r="F27" s="7" t="n">
        <v>42989</v>
      </c>
      <c r="G27" s="7" t="n">
        <v>87664.7</v>
      </c>
      <c r="H27" s="7" t="n">
        <v>81059.8</v>
      </c>
      <c r="I27" s="7" t="n">
        <v>108764.2</v>
      </c>
      <c r="J27" s="7" t="n">
        <v>81067.39999999999</v>
      </c>
      <c r="K27" s="7" t="n">
        <v>86867.2</v>
      </c>
      <c r="L27" s="7" t="n">
        <v>125055.9</v>
      </c>
      <c r="M27" s="7" t="n">
        <v>110794.9</v>
      </c>
      <c r="N27" s="7" t="n">
        <v>127039.4</v>
      </c>
      <c r="O27" s="7" t="n">
        <v>86287.8</v>
      </c>
      <c r="P27" s="7" t="n">
        <v>155344.1</v>
      </c>
      <c r="Q27" s="7" t="n">
        <v>102656.5</v>
      </c>
      <c r="R27" s="7" t="n">
        <v>85564.5</v>
      </c>
      <c r="S27" s="7" t="n">
        <v>89869.60000000001</v>
      </c>
      <c r="T27" s="7" t="n">
        <v>94587.7</v>
      </c>
      <c r="U27" s="7" t="n">
        <v>82775.89999999999</v>
      </c>
      <c r="V27" s="7" t="n">
        <v>108970.6</v>
      </c>
      <c r="W27" s="7" t="n">
        <v>88395</v>
      </c>
      <c r="X27" s="7" t="n">
        <v>123439.9</v>
      </c>
      <c r="Y27" s="7" t="n">
        <v>97153.2</v>
      </c>
      <c r="Z27" s="7" t="n">
        <v>85233.7</v>
      </c>
      <c r="AA27" s="8" t="n">
        <v>1129446.2</v>
      </c>
      <c r="AB27" s="8" t="n">
        <v>1158508.2</v>
      </c>
    </row>
    <row r="28">
      <c r="A28" s="4" t="inlineStr">
        <is>
          <t>职工薪酬</t>
        </is>
      </c>
      <c r="D28" s="7" t="n">
        <v>19165.2</v>
      </c>
      <c r="F28" s="7" t="n">
        <v>25758.8</v>
      </c>
      <c r="H28" s="7" t="n">
        <v>42729.3</v>
      </c>
      <c r="J28" s="7" t="n">
        <v>44094.6</v>
      </c>
      <c r="L28" s="7" t="n">
        <v>51867.7</v>
      </c>
      <c r="N28" s="7" t="n">
        <v>70556.60000000001</v>
      </c>
      <c r="P28" s="7" t="n">
        <v>93598.2</v>
      </c>
      <c r="R28" s="7" t="n">
        <v>44436.7</v>
      </c>
      <c r="T28" s="7" t="n">
        <v>50133.3</v>
      </c>
      <c r="V28" s="7" t="n">
        <v>54166.5</v>
      </c>
      <c r="X28" s="7" t="n">
        <v>68330.39999999999</v>
      </c>
      <c r="Z28" s="7" t="n">
        <v>44595.3</v>
      </c>
      <c r="AB28" s="7" t="n">
        <v>609432.6</v>
      </c>
    </row>
    <row r="29">
      <c r="A29" s="4" t="inlineStr">
        <is>
          <t>工资</t>
        </is>
      </c>
      <c r="D29" s="7" t="n">
        <v>10426.2</v>
      </c>
      <c r="F29" s="7" t="n">
        <v>15058</v>
      </c>
      <c r="H29" s="7" t="n">
        <v>27654.3</v>
      </c>
      <c r="J29" s="7" t="n">
        <v>25288.4</v>
      </c>
      <c r="L29" s="7" t="n">
        <v>27776.4</v>
      </c>
      <c r="N29" s="7" t="n">
        <v>48816.6</v>
      </c>
      <c r="P29" s="7" t="n">
        <v>58709.3</v>
      </c>
      <c r="R29" s="7" t="n">
        <v>23789.2</v>
      </c>
      <c r="T29" s="7" t="n">
        <v>31110.9</v>
      </c>
      <c r="V29" s="7" t="n">
        <v>31511.6</v>
      </c>
      <c r="X29" s="7" t="n">
        <v>41976.7</v>
      </c>
      <c r="Z29" s="7" t="n">
        <v>21997</v>
      </c>
      <c r="AB29" s="7" t="n">
        <v>364114.6</v>
      </c>
    </row>
    <row r="30">
      <c r="A30" s="4" t="inlineStr">
        <is>
          <t>奖金及提成</t>
        </is>
      </c>
      <c r="D30" s="7" t="n">
        <v>3781.8</v>
      </c>
      <c r="F30" s="7" t="n">
        <v>5369.3</v>
      </c>
      <c r="H30" s="7" t="n">
        <v>6127.4</v>
      </c>
      <c r="J30" s="7" t="n">
        <v>7542</v>
      </c>
      <c r="L30" s="7" t="n">
        <v>11713.2</v>
      </c>
      <c r="N30" s="7" t="n">
        <v>9212.1</v>
      </c>
      <c r="P30" s="7" t="n">
        <v>13697.4</v>
      </c>
      <c r="R30" s="7" t="n">
        <v>10885</v>
      </c>
      <c r="T30" s="7" t="n">
        <v>7724.9</v>
      </c>
      <c r="V30" s="7" t="n">
        <v>11350.1</v>
      </c>
      <c r="X30" s="7" t="n">
        <v>11733.6</v>
      </c>
      <c r="Z30" s="7" t="n">
        <v>10190.1</v>
      </c>
      <c r="AB30" s="7" t="n">
        <v>109326.9</v>
      </c>
    </row>
    <row r="31">
      <c r="A31" s="4" t="inlineStr">
        <is>
          <t>社保</t>
        </is>
      </c>
      <c r="D31" s="7" t="n">
        <v>3047.3</v>
      </c>
      <c r="F31" s="7" t="n">
        <v>3536.2</v>
      </c>
      <c r="H31" s="7" t="n">
        <v>5532.1</v>
      </c>
      <c r="J31" s="7" t="n">
        <v>8104.4</v>
      </c>
      <c r="L31" s="7" t="n">
        <v>7006.5</v>
      </c>
      <c r="N31" s="7" t="n">
        <v>7518.1</v>
      </c>
      <c r="P31" s="7" t="n">
        <v>15103.2</v>
      </c>
      <c r="R31" s="7" t="n">
        <v>5882.1</v>
      </c>
      <c r="T31" s="7" t="n">
        <v>7488.3</v>
      </c>
      <c r="V31" s="7" t="n">
        <v>6448</v>
      </c>
      <c r="X31" s="7" t="n">
        <v>9687.4</v>
      </c>
      <c r="Z31" s="7" t="n">
        <v>8787.4</v>
      </c>
      <c r="AB31" s="7" t="n">
        <v>88141</v>
      </c>
    </row>
    <row r="32">
      <c r="A32" s="4" t="inlineStr">
        <is>
          <t>养老</t>
        </is>
      </c>
      <c r="D32" s="7" t="n">
        <v>290.9</v>
      </c>
      <c r="F32" s="7" t="n">
        <v>195</v>
      </c>
      <c r="H32" s="7" t="n">
        <v>479.7</v>
      </c>
      <c r="J32" s="7" t="n">
        <v>609.4</v>
      </c>
      <c r="L32" s="7" t="n">
        <v>811.5</v>
      </c>
      <c r="N32" s="7" t="n">
        <v>992</v>
      </c>
      <c r="P32" s="7" t="n">
        <v>1140.2</v>
      </c>
      <c r="R32" s="7" t="n">
        <v>660.8</v>
      </c>
      <c r="T32" s="7" t="n">
        <v>490.4</v>
      </c>
      <c r="V32" s="7" t="n">
        <v>684.1</v>
      </c>
      <c r="X32" s="7" t="n">
        <v>923.4</v>
      </c>
      <c r="Z32" s="7" t="n">
        <v>614.4</v>
      </c>
      <c r="AB32" s="7" t="n">
        <v>7891.8</v>
      </c>
    </row>
    <row r="33">
      <c r="A33" s="4" t="inlineStr">
        <is>
          <t>医疗</t>
        </is>
      </c>
      <c r="D33" s="7" t="n">
        <v>114.7</v>
      </c>
      <c r="F33" s="7" t="n">
        <v>94.7</v>
      </c>
      <c r="H33" s="7" t="n">
        <v>193.4</v>
      </c>
      <c r="J33" s="7" t="n">
        <v>211.1</v>
      </c>
      <c r="L33" s="7" t="n">
        <v>285.7</v>
      </c>
      <c r="N33" s="7" t="n">
        <v>305.6</v>
      </c>
      <c r="P33" s="7" t="n">
        <v>398.6</v>
      </c>
      <c r="R33" s="7" t="n">
        <v>216.5</v>
      </c>
      <c r="T33" s="7" t="n">
        <v>173.7</v>
      </c>
      <c r="V33" s="7" t="n">
        <v>280.9</v>
      </c>
      <c r="X33" s="7" t="n">
        <v>257</v>
      </c>
      <c r="Z33" s="7" t="n">
        <v>159.5</v>
      </c>
      <c r="AB33" s="7" t="n">
        <v>2691.4</v>
      </c>
    </row>
    <row r="34">
      <c r="A34" s="4" t="inlineStr">
        <is>
          <t>工伤</t>
        </is>
      </c>
      <c r="D34" s="7" t="n">
        <v>261.3</v>
      </c>
      <c r="F34" s="7" t="n">
        <v>340.1</v>
      </c>
      <c r="H34" s="7" t="n">
        <v>646.9</v>
      </c>
      <c r="J34" s="7" t="n">
        <v>365.1</v>
      </c>
      <c r="L34" s="7" t="n">
        <v>813.2</v>
      </c>
      <c r="N34" s="7" t="n">
        <v>924.7</v>
      </c>
      <c r="P34" s="7" t="n">
        <v>818.2</v>
      </c>
      <c r="R34" s="7" t="n">
        <v>629.9</v>
      </c>
      <c r="T34" s="7" t="n">
        <v>602.2</v>
      </c>
      <c r="V34" s="7" t="n">
        <v>810.5</v>
      </c>
      <c r="X34" s="7" t="n">
        <v>632.5</v>
      </c>
      <c r="Z34" s="7" t="n">
        <v>669.1</v>
      </c>
      <c r="AB34" s="7" t="n">
        <v>7513.7</v>
      </c>
    </row>
    <row r="35">
      <c r="A35" s="4" t="inlineStr">
        <is>
          <t>失业</t>
        </is>
      </c>
      <c r="D35" s="7" t="n">
        <v>116.1</v>
      </c>
      <c r="F35" s="7" t="n">
        <v>99.40000000000001</v>
      </c>
      <c r="H35" s="7" t="n">
        <v>253.1</v>
      </c>
      <c r="J35" s="7" t="n">
        <v>226.6</v>
      </c>
      <c r="L35" s="7" t="n">
        <v>436.2</v>
      </c>
      <c r="N35" s="7" t="n">
        <v>368.1</v>
      </c>
      <c r="P35" s="7" t="n">
        <v>425.1</v>
      </c>
      <c r="R35" s="7" t="n">
        <v>195.1</v>
      </c>
      <c r="T35" s="7" t="n">
        <v>229.7</v>
      </c>
      <c r="V35" s="7" t="n">
        <v>328.1</v>
      </c>
      <c r="X35" s="7" t="n">
        <v>472.5</v>
      </c>
      <c r="Z35" s="7" t="n">
        <v>192</v>
      </c>
      <c r="AB35" s="7" t="n">
        <v>3342</v>
      </c>
    </row>
    <row r="36">
      <c r="A36" s="4" t="inlineStr">
        <is>
          <t>生育</t>
        </is>
      </c>
      <c r="D36" s="7" t="n">
        <v>122.3</v>
      </c>
      <c r="F36" s="7" t="n">
        <v>85.09999999999999</v>
      </c>
      <c r="H36" s="7" t="n">
        <v>198.4</v>
      </c>
      <c r="J36" s="7" t="n">
        <v>132.3</v>
      </c>
      <c r="L36" s="7" t="n">
        <v>253.3</v>
      </c>
      <c r="N36" s="7" t="n">
        <v>187.9</v>
      </c>
      <c r="P36" s="7" t="n">
        <v>403.8</v>
      </c>
      <c r="R36" s="7" t="n">
        <v>135.8</v>
      </c>
      <c r="T36" s="7" t="n">
        <v>163.8</v>
      </c>
      <c r="V36" s="7" t="n">
        <v>275.4</v>
      </c>
      <c r="X36" s="7" t="n">
        <v>252.9</v>
      </c>
      <c r="Z36" s="7" t="n">
        <v>223.7</v>
      </c>
      <c r="AB36" s="7" t="n">
        <v>2434.7</v>
      </c>
    </row>
    <row r="37">
      <c r="A37" s="4" t="inlineStr">
        <is>
          <t>公积金</t>
        </is>
      </c>
      <c r="D37" s="7" t="n">
        <v>175.3</v>
      </c>
      <c r="F37" s="7" t="n">
        <v>200.7</v>
      </c>
      <c r="H37" s="7" t="n">
        <v>272.7</v>
      </c>
      <c r="J37" s="7" t="n">
        <v>333.6</v>
      </c>
      <c r="L37" s="7" t="n">
        <v>385.5</v>
      </c>
      <c r="N37" s="7" t="n">
        <v>389.9</v>
      </c>
      <c r="P37" s="7" t="n">
        <v>537.2</v>
      </c>
      <c r="R37" s="7" t="n">
        <v>305.8</v>
      </c>
      <c r="T37" s="7" t="n">
        <v>273.6</v>
      </c>
      <c r="V37" s="7" t="n">
        <v>315</v>
      </c>
      <c r="X37" s="7" t="n">
        <v>560.9</v>
      </c>
      <c r="Z37" s="7" t="n">
        <v>231.9</v>
      </c>
      <c r="AB37" s="7" t="n">
        <v>3982.1</v>
      </c>
    </row>
    <row r="38">
      <c r="A38" s="4" t="inlineStr">
        <is>
          <t>工会经费</t>
        </is>
      </c>
      <c r="D38" s="7" t="n">
        <v>169.9</v>
      </c>
      <c r="F38" s="7" t="n">
        <v>115.1</v>
      </c>
      <c r="H38" s="7" t="n">
        <v>368.2</v>
      </c>
      <c r="J38" s="7" t="n">
        <v>340.4</v>
      </c>
      <c r="L38" s="7" t="n">
        <v>482.5</v>
      </c>
      <c r="N38" s="7" t="n">
        <v>583</v>
      </c>
      <c r="P38" s="7" t="n">
        <v>386</v>
      </c>
      <c r="R38" s="7" t="n">
        <v>244.5</v>
      </c>
      <c r="T38" s="7" t="n">
        <v>261.5</v>
      </c>
      <c r="V38" s="7" t="n">
        <v>498.2</v>
      </c>
      <c r="X38" s="7" t="n">
        <v>402.4</v>
      </c>
      <c r="Z38" s="7" t="n">
        <v>335.7</v>
      </c>
      <c r="AB38" s="7" t="n">
        <v>4187.4</v>
      </c>
    </row>
    <row r="39">
      <c r="A39" s="4" t="inlineStr">
        <is>
          <t>职工教育经费</t>
        </is>
      </c>
      <c r="D39" s="7" t="n">
        <v>238.7</v>
      </c>
      <c r="F39" s="7" t="n">
        <v>243.1</v>
      </c>
      <c r="H39" s="7" t="n">
        <v>318.3</v>
      </c>
      <c r="J39" s="7" t="n">
        <v>543.1</v>
      </c>
      <c r="L39" s="7" t="n">
        <v>608.9</v>
      </c>
      <c r="N39" s="7" t="n">
        <v>498.2</v>
      </c>
      <c r="P39" s="7" t="n">
        <v>884</v>
      </c>
      <c r="R39" s="7" t="n">
        <v>599.8</v>
      </c>
      <c r="T39" s="7" t="n">
        <v>548</v>
      </c>
      <c r="V39" s="7" t="n">
        <v>704.7</v>
      </c>
      <c r="X39" s="7" t="n">
        <v>545.6</v>
      </c>
      <c r="Z39" s="7" t="n">
        <v>370.6</v>
      </c>
      <c r="AB39" s="7" t="n">
        <v>6103</v>
      </c>
    </row>
    <row r="40">
      <c r="A40" s="4" t="inlineStr">
        <is>
          <t>福利费</t>
        </is>
      </c>
      <c r="D40" s="7" t="n">
        <v>1326</v>
      </c>
      <c r="F40" s="7" t="n">
        <v>1236.4</v>
      </c>
      <c r="H40" s="7" t="n">
        <v>2456.3</v>
      </c>
      <c r="J40" s="7" t="n">
        <v>1942.7</v>
      </c>
      <c r="L40" s="7" t="n">
        <v>3894.7</v>
      </c>
      <c r="N40" s="7" t="n">
        <v>3538.7</v>
      </c>
      <c r="P40" s="7" t="n">
        <v>4281.1</v>
      </c>
      <c r="R40" s="7" t="n">
        <v>2730.3</v>
      </c>
      <c r="T40" s="7" t="n">
        <v>2726.1</v>
      </c>
      <c r="V40" s="7" t="n">
        <v>3338.9</v>
      </c>
      <c r="X40" s="7" t="n">
        <v>3423.8</v>
      </c>
      <c r="Z40" s="7" t="n">
        <v>2682.6</v>
      </c>
      <c r="AB40" s="7" t="n">
        <v>33577.6</v>
      </c>
    </row>
    <row r="41">
      <c r="A41" s="4" t="inlineStr">
        <is>
          <t>职工房租</t>
        </is>
      </c>
      <c r="D41" s="7" t="n">
        <v>167.5</v>
      </c>
      <c r="F41" s="7" t="n">
        <v>209.9</v>
      </c>
      <c r="H41" s="7" t="n">
        <v>414.2</v>
      </c>
      <c r="J41" s="7" t="n">
        <v>267.6</v>
      </c>
      <c r="L41" s="7" t="n">
        <v>695.3</v>
      </c>
      <c r="N41" s="7" t="n">
        <v>640.8</v>
      </c>
      <c r="P41" s="7" t="n">
        <v>796.4</v>
      </c>
      <c r="R41" s="7" t="n">
        <v>465.8</v>
      </c>
      <c r="T41" s="7" t="n">
        <v>397.3</v>
      </c>
      <c r="V41" s="7" t="n">
        <v>502.8</v>
      </c>
      <c r="X41" s="7" t="n">
        <v>496.4</v>
      </c>
      <c r="Z41" s="7" t="n">
        <v>439.5</v>
      </c>
      <c r="AB41" s="7" t="n">
        <v>5493.5</v>
      </c>
    </row>
    <row r="42">
      <c r="A42" s="4" t="inlineStr">
        <is>
          <t>水电物业费</t>
        </is>
      </c>
      <c r="D42" s="7" t="n">
        <v>150</v>
      </c>
      <c r="F42" s="7" t="n">
        <v>95.09999999999999</v>
      </c>
      <c r="H42" s="7" t="n">
        <v>275.2</v>
      </c>
      <c r="J42" s="7" t="n">
        <v>188.8</v>
      </c>
      <c r="L42" s="7" t="n">
        <v>294.7</v>
      </c>
      <c r="N42" s="7" t="n">
        <v>282.1</v>
      </c>
      <c r="P42" s="7" t="n">
        <v>322.5</v>
      </c>
      <c r="R42" s="7" t="n">
        <v>178.5</v>
      </c>
      <c r="T42" s="7" t="n">
        <v>186</v>
      </c>
      <c r="V42" s="7" t="n">
        <v>301.7</v>
      </c>
      <c r="X42" s="7" t="n">
        <v>250.2</v>
      </c>
      <c r="Z42" s="7" t="n">
        <v>171.4</v>
      </c>
      <c r="AB42" s="7" t="n">
        <v>2696.2</v>
      </c>
    </row>
    <row r="43">
      <c r="A43" s="4" t="inlineStr">
        <is>
          <t>员工餐</t>
        </is>
      </c>
      <c r="D43" s="7" t="n">
        <v>111.9</v>
      </c>
      <c r="F43" s="7" t="n">
        <v>94.2</v>
      </c>
      <c r="H43" s="7" t="n">
        <v>277.3</v>
      </c>
      <c r="J43" s="7" t="n">
        <v>265.5</v>
      </c>
      <c r="L43" s="7" t="n">
        <v>385.6</v>
      </c>
      <c r="N43" s="7" t="n">
        <v>423</v>
      </c>
      <c r="P43" s="7" t="n">
        <v>439.5</v>
      </c>
      <c r="R43" s="7" t="n">
        <v>194.8</v>
      </c>
      <c r="T43" s="7" t="n">
        <v>302.6</v>
      </c>
      <c r="V43" s="7" t="n">
        <v>406</v>
      </c>
      <c r="X43" s="7" t="n">
        <v>374.7</v>
      </c>
      <c r="Z43" s="7" t="n">
        <v>264.1</v>
      </c>
      <c r="AB43" s="7" t="n">
        <v>3539.2</v>
      </c>
    </row>
    <row r="44">
      <c r="A44" s="4" t="inlineStr">
        <is>
          <t>节日礼品</t>
        </is>
      </c>
      <c r="D44" s="7" t="n">
        <v>244.5</v>
      </c>
      <c r="F44" s="7" t="n">
        <v>260</v>
      </c>
      <c r="H44" s="7" t="n">
        <v>358.9</v>
      </c>
      <c r="J44" s="7" t="n">
        <v>395.6</v>
      </c>
      <c r="L44" s="7" t="n">
        <v>626.4</v>
      </c>
      <c r="N44" s="7" t="n">
        <v>577.6</v>
      </c>
      <c r="P44" s="7" t="n">
        <v>686.4</v>
      </c>
      <c r="R44" s="7" t="n">
        <v>637.4</v>
      </c>
      <c r="T44" s="7" t="n">
        <v>495</v>
      </c>
      <c r="V44" s="7" t="n">
        <v>543.9</v>
      </c>
      <c r="X44" s="7" t="n">
        <v>757.7</v>
      </c>
      <c r="Z44" s="7" t="n">
        <v>573.7</v>
      </c>
      <c r="AB44" s="7" t="n">
        <v>6157.1</v>
      </c>
    </row>
    <row r="45">
      <c r="A45" s="4" t="inlineStr">
        <is>
          <t>生日礼品</t>
        </is>
      </c>
      <c r="D45" s="7" t="n">
        <v>141.3</v>
      </c>
      <c r="F45" s="7" t="n">
        <v>100.2</v>
      </c>
      <c r="H45" s="7" t="n">
        <v>164.7</v>
      </c>
      <c r="J45" s="7" t="n">
        <v>189.4</v>
      </c>
      <c r="L45" s="7" t="n">
        <v>417.2</v>
      </c>
      <c r="N45" s="7" t="n">
        <v>315.7</v>
      </c>
      <c r="P45" s="7" t="n">
        <v>359.9</v>
      </c>
      <c r="R45" s="7" t="n">
        <v>278.6</v>
      </c>
      <c r="T45" s="7" t="n">
        <v>256.4</v>
      </c>
      <c r="V45" s="7" t="n">
        <v>318.1</v>
      </c>
      <c r="X45" s="7" t="n">
        <v>226.7</v>
      </c>
      <c r="Z45" s="7" t="n">
        <v>259.9</v>
      </c>
      <c r="AB45" s="7" t="n">
        <v>3028.1</v>
      </c>
    </row>
    <row r="46">
      <c r="A46" s="4" t="inlineStr">
        <is>
          <t>体检</t>
        </is>
      </c>
      <c r="D46" s="7" t="n">
        <v>286.1</v>
      </c>
      <c r="F46" s="7" t="n">
        <v>266.9</v>
      </c>
      <c r="H46" s="7" t="n">
        <v>655.9</v>
      </c>
      <c r="J46" s="7" t="n">
        <v>400.2</v>
      </c>
      <c r="L46" s="7" t="n">
        <v>963</v>
      </c>
      <c r="N46" s="7" t="n">
        <v>671</v>
      </c>
      <c r="P46" s="7" t="n">
        <v>1032.7</v>
      </c>
      <c r="R46" s="7" t="n">
        <v>682.3</v>
      </c>
      <c r="T46" s="7" t="n">
        <v>736.5</v>
      </c>
      <c r="V46" s="7" t="n">
        <v>772.2</v>
      </c>
      <c r="X46" s="7" t="n">
        <v>734.4</v>
      </c>
      <c r="Z46" s="7" t="n">
        <v>620</v>
      </c>
      <c r="AB46" s="7" t="n">
        <v>7821.2</v>
      </c>
    </row>
    <row r="47">
      <c r="A47" s="4" t="inlineStr">
        <is>
          <t>其他福利支出</t>
        </is>
      </c>
      <c r="D47" s="7" t="n">
        <v>224.7</v>
      </c>
      <c r="F47" s="7" t="n">
        <v>210.1</v>
      </c>
      <c r="H47" s="7" t="n">
        <v>310.1</v>
      </c>
      <c r="J47" s="7" t="n">
        <v>235.6</v>
      </c>
      <c r="L47" s="7" t="n">
        <v>512.5</v>
      </c>
      <c r="N47" s="7" t="n">
        <v>628.5</v>
      </c>
      <c r="P47" s="7" t="n">
        <v>643.7</v>
      </c>
      <c r="R47" s="7" t="n">
        <v>292.9</v>
      </c>
      <c r="T47" s="7" t="n">
        <v>352.3</v>
      </c>
      <c r="V47" s="7" t="n">
        <v>494.2</v>
      </c>
      <c r="X47" s="7" t="n">
        <v>583.7</v>
      </c>
      <c r="Z47" s="7" t="n">
        <v>354</v>
      </c>
      <c r="AB47" s="7" t="n">
        <v>4842.3</v>
      </c>
    </row>
    <row r="48">
      <c r="A48" s="4" t="inlineStr">
        <is>
          <t>招聘费</t>
        </is>
      </c>
      <c r="D48" s="7" t="n">
        <v>206.8</v>
      </c>
      <c r="F48" s="7" t="n">
        <v>194</v>
      </c>
      <c r="H48" s="7" t="n">
        <v>301.2</v>
      </c>
      <c r="J48" s="7" t="n">
        <v>301.2</v>
      </c>
      <c r="L48" s="7" t="n">
        <v>418.3</v>
      </c>
      <c r="N48" s="7" t="n">
        <v>561.6</v>
      </c>
      <c r="P48" s="7" t="n">
        <v>638.2</v>
      </c>
      <c r="R48" s="7" t="n">
        <v>289.8</v>
      </c>
      <c r="T48" s="7" t="n">
        <v>372.6</v>
      </c>
      <c r="V48" s="7" t="n">
        <v>390.1</v>
      </c>
      <c r="X48" s="7" t="n">
        <v>439.7</v>
      </c>
      <c r="Z48" s="7" t="n">
        <v>342.2</v>
      </c>
      <c r="AB48" s="7" t="n">
        <v>4455.7</v>
      </c>
    </row>
    <row r="49">
      <c r="A49" s="4" t="inlineStr">
        <is>
          <t>办公费</t>
        </is>
      </c>
      <c r="D49" s="7" t="n">
        <v>1049.9</v>
      </c>
      <c r="F49" s="7" t="n">
        <v>1160.1</v>
      </c>
      <c r="H49" s="7" t="n">
        <v>2296.6</v>
      </c>
      <c r="J49" s="7" t="n">
        <v>2617.4</v>
      </c>
      <c r="L49" s="7" t="n">
        <v>4408.6</v>
      </c>
      <c r="N49" s="7" t="n">
        <v>3752.9</v>
      </c>
      <c r="P49" s="7" t="n">
        <v>5717.9</v>
      </c>
      <c r="R49" s="7" t="n">
        <v>3227.7</v>
      </c>
      <c r="T49" s="7" t="n">
        <v>3542.7</v>
      </c>
      <c r="V49" s="7" t="n">
        <v>3482.4</v>
      </c>
      <c r="X49" s="7" t="n">
        <v>3105.4</v>
      </c>
      <c r="Z49" s="7" t="n">
        <v>2273.5</v>
      </c>
      <c r="AB49" s="7" t="n">
        <v>36635.1</v>
      </c>
    </row>
    <row r="50">
      <c r="A50" s="4" t="inlineStr">
        <is>
          <t>市内交通费</t>
        </is>
      </c>
      <c r="D50" s="7" t="n">
        <v>180.9</v>
      </c>
      <c r="F50" s="7" t="n">
        <v>146.6</v>
      </c>
      <c r="H50" s="7" t="n">
        <v>342.7</v>
      </c>
      <c r="J50" s="7" t="n">
        <v>227.2</v>
      </c>
      <c r="L50" s="7" t="n">
        <v>405.9</v>
      </c>
      <c r="N50" s="7" t="n">
        <v>611.7</v>
      </c>
      <c r="P50" s="7" t="n">
        <v>513.1</v>
      </c>
      <c r="R50" s="7" t="n">
        <v>284.9</v>
      </c>
      <c r="T50" s="7" t="n">
        <v>373.3</v>
      </c>
      <c r="V50" s="7" t="n">
        <v>305.8</v>
      </c>
      <c r="X50" s="7" t="n">
        <v>608</v>
      </c>
      <c r="Z50" s="7" t="n">
        <v>320.2</v>
      </c>
      <c r="AB50" s="7" t="n">
        <v>4320.3</v>
      </c>
    </row>
    <row r="51">
      <c r="A51" s="4" t="inlineStr">
        <is>
          <t>差旅费</t>
        </is>
      </c>
      <c r="D51" s="7" t="n">
        <v>2710.8</v>
      </c>
      <c r="F51" s="7" t="n">
        <v>2471</v>
      </c>
      <c r="H51" s="7" t="n">
        <v>6202</v>
      </c>
      <c r="J51" s="7" t="n">
        <v>5746.6</v>
      </c>
      <c r="L51" s="7" t="n">
        <v>6484.3</v>
      </c>
      <c r="N51" s="7" t="n">
        <v>9060.4</v>
      </c>
      <c r="P51" s="7" t="n">
        <v>9580.9</v>
      </c>
      <c r="R51" s="7" t="n">
        <v>4877.4</v>
      </c>
      <c r="T51" s="7" t="n">
        <v>5681.2</v>
      </c>
      <c r="V51" s="7" t="n">
        <v>8313.700000000001</v>
      </c>
      <c r="X51" s="7" t="n">
        <v>8715.700000000001</v>
      </c>
      <c r="Z51" s="7" t="n">
        <v>5543.7</v>
      </c>
      <c r="AB51" s="7" t="n">
        <v>75387.7</v>
      </c>
    </row>
    <row r="52">
      <c r="A52" s="4" t="inlineStr">
        <is>
          <t>交通费</t>
        </is>
      </c>
      <c r="D52" s="7" t="n">
        <v>102.5</v>
      </c>
      <c r="F52" s="7" t="n">
        <v>63.1</v>
      </c>
      <c r="H52" s="7" t="n">
        <v>210.5</v>
      </c>
      <c r="J52" s="7" t="n">
        <v>134.8</v>
      </c>
      <c r="L52" s="7" t="n">
        <v>275.4</v>
      </c>
      <c r="N52" s="7" t="n">
        <v>222.6</v>
      </c>
      <c r="P52" s="7" t="n">
        <v>240</v>
      </c>
      <c r="R52" s="7" t="n">
        <v>144.5</v>
      </c>
      <c r="T52" s="7" t="n">
        <v>245.7</v>
      </c>
      <c r="V52" s="7" t="n">
        <v>226.8</v>
      </c>
      <c r="X52" s="7" t="n">
        <v>222.4</v>
      </c>
      <c r="Z52" s="7" t="n">
        <v>175.8</v>
      </c>
      <c r="AB52" s="7" t="n">
        <v>2264.1</v>
      </c>
    </row>
    <row r="53">
      <c r="A53" s="4" t="inlineStr">
        <is>
          <t>住宿费</t>
        </is>
      </c>
      <c r="D53" s="7" t="n">
        <v>70.3</v>
      </c>
      <c r="F53" s="7" t="n">
        <v>42.2</v>
      </c>
      <c r="H53" s="7" t="n">
        <v>115.8</v>
      </c>
      <c r="J53" s="7" t="n">
        <v>135</v>
      </c>
      <c r="L53" s="7" t="n">
        <v>117</v>
      </c>
      <c r="N53" s="7" t="n">
        <v>129.8</v>
      </c>
      <c r="P53" s="7" t="n">
        <v>234.5</v>
      </c>
      <c r="R53" s="7" t="n">
        <v>96.09999999999999</v>
      </c>
      <c r="T53" s="7" t="n">
        <v>135.9</v>
      </c>
      <c r="V53" s="7" t="n">
        <v>157.8</v>
      </c>
      <c r="X53" s="7" t="n">
        <v>153.9</v>
      </c>
      <c r="Z53" s="7" t="n">
        <v>139.2</v>
      </c>
      <c r="AB53" s="7" t="n">
        <v>1527.5</v>
      </c>
    </row>
    <row r="54">
      <c r="A54" s="4" t="inlineStr">
        <is>
          <t>餐补</t>
        </is>
      </c>
      <c r="D54" s="7" t="n">
        <v>51.5</v>
      </c>
      <c r="F54" s="7" t="n">
        <v>43.6</v>
      </c>
      <c r="H54" s="7" t="n">
        <v>136.6</v>
      </c>
      <c r="J54" s="7" t="n">
        <v>96.09999999999999</v>
      </c>
      <c r="L54" s="7" t="n">
        <v>171.6</v>
      </c>
      <c r="N54" s="7" t="n">
        <v>175</v>
      </c>
      <c r="P54" s="7" t="n">
        <v>154.1</v>
      </c>
      <c r="R54" s="7" t="n">
        <v>147.7</v>
      </c>
      <c r="T54" s="7" t="n">
        <v>154.9</v>
      </c>
      <c r="V54" s="7" t="n">
        <v>176.7</v>
      </c>
      <c r="X54" s="7" t="n">
        <v>116</v>
      </c>
      <c r="Z54" s="7" t="n">
        <v>96.2</v>
      </c>
      <c r="AB54" s="7" t="n">
        <v>1520</v>
      </c>
    </row>
    <row r="55">
      <c r="A55" s="4" t="inlineStr">
        <is>
          <t>交通补助</t>
        </is>
      </c>
      <c r="D55" s="7" t="n">
        <v>289.3</v>
      </c>
      <c r="F55" s="7" t="n">
        <v>278</v>
      </c>
      <c r="H55" s="7" t="n">
        <v>529.4</v>
      </c>
      <c r="J55" s="7" t="n">
        <v>317.9</v>
      </c>
      <c r="L55" s="7" t="n">
        <v>619.9</v>
      </c>
      <c r="N55" s="7" t="n">
        <v>501.3</v>
      </c>
      <c r="P55" s="7" t="n">
        <v>919.8</v>
      </c>
      <c r="R55" s="7" t="n">
        <v>510.2</v>
      </c>
      <c r="T55" s="7" t="n">
        <v>472.9</v>
      </c>
      <c r="V55" s="7" t="n">
        <v>430.2</v>
      </c>
      <c r="X55" s="7" t="n">
        <v>693.8</v>
      </c>
      <c r="Z55" s="7" t="n">
        <v>377.3</v>
      </c>
      <c r="AB55" s="7" t="n">
        <v>5940</v>
      </c>
    </row>
    <row r="56">
      <c r="A56" s="4" t="inlineStr">
        <is>
          <t>通讯补助</t>
        </is>
      </c>
      <c r="D56" s="7" t="n">
        <v>30.9</v>
      </c>
      <c r="F56" s="7" t="n">
        <v>21.4</v>
      </c>
      <c r="H56" s="7" t="n">
        <v>41.3</v>
      </c>
      <c r="J56" s="7" t="n">
        <v>36</v>
      </c>
      <c r="L56" s="7" t="n">
        <v>86.5</v>
      </c>
      <c r="N56" s="7" t="n">
        <v>78.7</v>
      </c>
      <c r="P56" s="7" t="n">
        <v>105.7</v>
      </c>
      <c r="R56" s="7" t="n">
        <v>50.1</v>
      </c>
      <c r="T56" s="7" t="n">
        <v>66.2</v>
      </c>
      <c r="V56" s="7" t="n">
        <v>69</v>
      </c>
      <c r="X56" s="7" t="n">
        <v>87.3</v>
      </c>
      <c r="Z56" s="7" t="n">
        <v>37.1</v>
      </c>
      <c r="AB56" s="7" t="n">
        <v>710.2</v>
      </c>
    </row>
    <row r="57">
      <c r="A57" s="4" t="inlineStr">
        <is>
          <t>招待费</t>
        </is>
      </c>
      <c r="D57" s="7" t="n">
        <v>1743.8</v>
      </c>
      <c r="F57" s="7" t="n">
        <v>1742.3</v>
      </c>
      <c r="H57" s="7" t="n">
        <v>3611.1</v>
      </c>
      <c r="J57" s="7" t="n">
        <v>2647.7</v>
      </c>
      <c r="L57" s="7" t="n">
        <v>6476.2</v>
      </c>
      <c r="N57" s="7" t="n">
        <v>5866.1</v>
      </c>
      <c r="P57" s="7" t="n">
        <v>5659.7</v>
      </c>
      <c r="R57" s="7" t="n">
        <v>3094.4</v>
      </c>
      <c r="T57" s="7" t="n">
        <v>3532.2</v>
      </c>
      <c r="V57" s="7" t="n">
        <v>5030.3</v>
      </c>
      <c r="X57" s="7" t="n">
        <v>3763.1</v>
      </c>
      <c r="Z57" s="7" t="n">
        <v>3434.8</v>
      </c>
      <c r="AB57" s="7" t="n">
        <v>46601.7</v>
      </c>
    </row>
    <row r="58">
      <c r="A58" s="4" t="inlineStr">
        <is>
          <t>通讯费</t>
        </is>
      </c>
      <c r="D58" s="7" t="n">
        <v>212.1</v>
      </c>
      <c r="F58" s="7" t="n">
        <v>186.3</v>
      </c>
      <c r="H58" s="7" t="n">
        <v>467.1</v>
      </c>
      <c r="J58" s="7" t="n">
        <v>502.4</v>
      </c>
      <c r="L58" s="7" t="n">
        <v>764.7</v>
      </c>
      <c r="N58" s="7" t="n">
        <v>500.5</v>
      </c>
      <c r="P58" s="7" t="n">
        <v>1071.6</v>
      </c>
      <c r="R58" s="7" t="n">
        <v>380.8</v>
      </c>
      <c r="T58" s="7" t="n">
        <v>551</v>
      </c>
      <c r="V58" s="7" t="n">
        <v>723.8</v>
      </c>
      <c r="X58" s="7" t="n">
        <v>654.9</v>
      </c>
      <c r="Z58" s="7" t="n">
        <v>527.5</v>
      </c>
      <c r="AB58" s="7" t="n">
        <v>6542.7</v>
      </c>
    </row>
    <row r="59">
      <c r="A59" s="4" t="inlineStr">
        <is>
          <t>网络费</t>
        </is>
      </c>
      <c r="D59" s="7" t="n">
        <v>132.8</v>
      </c>
      <c r="F59" s="7" t="n">
        <v>89.5</v>
      </c>
      <c r="H59" s="7" t="n">
        <v>149.3</v>
      </c>
      <c r="J59" s="7" t="n">
        <v>200.1</v>
      </c>
      <c r="L59" s="7" t="n">
        <v>223</v>
      </c>
      <c r="N59" s="7" t="n">
        <v>294.6</v>
      </c>
      <c r="P59" s="7" t="n">
        <v>509.9</v>
      </c>
      <c r="R59" s="7" t="n">
        <v>273.9</v>
      </c>
      <c r="T59" s="7" t="n">
        <v>261.6</v>
      </c>
      <c r="V59" s="7" t="n">
        <v>262.7</v>
      </c>
      <c r="X59" s="7" t="n">
        <v>377</v>
      </c>
      <c r="Z59" s="7" t="n">
        <v>277.4</v>
      </c>
      <c r="AB59" s="7" t="n">
        <v>3051.8</v>
      </c>
    </row>
    <row r="60">
      <c r="A60" s="4" t="inlineStr">
        <is>
          <t>修理费</t>
        </is>
      </c>
      <c r="D60" s="7" t="n">
        <v>204.5</v>
      </c>
      <c r="F60" s="7" t="n">
        <v>293</v>
      </c>
      <c r="H60" s="7" t="n">
        <v>484.2</v>
      </c>
      <c r="J60" s="7" t="n">
        <v>475.1</v>
      </c>
      <c r="L60" s="7" t="n">
        <v>544.2</v>
      </c>
      <c r="N60" s="7" t="n">
        <v>561.2</v>
      </c>
      <c r="P60" s="7" t="n">
        <v>875.1</v>
      </c>
      <c r="R60" s="7" t="n">
        <v>627.6</v>
      </c>
      <c r="T60" s="7" t="n">
        <v>607.1</v>
      </c>
      <c r="V60" s="7" t="n">
        <v>557.1</v>
      </c>
      <c r="X60" s="7" t="n">
        <v>750.1</v>
      </c>
      <c r="Z60" s="7" t="n">
        <v>346.6</v>
      </c>
      <c r="AB60" s="7" t="n">
        <v>6325.8</v>
      </c>
    </row>
    <row r="61">
      <c r="A61" s="4" t="inlineStr">
        <is>
          <t>车辆费</t>
        </is>
      </c>
      <c r="D61" s="7" t="n">
        <v>234.8</v>
      </c>
      <c r="F61" s="7" t="n">
        <v>208.9</v>
      </c>
      <c r="H61" s="7" t="n">
        <v>529.8</v>
      </c>
      <c r="J61" s="7" t="n">
        <v>389</v>
      </c>
      <c r="L61" s="7" t="n">
        <v>832.3</v>
      </c>
      <c r="N61" s="7" t="n">
        <v>510</v>
      </c>
      <c r="P61" s="7" t="n">
        <v>748.8</v>
      </c>
      <c r="R61" s="7" t="n">
        <v>599.1</v>
      </c>
      <c r="T61" s="7" t="n">
        <v>405.2</v>
      </c>
      <c r="V61" s="7" t="n">
        <v>510.3</v>
      </c>
      <c r="X61" s="7" t="n">
        <v>627.2</v>
      </c>
      <c r="Z61" s="7" t="n">
        <v>369.6</v>
      </c>
      <c r="AB61" s="7" t="n">
        <v>5965</v>
      </c>
    </row>
    <row r="62">
      <c r="A62" s="4" t="inlineStr">
        <is>
          <t>租赁费</t>
        </is>
      </c>
      <c r="D62" s="7" t="n">
        <v>2176.6</v>
      </c>
      <c r="F62" s="7" t="n">
        <v>2036</v>
      </c>
      <c r="H62" s="7" t="n">
        <v>3018</v>
      </c>
      <c r="J62" s="7" t="n">
        <v>4128.7</v>
      </c>
      <c r="L62" s="7" t="n">
        <v>4658.8</v>
      </c>
      <c r="N62" s="7" t="n">
        <v>5621.7</v>
      </c>
      <c r="P62" s="7" t="n">
        <v>6834.3</v>
      </c>
      <c r="R62" s="7" t="n">
        <v>3053.1</v>
      </c>
      <c r="T62" s="7" t="n">
        <v>6095</v>
      </c>
      <c r="V62" s="7" t="n">
        <v>4885.4</v>
      </c>
      <c r="X62" s="7" t="n">
        <v>6956.3</v>
      </c>
      <c r="Z62" s="7" t="n">
        <v>5206.5</v>
      </c>
      <c r="AB62" s="7" t="n">
        <v>54670.4</v>
      </c>
    </row>
    <row r="63">
      <c r="A63" s="4" t="inlineStr">
        <is>
          <t>能源费</t>
        </is>
      </c>
      <c r="D63" s="7" t="n">
        <v>471.8</v>
      </c>
      <c r="F63" s="7" t="n">
        <v>482.5</v>
      </c>
      <c r="H63" s="7" t="n">
        <v>881.7</v>
      </c>
      <c r="J63" s="7" t="n">
        <v>957</v>
      </c>
      <c r="L63" s="7" t="n">
        <v>1329.1</v>
      </c>
      <c r="N63" s="7" t="n">
        <v>1156.2</v>
      </c>
      <c r="P63" s="7" t="n">
        <v>1313.8</v>
      </c>
      <c r="R63" s="7" t="n">
        <v>1053.6</v>
      </c>
      <c r="T63" s="7" t="n">
        <v>992.2</v>
      </c>
      <c r="V63" s="7" t="n">
        <v>1113.1</v>
      </c>
      <c r="X63" s="7" t="n">
        <v>1318.5</v>
      </c>
      <c r="Z63" s="7" t="n">
        <v>846.4</v>
      </c>
      <c r="AB63" s="7" t="n">
        <v>11915.9</v>
      </c>
    </row>
    <row r="64">
      <c r="A64" s="4" t="inlineStr">
        <is>
          <t>水费</t>
        </is>
      </c>
      <c r="D64" s="7" t="n">
        <v>105.2</v>
      </c>
      <c r="F64" s="7" t="n">
        <v>80.3</v>
      </c>
      <c r="H64" s="7" t="n">
        <v>150.6</v>
      </c>
      <c r="J64" s="7" t="n">
        <v>178.7</v>
      </c>
      <c r="L64" s="7" t="n">
        <v>269.1</v>
      </c>
      <c r="N64" s="7" t="n">
        <v>237.1</v>
      </c>
      <c r="P64" s="7" t="n">
        <v>294.7</v>
      </c>
      <c r="R64" s="7" t="n">
        <v>172.9</v>
      </c>
      <c r="T64" s="7" t="n">
        <v>150.6</v>
      </c>
      <c r="V64" s="7" t="n">
        <v>203.8</v>
      </c>
      <c r="X64" s="7" t="n">
        <v>196.6</v>
      </c>
      <c r="Z64" s="7" t="n">
        <v>191.2</v>
      </c>
      <c r="AB64" s="7" t="n">
        <v>2230.8</v>
      </c>
    </row>
    <row r="65">
      <c r="A65" s="4" t="inlineStr">
        <is>
          <t>电费</t>
        </is>
      </c>
      <c r="D65" s="7" t="n">
        <v>172.1</v>
      </c>
      <c r="F65" s="7" t="n">
        <v>265.4</v>
      </c>
      <c r="H65" s="7" t="n">
        <v>380.7</v>
      </c>
      <c r="J65" s="7" t="n">
        <v>437.8</v>
      </c>
      <c r="L65" s="7" t="n">
        <v>531.4</v>
      </c>
      <c r="N65" s="7" t="n">
        <v>458.3</v>
      </c>
      <c r="P65" s="7" t="n">
        <v>568</v>
      </c>
      <c r="R65" s="7" t="n">
        <v>535.8</v>
      </c>
      <c r="T65" s="7" t="n">
        <v>491.3</v>
      </c>
      <c r="V65" s="7" t="n">
        <v>410.8</v>
      </c>
      <c r="X65" s="7" t="n">
        <v>600.5</v>
      </c>
      <c r="Z65" s="7" t="n">
        <v>412.7</v>
      </c>
      <c r="AB65" s="7" t="n">
        <v>5264.8</v>
      </c>
    </row>
    <row r="66">
      <c r="A66" s="4" t="inlineStr">
        <is>
          <t>燃气费</t>
        </is>
      </c>
      <c r="D66" s="7" t="n">
        <v>116.9</v>
      </c>
      <c r="F66" s="7" t="n">
        <v>87.40000000000001</v>
      </c>
      <c r="H66" s="7" t="n">
        <v>202.4</v>
      </c>
      <c r="J66" s="7" t="n">
        <v>199</v>
      </c>
      <c r="L66" s="7" t="n">
        <v>348.4</v>
      </c>
      <c r="N66" s="7" t="n">
        <v>225.4</v>
      </c>
      <c r="P66" s="7" t="n">
        <v>294.7</v>
      </c>
      <c r="R66" s="7" t="n">
        <v>220.7</v>
      </c>
      <c r="T66" s="7" t="n">
        <v>233.3</v>
      </c>
      <c r="V66" s="7" t="n">
        <v>314.8</v>
      </c>
      <c r="X66" s="7" t="n">
        <v>315.3</v>
      </c>
      <c r="Z66" s="7" t="n">
        <v>143.3</v>
      </c>
      <c r="AB66" s="7" t="n">
        <v>2701.6</v>
      </c>
    </row>
    <row r="67">
      <c r="A67" s="4" t="inlineStr">
        <is>
          <t>蒸汽费</t>
        </is>
      </c>
      <c r="D67" s="7" t="n">
        <v>77.59999999999999</v>
      </c>
      <c r="F67" s="7" t="n">
        <v>49.4</v>
      </c>
      <c r="H67" s="7" t="n">
        <v>148</v>
      </c>
      <c r="J67" s="7" t="n">
        <v>141.5</v>
      </c>
      <c r="L67" s="7" t="n">
        <v>180.2</v>
      </c>
      <c r="N67" s="7" t="n">
        <v>235.4</v>
      </c>
      <c r="P67" s="7" t="n">
        <v>156.4</v>
      </c>
      <c r="R67" s="7" t="n">
        <v>124.2</v>
      </c>
      <c r="T67" s="7" t="n">
        <v>117</v>
      </c>
      <c r="V67" s="7" t="n">
        <v>183.7</v>
      </c>
      <c r="X67" s="7" t="n">
        <v>206.1</v>
      </c>
      <c r="Z67" s="7" t="n">
        <v>99.2</v>
      </c>
      <c r="AB67" s="7" t="n">
        <v>1718.7</v>
      </c>
    </row>
    <row r="68">
      <c r="A68" s="4" t="inlineStr">
        <is>
          <t>物业费</t>
        </is>
      </c>
      <c r="D68" s="7" t="n">
        <v>127.2</v>
      </c>
      <c r="F68" s="7" t="n">
        <v>127.6</v>
      </c>
      <c r="H68" s="7" t="n">
        <v>320.2</v>
      </c>
      <c r="J68" s="7" t="n">
        <v>237.4</v>
      </c>
      <c r="L68" s="7" t="n">
        <v>456.5</v>
      </c>
      <c r="N68" s="7" t="n">
        <v>413.5</v>
      </c>
      <c r="P68" s="7" t="n">
        <v>525.8</v>
      </c>
      <c r="R68" s="7" t="n">
        <v>324</v>
      </c>
      <c r="T68" s="7" t="n">
        <v>423.3</v>
      </c>
      <c r="V68" s="7" t="n">
        <v>341.4</v>
      </c>
      <c r="X68" s="7" t="n">
        <v>376.5</v>
      </c>
      <c r="Z68" s="7" t="n">
        <v>371.4</v>
      </c>
      <c r="AB68" s="7" t="n">
        <v>4044.8</v>
      </c>
    </row>
    <row r="69">
      <c r="A69" s="4" t="inlineStr">
        <is>
          <t>劳动保护费</t>
        </is>
      </c>
      <c r="D69" s="7" t="n">
        <v>37.5</v>
      </c>
      <c r="F69" s="7" t="n">
        <v>38.3</v>
      </c>
      <c r="H69" s="7" t="n">
        <v>66.2</v>
      </c>
      <c r="J69" s="7" t="n">
        <v>85.3</v>
      </c>
      <c r="L69" s="7" t="n">
        <v>96.40000000000001</v>
      </c>
      <c r="N69" s="7" t="n">
        <v>84.59999999999999</v>
      </c>
      <c r="P69" s="7" t="n">
        <v>108.2</v>
      </c>
      <c r="R69" s="7" t="n">
        <v>54.3</v>
      </c>
      <c r="T69" s="7" t="n">
        <v>62.7</v>
      </c>
      <c r="V69" s="7" t="n">
        <v>96.59999999999999</v>
      </c>
      <c r="X69" s="7" t="n">
        <v>77.90000000000001</v>
      </c>
      <c r="Z69" s="7" t="n">
        <v>76.8</v>
      </c>
      <c r="AB69" s="7" t="n">
        <v>884.8</v>
      </c>
    </row>
    <row r="70">
      <c r="A70" s="4" t="inlineStr">
        <is>
          <t>顾问费</t>
        </is>
      </c>
      <c r="D70" s="7" t="n">
        <v>30.3</v>
      </c>
      <c r="F70" s="7" t="n">
        <v>48.5</v>
      </c>
      <c r="H70" s="7" t="n">
        <v>80.7</v>
      </c>
      <c r="J70" s="7" t="n">
        <v>80.2</v>
      </c>
      <c r="L70" s="7" t="n">
        <v>120.6</v>
      </c>
      <c r="N70" s="7" t="n">
        <v>86</v>
      </c>
      <c r="P70" s="7" t="n">
        <v>112.1</v>
      </c>
      <c r="R70" s="7" t="n">
        <v>94.8</v>
      </c>
      <c r="T70" s="7" t="n">
        <v>85.8</v>
      </c>
      <c r="V70" s="7" t="n">
        <v>103.3</v>
      </c>
      <c r="X70" s="7" t="n">
        <v>121.2</v>
      </c>
      <c r="Z70" s="7" t="n">
        <v>88.7</v>
      </c>
      <c r="AB70" s="7" t="n">
        <v>1052.2</v>
      </c>
    </row>
    <row r="71">
      <c r="A71" s="4" t="inlineStr">
        <is>
          <t>快递费</t>
        </is>
      </c>
      <c r="D71" s="7" t="n">
        <v>3.3</v>
      </c>
      <c r="F71" s="7" t="n">
        <v>3.2</v>
      </c>
      <c r="H71" s="7" t="n">
        <v>5.8</v>
      </c>
      <c r="J71" s="7" t="n">
        <v>8.300000000000001</v>
      </c>
      <c r="L71" s="7" t="n">
        <v>13.2</v>
      </c>
      <c r="N71" s="7" t="n">
        <v>14</v>
      </c>
      <c r="P71" s="7" t="n">
        <v>12.5</v>
      </c>
      <c r="R71" s="7" t="n">
        <v>7.3</v>
      </c>
      <c r="T71" s="7" t="n">
        <v>9.4</v>
      </c>
      <c r="V71" s="7" t="n">
        <v>10.9</v>
      </c>
      <c r="X71" s="7" t="n">
        <v>10.8</v>
      </c>
      <c r="Z71" s="7" t="n">
        <v>6.3</v>
      </c>
      <c r="AB71" s="7" t="n">
        <v>105</v>
      </c>
    </row>
    <row r="72">
      <c r="A72" s="4" t="inlineStr">
        <is>
          <t>诉讼费</t>
        </is>
      </c>
      <c r="D72" s="7" t="n">
        <v>165.3</v>
      </c>
      <c r="F72" s="7" t="n">
        <v>163.2</v>
      </c>
      <c r="H72" s="7" t="n">
        <v>412.5</v>
      </c>
      <c r="J72" s="7" t="n">
        <v>410.1</v>
      </c>
      <c r="L72" s="7" t="n">
        <v>571.5</v>
      </c>
      <c r="N72" s="7" t="n">
        <v>525.8</v>
      </c>
      <c r="P72" s="7" t="n">
        <v>821.2</v>
      </c>
      <c r="R72" s="7" t="n">
        <v>342.9</v>
      </c>
      <c r="T72" s="7" t="n">
        <v>335.3</v>
      </c>
      <c r="V72" s="7" t="n">
        <v>435.6</v>
      </c>
      <c r="X72" s="7" t="n">
        <v>408.7</v>
      </c>
      <c r="Z72" s="7" t="n">
        <v>414.9</v>
      </c>
      <c r="AB72" s="7" t="n">
        <v>5007</v>
      </c>
    </row>
    <row r="73">
      <c r="A73" s="4" t="inlineStr">
        <is>
          <t>会员费</t>
        </is>
      </c>
      <c r="D73" s="7" t="n">
        <v>302.5</v>
      </c>
      <c r="F73" s="7" t="n">
        <v>238.4</v>
      </c>
      <c r="H73" s="7" t="n">
        <v>364.4</v>
      </c>
      <c r="J73" s="7" t="n">
        <v>339.6</v>
      </c>
      <c r="L73" s="7" t="n">
        <v>596.4</v>
      </c>
      <c r="N73" s="7" t="n">
        <v>604.3</v>
      </c>
      <c r="P73" s="7" t="n">
        <v>684.7</v>
      </c>
      <c r="R73" s="7" t="n">
        <v>543.3</v>
      </c>
      <c r="T73" s="7" t="n">
        <v>508.8</v>
      </c>
      <c r="V73" s="7" t="n">
        <v>689.6</v>
      </c>
      <c r="X73" s="7" t="n">
        <v>498.8</v>
      </c>
      <c r="Z73" s="7" t="n">
        <v>453.2</v>
      </c>
      <c r="AB73" s="7" t="n">
        <v>5824</v>
      </c>
    </row>
    <row r="74">
      <c r="A74" s="4" t="inlineStr">
        <is>
          <t>广告宣传费</t>
        </is>
      </c>
      <c r="D74" s="7" t="n">
        <v>1274.1</v>
      </c>
      <c r="F74" s="7" t="n">
        <v>1076.3</v>
      </c>
      <c r="H74" s="7" t="n">
        <v>1995.4</v>
      </c>
      <c r="J74" s="7" t="n">
        <v>2963</v>
      </c>
      <c r="L74" s="7" t="n">
        <v>4515.8</v>
      </c>
      <c r="N74" s="7" t="n">
        <v>4871.1</v>
      </c>
      <c r="P74" s="7" t="n">
        <v>4016.2</v>
      </c>
      <c r="R74" s="7" t="n">
        <v>2536.7</v>
      </c>
      <c r="T74" s="7" t="n">
        <v>2732.3</v>
      </c>
      <c r="V74" s="7" t="n">
        <v>2550.2</v>
      </c>
      <c r="X74" s="7" t="n">
        <v>4327.6</v>
      </c>
      <c r="Z74" s="7" t="n">
        <v>2779.8</v>
      </c>
      <c r="AB74" s="7" t="n">
        <v>35638.5</v>
      </c>
    </row>
    <row r="75">
      <c r="A75" s="4" t="inlineStr">
        <is>
          <t>会务费</t>
        </is>
      </c>
      <c r="D75" s="7" t="n">
        <v>156.9</v>
      </c>
      <c r="F75" s="7" t="n">
        <v>111.8</v>
      </c>
      <c r="H75" s="7" t="n">
        <v>221.8</v>
      </c>
      <c r="J75" s="7" t="n">
        <v>160.9</v>
      </c>
      <c r="L75" s="7" t="n">
        <v>271.4</v>
      </c>
      <c r="N75" s="7" t="n">
        <v>295.5</v>
      </c>
      <c r="P75" s="7" t="n">
        <v>334.1</v>
      </c>
      <c r="R75" s="7" t="n">
        <v>163.8</v>
      </c>
      <c r="T75" s="7" t="n">
        <v>290.3</v>
      </c>
      <c r="V75" s="7" t="n">
        <v>277.5</v>
      </c>
      <c r="X75" s="7" t="n">
        <v>275.8</v>
      </c>
      <c r="Z75" s="7" t="n">
        <v>202.5</v>
      </c>
      <c r="AB75" s="7" t="n">
        <v>2762.3</v>
      </c>
    </row>
    <row r="76">
      <c r="A76" s="4" t="inlineStr">
        <is>
          <t>装修费</t>
        </is>
      </c>
      <c r="D76" s="7" t="n">
        <v>25.3</v>
      </c>
      <c r="F76" s="7" t="n">
        <v>13.6</v>
      </c>
      <c r="H76" s="7" t="n">
        <v>41.5</v>
      </c>
      <c r="J76" s="7" t="n">
        <v>28.5</v>
      </c>
      <c r="L76" s="7" t="n">
        <v>43.7</v>
      </c>
      <c r="N76" s="7" t="n">
        <v>66.90000000000001</v>
      </c>
      <c r="P76" s="7" t="n">
        <v>80.7</v>
      </c>
      <c r="R76" s="7" t="n">
        <v>42.9</v>
      </c>
      <c r="T76" s="7" t="n">
        <v>40.8</v>
      </c>
      <c r="V76" s="7" t="n">
        <v>56.5</v>
      </c>
      <c r="X76" s="7" t="n">
        <v>63.9</v>
      </c>
      <c r="Z76" s="7" t="n">
        <v>37.9</v>
      </c>
      <c r="AB76" s="7" t="n">
        <v>542.2</v>
      </c>
    </row>
    <row r="77">
      <c r="A77" s="4" t="inlineStr">
        <is>
          <t>推广费</t>
        </is>
      </c>
      <c r="D77" s="7" t="n">
        <v>216.7</v>
      </c>
      <c r="F77" s="7" t="n">
        <v>351.4</v>
      </c>
      <c r="H77" s="7" t="n">
        <v>465.7</v>
      </c>
      <c r="J77" s="7" t="n">
        <v>578.7</v>
      </c>
      <c r="L77" s="7" t="n">
        <v>827.5</v>
      </c>
      <c r="N77" s="7" t="n">
        <v>847.5</v>
      </c>
      <c r="P77" s="7" t="n">
        <v>697.8</v>
      </c>
      <c r="R77" s="7" t="n">
        <v>447.5</v>
      </c>
      <c r="T77" s="7" t="n">
        <v>463.8</v>
      </c>
      <c r="V77" s="7" t="n">
        <v>617.3</v>
      </c>
      <c r="X77" s="7" t="n">
        <v>916.6</v>
      </c>
      <c r="Z77" s="7" t="n">
        <v>464.7</v>
      </c>
      <c r="AB77" s="7" t="n">
        <v>6895.2</v>
      </c>
    </row>
    <row r="78">
      <c r="A78" s="4" t="inlineStr">
        <is>
          <t>展会费</t>
        </is>
      </c>
      <c r="D78" s="7" t="n">
        <v>267.2</v>
      </c>
      <c r="F78" s="7" t="n">
        <v>244.3</v>
      </c>
      <c r="H78" s="7" t="n">
        <v>471.3</v>
      </c>
      <c r="J78" s="7" t="n">
        <v>545.9</v>
      </c>
      <c r="L78" s="7" t="n">
        <v>685.6</v>
      </c>
      <c r="N78" s="7" t="n">
        <v>612.7</v>
      </c>
      <c r="P78" s="7" t="n">
        <v>760.5</v>
      </c>
      <c r="R78" s="7" t="n">
        <v>485.2</v>
      </c>
      <c r="T78" s="7" t="n">
        <v>615.9</v>
      </c>
      <c r="V78" s="7" t="n">
        <v>514.5</v>
      </c>
      <c r="X78" s="7" t="n">
        <v>791.1</v>
      </c>
      <c r="Z78" s="7" t="n">
        <v>411.1</v>
      </c>
      <c r="AB78" s="7" t="n">
        <v>6405.3</v>
      </c>
    </row>
    <row r="79">
      <c r="A79" s="4" t="inlineStr">
        <is>
          <t>设计费</t>
        </is>
      </c>
      <c r="D79" s="7" t="n">
        <v>244.3</v>
      </c>
      <c r="F79" s="7" t="n">
        <v>213.1</v>
      </c>
      <c r="H79" s="7" t="n">
        <v>386.7</v>
      </c>
      <c r="J79" s="7" t="n">
        <v>418.6</v>
      </c>
      <c r="L79" s="7" t="n">
        <v>693.2</v>
      </c>
      <c r="N79" s="7" t="n">
        <v>481.7</v>
      </c>
      <c r="P79" s="7" t="n">
        <v>956.7</v>
      </c>
      <c r="R79" s="7" t="n">
        <v>357.2</v>
      </c>
      <c r="T79" s="7" t="n">
        <v>574.2</v>
      </c>
      <c r="V79" s="7" t="n">
        <v>446.3</v>
      </c>
      <c r="X79" s="7" t="n">
        <v>582</v>
      </c>
      <c r="Z79" s="7" t="n">
        <v>550.4</v>
      </c>
      <c r="AB79" s="7" t="n">
        <v>5904.4</v>
      </c>
    </row>
    <row r="80">
      <c r="A80" s="4" t="inlineStr">
        <is>
          <t>折旧费</t>
        </is>
      </c>
      <c r="D80" s="7" t="n">
        <v>1432.3</v>
      </c>
      <c r="F80" s="7" t="n">
        <v>1906.3</v>
      </c>
      <c r="H80" s="7" t="n">
        <v>4168.3</v>
      </c>
      <c r="J80" s="7" t="n">
        <v>3128.5</v>
      </c>
      <c r="L80" s="7" t="n">
        <v>3908.9</v>
      </c>
      <c r="N80" s="7" t="n">
        <v>5807.3</v>
      </c>
      <c r="P80" s="7" t="n">
        <v>5164.1</v>
      </c>
      <c r="R80" s="7" t="n">
        <v>2594.7</v>
      </c>
      <c r="T80" s="7" t="n">
        <v>3230.6</v>
      </c>
      <c r="V80" s="7" t="n">
        <v>5452.5</v>
      </c>
      <c r="X80" s="7" t="n">
        <v>4668.4</v>
      </c>
      <c r="Z80" s="7" t="n">
        <v>4414.4</v>
      </c>
      <c r="AB80" s="7" t="n">
        <v>45876.3</v>
      </c>
    </row>
    <row r="81">
      <c r="A81" s="4" t="inlineStr">
        <is>
          <t>认证费</t>
        </is>
      </c>
      <c r="D81" s="7" t="n">
        <v>250.5</v>
      </c>
      <c r="F81" s="7" t="n">
        <v>224</v>
      </c>
      <c r="H81" s="7" t="n">
        <v>258.4</v>
      </c>
      <c r="J81" s="7" t="n">
        <v>428.7</v>
      </c>
      <c r="L81" s="7" t="n">
        <v>562.7</v>
      </c>
      <c r="N81" s="7" t="n">
        <v>405</v>
      </c>
      <c r="P81" s="7" t="n">
        <v>556.9</v>
      </c>
      <c r="R81" s="7" t="n">
        <v>382.1</v>
      </c>
      <c r="T81" s="7" t="n">
        <v>457.8</v>
      </c>
      <c r="V81" s="7" t="n">
        <v>580.3</v>
      </c>
      <c r="X81" s="7" t="n">
        <v>439.7</v>
      </c>
      <c r="Z81" s="7" t="n">
        <v>354.2</v>
      </c>
      <c r="AB81" s="7" t="n">
        <v>4900.3</v>
      </c>
    </row>
    <row r="82">
      <c r="A82" s="4" t="inlineStr">
        <is>
          <t>样品费</t>
        </is>
      </c>
      <c r="D82" s="7" t="n">
        <v>834.3</v>
      </c>
      <c r="F82" s="7" t="n">
        <v>688</v>
      </c>
      <c r="H82" s="7" t="n">
        <v>1871.5</v>
      </c>
      <c r="J82" s="7" t="n">
        <v>1843.8</v>
      </c>
      <c r="L82" s="7" t="n">
        <v>3140.7</v>
      </c>
      <c r="N82" s="7" t="n">
        <v>2524.9</v>
      </c>
      <c r="P82" s="7" t="n">
        <v>4024.5</v>
      </c>
      <c r="R82" s="7" t="n">
        <v>2014.9</v>
      </c>
      <c r="T82" s="7" t="n">
        <v>2331.6</v>
      </c>
      <c r="V82" s="7" t="n">
        <v>1656.5</v>
      </c>
      <c r="X82" s="7" t="n">
        <v>2474.3</v>
      </c>
      <c r="Z82" s="7" t="n">
        <v>1427.8</v>
      </c>
      <c r="AB82" s="7" t="n">
        <v>24832.8</v>
      </c>
    </row>
    <row r="83">
      <c r="A83" s="4" t="inlineStr">
        <is>
          <t>劳务费</t>
        </is>
      </c>
      <c r="D83" s="7" t="n">
        <v>127.3</v>
      </c>
      <c r="F83" s="7" t="n">
        <v>181.4</v>
      </c>
      <c r="H83" s="7" t="n">
        <v>385.8</v>
      </c>
      <c r="J83" s="7" t="n">
        <v>352.5</v>
      </c>
      <c r="L83" s="7" t="n">
        <v>488</v>
      </c>
      <c r="N83" s="7" t="n">
        <v>383</v>
      </c>
      <c r="P83" s="7" t="n">
        <v>670.5</v>
      </c>
      <c r="R83" s="7" t="n">
        <v>416.2</v>
      </c>
      <c r="T83" s="7" t="n">
        <v>372.4</v>
      </c>
      <c r="V83" s="7" t="n">
        <v>452.6</v>
      </c>
      <c r="X83" s="7" t="n">
        <v>380</v>
      </c>
      <c r="Z83" s="7" t="n">
        <v>384</v>
      </c>
      <c r="AB83" s="7" t="n">
        <v>4593.7</v>
      </c>
    </row>
    <row r="84">
      <c r="A84" s="4" t="inlineStr">
        <is>
          <t>销售佣金</t>
        </is>
      </c>
      <c r="D84" s="7" t="n">
        <v>53.8</v>
      </c>
      <c r="F84" s="7" t="n">
        <v>53.3</v>
      </c>
      <c r="H84" s="7" t="n">
        <v>148.9</v>
      </c>
      <c r="J84" s="7" t="n">
        <v>101.9</v>
      </c>
      <c r="L84" s="7" t="n">
        <v>168.4</v>
      </c>
      <c r="N84" s="7" t="n">
        <v>143.8</v>
      </c>
      <c r="P84" s="7" t="n">
        <v>231.4</v>
      </c>
      <c r="R84" s="7" t="n">
        <v>140.8</v>
      </c>
      <c r="T84" s="7" t="n">
        <v>104.4</v>
      </c>
      <c r="V84" s="7" t="n">
        <v>190</v>
      </c>
      <c r="X84" s="7" t="n">
        <v>215.1</v>
      </c>
      <c r="Z84" s="7" t="n">
        <v>120.4</v>
      </c>
      <c r="AB84" s="7" t="n">
        <v>1672.2</v>
      </c>
    </row>
    <row r="85">
      <c r="A85" s="4" t="inlineStr">
        <is>
          <t>检测费</t>
        </is>
      </c>
      <c r="D85" s="7" t="n">
        <v>276.3</v>
      </c>
      <c r="F85" s="7" t="n">
        <v>256.1</v>
      </c>
      <c r="H85" s="7" t="n">
        <v>385.7</v>
      </c>
      <c r="J85" s="7" t="n">
        <v>447.5</v>
      </c>
      <c r="L85" s="7" t="n">
        <v>744.6</v>
      </c>
      <c r="N85" s="7" t="n">
        <v>501.3</v>
      </c>
      <c r="P85" s="7" t="n">
        <v>714.3</v>
      </c>
      <c r="R85" s="7" t="n">
        <v>340.8</v>
      </c>
      <c r="T85" s="7" t="n">
        <v>338.4</v>
      </c>
      <c r="V85" s="7" t="n">
        <v>435.2</v>
      </c>
      <c r="X85" s="7" t="n">
        <v>738.4</v>
      </c>
      <c r="Z85" s="7" t="n">
        <v>402.7</v>
      </c>
      <c r="AB85" s="7" t="n">
        <v>5581.3</v>
      </c>
    </row>
    <row r="86">
      <c r="A86" s="4" t="inlineStr">
        <is>
          <t>质量赔偿</t>
        </is>
      </c>
      <c r="D86" s="7" t="n">
        <v>21.3</v>
      </c>
      <c r="F86" s="7" t="n">
        <v>17.8</v>
      </c>
      <c r="H86" s="7" t="n">
        <v>42.8</v>
      </c>
      <c r="J86" s="7" t="n">
        <v>43.3</v>
      </c>
      <c r="L86" s="7" t="n">
        <v>77.90000000000001</v>
      </c>
      <c r="N86" s="7" t="n">
        <v>56.5</v>
      </c>
      <c r="P86" s="7" t="n">
        <v>97.5</v>
      </c>
      <c r="R86" s="7" t="n">
        <v>53.7</v>
      </c>
      <c r="T86" s="7" t="n">
        <v>64.7</v>
      </c>
      <c r="V86" s="7" t="n">
        <v>61.7</v>
      </c>
      <c r="X86" s="7" t="n">
        <v>85.2</v>
      </c>
      <c r="Z86" s="7" t="n">
        <v>50</v>
      </c>
      <c r="AB86" s="7" t="n">
        <v>672.4</v>
      </c>
    </row>
    <row r="87">
      <c r="A87" s="4" t="inlineStr">
        <is>
          <t>保险费</t>
        </is>
      </c>
      <c r="D87" s="7" t="n">
        <v>319.3</v>
      </c>
      <c r="F87" s="7" t="n">
        <v>243.5</v>
      </c>
      <c r="H87" s="7" t="n">
        <v>496.9</v>
      </c>
      <c r="J87" s="7" t="n">
        <v>612.2</v>
      </c>
      <c r="L87" s="7" t="n">
        <v>833.4</v>
      </c>
      <c r="N87" s="7" t="n">
        <v>878.5</v>
      </c>
      <c r="P87" s="7" t="n">
        <v>812.6</v>
      </c>
      <c r="R87" s="7" t="n">
        <v>523.2</v>
      </c>
      <c r="T87" s="7" t="n">
        <v>479.2</v>
      </c>
      <c r="V87" s="7" t="n">
        <v>826.2</v>
      </c>
      <c r="X87" s="7" t="n">
        <v>752.9</v>
      </c>
      <c r="Z87" s="7" t="n">
        <v>478.2</v>
      </c>
      <c r="AB87" s="7" t="n">
        <v>7256.1</v>
      </c>
    </row>
    <row r="88">
      <c r="A88" s="4" t="inlineStr">
        <is>
          <t>清洁费</t>
        </is>
      </c>
      <c r="D88" s="7" t="n">
        <v>240.4</v>
      </c>
      <c r="F88" s="7" t="n">
        <v>201.5</v>
      </c>
      <c r="H88" s="7" t="n">
        <v>387.2</v>
      </c>
      <c r="J88" s="7" t="n">
        <v>263.6</v>
      </c>
      <c r="L88" s="7" t="n">
        <v>436.2</v>
      </c>
      <c r="N88" s="7" t="n">
        <v>587.7</v>
      </c>
      <c r="P88" s="7" t="n">
        <v>604.6</v>
      </c>
      <c r="R88" s="7" t="n">
        <v>256.7</v>
      </c>
      <c r="T88" s="7" t="n">
        <v>394.4</v>
      </c>
      <c r="V88" s="7" t="n">
        <v>510.3</v>
      </c>
      <c r="X88" s="7" t="n">
        <v>380.9</v>
      </c>
      <c r="Z88" s="7" t="n">
        <v>248.1</v>
      </c>
      <c r="AB88" s="7" t="n">
        <v>4511.6</v>
      </c>
    </row>
    <row r="89">
      <c r="A89" s="4" t="inlineStr">
        <is>
          <t>低值易耗品</t>
        </is>
      </c>
      <c r="D89" s="7" t="n">
        <v>237.4</v>
      </c>
      <c r="F89" s="7" t="n">
        <v>252.3</v>
      </c>
      <c r="H89" s="7" t="n">
        <v>405.9</v>
      </c>
      <c r="J89" s="7" t="n">
        <v>367</v>
      </c>
      <c r="L89" s="7" t="n">
        <v>658.6</v>
      </c>
      <c r="N89" s="7" t="n">
        <v>692.2</v>
      </c>
      <c r="P89" s="7" t="n">
        <v>893.4</v>
      </c>
      <c r="R89" s="7" t="n">
        <v>302.6</v>
      </c>
      <c r="T89" s="7" t="n">
        <v>369.3</v>
      </c>
      <c r="V89" s="7" t="n">
        <v>645.4</v>
      </c>
      <c r="X89" s="7" t="n">
        <v>703.6</v>
      </c>
      <c r="Z89" s="7" t="n">
        <v>347.8</v>
      </c>
      <c r="AB89" s="7" t="n">
        <v>5875.5</v>
      </c>
    </row>
    <row r="90">
      <c r="A90" s="4" t="inlineStr">
        <is>
          <t>物料消耗</t>
        </is>
      </c>
      <c r="D90" s="7" t="n">
        <v>19.5</v>
      </c>
      <c r="F90" s="7" t="n">
        <v>14.7</v>
      </c>
      <c r="H90" s="7" t="n">
        <v>20.1</v>
      </c>
      <c r="J90" s="7" t="n">
        <v>27.6</v>
      </c>
      <c r="L90" s="7" t="n">
        <v>31.2</v>
      </c>
      <c r="N90" s="7" t="n">
        <v>42.9</v>
      </c>
      <c r="P90" s="7" t="n">
        <v>39.1</v>
      </c>
      <c r="R90" s="7" t="n">
        <v>24.4</v>
      </c>
      <c r="T90" s="7" t="n">
        <v>32.4</v>
      </c>
      <c r="V90" s="7" t="n">
        <v>43.4</v>
      </c>
      <c r="X90" s="7" t="n">
        <v>29.8</v>
      </c>
      <c r="Z90" s="7" t="n">
        <v>28.2</v>
      </c>
      <c r="AB90" s="7" t="n">
        <v>353.3</v>
      </c>
    </row>
    <row r="91">
      <c r="A91" s="4" t="inlineStr">
        <is>
          <t>盘盈盘亏</t>
        </is>
      </c>
      <c r="D91" s="7" t="n">
        <v>207.4</v>
      </c>
      <c r="F91" s="7" t="n">
        <v>277.3</v>
      </c>
      <c r="H91" s="7" t="n">
        <v>498.5</v>
      </c>
      <c r="J91" s="7" t="n">
        <v>335.7</v>
      </c>
      <c r="L91" s="7" t="n">
        <v>541.9</v>
      </c>
      <c r="N91" s="7" t="n">
        <v>673.9</v>
      </c>
      <c r="P91" s="7" t="n">
        <v>813.6</v>
      </c>
      <c r="R91" s="7" t="n">
        <v>507.9</v>
      </c>
      <c r="T91" s="7" t="n">
        <v>388.8</v>
      </c>
      <c r="V91" s="7" t="n">
        <v>692.2</v>
      </c>
      <c r="X91" s="7" t="n">
        <v>662.3</v>
      </c>
      <c r="Z91" s="7" t="n">
        <v>519.3</v>
      </c>
      <c r="AB91" s="7" t="n">
        <v>6118.8</v>
      </c>
    </row>
    <row r="92">
      <c r="A92" s="4" t="inlineStr">
        <is>
          <t>平台服务费</t>
        </is>
      </c>
      <c r="D92" s="7" t="n">
        <v>283</v>
      </c>
      <c r="F92" s="7" t="n">
        <v>201.5</v>
      </c>
      <c r="H92" s="7" t="n">
        <v>373</v>
      </c>
      <c r="J92" s="7" t="n">
        <v>378.1</v>
      </c>
      <c r="L92" s="7" t="n">
        <v>894.6</v>
      </c>
      <c r="N92" s="7" t="n">
        <v>590.9</v>
      </c>
      <c r="P92" s="7" t="n">
        <v>1199.1</v>
      </c>
      <c r="R92" s="7" t="n">
        <v>400.1</v>
      </c>
      <c r="T92" s="7" t="n">
        <v>550.2</v>
      </c>
      <c r="V92" s="7" t="n">
        <v>819</v>
      </c>
      <c r="X92" s="7" t="n">
        <v>952.1</v>
      </c>
      <c r="Z92" s="7" t="n">
        <v>583.4</v>
      </c>
      <c r="AB92" s="7" t="n">
        <v>7225</v>
      </c>
    </row>
    <row r="93">
      <c r="A93" s="4" t="inlineStr">
        <is>
          <t>无形资产摊销</t>
        </is>
      </c>
      <c r="D93" s="7" t="n">
        <v>21.2</v>
      </c>
      <c r="F93" s="7" t="n">
        <v>29.6</v>
      </c>
      <c r="H93" s="7" t="n">
        <v>33.3</v>
      </c>
      <c r="J93" s="7" t="n">
        <v>51.4</v>
      </c>
      <c r="L93" s="7" t="n">
        <v>69.3</v>
      </c>
      <c r="N93" s="7" t="n">
        <v>63.5</v>
      </c>
      <c r="P93" s="7" t="n">
        <v>98.7</v>
      </c>
      <c r="R93" s="7" t="n">
        <v>53.3</v>
      </c>
      <c r="T93" s="7" t="n">
        <v>54.5</v>
      </c>
      <c r="V93" s="7" t="n">
        <v>66.8</v>
      </c>
      <c r="X93" s="7" t="n">
        <v>86.5</v>
      </c>
      <c r="Z93" s="7" t="n">
        <v>41</v>
      </c>
      <c r="AB93" s="7" t="n">
        <v>669.1</v>
      </c>
    </row>
    <row r="94">
      <c r="A94" s="4" t="inlineStr">
        <is>
          <t>研发材料</t>
        </is>
      </c>
      <c r="D94" s="7" t="n">
        <v>249.8</v>
      </c>
      <c r="F94" s="7" t="n">
        <v>189.9</v>
      </c>
      <c r="H94" s="7" t="n">
        <v>312.2</v>
      </c>
      <c r="J94" s="7" t="n">
        <v>312.8</v>
      </c>
      <c r="L94" s="7" t="n">
        <v>438.5</v>
      </c>
      <c r="N94" s="7" t="n">
        <v>575.3</v>
      </c>
      <c r="P94" s="7" t="n">
        <v>540.1</v>
      </c>
      <c r="R94" s="7" t="n">
        <v>415.2</v>
      </c>
      <c r="T94" s="7" t="n">
        <v>426.9</v>
      </c>
      <c r="V94" s="7" t="n">
        <v>419</v>
      </c>
      <c r="X94" s="7" t="n">
        <v>551.3</v>
      </c>
      <c r="Z94" s="7" t="n">
        <v>436.1</v>
      </c>
      <c r="AB94" s="7" t="n">
        <v>4867.1</v>
      </c>
    </row>
    <row r="95">
      <c r="A95" s="4" t="inlineStr">
        <is>
          <t>项目名称</t>
        </is>
      </c>
      <c r="D95" s="7" t="n">
        <v>56.8</v>
      </c>
      <c r="F95" s="7" t="n">
        <v>37.1</v>
      </c>
      <c r="H95" s="7" t="n">
        <v>85.90000000000001</v>
      </c>
      <c r="J95" s="7" t="n">
        <v>58.1</v>
      </c>
      <c r="L95" s="7" t="n">
        <v>114.5</v>
      </c>
      <c r="N95" s="7" t="n">
        <v>90.8</v>
      </c>
      <c r="P95" s="7" t="n">
        <v>147.4</v>
      </c>
      <c r="R95" s="7" t="n">
        <v>60.5</v>
      </c>
      <c r="T95" s="7" t="n">
        <v>99</v>
      </c>
      <c r="V95" s="7" t="n">
        <v>75.5</v>
      </c>
      <c r="X95" s="7" t="n">
        <v>104.4</v>
      </c>
      <c r="Z95" s="7" t="n">
        <v>71.3</v>
      </c>
      <c r="AB95" s="7" t="n">
        <v>1001.3</v>
      </c>
    </row>
    <row r="96">
      <c r="A96" s="4" t="inlineStr">
        <is>
          <t>研发费</t>
        </is>
      </c>
      <c r="D96" s="7" t="n">
        <v>98.7</v>
      </c>
      <c r="F96" s="7" t="n">
        <v>89.3</v>
      </c>
      <c r="H96" s="7" t="n">
        <v>185.3</v>
      </c>
      <c r="J96" s="7" t="n">
        <v>186.9</v>
      </c>
      <c r="L96" s="7" t="n">
        <v>267.1</v>
      </c>
      <c r="N96" s="7" t="n">
        <v>298.6</v>
      </c>
      <c r="P96" s="7" t="n">
        <v>296</v>
      </c>
      <c r="R96" s="7" t="n">
        <v>153</v>
      </c>
      <c r="T96" s="7" t="n">
        <v>184.6</v>
      </c>
      <c r="V96" s="7" t="n">
        <v>206.5</v>
      </c>
      <c r="X96" s="7" t="n">
        <v>249.6</v>
      </c>
      <c r="Z96" s="7" t="n">
        <v>211.7</v>
      </c>
      <c r="AB96" s="7" t="n">
        <v>2427.3</v>
      </c>
    </row>
    <row r="97">
      <c r="A97" s="4" t="inlineStr">
        <is>
          <t>残保金</t>
        </is>
      </c>
      <c r="D97" s="7" t="n">
        <v>138</v>
      </c>
      <c r="F97" s="7" t="n">
        <v>120.9</v>
      </c>
      <c r="H97" s="7" t="n">
        <v>180.1</v>
      </c>
      <c r="J97" s="7" t="n">
        <v>141.2</v>
      </c>
      <c r="L97" s="7" t="n">
        <v>338.9</v>
      </c>
      <c r="N97" s="7" t="n">
        <v>328</v>
      </c>
      <c r="P97" s="7" t="n">
        <v>273</v>
      </c>
      <c r="R97" s="7" t="n">
        <v>169.5</v>
      </c>
      <c r="T97" s="7" t="n">
        <v>214.9</v>
      </c>
      <c r="V97" s="7" t="n">
        <v>317.6</v>
      </c>
      <c r="X97" s="7" t="n">
        <v>306.8</v>
      </c>
      <c r="Z97" s="7" t="n">
        <v>219.2</v>
      </c>
      <c r="AB97" s="7" t="n">
        <v>2748.1</v>
      </c>
    </row>
    <row r="98">
      <c r="A98" s="4" t="inlineStr">
        <is>
          <t>环保费</t>
        </is>
      </c>
      <c r="D98" s="7" t="n">
        <v>176.4</v>
      </c>
      <c r="F98" s="7" t="n">
        <v>238.3</v>
      </c>
      <c r="H98" s="7" t="n">
        <v>452.2</v>
      </c>
      <c r="J98" s="7" t="n">
        <v>528.1</v>
      </c>
      <c r="L98" s="7" t="n">
        <v>809.3</v>
      </c>
      <c r="N98" s="7" t="n">
        <v>531.3</v>
      </c>
      <c r="P98" s="7" t="n">
        <v>591.8</v>
      </c>
      <c r="R98" s="7" t="n">
        <v>379.8</v>
      </c>
      <c r="T98" s="7" t="n">
        <v>355.2</v>
      </c>
      <c r="V98" s="7" t="n">
        <v>434.7</v>
      </c>
      <c r="X98" s="7" t="n">
        <v>595.3</v>
      </c>
      <c r="Z98" s="7" t="n">
        <v>527.9</v>
      </c>
      <c r="AB98" s="7" t="n">
        <v>5620.3</v>
      </c>
    </row>
    <row r="99">
      <c r="A99" s="4" t="inlineStr">
        <is>
          <t>报废损失</t>
        </is>
      </c>
      <c r="D99" s="7" t="n">
        <v>40.6</v>
      </c>
      <c r="F99" s="7" t="n">
        <v>35.6</v>
      </c>
      <c r="H99" s="7" t="n">
        <v>46.4</v>
      </c>
      <c r="J99" s="7" t="n">
        <v>71</v>
      </c>
      <c r="L99" s="7" t="n">
        <v>87.09999999999999</v>
      </c>
      <c r="N99" s="7" t="n">
        <v>125.7</v>
      </c>
      <c r="P99" s="7" t="n">
        <v>102.1</v>
      </c>
      <c r="R99" s="7" t="n">
        <v>88.5</v>
      </c>
      <c r="T99" s="7" t="n">
        <v>77</v>
      </c>
      <c r="V99" s="7" t="n">
        <v>111.8</v>
      </c>
      <c r="X99" s="7" t="n">
        <v>101.5</v>
      </c>
      <c r="Z99" s="7" t="n">
        <v>64.40000000000001</v>
      </c>
      <c r="AB99" s="7" t="n">
        <v>951.7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35854.6</v>
      </c>
      <c r="D100" s="7" t="n">
        <v>28444.3</v>
      </c>
      <c r="E100" s="7" t="n">
        <v>32605.9</v>
      </c>
      <c r="F100" s="7" t="n">
        <v>28078.6</v>
      </c>
      <c r="G100" s="7" t="n">
        <v>30100.4</v>
      </c>
      <c r="H100" s="7" t="n">
        <v>19820.7</v>
      </c>
      <c r="I100" s="7" t="n">
        <v>30946.7</v>
      </c>
      <c r="J100" s="7" t="n">
        <v>27831.3</v>
      </c>
      <c r="K100" s="7" t="n">
        <v>32728.3</v>
      </c>
      <c r="L100" s="7" t="n">
        <v>29795.7</v>
      </c>
      <c r="M100" s="7" t="n">
        <v>35718.2</v>
      </c>
      <c r="N100" s="7" t="n">
        <v>32024.5</v>
      </c>
      <c r="O100" s="7" t="n">
        <v>32209.7</v>
      </c>
      <c r="P100" s="7" t="n">
        <v>66351</v>
      </c>
      <c r="Q100" s="7" t="n">
        <v>35801</v>
      </c>
      <c r="R100" s="7" t="n">
        <v>42550</v>
      </c>
      <c r="S100" s="7" t="n">
        <v>33820</v>
      </c>
      <c r="T100" s="7" t="n">
        <v>29917.3</v>
      </c>
      <c r="U100" s="7" t="n">
        <v>30656.5</v>
      </c>
      <c r="V100" s="7" t="n">
        <v>30601.3</v>
      </c>
      <c r="W100" s="7" t="n">
        <v>31619.4</v>
      </c>
      <c r="X100" s="7" t="n">
        <v>37641.1</v>
      </c>
      <c r="Y100" s="7" t="n">
        <v>36334.9</v>
      </c>
      <c r="Z100" s="7" t="n">
        <v>29365.6</v>
      </c>
      <c r="AA100" s="8" t="n">
        <v>398395.6</v>
      </c>
      <c r="AB100" s="8" t="n">
        <v>402421.4</v>
      </c>
    </row>
    <row r="101">
      <c r="A101" s="4" t="inlineStr">
        <is>
          <t>职工薪酬</t>
        </is>
      </c>
      <c r="D101" s="7" t="n">
        <v>12373.6</v>
      </c>
      <c r="F101" s="7" t="n">
        <v>15862.9</v>
      </c>
      <c r="H101" s="7" t="n">
        <v>9763.4</v>
      </c>
      <c r="J101" s="7" t="n">
        <v>15345.4</v>
      </c>
      <c r="L101" s="7" t="n">
        <v>14036.1</v>
      </c>
      <c r="N101" s="7" t="n">
        <v>19501.1</v>
      </c>
      <c r="P101" s="7" t="n">
        <v>37750.5</v>
      </c>
      <c r="R101" s="7" t="n">
        <v>17839.3</v>
      </c>
      <c r="T101" s="7" t="n">
        <v>12326.4</v>
      </c>
      <c r="V101" s="7" t="n">
        <v>15260.9</v>
      </c>
      <c r="X101" s="7" t="n">
        <v>17156.5</v>
      </c>
      <c r="Z101" s="7" t="n">
        <v>15030.4</v>
      </c>
      <c r="AB101" s="7" t="n">
        <v>202246.5</v>
      </c>
    </row>
    <row r="102">
      <c r="A102" s="4" t="inlineStr">
        <is>
          <t>工资</t>
        </is>
      </c>
      <c r="D102" s="7" t="n">
        <v>7146.2</v>
      </c>
      <c r="F102" s="7" t="n">
        <v>9311.9</v>
      </c>
      <c r="H102" s="7" t="n">
        <v>5375.1</v>
      </c>
      <c r="J102" s="7" t="n">
        <v>9267.1</v>
      </c>
      <c r="L102" s="7" t="n">
        <v>7833</v>
      </c>
      <c r="N102" s="7" t="n">
        <v>12254.5</v>
      </c>
      <c r="P102" s="7" t="n">
        <v>24819.1</v>
      </c>
      <c r="R102" s="7" t="n">
        <v>9113.700000000001</v>
      </c>
      <c r="T102" s="7" t="n">
        <v>6738.3</v>
      </c>
      <c r="V102" s="7" t="n">
        <v>8504.4</v>
      </c>
      <c r="X102" s="7" t="n">
        <v>10690.6</v>
      </c>
      <c r="Z102" s="7" t="n">
        <v>7645.7</v>
      </c>
      <c r="AB102" s="7" t="n">
        <v>118699.6</v>
      </c>
    </row>
    <row r="103">
      <c r="A103" s="4" t="inlineStr">
        <is>
          <t>奖金及提成</t>
        </is>
      </c>
      <c r="D103" s="7" t="n">
        <v>2487.1</v>
      </c>
      <c r="F103" s="7" t="n">
        <v>2935.4</v>
      </c>
      <c r="H103" s="7" t="n">
        <v>2356.4</v>
      </c>
      <c r="J103" s="7" t="n">
        <v>2791.8</v>
      </c>
      <c r="L103" s="7" t="n">
        <v>3726.9</v>
      </c>
      <c r="N103" s="7" t="n">
        <v>3725.2</v>
      </c>
      <c r="P103" s="7" t="n">
        <v>7553.8</v>
      </c>
      <c r="R103" s="7" t="n">
        <v>3919</v>
      </c>
      <c r="T103" s="7" t="n">
        <v>3092.4</v>
      </c>
      <c r="V103" s="7" t="n">
        <v>3061.9</v>
      </c>
      <c r="X103" s="7" t="n">
        <v>3037.9</v>
      </c>
      <c r="Z103" s="7" t="n">
        <v>3786.3</v>
      </c>
      <c r="AB103" s="7" t="n">
        <v>42474.1</v>
      </c>
    </row>
    <row r="104">
      <c r="A104" s="4" t="inlineStr">
        <is>
          <t>社保</t>
        </is>
      </c>
      <c r="D104" s="7" t="n">
        <v>2045.6</v>
      </c>
      <c r="F104" s="7" t="n">
        <v>2883.1</v>
      </c>
      <c r="H104" s="7" t="n">
        <v>1553</v>
      </c>
      <c r="J104" s="7" t="n">
        <v>2669.7</v>
      </c>
      <c r="L104" s="7" t="n">
        <v>1756.6</v>
      </c>
      <c r="N104" s="7" t="n">
        <v>2851.3</v>
      </c>
      <c r="P104" s="7" t="n">
        <v>3835.2</v>
      </c>
      <c r="R104" s="7" t="n">
        <v>3785.6</v>
      </c>
      <c r="T104" s="7" t="n">
        <v>1758</v>
      </c>
      <c r="V104" s="7" t="n">
        <v>2966.6</v>
      </c>
      <c r="X104" s="7" t="n">
        <v>2539.4</v>
      </c>
      <c r="Z104" s="7" t="n">
        <v>2936.3</v>
      </c>
      <c r="AB104" s="7" t="n">
        <v>31580.4</v>
      </c>
    </row>
    <row r="105">
      <c r="A105" s="4" t="inlineStr">
        <is>
          <t>养老</t>
        </is>
      </c>
      <c r="D105" s="7" t="n">
        <v>45.2</v>
      </c>
      <c r="F105" s="7" t="n">
        <v>35.1</v>
      </c>
      <c r="H105" s="7" t="n">
        <v>32.5</v>
      </c>
      <c r="J105" s="7" t="n">
        <v>32.6</v>
      </c>
      <c r="L105" s="7" t="n">
        <v>36.3</v>
      </c>
      <c r="N105" s="7" t="n">
        <v>49.4</v>
      </c>
      <c r="P105" s="7" t="n">
        <v>85.2</v>
      </c>
      <c r="R105" s="7" t="n">
        <v>48.6</v>
      </c>
      <c r="T105" s="7" t="n">
        <v>32.2</v>
      </c>
      <c r="V105" s="7" t="n">
        <v>31.9</v>
      </c>
      <c r="X105" s="7" t="n">
        <v>39</v>
      </c>
      <c r="Z105" s="7" t="n">
        <v>42.6</v>
      </c>
      <c r="AB105" s="7" t="n">
        <v>510.6</v>
      </c>
    </row>
    <row r="106">
      <c r="A106" s="4" t="inlineStr">
        <is>
          <t>医疗</t>
        </is>
      </c>
      <c r="D106" s="7" t="n">
        <v>111.2</v>
      </c>
      <c r="F106" s="7" t="n">
        <v>113.6</v>
      </c>
      <c r="H106" s="7" t="n">
        <v>70.2</v>
      </c>
      <c r="J106" s="7" t="n">
        <v>102.2</v>
      </c>
      <c r="L106" s="7" t="n">
        <v>84.2</v>
      </c>
      <c r="N106" s="7" t="n">
        <v>116.7</v>
      </c>
      <c r="P106" s="7" t="n">
        <v>246.9</v>
      </c>
      <c r="R106" s="7" t="n">
        <v>120.2</v>
      </c>
      <c r="T106" s="7" t="n">
        <v>85.7</v>
      </c>
      <c r="V106" s="7" t="n">
        <v>99.59999999999999</v>
      </c>
      <c r="X106" s="7" t="n">
        <v>116.1</v>
      </c>
      <c r="Z106" s="7" t="n">
        <v>84.7</v>
      </c>
      <c r="AB106" s="7" t="n">
        <v>1351.3</v>
      </c>
    </row>
    <row r="107">
      <c r="A107" s="4" t="inlineStr">
        <is>
          <t>工伤</t>
        </is>
      </c>
      <c r="D107" s="7" t="n">
        <v>199.6</v>
      </c>
      <c r="F107" s="7" t="n">
        <v>184.2</v>
      </c>
      <c r="H107" s="7" t="n">
        <v>146.1</v>
      </c>
      <c r="J107" s="7" t="n">
        <v>201.4</v>
      </c>
      <c r="L107" s="7" t="n">
        <v>184</v>
      </c>
      <c r="N107" s="7" t="n">
        <v>185.8</v>
      </c>
      <c r="P107" s="7" t="n">
        <v>443.4</v>
      </c>
      <c r="R107" s="7" t="n">
        <v>220.7</v>
      </c>
      <c r="T107" s="7" t="n">
        <v>161.6</v>
      </c>
      <c r="V107" s="7" t="n">
        <v>173</v>
      </c>
      <c r="X107" s="7" t="n">
        <v>217.9</v>
      </c>
      <c r="Z107" s="7" t="n">
        <v>160.5</v>
      </c>
      <c r="AB107" s="7" t="n">
        <v>2478.2</v>
      </c>
    </row>
    <row r="108">
      <c r="A108" s="4" t="inlineStr">
        <is>
          <t>失业</t>
        </is>
      </c>
      <c r="D108" s="7" t="n">
        <v>125.6</v>
      </c>
      <c r="F108" s="7" t="n">
        <v>125.7</v>
      </c>
      <c r="H108" s="7" t="n">
        <v>50.7</v>
      </c>
      <c r="J108" s="7" t="n">
        <v>81.8</v>
      </c>
      <c r="L108" s="7" t="n">
        <v>128.7</v>
      </c>
      <c r="N108" s="7" t="n">
        <v>150.7</v>
      </c>
      <c r="P108" s="7" t="n">
        <v>172.5</v>
      </c>
      <c r="R108" s="7" t="n">
        <v>117.8</v>
      </c>
      <c r="T108" s="7" t="n">
        <v>126.5</v>
      </c>
      <c r="V108" s="7" t="n">
        <v>85.09999999999999</v>
      </c>
      <c r="X108" s="7" t="n">
        <v>105.9</v>
      </c>
      <c r="Z108" s="7" t="n">
        <v>112.6</v>
      </c>
      <c r="AB108" s="7" t="n">
        <v>1383.6</v>
      </c>
    </row>
    <row r="109">
      <c r="A109" s="4" t="inlineStr">
        <is>
          <t>生育</t>
        </is>
      </c>
      <c r="D109" s="7" t="n">
        <v>146</v>
      </c>
      <c r="F109" s="7" t="n">
        <v>157.7</v>
      </c>
      <c r="H109" s="7" t="n">
        <v>118.1</v>
      </c>
      <c r="J109" s="7" t="n">
        <v>189.2</v>
      </c>
      <c r="L109" s="7" t="n">
        <v>155</v>
      </c>
      <c r="N109" s="7" t="n">
        <v>168.9</v>
      </c>
      <c r="P109" s="7" t="n">
        <v>517.7</v>
      </c>
      <c r="R109" s="7" t="n">
        <v>199.1</v>
      </c>
      <c r="T109" s="7" t="n">
        <v>205.8</v>
      </c>
      <c r="V109" s="7" t="n">
        <v>176.1</v>
      </c>
      <c r="X109" s="7" t="n">
        <v>160.1</v>
      </c>
      <c r="Z109" s="7" t="n">
        <v>190.9</v>
      </c>
      <c r="AB109" s="7" t="n">
        <v>2384.6</v>
      </c>
    </row>
    <row r="110">
      <c r="A110" s="4" t="inlineStr">
        <is>
          <t>公积金</t>
        </is>
      </c>
      <c r="D110" s="7" t="n">
        <v>36.7</v>
      </c>
      <c r="F110" s="7" t="n">
        <v>46.2</v>
      </c>
      <c r="H110" s="7" t="n">
        <v>21.7</v>
      </c>
      <c r="J110" s="7" t="n">
        <v>28.7</v>
      </c>
      <c r="L110" s="7" t="n">
        <v>37</v>
      </c>
      <c r="N110" s="7" t="n">
        <v>33.3</v>
      </c>
      <c r="P110" s="7" t="n">
        <v>72</v>
      </c>
      <c r="R110" s="7" t="n">
        <v>60.6</v>
      </c>
      <c r="T110" s="7" t="n">
        <v>48.8</v>
      </c>
      <c r="V110" s="7" t="n">
        <v>37.4</v>
      </c>
      <c r="X110" s="7" t="n">
        <v>54</v>
      </c>
      <c r="Z110" s="7" t="n">
        <v>34.4</v>
      </c>
      <c r="AB110" s="7" t="n">
        <v>510.8</v>
      </c>
    </row>
    <row r="111">
      <c r="A111" s="4" t="inlineStr">
        <is>
          <t>工会经费</t>
        </is>
      </c>
      <c r="D111" s="7" t="n">
        <v>73</v>
      </c>
      <c r="F111" s="7" t="n">
        <v>87.90000000000001</v>
      </c>
      <c r="H111" s="7" t="n">
        <v>54.3</v>
      </c>
      <c r="J111" s="7" t="n">
        <v>83.59999999999999</v>
      </c>
      <c r="L111" s="7" t="n">
        <v>73.3</v>
      </c>
      <c r="N111" s="7" t="n">
        <v>66.90000000000001</v>
      </c>
      <c r="P111" s="7" t="n">
        <v>195.8</v>
      </c>
      <c r="R111" s="7" t="n">
        <v>140.1</v>
      </c>
      <c r="T111" s="7" t="n">
        <v>82.90000000000001</v>
      </c>
      <c r="V111" s="7" t="n">
        <v>79.90000000000001</v>
      </c>
      <c r="X111" s="7" t="n">
        <v>72.90000000000001</v>
      </c>
      <c r="Z111" s="7" t="n">
        <v>74.2</v>
      </c>
      <c r="AB111" s="7" t="n">
        <v>1084.8</v>
      </c>
    </row>
    <row r="112">
      <c r="A112" s="4" t="inlineStr">
        <is>
          <t>职工教育经费</t>
        </is>
      </c>
      <c r="D112" s="7" t="n">
        <v>59.5</v>
      </c>
      <c r="F112" s="7" t="n">
        <v>46.6</v>
      </c>
      <c r="H112" s="7" t="n">
        <v>54.9</v>
      </c>
      <c r="J112" s="7" t="n">
        <v>68.3</v>
      </c>
      <c r="L112" s="7" t="n">
        <v>79.5</v>
      </c>
      <c r="N112" s="7" t="n">
        <v>61.7</v>
      </c>
      <c r="P112" s="7" t="n">
        <v>147.6</v>
      </c>
      <c r="R112" s="7" t="n">
        <v>88.3</v>
      </c>
      <c r="T112" s="7" t="n">
        <v>75.5</v>
      </c>
      <c r="V112" s="7" t="n">
        <v>80.59999999999999</v>
      </c>
      <c r="X112" s="7" t="n">
        <v>89.2</v>
      </c>
      <c r="Z112" s="7" t="n">
        <v>75.3</v>
      </c>
      <c r="AB112" s="7" t="n">
        <v>927</v>
      </c>
    </row>
    <row r="113">
      <c r="A113" s="4" t="inlineStr">
        <is>
          <t>福利费</t>
        </is>
      </c>
      <c r="D113" s="7" t="n">
        <v>525.5</v>
      </c>
      <c r="F113" s="7" t="n">
        <v>551.8</v>
      </c>
      <c r="H113" s="7" t="n">
        <v>348</v>
      </c>
      <c r="J113" s="7" t="n">
        <v>436.2</v>
      </c>
      <c r="L113" s="7" t="n">
        <v>529.8</v>
      </c>
      <c r="N113" s="7" t="n">
        <v>508.2</v>
      </c>
      <c r="P113" s="7" t="n">
        <v>1127</v>
      </c>
      <c r="R113" s="7" t="n">
        <v>732</v>
      </c>
      <c r="T113" s="7" t="n">
        <v>530.5</v>
      </c>
      <c r="V113" s="7" t="n">
        <v>530.1</v>
      </c>
      <c r="X113" s="7" t="n">
        <v>672.5</v>
      </c>
      <c r="Z113" s="7" t="n">
        <v>478.2</v>
      </c>
      <c r="AB113" s="7" t="n">
        <v>6969.8</v>
      </c>
    </row>
    <row r="114">
      <c r="A114" s="4" t="inlineStr">
        <is>
          <t>职工房租</t>
        </is>
      </c>
      <c r="D114" s="7" t="n">
        <v>46.6</v>
      </c>
      <c r="F114" s="7" t="n">
        <v>36</v>
      </c>
      <c r="H114" s="7" t="n">
        <v>20.6</v>
      </c>
      <c r="J114" s="7" t="n">
        <v>32.9</v>
      </c>
      <c r="L114" s="7" t="n">
        <v>46.4</v>
      </c>
      <c r="N114" s="7" t="n">
        <v>30.5</v>
      </c>
      <c r="P114" s="7" t="n">
        <v>102.6</v>
      </c>
      <c r="R114" s="7" t="n">
        <v>38.6</v>
      </c>
      <c r="T114" s="7" t="n">
        <v>30</v>
      </c>
      <c r="V114" s="7" t="n">
        <v>37.7</v>
      </c>
      <c r="X114" s="7" t="n">
        <v>42.5</v>
      </c>
      <c r="Z114" s="7" t="n">
        <v>42.6</v>
      </c>
      <c r="AB114" s="7" t="n">
        <v>507</v>
      </c>
    </row>
    <row r="115">
      <c r="A115" s="4" t="inlineStr">
        <is>
          <t>水电物业费</t>
        </is>
      </c>
      <c r="D115" s="7" t="n">
        <v>15</v>
      </c>
      <c r="F115" s="7" t="n">
        <v>15.3</v>
      </c>
      <c r="H115" s="7" t="n">
        <v>16.1</v>
      </c>
      <c r="J115" s="7" t="n">
        <v>16.7</v>
      </c>
      <c r="L115" s="7" t="n">
        <v>23.2</v>
      </c>
      <c r="N115" s="7" t="n">
        <v>21.1</v>
      </c>
      <c r="P115" s="7" t="n">
        <v>35.2</v>
      </c>
      <c r="R115" s="7" t="n">
        <v>29.1</v>
      </c>
      <c r="T115" s="7" t="n">
        <v>19.4</v>
      </c>
      <c r="V115" s="7" t="n">
        <v>24.2</v>
      </c>
      <c r="X115" s="7" t="n">
        <v>23.6</v>
      </c>
      <c r="Z115" s="7" t="n">
        <v>20</v>
      </c>
      <c r="AB115" s="7" t="n">
        <v>258.9</v>
      </c>
    </row>
    <row r="116">
      <c r="A116" s="4" t="inlineStr">
        <is>
          <t>员工餐</t>
        </is>
      </c>
      <c r="D116" s="7" t="n">
        <v>180.6</v>
      </c>
      <c r="F116" s="7" t="n">
        <v>214.4</v>
      </c>
      <c r="H116" s="7" t="n">
        <v>140.6</v>
      </c>
      <c r="J116" s="7" t="n">
        <v>144</v>
      </c>
      <c r="L116" s="7" t="n">
        <v>225.3</v>
      </c>
      <c r="N116" s="7" t="n">
        <v>145.8</v>
      </c>
      <c r="P116" s="7" t="n">
        <v>346.5</v>
      </c>
      <c r="R116" s="7" t="n">
        <v>260</v>
      </c>
      <c r="T116" s="7" t="n">
        <v>208.2</v>
      </c>
      <c r="V116" s="7" t="n">
        <v>233.8</v>
      </c>
      <c r="X116" s="7" t="n">
        <v>260.2</v>
      </c>
      <c r="Z116" s="7" t="n">
        <v>157.4</v>
      </c>
      <c r="AB116" s="7" t="n">
        <v>2516.8</v>
      </c>
    </row>
    <row r="117">
      <c r="A117" s="4" t="inlineStr">
        <is>
          <t>节日礼品</t>
        </is>
      </c>
      <c r="D117" s="7" t="n">
        <v>53.9</v>
      </c>
      <c r="F117" s="7" t="n">
        <v>54.5</v>
      </c>
      <c r="H117" s="7" t="n">
        <v>35.2</v>
      </c>
      <c r="J117" s="7" t="n">
        <v>44.1</v>
      </c>
      <c r="L117" s="7" t="n">
        <v>43.8</v>
      </c>
      <c r="N117" s="7" t="n">
        <v>41.2</v>
      </c>
      <c r="P117" s="7" t="n">
        <v>112.3</v>
      </c>
      <c r="R117" s="7" t="n">
        <v>70.8</v>
      </c>
      <c r="T117" s="7" t="n">
        <v>36.1</v>
      </c>
      <c r="V117" s="7" t="n">
        <v>36.3</v>
      </c>
      <c r="X117" s="7" t="n">
        <v>54.1</v>
      </c>
      <c r="Z117" s="7" t="n">
        <v>51</v>
      </c>
      <c r="AB117" s="7" t="n">
        <v>633.3</v>
      </c>
    </row>
    <row r="118">
      <c r="A118" s="4" t="inlineStr">
        <is>
          <t>生日礼品</t>
        </is>
      </c>
      <c r="D118" s="7" t="n">
        <v>4</v>
      </c>
      <c r="F118" s="7" t="n">
        <v>3.3</v>
      </c>
      <c r="H118" s="7" t="n">
        <v>3</v>
      </c>
      <c r="J118" s="7" t="n">
        <v>3.5</v>
      </c>
      <c r="L118" s="7" t="n">
        <v>2.6</v>
      </c>
      <c r="N118" s="7" t="n">
        <v>3.3</v>
      </c>
      <c r="P118" s="7" t="n">
        <v>8.199999999999999</v>
      </c>
      <c r="R118" s="7" t="n">
        <v>6.4</v>
      </c>
      <c r="T118" s="7" t="n">
        <v>4</v>
      </c>
      <c r="V118" s="7" t="n">
        <v>3.5</v>
      </c>
      <c r="X118" s="7" t="n">
        <v>3.8</v>
      </c>
      <c r="Z118" s="7" t="n">
        <v>4.1</v>
      </c>
      <c r="AB118" s="7" t="n">
        <v>49.7</v>
      </c>
    </row>
    <row r="119">
      <c r="A119" s="4" t="inlineStr">
        <is>
          <t>体检</t>
        </is>
      </c>
      <c r="D119" s="7" t="n">
        <v>79.59999999999999</v>
      </c>
      <c r="F119" s="7" t="n">
        <v>77.40000000000001</v>
      </c>
      <c r="H119" s="7" t="n">
        <v>66.3</v>
      </c>
      <c r="J119" s="7" t="n">
        <v>70</v>
      </c>
      <c r="L119" s="7" t="n">
        <v>84.59999999999999</v>
      </c>
      <c r="N119" s="7" t="n">
        <v>100.2</v>
      </c>
      <c r="P119" s="7" t="n">
        <v>214.1</v>
      </c>
      <c r="R119" s="7" t="n">
        <v>123</v>
      </c>
      <c r="T119" s="7" t="n">
        <v>94.7</v>
      </c>
      <c r="V119" s="7" t="n">
        <v>87.7</v>
      </c>
      <c r="X119" s="7" t="n">
        <v>114.9</v>
      </c>
      <c r="Z119" s="7" t="n">
        <v>89</v>
      </c>
      <c r="AB119" s="7" t="n">
        <v>1201.5</v>
      </c>
    </row>
    <row r="120">
      <c r="A120" s="4" t="inlineStr">
        <is>
          <t>其他福利支出</t>
        </is>
      </c>
      <c r="D120" s="7" t="n">
        <v>145.8</v>
      </c>
      <c r="F120" s="7" t="n">
        <v>150.9</v>
      </c>
      <c r="H120" s="7" t="n">
        <v>66.2</v>
      </c>
      <c r="J120" s="7" t="n">
        <v>125</v>
      </c>
      <c r="L120" s="7" t="n">
        <v>103.9</v>
      </c>
      <c r="N120" s="7" t="n">
        <v>166.1</v>
      </c>
      <c r="P120" s="7" t="n">
        <v>308.1</v>
      </c>
      <c r="R120" s="7" t="n">
        <v>204.1</v>
      </c>
      <c r="T120" s="7" t="n">
        <v>138.1</v>
      </c>
      <c r="V120" s="7" t="n">
        <v>106.9</v>
      </c>
      <c r="X120" s="7" t="n">
        <v>173.4</v>
      </c>
      <c r="Z120" s="7" t="n">
        <v>114.1</v>
      </c>
      <c r="AB120" s="7" t="n">
        <v>1802.6</v>
      </c>
    </row>
    <row r="121">
      <c r="A121" s="4" t="inlineStr">
        <is>
          <t>招聘费</t>
        </is>
      </c>
      <c r="D121" s="7" t="n">
        <v>177.5</v>
      </c>
      <c r="F121" s="7" t="n">
        <v>148.1</v>
      </c>
      <c r="H121" s="7" t="n">
        <v>118</v>
      </c>
      <c r="J121" s="7" t="n">
        <v>171.1</v>
      </c>
      <c r="L121" s="7" t="n">
        <v>191.9</v>
      </c>
      <c r="N121" s="7" t="n">
        <v>200.2</v>
      </c>
      <c r="P121" s="7" t="n">
        <v>257.1</v>
      </c>
      <c r="R121" s="7" t="n">
        <v>259.3</v>
      </c>
      <c r="T121" s="7" t="n">
        <v>179.4</v>
      </c>
      <c r="V121" s="7" t="n">
        <v>129.2</v>
      </c>
      <c r="X121" s="7" t="n">
        <v>222.7</v>
      </c>
      <c r="Z121" s="7" t="n">
        <v>173.4</v>
      </c>
      <c r="AB121" s="7" t="n">
        <v>2227.9</v>
      </c>
    </row>
    <row r="122">
      <c r="A122" s="4" t="inlineStr">
        <is>
          <t>办公费</t>
        </is>
      </c>
      <c r="D122" s="7" t="n">
        <v>817.4</v>
      </c>
      <c r="F122" s="7" t="n">
        <v>874.7</v>
      </c>
      <c r="H122" s="7" t="n">
        <v>759</v>
      </c>
      <c r="J122" s="7" t="n">
        <v>611.9</v>
      </c>
      <c r="L122" s="7" t="n">
        <v>959.4</v>
      </c>
      <c r="N122" s="7" t="n">
        <v>685.7</v>
      </c>
      <c r="P122" s="7" t="n">
        <v>2059.7</v>
      </c>
      <c r="R122" s="7" t="n">
        <v>1012.3</v>
      </c>
      <c r="T122" s="7" t="n">
        <v>973</v>
      </c>
      <c r="V122" s="7" t="n">
        <v>894.5</v>
      </c>
      <c r="X122" s="7" t="n">
        <v>1073.5</v>
      </c>
      <c r="Z122" s="7" t="n">
        <v>1088</v>
      </c>
      <c r="AB122" s="7" t="n">
        <v>11809.1</v>
      </c>
    </row>
    <row r="123">
      <c r="A123" s="4" t="inlineStr">
        <is>
          <t>市内交通费</t>
        </is>
      </c>
      <c r="D123" s="7" t="n">
        <v>96.3</v>
      </c>
      <c r="F123" s="7" t="n">
        <v>98</v>
      </c>
      <c r="H123" s="7" t="n">
        <v>86.5</v>
      </c>
      <c r="J123" s="7" t="n">
        <v>151.9</v>
      </c>
      <c r="L123" s="7" t="n">
        <v>105</v>
      </c>
      <c r="N123" s="7" t="n">
        <v>143.4</v>
      </c>
      <c r="P123" s="7" t="n">
        <v>250.1</v>
      </c>
      <c r="R123" s="7" t="n">
        <v>196.6</v>
      </c>
      <c r="T123" s="7" t="n">
        <v>156.8</v>
      </c>
      <c r="V123" s="7" t="n">
        <v>140.4</v>
      </c>
      <c r="X123" s="7" t="n">
        <v>196.3</v>
      </c>
      <c r="Z123" s="7" t="n">
        <v>125.1</v>
      </c>
      <c r="AB123" s="7" t="n">
        <v>1746.4</v>
      </c>
    </row>
    <row r="124">
      <c r="A124" s="4" t="inlineStr">
        <is>
          <t>差旅费</t>
        </is>
      </c>
      <c r="D124" s="7" t="n">
        <v>1867.7</v>
      </c>
      <c r="F124" s="7" t="n">
        <v>1746.5</v>
      </c>
      <c r="H124" s="7" t="n">
        <v>845</v>
      </c>
      <c r="J124" s="7" t="n">
        <v>1989.3</v>
      </c>
      <c r="L124" s="7" t="n">
        <v>1556.8</v>
      </c>
      <c r="N124" s="7" t="n">
        <v>1348.6</v>
      </c>
      <c r="P124" s="7" t="n">
        <v>3610.1</v>
      </c>
      <c r="R124" s="7" t="n">
        <v>2411.3</v>
      </c>
      <c r="T124" s="7" t="n">
        <v>1971.2</v>
      </c>
      <c r="V124" s="7" t="n">
        <v>2366.6</v>
      </c>
      <c r="X124" s="7" t="n">
        <v>2803.5</v>
      </c>
      <c r="Z124" s="7" t="n">
        <v>1832</v>
      </c>
      <c r="AB124" s="7" t="n">
        <v>24348.6</v>
      </c>
    </row>
    <row r="125">
      <c r="A125" s="4" t="inlineStr">
        <is>
          <t>交通费</t>
        </is>
      </c>
      <c r="D125" s="7" t="n">
        <v>58.1</v>
      </c>
      <c r="F125" s="7" t="n">
        <v>94.5</v>
      </c>
      <c r="H125" s="7" t="n">
        <v>66</v>
      </c>
      <c r="J125" s="7" t="n">
        <v>74.8</v>
      </c>
      <c r="L125" s="7" t="n">
        <v>98.2</v>
      </c>
      <c r="N125" s="7" t="n">
        <v>93.59999999999999</v>
      </c>
      <c r="P125" s="7" t="n">
        <v>148.8</v>
      </c>
      <c r="R125" s="7" t="n">
        <v>132.8</v>
      </c>
      <c r="T125" s="7" t="n">
        <v>64.40000000000001</v>
      </c>
      <c r="V125" s="7" t="n">
        <v>89.8</v>
      </c>
      <c r="X125" s="7" t="n">
        <v>111.8</v>
      </c>
      <c r="Z125" s="7" t="n">
        <v>75.8</v>
      </c>
      <c r="AB125" s="7" t="n">
        <v>1108.6</v>
      </c>
    </row>
    <row r="126">
      <c r="A126" s="4" t="inlineStr">
        <is>
          <t>住宿费</t>
        </is>
      </c>
      <c r="D126" s="7" t="n">
        <v>147.4</v>
      </c>
      <c r="F126" s="7" t="n">
        <v>96.3</v>
      </c>
      <c r="H126" s="7" t="n">
        <v>85</v>
      </c>
      <c r="J126" s="7" t="n">
        <v>136.4</v>
      </c>
      <c r="L126" s="7" t="n">
        <v>93.5</v>
      </c>
      <c r="N126" s="7" t="n">
        <v>158.6</v>
      </c>
      <c r="P126" s="7" t="n">
        <v>337.2</v>
      </c>
      <c r="R126" s="7" t="n">
        <v>204</v>
      </c>
      <c r="T126" s="7" t="n">
        <v>146.5</v>
      </c>
      <c r="V126" s="7" t="n">
        <v>112.3</v>
      </c>
      <c r="X126" s="7" t="n">
        <v>140.4</v>
      </c>
      <c r="Z126" s="7" t="n">
        <v>152.2</v>
      </c>
      <c r="AB126" s="7" t="n">
        <v>1809.8</v>
      </c>
    </row>
    <row r="127">
      <c r="A127" s="4" t="inlineStr">
        <is>
          <t>餐补</t>
        </is>
      </c>
      <c r="D127" s="7" t="n">
        <v>27</v>
      </c>
      <c r="F127" s="7" t="n">
        <v>25.8</v>
      </c>
      <c r="H127" s="7" t="n">
        <v>14.7</v>
      </c>
      <c r="J127" s="7" t="n">
        <v>17.3</v>
      </c>
      <c r="L127" s="7" t="n">
        <v>24.7</v>
      </c>
      <c r="N127" s="7" t="n">
        <v>29.4</v>
      </c>
      <c r="P127" s="7" t="n">
        <v>63.3</v>
      </c>
      <c r="R127" s="7" t="n">
        <v>28.9</v>
      </c>
      <c r="T127" s="7" t="n">
        <v>29.2</v>
      </c>
      <c r="V127" s="7" t="n">
        <v>29.2</v>
      </c>
      <c r="X127" s="7" t="n">
        <v>35.6</v>
      </c>
      <c r="Z127" s="7" t="n">
        <v>18.5</v>
      </c>
      <c r="AB127" s="7" t="n">
        <v>343.6</v>
      </c>
    </row>
    <row r="128">
      <c r="A128" s="4" t="inlineStr">
        <is>
          <t>交通补助</t>
        </is>
      </c>
      <c r="D128" s="7" t="n">
        <v>98.3</v>
      </c>
      <c r="F128" s="7" t="n">
        <v>152.5</v>
      </c>
      <c r="H128" s="7" t="n">
        <v>98.59999999999999</v>
      </c>
      <c r="J128" s="7" t="n">
        <v>145.6</v>
      </c>
      <c r="L128" s="7" t="n">
        <v>182.9</v>
      </c>
      <c r="N128" s="7" t="n">
        <v>147.5</v>
      </c>
      <c r="P128" s="7" t="n">
        <v>425.2</v>
      </c>
      <c r="R128" s="7" t="n">
        <v>161.6</v>
      </c>
      <c r="T128" s="7" t="n">
        <v>190.1</v>
      </c>
      <c r="V128" s="7" t="n">
        <v>140.7</v>
      </c>
      <c r="X128" s="7" t="n">
        <v>152.5</v>
      </c>
      <c r="Z128" s="7" t="n">
        <v>108.5</v>
      </c>
      <c r="AB128" s="7" t="n">
        <v>2004</v>
      </c>
    </row>
    <row r="129">
      <c r="A129" s="4" t="inlineStr">
        <is>
          <t>通讯补助</t>
        </is>
      </c>
      <c r="D129" s="7" t="n">
        <v>38.5</v>
      </c>
      <c r="F129" s="7" t="n">
        <v>42.5</v>
      </c>
      <c r="H129" s="7" t="n">
        <v>30</v>
      </c>
      <c r="J129" s="7" t="n">
        <v>25.2</v>
      </c>
      <c r="L129" s="7" t="n">
        <v>47.9</v>
      </c>
      <c r="N129" s="7" t="n">
        <v>37.6</v>
      </c>
      <c r="P129" s="7" t="n">
        <v>61.7</v>
      </c>
      <c r="R129" s="7" t="n">
        <v>58.7</v>
      </c>
      <c r="T129" s="7" t="n">
        <v>28.4</v>
      </c>
      <c r="V129" s="7" t="n">
        <v>41.8</v>
      </c>
      <c r="X129" s="7" t="n">
        <v>35.5</v>
      </c>
      <c r="Z129" s="7" t="n">
        <v>42.5</v>
      </c>
      <c r="AB129" s="7" t="n">
        <v>490.3</v>
      </c>
    </row>
    <row r="130">
      <c r="A130" s="4" t="inlineStr">
        <is>
          <t>招待费</t>
        </is>
      </c>
      <c r="D130" s="7" t="n">
        <v>833.5</v>
      </c>
      <c r="F130" s="7" t="n">
        <v>1061</v>
      </c>
      <c r="H130" s="7" t="n">
        <v>639.3</v>
      </c>
      <c r="J130" s="7" t="n">
        <v>1199.8</v>
      </c>
      <c r="L130" s="7" t="n">
        <v>974.4</v>
      </c>
      <c r="N130" s="7" t="n">
        <v>1344.4</v>
      </c>
      <c r="P130" s="7" t="n">
        <v>2563.8</v>
      </c>
      <c r="R130" s="7" t="n">
        <v>1611.3</v>
      </c>
      <c r="T130" s="7" t="n">
        <v>940.8</v>
      </c>
      <c r="V130" s="7" t="n">
        <v>1393</v>
      </c>
      <c r="X130" s="7" t="n">
        <v>1253.2</v>
      </c>
      <c r="Z130" s="7" t="n">
        <v>1019.4</v>
      </c>
      <c r="AB130" s="7" t="n">
        <v>14833.9</v>
      </c>
    </row>
    <row r="131">
      <c r="A131" s="4" t="inlineStr">
        <is>
          <t>通讯费</t>
        </is>
      </c>
      <c r="D131" s="7" t="n">
        <v>3.1</v>
      </c>
      <c r="F131" s="7" t="n">
        <v>3</v>
      </c>
      <c r="H131" s="7" t="n">
        <v>1.9</v>
      </c>
      <c r="J131" s="7" t="n">
        <v>2.4</v>
      </c>
      <c r="L131" s="7" t="n">
        <v>3.7</v>
      </c>
      <c r="N131" s="7" t="n">
        <v>3.4</v>
      </c>
      <c r="P131" s="7" t="n">
        <v>5.7</v>
      </c>
      <c r="R131" s="7" t="n">
        <v>4.4</v>
      </c>
      <c r="T131" s="7" t="n">
        <v>4</v>
      </c>
      <c r="V131" s="7" t="n">
        <v>3.7</v>
      </c>
      <c r="X131" s="7" t="n">
        <v>4.4</v>
      </c>
      <c r="Z131" s="7" t="n">
        <v>2.9</v>
      </c>
      <c r="AB131" s="7" t="n">
        <v>42.6</v>
      </c>
    </row>
    <row r="132">
      <c r="A132" s="4" t="inlineStr">
        <is>
          <t>网络费</t>
        </is>
      </c>
      <c r="D132" s="7" t="n">
        <v>78.2</v>
      </c>
      <c r="F132" s="7" t="n">
        <v>125.1</v>
      </c>
      <c r="H132" s="7" t="n">
        <v>81.90000000000001</v>
      </c>
      <c r="J132" s="7" t="n">
        <v>121.2</v>
      </c>
      <c r="L132" s="7" t="n">
        <v>136.1</v>
      </c>
      <c r="N132" s="7" t="n">
        <v>146.3</v>
      </c>
      <c r="P132" s="7" t="n">
        <v>311.6</v>
      </c>
      <c r="R132" s="7" t="n">
        <v>161.1</v>
      </c>
      <c r="T132" s="7" t="n">
        <v>137.2</v>
      </c>
      <c r="V132" s="7" t="n">
        <v>82.5</v>
      </c>
      <c r="X132" s="7" t="n">
        <v>160</v>
      </c>
      <c r="Z132" s="7" t="n">
        <v>76.3</v>
      </c>
      <c r="AB132" s="7" t="n">
        <v>1617.5</v>
      </c>
    </row>
    <row r="133">
      <c r="A133" s="4" t="inlineStr">
        <is>
          <t>修理费</t>
        </is>
      </c>
      <c r="D133" s="7" t="n">
        <v>193</v>
      </c>
      <c r="F133" s="7" t="n">
        <v>147.9</v>
      </c>
      <c r="H133" s="7" t="n">
        <v>156.1</v>
      </c>
      <c r="J133" s="7" t="n">
        <v>140</v>
      </c>
      <c r="L133" s="7" t="n">
        <v>177.9</v>
      </c>
      <c r="N133" s="7" t="n">
        <v>148.2</v>
      </c>
      <c r="P133" s="7" t="n">
        <v>317.7</v>
      </c>
      <c r="R133" s="7" t="n">
        <v>329</v>
      </c>
      <c r="T133" s="7" t="n">
        <v>168.1</v>
      </c>
      <c r="V133" s="7" t="n">
        <v>236.5</v>
      </c>
      <c r="X133" s="7" t="n">
        <v>189.9</v>
      </c>
      <c r="Z133" s="7" t="n">
        <v>225.3</v>
      </c>
      <c r="AB133" s="7" t="n">
        <v>2429.6</v>
      </c>
    </row>
    <row r="134">
      <c r="A134" s="4" t="inlineStr">
        <is>
          <t>车辆费</t>
        </is>
      </c>
      <c r="D134" s="7" t="n">
        <v>73.40000000000001</v>
      </c>
      <c r="F134" s="7" t="n">
        <v>92.8</v>
      </c>
      <c r="H134" s="7" t="n">
        <v>51</v>
      </c>
      <c r="J134" s="7" t="n">
        <v>60.3</v>
      </c>
      <c r="L134" s="7" t="n">
        <v>101.7</v>
      </c>
      <c r="N134" s="7" t="n">
        <v>104.9</v>
      </c>
      <c r="P134" s="7" t="n">
        <v>193.3</v>
      </c>
      <c r="R134" s="7" t="n">
        <v>83.7</v>
      </c>
      <c r="T134" s="7" t="n">
        <v>62.8</v>
      </c>
      <c r="V134" s="7" t="n">
        <v>74.7</v>
      </c>
      <c r="X134" s="7" t="n">
        <v>82.3</v>
      </c>
      <c r="Z134" s="7" t="n">
        <v>73.7</v>
      </c>
      <c r="AB134" s="7" t="n">
        <v>1054.6</v>
      </c>
    </row>
    <row r="135">
      <c r="A135" s="4" t="inlineStr">
        <is>
          <t>租赁费</t>
        </is>
      </c>
      <c r="D135" s="7" t="n">
        <v>1699.7</v>
      </c>
      <c r="F135" s="7" t="n">
        <v>1807.9</v>
      </c>
      <c r="H135" s="7" t="n">
        <v>882.7</v>
      </c>
      <c r="J135" s="7" t="n">
        <v>1364.6</v>
      </c>
      <c r="L135" s="7" t="n">
        <v>1531</v>
      </c>
      <c r="N135" s="7" t="n">
        <v>2059</v>
      </c>
      <c r="P135" s="7" t="n">
        <v>3070.7</v>
      </c>
      <c r="R135" s="7" t="n">
        <v>1732.3</v>
      </c>
      <c r="T135" s="7" t="n">
        <v>1448.7</v>
      </c>
      <c r="V135" s="7" t="n">
        <v>1889.4</v>
      </c>
      <c r="X135" s="7" t="n">
        <v>1933.1</v>
      </c>
      <c r="Z135" s="7" t="n">
        <v>1298.3</v>
      </c>
      <c r="AB135" s="7" t="n">
        <v>20717.4</v>
      </c>
    </row>
    <row r="136">
      <c r="A136" s="4" t="inlineStr">
        <is>
          <t>能源费</t>
        </is>
      </c>
      <c r="D136" s="7" t="n">
        <v>433.9</v>
      </c>
      <c r="F136" s="7" t="n">
        <v>412.1</v>
      </c>
      <c r="H136" s="7" t="n">
        <v>254.6</v>
      </c>
      <c r="J136" s="7" t="n">
        <v>432.1</v>
      </c>
      <c r="L136" s="7" t="n">
        <v>428.1</v>
      </c>
      <c r="N136" s="7" t="n">
        <v>439</v>
      </c>
      <c r="P136" s="7" t="n">
        <v>991.6</v>
      </c>
      <c r="R136" s="7" t="n">
        <v>672.4</v>
      </c>
      <c r="T136" s="7" t="n">
        <v>363.9</v>
      </c>
      <c r="V136" s="7" t="n">
        <v>452.4</v>
      </c>
      <c r="X136" s="7" t="n">
        <v>487.1</v>
      </c>
      <c r="Z136" s="7" t="n">
        <v>369.3</v>
      </c>
      <c r="AB136" s="7" t="n">
        <v>5736.5</v>
      </c>
    </row>
    <row r="137">
      <c r="A137" s="4" t="inlineStr">
        <is>
          <t>水费</t>
        </is>
      </c>
      <c r="D137" s="7" t="n">
        <v>93.5</v>
      </c>
      <c r="F137" s="7" t="n">
        <v>99.7</v>
      </c>
      <c r="H137" s="7" t="n">
        <v>55.1</v>
      </c>
      <c r="J137" s="7" t="n">
        <v>84.09999999999999</v>
      </c>
      <c r="L137" s="7" t="n">
        <v>110.9</v>
      </c>
      <c r="N137" s="7" t="n">
        <v>117.9</v>
      </c>
      <c r="P137" s="7" t="n">
        <v>225</v>
      </c>
      <c r="R137" s="7" t="n">
        <v>126</v>
      </c>
      <c r="T137" s="7" t="n">
        <v>89.3</v>
      </c>
      <c r="V137" s="7" t="n">
        <v>113.2</v>
      </c>
      <c r="X137" s="7" t="n">
        <v>83.09999999999999</v>
      </c>
      <c r="Z137" s="7" t="n">
        <v>104.4</v>
      </c>
      <c r="AB137" s="7" t="n">
        <v>1302.2</v>
      </c>
    </row>
    <row r="138">
      <c r="A138" s="4" t="inlineStr">
        <is>
          <t>电费</t>
        </is>
      </c>
      <c r="D138" s="7" t="n">
        <v>146.2</v>
      </c>
      <c r="F138" s="7" t="n">
        <v>145.5</v>
      </c>
      <c r="H138" s="7" t="n">
        <v>87.5</v>
      </c>
      <c r="J138" s="7" t="n">
        <v>139.5</v>
      </c>
      <c r="L138" s="7" t="n">
        <v>95.09999999999999</v>
      </c>
      <c r="N138" s="7" t="n">
        <v>109.5</v>
      </c>
      <c r="P138" s="7" t="n">
        <v>281.3</v>
      </c>
      <c r="R138" s="7" t="n">
        <v>229</v>
      </c>
      <c r="T138" s="7" t="n">
        <v>100.7</v>
      </c>
      <c r="V138" s="7" t="n">
        <v>131.8</v>
      </c>
      <c r="X138" s="7" t="n">
        <v>179.9</v>
      </c>
      <c r="Z138" s="7" t="n">
        <v>122.4</v>
      </c>
      <c r="AB138" s="7" t="n">
        <v>1768.4</v>
      </c>
    </row>
    <row r="139">
      <c r="A139" s="4" t="inlineStr">
        <is>
          <t>燃气费</t>
        </is>
      </c>
      <c r="D139" s="7" t="n">
        <v>145.1</v>
      </c>
      <c r="F139" s="7" t="n">
        <v>113.1</v>
      </c>
      <c r="H139" s="7" t="n">
        <v>90.8</v>
      </c>
      <c r="J139" s="7" t="n">
        <v>159.6</v>
      </c>
      <c r="L139" s="7" t="n">
        <v>175</v>
      </c>
      <c r="N139" s="7" t="n">
        <v>157.2</v>
      </c>
      <c r="P139" s="7" t="n">
        <v>390</v>
      </c>
      <c r="R139" s="7" t="n">
        <v>246.6</v>
      </c>
      <c r="T139" s="7" t="n">
        <v>115.7</v>
      </c>
      <c r="V139" s="7" t="n">
        <v>162.7</v>
      </c>
      <c r="X139" s="7" t="n">
        <v>160.8</v>
      </c>
      <c r="Z139" s="7" t="n">
        <v>101</v>
      </c>
      <c r="AB139" s="7" t="n">
        <v>2017.6</v>
      </c>
    </row>
    <row r="140">
      <c r="A140" s="4" t="inlineStr">
        <is>
          <t>蒸汽费</t>
        </is>
      </c>
      <c r="D140" s="7" t="n">
        <v>49.1</v>
      </c>
      <c r="F140" s="7" t="n">
        <v>53.8</v>
      </c>
      <c r="H140" s="7" t="n">
        <v>21.2</v>
      </c>
      <c r="J140" s="7" t="n">
        <v>48.9</v>
      </c>
      <c r="L140" s="7" t="n">
        <v>47.1</v>
      </c>
      <c r="N140" s="7" t="n">
        <v>54.4</v>
      </c>
      <c r="P140" s="7" t="n">
        <v>95.3</v>
      </c>
      <c r="R140" s="7" t="n">
        <v>70.8</v>
      </c>
      <c r="T140" s="7" t="n">
        <v>58.2</v>
      </c>
      <c r="V140" s="7" t="n">
        <v>44.7</v>
      </c>
      <c r="X140" s="7" t="n">
        <v>63.3</v>
      </c>
      <c r="Z140" s="7" t="n">
        <v>41.5</v>
      </c>
      <c r="AB140" s="7" t="n">
        <v>648.3</v>
      </c>
    </row>
    <row r="141">
      <c r="A141" s="4" t="inlineStr">
        <is>
          <t>物业费</t>
        </is>
      </c>
      <c r="D141" s="7" t="n">
        <v>147.3</v>
      </c>
      <c r="F141" s="7" t="n">
        <v>162.9</v>
      </c>
      <c r="H141" s="7" t="n">
        <v>142.4</v>
      </c>
      <c r="J141" s="7" t="n">
        <v>134.9</v>
      </c>
      <c r="L141" s="7" t="n">
        <v>215.5</v>
      </c>
      <c r="N141" s="7" t="n">
        <v>181.1</v>
      </c>
      <c r="P141" s="7" t="n">
        <v>286.3</v>
      </c>
      <c r="R141" s="7" t="n">
        <v>268.2</v>
      </c>
      <c r="T141" s="7" t="n">
        <v>138.2</v>
      </c>
      <c r="V141" s="7" t="n">
        <v>226.7</v>
      </c>
      <c r="X141" s="7" t="n">
        <v>187.2</v>
      </c>
      <c r="Z141" s="7" t="n">
        <v>194.7</v>
      </c>
      <c r="AB141" s="7" t="n">
        <v>2285.4</v>
      </c>
    </row>
    <row r="142">
      <c r="A142" s="4" t="inlineStr">
        <is>
          <t>劳动保护费</t>
        </is>
      </c>
      <c r="D142" s="7" t="n">
        <v>48.7</v>
      </c>
      <c r="F142" s="7" t="n">
        <v>78.2</v>
      </c>
      <c r="H142" s="7" t="n">
        <v>47.2</v>
      </c>
      <c r="J142" s="7" t="n">
        <v>65.59999999999999</v>
      </c>
      <c r="L142" s="7" t="n">
        <v>45.4</v>
      </c>
      <c r="N142" s="7" t="n">
        <v>62</v>
      </c>
      <c r="P142" s="7" t="n">
        <v>184.5</v>
      </c>
      <c r="R142" s="7" t="n">
        <v>115.5</v>
      </c>
      <c r="T142" s="7" t="n">
        <v>71.5</v>
      </c>
      <c r="V142" s="7" t="n">
        <v>62</v>
      </c>
      <c r="X142" s="7" t="n">
        <v>64</v>
      </c>
      <c r="Z142" s="7" t="n">
        <v>47</v>
      </c>
      <c r="AB142" s="7" t="n">
        <v>891.6</v>
      </c>
    </row>
    <row r="143">
      <c r="A143" s="4" t="inlineStr">
        <is>
          <t>顾问费</t>
        </is>
      </c>
      <c r="D143" s="7" t="n">
        <v>153.3</v>
      </c>
      <c r="F143" s="7" t="n">
        <v>89.2</v>
      </c>
      <c r="H143" s="7" t="n">
        <v>88.2</v>
      </c>
      <c r="J143" s="7" t="n">
        <v>106.6</v>
      </c>
      <c r="L143" s="7" t="n">
        <v>119.5</v>
      </c>
      <c r="N143" s="7" t="n">
        <v>133.2</v>
      </c>
      <c r="P143" s="7" t="n">
        <v>299.4</v>
      </c>
      <c r="R143" s="7" t="n">
        <v>131.5</v>
      </c>
      <c r="T143" s="7" t="n">
        <v>134.7</v>
      </c>
      <c r="V143" s="7" t="n">
        <v>152.1</v>
      </c>
      <c r="X143" s="7" t="n">
        <v>138.4</v>
      </c>
      <c r="Z143" s="7" t="n">
        <v>120.1</v>
      </c>
      <c r="AB143" s="7" t="n">
        <v>1666.2</v>
      </c>
    </row>
    <row r="144">
      <c r="A144" s="4" t="inlineStr">
        <is>
          <t>快递费</t>
        </is>
      </c>
      <c r="D144" s="7" t="n">
        <v>99.2</v>
      </c>
      <c r="F144" s="7" t="n">
        <v>115.3</v>
      </c>
      <c r="H144" s="7" t="n">
        <v>56.2</v>
      </c>
      <c r="J144" s="7" t="n">
        <v>88.40000000000001</v>
      </c>
      <c r="L144" s="7" t="n">
        <v>147</v>
      </c>
      <c r="N144" s="7" t="n">
        <v>92.40000000000001</v>
      </c>
      <c r="P144" s="7" t="n">
        <v>238.1</v>
      </c>
      <c r="R144" s="7" t="n">
        <v>122.4</v>
      </c>
      <c r="T144" s="7" t="n">
        <v>127</v>
      </c>
      <c r="V144" s="7" t="n">
        <v>139</v>
      </c>
      <c r="X144" s="7" t="n">
        <v>164.9</v>
      </c>
      <c r="Z144" s="7" t="n">
        <v>120.2</v>
      </c>
      <c r="AB144" s="7" t="n">
        <v>1510.1</v>
      </c>
    </row>
    <row r="145">
      <c r="A145" s="4" t="inlineStr">
        <is>
          <t>诉讼费</t>
        </is>
      </c>
      <c r="D145" s="7" t="n">
        <v>192.6</v>
      </c>
      <c r="F145" s="7" t="n">
        <v>200.1</v>
      </c>
      <c r="H145" s="7" t="n">
        <v>127.3</v>
      </c>
      <c r="J145" s="7" t="n">
        <v>155.7</v>
      </c>
      <c r="L145" s="7" t="n">
        <v>148.2</v>
      </c>
      <c r="N145" s="7" t="n">
        <v>251.7</v>
      </c>
      <c r="P145" s="7" t="n">
        <v>382.9</v>
      </c>
      <c r="R145" s="7" t="n">
        <v>310.5</v>
      </c>
      <c r="T145" s="7" t="n">
        <v>192.7</v>
      </c>
      <c r="V145" s="7" t="n">
        <v>210.9</v>
      </c>
      <c r="X145" s="7" t="n">
        <v>261.9</v>
      </c>
      <c r="Z145" s="7" t="n">
        <v>163.4</v>
      </c>
      <c r="AB145" s="7" t="n">
        <v>2597.9</v>
      </c>
    </row>
    <row r="146">
      <c r="A146" s="4" t="inlineStr">
        <is>
          <t>会员费</t>
        </is>
      </c>
      <c r="D146" s="7" t="n">
        <v>86.59999999999999</v>
      </c>
      <c r="F146" s="7" t="n">
        <v>81.09999999999999</v>
      </c>
      <c r="H146" s="7" t="n">
        <v>69.7</v>
      </c>
      <c r="J146" s="7" t="n">
        <v>102.9</v>
      </c>
      <c r="L146" s="7" t="n">
        <v>98.59999999999999</v>
      </c>
      <c r="N146" s="7" t="n">
        <v>91.59999999999999</v>
      </c>
      <c r="P146" s="7" t="n">
        <v>179.7</v>
      </c>
      <c r="R146" s="7" t="n">
        <v>101.8</v>
      </c>
      <c r="T146" s="7" t="n">
        <v>109.7</v>
      </c>
      <c r="V146" s="7" t="n">
        <v>85.3</v>
      </c>
      <c r="X146" s="7" t="n">
        <v>104.2</v>
      </c>
      <c r="Z146" s="7" t="n">
        <v>71.09999999999999</v>
      </c>
      <c r="AB146" s="7" t="n">
        <v>1182.3</v>
      </c>
    </row>
    <row r="147">
      <c r="A147" s="4" t="inlineStr">
        <is>
          <t>广告宣传费</t>
        </is>
      </c>
      <c r="D147" s="7" t="n">
        <v>991.1</v>
      </c>
      <c r="F147" s="7" t="n">
        <v>921.6</v>
      </c>
      <c r="H147" s="7" t="n">
        <v>425.6</v>
      </c>
      <c r="J147" s="7" t="n">
        <v>892.8</v>
      </c>
      <c r="L147" s="7" t="n">
        <v>773.1</v>
      </c>
      <c r="N147" s="7" t="n">
        <v>1122.3</v>
      </c>
      <c r="P147" s="7" t="n">
        <v>2544.1</v>
      </c>
      <c r="R147" s="7" t="n">
        <v>942.2</v>
      </c>
      <c r="T147" s="7" t="n">
        <v>966.4</v>
      </c>
      <c r="V147" s="7" t="n">
        <v>1178.8</v>
      </c>
      <c r="X147" s="7" t="n">
        <v>1125.8</v>
      </c>
      <c r="Z147" s="7" t="n">
        <v>898</v>
      </c>
      <c r="AB147" s="7" t="n">
        <v>12781.8</v>
      </c>
    </row>
    <row r="148">
      <c r="A148" s="4" t="inlineStr">
        <is>
          <t>会务费</t>
        </is>
      </c>
      <c r="D148" s="7" t="n">
        <v>56.6</v>
      </c>
      <c r="F148" s="7" t="n">
        <v>76</v>
      </c>
      <c r="H148" s="7" t="n">
        <v>62.4</v>
      </c>
      <c r="J148" s="7" t="n">
        <v>70.40000000000001</v>
      </c>
      <c r="L148" s="7" t="n">
        <v>85</v>
      </c>
      <c r="N148" s="7" t="n">
        <v>64</v>
      </c>
      <c r="P148" s="7" t="n">
        <v>200.8</v>
      </c>
      <c r="R148" s="7" t="n">
        <v>95.7</v>
      </c>
      <c r="T148" s="7" t="n">
        <v>78.90000000000001</v>
      </c>
      <c r="V148" s="7" t="n">
        <v>76.90000000000001</v>
      </c>
      <c r="X148" s="7" t="n">
        <v>109.1</v>
      </c>
      <c r="Z148" s="7" t="n">
        <v>86.90000000000001</v>
      </c>
      <c r="AB148" s="7" t="n">
        <v>1062.7</v>
      </c>
    </row>
    <row r="149">
      <c r="A149" s="4" t="inlineStr">
        <is>
          <t>装修费</t>
        </is>
      </c>
      <c r="D149" s="7" t="n">
        <v>110.1</v>
      </c>
      <c r="F149" s="7" t="n">
        <v>68.59999999999999</v>
      </c>
      <c r="H149" s="7" t="n">
        <v>75.09999999999999</v>
      </c>
      <c r="J149" s="7" t="n">
        <v>107.7</v>
      </c>
      <c r="L149" s="7" t="n">
        <v>122.2</v>
      </c>
      <c r="N149" s="7" t="n">
        <v>102.9</v>
      </c>
      <c r="P149" s="7" t="n">
        <v>258.7</v>
      </c>
      <c r="R149" s="7" t="n">
        <v>182.6</v>
      </c>
      <c r="T149" s="7" t="n">
        <v>114.6</v>
      </c>
      <c r="V149" s="7" t="n">
        <v>130.3</v>
      </c>
      <c r="X149" s="7" t="n">
        <v>151.5</v>
      </c>
      <c r="Z149" s="7" t="n">
        <v>95.7</v>
      </c>
      <c r="AB149" s="7" t="n">
        <v>1520</v>
      </c>
    </row>
    <row r="150">
      <c r="A150" s="4" t="inlineStr">
        <is>
          <t>推广费</t>
        </is>
      </c>
      <c r="D150" s="7" t="n">
        <v>122</v>
      </c>
      <c r="F150" s="7" t="n">
        <v>130.5</v>
      </c>
      <c r="H150" s="7" t="n">
        <v>68.40000000000001</v>
      </c>
      <c r="J150" s="7" t="n">
        <v>146.6</v>
      </c>
      <c r="L150" s="7" t="n">
        <v>113.8</v>
      </c>
      <c r="N150" s="7" t="n">
        <v>189.5</v>
      </c>
      <c r="P150" s="7" t="n">
        <v>255</v>
      </c>
      <c r="R150" s="7" t="n">
        <v>233.1</v>
      </c>
      <c r="T150" s="7" t="n">
        <v>172.9</v>
      </c>
      <c r="V150" s="7" t="n">
        <v>125.7</v>
      </c>
      <c r="X150" s="7" t="n">
        <v>145.4</v>
      </c>
      <c r="Z150" s="7" t="n">
        <v>142.1</v>
      </c>
      <c r="AB150" s="7" t="n">
        <v>1845</v>
      </c>
    </row>
    <row r="151">
      <c r="A151" s="4" t="inlineStr">
        <is>
          <t>展会费</t>
        </is>
      </c>
      <c r="D151" s="7" t="n">
        <v>80.5</v>
      </c>
      <c r="F151" s="7" t="n">
        <v>66.5</v>
      </c>
      <c r="H151" s="7" t="n">
        <v>71.59999999999999</v>
      </c>
      <c r="J151" s="7" t="n">
        <v>89.7</v>
      </c>
      <c r="L151" s="7" t="n">
        <v>73</v>
      </c>
      <c r="N151" s="7" t="n">
        <v>82</v>
      </c>
      <c r="P151" s="7" t="n">
        <v>254.8</v>
      </c>
      <c r="R151" s="7" t="n">
        <v>142.7</v>
      </c>
      <c r="T151" s="7" t="n">
        <v>103.4</v>
      </c>
      <c r="V151" s="7" t="n">
        <v>111.7</v>
      </c>
      <c r="X151" s="7" t="n">
        <v>133.5</v>
      </c>
      <c r="Z151" s="7" t="n">
        <v>106.3</v>
      </c>
      <c r="AB151" s="7" t="n">
        <v>1315.7</v>
      </c>
    </row>
    <row r="152">
      <c r="A152" s="4" t="inlineStr">
        <is>
          <t>设计费</t>
        </is>
      </c>
      <c r="D152" s="7" t="n">
        <v>52.4</v>
      </c>
      <c r="F152" s="7" t="n">
        <v>42</v>
      </c>
      <c r="H152" s="7" t="n">
        <v>35.8</v>
      </c>
      <c r="J152" s="7" t="n">
        <v>42.3</v>
      </c>
      <c r="L152" s="7" t="n">
        <v>33.1</v>
      </c>
      <c r="N152" s="7" t="n">
        <v>44</v>
      </c>
      <c r="P152" s="7" t="n">
        <v>82.8</v>
      </c>
      <c r="R152" s="7" t="n">
        <v>68.90000000000001</v>
      </c>
      <c r="T152" s="7" t="n">
        <v>54.5</v>
      </c>
      <c r="V152" s="7" t="n">
        <v>36.2</v>
      </c>
      <c r="X152" s="7" t="n">
        <v>63.4</v>
      </c>
      <c r="Z152" s="7" t="n">
        <v>48.5</v>
      </c>
      <c r="AB152" s="7" t="n">
        <v>603.9</v>
      </c>
    </row>
    <row r="153">
      <c r="A153" s="4" t="inlineStr">
        <is>
          <t>折旧费</t>
        </is>
      </c>
      <c r="D153" s="7" t="n">
        <v>1432.8</v>
      </c>
      <c r="F153" s="7" t="n">
        <v>906.1</v>
      </c>
      <c r="H153" s="7" t="n">
        <v>1004.5</v>
      </c>
      <c r="J153" s="7" t="n">
        <v>1039.2</v>
      </c>
      <c r="L153" s="7" t="n">
        <v>1526.9</v>
      </c>
      <c r="N153" s="7" t="n">
        <v>1028.8</v>
      </c>
      <c r="P153" s="7" t="n">
        <v>3364.4</v>
      </c>
      <c r="R153" s="7" t="n">
        <v>1417.8</v>
      </c>
      <c r="T153" s="7" t="n">
        <v>1336.4</v>
      </c>
      <c r="V153" s="7" t="n">
        <v>1109</v>
      </c>
      <c r="X153" s="7" t="n">
        <v>1603.2</v>
      </c>
      <c r="Z153" s="7" t="n">
        <v>1306</v>
      </c>
      <c r="AB153" s="7" t="n">
        <v>17075.1</v>
      </c>
    </row>
    <row r="154">
      <c r="A154" s="4" t="inlineStr">
        <is>
          <t>认证费</t>
        </is>
      </c>
      <c r="D154" s="7" t="n">
        <v>23.2</v>
      </c>
      <c r="F154" s="7" t="n">
        <v>23.8</v>
      </c>
      <c r="H154" s="7" t="n">
        <v>10.1</v>
      </c>
      <c r="J154" s="7" t="n">
        <v>21</v>
      </c>
      <c r="L154" s="7" t="n">
        <v>18.4</v>
      </c>
      <c r="N154" s="7" t="n">
        <v>15.4</v>
      </c>
      <c r="P154" s="7" t="n">
        <v>48.4</v>
      </c>
      <c r="R154" s="7" t="n">
        <v>28.8</v>
      </c>
      <c r="T154" s="7" t="n">
        <v>25.5</v>
      </c>
      <c r="V154" s="7" t="n">
        <v>26</v>
      </c>
      <c r="X154" s="7" t="n">
        <v>26.1</v>
      </c>
      <c r="Z154" s="7" t="n">
        <v>14</v>
      </c>
      <c r="AB154" s="7" t="n">
        <v>280.7</v>
      </c>
    </row>
    <row r="155">
      <c r="A155" s="4" t="inlineStr">
        <is>
          <t>样品费</t>
        </is>
      </c>
      <c r="D155" s="7" t="n">
        <v>507.6</v>
      </c>
      <c r="F155" s="7" t="n">
        <v>557.5</v>
      </c>
      <c r="H155" s="7" t="n">
        <v>439.3</v>
      </c>
      <c r="J155" s="7" t="n">
        <v>665.1</v>
      </c>
      <c r="L155" s="7" t="n">
        <v>497.3</v>
      </c>
      <c r="N155" s="7" t="n">
        <v>523</v>
      </c>
      <c r="P155" s="7" t="n">
        <v>1429</v>
      </c>
      <c r="R155" s="7" t="n">
        <v>657</v>
      </c>
      <c r="T155" s="7" t="n">
        <v>661.3</v>
      </c>
      <c r="V155" s="7" t="n">
        <v>616.5</v>
      </c>
      <c r="X155" s="7" t="n">
        <v>787.6</v>
      </c>
      <c r="Z155" s="7" t="n">
        <v>737.5</v>
      </c>
      <c r="AB155" s="7" t="n">
        <v>8078.7</v>
      </c>
    </row>
    <row r="156">
      <c r="A156" s="4" t="inlineStr">
        <is>
          <t>劳务费</t>
        </is>
      </c>
      <c r="D156" s="7" t="n">
        <v>20.9</v>
      </c>
      <c r="F156" s="7" t="n">
        <v>20.6</v>
      </c>
      <c r="H156" s="7" t="n">
        <v>10.7</v>
      </c>
      <c r="J156" s="7" t="n">
        <v>20.9</v>
      </c>
      <c r="L156" s="7" t="n">
        <v>24.8</v>
      </c>
      <c r="N156" s="7" t="n">
        <v>24.9</v>
      </c>
      <c r="P156" s="7" t="n">
        <v>42.4</v>
      </c>
      <c r="R156" s="7" t="n">
        <v>22.8</v>
      </c>
      <c r="T156" s="7" t="n">
        <v>26.7</v>
      </c>
      <c r="V156" s="7" t="n">
        <v>18.8</v>
      </c>
      <c r="X156" s="7" t="n">
        <v>24.7</v>
      </c>
      <c r="Z156" s="7" t="n">
        <v>19.5</v>
      </c>
      <c r="AB156" s="7" t="n">
        <v>277.7</v>
      </c>
    </row>
    <row r="157">
      <c r="A157" s="4" t="inlineStr">
        <is>
          <t>销售佣金</t>
        </is>
      </c>
      <c r="D157" s="7" t="n">
        <v>75.8</v>
      </c>
      <c r="F157" s="7" t="n">
        <v>74.90000000000001</v>
      </c>
      <c r="H157" s="7" t="n">
        <v>45.1</v>
      </c>
      <c r="J157" s="7" t="n">
        <v>94.2</v>
      </c>
      <c r="L157" s="7" t="n">
        <v>81.5</v>
      </c>
      <c r="N157" s="7" t="n">
        <v>117.3</v>
      </c>
      <c r="P157" s="7" t="n">
        <v>235</v>
      </c>
      <c r="R157" s="7" t="n">
        <v>124.7</v>
      </c>
      <c r="T157" s="7" t="n">
        <v>107.5</v>
      </c>
      <c r="V157" s="7" t="n">
        <v>92.40000000000001</v>
      </c>
      <c r="X157" s="7" t="n">
        <v>94.40000000000001</v>
      </c>
      <c r="Z157" s="7" t="n">
        <v>83.5</v>
      </c>
      <c r="AB157" s="7" t="n">
        <v>1226.3</v>
      </c>
    </row>
    <row r="158">
      <c r="A158" s="4" t="inlineStr">
        <is>
          <t>检测费</t>
        </is>
      </c>
      <c r="D158" s="7" t="n">
        <v>115.5</v>
      </c>
      <c r="F158" s="7" t="n">
        <v>200</v>
      </c>
      <c r="H158" s="7" t="n">
        <v>95.09999999999999</v>
      </c>
      <c r="J158" s="7" t="n">
        <v>187.7</v>
      </c>
      <c r="L158" s="7" t="n">
        <v>186.1</v>
      </c>
      <c r="N158" s="7" t="n">
        <v>194.2</v>
      </c>
      <c r="P158" s="7" t="n">
        <v>283.6</v>
      </c>
      <c r="R158" s="7" t="n">
        <v>301.8</v>
      </c>
      <c r="T158" s="7" t="n">
        <v>196.4</v>
      </c>
      <c r="V158" s="7" t="n">
        <v>123.2</v>
      </c>
      <c r="X158" s="7" t="n">
        <v>191.8</v>
      </c>
      <c r="Z158" s="7" t="n">
        <v>159.7</v>
      </c>
      <c r="AB158" s="7" t="n">
        <v>2235.1</v>
      </c>
    </row>
    <row r="159">
      <c r="A159" s="4" t="inlineStr">
        <is>
          <t>质量赔偿</t>
        </is>
      </c>
      <c r="D159" s="7" t="n">
        <v>145.7</v>
      </c>
      <c r="F159" s="7" t="n">
        <v>87.7</v>
      </c>
      <c r="H159" s="7" t="n">
        <v>84.40000000000001</v>
      </c>
      <c r="J159" s="7" t="n">
        <v>110.5</v>
      </c>
      <c r="L159" s="7" t="n">
        <v>88.59999999999999</v>
      </c>
      <c r="N159" s="7" t="n">
        <v>147.3</v>
      </c>
      <c r="P159" s="7" t="n">
        <v>208.7</v>
      </c>
      <c r="R159" s="7" t="n">
        <v>169.5</v>
      </c>
      <c r="T159" s="7" t="n">
        <v>104.2</v>
      </c>
      <c r="V159" s="7" t="n">
        <v>96.09999999999999</v>
      </c>
      <c r="X159" s="7" t="n">
        <v>183.4</v>
      </c>
      <c r="Z159" s="7" t="n">
        <v>120.5</v>
      </c>
      <c r="AB159" s="7" t="n">
        <v>1546.6</v>
      </c>
    </row>
    <row r="160">
      <c r="A160" s="4" t="inlineStr">
        <is>
          <t>保险费</t>
        </is>
      </c>
      <c r="D160" s="7" t="n">
        <v>145.2</v>
      </c>
      <c r="F160" s="7" t="n">
        <v>125.8</v>
      </c>
      <c r="H160" s="7" t="n">
        <v>87.09999999999999</v>
      </c>
      <c r="J160" s="7" t="n">
        <v>140.4</v>
      </c>
      <c r="L160" s="7" t="n">
        <v>198.4</v>
      </c>
      <c r="N160" s="7" t="n">
        <v>213.2</v>
      </c>
      <c r="P160" s="7" t="n">
        <v>356.6</v>
      </c>
      <c r="R160" s="7" t="n">
        <v>175.6</v>
      </c>
      <c r="T160" s="7" t="n">
        <v>150.3</v>
      </c>
      <c r="V160" s="7" t="n">
        <v>200</v>
      </c>
      <c r="X160" s="7" t="n">
        <v>212.2</v>
      </c>
      <c r="Z160" s="7" t="n">
        <v>193.8</v>
      </c>
      <c r="AB160" s="7" t="n">
        <v>2198.6</v>
      </c>
    </row>
    <row r="161">
      <c r="A161" s="4" t="inlineStr">
        <is>
          <t>清洁费</t>
        </is>
      </c>
      <c r="D161" s="7" t="n">
        <v>81</v>
      </c>
      <c r="F161" s="7" t="n">
        <v>72.8</v>
      </c>
      <c r="H161" s="7" t="n">
        <v>46.8</v>
      </c>
      <c r="J161" s="7" t="n">
        <v>81.7</v>
      </c>
      <c r="L161" s="7" t="n">
        <v>79.3</v>
      </c>
      <c r="N161" s="7" t="n">
        <v>85.2</v>
      </c>
      <c r="P161" s="7" t="n">
        <v>224</v>
      </c>
      <c r="R161" s="7" t="n">
        <v>138.2</v>
      </c>
      <c r="T161" s="7" t="n">
        <v>90.40000000000001</v>
      </c>
      <c r="V161" s="7" t="n">
        <v>81.59999999999999</v>
      </c>
      <c r="X161" s="7" t="n">
        <v>116.9</v>
      </c>
      <c r="Z161" s="7" t="n">
        <v>110.8</v>
      </c>
      <c r="AB161" s="7" t="n">
        <v>1208.7</v>
      </c>
    </row>
    <row r="162">
      <c r="A162" s="4" t="inlineStr">
        <is>
          <t>低值易耗品</t>
        </is>
      </c>
      <c r="D162" s="7" t="n">
        <v>132.3</v>
      </c>
      <c r="F162" s="7" t="n">
        <v>165.4</v>
      </c>
      <c r="H162" s="7" t="n">
        <v>110.6</v>
      </c>
      <c r="J162" s="7" t="n">
        <v>117.3</v>
      </c>
      <c r="L162" s="7" t="n">
        <v>121</v>
      </c>
      <c r="N162" s="7" t="n">
        <v>213.3</v>
      </c>
      <c r="P162" s="7" t="n">
        <v>432</v>
      </c>
      <c r="R162" s="7" t="n">
        <v>284.6</v>
      </c>
      <c r="T162" s="7" t="n">
        <v>185.6</v>
      </c>
      <c r="V162" s="7" t="n">
        <v>153</v>
      </c>
      <c r="X162" s="7" t="n">
        <v>176.8</v>
      </c>
      <c r="Z162" s="7" t="n">
        <v>119.9</v>
      </c>
      <c r="AB162" s="7" t="n">
        <v>2211.8</v>
      </c>
    </row>
    <row r="163">
      <c r="A163" s="4" t="inlineStr">
        <is>
          <t>物料消耗</t>
        </is>
      </c>
      <c r="D163" s="7" t="n">
        <v>195.2</v>
      </c>
      <c r="F163" s="7" t="n">
        <v>113.7</v>
      </c>
      <c r="H163" s="7" t="n">
        <v>130.6</v>
      </c>
      <c r="J163" s="7" t="n">
        <v>143.4</v>
      </c>
      <c r="L163" s="7" t="n">
        <v>139.3</v>
      </c>
      <c r="N163" s="7" t="n">
        <v>194.5</v>
      </c>
      <c r="P163" s="7" t="n">
        <v>310.7</v>
      </c>
      <c r="R163" s="7" t="n">
        <v>302.8</v>
      </c>
      <c r="T163" s="7" t="n">
        <v>130</v>
      </c>
      <c r="V163" s="7" t="n">
        <v>209.4</v>
      </c>
      <c r="X163" s="7" t="n">
        <v>258.3</v>
      </c>
      <c r="Z163" s="7" t="n">
        <v>196</v>
      </c>
      <c r="AB163" s="7" t="n">
        <v>2323.9</v>
      </c>
    </row>
    <row r="164">
      <c r="A164" s="4" t="inlineStr">
        <is>
          <t>盘盈盘亏</t>
        </is>
      </c>
      <c r="D164" s="7" t="n">
        <v>182</v>
      </c>
      <c r="F164" s="7" t="n">
        <v>109.1</v>
      </c>
      <c r="H164" s="7" t="n">
        <v>73.09999999999999</v>
      </c>
      <c r="J164" s="7" t="n">
        <v>131.9</v>
      </c>
      <c r="L164" s="7" t="n">
        <v>112.5</v>
      </c>
      <c r="N164" s="7" t="n">
        <v>138.1</v>
      </c>
      <c r="P164" s="7" t="n">
        <v>375.5</v>
      </c>
      <c r="R164" s="7" t="n">
        <v>230.5</v>
      </c>
      <c r="T164" s="7" t="n">
        <v>126.9</v>
      </c>
      <c r="V164" s="7" t="n">
        <v>121.9</v>
      </c>
      <c r="X164" s="7" t="n">
        <v>174</v>
      </c>
      <c r="Z164" s="7" t="n">
        <v>186.3</v>
      </c>
      <c r="AB164" s="7" t="n">
        <v>1961.8</v>
      </c>
    </row>
    <row r="165">
      <c r="A165" s="4" t="inlineStr">
        <is>
          <t>平台服务费</t>
        </is>
      </c>
      <c r="D165" s="7" t="n">
        <v>91</v>
      </c>
      <c r="F165" s="7" t="n">
        <v>101.6</v>
      </c>
      <c r="H165" s="7" t="n">
        <v>88.5</v>
      </c>
      <c r="J165" s="7" t="n">
        <v>95.2</v>
      </c>
      <c r="L165" s="7" t="n">
        <v>102.5</v>
      </c>
      <c r="N165" s="7" t="n">
        <v>133.4</v>
      </c>
      <c r="P165" s="7" t="n">
        <v>295.5</v>
      </c>
      <c r="R165" s="7" t="n">
        <v>122</v>
      </c>
      <c r="T165" s="7" t="n">
        <v>99.8</v>
      </c>
      <c r="V165" s="7" t="n">
        <v>114</v>
      </c>
      <c r="X165" s="7" t="n">
        <v>125</v>
      </c>
      <c r="Z165" s="7" t="n">
        <v>128.3</v>
      </c>
      <c r="AB165" s="7" t="n">
        <v>1496.8</v>
      </c>
    </row>
    <row r="166">
      <c r="A166" s="4" t="inlineStr">
        <is>
          <t>无形资产摊销</t>
        </is>
      </c>
      <c r="D166" s="7" t="n">
        <v>94.7</v>
      </c>
      <c r="F166" s="7" t="n">
        <v>83.3</v>
      </c>
      <c r="H166" s="7" t="n">
        <v>76.90000000000001</v>
      </c>
      <c r="J166" s="7" t="n">
        <v>118.5</v>
      </c>
      <c r="L166" s="7" t="n">
        <v>143.7</v>
      </c>
      <c r="N166" s="7" t="n">
        <v>108.1</v>
      </c>
      <c r="P166" s="7" t="n">
        <v>257.8</v>
      </c>
      <c r="R166" s="7" t="n">
        <v>148.1</v>
      </c>
      <c r="T166" s="7" t="n">
        <v>160.9</v>
      </c>
      <c r="V166" s="7" t="n">
        <v>131.1</v>
      </c>
      <c r="X166" s="7" t="n">
        <v>187.8</v>
      </c>
      <c r="Z166" s="7" t="n">
        <v>99.5</v>
      </c>
      <c r="AB166" s="7" t="n">
        <v>1610.4</v>
      </c>
    </row>
    <row r="167">
      <c r="A167" s="4" t="inlineStr">
        <is>
          <t>研发材料</t>
        </is>
      </c>
      <c r="D167" s="7" t="n">
        <v>120.6</v>
      </c>
      <c r="F167" s="7" t="n">
        <v>114.3</v>
      </c>
      <c r="H167" s="7" t="n">
        <v>57.5</v>
      </c>
      <c r="J167" s="7" t="n">
        <v>73.2</v>
      </c>
      <c r="L167" s="7" t="n">
        <v>87.09999999999999</v>
      </c>
      <c r="N167" s="7" t="n">
        <v>89.7</v>
      </c>
      <c r="P167" s="7" t="n">
        <v>284.8</v>
      </c>
      <c r="R167" s="7" t="n">
        <v>106.8</v>
      </c>
      <c r="T167" s="7" t="n">
        <v>94.09999999999999</v>
      </c>
      <c r="V167" s="7" t="n">
        <v>82.40000000000001</v>
      </c>
      <c r="X167" s="7" t="n">
        <v>124.2</v>
      </c>
      <c r="Z167" s="7" t="n">
        <v>73.8</v>
      </c>
      <c r="AB167" s="7" t="n">
        <v>1308.5</v>
      </c>
    </row>
    <row r="168">
      <c r="A168" s="4" t="inlineStr">
        <is>
          <t>项目名称</t>
        </is>
      </c>
      <c r="D168" s="7" t="n">
        <v>14.2</v>
      </c>
      <c r="F168" s="7" t="n">
        <v>14.2</v>
      </c>
      <c r="H168" s="7" t="n">
        <v>9.300000000000001</v>
      </c>
      <c r="J168" s="7" t="n">
        <v>18.5</v>
      </c>
      <c r="L168" s="7" t="n">
        <v>17.2</v>
      </c>
      <c r="N168" s="7" t="n">
        <v>13.5</v>
      </c>
      <c r="P168" s="7" t="n">
        <v>31.2</v>
      </c>
      <c r="R168" s="7" t="n">
        <v>24.6</v>
      </c>
      <c r="T168" s="7" t="n">
        <v>17.8</v>
      </c>
      <c r="V168" s="7" t="n">
        <v>13.6</v>
      </c>
      <c r="X168" s="7" t="n">
        <v>21.6</v>
      </c>
      <c r="Z168" s="7" t="n">
        <v>20.3</v>
      </c>
      <c r="AB168" s="7" t="n">
        <v>216</v>
      </c>
    </row>
    <row r="169">
      <c r="A169" s="4" t="inlineStr">
        <is>
          <t>研发费</t>
        </is>
      </c>
      <c r="D169" s="7" t="n">
        <v>165.8</v>
      </c>
      <c r="F169" s="7" t="n">
        <v>147.9</v>
      </c>
      <c r="H169" s="7" t="n">
        <v>134.3</v>
      </c>
      <c r="J169" s="7" t="n">
        <v>150.7</v>
      </c>
      <c r="L169" s="7" t="n">
        <v>189.3</v>
      </c>
      <c r="N169" s="7" t="n">
        <v>187.1</v>
      </c>
      <c r="P169" s="7" t="n">
        <v>363.1</v>
      </c>
      <c r="R169" s="7" t="n">
        <v>305.7</v>
      </c>
      <c r="T169" s="7" t="n">
        <v>223.4</v>
      </c>
      <c r="V169" s="7" t="n">
        <v>161.7</v>
      </c>
      <c r="X169" s="7" t="n">
        <v>237.9</v>
      </c>
      <c r="Z169" s="7" t="n">
        <v>174.4</v>
      </c>
      <c r="AB169" s="7" t="n">
        <v>2441.3</v>
      </c>
    </row>
    <row r="170">
      <c r="A170" s="4" t="inlineStr">
        <is>
          <t>残保金</t>
        </is>
      </c>
      <c r="D170" s="7" t="n">
        <v>159.4</v>
      </c>
      <c r="F170" s="7" t="n">
        <v>138.8</v>
      </c>
      <c r="H170" s="7" t="n">
        <v>125</v>
      </c>
      <c r="J170" s="7" t="n">
        <v>146.1</v>
      </c>
      <c r="L170" s="7" t="n">
        <v>172.4</v>
      </c>
      <c r="N170" s="7" t="n">
        <v>152.4</v>
      </c>
      <c r="P170" s="7" t="n">
        <v>347.4</v>
      </c>
      <c r="R170" s="7" t="n">
        <v>175.1</v>
      </c>
      <c r="T170" s="7" t="n">
        <v>146.6</v>
      </c>
      <c r="V170" s="7" t="n">
        <v>120.2</v>
      </c>
      <c r="X170" s="7" t="n">
        <v>187.8</v>
      </c>
      <c r="Z170" s="7" t="n">
        <v>110.2</v>
      </c>
      <c r="AB170" s="7" t="n">
        <v>1981.4</v>
      </c>
    </row>
    <row r="171">
      <c r="A171" s="4" t="inlineStr">
        <is>
          <t>环保费</t>
        </is>
      </c>
      <c r="D171" s="7" t="n">
        <v>105</v>
      </c>
      <c r="F171" s="7" t="n">
        <v>148.4</v>
      </c>
      <c r="H171" s="7" t="n">
        <v>101.6</v>
      </c>
      <c r="J171" s="7" t="n">
        <v>157.5</v>
      </c>
      <c r="L171" s="7" t="n">
        <v>146.8</v>
      </c>
      <c r="N171" s="7" t="n">
        <v>184.8</v>
      </c>
      <c r="P171" s="7" t="n">
        <v>381.1</v>
      </c>
      <c r="R171" s="7" t="n">
        <v>240.9</v>
      </c>
      <c r="T171" s="7" t="n">
        <v>120.8</v>
      </c>
      <c r="V171" s="7" t="n">
        <v>110.8</v>
      </c>
      <c r="X171" s="7" t="n">
        <v>177.5</v>
      </c>
      <c r="Z171" s="7" t="n">
        <v>137.7</v>
      </c>
      <c r="AB171" s="7" t="n">
        <v>2012.9</v>
      </c>
    </row>
    <row r="172">
      <c r="A172" s="4" t="inlineStr">
        <is>
          <t>报废损失</t>
        </is>
      </c>
      <c r="D172" s="7" t="n">
        <v>131.3</v>
      </c>
      <c r="F172" s="7" t="n">
        <v>139.1</v>
      </c>
      <c r="H172" s="7" t="n">
        <v>101.7</v>
      </c>
      <c r="J172" s="7" t="n">
        <v>127.9</v>
      </c>
      <c r="L172" s="7" t="n">
        <v>141.7</v>
      </c>
      <c r="N172" s="7" t="n">
        <v>141.3</v>
      </c>
      <c r="P172" s="7" t="n">
        <v>281.2</v>
      </c>
      <c r="R172" s="7" t="n">
        <v>186</v>
      </c>
      <c r="T172" s="7" t="n">
        <v>101.5</v>
      </c>
      <c r="V172" s="7" t="n">
        <v>127.1</v>
      </c>
      <c r="X172" s="7" t="n">
        <v>127.8</v>
      </c>
      <c r="Z172" s="7" t="n">
        <v>94.7</v>
      </c>
      <c r="AB172" s="7" t="n">
        <v>1701.3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19448.4</v>
      </c>
      <c r="D173" s="7" t="n">
        <v>12346.5</v>
      </c>
      <c r="E173" s="7" t="n">
        <v>15975</v>
      </c>
      <c r="F173" s="7" t="n">
        <v>15465.8</v>
      </c>
      <c r="G173" s="7" t="n">
        <v>19059.7</v>
      </c>
      <c r="H173" s="7" t="n">
        <v>10346.9</v>
      </c>
      <c r="I173" s="7" t="n">
        <v>16346.5</v>
      </c>
      <c r="J173" s="7" t="n">
        <v>17528.9</v>
      </c>
      <c r="K173" s="7" t="n">
        <v>19759.3</v>
      </c>
      <c r="L173" s="7" t="n">
        <v>29079.4</v>
      </c>
      <c r="M173" s="7" t="n">
        <v>17818.3</v>
      </c>
      <c r="N173" s="7" t="n">
        <v>15490</v>
      </c>
      <c r="O173" s="7" t="n">
        <v>16195.7</v>
      </c>
      <c r="P173" s="7" t="n">
        <v>27303.3</v>
      </c>
      <c r="Q173" s="7" t="n">
        <v>16158.3</v>
      </c>
      <c r="R173" s="7" t="n">
        <v>13432.2</v>
      </c>
      <c r="S173" s="7" t="n">
        <v>19072.9</v>
      </c>
      <c r="T173" s="7" t="n">
        <v>15063.9</v>
      </c>
      <c r="U173" s="7" t="n">
        <v>18885.4</v>
      </c>
      <c r="V173" s="7" t="n">
        <v>19589</v>
      </c>
      <c r="W173" s="7" t="n">
        <v>18028.5</v>
      </c>
      <c r="X173" s="7" t="n">
        <v>18854.4</v>
      </c>
      <c r="Y173" s="7" t="n">
        <v>18624.2</v>
      </c>
      <c r="Z173" s="7" t="n">
        <v>14856.8</v>
      </c>
      <c r="AA173" s="8" t="n">
        <v>215372.2</v>
      </c>
      <c r="AB173" s="8" t="n">
        <v>209357.1</v>
      </c>
    </row>
    <row r="174">
      <c r="A174" s="4" t="inlineStr">
        <is>
          <t>职工薪酬</t>
        </is>
      </c>
      <c r="D174" s="7" t="n">
        <v>6722.8</v>
      </c>
      <c r="F174" s="7" t="n">
        <v>7700.9</v>
      </c>
      <c r="H174" s="7" t="n">
        <v>4680.3</v>
      </c>
      <c r="J174" s="7" t="n">
        <v>8739.5</v>
      </c>
      <c r="L174" s="7" t="n">
        <v>17350.7</v>
      </c>
      <c r="N174" s="7" t="n">
        <v>7581.3</v>
      </c>
      <c r="P174" s="7" t="n">
        <v>13768.6</v>
      </c>
      <c r="R174" s="7" t="n">
        <v>6791.6</v>
      </c>
      <c r="T174" s="7" t="n">
        <v>9193.9</v>
      </c>
      <c r="V174" s="7" t="n">
        <v>8547.9</v>
      </c>
      <c r="X174" s="7" t="n">
        <v>8374.9</v>
      </c>
      <c r="Z174" s="7" t="n">
        <v>8224.6</v>
      </c>
      <c r="AB174" s="7" t="n">
        <v>107677</v>
      </c>
    </row>
    <row r="175">
      <c r="A175" s="4" t="inlineStr">
        <is>
          <t>工资</t>
        </is>
      </c>
      <c r="D175" s="7" t="n">
        <v>3764</v>
      </c>
      <c r="F175" s="7" t="n">
        <v>4633.3</v>
      </c>
      <c r="H175" s="7" t="n">
        <v>2382.4</v>
      </c>
      <c r="J175" s="7" t="n">
        <v>5228.2</v>
      </c>
      <c r="L175" s="7" t="n">
        <v>10793.4</v>
      </c>
      <c r="N175" s="7" t="n">
        <v>4164.3</v>
      </c>
      <c r="P175" s="7" t="n">
        <v>8582.1</v>
      </c>
      <c r="R175" s="7" t="n">
        <v>4170.6</v>
      </c>
      <c r="T175" s="7" t="n">
        <v>5644.4</v>
      </c>
      <c r="V175" s="7" t="n">
        <v>4970.6</v>
      </c>
      <c r="X175" s="7" t="n">
        <v>4465.9</v>
      </c>
      <c r="Z175" s="7" t="n">
        <v>5292.3</v>
      </c>
      <c r="AB175" s="7" t="n">
        <v>64091.5</v>
      </c>
    </row>
    <row r="176">
      <c r="A176" s="4" t="inlineStr">
        <is>
          <t>奖金及提成</t>
        </is>
      </c>
      <c r="D176" s="7" t="n">
        <v>1421.9</v>
      </c>
      <c r="F176" s="7" t="n">
        <v>1174.1</v>
      </c>
      <c r="H176" s="7" t="n">
        <v>1216.7</v>
      </c>
      <c r="J176" s="7" t="n">
        <v>1644.7</v>
      </c>
      <c r="L176" s="7" t="n">
        <v>3414.9</v>
      </c>
      <c r="N176" s="7" t="n">
        <v>1886.4</v>
      </c>
      <c r="P176" s="7" t="n">
        <v>2808.9</v>
      </c>
      <c r="R176" s="7" t="n">
        <v>1079.9</v>
      </c>
      <c r="T176" s="7" t="n">
        <v>1852.9</v>
      </c>
      <c r="V176" s="7" t="n">
        <v>1683.1</v>
      </c>
      <c r="X176" s="7" t="n">
        <v>1946.8</v>
      </c>
      <c r="Z176" s="7" t="n">
        <v>1580.7</v>
      </c>
      <c r="AB176" s="7" t="n">
        <v>21711</v>
      </c>
    </row>
    <row r="177">
      <c r="A177" s="4" t="inlineStr">
        <is>
          <t>社保</t>
        </is>
      </c>
      <c r="D177" s="7" t="n">
        <v>1248.3</v>
      </c>
      <c r="F177" s="7" t="n">
        <v>1522.9</v>
      </c>
      <c r="H177" s="7" t="n">
        <v>837</v>
      </c>
      <c r="J177" s="7" t="n">
        <v>1407.3</v>
      </c>
      <c r="L177" s="7" t="n">
        <v>2422.6</v>
      </c>
      <c r="N177" s="7" t="n">
        <v>1127.2</v>
      </c>
      <c r="P177" s="7" t="n">
        <v>1805</v>
      </c>
      <c r="R177" s="7" t="n">
        <v>1229.3</v>
      </c>
      <c r="T177" s="7" t="n">
        <v>1353.3</v>
      </c>
      <c r="V177" s="7" t="n">
        <v>1446.9</v>
      </c>
      <c r="X177" s="7" t="n">
        <v>1521.3</v>
      </c>
      <c r="Z177" s="7" t="n">
        <v>963.7</v>
      </c>
      <c r="AB177" s="7" t="n">
        <v>16884.8</v>
      </c>
    </row>
    <row r="178">
      <c r="A178" s="4" t="inlineStr">
        <is>
          <t>养老</t>
        </is>
      </c>
      <c r="D178" s="7" t="n">
        <v>48.3</v>
      </c>
      <c r="F178" s="7" t="n">
        <v>47.6</v>
      </c>
      <c r="H178" s="7" t="n">
        <v>52</v>
      </c>
      <c r="J178" s="7" t="n">
        <v>84.3</v>
      </c>
      <c r="L178" s="7" t="n">
        <v>157.8</v>
      </c>
      <c r="N178" s="7" t="n">
        <v>75.2</v>
      </c>
      <c r="P178" s="7" t="n">
        <v>93.7</v>
      </c>
      <c r="R178" s="7" t="n">
        <v>48.7</v>
      </c>
      <c r="T178" s="7" t="n">
        <v>55.5</v>
      </c>
      <c r="V178" s="7" t="n">
        <v>102.6</v>
      </c>
      <c r="X178" s="7" t="n">
        <v>85.7</v>
      </c>
      <c r="Z178" s="7" t="n">
        <v>73.8</v>
      </c>
      <c r="AB178" s="7" t="n">
        <v>925.2</v>
      </c>
    </row>
    <row r="179">
      <c r="A179" s="4" t="inlineStr">
        <is>
          <t>医疗</t>
        </is>
      </c>
      <c r="D179" s="7" t="n">
        <v>72.3</v>
      </c>
      <c r="F179" s="7" t="n">
        <v>66.40000000000001</v>
      </c>
      <c r="H179" s="7" t="n">
        <v>42.9</v>
      </c>
      <c r="J179" s="7" t="n">
        <v>118.1</v>
      </c>
      <c r="L179" s="7" t="n">
        <v>130.1</v>
      </c>
      <c r="N179" s="7" t="n">
        <v>71.8</v>
      </c>
      <c r="P179" s="7" t="n">
        <v>174.1</v>
      </c>
      <c r="R179" s="7" t="n">
        <v>93.3</v>
      </c>
      <c r="T179" s="7" t="n">
        <v>103.1</v>
      </c>
      <c r="V179" s="7" t="n">
        <v>78.40000000000001</v>
      </c>
      <c r="X179" s="7" t="n">
        <v>83.5</v>
      </c>
      <c r="Z179" s="7" t="n">
        <v>87.2</v>
      </c>
      <c r="AB179" s="7" t="n">
        <v>1121.2</v>
      </c>
    </row>
    <row r="180">
      <c r="A180" s="4" t="inlineStr">
        <is>
          <t>工伤</t>
        </is>
      </c>
      <c r="D180" s="7" t="n">
        <v>71.8</v>
      </c>
      <c r="F180" s="7" t="n">
        <v>83.09999999999999</v>
      </c>
      <c r="H180" s="7" t="n">
        <v>48.1</v>
      </c>
      <c r="J180" s="7" t="n">
        <v>64</v>
      </c>
      <c r="L180" s="7" t="n">
        <v>131</v>
      </c>
      <c r="N180" s="7" t="n">
        <v>78.09999999999999</v>
      </c>
      <c r="P180" s="7" t="n">
        <v>152.4</v>
      </c>
      <c r="R180" s="7" t="n">
        <v>78.3</v>
      </c>
      <c r="T180" s="7" t="n">
        <v>62.8</v>
      </c>
      <c r="V180" s="7" t="n">
        <v>106.8</v>
      </c>
      <c r="X180" s="7" t="n">
        <v>78.8</v>
      </c>
      <c r="Z180" s="7" t="n">
        <v>53.4</v>
      </c>
      <c r="AB180" s="7" t="n">
        <v>1008.6</v>
      </c>
    </row>
    <row r="181">
      <c r="A181" s="4" t="inlineStr">
        <is>
          <t>失业</t>
        </is>
      </c>
      <c r="D181" s="7" t="n">
        <v>33</v>
      </c>
      <c r="F181" s="7" t="n">
        <v>34.8</v>
      </c>
      <c r="H181" s="7" t="n">
        <v>29.8</v>
      </c>
      <c r="J181" s="7" t="n">
        <v>36.1</v>
      </c>
      <c r="L181" s="7" t="n">
        <v>101.5</v>
      </c>
      <c r="N181" s="7" t="n">
        <v>33.2</v>
      </c>
      <c r="P181" s="7" t="n">
        <v>54.2</v>
      </c>
      <c r="R181" s="7" t="n">
        <v>28.9</v>
      </c>
      <c r="T181" s="7" t="n">
        <v>32.5</v>
      </c>
      <c r="V181" s="7" t="n">
        <v>44</v>
      </c>
      <c r="X181" s="7" t="n">
        <v>39.6</v>
      </c>
      <c r="Z181" s="7" t="n">
        <v>45</v>
      </c>
      <c r="AB181" s="7" t="n">
        <v>512.6</v>
      </c>
    </row>
    <row r="182">
      <c r="A182" s="4" t="inlineStr">
        <is>
          <t>生育</t>
        </is>
      </c>
      <c r="D182" s="7" t="n">
        <v>55.4</v>
      </c>
      <c r="F182" s="7" t="n">
        <v>69.59999999999999</v>
      </c>
      <c r="H182" s="7" t="n">
        <v>52.1</v>
      </c>
      <c r="J182" s="7" t="n">
        <v>58.9</v>
      </c>
      <c r="L182" s="7" t="n">
        <v>142</v>
      </c>
      <c r="N182" s="7" t="n">
        <v>81.59999999999999</v>
      </c>
      <c r="P182" s="7" t="n">
        <v>94.5</v>
      </c>
      <c r="R182" s="7" t="n">
        <v>47.4</v>
      </c>
      <c r="T182" s="7" t="n">
        <v>65.09999999999999</v>
      </c>
      <c r="V182" s="7" t="n">
        <v>70</v>
      </c>
      <c r="X182" s="7" t="n">
        <v>70</v>
      </c>
      <c r="Z182" s="7" t="n">
        <v>52.7</v>
      </c>
      <c r="AB182" s="7" t="n">
        <v>859.3</v>
      </c>
    </row>
    <row r="183">
      <c r="A183" s="4" t="inlineStr">
        <is>
          <t>公积金</t>
        </is>
      </c>
      <c r="D183" s="7" t="n">
        <v>56.6</v>
      </c>
      <c r="F183" s="7" t="n">
        <v>83</v>
      </c>
      <c r="H183" s="7" t="n">
        <v>53.7</v>
      </c>
      <c r="J183" s="7" t="n">
        <v>104.1</v>
      </c>
      <c r="L183" s="7" t="n">
        <v>159.1</v>
      </c>
      <c r="N183" s="7" t="n">
        <v>92.3</v>
      </c>
      <c r="P183" s="7" t="n">
        <v>105.8</v>
      </c>
      <c r="R183" s="7" t="n">
        <v>68.3</v>
      </c>
      <c r="T183" s="7" t="n">
        <v>81.09999999999999</v>
      </c>
      <c r="V183" s="7" t="n">
        <v>66.90000000000001</v>
      </c>
      <c r="X183" s="7" t="n">
        <v>93.09999999999999</v>
      </c>
      <c r="Z183" s="7" t="n">
        <v>67.40000000000001</v>
      </c>
      <c r="AB183" s="7" t="n">
        <v>1031.4</v>
      </c>
    </row>
    <row r="184">
      <c r="A184" s="4" t="inlineStr">
        <is>
          <t>工会经费</t>
        </is>
      </c>
      <c r="D184" s="7" t="n">
        <v>27.9</v>
      </c>
      <c r="F184" s="7" t="n">
        <v>37.5</v>
      </c>
      <c r="H184" s="7" t="n">
        <v>22.3</v>
      </c>
      <c r="J184" s="7" t="n">
        <v>47.5</v>
      </c>
      <c r="L184" s="7" t="n">
        <v>76.3</v>
      </c>
      <c r="N184" s="7" t="n">
        <v>39.9</v>
      </c>
      <c r="P184" s="7" t="n">
        <v>46</v>
      </c>
      <c r="R184" s="7" t="n">
        <v>34.4</v>
      </c>
      <c r="T184" s="7" t="n">
        <v>29</v>
      </c>
      <c r="V184" s="7" t="n">
        <v>32.9</v>
      </c>
      <c r="X184" s="7" t="n">
        <v>36.3</v>
      </c>
      <c r="Z184" s="7" t="n">
        <v>38.6</v>
      </c>
      <c r="AB184" s="7" t="n">
        <v>468.6</v>
      </c>
    </row>
    <row r="185">
      <c r="A185" s="4" t="inlineStr">
        <is>
          <t>职工教育经费</t>
        </is>
      </c>
      <c r="D185" s="7" t="n">
        <v>59.5</v>
      </c>
      <c r="F185" s="7" t="n">
        <v>54.3</v>
      </c>
      <c r="H185" s="7" t="n">
        <v>41.8</v>
      </c>
      <c r="J185" s="7" t="n">
        <v>55.4</v>
      </c>
      <c r="L185" s="7" t="n">
        <v>143.1</v>
      </c>
      <c r="N185" s="7" t="n">
        <v>89.40000000000001</v>
      </c>
      <c r="P185" s="7" t="n">
        <v>96.59999999999999</v>
      </c>
      <c r="R185" s="7" t="n">
        <v>52.5</v>
      </c>
      <c r="T185" s="7" t="n">
        <v>52.4</v>
      </c>
      <c r="V185" s="7" t="n">
        <v>105.6</v>
      </c>
      <c r="X185" s="7" t="n">
        <v>89.09999999999999</v>
      </c>
      <c r="Z185" s="7" t="n">
        <v>74.59999999999999</v>
      </c>
      <c r="AB185" s="7" t="n">
        <v>914.3</v>
      </c>
    </row>
    <row r="186">
      <c r="A186" s="4" t="inlineStr">
        <is>
          <t>福利费</t>
        </is>
      </c>
      <c r="D186" s="7" t="n">
        <v>144.6</v>
      </c>
      <c r="F186" s="7" t="n">
        <v>195.8</v>
      </c>
      <c r="H186" s="7" t="n">
        <v>126.4</v>
      </c>
      <c r="J186" s="7" t="n">
        <v>252.3</v>
      </c>
      <c r="L186" s="7" t="n">
        <v>341.3</v>
      </c>
      <c r="N186" s="7" t="n">
        <v>181.8</v>
      </c>
      <c r="P186" s="7" t="n">
        <v>324.2</v>
      </c>
      <c r="R186" s="7" t="n">
        <v>156.6</v>
      </c>
      <c r="T186" s="7" t="n">
        <v>180.8</v>
      </c>
      <c r="V186" s="7" t="n">
        <v>241.9</v>
      </c>
      <c r="X186" s="7" t="n">
        <v>222.4</v>
      </c>
      <c r="Z186" s="7" t="n">
        <v>207.3</v>
      </c>
      <c r="AB186" s="7" t="n">
        <v>2575.4</v>
      </c>
    </row>
    <row r="187">
      <c r="A187" s="4" t="inlineStr">
        <is>
          <t>职工房租</t>
        </is>
      </c>
      <c r="D187" s="7" t="n">
        <v>56.1</v>
      </c>
      <c r="F187" s="7" t="n">
        <v>50</v>
      </c>
      <c r="H187" s="7" t="n">
        <v>35.7</v>
      </c>
      <c r="J187" s="7" t="n">
        <v>102.3</v>
      </c>
      <c r="L187" s="7" t="n">
        <v>102.1</v>
      </c>
      <c r="N187" s="7" t="n">
        <v>61</v>
      </c>
      <c r="P187" s="7" t="n">
        <v>118.7</v>
      </c>
      <c r="R187" s="7" t="n">
        <v>56</v>
      </c>
      <c r="T187" s="7" t="n">
        <v>61.5</v>
      </c>
      <c r="V187" s="7" t="n">
        <v>82.09999999999999</v>
      </c>
      <c r="X187" s="7" t="n">
        <v>75.90000000000001</v>
      </c>
      <c r="Z187" s="7" t="n">
        <v>84.90000000000001</v>
      </c>
      <c r="AB187" s="7" t="n">
        <v>886.3</v>
      </c>
    </row>
    <row r="188">
      <c r="A188" s="4" t="inlineStr">
        <is>
          <t>水电物业费</t>
        </is>
      </c>
      <c r="D188" s="7" t="n">
        <v>12.3</v>
      </c>
      <c r="F188" s="7" t="n">
        <v>27.2</v>
      </c>
      <c r="H188" s="7" t="n">
        <v>17.7</v>
      </c>
      <c r="J188" s="7" t="n">
        <v>28.4</v>
      </c>
      <c r="L188" s="7" t="n">
        <v>28.9</v>
      </c>
      <c r="N188" s="7" t="n">
        <v>27.9</v>
      </c>
      <c r="P188" s="7" t="n">
        <v>47.8</v>
      </c>
      <c r="R188" s="7" t="n">
        <v>17.8</v>
      </c>
      <c r="T188" s="7" t="n">
        <v>19.2</v>
      </c>
      <c r="V188" s="7" t="n">
        <v>21.7</v>
      </c>
      <c r="X188" s="7" t="n">
        <v>22</v>
      </c>
      <c r="Z188" s="7" t="n">
        <v>20.6</v>
      </c>
      <c r="AB188" s="7" t="n">
        <v>291.5</v>
      </c>
    </row>
    <row r="189">
      <c r="A189" s="4" t="inlineStr">
        <is>
          <t>员工餐</t>
        </is>
      </c>
      <c r="D189" s="7" t="n">
        <v>5.2</v>
      </c>
      <c r="F189" s="7" t="n">
        <v>4.5</v>
      </c>
      <c r="H189" s="7" t="n">
        <v>4.6</v>
      </c>
      <c r="J189" s="7" t="n">
        <v>8.9</v>
      </c>
      <c r="L189" s="7" t="n">
        <v>11</v>
      </c>
      <c r="N189" s="7" t="n">
        <v>7.5</v>
      </c>
      <c r="P189" s="7" t="n">
        <v>7.7</v>
      </c>
      <c r="R189" s="7" t="n">
        <v>4.4</v>
      </c>
      <c r="T189" s="7" t="n">
        <v>4.6</v>
      </c>
      <c r="V189" s="7" t="n">
        <v>6.7</v>
      </c>
      <c r="X189" s="7" t="n">
        <v>8.1</v>
      </c>
      <c r="Z189" s="7" t="n">
        <v>7.3</v>
      </c>
      <c r="AB189" s="7" t="n">
        <v>80.5</v>
      </c>
    </row>
    <row r="190">
      <c r="A190" s="4" t="inlineStr">
        <is>
          <t>节日礼品</t>
        </is>
      </c>
      <c r="D190" s="7" t="n">
        <v>23.7</v>
      </c>
      <c r="F190" s="7" t="n">
        <v>42.3</v>
      </c>
      <c r="H190" s="7" t="n">
        <v>27.8</v>
      </c>
      <c r="J190" s="7" t="n">
        <v>43.7</v>
      </c>
      <c r="L190" s="7" t="n">
        <v>70.90000000000001</v>
      </c>
      <c r="N190" s="7" t="n">
        <v>29</v>
      </c>
      <c r="P190" s="7" t="n">
        <v>69</v>
      </c>
      <c r="R190" s="7" t="n">
        <v>26.3</v>
      </c>
      <c r="T190" s="7" t="n">
        <v>28.7</v>
      </c>
      <c r="V190" s="7" t="n">
        <v>34.1</v>
      </c>
      <c r="X190" s="7" t="n">
        <v>45.3</v>
      </c>
      <c r="Z190" s="7" t="n">
        <v>41.5</v>
      </c>
      <c r="AB190" s="7" t="n">
        <v>482.3</v>
      </c>
    </row>
    <row r="191">
      <c r="A191" s="4" t="inlineStr">
        <is>
          <t>生日礼品</t>
        </is>
      </c>
      <c r="D191" s="7" t="n">
        <v>32.8</v>
      </c>
      <c r="F191" s="7" t="n">
        <v>51.3</v>
      </c>
      <c r="H191" s="7" t="n">
        <v>29.8</v>
      </c>
      <c r="J191" s="7" t="n">
        <v>42.9</v>
      </c>
      <c r="L191" s="7" t="n">
        <v>95.59999999999999</v>
      </c>
      <c r="N191" s="7" t="n">
        <v>36.5</v>
      </c>
      <c r="P191" s="7" t="n">
        <v>53.7</v>
      </c>
      <c r="R191" s="7" t="n">
        <v>34.5</v>
      </c>
      <c r="T191" s="7" t="n">
        <v>44.3</v>
      </c>
      <c r="V191" s="7" t="n">
        <v>67.7</v>
      </c>
      <c r="X191" s="7" t="n">
        <v>46.3</v>
      </c>
      <c r="Z191" s="7" t="n">
        <v>37.7</v>
      </c>
      <c r="AB191" s="7" t="n">
        <v>573.1</v>
      </c>
    </row>
    <row r="192">
      <c r="A192" s="4" t="inlineStr">
        <is>
          <t>体检</t>
        </is>
      </c>
      <c r="D192" s="7" t="n">
        <v>11.8</v>
      </c>
      <c r="F192" s="7" t="n">
        <v>17.3</v>
      </c>
      <c r="H192" s="7" t="n">
        <v>8.9</v>
      </c>
      <c r="J192" s="7" t="n">
        <v>23.8</v>
      </c>
      <c r="L192" s="7" t="n">
        <v>28</v>
      </c>
      <c r="N192" s="7" t="n">
        <v>16.8</v>
      </c>
      <c r="P192" s="7" t="n">
        <v>23.7</v>
      </c>
      <c r="R192" s="7" t="n">
        <v>15.7</v>
      </c>
      <c r="T192" s="7" t="n">
        <v>19.8</v>
      </c>
      <c r="V192" s="7" t="n">
        <v>26.1</v>
      </c>
      <c r="X192" s="7" t="n">
        <v>21.5</v>
      </c>
      <c r="Z192" s="7" t="n">
        <v>12.2</v>
      </c>
      <c r="AB192" s="7" t="n">
        <v>225.6</v>
      </c>
    </row>
    <row r="193">
      <c r="A193" s="4" t="inlineStr">
        <is>
          <t>其他福利支出</t>
        </is>
      </c>
      <c r="D193" s="7" t="n">
        <v>2.7</v>
      </c>
      <c r="F193" s="7" t="n">
        <v>3.2</v>
      </c>
      <c r="H193" s="7" t="n">
        <v>1.9</v>
      </c>
      <c r="J193" s="7" t="n">
        <v>2.3</v>
      </c>
      <c r="L193" s="7" t="n">
        <v>4.8</v>
      </c>
      <c r="N193" s="7" t="n">
        <v>3.1</v>
      </c>
      <c r="P193" s="7" t="n">
        <v>3.6</v>
      </c>
      <c r="R193" s="7" t="n">
        <v>1.9</v>
      </c>
      <c r="T193" s="7" t="n">
        <v>2.7</v>
      </c>
      <c r="V193" s="7" t="n">
        <v>3.5</v>
      </c>
      <c r="X193" s="7" t="n">
        <v>3.3</v>
      </c>
      <c r="Z193" s="7" t="n">
        <v>3.1</v>
      </c>
      <c r="AB193" s="7" t="n">
        <v>36.1</v>
      </c>
    </row>
    <row r="194">
      <c r="A194" s="4" t="inlineStr">
        <is>
          <t>招聘费</t>
        </is>
      </c>
      <c r="D194" s="7" t="n">
        <v>52.6</v>
      </c>
      <c r="F194" s="7" t="n">
        <v>53.6</v>
      </c>
      <c r="H194" s="7" t="n">
        <v>32.7</v>
      </c>
      <c r="J194" s="7" t="n">
        <v>87.2</v>
      </c>
      <c r="L194" s="7" t="n">
        <v>164.2</v>
      </c>
      <c r="N194" s="7" t="n">
        <v>76.40000000000001</v>
      </c>
      <c r="P194" s="7" t="n">
        <v>117.4</v>
      </c>
      <c r="R194" s="7" t="n">
        <v>48.2</v>
      </c>
      <c r="T194" s="7" t="n">
        <v>48</v>
      </c>
      <c r="V194" s="7" t="n">
        <v>83.7</v>
      </c>
      <c r="X194" s="7" t="n">
        <v>70.3</v>
      </c>
      <c r="Z194" s="7" t="n">
        <v>63.8</v>
      </c>
      <c r="AB194" s="7" t="n">
        <v>898.1</v>
      </c>
    </row>
    <row r="195">
      <c r="A195" s="4" t="inlineStr">
        <is>
          <t>办公费</t>
        </is>
      </c>
      <c r="D195" s="7" t="n">
        <v>310.2</v>
      </c>
      <c r="F195" s="7" t="n">
        <v>347</v>
      </c>
      <c r="H195" s="7" t="n">
        <v>226.2</v>
      </c>
      <c r="J195" s="7" t="n">
        <v>642.7</v>
      </c>
      <c r="L195" s="7" t="n">
        <v>799.7</v>
      </c>
      <c r="N195" s="7" t="n">
        <v>473.3</v>
      </c>
      <c r="P195" s="7" t="n">
        <v>708.8</v>
      </c>
      <c r="R195" s="7" t="n">
        <v>354.7</v>
      </c>
      <c r="T195" s="7" t="n">
        <v>533.5</v>
      </c>
      <c r="V195" s="7" t="n">
        <v>473.1</v>
      </c>
      <c r="X195" s="7" t="n">
        <v>634.9</v>
      </c>
      <c r="Z195" s="7" t="n">
        <v>318.6</v>
      </c>
      <c r="AB195" s="7" t="n">
        <v>5822.7</v>
      </c>
    </row>
    <row r="196">
      <c r="A196" s="4" t="inlineStr">
        <is>
          <t>市内交通费</t>
        </is>
      </c>
      <c r="D196" s="7" t="n">
        <v>37</v>
      </c>
      <c r="F196" s="7" t="n">
        <v>58.4</v>
      </c>
      <c r="H196" s="7" t="n">
        <v>39</v>
      </c>
      <c r="J196" s="7" t="n">
        <v>59.3</v>
      </c>
      <c r="L196" s="7" t="n">
        <v>103</v>
      </c>
      <c r="N196" s="7" t="n">
        <v>55</v>
      </c>
      <c r="P196" s="7" t="n">
        <v>86.2</v>
      </c>
      <c r="R196" s="7" t="n">
        <v>35.7</v>
      </c>
      <c r="T196" s="7" t="n">
        <v>43.1</v>
      </c>
      <c r="V196" s="7" t="n">
        <v>51.1</v>
      </c>
      <c r="X196" s="7" t="n">
        <v>57.3</v>
      </c>
      <c r="Z196" s="7" t="n">
        <v>60.7</v>
      </c>
      <c r="AB196" s="7" t="n">
        <v>685.8</v>
      </c>
    </row>
    <row r="197">
      <c r="A197" s="4" t="inlineStr">
        <is>
          <t>差旅费</t>
        </is>
      </c>
      <c r="D197" s="7" t="n">
        <v>906.2</v>
      </c>
      <c r="F197" s="7" t="n">
        <v>761.1</v>
      </c>
      <c r="H197" s="7" t="n">
        <v>584.5</v>
      </c>
      <c r="J197" s="7" t="n">
        <v>1255.3</v>
      </c>
      <c r="L197" s="7" t="n">
        <v>2183.9</v>
      </c>
      <c r="N197" s="7" t="n">
        <v>895.6</v>
      </c>
      <c r="P197" s="7" t="n">
        <v>1396.6</v>
      </c>
      <c r="R197" s="7" t="n">
        <v>775.7</v>
      </c>
      <c r="T197" s="7" t="n">
        <v>846.1</v>
      </c>
      <c r="V197" s="7" t="n">
        <v>1403.3</v>
      </c>
      <c r="X197" s="7" t="n">
        <v>845.5</v>
      </c>
      <c r="Z197" s="7" t="n">
        <v>936.9</v>
      </c>
      <c r="AB197" s="7" t="n">
        <v>12790.7</v>
      </c>
    </row>
    <row r="198">
      <c r="A198" s="4" t="inlineStr">
        <is>
          <t>交通费</t>
        </is>
      </c>
      <c r="D198" s="7" t="n">
        <v>50.9</v>
      </c>
      <c r="F198" s="7" t="n">
        <v>59.6</v>
      </c>
      <c r="H198" s="7" t="n">
        <v>35.1</v>
      </c>
      <c r="J198" s="7" t="n">
        <v>43.4</v>
      </c>
      <c r="L198" s="7" t="n">
        <v>128.8</v>
      </c>
      <c r="N198" s="7" t="n">
        <v>50.2</v>
      </c>
      <c r="P198" s="7" t="n">
        <v>89.7</v>
      </c>
      <c r="R198" s="7" t="n">
        <v>41</v>
      </c>
      <c r="T198" s="7" t="n">
        <v>46.5</v>
      </c>
      <c r="V198" s="7" t="n">
        <v>71</v>
      </c>
      <c r="X198" s="7" t="n">
        <v>74.8</v>
      </c>
      <c r="Z198" s="7" t="n">
        <v>60.2</v>
      </c>
      <c r="AB198" s="7" t="n">
        <v>751.2</v>
      </c>
    </row>
    <row r="199">
      <c r="A199" s="4" t="inlineStr">
        <is>
          <t>住宿费</t>
        </is>
      </c>
      <c r="D199" s="7" t="n">
        <v>4.3</v>
      </c>
      <c r="F199" s="7" t="n">
        <v>5.6</v>
      </c>
      <c r="H199" s="7" t="n">
        <v>2.7</v>
      </c>
      <c r="J199" s="7" t="n">
        <v>4.9</v>
      </c>
      <c r="L199" s="7" t="n">
        <v>6.9</v>
      </c>
      <c r="N199" s="7" t="n">
        <v>5.6</v>
      </c>
      <c r="P199" s="7" t="n">
        <v>9.5</v>
      </c>
      <c r="R199" s="7" t="n">
        <v>4.6</v>
      </c>
      <c r="T199" s="7" t="n">
        <v>6.3</v>
      </c>
      <c r="V199" s="7" t="n">
        <v>4.8</v>
      </c>
      <c r="X199" s="7" t="n">
        <v>7.1</v>
      </c>
      <c r="Z199" s="7" t="n">
        <v>5.7</v>
      </c>
      <c r="AB199" s="7" t="n">
        <v>68</v>
      </c>
    </row>
    <row r="200">
      <c r="A200" s="4" t="inlineStr">
        <is>
          <t>餐补</t>
        </is>
      </c>
      <c r="D200" s="7" t="n">
        <v>74.90000000000001</v>
      </c>
      <c r="F200" s="7" t="n">
        <v>75</v>
      </c>
      <c r="H200" s="7" t="n">
        <v>40.9</v>
      </c>
      <c r="J200" s="7" t="n">
        <v>83.8</v>
      </c>
      <c r="L200" s="7" t="n">
        <v>212.4</v>
      </c>
      <c r="N200" s="7" t="n">
        <v>64.40000000000001</v>
      </c>
      <c r="P200" s="7" t="n">
        <v>179.8</v>
      </c>
      <c r="R200" s="7" t="n">
        <v>54.8</v>
      </c>
      <c r="T200" s="7" t="n">
        <v>90.40000000000001</v>
      </c>
      <c r="V200" s="7" t="n">
        <v>110.3</v>
      </c>
      <c r="X200" s="7" t="n">
        <v>125.7</v>
      </c>
      <c r="Z200" s="7" t="n">
        <v>73.40000000000001</v>
      </c>
      <c r="AB200" s="7" t="n">
        <v>1185.8</v>
      </c>
    </row>
    <row r="201">
      <c r="A201" s="4" t="inlineStr">
        <is>
          <t>交通补助</t>
        </is>
      </c>
      <c r="D201" s="7" t="n">
        <v>80.2</v>
      </c>
      <c r="F201" s="7" t="n">
        <v>105.9</v>
      </c>
      <c r="H201" s="7" t="n">
        <v>52.8</v>
      </c>
      <c r="J201" s="7" t="n">
        <v>101.5</v>
      </c>
      <c r="L201" s="7" t="n">
        <v>204.8</v>
      </c>
      <c r="N201" s="7" t="n">
        <v>91.3</v>
      </c>
      <c r="P201" s="7" t="n">
        <v>161.8</v>
      </c>
      <c r="R201" s="7" t="n">
        <v>59.9</v>
      </c>
      <c r="T201" s="7" t="n">
        <v>86.40000000000001</v>
      </c>
      <c r="V201" s="7" t="n">
        <v>118.5</v>
      </c>
      <c r="X201" s="7" t="n">
        <v>121.9</v>
      </c>
      <c r="Z201" s="7" t="n">
        <v>75.2</v>
      </c>
      <c r="AB201" s="7" t="n">
        <v>1260.2</v>
      </c>
    </row>
    <row r="202">
      <c r="A202" s="4" t="inlineStr">
        <is>
          <t>通讯补助</t>
        </is>
      </c>
      <c r="D202" s="7" t="n">
        <v>39.5</v>
      </c>
      <c r="F202" s="7" t="n">
        <v>53.4</v>
      </c>
      <c r="H202" s="7" t="n">
        <v>35.1</v>
      </c>
      <c r="J202" s="7" t="n">
        <v>48.6</v>
      </c>
      <c r="L202" s="7" t="n">
        <v>88.09999999999999</v>
      </c>
      <c r="N202" s="7" t="n">
        <v>49.3</v>
      </c>
      <c r="P202" s="7" t="n">
        <v>72.7</v>
      </c>
      <c r="R202" s="7" t="n">
        <v>48.4</v>
      </c>
      <c r="T202" s="7" t="n">
        <v>47.3</v>
      </c>
      <c r="V202" s="7" t="n">
        <v>60</v>
      </c>
      <c r="X202" s="7" t="n">
        <v>55.4</v>
      </c>
      <c r="Z202" s="7" t="n">
        <v>48.4</v>
      </c>
      <c r="AB202" s="7" t="n">
        <v>646.2</v>
      </c>
    </row>
    <row r="203">
      <c r="A203" s="4" t="inlineStr">
        <is>
          <t>招待费</t>
        </is>
      </c>
      <c r="D203" s="7" t="n">
        <v>399.9</v>
      </c>
      <c r="F203" s="7" t="n">
        <v>706.6</v>
      </c>
      <c r="H203" s="7" t="n">
        <v>529.9</v>
      </c>
      <c r="J203" s="7" t="n">
        <v>772.6</v>
      </c>
      <c r="L203" s="7" t="n">
        <v>1229.6</v>
      </c>
      <c r="N203" s="7" t="n">
        <v>650.4</v>
      </c>
      <c r="P203" s="7" t="n">
        <v>1362.1</v>
      </c>
      <c r="R203" s="7" t="n">
        <v>697.1</v>
      </c>
      <c r="T203" s="7" t="n">
        <v>583.1</v>
      </c>
      <c r="V203" s="7" t="n">
        <v>555.4</v>
      </c>
      <c r="X203" s="7" t="n">
        <v>849.9</v>
      </c>
      <c r="Z203" s="7" t="n">
        <v>740.8</v>
      </c>
      <c r="AB203" s="7" t="n">
        <v>9077.4</v>
      </c>
    </row>
    <row r="204">
      <c r="A204" s="4" t="inlineStr">
        <is>
          <t>通讯费</t>
        </is>
      </c>
      <c r="D204" s="7" t="n">
        <v>12.8</v>
      </c>
      <c r="F204" s="7" t="n">
        <v>21.7</v>
      </c>
      <c r="H204" s="7" t="n">
        <v>12.3</v>
      </c>
      <c r="J204" s="7" t="n">
        <v>13.6</v>
      </c>
      <c r="L204" s="7" t="n">
        <v>30.9</v>
      </c>
      <c r="N204" s="7" t="n">
        <v>16.9</v>
      </c>
      <c r="P204" s="7" t="n">
        <v>35.2</v>
      </c>
      <c r="R204" s="7" t="n">
        <v>14.9</v>
      </c>
      <c r="T204" s="7" t="n">
        <v>13.1</v>
      </c>
      <c r="V204" s="7" t="n">
        <v>16</v>
      </c>
      <c r="X204" s="7" t="n">
        <v>15</v>
      </c>
      <c r="Z204" s="7" t="n">
        <v>12.8</v>
      </c>
      <c r="AB204" s="7" t="n">
        <v>215.2</v>
      </c>
    </row>
    <row r="205">
      <c r="A205" s="4" t="inlineStr">
        <is>
          <t>网络费</t>
        </is>
      </c>
      <c r="D205" s="7" t="n">
        <v>38.6</v>
      </c>
      <c r="F205" s="7" t="n">
        <v>79.8</v>
      </c>
      <c r="H205" s="7" t="n">
        <v>48.6</v>
      </c>
      <c r="J205" s="7" t="n">
        <v>57.9</v>
      </c>
      <c r="L205" s="7" t="n">
        <v>159.7</v>
      </c>
      <c r="N205" s="7" t="n">
        <v>85.3</v>
      </c>
      <c r="P205" s="7" t="n">
        <v>150.8</v>
      </c>
      <c r="R205" s="7" t="n">
        <v>69.09999999999999</v>
      </c>
      <c r="T205" s="7" t="n">
        <v>55.3</v>
      </c>
      <c r="V205" s="7" t="n">
        <v>94.90000000000001</v>
      </c>
      <c r="X205" s="7" t="n">
        <v>94.59999999999999</v>
      </c>
      <c r="Z205" s="7" t="n">
        <v>67.59999999999999</v>
      </c>
      <c r="AB205" s="7" t="n">
        <v>1002.2</v>
      </c>
    </row>
    <row r="206">
      <c r="A206" s="4" t="inlineStr">
        <is>
          <t>修理费</t>
        </is>
      </c>
      <c r="D206" s="7" t="n">
        <v>59.3</v>
      </c>
      <c r="F206" s="7" t="n">
        <v>70.5</v>
      </c>
      <c r="H206" s="7" t="n">
        <v>39.2</v>
      </c>
      <c r="J206" s="7" t="n">
        <v>53.9</v>
      </c>
      <c r="L206" s="7" t="n">
        <v>87.09999999999999</v>
      </c>
      <c r="N206" s="7" t="n">
        <v>77.8</v>
      </c>
      <c r="P206" s="7" t="n">
        <v>136.2</v>
      </c>
      <c r="R206" s="7" t="n">
        <v>59.7</v>
      </c>
      <c r="T206" s="7" t="n">
        <v>60.1</v>
      </c>
      <c r="V206" s="7" t="n">
        <v>82.3</v>
      </c>
      <c r="X206" s="7" t="n">
        <v>94.09999999999999</v>
      </c>
      <c r="Z206" s="7" t="n">
        <v>72.90000000000001</v>
      </c>
      <c r="AB206" s="7" t="n">
        <v>893.1</v>
      </c>
    </row>
    <row r="207">
      <c r="A207" s="4" t="inlineStr">
        <is>
          <t>车辆费</t>
        </is>
      </c>
      <c r="D207" s="7" t="n">
        <v>48.9</v>
      </c>
      <c r="F207" s="7" t="n">
        <v>62.4</v>
      </c>
      <c r="H207" s="7" t="n">
        <v>44.2</v>
      </c>
      <c r="J207" s="7" t="n">
        <v>73.40000000000001</v>
      </c>
      <c r="L207" s="7" t="n">
        <v>119.8</v>
      </c>
      <c r="N207" s="7" t="n">
        <v>45.6</v>
      </c>
      <c r="P207" s="7" t="n">
        <v>71.2</v>
      </c>
      <c r="R207" s="7" t="n">
        <v>51.7</v>
      </c>
      <c r="T207" s="7" t="n">
        <v>48.7</v>
      </c>
      <c r="V207" s="7" t="n">
        <v>80.2</v>
      </c>
      <c r="X207" s="7" t="n">
        <v>57.4</v>
      </c>
      <c r="Z207" s="7" t="n">
        <v>49.9</v>
      </c>
      <c r="AB207" s="7" t="n">
        <v>753.4</v>
      </c>
    </row>
    <row r="208">
      <c r="A208" s="4" t="inlineStr">
        <is>
          <t>租赁费</t>
        </is>
      </c>
      <c r="D208" s="7" t="n">
        <v>775.5</v>
      </c>
      <c r="F208" s="7" t="n">
        <v>806.3</v>
      </c>
      <c r="H208" s="7" t="n">
        <v>498.8</v>
      </c>
      <c r="J208" s="7" t="n">
        <v>880</v>
      </c>
      <c r="L208" s="7" t="n">
        <v>1399.6</v>
      </c>
      <c r="N208" s="7" t="n">
        <v>547.5</v>
      </c>
      <c r="P208" s="7" t="n">
        <v>1097</v>
      </c>
      <c r="R208" s="7" t="n">
        <v>797.3</v>
      </c>
      <c r="T208" s="7" t="n">
        <v>644.5</v>
      </c>
      <c r="V208" s="7" t="n">
        <v>713.1</v>
      </c>
      <c r="X208" s="7" t="n">
        <v>928.2</v>
      </c>
      <c r="Z208" s="7" t="n">
        <v>730.9</v>
      </c>
      <c r="AB208" s="7" t="n">
        <v>9818.700000000001</v>
      </c>
    </row>
    <row r="209">
      <c r="A209" s="4" t="inlineStr">
        <is>
          <t>能源费</t>
        </is>
      </c>
      <c r="D209" s="7" t="n">
        <v>230</v>
      </c>
      <c r="F209" s="7" t="n">
        <v>262.8</v>
      </c>
      <c r="H209" s="7" t="n">
        <v>147.5</v>
      </c>
      <c r="J209" s="7" t="n">
        <v>293.7</v>
      </c>
      <c r="L209" s="7" t="n">
        <v>385.8</v>
      </c>
      <c r="N209" s="7" t="n">
        <v>262.9</v>
      </c>
      <c r="P209" s="7" t="n">
        <v>409.8</v>
      </c>
      <c r="R209" s="7" t="n">
        <v>247.5</v>
      </c>
      <c r="T209" s="7" t="n">
        <v>228.8</v>
      </c>
      <c r="V209" s="7" t="n">
        <v>332.6</v>
      </c>
      <c r="X209" s="7" t="n">
        <v>271</v>
      </c>
      <c r="Z209" s="7" t="n">
        <v>203.8</v>
      </c>
      <c r="AB209" s="7" t="n">
        <v>3276.2</v>
      </c>
    </row>
    <row r="210">
      <c r="A210" s="4" t="inlineStr">
        <is>
          <t>水费</t>
        </is>
      </c>
      <c r="D210" s="7" t="n">
        <v>56.2</v>
      </c>
      <c r="F210" s="7" t="n">
        <v>63.5</v>
      </c>
      <c r="H210" s="7" t="n">
        <v>38.2</v>
      </c>
      <c r="J210" s="7" t="n">
        <v>84.3</v>
      </c>
      <c r="L210" s="7" t="n">
        <v>89</v>
      </c>
      <c r="N210" s="7" t="n">
        <v>68.09999999999999</v>
      </c>
      <c r="P210" s="7" t="n">
        <v>98.90000000000001</v>
      </c>
      <c r="R210" s="7" t="n">
        <v>65.8</v>
      </c>
      <c r="T210" s="7" t="n">
        <v>64.3</v>
      </c>
      <c r="V210" s="7" t="n">
        <v>91.7</v>
      </c>
      <c r="X210" s="7" t="n">
        <v>80.2</v>
      </c>
      <c r="Z210" s="7" t="n">
        <v>42</v>
      </c>
      <c r="AB210" s="7" t="n">
        <v>842.2</v>
      </c>
    </row>
    <row r="211">
      <c r="A211" s="4" t="inlineStr">
        <is>
          <t>电费</t>
        </is>
      </c>
      <c r="D211" s="7" t="n">
        <v>3.2</v>
      </c>
      <c r="F211" s="7" t="n">
        <v>4.9</v>
      </c>
      <c r="H211" s="7" t="n">
        <v>2.5</v>
      </c>
      <c r="J211" s="7" t="n">
        <v>5.8</v>
      </c>
      <c r="L211" s="7" t="n">
        <v>9.699999999999999</v>
      </c>
      <c r="N211" s="7" t="n">
        <v>4.2</v>
      </c>
      <c r="P211" s="7" t="n">
        <v>7</v>
      </c>
      <c r="R211" s="7" t="n">
        <v>2.8</v>
      </c>
      <c r="T211" s="7" t="n">
        <v>5.3</v>
      </c>
      <c r="V211" s="7" t="n">
        <v>6</v>
      </c>
      <c r="X211" s="7" t="n">
        <v>4.3</v>
      </c>
      <c r="Z211" s="7" t="n">
        <v>3.7</v>
      </c>
      <c r="AB211" s="7" t="n">
        <v>59.4</v>
      </c>
    </row>
    <row r="212">
      <c r="A212" s="4" t="inlineStr">
        <is>
          <t>燃气费</t>
        </is>
      </c>
      <c r="D212" s="7" t="n">
        <v>80.59999999999999</v>
      </c>
      <c r="F212" s="7" t="n">
        <v>93.8</v>
      </c>
      <c r="H212" s="7" t="n">
        <v>54.6</v>
      </c>
      <c r="J212" s="7" t="n">
        <v>95.2</v>
      </c>
      <c r="L212" s="7" t="n">
        <v>130.2</v>
      </c>
      <c r="N212" s="7" t="n">
        <v>114.3</v>
      </c>
      <c r="P212" s="7" t="n">
        <v>167.8</v>
      </c>
      <c r="R212" s="7" t="n">
        <v>95.7</v>
      </c>
      <c r="T212" s="7" t="n">
        <v>96.7</v>
      </c>
      <c r="V212" s="7" t="n">
        <v>124.5</v>
      </c>
      <c r="X212" s="7" t="n">
        <v>89.40000000000001</v>
      </c>
      <c r="Z212" s="7" t="n">
        <v>94.40000000000001</v>
      </c>
      <c r="AB212" s="7" t="n">
        <v>1237.2</v>
      </c>
    </row>
    <row r="213">
      <c r="A213" s="4" t="inlineStr">
        <is>
          <t>蒸汽费</t>
        </is>
      </c>
      <c r="D213" s="7" t="n">
        <v>90</v>
      </c>
      <c r="F213" s="7" t="n">
        <v>100.6</v>
      </c>
      <c r="H213" s="7" t="n">
        <v>52.2</v>
      </c>
      <c r="J213" s="7" t="n">
        <v>108.4</v>
      </c>
      <c r="L213" s="7" t="n">
        <v>156.9</v>
      </c>
      <c r="N213" s="7" t="n">
        <v>76.3</v>
      </c>
      <c r="P213" s="7" t="n">
        <v>136.1</v>
      </c>
      <c r="R213" s="7" t="n">
        <v>83.2</v>
      </c>
      <c r="T213" s="7" t="n">
        <v>62.5</v>
      </c>
      <c r="V213" s="7" t="n">
        <v>110.4</v>
      </c>
      <c r="X213" s="7" t="n">
        <v>97.09999999999999</v>
      </c>
      <c r="Z213" s="7" t="n">
        <v>63.7</v>
      </c>
      <c r="AB213" s="7" t="n">
        <v>1137.4</v>
      </c>
    </row>
    <row r="214">
      <c r="A214" s="4" t="inlineStr">
        <is>
          <t>物业费</t>
        </is>
      </c>
      <c r="D214" s="7" t="n">
        <v>1</v>
      </c>
      <c r="F214" s="7" t="n">
        <v>0.9</v>
      </c>
      <c r="H214" s="7" t="n">
        <v>0.6</v>
      </c>
      <c r="J214" s="7" t="n">
        <v>1.7</v>
      </c>
      <c r="L214" s="7" t="n">
        <v>2</v>
      </c>
      <c r="N214" s="7" t="n">
        <v>1.4</v>
      </c>
      <c r="P214" s="7" t="n">
        <v>2.5</v>
      </c>
      <c r="R214" s="7" t="n">
        <v>1</v>
      </c>
      <c r="T214" s="7" t="n">
        <v>1.2</v>
      </c>
      <c r="V214" s="7" t="n">
        <v>1.2</v>
      </c>
      <c r="X214" s="7" t="n">
        <v>1.4</v>
      </c>
      <c r="Z214" s="7" t="n">
        <v>1.2</v>
      </c>
      <c r="AB214" s="7" t="n">
        <v>16.1</v>
      </c>
    </row>
    <row r="215">
      <c r="A215" s="4" t="inlineStr">
        <is>
          <t>劳动保护费</t>
        </is>
      </c>
      <c r="D215" s="7" t="n">
        <v>53.2</v>
      </c>
      <c r="F215" s="7" t="n">
        <v>81.7</v>
      </c>
      <c r="H215" s="7" t="n">
        <v>54.6</v>
      </c>
      <c r="J215" s="7" t="n">
        <v>90.8</v>
      </c>
      <c r="L215" s="7" t="n">
        <v>160.8</v>
      </c>
      <c r="N215" s="7" t="n">
        <v>98.5</v>
      </c>
      <c r="P215" s="7" t="n">
        <v>110.6</v>
      </c>
      <c r="R215" s="7" t="n">
        <v>59.5</v>
      </c>
      <c r="T215" s="7" t="n">
        <v>77</v>
      </c>
      <c r="V215" s="7" t="n">
        <v>131.2</v>
      </c>
      <c r="X215" s="7" t="n">
        <v>112.4</v>
      </c>
      <c r="Z215" s="7" t="n">
        <v>74.40000000000001</v>
      </c>
      <c r="AB215" s="7" t="n">
        <v>1104.7</v>
      </c>
    </row>
    <row r="216">
      <c r="A216" s="4" t="inlineStr">
        <is>
          <t>顾问费</t>
        </is>
      </c>
      <c r="D216" s="7" t="n">
        <v>44.5</v>
      </c>
      <c r="F216" s="7" t="n">
        <v>62.7</v>
      </c>
      <c r="H216" s="7" t="n">
        <v>28.8</v>
      </c>
      <c r="J216" s="7" t="n">
        <v>58.2</v>
      </c>
      <c r="L216" s="7" t="n">
        <v>91</v>
      </c>
      <c r="N216" s="7" t="n">
        <v>70</v>
      </c>
      <c r="P216" s="7" t="n">
        <v>108.4</v>
      </c>
      <c r="R216" s="7" t="n">
        <v>58.5</v>
      </c>
      <c r="T216" s="7" t="n">
        <v>64.5</v>
      </c>
      <c r="V216" s="7" t="n">
        <v>67.59999999999999</v>
      </c>
      <c r="X216" s="7" t="n">
        <v>82.09999999999999</v>
      </c>
      <c r="Z216" s="7" t="n">
        <v>59.4</v>
      </c>
      <c r="AB216" s="7" t="n">
        <v>795.7</v>
      </c>
    </row>
    <row r="217">
      <c r="A217" s="4" t="inlineStr">
        <is>
          <t>快递费</t>
        </is>
      </c>
      <c r="D217" s="7" t="n">
        <v>85.7</v>
      </c>
      <c r="F217" s="7" t="n">
        <v>101.1</v>
      </c>
      <c r="H217" s="7" t="n">
        <v>62.4</v>
      </c>
      <c r="J217" s="7" t="n">
        <v>71.59999999999999</v>
      </c>
      <c r="L217" s="7" t="n">
        <v>128.7</v>
      </c>
      <c r="N217" s="7" t="n">
        <v>93.7</v>
      </c>
      <c r="P217" s="7" t="n">
        <v>180.4</v>
      </c>
      <c r="R217" s="7" t="n">
        <v>65</v>
      </c>
      <c r="T217" s="7" t="n">
        <v>103.7</v>
      </c>
      <c r="V217" s="7" t="n">
        <v>76</v>
      </c>
      <c r="X217" s="7" t="n">
        <v>85.90000000000001</v>
      </c>
      <c r="Z217" s="7" t="n">
        <v>82.09999999999999</v>
      </c>
      <c r="AB217" s="7" t="n">
        <v>1136.3</v>
      </c>
    </row>
    <row r="218">
      <c r="A218" s="4" t="inlineStr">
        <is>
          <t>诉讼费</t>
        </is>
      </c>
      <c r="D218" s="7" t="n">
        <v>6.9</v>
      </c>
      <c r="F218" s="7" t="n">
        <v>11.5</v>
      </c>
      <c r="H218" s="7" t="n">
        <v>4.6</v>
      </c>
      <c r="J218" s="7" t="n">
        <v>8.699999999999999</v>
      </c>
      <c r="L218" s="7" t="n">
        <v>22.4</v>
      </c>
      <c r="N218" s="7" t="n">
        <v>8.300000000000001</v>
      </c>
      <c r="P218" s="7" t="n">
        <v>14.9</v>
      </c>
      <c r="R218" s="7" t="n">
        <v>6.5</v>
      </c>
      <c r="T218" s="7" t="n">
        <v>7.2</v>
      </c>
      <c r="V218" s="7" t="n">
        <v>9.199999999999999</v>
      </c>
      <c r="X218" s="7" t="n">
        <v>10.4</v>
      </c>
      <c r="Z218" s="7" t="n">
        <v>6.6</v>
      </c>
      <c r="AB218" s="7" t="n">
        <v>117.2</v>
      </c>
    </row>
    <row r="219">
      <c r="A219" s="4" t="inlineStr">
        <is>
          <t>会员费</t>
        </is>
      </c>
      <c r="D219" s="7" t="n">
        <v>13.7</v>
      </c>
      <c r="F219" s="7" t="n">
        <v>14.1</v>
      </c>
      <c r="H219" s="7" t="n">
        <v>13.6</v>
      </c>
      <c r="J219" s="7" t="n">
        <v>20.9</v>
      </c>
      <c r="L219" s="7" t="n">
        <v>27.2</v>
      </c>
      <c r="N219" s="7" t="n">
        <v>22.6</v>
      </c>
      <c r="P219" s="7" t="n">
        <v>34.3</v>
      </c>
      <c r="R219" s="7" t="n">
        <v>21.2</v>
      </c>
      <c r="T219" s="7" t="n">
        <v>21.9</v>
      </c>
      <c r="V219" s="7" t="n">
        <v>28.9</v>
      </c>
      <c r="X219" s="7" t="n">
        <v>18.5</v>
      </c>
      <c r="Z219" s="7" t="n">
        <v>16.1</v>
      </c>
      <c r="AB219" s="7" t="n">
        <v>253</v>
      </c>
    </row>
    <row r="220">
      <c r="A220" s="4" t="inlineStr">
        <is>
          <t>广告宣传费</t>
        </is>
      </c>
      <c r="D220" s="7" t="n">
        <v>378.9</v>
      </c>
      <c r="F220" s="7" t="n">
        <v>534.4</v>
      </c>
      <c r="H220" s="7" t="n">
        <v>334.7</v>
      </c>
      <c r="J220" s="7" t="n">
        <v>540.6</v>
      </c>
      <c r="L220" s="7" t="n">
        <v>1111.3</v>
      </c>
      <c r="N220" s="7" t="n">
        <v>528.7</v>
      </c>
      <c r="P220" s="7" t="n">
        <v>999.1</v>
      </c>
      <c r="R220" s="7" t="n">
        <v>393.7</v>
      </c>
      <c r="T220" s="7" t="n">
        <v>465.8</v>
      </c>
      <c r="V220" s="7" t="n">
        <v>445.5</v>
      </c>
      <c r="X220" s="7" t="n">
        <v>423</v>
      </c>
      <c r="Z220" s="7" t="n">
        <v>384.4</v>
      </c>
      <c r="AB220" s="7" t="n">
        <v>6540.1</v>
      </c>
    </row>
    <row r="221">
      <c r="A221" s="4" t="inlineStr">
        <is>
          <t>会务费</t>
        </is>
      </c>
      <c r="D221" s="7" t="n">
        <v>54.3</v>
      </c>
      <c r="F221" s="7" t="n">
        <v>61.5</v>
      </c>
      <c r="H221" s="7" t="n">
        <v>42.2</v>
      </c>
      <c r="J221" s="7" t="n">
        <v>63.8</v>
      </c>
      <c r="L221" s="7" t="n">
        <v>123.4</v>
      </c>
      <c r="N221" s="7" t="n">
        <v>56.5</v>
      </c>
      <c r="P221" s="7" t="n">
        <v>117.4</v>
      </c>
      <c r="R221" s="7" t="n">
        <v>46.8</v>
      </c>
      <c r="T221" s="7" t="n">
        <v>54.6</v>
      </c>
      <c r="V221" s="7" t="n">
        <v>67.90000000000001</v>
      </c>
      <c r="X221" s="7" t="n">
        <v>75.59999999999999</v>
      </c>
      <c r="Z221" s="7" t="n">
        <v>42.8</v>
      </c>
      <c r="AB221" s="7" t="n">
        <v>806.8</v>
      </c>
    </row>
    <row r="222">
      <c r="A222" s="4" t="inlineStr">
        <is>
          <t>装修费</t>
        </is>
      </c>
      <c r="D222" s="7" t="n">
        <v>74</v>
      </c>
      <c r="F222" s="7" t="n">
        <v>105.9</v>
      </c>
      <c r="H222" s="7" t="n">
        <v>63.8</v>
      </c>
      <c r="J222" s="7" t="n">
        <v>141</v>
      </c>
      <c r="L222" s="7" t="n">
        <v>172.7</v>
      </c>
      <c r="N222" s="7" t="n">
        <v>87.90000000000001</v>
      </c>
      <c r="P222" s="7" t="n">
        <v>215.7</v>
      </c>
      <c r="R222" s="7" t="n">
        <v>64.8</v>
      </c>
      <c r="T222" s="7" t="n">
        <v>87.09999999999999</v>
      </c>
      <c r="V222" s="7" t="n">
        <v>107.3</v>
      </c>
      <c r="X222" s="7" t="n">
        <v>107.1</v>
      </c>
      <c r="Z222" s="7" t="n">
        <v>104.1</v>
      </c>
      <c r="AB222" s="7" t="n">
        <v>1331.4</v>
      </c>
    </row>
    <row r="223">
      <c r="A223" s="4" t="inlineStr">
        <is>
          <t>推广费</t>
        </is>
      </c>
      <c r="D223" s="7" t="n">
        <v>9.6</v>
      </c>
      <c r="F223" s="7" t="n">
        <v>12.7</v>
      </c>
      <c r="H223" s="7" t="n">
        <v>8.300000000000001</v>
      </c>
      <c r="J223" s="7" t="n">
        <v>9.300000000000001</v>
      </c>
      <c r="L223" s="7" t="n">
        <v>23.5</v>
      </c>
      <c r="N223" s="7" t="n">
        <v>11.1</v>
      </c>
      <c r="P223" s="7" t="n">
        <v>18.2</v>
      </c>
      <c r="R223" s="7" t="n">
        <v>10.9</v>
      </c>
      <c r="T223" s="7" t="n">
        <v>10.2</v>
      </c>
      <c r="V223" s="7" t="n">
        <v>15.9</v>
      </c>
      <c r="X223" s="7" t="n">
        <v>12.5</v>
      </c>
      <c r="Z223" s="7" t="n">
        <v>8</v>
      </c>
      <c r="AB223" s="7" t="n">
        <v>150.2</v>
      </c>
    </row>
    <row r="224">
      <c r="A224" s="4" t="inlineStr">
        <is>
          <t>展会费</t>
        </is>
      </c>
      <c r="D224" s="7" t="n">
        <v>7.1</v>
      </c>
      <c r="F224" s="7" t="n">
        <v>5.9</v>
      </c>
      <c r="H224" s="7" t="n">
        <v>6.4</v>
      </c>
      <c r="J224" s="7" t="n">
        <v>9.199999999999999</v>
      </c>
      <c r="L224" s="7" t="n">
        <v>17.4</v>
      </c>
      <c r="N224" s="7" t="n">
        <v>9.5</v>
      </c>
      <c r="P224" s="7" t="n">
        <v>11.6</v>
      </c>
      <c r="R224" s="7" t="n">
        <v>6.2</v>
      </c>
      <c r="T224" s="7" t="n">
        <v>7.3</v>
      </c>
      <c r="V224" s="7" t="n">
        <v>11.4</v>
      </c>
      <c r="X224" s="7" t="n">
        <v>7.5</v>
      </c>
      <c r="Z224" s="7" t="n">
        <v>7.7</v>
      </c>
      <c r="AB224" s="7" t="n">
        <v>107.2</v>
      </c>
    </row>
    <row r="225">
      <c r="A225" s="4" t="inlineStr">
        <is>
          <t>设计费</t>
        </is>
      </c>
      <c r="D225" s="7" t="n">
        <v>19.4</v>
      </c>
      <c r="F225" s="7" t="n">
        <v>19.3</v>
      </c>
      <c r="H225" s="7" t="n">
        <v>17.5</v>
      </c>
      <c r="J225" s="7" t="n">
        <v>21.8</v>
      </c>
      <c r="L225" s="7" t="n">
        <v>52.4</v>
      </c>
      <c r="N225" s="7" t="n">
        <v>28.8</v>
      </c>
      <c r="P225" s="7" t="n">
        <v>41</v>
      </c>
      <c r="R225" s="7" t="n">
        <v>17.9</v>
      </c>
      <c r="T225" s="7" t="n">
        <v>26.1</v>
      </c>
      <c r="V225" s="7" t="n">
        <v>35</v>
      </c>
      <c r="X225" s="7" t="n">
        <v>25.9</v>
      </c>
      <c r="Z225" s="7" t="n">
        <v>22.2</v>
      </c>
      <c r="AB225" s="7" t="n">
        <v>327.3</v>
      </c>
    </row>
    <row r="226">
      <c r="A226" s="4" t="inlineStr">
        <is>
          <t>折旧费</t>
        </is>
      </c>
      <c r="D226" s="7" t="n">
        <v>457.2</v>
      </c>
      <c r="F226" s="7" t="n">
        <v>572.3</v>
      </c>
      <c r="H226" s="7" t="n">
        <v>504.6</v>
      </c>
      <c r="J226" s="7" t="n">
        <v>821.3</v>
      </c>
      <c r="L226" s="7" t="n">
        <v>1331.1</v>
      </c>
      <c r="N226" s="7" t="n">
        <v>640.7</v>
      </c>
      <c r="P226" s="7" t="n">
        <v>1049.5</v>
      </c>
      <c r="R226" s="7" t="n">
        <v>536.5</v>
      </c>
      <c r="T226" s="7" t="n">
        <v>439.9</v>
      </c>
      <c r="V226" s="7" t="n">
        <v>919.5</v>
      </c>
      <c r="X226" s="7" t="n">
        <v>646.5</v>
      </c>
      <c r="Z226" s="7" t="n">
        <v>421.1</v>
      </c>
      <c r="AB226" s="7" t="n">
        <v>8340.200000000001</v>
      </c>
    </row>
    <row r="227">
      <c r="A227" s="4" t="inlineStr">
        <is>
          <t>认证费</t>
        </is>
      </c>
      <c r="D227" s="7" t="n">
        <v>56.7</v>
      </c>
      <c r="F227" s="7" t="n">
        <v>76.5</v>
      </c>
      <c r="H227" s="7" t="n">
        <v>49.3</v>
      </c>
      <c r="J227" s="7" t="n">
        <v>104.8</v>
      </c>
      <c r="L227" s="7" t="n">
        <v>136.3</v>
      </c>
      <c r="N227" s="7" t="n">
        <v>99.2</v>
      </c>
      <c r="P227" s="7" t="n">
        <v>147.6</v>
      </c>
      <c r="R227" s="7" t="n">
        <v>81.40000000000001</v>
      </c>
      <c r="T227" s="7" t="n">
        <v>69.09999999999999</v>
      </c>
      <c r="V227" s="7" t="n">
        <v>90.5</v>
      </c>
      <c r="X227" s="7" t="n">
        <v>81.40000000000001</v>
      </c>
      <c r="Z227" s="7" t="n">
        <v>90</v>
      </c>
      <c r="AB227" s="7" t="n">
        <v>1082.8</v>
      </c>
    </row>
    <row r="228">
      <c r="A228" s="4" t="inlineStr">
        <is>
          <t>样品费</t>
        </is>
      </c>
      <c r="D228" s="7" t="n">
        <v>292.2</v>
      </c>
      <c r="F228" s="7" t="n">
        <v>221.9</v>
      </c>
      <c r="H228" s="7" t="n">
        <v>161.1</v>
      </c>
      <c r="J228" s="7" t="n">
        <v>425.7</v>
      </c>
      <c r="L228" s="7" t="n">
        <v>536.1</v>
      </c>
      <c r="N228" s="7" t="n">
        <v>365.4</v>
      </c>
      <c r="P228" s="7" t="n">
        <v>669.2</v>
      </c>
      <c r="R228" s="7" t="n">
        <v>314.3</v>
      </c>
      <c r="T228" s="7" t="n">
        <v>365.3</v>
      </c>
      <c r="V228" s="7" t="n">
        <v>317.6</v>
      </c>
      <c r="X228" s="7" t="n">
        <v>358.7</v>
      </c>
      <c r="Z228" s="7" t="n">
        <v>332.9</v>
      </c>
      <c r="AB228" s="7" t="n">
        <v>4360.4</v>
      </c>
    </row>
    <row r="229">
      <c r="A229" s="4" t="inlineStr">
        <is>
          <t>劳务费</t>
        </is>
      </c>
      <c r="D229" s="7" t="n">
        <v>4.1</v>
      </c>
      <c r="F229" s="7" t="n">
        <v>4.9</v>
      </c>
      <c r="H229" s="7" t="n">
        <v>3.9</v>
      </c>
      <c r="J229" s="7" t="n">
        <v>5.2</v>
      </c>
      <c r="L229" s="7" t="n">
        <v>7.6</v>
      </c>
      <c r="N229" s="7" t="n">
        <v>6.1</v>
      </c>
      <c r="P229" s="7" t="n">
        <v>10.7</v>
      </c>
      <c r="R229" s="7" t="n">
        <v>3.8</v>
      </c>
      <c r="T229" s="7" t="n">
        <v>4.3</v>
      </c>
      <c r="V229" s="7" t="n">
        <v>5.6</v>
      </c>
      <c r="X229" s="7" t="n">
        <v>5.9</v>
      </c>
      <c r="Z229" s="7" t="n">
        <v>6.7</v>
      </c>
      <c r="AB229" s="7" t="n">
        <v>68.8</v>
      </c>
    </row>
    <row r="230">
      <c r="A230" s="4" t="inlineStr">
        <is>
          <t>销售佣金</t>
        </is>
      </c>
      <c r="D230" s="7" t="n">
        <v>61.8</v>
      </c>
      <c r="F230" s="7" t="n">
        <v>99.5</v>
      </c>
      <c r="H230" s="7" t="n">
        <v>60.5</v>
      </c>
      <c r="J230" s="7" t="n">
        <v>90.3</v>
      </c>
      <c r="L230" s="7" t="n">
        <v>143.2</v>
      </c>
      <c r="N230" s="7" t="n">
        <v>93.90000000000001</v>
      </c>
      <c r="P230" s="7" t="n">
        <v>152.6</v>
      </c>
      <c r="R230" s="7" t="n">
        <v>65.7</v>
      </c>
      <c r="T230" s="7" t="n">
        <v>60.1</v>
      </c>
      <c r="V230" s="7" t="n">
        <v>82.7</v>
      </c>
      <c r="X230" s="7" t="n">
        <v>111.1</v>
      </c>
      <c r="Z230" s="7" t="n">
        <v>59.1</v>
      </c>
      <c r="AB230" s="7" t="n">
        <v>1080.5</v>
      </c>
    </row>
    <row r="231">
      <c r="A231" s="4" t="inlineStr">
        <is>
          <t>检测费</t>
        </is>
      </c>
      <c r="D231" s="7" t="n">
        <v>38.7</v>
      </c>
      <c r="F231" s="7" t="n">
        <v>37.9</v>
      </c>
      <c r="H231" s="7" t="n">
        <v>32.2</v>
      </c>
      <c r="J231" s="7" t="n">
        <v>43.7</v>
      </c>
      <c r="L231" s="7" t="n">
        <v>71.8</v>
      </c>
      <c r="N231" s="7" t="n">
        <v>35.3</v>
      </c>
      <c r="P231" s="7" t="n">
        <v>49.1</v>
      </c>
      <c r="R231" s="7" t="n">
        <v>37.9</v>
      </c>
      <c r="T231" s="7" t="n">
        <v>47.4</v>
      </c>
      <c r="V231" s="7" t="n">
        <v>33.9</v>
      </c>
      <c r="X231" s="7" t="n">
        <v>45.4</v>
      </c>
      <c r="Z231" s="7" t="n">
        <v>36.6</v>
      </c>
      <c r="AB231" s="7" t="n">
        <v>509.9</v>
      </c>
    </row>
    <row r="232">
      <c r="A232" s="4" t="inlineStr">
        <is>
          <t>质量赔偿</t>
        </is>
      </c>
      <c r="D232" s="7" t="n">
        <v>36.1</v>
      </c>
      <c r="F232" s="7" t="n">
        <v>52</v>
      </c>
      <c r="H232" s="7" t="n">
        <v>20.9</v>
      </c>
      <c r="J232" s="7" t="n">
        <v>55.8</v>
      </c>
      <c r="L232" s="7" t="n">
        <v>60.7</v>
      </c>
      <c r="N232" s="7" t="n">
        <v>42.5</v>
      </c>
      <c r="P232" s="7" t="n">
        <v>89.7</v>
      </c>
      <c r="R232" s="7" t="n">
        <v>33.7</v>
      </c>
      <c r="T232" s="7" t="n">
        <v>45.8</v>
      </c>
      <c r="V232" s="7" t="n">
        <v>36</v>
      </c>
      <c r="X232" s="7" t="n">
        <v>57.8</v>
      </c>
      <c r="Z232" s="7" t="n">
        <v>37.3</v>
      </c>
      <c r="AB232" s="7" t="n">
        <v>568.3</v>
      </c>
    </row>
    <row r="233">
      <c r="A233" s="4" t="inlineStr">
        <is>
          <t>保险费</t>
        </is>
      </c>
      <c r="D233" s="7" t="n">
        <v>76.09999999999999</v>
      </c>
      <c r="F233" s="7" t="n">
        <v>86.5</v>
      </c>
      <c r="H233" s="7" t="n">
        <v>53.9</v>
      </c>
      <c r="J233" s="7" t="n">
        <v>135.7</v>
      </c>
      <c r="L233" s="7" t="n">
        <v>141.4</v>
      </c>
      <c r="N233" s="7" t="n">
        <v>114.9</v>
      </c>
      <c r="P233" s="7" t="n">
        <v>222.8</v>
      </c>
      <c r="R233" s="7" t="n">
        <v>64.09999999999999</v>
      </c>
      <c r="T233" s="7" t="n">
        <v>99.90000000000001</v>
      </c>
      <c r="V233" s="7" t="n">
        <v>106.9</v>
      </c>
      <c r="X233" s="7" t="n">
        <v>142.1</v>
      </c>
      <c r="Z233" s="7" t="n">
        <v>95.59999999999999</v>
      </c>
      <c r="AB233" s="7" t="n">
        <v>1339.9</v>
      </c>
    </row>
    <row r="234">
      <c r="A234" s="4" t="inlineStr">
        <is>
          <t>清洁费</t>
        </is>
      </c>
      <c r="D234" s="7" t="n">
        <v>16.7</v>
      </c>
      <c r="F234" s="7" t="n">
        <v>24.4</v>
      </c>
      <c r="H234" s="7" t="n">
        <v>14.4</v>
      </c>
      <c r="J234" s="7" t="n">
        <v>30.2</v>
      </c>
      <c r="L234" s="7" t="n">
        <v>31.7</v>
      </c>
      <c r="N234" s="7" t="n">
        <v>23.9</v>
      </c>
      <c r="P234" s="7" t="n">
        <v>52.4</v>
      </c>
      <c r="R234" s="7" t="n">
        <v>21.7</v>
      </c>
      <c r="T234" s="7" t="n">
        <v>20.7</v>
      </c>
      <c r="V234" s="7" t="n">
        <v>25.2</v>
      </c>
      <c r="X234" s="7" t="n">
        <v>28.4</v>
      </c>
      <c r="Z234" s="7" t="n">
        <v>19.7</v>
      </c>
      <c r="AB234" s="7" t="n">
        <v>309.4</v>
      </c>
    </row>
    <row r="235">
      <c r="A235" s="4" t="inlineStr">
        <is>
          <t>低值易耗品</t>
        </is>
      </c>
      <c r="D235" s="7" t="n">
        <v>10.3</v>
      </c>
      <c r="F235" s="7" t="n">
        <v>14.4</v>
      </c>
      <c r="H235" s="7" t="n">
        <v>8.4</v>
      </c>
      <c r="J235" s="7" t="n">
        <v>17.4</v>
      </c>
      <c r="L235" s="7" t="n">
        <v>21.6</v>
      </c>
      <c r="N235" s="7" t="n">
        <v>14.4</v>
      </c>
      <c r="P235" s="7" t="n">
        <v>28.1</v>
      </c>
      <c r="R235" s="7" t="n">
        <v>7.9</v>
      </c>
      <c r="T235" s="7" t="n">
        <v>13.5</v>
      </c>
      <c r="V235" s="7" t="n">
        <v>15.2</v>
      </c>
      <c r="X235" s="7" t="n">
        <v>13.5</v>
      </c>
      <c r="Z235" s="7" t="n">
        <v>11.1</v>
      </c>
      <c r="AB235" s="7" t="n">
        <v>175.8</v>
      </c>
    </row>
    <row r="236">
      <c r="A236" s="4" t="inlineStr">
        <is>
          <t>物料消耗</t>
        </is>
      </c>
      <c r="D236" s="7" t="n">
        <v>47.7</v>
      </c>
      <c r="F236" s="7" t="n">
        <v>52.1</v>
      </c>
      <c r="H236" s="7" t="n">
        <v>36.2</v>
      </c>
      <c r="J236" s="7" t="n">
        <v>92.09999999999999</v>
      </c>
      <c r="L236" s="7" t="n">
        <v>95.40000000000001</v>
      </c>
      <c r="N236" s="7" t="n">
        <v>83.90000000000001</v>
      </c>
      <c r="P236" s="7" t="n">
        <v>92.5</v>
      </c>
      <c r="R236" s="7" t="n">
        <v>64.8</v>
      </c>
      <c r="T236" s="7" t="n">
        <v>62.4</v>
      </c>
      <c r="V236" s="7" t="n">
        <v>97.3</v>
      </c>
      <c r="X236" s="7" t="n">
        <v>86.2</v>
      </c>
      <c r="Z236" s="7" t="n">
        <v>72.59999999999999</v>
      </c>
      <c r="AB236" s="7" t="n">
        <v>883.2</v>
      </c>
    </row>
    <row r="237">
      <c r="A237" s="4" t="inlineStr">
        <is>
          <t>盘盈盘亏</t>
        </is>
      </c>
      <c r="D237" s="7" t="n">
        <v>87.8</v>
      </c>
      <c r="F237" s="7" t="n">
        <v>106.3</v>
      </c>
      <c r="H237" s="7" t="n">
        <v>78.90000000000001</v>
      </c>
      <c r="J237" s="7" t="n">
        <v>84.3</v>
      </c>
      <c r="L237" s="7" t="n">
        <v>179.4</v>
      </c>
      <c r="N237" s="7" t="n">
        <v>115.5</v>
      </c>
      <c r="P237" s="7" t="n">
        <v>202.7</v>
      </c>
      <c r="R237" s="7" t="n">
        <v>72.8</v>
      </c>
      <c r="T237" s="7" t="n">
        <v>84.59999999999999</v>
      </c>
      <c r="V237" s="7" t="n">
        <v>136.2</v>
      </c>
      <c r="X237" s="7" t="n">
        <v>138.4</v>
      </c>
      <c r="Z237" s="7" t="n">
        <v>94.59999999999999</v>
      </c>
      <c r="AB237" s="7" t="n">
        <v>1381.5</v>
      </c>
    </row>
    <row r="238">
      <c r="A238" s="4" t="inlineStr">
        <is>
          <t>平台服务费</t>
        </is>
      </c>
      <c r="D238" s="7" t="n">
        <v>3</v>
      </c>
      <c r="F238" s="7" t="n">
        <v>3.2</v>
      </c>
      <c r="H238" s="7" t="n">
        <v>1.9</v>
      </c>
      <c r="J238" s="7" t="n">
        <v>2.8</v>
      </c>
      <c r="L238" s="7" t="n">
        <v>4.4</v>
      </c>
      <c r="N238" s="7" t="n">
        <v>3.1</v>
      </c>
      <c r="P238" s="7" t="n">
        <v>6.2</v>
      </c>
      <c r="R238" s="7" t="n">
        <v>3</v>
      </c>
      <c r="T238" s="7" t="n">
        <v>2.2</v>
      </c>
      <c r="V238" s="7" t="n">
        <v>4.8</v>
      </c>
      <c r="X238" s="7" t="n">
        <v>4</v>
      </c>
      <c r="Z238" s="7" t="n">
        <v>2.8</v>
      </c>
      <c r="AB238" s="7" t="n">
        <v>41.4</v>
      </c>
    </row>
    <row r="239">
      <c r="A239" s="4" t="inlineStr">
        <is>
          <t>无形资产摊销</t>
        </is>
      </c>
      <c r="D239" s="7" t="n">
        <v>14.5</v>
      </c>
      <c r="F239" s="7" t="n">
        <v>22.5</v>
      </c>
      <c r="H239" s="7" t="n">
        <v>18.1</v>
      </c>
      <c r="J239" s="7" t="n">
        <v>20.4</v>
      </c>
      <c r="L239" s="7" t="n">
        <v>50.2</v>
      </c>
      <c r="N239" s="7" t="n">
        <v>29.5</v>
      </c>
      <c r="P239" s="7" t="n">
        <v>37</v>
      </c>
      <c r="R239" s="7" t="n">
        <v>24.6</v>
      </c>
      <c r="T239" s="7" t="n">
        <v>24.4</v>
      </c>
      <c r="V239" s="7" t="n">
        <v>25</v>
      </c>
      <c r="X239" s="7" t="n">
        <v>32.8</v>
      </c>
      <c r="Z239" s="7" t="n">
        <v>20.2</v>
      </c>
      <c r="AB239" s="7" t="n">
        <v>319.2</v>
      </c>
    </row>
    <row r="240">
      <c r="A240" s="4" t="inlineStr">
        <is>
          <t>研发材料</t>
        </is>
      </c>
      <c r="D240" s="7" t="n">
        <v>84.3</v>
      </c>
      <c r="F240" s="7" t="n">
        <v>60.8</v>
      </c>
      <c r="H240" s="7" t="n">
        <v>69.90000000000001</v>
      </c>
      <c r="J240" s="7" t="n">
        <v>118.7</v>
      </c>
      <c r="L240" s="7" t="n">
        <v>189.6</v>
      </c>
      <c r="N240" s="7" t="n">
        <v>98.5</v>
      </c>
      <c r="P240" s="7" t="n">
        <v>153.1</v>
      </c>
      <c r="R240" s="7" t="n">
        <v>84.3</v>
      </c>
      <c r="T240" s="7" t="n">
        <v>78.5</v>
      </c>
      <c r="V240" s="7" t="n">
        <v>107.2</v>
      </c>
      <c r="X240" s="7" t="n">
        <v>91.40000000000001</v>
      </c>
      <c r="Z240" s="7" t="n">
        <v>102.7</v>
      </c>
      <c r="AB240" s="7" t="n">
        <v>1239</v>
      </c>
    </row>
    <row r="241">
      <c r="A241" s="4" t="inlineStr">
        <is>
          <t>项目名称</t>
        </is>
      </c>
      <c r="D241" s="7" t="n">
        <v>61.9</v>
      </c>
      <c r="F241" s="7" t="n">
        <v>68.59999999999999</v>
      </c>
      <c r="H241" s="7" t="n">
        <v>48.7</v>
      </c>
      <c r="J241" s="7" t="n">
        <v>121.1</v>
      </c>
      <c r="L241" s="7" t="n">
        <v>204.6</v>
      </c>
      <c r="N241" s="7" t="n">
        <v>73.3</v>
      </c>
      <c r="P241" s="7" t="n">
        <v>144.3</v>
      </c>
      <c r="R241" s="7" t="n">
        <v>88.7</v>
      </c>
      <c r="T241" s="7" t="n">
        <v>68.8</v>
      </c>
      <c r="V241" s="7" t="n">
        <v>110.5</v>
      </c>
      <c r="X241" s="7" t="n">
        <v>95.5</v>
      </c>
      <c r="Z241" s="7" t="n">
        <v>60.7</v>
      </c>
      <c r="AB241" s="7" t="n">
        <v>1146.7</v>
      </c>
    </row>
    <row r="242">
      <c r="A242" s="4" t="inlineStr">
        <is>
          <t>研发费</t>
        </is>
      </c>
      <c r="D242" s="7" t="n">
        <v>40.5</v>
      </c>
      <c r="F242" s="7" t="n">
        <v>68.59999999999999</v>
      </c>
      <c r="H242" s="7" t="n">
        <v>42.2</v>
      </c>
      <c r="J242" s="7" t="n">
        <v>49.1</v>
      </c>
      <c r="L242" s="7" t="n">
        <v>127.8</v>
      </c>
      <c r="N242" s="7" t="n">
        <v>70.59999999999999</v>
      </c>
      <c r="P242" s="7" t="n">
        <v>127.4</v>
      </c>
      <c r="R242" s="7" t="n">
        <v>58.5</v>
      </c>
      <c r="T242" s="7" t="n">
        <v>50.3</v>
      </c>
      <c r="V242" s="7" t="n">
        <v>81.90000000000001</v>
      </c>
      <c r="X242" s="7" t="n">
        <v>58.7</v>
      </c>
      <c r="Z242" s="7" t="n">
        <v>57.2</v>
      </c>
      <c r="AB242" s="7" t="n">
        <v>832.8</v>
      </c>
    </row>
    <row r="243">
      <c r="A243" s="4" t="inlineStr">
        <is>
          <t>残保金</t>
        </is>
      </c>
      <c r="D243" s="7" t="n">
        <v>44.6</v>
      </c>
      <c r="F243" s="7" t="n">
        <v>62.4</v>
      </c>
      <c r="H243" s="7" t="n">
        <v>38.9</v>
      </c>
      <c r="J243" s="7" t="n">
        <v>68.3</v>
      </c>
      <c r="L243" s="7" t="n">
        <v>99.7</v>
      </c>
      <c r="N243" s="7" t="n">
        <v>48.7</v>
      </c>
      <c r="P243" s="7" t="n">
        <v>94.59999999999999</v>
      </c>
      <c r="R243" s="7" t="n">
        <v>44.6</v>
      </c>
      <c r="T243" s="7" t="n">
        <v>39.3</v>
      </c>
      <c r="V243" s="7" t="n">
        <v>79.5</v>
      </c>
      <c r="X243" s="7" t="n">
        <v>69.2</v>
      </c>
      <c r="Z243" s="7" t="n">
        <v>36</v>
      </c>
      <c r="AB243" s="7" t="n">
        <v>725.8</v>
      </c>
    </row>
    <row r="244">
      <c r="A244" s="4" t="inlineStr">
        <is>
          <t>环保费</t>
        </is>
      </c>
      <c r="D244" s="7" t="n">
        <v>71.5</v>
      </c>
      <c r="F244" s="7" t="n">
        <v>105.5</v>
      </c>
      <c r="H244" s="7" t="n">
        <v>52.5</v>
      </c>
      <c r="J244" s="7" t="n">
        <v>112.7</v>
      </c>
      <c r="L244" s="7" t="n">
        <v>163.7</v>
      </c>
      <c r="N244" s="7" t="n">
        <v>97.8</v>
      </c>
      <c r="P244" s="7" t="n">
        <v>139.1</v>
      </c>
      <c r="R244" s="7" t="n">
        <v>81</v>
      </c>
      <c r="T244" s="7" t="n">
        <v>70.8</v>
      </c>
      <c r="V244" s="7" t="n">
        <v>96.2</v>
      </c>
      <c r="X244" s="7" t="n">
        <v>139.7</v>
      </c>
      <c r="Z244" s="7" t="n">
        <v>102.5</v>
      </c>
      <c r="AB244" s="7" t="n">
        <v>1233</v>
      </c>
    </row>
    <row r="245">
      <c r="A245" s="4" t="inlineStr">
        <is>
          <t>报废损失</t>
        </is>
      </c>
      <c r="D245" s="7" t="n">
        <v>56.2</v>
      </c>
      <c r="F245" s="7" t="n">
        <v>64.59999999999999</v>
      </c>
      <c r="H245" s="7" t="n">
        <v>43.7</v>
      </c>
      <c r="J245" s="7" t="n">
        <v>106.8</v>
      </c>
      <c r="L245" s="7" t="n">
        <v>170.9</v>
      </c>
      <c r="N245" s="7" t="n">
        <v>82.7</v>
      </c>
      <c r="P245" s="7" t="n">
        <v>141.3</v>
      </c>
      <c r="R245" s="7" t="n">
        <v>52.5</v>
      </c>
      <c r="T245" s="7" t="n">
        <v>62.1</v>
      </c>
      <c r="V245" s="7" t="n">
        <v>100</v>
      </c>
      <c r="X245" s="7" t="n">
        <v>70.40000000000001</v>
      </c>
      <c r="Z245" s="7" t="n">
        <v>93.59999999999999</v>
      </c>
      <c r="AB245" s="7" t="n">
        <v>1044.8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11992.3</v>
      </c>
      <c r="D246" s="7" t="n">
        <v>19633.3</v>
      </c>
      <c r="E246" s="7" t="n">
        <v>9578.299999999999</v>
      </c>
      <c r="F246" s="7" t="n">
        <v>11488.3</v>
      </c>
      <c r="G246" s="7" t="n">
        <v>9429.4</v>
      </c>
      <c r="H246" s="7" t="n">
        <v>7499.2</v>
      </c>
      <c r="I246" s="7" t="n">
        <v>11647.9</v>
      </c>
      <c r="J246" s="7" t="n">
        <v>4797.4</v>
      </c>
      <c r="K246" s="7" t="n">
        <v>9090.4</v>
      </c>
      <c r="L246" s="7" t="n">
        <v>15422.8</v>
      </c>
      <c r="M246" s="7" t="n">
        <v>9777</v>
      </c>
      <c r="N246" s="7" t="n">
        <v>18592.5</v>
      </c>
      <c r="O246" s="7" t="n">
        <v>11880</v>
      </c>
      <c r="P246" s="7" t="n">
        <v>9164.5</v>
      </c>
      <c r="Q246" s="7" t="n">
        <v>9094.799999999999</v>
      </c>
      <c r="R246" s="7" t="n">
        <v>19585.1</v>
      </c>
      <c r="S246" s="7" t="n">
        <v>11250.3</v>
      </c>
      <c r="T246" s="7" t="n">
        <v>7927</v>
      </c>
      <c r="U246" s="7" t="n">
        <v>10274.6</v>
      </c>
      <c r="V246" s="7" t="n">
        <v>7867.1</v>
      </c>
      <c r="W246" s="7" t="n">
        <v>10427.9</v>
      </c>
      <c r="X246" s="7" t="n">
        <v>-3765.6</v>
      </c>
      <c r="Y246" s="7" t="n">
        <v>9408.6</v>
      </c>
      <c r="Z246" s="7" t="n">
        <v>9451.9</v>
      </c>
      <c r="AA246" s="8" t="n">
        <v>123851.5</v>
      </c>
      <c r="AB246" s="8" t="n">
        <v>127663.5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4100.4</v>
      </c>
      <c r="E248" s="7" t="n">
        <v>0</v>
      </c>
      <c r="F248" s="7" t="n">
        <v>79.2</v>
      </c>
      <c r="G248" s="7" t="n">
        <v>0</v>
      </c>
      <c r="H248" s="7" t="n">
        <v>1313.8</v>
      </c>
      <c r="I248" s="7" t="n">
        <v>0</v>
      </c>
      <c r="J248" s="7" t="n">
        <v>1714.7</v>
      </c>
      <c r="K248" s="7" t="n">
        <v>0</v>
      </c>
      <c r="L248" s="7" t="n">
        <v>581.1</v>
      </c>
      <c r="M248" s="7" t="n">
        <v>0</v>
      </c>
      <c r="N248" s="7" t="n">
        <v>3020.4</v>
      </c>
      <c r="O248" s="7" t="n">
        <v>0</v>
      </c>
      <c r="P248" s="7" t="n">
        <v>-191.5</v>
      </c>
      <c r="Q248" s="7" t="n">
        <v>0</v>
      </c>
      <c r="R248" s="7" t="n">
        <v>-1137.7</v>
      </c>
      <c r="S248" s="7" t="n">
        <v>0</v>
      </c>
      <c r="T248" s="7" t="n">
        <v>-4888</v>
      </c>
      <c r="U248" s="7" t="n">
        <v>0</v>
      </c>
      <c r="V248" s="7" t="n">
        <v>-4163.9</v>
      </c>
      <c r="W248" s="7" t="n">
        <v>0</v>
      </c>
      <c r="X248" s="7" t="n">
        <v>-2045.3</v>
      </c>
      <c r="Y248" s="7" t="n">
        <v>0</v>
      </c>
      <c r="Z248" s="7" t="n">
        <v>-1273.3</v>
      </c>
      <c r="AA248" s="7" t="n">
        <v>0</v>
      </c>
      <c r="AB248" s="7" t="n">
        <v>-2890.1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14977.3</v>
      </c>
      <c r="D253" s="7" t="n">
        <v>23905.8</v>
      </c>
      <c r="E253" s="7" t="n">
        <v>16495.7</v>
      </c>
      <c r="F253" s="7" t="n">
        <v>8662.9</v>
      </c>
      <c r="G253" s="7" t="n">
        <v>16979.5</v>
      </c>
      <c r="H253" s="7" t="n">
        <v>27518.1</v>
      </c>
      <c r="I253" s="7" t="n">
        <v>15991.5</v>
      </c>
      <c r="J253" s="7" t="n">
        <v>7057</v>
      </c>
      <c r="K253" s="7" t="n">
        <v>13936.5</v>
      </c>
      <c r="L253" s="7" t="n">
        <v>16591</v>
      </c>
      <c r="M253" s="7" t="n">
        <v>14462.7</v>
      </c>
      <c r="N253" s="7" t="n">
        <v>27856.7</v>
      </c>
      <c r="O253" s="7" t="n">
        <v>17026.2</v>
      </c>
      <c r="P253" s="7" t="n">
        <v>19496.3</v>
      </c>
      <c r="Q253" s="7" t="n">
        <v>15748.4</v>
      </c>
      <c r="R253" s="7" t="n">
        <v>19234.6</v>
      </c>
      <c r="S253" s="7" t="n">
        <v>16868.4</v>
      </c>
      <c r="T253" s="7" t="n">
        <v>2551.6</v>
      </c>
      <c r="U253" s="7" t="n">
        <v>16675.3</v>
      </c>
      <c r="V253" s="7" t="n">
        <v>15310</v>
      </c>
      <c r="W253" s="7" t="n">
        <v>13199.6</v>
      </c>
      <c r="X253" s="7" t="n">
        <v>1420.9</v>
      </c>
      <c r="Y253" s="7" t="n">
        <v>13952.9</v>
      </c>
      <c r="Z253" s="7" t="n">
        <v>14477.6</v>
      </c>
      <c r="AA253" s="7" t="n">
        <v>186314</v>
      </c>
      <c r="AB253" s="7" t="n">
        <v>184082.5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47658.5</v>
      </c>
      <c r="D254" s="7" t="n">
        <v>40679.8</v>
      </c>
      <c r="E254" s="7" t="n">
        <v>58842.6</v>
      </c>
      <c r="F254" s="7" t="n">
        <v>25466.6</v>
      </c>
      <c r="G254" s="7" t="n">
        <v>54614.1</v>
      </c>
      <c r="H254" s="7" t="n">
        <v>58427.1</v>
      </c>
      <c r="I254" s="7" t="n">
        <v>63577.1</v>
      </c>
      <c r="J254" s="7" t="n">
        <v>44983.6</v>
      </c>
      <c r="K254" s="7" t="n">
        <v>58498.6</v>
      </c>
      <c r="L254" s="7" t="n">
        <v>40611.6</v>
      </c>
      <c r="M254" s="7" t="n">
        <v>54383.1</v>
      </c>
      <c r="N254" s="7" t="n">
        <v>71505</v>
      </c>
      <c r="O254" s="7" t="n">
        <v>48869.4</v>
      </c>
      <c r="P254" s="7" t="n">
        <v>98181.39999999999</v>
      </c>
      <c r="Q254" s="7" t="n">
        <v>47549.9</v>
      </c>
      <c r="R254" s="7" t="n">
        <v>82106.39999999999</v>
      </c>
      <c r="S254" s="7" t="n">
        <v>58145.5</v>
      </c>
      <c r="T254" s="7" t="n">
        <v>74265.10000000001</v>
      </c>
      <c r="U254" s="7" t="n">
        <v>62636.5</v>
      </c>
      <c r="V254" s="7" t="n">
        <v>65486.2</v>
      </c>
      <c r="W254" s="7" t="n">
        <v>52328.5</v>
      </c>
      <c r="X254" s="7" t="n">
        <v>43869.2</v>
      </c>
      <c r="Y254" s="7" t="n">
        <v>48777.7</v>
      </c>
      <c r="Z254" s="7" t="n">
        <v>22634.7</v>
      </c>
      <c r="AA254" s="8" t="n">
        <v>655881.5</v>
      </c>
      <c r="AB254" s="8" t="n">
        <v>668216.7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451.5</v>
      </c>
      <c r="E255" s="7" t="n">
        <v>0</v>
      </c>
      <c r="F255" s="7" t="n">
        <v>4203.6</v>
      </c>
      <c r="G255" s="7" t="n">
        <v>0</v>
      </c>
      <c r="H255" s="7" t="n">
        <v>4965.6</v>
      </c>
      <c r="I255" s="7" t="n">
        <v>0</v>
      </c>
      <c r="J255" s="7" t="n">
        <v>1124</v>
      </c>
      <c r="K255" s="7" t="n">
        <v>0</v>
      </c>
      <c r="L255" s="7" t="n">
        <v>1411</v>
      </c>
      <c r="M255" s="7" t="n">
        <v>0</v>
      </c>
      <c r="N255" s="7" t="n">
        <v>4038.8</v>
      </c>
      <c r="O255" s="7" t="n">
        <v>0</v>
      </c>
      <c r="P255" s="7" t="n">
        <v>2708.3</v>
      </c>
      <c r="Q255" s="7" t="n">
        <v>0</v>
      </c>
      <c r="R255" s="7" t="n">
        <v>502.9</v>
      </c>
      <c r="S255" s="7" t="n">
        <v>0</v>
      </c>
      <c r="T255" s="7" t="n">
        <v>3070.6</v>
      </c>
      <c r="U255" s="7" t="n">
        <v>0</v>
      </c>
      <c r="V255" s="7" t="n">
        <v>4612</v>
      </c>
      <c r="W255" s="7" t="n">
        <v>0</v>
      </c>
      <c r="X255" s="7" t="n">
        <v>2957.4</v>
      </c>
      <c r="Y255" s="7" t="n">
        <v>0</v>
      </c>
      <c r="Z255" s="7" t="n">
        <v>3862.1</v>
      </c>
      <c r="AA255" s="7" t="n">
        <v>0</v>
      </c>
      <c r="AB255" s="7" t="n">
        <v>33907.8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1408.3</v>
      </c>
      <c r="E256" s="7" t="n">
        <v>0</v>
      </c>
      <c r="F256" s="7" t="n">
        <v>1568.4</v>
      </c>
      <c r="G256" s="7" t="n">
        <v>0</v>
      </c>
      <c r="H256" s="7" t="n">
        <v>45.1</v>
      </c>
      <c r="I256" s="7" t="n">
        <v>0</v>
      </c>
      <c r="J256" s="7" t="n">
        <v>2319</v>
      </c>
      <c r="K256" s="7" t="n">
        <v>0</v>
      </c>
      <c r="L256" s="7" t="n">
        <v>2280.6</v>
      </c>
      <c r="M256" s="7" t="n">
        <v>0</v>
      </c>
      <c r="N256" s="7" t="n">
        <v>1289.7</v>
      </c>
      <c r="O256" s="7" t="n">
        <v>0</v>
      </c>
      <c r="P256" s="7" t="n">
        <v>1644.7</v>
      </c>
      <c r="Q256" s="7" t="n">
        <v>0</v>
      </c>
      <c r="R256" s="7" t="n">
        <v>882.6</v>
      </c>
      <c r="S256" s="7" t="n">
        <v>0</v>
      </c>
      <c r="T256" s="7" t="n">
        <v>422.5</v>
      </c>
      <c r="U256" s="7" t="n">
        <v>0</v>
      </c>
      <c r="V256" s="7" t="n">
        <v>1602.9</v>
      </c>
      <c r="W256" s="7" t="n">
        <v>0</v>
      </c>
      <c r="X256" s="7" t="n">
        <v>1702.4</v>
      </c>
      <c r="Y256" s="7" t="n">
        <v>0</v>
      </c>
      <c r="Z256" s="7" t="n">
        <v>1865.5</v>
      </c>
      <c r="AA256" s="7" t="n">
        <v>0</v>
      </c>
      <c r="AB256" s="7" t="n">
        <v>17031.7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60575.9</v>
      </c>
      <c r="D257" s="7" t="n">
        <v>37907.9</v>
      </c>
      <c r="E257" s="7" t="n">
        <v>48696.1</v>
      </c>
      <c r="F257" s="7" t="n">
        <v>26011.2</v>
      </c>
      <c r="G257" s="7" t="n">
        <v>47992.1</v>
      </c>
      <c r="H257" s="7" t="n">
        <v>61756.4</v>
      </c>
      <c r="I257" s="7" t="n">
        <v>60932.2</v>
      </c>
      <c r="J257" s="7" t="n">
        <v>45235.1</v>
      </c>
      <c r="K257" s="7" t="n">
        <v>54663.4</v>
      </c>
      <c r="L257" s="7" t="n">
        <v>40936</v>
      </c>
      <c r="M257" s="7" t="n">
        <v>53561.9</v>
      </c>
      <c r="N257" s="7" t="n">
        <v>72334.89999999999</v>
      </c>
      <c r="O257" s="7" t="n">
        <v>61620</v>
      </c>
      <c r="P257" s="7" t="n">
        <v>98574.89999999999</v>
      </c>
      <c r="Q257" s="7" t="n">
        <v>57019.4</v>
      </c>
      <c r="R257" s="7" t="n">
        <v>84327.89999999999</v>
      </c>
      <c r="S257" s="7" t="n">
        <v>62506.4</v>
      </c>
      <c r="T257" s="7" t="n">
        <v>68595.89999999999</v>
      </c>
      <c r="U257" s="7" t="n">
        <v>47870.4</v>
      </c>
      <c r="V257" s="7" t="n">
        <v>65867.8</v>
      </c>
      <c r="W257" s="7" t="n">
        <v>57444.2</v>
      </c>
      <c r="X257" s="7" t="n">
        <v>45467.2</v>
      </c>
      <c r="Y257" s="7" t="n">
        <v>49598.6</v>
      </c>
      <c r="Z257" s="7" t="n">
        <v>23272.3</v>
      </c>
      <c r="AA257" s="8" t="n">
        <v>662480.6</v>
      </c>
      <c r="AB257" s="8" t="n">
        <v>670287.5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15821.3</v>
      </c>
      <c r="D258" s="7" t="n">
        <v>9477</v>
      </c>
      <c r="E258" s="7" t="n">
        <v>12425.6</v>
      </c>
      <c r="F258" s="7" t="n">
        <v>6502.8</v>
      </c>
      <c r="G258" s="7" t="n">
        <v>15561.2</v>
      </c>
      <c r="H258" s="7" t="n">
        <v>15439.1</v>
      </c>
      <c r="I258" s="7" t="n">
        <v>15070.3</v>
      </c>
      <c r="J258" s="7" t="n">
        <v>11308.8</v>
      </c>
      <c r="K258" s="7" t="n">
        <v>13371.6</v>
      </c>
      <c r="L258" s="7" t="n">
        <v>10234</v>
      </c>
      <c r="M258" s="7" t="n">
        <v>15427.5</v>
      </c>
      <c r="N258" s="7" t="n">
        <v>18083.7</v>
      </c>
      <c r="O258" s="7" t="n">
        <v>14513.4</v>
      </c>
      <c r="P258" s="7" t="n">
        <v>24643.7</v>
      </c>
      <c r="Q258" s="7" t="n">
        <v>14288.2</v>
      </c>
      <c r="R258" s="7" t="n">
        <v>21082</v>
      </c>
      <c r="S258" s="7" t="n">
        <v>15351.1</v>
      </c>
      <c r="T258" s="7" t="n">
        <v>17149</v>
      </c>
      <c r="U258" s="7" t="n">
        <v>12652.1</v>
      </c>
      <c r="V258" s="7" t="n">
        <v>16467</v>
      </c>
      <c r="W258" s="7" t="n">
        <v>11931.2</v>
      </c>
      <c r="X258" s="7" t="n">
        <v>11366.8</v>
      </c>
      <c r="Y258" s="7" t="n">
        <v>15965.9</v>
      </c>
      <c r="Z258" s="7" t="n">
        <v>5818.1</v>
      </c>
      <c r="AA258" s="7" t="n">
        <v>172379.4</v>
      </c>
      <c r="AB258" s="7" t="n">
        <v>167572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64111.4</v>
      </c>
      <c r="D259" s="7" t="n">
        <v>28430.9</v>
      </c>
      <c r="E259" s="7" t="n">
        <v>54311.4</v>
      </c>
      <c r="F259" s="7" t="n">
        <v>19508.4</v>
      </c>
      <c r="G259" s="7" t="n">
        <v>60131.1</v>
      </c>
      <c r="H259" s="7" t="n">
        <v>46317.3</v>
      </c>
      <c r="I259" s="7" t="n">
        <v>56472.8</v>
      </c>
      <c r="J259" s="7" t="n">
        <v>33926.3</v>
      </c>
      <c r="K259" s="7" t="n">
        <v>48281.3</v>
      </c>
      <c r="L259" s="7" t="n">
        <v>30702</v>
      </c>
      <c r="M259" s="7" t="n">
        <v>57270.9</v>
      </c>
      <c r="N259" s="7" t="n">
        <v>54251.2</v>
      </c>
      <c r="O259" s="7" t="n">
        <v>64252.6</v>
      </c>
      <c r="P259" s="7" t="n">
        <v>73931.2</v>
      </c>
      <c r="Q259" s="7" t="n">
        <v>43296.8</v>
      </c>
      <c r="R259" s="7" t="n">
        <v>63245.9</v>
      </c>
      <c r="S259" s="7" t="n">
        <v>59513.1</v>
      </c>
      <c r="T259" s="7" t="n">
        <v>51446.9</v>
      </c>
      <c r="U259" s="7" t="n">
        <v>51375.8</v>
      </c>
      <c r="V259" s="7" t="n">
        <v>49400.8</v>
      </c>
      <c r="W259" s="7" t="n">
        <v>49728.2</v>
      </c>
      <c r="X259" s="7" t="n">
        <v>34100.4</v>
      </c>
      <c r="Y259" s="7" t="n">
        <v>48284</v>
      </c>
      <c r="Z259" s="7" t="n">
        <v>17454.2</v>
      </c>
      <c r="AA259" s="8" t="n">
        <v>657029.4</v>
      </c>
      <c r="AB259" s="8" t="n">
        <v>502715.5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4719.2</v>
      </c>
      <c r="E260" s="7" t="n">
        <v>0</v>
      </c>
      <c r="F260" s="7" t="n">
        <v>34.2</v>
      </c>
      <c r="G260" s="7" t="n">
        <v>0</v>
      </c>
      <c r="H260" s="7" t="n">
        <v>13111.6</v>
      </c>
      <c r="I260" s="7" t="n">
        <v>0</v>
      </c>
      <c r="J260" s="7" t="n">
        <v>9132.799999999999</v>
      </c>
      <c r="K260" s="7" t="n">
        <v>0</v>
      </c>
      <c r="L260" s="7" t="n">
        <v>3394.5</v>
      </c>
      <c r="M260" s="7" t="n">
        <v>0</v>
      </c>
      <c r="N260" s="7" t="n">
        <v>2265.5</v>
      </c>
      <c r="O260" s="7" t="n">
        <v>0</v>
      </c>
      <c r="P260" s="7" t="n">
        <v>1615.5</v>
      </c>
      <c r="Q260" s="7" t="n">
        <v>0</v>
      </c>
      <c r="R260" s="7" t="n">
        <v>8746.6</v>
      </c>
      <c r="S260" s="7" t="n">
        <v>0</v>
      </c>
      <c r="T260" s="7" t="n">
        <v>5179.9</v>
      </c>
      <c r="U260" s="7" t="n">
        <v>0</v>
      </c>
      <c r="V260" s="7" t="n">
        <v>4658.8</v>
      </c>
      <c r="W260" s="7" t="n">
        <v>0</v>
      </c>
      <c r="X260" s="7" t="n">
        <v>9793.700000000001</v>
      </c>
      <c r="Y260" s="7" t="n">
        <v>0</v>
      </c>
      <c r="Z260" s="7" t="n">
        <v>2411.7</v>
      </c>
      <c r="AA260" s="7" t="n">
        <v>0</v>
      </c>
      <c r="AB260" s="7" t="n">
        <v>65064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64111.4</v>
      </c>
      <c r="D261" s="7" t="n">
        <v>23711.7</v>
      </c>
      <c r="E261" s="7" t="n">
        <v>54311.4</v>
      </c>
      <c r="F261" s="7" t="n">
        <v>19474.2</v>
      </c>
      <c r="G261" s="7" t="n">
        <v>60131.1</v>
      </c>
      <c r="H261" s="7" t="n">
        <v>33205.7</v>
      </c>
      <c r="I261" s="7" t="n">
        <v>56472.8</v>
      </c>
      <c r="J261" s="7" t="n">
        <v>24793.5</v>
      </c>
      <c r="K261" s="7" t="n">
        <v>48281.3</v>
      </c>
      <c r="L261" s="7" t="n">
        <v>27307.5</v>
      </c>
      <c r="M261" s="7" t="n">
        <v>57270.9</v>
      </c>
      <c r="N261" s="7" t="n">
        <v>51985.7</v>
      </c>
      <c r="O261" s="7" t="n">
        <v>64252.6</v>
      </c>
      <c r="P261" s="7" t="n">
        <v>72315.7</v>
      </c>
      <c r="Q261" s="7" t="n">
        <v>43296.8</v>
      </c>
      <c r="R261" s="7" t="n">
        <v>54499.3</v>
      </c>
      <c r="S261" s="7" t="n">
        <v>59513.1</v>
      </c>
      <c r="T261" s="7" t="n">
        <v>46267</v>
      </c>
      <c r="U261" s="7" t="n">
        <v>51375.8</v>
      </c>
      <c r="V261" s="7" t="n">
        <v>44742</v>
      </c>
      <c r="W261" s="7" t="n">
        <v>49728.2</v>
      </c>
      <c r="X261" s="7" t="n">
        <v>24306.7</v>
      </c>
      <c r="Y261" s="7" t="n">
        <v>48284</v>
      </c>
      <c r="Z261" s="7" t="n">
        <v>15042.5</v>
      </c>
      <c r="AA261" s="8" t="n">
        <v>657029.4</v>
      </c>
      <c r="AB261" s="8" t="n">
        <v>437651.5</v>
      </c>
    </row>
    <row r="262">
      <c r="A262" s="4" t="inlineStr">
        <is>
          <t>净利率</t>
        </is>
      </c>
      <c r="D262" s="13" t="n">
        <v>6.8</v>
      </c>
      <c r="F262" s="13" t="n">
        <v>3.9</v>
      </c>
      <c r="H262" s="13" t="n">
        <v>7.8</v>
      </c>
      <c r="J262" s="13" t="n">
        <v>5.3</v>
      </c>
      <c r="L262" s="13" t="n">
        <v>3.9</v>
      </c>
      <c r="N262" s="13" t="n">
        <v>5.6</v>
      </c>
      <c r="P262" s="13" t="n">
        <v>7.2</v>
      </c>
      <c r="R262" s="13" t="n">
        <v>9.1</v>
      </c>
      <c r="T262" s="13" t="n">
        <v>7.7</v>
      </c>
      <c r="V262" s="13" t="n">
        <v>6.2</v>
      </c>
      <c r="X262" s="13" t="n">
        <v>5.3</v>
      </c>
      <c r="Z262" s="13" t="n">
        <v>3.8</v>
      </c>
    </row>
    <row r="263">
      <c r="A263" s="4" t="inlineStr">
        <is>
          <t>销售达成率</t>
        </is>
      </c>
      <c r="D263" s="13" t="n">
        <v>70.2</v>
      </c>
      <c r="F263" s="13" t="n">
        <v>76.2</v>
      </c>
      <c r="H263" s="13" t="n">
        <v>81.8</v>
      </c>
      <c r="J263" s="13" t="n">
        <v>81.40000000000001</v>
      </c>
      <c r="L263" s="13" t="n">
        <v>117.7</v>
      </c>
      <c r="N263" s="13" t="n">
        <v>130.6</v>
      </c>
      <c r="P263" s="13" t="n">
        <v>169.3</v>
      </c>
      <c r="R263" s="13" t="n">
        <v>95.40000000000001</v>
      </c>
      <c r="T263" s="13" t="n">
        <v>93</v>
      </c>
      <c r="V263" s="13" t="n">
        <v>130.2</v>
      </c>
      <c r="X263" s="13" t="n">
        <v>85.8</v>
      </c>
      <c r="Z263" s="13" t="n">
        <v>60.5</v>
      </c>
    </row>
    <row r="264">
      <c r="A264" s="4" t="inlineStr">
        <is>
          <t>净利达成率</t>
        </is>
      </c>
      <c r="D264" s="13" t="n">
        <v>44.3</v>
      </c>
      <c r="F264" s="13" t="n">
        <v>35.9</v>
      </c>
      <c r="H264" s="13" t="n">
        <v>77</v>
      </c>
      <c r="J264" s="13" t="n">
        <v>60.1</v>
      </c>
      <c r="L264" s="13" t="n">
        <v>63.6</v>
      </c>
      <c r="N264" s="13" t="n">
        <v>94.7</v>
      </c>
      <c r="P264" s="13" t="n">
        <v>115.1</v>
      </c>
      <c r="R264" s="13" t="n">
        <v>146.1</v>
      </c>
      <c r="T264" s="13" t="n">
        <v>86.40000000000001</v>
      </c>
      <c r="V264" s="13" t="n">
        <v>96.2</v>
      </c>
      <c r="X264" s="13" t="n">
        <v>68.59999999999999</v>
      </c>
      <c r="Z264" s="13" t="n">
        <v>36.1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线上渠道利润表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1683791</v>
      </c>
      <c r="D6" s="7" t="n">
        <v>1004939.7</v>
      </c>
      <c r="E6" s="7" t="n">
        <v>1480988.5</v>
      </c>
      <c r="F6" s="7" t="n">
        <v>836612.5</v>
      </c>
      <c r="G6" s="7" t="n">
        <v>1610989.4</v>
      </c>
      <c r="H6" s="7" t="n">
        <v>1525974</v>
      </c>
      <c r="I6" s="7" t="n">
        <v>1603569.4</v>
      </c>
      <c r="J6" s="7" t="n">
        <v>1716074.8</v>
      </c>
      <c r="K6" s="7" t="n">
        <v>1774135.7</v>
      </c>
      <c r="L6" s="7" t="n">
        <v>1873285.2</v>
      </c>
      <c r="M6" s="7" t="n">
        <v>1869135.1</v>
      </c>
      <c r="N6" s="7" t="n">
        <v>2088253.6</v>
      </c>
      <c r="O6" s="7" t="n">
        <v>1601794.6</v>
      </c>
      <c r="P6" s="7" t="n">
        <v>2340148.2</v>
      </c>
      <c r="Q6" s="7" t="n">
        <v>1786056.3</v>
      </c>
      <c r="R6" s="7" t="n">
        <v>1868654.8</v>
      </c>
      <c r="S6" s="7" t="n">
        <v>1580735.7</v>
      </c>
      <c r="T6" s="7" t="n">
        <v>1918066.5</v>
      </c>
      <c r="U6" s="7" t="n">
        <v>1913424.5</v>
      </c>
      <c r="V6" s="7" t="n">
        <v>2264948.6</v>
      </c>
      <c r="W6" s="7" t="n">
        <v>1846769.1</v>
      </c>
      <c r="X6" s="7" t="n">
        <v>1545182</v>
      </c>
      <c r="Y6" s="7" t="n">
        <v>1713349.7</v>
      </c>
      <c r="Z6" s="7" t="n">
        <v>1082935</v>
      </c>
      <c r="AA6" s="8" t="n">
        <v>20464739</v>
      </c>
      <c r="AB6" s="8" t="n">
        <v>20065074.9</v>
      </c>
    </row>
    <row r="7">
      <c r="A7" s="4" t="inlineStr">
        <is>
          <t>生鲜蔬果</t>
        </is>
      </c>
      <c r="D7" s="7" t="n">
        <v>138517.2</v>
      </c>
      <c r="F7" s="7" t="n">
        <v>84414.39999999999</v>
      </c>
      <c r="H7" s="7" t="n">
        <v>128925</v>
      </c>
      <c r="J7" s="7" t="n">
        <v>196070.7</v>
      </c>
      <c r="L7" s="7" t="n">
        <v>123461.3</v>
      </c>
      <c r="N7" s="7" t="n">
        <v>161172.3</v>
      </c>
      <c r="P7" s="7" t="n">
        <v>290024.8</v>
      </c>
      <c r="R7" s="7" t="n">
        <v>258483.8</v>
      </c>
      <c r="T7" s="7" t="n">
        <v>147920.7</v>
      </c>
      <c r="V7" s="7" t="n">
        <v>293699.2</v>
      </c>
      <c r="X7" s="7" t="n">
        <v>190699.6</v>
      </c>
      <c r="Z7" s="7" t="n">
        <v>152165</v>
      </c>
      <c r="AB7" s="7" t="n">
        <v>2165554</v>
      </c>
    </row>
    <row r="8">
      <c r="A8" s="4" t="inlineStr">
        <is>
          <t>肉禽蛋奶</t>
        </is>
      </c>
      <c r="D8" s="7" t="n">
        <v>200418.4</v>
      </c>
      <c r="F8" s="7" t="n">
        <v>158865.7</v>
      </c>
      <c r="H8" s="7" t="n">
        <v>349317.8</v>
      </c>
      <c r="J8" s="7" t="n">
        <v>358456.4</v>
      </c>
      <c r="L8" s="7" t="n">
        <v>379308.3</v>
      </c>
      <c r="N8" s="7" t="n">
        <v>483249.2</v>
      </c>
      <c r="P8" s="7" t="n">
        <v>508443.4</v>
      </c>
      <c r="R8" s="7" t="n">
        <v>296537</v>
      </c>
      <c r="T8" s="7" t="n">
        <v>253744.8</v>
      </c>
      <c r="V8" s="7" t="n">
        <v>415387.4</v>
      </c>
      <c r="X8" s="7" t="n">
        <v>226569.1</v>
      </c>
      <c r="Z8" s="7" t="n">
        <v>232573.4</v>
      </c>
      <c r="AB8" s="7" t="n">
        <v>3862870.9</v>
      </c>
    </row>
    <row r="9">
      <c r="A9" s="4" t="inlineStr">
        <is>
          <t>粮油调味</t>
        </is>
      </c>
      <c r="D9" s="7" t="n">
        <v>289670.6</v>
      </c>
      <c r="F9" s="7" t="n">
        <v>225503</v>
      </c>
      <c r="H9" s="7" t="n">
        <v>333210.3</v>
      </c>
      <c r="J9" s="7" t="n">
        <v>289430.6</v>
      </c>
      <c r="L9" s="7" t="n">
        <v>426767.5</v>
      </c>
      <c r="N9" s="7" t="n">
        <v>592395.8</v>
      </c>
      <c r="P9" s="7" t="n">
        <v>431472.1</v>
      </c>
      <c r="R9" s="7" t="n">
        <v>516997.8</v>
      </c>
      <c r="T9" s="7" t="n">
        <v>501505.5</v>
      </c>
      <c r="V9" s="7" t="n">
        <v>541085.6</v>
      </c>
      <c r="X9" s="7" t="n">
        <v>273178.1</v>
      </c>
      <c r="Z9" s="7" t="n">
        <v>325512.2</v>
      </c>
      <c r="AB9" s="7" t="n">
        <v>4746729.1</v>
      </c>
    </row>
    <row r="10">
      <c r="A10" s="4" t="inlineStr">
        <is>
          <t>酒水饮料</t>
        </is>
      </c>
      <c r="D10" s="7" t="n">
        <v>92941.10000000001</v>
      </c>
      <c r="F10" s="7" t="n">
        <v>105737.5</v>
      </c>
      <c r="H10" s="7" t="n">
        <v>222095.7</v>
      </c>
      <c r="J10" s="7" t="n">
        <v>327802.4</v>
      </c>
      <c r="L10" s="7" t="n">
        <v>313135.1</v>
      </c>
      <c r="N10" s="7" t="n">
        <v>347533.6</v>
      </c>
      <c r="P10" s="7" t="n">
        <v>310965.3</v>
      </c>
      <c r="R10" s="7" t="n">
        <v>246613.9</v>
      </c>
      <c r="T10" s="7" t="n">
        <v>327071.8</v>
      </c>
      <c r="V10" s="7" t="n">
        <v>309252.6</v>
      </c>
      <c r="X10" s="7" t="n">
        <v>252081.4</v>
      </c>
      <c r="Z10" s="7" t="n">
        <v>126024</v>
      </c>
      <c r="AB10" s="7" t="n">
        <v>2981254.4</v>
      </c>
    </row>
    <row r="11">
      <c r="A11" s="4" t="inlineStr">
        <is>
          <t>休闲零食</t>
        </is>
      </c>
      <c r="D11" s="7" t="n">
        <v>149127.5</v>
      </c>
      <c r="F11" s="7" t="n">
        <v>158255.2</v>
      </c>
      <c r="H11" s="7" t="n">
        <v>296058.7</v>
      </c>
      <c r="J11" s="7" t="n">
        <v>285319</v>
      </c>
      <c r="L11" s="7" t="n">
        <v>439147.9</v>
      </c>
      <c r="N11" s="7" t="n">
        <v>395904.8</v>
      </c>
      <c r="P11" s="7" t="n">
        <v>596276.2</v>
      </c>
      <c r="R11" s="7" t="n">
        <v>414462.7</v>
      </c>
      <c r="T11" s="7" t="n">
        <v>461347.7</v>
      </c>
      <c r="V11" s="7" t="n">
        <v>425672.9</v>
      </c>
      <c r="X11" s="7" t="n">
        <v>408984.2</v>
      </c>
      <c r="Z11" s="7" t="n">
        <v>157554.1</v>
      </c>
      <c r="AB11" s="7" t="n">
        <v>4188110.9</v>
      </c>
    </row>
    <row r="12">
      <c r="A12" s="4" t="inlineStr">
        <is>
          <t>日用百货</t>
        </is>
      </c>
      <c r="D12" s="7" t="n">
        <v>141315.7</v>
      </c>
      <c r="F12" s="7" t="n">
        <v>114235.4</v>
      </c>
      <c r="H12" s="7" t="n">
        <v>203449.2</v>
      </c>
      <c r="J12" s="7" t="n">
        <v>265964.6</v>
      </c>
      <c r="L12" s="7" t="n">
        <v>214976.7</v>
      </c>
      <c r="N12" s="7" t="n">
        <v>148929.8</v>
      </c>
      <c r="P12" s="7" t="n">
        <v>219037.4</v>
      </c>
      <c r="R12" s="7" t="n">
        <v>145414.4</v>
      </c>
      <c r="T12" s="7" t="n">
        <v>249196.4</v>
      </c>
      <c r="V12" s="7" t="n">
        <v>320686.7</v>
      </c>
      <c r="X12" s="7" t="n">
        <v>201130.5</v>
      </c>
      <c r="Z12" s="7" t="n">
        <v>86916.5</v>
      </c>
      <c r="AB12" s="7" t="n">
        <v>2311253.3</v>
      </c>
    </row>
    <row r="13">
      <c r="A13" s="4" t="inlineStr">
        <is>
          <t>返利</t>
        </is>
      </c>
      <c r="D13" s="7" t="n">
        <v>-19367.8</v>
      </c>
      <c r="F13" s="7" t="n">
        <v>-20431</v>
      </c>
      <c r="H13" s="7" t="n">
        <v>-35903.1</v>
      </c>
      <c r="J13" s="7" t="n">
        <v>-21985</v>
      </c>
      <c r="L13" s="7" t="n">
        <v>-30227.3</v>
      </c>
      <c r="N13" s="7" t="n">
        <v>-46932.5</v>
      </c>
      <c r="P13" s="7" t="n">
        <v>-60510.5</v>
      </c>
      <c r="R13" s="7" t="n">
        <v>-22413.3</v>
      </c>
      <c r="T13" s="7" t="n">
        <v>-45529.9</v>
      </c>
      <c r="V13" s="7" t="n">
        <v>-61554.6</v>
      </c>
      <c r="X13" s="7" t="n">
        <v>-32649.8</v>
      </c>
      <c r="Z13" s="7" t="n">
        <v>-16866.8</v>
      </c>
      <c r="AB13" s="7" t="n">
        <v>-414371.6</v>
      </c>
    </row>
    <row r="14">
      <c r="A14" s="4" t="inlineStr">
        <is>
          <t>其他</t>
        </is>
      </c>
      <c r="D14" s="7" t="n">
        <v>12317</v>
      </c>
      <c r="F14" s="7" t="n">
        <v>10032.3</v>
      </c>
      <c r="H14" s="7" t="n">
        <v>28820.4</v>
      </c>
      <c r="J14" s="7" t="n">
        <v>15016.1</v>
      </c>
      <c r="L14" s="7" t="n">
        <v>6715.7</v>
      </c>
      <c r="N14" s="7" t="n">
        <v>6000.6</v>
      </c>
      <c r="P14" s="7" t="n">
        <v>44439.5</v>
      </c>
      <c r="R14" s="7" t="n">
        <v>12558.5</v>
      </c>
      <c r="T14" s="7" t="n">
        <v>22809.5</v>
      </c>
      <c r="V14" s="7" t="n">
        <v>20718.8</v>
      </c>
      <c r="X14" s="7" t="n">
        <v>25188.9</v>
      </c>
      <c r="Z14" s="7" t="n">
        <v>19056.6</v>
      </c>
      <c r="AB14" s="7" t="n">
        <v>223673.9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1182344.9</v>
      </c>
      <c r="D15" s="7" t="n">
        <v>817109.2</v>
      </c>
      <c r="E15" s="7" t="n">
        <v>1469368.3</v>
      </c>
      <c r="F15" s="7" t="n">
        <v>665016.9</v>
      </c>
      <c r="G15" s="7" t="n">
        <v>1188383.7</v>
      </c>
      <c r="H15" s="7" t="n">
        <v>1219946.7</v>
      </c>
      <c r="I15" s="7" t="n">
        <v>1469225.4</v>
      </c>
      <c r="J15" s="7" t="n">
        <v>1335873.6</v>
      </c>
      <c r="K15" s="7" t="n">
        <v>1278518.3</v>
      </c>
      <c r="L15" s="7" t="n">
        <v>1473264.3</v>
      </c>
      <c r="M15" s="7" t="n">
        <v>1463608.9</v>
      </c>
      <c r="N15" s="7" t="n">
        <v>1704002</v>
      </c>
      <c r="O15" s="7" t="n">
        <v>1415593</v>
      </c>
      <c r="P15" s="7" t="n">
        <v>1842437.4</v>
      </c>
      <c r="Q15" s="7" t="n">
        <v>1139059</v>
      </c>
      <c r="R15" s="7" t="n">
        <v>1473724.2</v>
      </c>
      <c r="S15" s="7" t="n">
        <v>1425184.6</v>
      </c>
      <c r="T15" s="7" t="n">
        <v>1529555.8</v>
      </c>
      <c r="U15" s="7" t="n">
        <v>1157158.2</v>
      </c>
      <c r="V15" s="7" t="n">
        <v>1842903.9</v>
      </c>
      <c r="W15" s="7" t="n">
        <v>1291353.2</v>
      </c>
      <c r="X15" s="7" t="n">
        <v>1208196</v>
      </c>
      <c r="Y15" s="7" t="n">
        <v>1501493.6</v>
      </c>
      <c r="Z15" s="7" t="n">
        <v>866940.6</v>
      </c>
      <c r="AA15" s="8" t="n">
        <v>15981291.1</v>
      </c>
      <c r="AB15" s="8" t="n">
        <v>15978970.6</v>
      </c>
    </row>
    <row r="16">
      <c r="A16" s="4" t="inlineStr">
        <is>
          <t>生鲜蔬果</t>
        </is>
      </c>
      <c r="D16" s="7" t="n">
        <v>101115.5</v>
      </c>
      <c r="F16" s="7" t="n">
        <v>61621.3</v>
      </c>
      <c r="H16" s="7" t="n">
        <v>94113.3</v>
      </c>
      <c r="J16" s="7" t="n">
        <v>143128.7</v>
      </c>
      <c r="L16" s="7" t="n">
        <v>90124.89999999999</v>
      </c>
      <c r="N16" s="7" t="n">
        <v>117653.4</v>
      </c>
      <c r="P16" s="7" t="n">
        <v>211713.8</v>
      </c>
      <c r="R16" s="7" t="n">
        <v>188689.3</v>
      </c>
      <c r="T16" s="7" t="n">
        <v>107979.9</v>
      </c>
      <c r="V16" s="7" t="n">
        <v>214396.1</v>
      </c>
      <c r="X16" s="7" t="n">
        <v>139207.9</v>
      </c>
      <c r="Z16" s="7" t="n">
        <v>111078.2</v>
      </c>
      <c r="AB16" s="7" t="n">
        <v>1580822.3</v>
      </c>
    </row>
    <row r="17">
      <c r="A17" s="4" t="inlineStr">
        <is>
          <t>肉禽蛋奶</t>
        </is>
      </c>
      <c r="D17" s="7" t="n">
        <v>152469.6</v>
      </c>
      <c r="F17" s="7" t="n">
        <v>120858.1</v>
      </c>
      <c r="H17" s="7" t="n">
        <v>265745.8</v>
      </c>
      <c r="J17" s="7" t="n">
        <v>272698.1</v>
      </c>
      <c r="L17" s="7" t="n">
        <v>288561.3</v>
      </c>
      <c r="N17" s="7" t="n">
        <v>367635</v>
      </c>
      <c r="P17" s="7" t="n">
        <v>386801.7</v>
      </c>
      <c r="R17" s="7" t="n">
        <v>225592.5</v>
      </c>
      <c r="T17" s="7" t="n">
        <v>193038</v>
      </c>
      <c r="V17" s="7" t="n">
        <v>316008.7</v>
      </c>
      <c r="X17" s="7" t="n">
        <v>172363.9</v>
      </c>
      <c r="Z17" s="7" t="n">
        <v>176931.8</v>
      </c>
      <c r="AB17" s="7" t="n">
        <v>2938704.5</v>
      </c>
    </row>
    <row r="18">
      <c r="A18" s="4" t="inlineStr">
        <is>
          <t>粮油调味</t>
        </is>
      </c>
      <c r="D18" s="7" t="n">
        <v>233397</v>
      </c>
      <c r="F18" s="7" t="n">
        <v>181695.1</v>
      </c>
      <c r="H18" s="7" t="n">
        <v>268478.3</v>
      </c>
      <c r="J18" s="7" t="n">
        <v>233203.6</v>
      </c>
      <c r="L18" s="7" t="n">
        <v>343860.4</v>
      </c>
      <c r="N18" s="7" t="n">
        <v>477312.5</v>
      </c>
      <c r="P18" s="7" t="n">
        <v>347651</v>
      </c>
      <c r="R18" s="7" t="n">
        <v>416561.9</v>
      </c>
      <c r="T18" s="7" t="n">
        <v>404079.2</v>
      </c>
      <c r="V18" s="7" t="n">
        <v>435970.2</v>
      </c>
      <c r="X18" s="7" t="n">
        <v>220108.4</v>
      </c>
      <c r="Z18" s="7" t="n">
        <v>262275.7</v>
      </c>
      <c r="AB18" s="7" t="n">
        <v>3824593.3</v>
      </c>
    </row>
    <row r="19">
      <c r="A19" s="4" t="inlineStr">
        <is>
          <t>酒水饮料</t>
        </is>
      </c>
      <c r="D19" s="7" t="n">
        <v>63279.2</v>
      </c>
      <c r="F19" s="7" t="n">
        <v>71991.7</v>
      </c>
      <c r="H19" s="7" t="n">
        <v>151214.6</v>
      </c>
      <c r="J19" s="7" t="n">
        <v>223185.3</v>
      </c>
      <c r="L19" s="7" t="n">
        <v>213199</v>
      </c>
      <c r="N19" s="7" t="n">
        <v>236619.3</v>
      </c>
      <c r="P19" s="7" t="n">
        <v>211721.7</v>
      </c>
      <c r="R19" s="7" t="n">
        <v>167907.9</v>
      </c>
      <c r="T19" s="7" t="n">
        <v>222687.9</v>
      </c>
      <c r="V19" s="7" t="n">
        <v>210555.6</v>
      </c>
      <c r="X19" s="7" t="n">
        <v>171630.4</v>
      </c>
      <c r="Z19" s="7" t="n">
        <v>85803.8</v>
      </c>
      <c r="AB19" s="7" t="n">
        <v>2029796.4</v>
      </c>
    </row>
    <row r="20">
      <c r="A20" s="4" t="inlineStr">
        <is>
          <t>休闲零食</t>
        </is>
      </c>
      <c r="D20" s="7" t="n">
        <v>111772</v>
      </c>
      <c r="F20" s="7" t="n">
        <v>118613.2</v>
      </c>
      <c r="H20" s="7" t="n">
        <v>221897.8</v>
      </c>
      <c r="J20" s="7" t="n">
        <v>213848.3</v>
      </c>
      <c r="L20" s="7" t="n">
        <v>329144</v>
      </c>
      <c r="N20" s="7" t="n">
        <v>296733</v>
      </c>
      <c r="P20" s="7" t="n">
        <v>446912.6</v>
      </c>
      <c r="R20" s="7" t="n">
        <v>310642.3</v>
      </c>
      <c r="T20" s="7" t="n">
        <v>345782.9</v>
      </c>
      <c r="V20" s="7" t="n">
        <v>319044.4</v>
      </c>
      <c r="X20" s="7" t="n">
        <v>306536.1</v>
      </c>
      <c r="Z20" s="7" t="n">
        <v>118087.7</v>
      </c>
      <c r="AB20" s="7" t="n">
        <v>3139014.3</v>
      </c>
    </row>
    <row r="21">
      <c r="A21" s="4" t="inlineStr">
        <is>
          <t>日用百货</t>
        </is>
      </c>
      <c r="D21" s="7" t="n">
        <v>107105.1</v>
      </c>
      <c r="F21" s="7" t="n">
        <v>86580.5</v>
      </c>
      <c r="H21" s="7" t="n">
        <v>154196.9</v>
      </c>
      <c r="J21" s="7" t="n">
        <v>201578.1</v>
      </c>
      <c r="L21" s="7" t="n">
        <v>162933.7</v>
      </c>
      <c r="N21" s="7" t="n">
        <v>112875.9</v>
      </c>
      <c r="P21" s="7" t="n">
        <v>166011.4</v>
      </c>
      <c r="R21" s="7" t="n">
        <v>110211.5</v>
      </c>
      <c r="T21" s="7" t="n">
        <v>188869.3</v>
      </c>
      <c r="V21" s="7" t="n">
        <v>243052.7</v>
      </c>
      <c r="X21" s="7" t="n">
        <v>152439.5</v>
      </c>
      <c r="Z21" s="7" t="n">
        <v>65875.2</v>
      </c>
      <c r="AB21" s="7" t="n">
        <v>1751729.8</v>
      </c>
    </row>
    <row r="22">
      <c r="A22" s="4" t="inlineStr">
        <is>
          <t>其他</t>
        </is>
      </c>
      <c r="D22" s="7" t="n">
        <v>13821.1</v>
      </c>
      <c r="F22" s="7" t="n">
        <v>5259.3</v>
      </c>
      <c r="H22" s="7" t="n">
        <v>21972.1</v>
      </c>
      <c r="J22" s="7" t="n">
        <v>11829.8</v>
      </c>
      <c r="L22" s="7" t="n">
        <v>6033.2</v>
      </c>
      <c r="N22" s="7" t="n">
        <v>4376.4</v>
      </c>
      <c r="P22" s="7" t="n">
        <v>30019.5</v>
      </c>
      <c r="R22" s="7" t="n">
        <v>13344.4</v>
      </c>
      <c r="T22" s="7" t="n">
        <v>5195.3</v>
      </c>
      <c r="V22" s="7" t="n">
        <v>5667.7</v>
      </c>
      <c r="X22" s="7" t="n">
        <v>13017.4</v>
      </c>
      <c r="Z22" s="7" t="n">
        <v>5381.2</v>
      </c>
      <c r="AB22" s="7" t="n">
        <v>135917.4</v>
      </c>
    </row>
    <row r="23">
      <c r="A23" s="4" t="inlineStr">
        <is>
          <t>运费</t>
        </is>
      </c>
      <c r="D23" s="7" t="n">
        <v>47970.8</v>
      </c>
      <c r="F23" s="7" t="n">
        <v>23657</v>
      </c>
      <c r="H23" s="7" t="n">
        <v>64300</v>
      </c>
      <c r="J23" s="7" t="n">
        <v>48231.5</v>
      </c>
      <c r="L23" s="7" t="n">
        <v>45441</v>
      </c>
      <c r="N23" s="7" t="n">
        <v>95172.89999999999</v>
      </c>
      <c r="P23" s="7" t="n">
        <v>71625.2</v>
      </c>
      <c r="R23" s="7" t="n">
        <v>54118.8</v>
      </c>
      <c r="T23" s="7" t="n">
        <v>67118.60000000001</v>
      </c>
      <c r="V23" s="7" t="n">
        <v>103876.2</v>
      </c>
      <c r="X23" s="7" t="n">
        <v>45909.8</v>
      </c>
      <c r="Z23" s="7" t="n">
        <v>46888.2</v>
      </c>
      <c r="AB23" s="7" t="n">
        <v>714310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501446.1</v>
      </c>
      <c r="D24" s="7" t="n">
        <v>187830.5</v>
      </c>
      <c r="E24" s="7" t="n">
        <v>11620.2</v>
      </c>
      <c r="F24" s="7" t="n">
        <v>171595.6</v>
      </c>
      <c r="G24" s="7" t="n">
        <v>422605.7</v>
      </c>
      <c r="H24" s="7" t="n">
        <v>306027.3</v>
      </c>
      <c r="I24" s="7" t="n">
        <v>134344</v>
      </c>
      <c r="J24" s="7" t="n">
        <v>380201.2</v>
      </c>
      <c r="K24" s="7" t="n">
        <v>495617.4</v>
      </c>
      <c r="L24" s="7" t="n">
        <v>400020.9</v>
      </c>
      <c r="M24" s="7" t="n">
        <v>405526.2</v>
      </c>
      <c r="N24" s="7" t="n">
        <v>384251.6</v>
      </c>
      <c r="O24" s="7" t="n">
        <v>186201.6</v>
      </c>
      <c r="P24" s="7" t="n">
        <v>497710.8</v>
      </c>
      <c r="Q24" s="7" t="n">
        <v>646997.3</v>
      </c>
      <c r="R24" s="7" t="n">
        <v>394930.6</v>
      </c>
      <c r="S24" s="7" t="n">
        <v>155551.1</v>
      </c>
      <c r="T24" s="7" t="n">
        <v>388510.7</v>
      </c>
      <c r="U24" s="7" t="n">
        <v>756266.3</v>
      </c>
      <c r="V24" s="7" t="n">
        <v>422044.7</v>
      </c>
      <c r="W24" s="7" t="n">
        <v>555415.9</v>
      </c>
      <c r="X24" s="7" t="n">
        <v>336986</v>
      </c>
      <c r="Y24" s="7" t="n">
        <v>211856.1</v>
      </c>
      <c r="Z24" s="7" t="n">
        <v>215994.4</v>
      </c>
      <c r="AA24" s="8" t="n">
        <v>4483447.9</v>
      </c>
      <c r="AB24" s="8" t="n">
        <v>4086104.3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29.8</v>
      </c>
      <c r="D25" s="13" t="n">
        <v>18.7</v>
      </c>
      <c r="E25" s="13" t="n">
        <v>0.8</v>
      </c>
      <c r="F25" s="13" t="n">
        <v>20.5</v>
      </c>
      <c r="G25" s="13" t="n">
        <v>26.2</v>
      </c>
      <c r="H25" s="13" t="n">
        <v>20.1</v>
      </c>
      <c r="I25" s="13" t="n">
        <v>8.4</v>
      </c>
      <c r="J25" s="13" t="n">
        <v>22.2</v>
      </c>
      <c r="K25" s="13" t="n">
        <v>27.9</v>
      </c>
      <c r="L25" s="13" t="n">
        <v>21.4</v>
      </c>
      <c r="M25" s="13" t="n">
        <v>21.7</v>
      </c>
      <c r="N25" s="13" t="n">
        <v>18.4</v>
      </c>
      <c r="O25" s="13" t="n">
        <v>11.6</v>
      </c>
      <c r="P25" s="13" t="n">
        <v>21.3</v>
      </c>
      <c r="Q25" s="13" t="n">
        <v>36.2</v>
      </c>
      <c r="R25" s="13" t="n">
        <v>21.1</v>
      </c>
      <c r="S25" s="13" t="n">
        <v>9.800000000000001</v>
      </c>
      <c r="T25" s="13" t="n">
        <v>20.3</v>
      </c>
      <c r="U25" s="13" t="n">
        <v>39.5</v>
      </c>
      <c r="V25" s="13" t="n">
        <v>18.6</v>
      </c>
      <c r="W25" s="13" t="n">
        <v>30.1</v>
      </c>
      <c r="X25" s="13" t="n">
        <v>21.8</v>
      </c>
      <c r="Y25" s="13" t="n">
        <v>12.4</v>
      </c>
      <c r="Z25" s="13" t="n">
        <v>19.9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16462.2</v>
      </c>
      <c r="D26" s="7" t="n">
        <v>12271.5</v>
      </c>
      <c r="E26" s="7" t="n">
        <v>16309.4</v>
      </c>
      <c r="F26" s="7" t="n">
        <v>10771.8</v>
      </c>
      <c r="G26" s="7" t="n">
        <v>19064.7</v>
      </c>
      <c r="H26" s="7" t="n">
        <v>7707</v>
      </c>
      <c r="I26" s="7" t="n">
        <v>19015.3</v>
      </c>
      <c r="J26" s="7" t="n">
        <v>10107</v>
      </c>
      <c r="K26" s="7" t="n">
        <v>18360.7</v>
      </c>
      <c r="L26" s="7" t="n">
        <v>19110.7</v>
      </c>
      <c r="M26" s="7" t="n">
        <v>16226.7</v>
      </c>
      <c r="N26" s="7" t="n">
        <v>30181.9</v>
      </c>
      <c r="O26" s="7" t="n">
        <v>16774.9</v>
      </c>
      <c r="P26" s="7" t="n">
        <v>30815.7</v>
      </c>
      <c r="Q26" s="7" t="n">
        <v>14636.5</v>
      </c>
      <c r="R26" s="7" t="n">
        <v>12758.6</v>
      </c>
      <c r="S26" s="7" t="n">
        <v>16116.8</v>
      </c>
      <c r="T26" s="7" t="n">
        <v>22802.9</v>
      </c>
      <c r="U26" s="7" t="n">
        <v>17184.7</v>
      </c>
      <c r="V26" s="7" t="n">
        <v>27566.2</v>
      </c>
      <c r="W26" s="7" t="n">
        <v>17870.7</v>
      </c>
      <c r="X26" s="7" t="n">
        <v>11440.1</v>
      </c>
      <c r="Y26" s="7" t="n">
        <v>19139.8</v>
      </c>
      <c r="Z26" s="7" t="n">
        <v>6890.2</v>
      </c>
      <c r="AA26" s="8" t="n">
        <v>207162.4</v>
      </c>
      <c r="AB26" s="8" t="n">
        <v>202423.6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250692.6</v>
      </c>
      <c r="D27" s="7" t="n">
        <v>91425.39999999999</v>
      </c>
      <c r="E27" s="7" t="n">
        <v>214499.1</v>
      </c>
      <c r="F27" s="7" t="n">
        <v>124591.1</v>
      </c>
      <c r="G27" s="7" t="n">
        <v>255813.6</v>
      </c>
      <c r="H27" s="7" t="n">
        <v>300566.4</v>
      </c>
      <c r="I27" s="7" t="n">
        <v>254202</v>
      </c>
      <c r="J27" s="7" t="n">
        <v>262988.8</v>
      </c>
      <c r="K27" s="7" t="n">
        <v>202293</v>
      </c>
      <c r="L27" s="7" t="n">
        <v>339553.3</v>
      </c>
      <c r="M27" s="7" t="n">
        <v>238473.6</v>
      </c>
      <c r="N27" s="7" t="n">
        <v>389060.5</v>
      </c>
      <c r="O27" s="7" t="n">
        <v>212550.6</v>
      </c>
      <c r="P27" s="7" t="n">
        <v>217879.2</v>
      </c>
      <c r="Q27" s="7" t="n">
        <v>200862.5</v>
      </c>
      <c r="R27" s="7" t="n">
        <v>332534.2</v>
      </c>
      <c r="S27" s="7" t="n">
        <v>203529.2</v>
      </c>
      <c r="T27" s="7" t="n">
        <v>173279.7</v>
      </c>
      <c r="U27" s="7" t="n">
        <v>228709.7</v>
      </c>
      <c r="V27" s="7" t="n">
        <v>231730.5</v>
      </c>
      <c r="W27" s="7" t="n">
        <v>220560.9</v>
      </c>
      <c r="X27" s="7" t="n">
        <v>138609.8</v>
      </c>
      <c r="Y27" s="7" t="n">
        <v>199592.5</v>
      </c>
      <c r="Z27" s="7" t="n">
        <v>201007.3</v>
      </c>
      <c r="AA27" s="8" t="n">
        <v>2681779.3</v>
      </c>
      <c r="AB27" s="8" t="n">
        <v>2803226.2</v>
      </c>
    </row>
    <row r="28">
      <c r="A28" s="4" t="inlineStr">
        <is>
          <t>职工薪酬</t>
        </is>
      </c>
      <c r="D28" s="7" t="n">
        <v>47526.5</v>
      </c>
      <c r="F28" s="7" t="n">
        <v>63165.6</v>
      </c>
      <c r="H28" s="7" t="n">
        <v>156720.3</v>
      </c>
      <c r="J28" s="7" t="n">
        <v>131254.5</v>
      </c>
      <c r="L28" s="7" t="n">
        <v>187914.7</v>
      </c>
      <c r="N28" s="7" t="n">
        <v>191185.7</v>
      </c>
      <c r="P28" s="7" t="n">
        <v>98751</v>
      </c>
      <c r="R28" s="7" t="n">
        <v>140493.4</v>
      </c>
      <c r="T28" s="7" t="n">
        <v>109160.5</v>
      </c>
      <c r="V28" s="7" t="n">
        <v>133848</v>
      </c>
      <c r="X28" s="7" t="n">
        <v>65491.3</v>
      </c>
      <c r="Z28" s="7" t="n">
        <v>105118.3</v>
      </c>
      <c r="AB28" s="7" t="n">
        <v>1430629.8</v>
      </c>
    </row>
    <row r="29">
      <c r="A29" s="4" t="inlineStr">
        <is>
          <t>工资</t>
        </is>
      </c>
      <c r="D29" s="7" t="n">
        <v>28538.2</v>
      </c>
      <c r="F29" s="7" t="n">
        <v>36667</v>
      </c>
      <c r="H29" s="7" t="n">
        <v>95206.7</v>
      </c>
      <c r="J29" s="7" t="n">
        <v>82356.3</v>
      </c>
      <c r="L29" s="7" t="n">
        <v>124187.1</v>
      </c>
      <c r="N29" s="7" t="n">
        <v>110564.2</v>
      </c>
      <c r="P29" s="7" t="n">
        <v>50912</v>
      </c>
      <c r="R29" s="7" t="n">
        <v>85220.7</v>
      </c>
      <c r="T29" s="7" t="n">
        <v>66223.89999999999</v>
      </c>
      <c r="V29" s="7" t="n">
        <v>80614</v>
      </c>
      <c r="X29" s="7" t="n">
        <v>39422.8</v>
      </c>
      <c r="Z29" s="7" t="n">
        <v>68721.7</v>
      </c>
      <c r="AB29" s="7" t="n">
        <v>868634.6</v>
      </c>
    </row>
    <row r="30">
      <c r="A30" s="4" t="inlineStr">
        <is>
          <t>奖金及提成</t>
        </is>
      </c>
      <c r="D30" s="7" t="n">
        <v>11662.2</v>
      </c>
      <c r="F30" s="7" t="n">
        <v>14649.7</v>
      </c>
      <c r="H30" s="7" t="n">
        <v>30321.2</v>
      </c>
      <c r="J30" s="7" t="n">
        <v>20638.1</v>
      </c>
      <c r="L30" s="7" t="n">
        <v>33428.4</v>
      </c>
      <c r="N30" s="7" t="n">
        <v>46020.6</v>
      </c>
      <c r="P30" s="7" t="n">
        <v>25852.7</v>
      </c>
      <c r="R30" s="7" t="n">
        <v>24926.3</v>
      </c>
      <c r="T30" s="7" t="n">
        <v>21504.3</v>
      </c>
      <c r="V30" s="7" t="n">
        <v>26306.3</v>
      </c>
      <c r="X30" s="7" t="n">
        <v>10290.9</v>
      </c>
      <c r="Z30" s="7" t="n">
        <v>17179.9</v>
      </c>
      <c r="AB30" s="7" t="n">
        <v>282780.6</v>
      </c>
    </row>
    <row r="31">
      <c r="A31" s="4" t="inlineStr">
        <is>
          <t>社保</t>
        </is>
      </c>
      <c r="D31" s="7" t="n">
        <v>5319.1</v>
      </c>
      <c r="F31" s="7" t="n">
        <v>9081</v>
      </c>
      <c r="H31" s="7" t="n">
        <v>24932.3</v>
      </c>
      <c r="J31" s="7" t="n">
        <v>22437.5</v>
      </c>
      <c r="L31" s="7" t="n">
        <v>22629.7</v>
      </c>
      <c r="N31" s="7" t="n">
        <v>25208.2</v>
      </c>
      <c r="P31" s="7" t="n">
        <v>17098.5</v>
      </c>
      <c r="R31" s="7" t="n">
        <v>23358.9</v>
      </c>
      <c r="T31" s="7" t="n">
        <v>17778.4</v>
      </c>
      <c r="V31" s="7" t="n">
        <v>21693.7</v>
      </c>
      <c r="X31" s="7" t="n">
        <v>12608.2</v>
      </c>
      <c r="Z31" s="7" t="n">
        <v>15480.9</v>
      </c>
      <c r="AB31" s="7" t="n">
        <v>217626.4</v>
      </c>
    </row>
    <row r="32">
      <c r="A32" s="4" t="inlineStr">
        <is>
          <t>养老</t>
        </is>
      </c>
      <c r="D32" s="7" t="n">
        <v>386</v>
      </c>
      <c r="F32" s="7" t="n">
        <v>361.8</v>
      </c>
      <c r="H32" s="7" t="n">
        <v>1262.9</v>
      </c>
      <c r="J32" s="7" t="n">
        <v>714.7</v>
      </c>
      <c r="L32" s="7" t="n">
        <v>1187.7</v>
      </c>
      <c r="N32" s="7" t="n">
        <v>1261.2</v>
      </c>
      <c r="P32" s="7" t="n">
        <v>646.7</v>
      </c>
      <c r="R32" s="7" t="n">
        <v>1174</v>
      </c>
      <c r="T32" s="7" t="n">
        <v>430.7</v>
      </c>
      <c r="V32" s="7" t="n">
        <v>762.5</v>
      </c>
      <c r="X32" s="7" t="n">
        <v>388.8</v>
      </c>
      <c r="Z32" s="7" t="n">
        <v>710.6</v>
      </c>
      <c r="AB32" s="7" t="n">
        <v>9287.6</v>
      </c>
    </row>
    <row r="33">
      <c r="A33" s="4" t="inlineStr">
        <is>
          <t>医疗</t>
        </is>
      </c>
      <c r="D33" s="7" t="n">
        <v>770.1</v>
      </c>
      <c r="F33" s="7" t="n">
        <v>998.3</v>
      </c>
      <c r="H33" s="7" t="n">
        <v>2455.1</v>
      </c>
      <c r="J33" s="7" t="n">
        <v>1710.3</v>
      </c>
      <c r="L33" s="7" t="n">
        <v>2266.1</v>
      </c>
      <c r="N33" s="7" t="n">
        <v>3233.5</v>
      </c>
      <c r="P33" s="7" t="n">
        <v>1259.6</v>
      </c>
      <c r="R33" s="7" t="n">
        <v>1805.7</v>
      </c>
      <c r="T33" s="7" t="n">
        <v>1408.8</v>
      </c>
      <c r="V33" s="7" t="n">
        <v>1772.7</v>
      </c>
      <c r="X33" s="7" t="n">
        <v>970.1</v>
      </c>
      <c r="Z33" s="7" t="n">
        <v>1578.3</v>
      </c>
      <c r="AB33" s="7" t="n">
        <v>20228.6</v>
      </c>
    </row>
    <row r="34">
      <c r="A34" s="4" t="inlineStr">
        <is>
          <t>工伤</t>
        </is>
      </c>
      <c r="D34" s="7" t="n">
        <v>190.5</v>
      </c>
      <c r="F34" s="7" t="n">
        <v>241.6</v>
      </c>
      <c r="H34" s="7" t="n">
        <v>720.3</v>
      </c>
      <c r="J34" s="7" t="n">
        <v>677.1</v>
      </c>
      <c r="L34" s="7" t="n">
        <v>873.6</v>
      </c>
      <c r="N34" s="7" t="n">
        <v>896.8</v>
      </c>
      <c r="P34" s="7" t="n">
        <v>423.4</v>
      </c>
      <c r="R34" s="7" t="n">
        <v>810.8</v>
      </c>
      <c r="T34" s="7" t="n">
        <v>494.4</v>
      </c>
      <c r="V34" s="7" t="n">
        <v>562.2</v>
      </c>
      <c r="X34" s="7" t="n">
        <v>338.9</v>
      </c>
      <c r="Z34" s="7" t="n">
        <v>502</v>
      </c>
      <c r="AB34" s="7" t="n">
        <v>6731.6</v>
      </c>
    </row>
    <row r="35">
      <c r="A35" s="4" t="inlineStr">
        <is>
          <t>失业</t>
        </is>
      </c>
      <c r="D35" s="7" t="n">
        <v>100</v>
      </c>
      <c r="F35" s="7" t="n">
        <v>201.1</v>
      </c>
      <c r="H35" s="7" t="n">
        <v>428.9</v>
      </c>
      <c r="J35" s="7" t="n">
        <v>363.9</v>
      </c>
      <c r="L35" s="7" t="n">
        <v>412.8</v>
      </c>
      <c r="N35" s="7" t="n">
        <v>609.3</v>
      </c>
      <c r="P35" s="7" t="n">
        <v>224.9</v>
      </c>
      <c r="R35" s="7" t="n">
        <v>447.4</v>
      </c>
      <c r="T35" s="7" t="n">
        <v>262.1</v>
      </c>
      <c r="V35" s="7" t="n">
        <v>356.3</v>
      </c>
      <c r="X35" s="7" t="n">
        <v>205.9</v>
      </c>
      <c r="Z35" s="7" t="n">
        <v>287.8</v>
      </c>
      <c r="AB35" s="7" t="n">
        <v>3900.4</v>
      </c>
    </row>
    <row r="36">
      <c r="A36" s="4" t="inlineStr">
        <is>
          <t>生育</t>
        </is>
      </c>
      <c r="D36" s="7" t="n">
        <v>405.2</v>
      </c>
      <c r="F36" s="7" t="n">
        <v>545</v>
      </c>
      <c r="H36" s="7" t="n">
        <v>1332.5</v>
      </c>
      <c r="J36" s="7" t="n">
        <v>1790.6</v>
      </c>
      <c r="L36" s="7" t="n">
        <v>2505</v>
      </c>
      <c r="N36" s="7" t="n">
        <v>1717.5</v>
      </c>
      <c r="P36" s="7" t="n">
        <v>1641.6</v>
      </c>
      <c r="R36" s="7" t="n">
        <v>1379.9</v>
      </c>
      <c r="T36" s="7" t="n">
        <v>906.7</v>
      </c>
      <c r="V36" s="7" t="n">
        <v>1185.3</v>
      </c>
      <c r="X36" s="7" t="n">
        <v>1023.1</v>
      </c>
      <c r="Z36" s="7" t="n">
        <v>1300.4</v>
      </c>
      <c r="AB36" s="7" t="n">
        <v>15732.8</v>
      </c>
    </row>
    <row r="37">
      <c r="A37" s="4" t="inlineStr">
        <is>
          <t>公积金</t>
        </is>
      </c>
      <c r="D37" s="7" t="n">
        <v>36.3</v>
      </c>
      <c r="F37" s="7" t="n">
        <v>35.3</v>
      </c>
      <c r="H37" s="7" t="n">
        <v>76</v>
      </c>
      <c r="J37" s="7" t="n">
        <v>105.2</v>
      </c>
      <c r="L37" s="7" t="n">
        <v>110.9</v>
      </c>
      <c r="N37" s="7" t="n">
        <v>115.7</v>
      </c>
      <c r="P37" s="7" t="n">
        <v>91.8</v>
      </c>
      <c r="R37" s="7" t="n">
        <v>148.2</v>
      </c>
      <c r="T37" s="7" t="n">
        <v>68.59999999999999</v>
      </c>
      <c r="V37" s="7" t="n">
        <v>61.5</v>
      </c>
      <c r="X37" s="7" t="n">
        <v>39.6</v>
      </c>
      <c r="Z37" s="7" t="n">
        <v>49.8</v>
      </c>
      <c r="AB37" s="7" t="n">
        <v>938.9</v>
      </c>
    </row>
    <row r="38">
      <c r="A38" s="4" t="inlineStr">
        <is>
          <t>工会经费</t>
        </is>
      </c>
      <c r="D38" s="7" t="n">
        <v>38.7</v>
      </c>
      <c r="F38" s="7" t="n">
        <v>65</v>
      </c>
      <c r="H38" s="7" t="n">
        <v>144.8</v>
      </c>
      <c r="J38" s="7" t="n">
        <v>167.8</v>
      </c>
      <c r="L38" s="7" t="n">
        <v>191.4</v>
      </c>
      <c r="N38" s="7" t="n">
        <v>258</v>
      </c>
      <c r="P38" s="7" t="n">
        <v>86.90000000000001</v>
      </c>
      <c r="R38" s="7" t="n">
        <v>143.3</v>
      </c>
      <c r="T38" s="7" t="n">
        <v>89.3</v>
      </c>
      <c r="V38" s="7" t="n">
        <v>149.2</v>
      </c>
      <c r="X38" s="7" t="n">
        <v>94.09999999999999</v>
      </c>
      <c r="Z38" s="7" t="n">
        <v>81.5</v>
      </c>
      <c r="AB38" s="7" t="n">
        <v>1510</v>
      </c>
    </row>
    <row r="39">
      <c r="A39" s="4" t="inlineStr">
        <is>
          <t>职工教育经费</t>
        </is>
      </c>
      <c r="D39" s="7" t="n">
        <v>55.1</v>
      </c>
      <c r="F39" s="7" t="n">
        <v>102.6</v>
      </c>
      <c r="H39" s="7" t="n">
        <v>177.2</v>
      </c>
      <c r="J39" s="7" t="n">
        <v>234.9</v>
      </c>
      <c r="L39" s="7" t="n">
        <v>316.3</v>
      </c>
      <c r="N39" s="7" t="n">
        <v>309.4</v>
      </c>
      <c r="P39" s="7" t="n">
        <v>176.3</v>
      </c>
      <c r="R39" s="7" t="n">
        <v>207.1</v>
      </c>
      <c r="T39" s="7" t="n">
        <v>136.2</v>
      </c>
      <c r="V39" s="7" t="n">
        <v>180.6</v>
      </c>
      <c r="X39" s="7" t="n">
        <v>72.59999999999999</v>
      </c>
      <c r="Z39" s="7" t="n">
        <v>127.2</v>
      </c>
      <c r="AB39" s="7" t="n">
        <v>2095.5</v>
      </c>
    </row>
    <row r="40">
      <c r="A40" s="4" t="inlineStr">
        <is>
          <t>福利费</t>
        </is>
      </c>
      <c r="D40" s="7" t="n">
        <v>1876.9</v>
      </c>
      <c r="F40" s="7" t="n">
        <v>2565</v>
      </c>
      <c r="H40" s="7" t="n">
        <v>5862.1</v>
      </c>
      <c r="J40" s="7" t="n">
        <v>5314.7</v>
      </c>
      <c r="L40" s="7" t="n">
        <v>7050.9</v>
      </c>
      <c r="N40" s="7" t="n">
        <v>8709.6</v>
      </c>
      <c r="P40" s="7" t="n">
        <v>4532.8</v>
      </c>
      <c r="R40" s="7" t="n">
        <v>6488.9</v>
      </c>
      <c r="T40" s="7" t="n">
        <v>3359.8</v>
      </c>
      <c r="V40" s="7" t="n">
        <v>4842.7</v>
      </c>
      <c r="X40" s="7" t="n">
        <v>2963.1</v>
      </c>
      <c r="Z40" s="7" t="n">
        <v>3477.3</v>
      </c>
      <c r="AB40" s="7" t="n">
        <v>57043.8</v>
      </c>
    </row>
    <row r="41">
      <c r="A41" s="4" t="inlineStr">
        <is>
          <t>职工房租</t>
        </is>
      </c>
      <c r="D41" s="7" t="n">
        <v>159.1</v>
      </c>
      <c r="F41" s="7" t="n">
        <v>139.3</v>
      </c>
      <c r="H41" s="7" t="n">
        <v>320.8</v>
      </c>
      <c r="J41" s="7" t="n">
        <v>372.1</v>
      </c>
      <c r="L41" s="7" t="n">
        <v>654.4</v>
      </c>
      <c r="N41" s="7" t="n">
        <v>631.4</v>
      </c>
      <c r="P41" s="7" t="n">
        <v>422.3</v>
      </c>
      <c r="R41" s="7" t="n">
        <v>585.2</v>
      </c>
      <c r="T41" s="7" t="n">
        <v>185.3</v>
      </c>
      <c r="V41" s="7" t="n">
        <v>390.4</v>
      </c>
      <c r="X41" s="7" t="n">
        <v>219.5</v>
      </c>
      <c r="Z41" s="7" t="n">
        <v>213.3</v>
      </c>
      <c r="AB41" s="7" t="n">
        <v>4293.1</v>
      </c>
    </row>
    <row r="42">
      <c r="A42" s="4" t="inlineStr">
        <is>
          <t>水电物业费</t>
        </is>
      </c>
      <c r="D42" s="7" t="n">
        <v>263.6</v>
      </c>
      <c r="F42" s="7" t="n">
        <v>349.1</v>
      </c>
      <c r="H42" s="7" t="n">
        <v>656.8</v>
      </c>
      <c r="J42" s="7" t="n">
        <v>602.8</v>
      </c>
      <c r="L42" s="7" t="n">
        <v>867.8</v>
      </c>
      <c r="N42" s="7" t="n">
        <v>1027.1</v>
      </c>
      <c r="P42" s="7" t="n">
        <v>367.5</v>
      </c>
      <c r="R42" s="7" t="n">
        <v>778.8</v>
      </c>
      <c r="T42" s="7" t="n">
        <v>425.8</v>
      </c>
      <c r="V42" s="7" t="n">
        <v>659.2</v>
      </c>
      <c r="X42" s="7" t="n">
        <v>403</v>
      </c>
      <c r="Z42" s="7" t="n">
        <v>594</v>
      </c>
      <c r="AB42" s="7" t="n">
        <v>6995.5</v>
      </c>
    </row>
    <row r="43">
      <c r="A43" s="4" t="inlineStr">
        <is>
          <t>员工餐</t>
        </is>
      </c>
      <c r="D43" s="7" t="n">
        <v>215.9</v>
      </c>
      <c r="F43" s="7" t="n">
        <v>339.9</v>
      </c>
      <c r="H43" s="7" t="n">
        <v>847</v>
      </c>
      <c r="J43" s="7" t="n">
        <v>531.8</v>
      </c>
      <c r="L43" s="7" t="n">
        <v>866.9</v>
      </c>
      <c r="N43" s="7" t="n">
        <v>727.1</v>
      </c>
      <c r="P43" s="7" t="n">
        <v>444.8</v>
      </c>
      <c r="R43" s="7" t="n">
        <v>764</v>
      </c>
      <c r="T43" s="7" t="n">
        <v>301.5</v>
      </c>
      <c r="V43" s="7" t="n">
        <v>469.2</v>
      </c>
      <c r="X43" s="7" t="n">
        <v>227.3</v>
      </c>
      <c r="Z43" s="7" t="n">
        <v>326.6</v>
      </c>
      <c r="AB43" s="7" t="n">
        <v>6062</v>
      </c>
    </row>
    <row r="44">
      <c r="A44" s="4" t="inlineStr">
        <is>
          <t>节日礼品</t>
        </is>
      </c>
      <c r="D44" s="7" t="n">
        <v>601.8</v>
      </c>
      <c r="F44" s="7" t="n">
        <v>824</v>
      </c>
      <c r="H44" s="7" t="n">
        <v>2063.7</v>
      </c>
      <c r="J44" s="7" t="n">
        <v>1560.1</v>
      </c>
      <c r="L44" s="7" t="n">
        <v>2053.8</v>
      </c>
      <c r="N44" s="7" t="n">
        <v>3069.5</v>
      </c>
      <c r="P44" s="7" t="n">
        <v>1644.8</v>
      </c>
      <c r="R44" s="7" t="n">
        <v>1545.2</v>
      </c>
      <c r="T44" s="7" t="n">
        <v>1125.8</v>
      </c>
      <c r="V44" s="7" t="n">
        <v>1655.3</v>
      </c>
      <c r="X44" s="7" t="n">
        <v>864.1</v>
      </c>
      <c r="Z44" s="7" t="n">
        <v>922.8</v>
      </c>
      <c r="AB44" s="7" t="n">
        <v>17930.9</v>
      </c>
    </row>
    <row r="45">
      <c r="A45" s="4" t="inlineStr">
        <is>
          <t>生日礼品</t>
        </is>
      </c>
      <c r="D45" s="7" t="n">
        <v>352.3</v>
      </c>
      <c r="F45" s="7" t="n">
        <v>561</v>
      </c>
      <c r="H45" s="7" t="n">
        <v>1179.1</v>
      </c>
      <c r="J45" s="7" t="n">
        <v>1329</v>
      </c>
      <c r="L45" s="7" t="n">
        <v>1749.8</v>
      </c>
      <c r="N45" s="7" t="n">
        <v>2260.1</v>
      </c>
      <c r="P45" s="7" t="n">
        <v>1090.3</v>
      </c>
      <c r="R45" s="7" t="n">
        <v>1580.4</v>
      </c>
      <c r="T45" s="7" t="n">
        <v>690.2</v>
      </c>
      <c r="V45" s="7" t="n">
        <v>1108.2</v>
      </c>
      <c r="X45" s="7" t="n">
        <v>807.8</v>
      </c>
      <c r="Z45" s="7" t="n">
        <v>847.9</v>
      </c>
      <c r="AB45" s="7" t="n">
        <v>13556.1</v>
      </c>
    </row>
    <row r="46">
      <c r="A46" s="4" t="inlineStr">
        <is>
          <t>体检</t>
        </is>
      </c>
      <c r="D46" s="7" t="n">
        <v>94.7</v>
      </c>
      <c r="F46" s="7" t="n">
        <v>182.8</v>
      </c>
      <c r="H46" s="7" t="n">
        <v>410.8</v>
      </c>
      <c r="J46" s="7" t="n">
        <v>469.1</v>
      </c>
      <c r="L46" s="7" t="n">
        <v>398</v>
      </c>
      <c r="N46" s="7" t="n">
        <v>514.9</v>
      </c>
      <c r="P46" s="7" t="n">
        <v>267.1</v>
      </c>
      <c r="R46" s="7" t="n">
        <v>529.8</v>
      </c>
      <c r="T46" s="7" t="n">
        <v>306.1</v>
      </c>
      <c r="V46" s="7" t="n">
        <v>254.3</v>
      </c>
      <c r="X46" s="7" t="n">
        <v>169.3</v>
      </c>
      <c r="Z46" s="7" t="n">
        <v>275.2</v>
      </c>
      <c r="AB46" s="7" t="n">
        <v>3872.1</v>
      </c>
    </row>
    <row r="47">
      <c r="A47" s="4" t="inlineStr">
        <is>
          <t>其他福利支出</t>
        </is>
      </c>
      <c r="D47" s="7" t="n">
        <v>189.5</v>
      </c>
      <c r="F47" s="7" t="n">
        <v>168.9</v>
      </c>
      <c r="H47" s="7" t="n">
        <v>383.9</v>
      </c>
      <c r="J47" s="7" t="n">
        <v>449.8</v>
      </c>
      <c r="L47" s="7" t="n">
        <v>460.2</v>
      </c>
      <c r="N47" s="7" t="n">
        <v>479.5</v>
      </c>
      <c r="P47" s="7" t="n">
        <v>296</v>
      </c>
      <c r="R47" s="7" t="n">
        <v>705.5</v>
      </c>
      <c r="T47" s="7" t="n">
        <v>325.1</v>
      </c>
      <c r="V47" s="7" t="n">
        <v>306.1</v>
      </c>
      <c r="X47" s="7" t="n">
        <v>272.1</v>
      </c>
      <c r="Z47" s="7" t="n">
        <v>297.5</v>
      </c>
      <c r="AB47" s="7" t="n">
        <v>4334.1</v>
      </c>
    </row>
    <row r="48">
      <c r="A48" s="4" t="inlineStr">
        <is>
          <t>招聘费</t>
        </is>
      </c>
      <c r="D48" s="7" t="n">
        <v>380.7</v>
      </c>
      <c r="F48" s="7" t="n">
        <v>798.9</v>
      </c>
      <c r="H48" s="7" t="n">
        <v>1213.3</v>
      </c>
      <c r="J48" s="7" t="n">
        <v>1068.6</v>
      </c>
      <c r="L48" s="7" t="n">
        <v>2357.7</v>
      </c>
      <c r="N48" s="7" t="n">
        <v>2081.3</v>
      </c>
      <c r="P48" s="7" t="n">
        <v>1352.7</v>
      </c>
      <c r="R48" s="7" t="n">
        <v>1705.5</v>
      </c>
      <c r="T48" s="7" t="n">
        <v>684.1</v>
      </c>
      <c r="V48" s="7" t="n">
        <v>1507</v>
      </c>
      <c r="X48" s="7" t="n">
        <v>797.2</v>
      </c>
      <c r="Z48" s="7" t="n">
        <v>1408.2</v>
      </c>
      <c r="AB48" s="7" t="n">
        <v>15355.2</v>
      </c>
    </row>
    <row r="49">
      <c r="A49" s="4" t="inlineStr">
        <is>
          <t>办公费</t>
        </is>
      </c>
      <c r="D49" s="7" t="n">
        <v>2759.9</v>
      </c>
      <c r="F49" s="7" t="n">
        <v>3161.3</v>
      </c>
      <c r="H49" s="7" t="n">
        <v>7131.4</v>
      </c>
      <c r="J49" s="7" t="n">
        <v>9796.700000000001</v>
      </c>
      <c r="L49" s="7" t="n">
        <v>7670.8</v>
      </c>
      <c r="N49" s="7" t="n">
        <v>10919.6</v>
      </c>
      <c r="P49" s="7" t="n">
        <v>5438</v>
      </c>
      <c r="R49" s="7" t="n">
        <v>7797.7</v>
      </c>
      <c r="T49" s="7" t="n">
        <v>6531.8</v>
      </c>
      <c r="V49" s="7" t="n">
        <v>6040.9</v>
      </c>
      <c r="X49" s="7" t="n">
        <v>4603.2</v>
      </c>
      <c r="Z49" s="7" t="n">
        <v>7686.2</v>
      </c>
      <c r="AB49" s="7" t="n">
        <v>79537.5</v>
      </c>
    </row>
    <row r="50">
      <c r="A50" s="4" t="inlineStr">
        <is>
          <t>市内交通费</t>
        </is>
      </c>
      <c r="D50" s="7" t="n">
        <v>539.2</v>
      </c>
      <c r="F50" s="7" t="n">
        <v>869.6</v>
      </c>
      <c r="H50" s="7" t="n">
        <v>2361.9</v>
      </c>
      <c r="J50" s="7" t="n">
        <v>1646.6</v>
      </c>
      <c r="L50" s="7" t="n">
        <v>2651</v>
      </c>
      <c r="N50" s="7" t="n">
        <v>2287.1</v>
      </c>
      <c r="P50" s="7" t="n">
        <v>1602.3</v>
      </c>
      <c r="R50" s="7" t="n">
        <v>2449.6</v>
      </c>
      <c r="T50" s="7" t="n">
        <v>789.8</v>
      </c>
      <c r="V50" s="7" t="n">
        <v>1482</v>
      </c>
      <c r="X50" s="7" t="n">
        <v>886.6</v>
      </c>
      <c r="Z50" s="7" t="n">
        <v>1161.4</v>
      </c>
      <c r="AB50" s="7" t="n">
        <v>18727.1</v>
      </c>
    </row>
    <row r="51">
      <c r="A51" s="4" t="inlineStr">
        <is>
          <t>差旅费</t>
        </is>
      </c>
      <c r="D51" s="7" t="n">
        <v>4391.1</v>
      </c>
      <c r="F51" s="7" t="n">
        <v>5441.1</v>
      </c>
      <c r="H51" s="7" t="n">
        <v>22938.3</v>
      </c>
      <c r="J51" s="7" t="n">
        <v>13320.3</v>
      </c>
      <c r="L51" s="7" t="n">
        <v>22463.9</v>
      </c>
      <c r="N51" s="7" t="n">
        <v>28698.3</v>
      </c>
      <c r="P51" s="7" t="n">
        <v>15405</v>
      </c>
      <c r="R51" s="7" t="n">
        <v>24557.9</v>
      </c>
      <c r="T51" s="7" t="n">
        <v>8160.2</v>
      </c>
      <c r="V51" s="7" t="n">
        <v>12819.7</v>
      </c>
      <c r="X51" s="7" t="n">
        <v>8419.700000000001</v>
      </c>
      <c r="Z51" s="7" t="n">
        <v>9004.799999999999</v>
      </c>
      <c r="AB51" s="7" t="n">
        <v>175620.3</v>
      </c>
    </row>
    <row r="52">
      <c r="A52" s="4" t="inlineStr">
        <is>
          <t>交通费</t>
        </is>
      </c>
      <c r="D52" s="7" t="n">
        <v>270.9</v>
      </c>
      <c r="F52" s="7" t="n">
        <v>269.8</v>
      </c>
      <c r="H52" s="7" t="n">
        <v>962.8</v>
      </c>
      <c r="J52" s="7" t="n">
        <v>558.2</v>
      </c>
      <c r="L52" s="7" t="n">
        <v>994.6</v>
      </c>
      <c r="N52" s="7" t="n">
        <v>889.2</v>
      </c>
      <c r="P52" s="7" t="n">
        <v>598.3</v>
      </c>
      <c r="R52" s="7" t="n">
        <v>803.1</v>
      </c>
      <c r="T52" s="7" t="n">
        <v>592.2</v>
      </c>
      <c r="V52" s="7" t="n">
        <v>723.3</v>
      </c>
      <c r="X52" s="7" t="n">
        <v>339.5</v>
      </c>
      <c r="Z52" s="7" t="n">
        <v>583.8</v>
      </c>
      <c r="AB52" s="7" t="n">
        <v>7585.7</v>
      </c>
    </row>
    <row r="53">
      <c r="A53" s="4" t="inlineStr">
        <is>
          <t>住宿费</t>
        </is>
      </c>
      <c r="D53" s="7" t="n">
        <v>435.9</v>
      </c>
      <c r="F53" s="7" t="n">
        <v>920.8</v>
      </c>
      <c r="H53" s="7" t="n">
        <v>2142.4</v>
      </c>
      <c r="J53" s="7" t="n">
        <v>1325.1</v>
      </c>
      <c r="L53" s="7" t="n">
        <v>1943.2</v>
      </c>
      <c r="N53" s="7" t="n">
        <v>3044.1</v>
      </c>
      <c r="P53" s="7" t="n">
        <v>1602.4</v>
      </c>
      <c r="R53" s="7" t="n">
        <v>2115.6</v>
      </c>
      <c r="T53" s="7" t="n">
        <v>1355.4</v>
      </c>
      <c r="V53" s="7" t="n">
        <v>1649.3</v>
      </c>
      <c r="X53" s="7" t="n">
        <v>967.6</v>
      </c>
      <c r="Z53" s="7" t="n">
        <v>1311.6</v>
      </c>
      <c r="AB53" s="7" t="n">
        <v>18813.4</v>
      </c>
    </row>
    <row r="54">
      <c r="A54" s="4" t="inlineStr">
        <is>
          <t>餐补</t>
        </is>
      </c>
      <c r="D54" s="7" t="n">
        <v>302.6</v>
      </c>
      <c r="F54" s="7" t="n">
        <v>355</v>
      </c>
      <c r="H54" s="7" t="n">
        <v>706.9</v>
      </c>
      <c r="J54" s="7" t="n">
        <v>690.3</v>
      </c>
      <c r="L54" s="7" t="n">
        <v>994.9</v>
      </c>
      <c r="N54" s="7" t="n">
        <v>828.7</v>
      </c>
      <c r="P54" s="7" t="n">
        <v>652.6</v>
      </c>
      <c r="R54" s="7" t="n">
        <v>839.6</v>
      </c>
      <c r="T54" s="7" t="n">
        <v>566.7</v>
      </c>
      <c r="V54" s="7" t="n">
        <v>734.3</v>
      </c>
      <c r="X54" s="7" t="n">
        <v>387.2</v>
      </c>
      <c r="Z54" s="7" t="n">
        <v>641.7</v>
      </c>
      <c r="AB54" s="7" t="n">
        <v>7700.5</v>
      </c>
    </row>
    <row r="55">
      <c r="A55" s="4" t="inlineStr">
        <is>
          <t>交通补助</t>
        </is>
      </c>
      <c r="D55" s="7" t="n">
        <v>58.4</v>
      </c>
      <c r="F55" s="7" t="n">
        <v>55.9</v>
      </c>
      <c r="H55" s="7" t="n">
        <v>135.6</v>
      </c>
      <c r="J55" s="7" t="n">
        <v>210.4</v>
      </c>
      <c r="L55" s="7" t="n">
        <v>189.6</v>
      </c>
      <c r="N55" s="7" t="n">
        <v>202.3</v>
      </c>
      <c r="P55" s="7" t="n">
        <v>137.4</v>
      </c>
      <c r="R55" s="7" t="n">
        <v>243.4</v>
      </c>
      <c r="T55" s="7" t="n">
        <v>113.7</v>
      </c>
      <c r="V55" s="7" t="n">
        <v>118.7</v>
      </c>
      <c r="X55" s="7" t="n">
        <v>88.09999999999999</v>
      </c>
      <c r="Z55" s="7" t="n">
        <v>114.9</v>
      </c>
      <c r="AB55" s="7" t="n">
        <v>1668.4</v>
      </c>
    </row>
    <row r="56">
      <c r="A56" s="4" t="inlineStr">
        <is>
          <t>通讯补助</t>
        </is>
      </c>
      <c r="D56" s="7" t="n">
        <v>568</v>
      </c>
      <c r="F56" s="7" t="n">
        <v>807.9</v>
      </c>
      <c r="H56" s="7" t="n">
        <v>2302.8</v>
      </c>
      <c r="J56" s="7" t="n">
        <v>1921.7</v>
      </c>
      <c r="L56" s="7" t="n">
        <v>1816.8</v>
      </c>
      <c r="N56" s="7" t="n">
        <v>3070.6</v>
      </c>
      <c r="P56" s="7" t="n">
        <v>1194</v>
      </c>
      <c r="R56" s="7" t="n">
        <v>1504.7</v>
      </c>
      <c r="T56" s="7" t="n">
        <v>811.4</v>
      </c>
      <c r="V56" s="7" t="n">
        <v>1444.3</v>
      </c>
      <c r="X56" s="7" t="n">
        <v>686.1</v>
      </c>
      <c r="Z56" s="7" t="n">
        <v>1431.8</v>
      </c>
      <c r="AB56" s="7" t="n">
        <v>17560.1</v>
      </c>
    </row>
    <row r="57">
      <c r="A57" s="4" t="inlineStr">
        <is>
          <t>招待费</t>
        </is>
      </c>
      <c r="D57" s="7" t="n">
        <v>2916.5</v>
      </c>
      <c r="F57" s="7" t="n">
        <v>3649.9</v>
      </c>
      <c r="H57" s="7" t="n">
        <v>12392</v>
      </c>
      <c r="J57" s="7" t="n">
        <v>11245.7</v>
      </c>
      <c r="L57" s="7" t="n">
        <v>13880.8</v>
      </c>
      <c r="N57" s="7" t="n">
        <v>16732.1</v>
      </c>
      <c r="P57" s="7" t="n">
        <v>10486.2</v>
      </c>
      <c r="R57" s="7" t="n">
        <v>11135.7</v>
      </c>
      <c r="T57" s="7" t="n">
        <v>7606.9</v>
      </c>
      <c r="V57" s="7" t="n">
        <v>7353.2</v>
      </c>
      <c r="X57" s="7" t="n">
        <v>4719.3</v>
      </c>
      <c r="Z57" s="7" t="n">
        <v>6966.5</v>
      </c>
      <c r="AB57" s="7" t="n">
        <v>109084.8</v>
      </c>
    </row>
    <row r="58">
      <c r="A58" s="4" t="inlineStr">
        <is>
          <t>通讯费</t>
        </is>
      </c>
      <c r="D58" s="7" t="n">
        <v>253.3</v>
      </c>
      <c r="F58" s="7" t="n">
        <v>329.2</v>
      </c>
      <c r="H58" s="7" t="n">
        <v>748.1</v>
      </c>
      <c r="J58" s="7" t="n">
        <v>966</v>
      </c>
      <c r="L58" s="7" t="n">
        <v>1101.2</v>
      </c>
      <c r="N58" s="7" t="n">
        <v>952</v>
      </c>
      <c r="P58" s="7" t="n">
        <v>663.4</v>
      </c>
      <c r="R58" s="7" t="n">
        <v>1351.6</v>
      </c>
      <c r="T58" s="7" t="n">
        <v>507.1</v>
      </c>
      <c r="V58" s="7" t="n">
        <v>785.9</v>
      </c>
      <c r="X58" s="7" t="n">
        <v>362.2</v>
      </c>
      <c r="Z58" s="7" t="n">
        <v>453.5</v>
      </c>
      <c r="AB58" s="7" t="n">
        <v>8473.5</v>
      </c>
    </row>
    <row r="59">
      <c r="A59" s="4" t="inlineStr">
        <is>
          <t>网络费</t>
        </is>
      </c>
      <c r="D59" s="7" t="n">
        <v>81.7</v>
      </c>
      <c r="F59" s="7" t="n">
        <v>73.2</v>
      </c>
      <c r="H59" s="7" t="n">
        <v>180</v>
      </c>
      <c r="J59" s="7" t="n">
        <v>180</v>
      </c>
      <c r="L59" s="7" t="n">
        <v>205.8</v>
      </c>
      <c r="N59" s="7" t="n">
        <v>407.5</v>
      </c>
      <c r="P59" s="7" t="n">
        <v>202</v>
      </c>
      <c r="R59" s="7" t="n">
        <v>229.4</v>
      </c>
      <c r="T59" s="7" t="n">
        <v>112</v>
      </c>
      <c r="V59" s="7" t="n">
        <v>217.3</v>
      </c>
      <c r="X59" s="7" t="n">
        <v>114.9</v>
      </c>
      <c r="Z59" s="7" t="n">
        <v>201.9</v>
      </c>
      <c r="AB59" s="7" t="n">
        <v>2205.7</v>
      </c>
    </row>
    <row r="60">
      <c r="A60" s="4" t="inlineStr">
        <is>
          <t>修理费</t>
        </is>
      </c>
      <c r="D60" s="7" t="n">
        <v>93.40000000000001</v>
      </c>
      <c r="F60" s="7" t="n">
        <v>87.90000000000001</v>
      </c>
      <c r="H60" s="7" t="n">
        <v>283.5</v>
      </c>
      <c r="J60" s="7" t="n">
        <v>159</v>
      </c>
      <c r="L60" s="7" t="n">
        <v>330.2</v>
      </c>
      <c r="N60" s="7" t="n">
        <v>252.6</v>
      </c>
      <c r="P60" s="7" t="n">
        <v>137.4</v>
      </c>
      <c r="R60" s="7" t="n">
        <v>250</v>
      </c>
      <c r="T60" s="7" t="n">
        <v>105.2</v>
      </c>
      <c r="V60" s="7" t="n">
        <v>164.7</v>
      </c>
      <c r="X60" s="7" t="n">
        <v>94.59999999999999</v>
      </c>
      <c r="Z60" s="7" t="n">
        <v>186</v>
      </c>
      <c r="AB60" s="7" t="n">
        <v>2144.5</v>
      </c>
    </row>
    <row r="61">
      <c r="A61" s="4" t="inlineStr">
        <is>
          <t>车辆费</t>
        </is>
      </c>
      <c r="D61" s="7" t="n">
        <v>448.4</v>
      </c>
      <c r="F61" s="7" t="n">
        <v>792.4</v>
      </c>
      <c r="H61" s="7" t="n">
        <v>1363.2</v>
      </c>
      <c r="J61" s="7" t="n">
        <v>1702.6</v>
      </c>
      <c r="L61" s="7" t="n">
        <v>1789.2</v>
      </c>
      <c r="N61" s="7" t="n">
        <v>1922.4</v>
      </c>
      <c r="P61" s="7" t="n">
        <v>1463.5</v>
      </c>
      <c r="R61" s="7" t="n">
        <v>1362.6</v>
      </c>
      <c r="T61" s="7" t="n">
        <v>958.2</v>
      </c>
      <c r="V61" s="7" t="n">
        <v>976.7</v>
      </c>
      <c r="X61" s="7" t="n">
        <v>556.8</v>
      </c>
      <c r="Z61" s="7" t="n">
        <v>776</v>
      </c>
      <c r="AB61" s="7" t="n">
        <v>14112</v>
      </c>
    </row>
    <row r="62">
      <c r="A62" s="4" t="inlineStr">
        <is>
          <t>租赁费</t>
        </is>
      </c>
      <c r="D62" s="7" t="n">
        <v>3643.9</v>
      </c>
      <c r="F62" s="7" t="n">
        <v>6596.7</v>
      </c>
      <c r="H62" s="7" t="n">
        <v>14268.3</v>
      </c>
      <c r="J62" s="7" t="n">
        <v>16174.8</v>
      </c>
      <c r="L62" s="7" t="n">
        <v>18870.2</v>
      </c>
      <c r="N62" s="7" t="n">
        <v>22281.1</v>
      </c>
      <c r="P62" s="7" t="n">
        <v>10695.8</v>
      </c>
      <c r="R62" s="7" t="n">
        <v>15410.8</v>
      </c>
      <c r="T62" s="7" t="n">
        <v>9226</v>
      </c>
      <c r="V62" s="7" t="n">
        <v>14093.4</v>
      </c>
      <c r="X62" s="7" t="n">
        <v>5513</v>
      </c>
      <c r="Z62" s="7" t="n">
        <v>11552.3</v>
      </c>
      <c r="AB62" s="7" t="n">
        <v>148326.3</v>
      </c>
    </row>
    <row r="63">
      <c r="A63" s="4" t="inlineStr">
        <is>
          <t>能源费</t>
        </is>
      </c>
      <c r="D63" s="7" t="n">
        <v>783.6</v>
      </c>
      <c r="F63" s="7" t="n">
        <v>1034.8</v>
      </c>
      <c r="H63" s="7" t="n">
        <v>2103.8</v>
      </c>
      <c r="J63" s="7" t="n">
        <v>1776</v>
      </c>
      <c r="L63" s="7" t="n">
        <v>2317.3</v>
      </c>
      <c r="N63" s="7" t="n">
        <v>2744.7</v>
      </c>
      <c r="P63" s="7" t="n">
        <v>1417.6</v>
      </c>
      <c r="R63" s="7" t="n">
        <v>2637.7</v>
      </c>
      <c r="T63" s="7" t="n">
        <v>1384</v>
      </c>
      <c r="V63" s="7" t="n">
        <v>1658.8</v>
      </c>
      <c r="X63" s="7" t="n">
        <v>1035.3</v>
      </c>
      <c r="Z63" s="7" t="n">
        <v>1426.1</v>
      </c>
      <c r="AB63" s="7" t="n">
        <v>20319.7</v>
      </c>
    </row>
    <row r="64">
      <c r="A64" s="4" t="inlineStr">
        <is>
          <t>水费</t>
        </is>
      </c>
      <c r="D64" s="7" t="n">
        <v>93.90000000000001</v>
      </c>
      <c r="F64" s="7" t="n">
        <v>164.6</v>
      </c>
      <c r="H64" s="7" t="n">
        <v>400.4</v>
      </c>
      <c r="J64" s="7" t="n">
        <v>322.2</v>
      </c>
      <c r="L64" s="7" t="n">
        <v>467.6</v>
      </c>
      <c r="N64" s="7" t="n">
        <v>477.1</v>
      </c>
      <c r="P64" s="7" t="n">
        <v>349.5</v>
      </c>
      <c r="R64" s="7" t="n">
        <v>533.4</v>
      </c>
      <c r="T64" s="7" t="n">
        <v>287.1</v>
      </c>
      <c r="V64" s="7" t="n">
        <v>301.2</v>
      </c>
      <c r="X64" s="7" t="n">
        <v>212.6</v>
      </c>
      <c r="Z64" s="7" t="n">
        <v>330.4</v>
      </c>
      <c r="AB64" s="7" t="n">
        <v>3940</v>
      </c>
    </row>
    <row r="65">
      <c r="A65" s="4" t="inlineStr">
        <is>
          <t>电费</t>
        </is>
      </c>
      <c r="D65" s="7" t="n">
        <v>257.3</v>
      </c>
      <c r="F65" s="7" t="n">
        <v>393.8</v>
      </c>
      <c r="H65" s="7" t="n">
        <v>566.7</v>
      </c>
      <c r="J65" s="7" t="n">
        <v>665.6</v>
      </c>
      <c r="L65" s="7" t="n">
        <v>798.7</v>
      </c>
      <c r="N65" s="7" t="n">
        <v>896.4</v>
      </c>
      <c r="P65" s="7" t="n">
        <v>482.8</v>
      </c>
      <c r="R65" s="7" t="n">
        <v>728.7</v>
      </c>
      <c r="T65" s="7" t="n">
        <v>504.1</v>
      </c>
      <c r="V65" s="7" t="n">
        <v>496.6</v>
      </c>
      <c r="X65" s="7" t="n">
        <v>380.9</v>
      </c>
      <c r="Z65" s="7" t="n">
        <v>487.2</v>
      </c>
      <c r="AB65" s="7" t="n">
        <v>6658.8</v>
      </c>
    </row>
    <row r="66">
      <c r="A66" s="4" t="inlineStr">
        <is>
          <t>燃气费</t>
        </is>
      </c>
      <c r="D66" s="7" t="n">
        <v>333.1</v>
      </c>
      <c r="F66" s="7" t="n">
        <v>391.6</v>
      </c>
      <c r="H66" s="7" t="n">
        <v>903.8</v>
      </c>
      <c r="J66" s="7" t="n">
        <v>605.1</v>
      </c>
      <c r="L66" s="7" t="n">
        <v>802.1</v>
      </c>
      <c r="N66" s="7" t="n">
        <v>1045.9</v>
      </c>
      <c r="P66" s="7" t="n">
        <v>434.7</v>
      </c>
      <c r="R66" s="7" t="n">
        <v>1024</v>
      </c>
      <c r="T66" s="7" t="n">
        <v>454.1</v>
      </c>
      <c r="V66" s="7" t="n">
        <v>637.4</v>
      </c>
      <c r="X66" s="7" t="n">
        <v>305</v>
      </c>
      <c r="Z66" s="7" t="n">
        <v>455.8</v>
      </c>
      <c r="AB66" s="7" t="n">
        <v>7392.6</v>
      </c>
    </row>
    <row r="67">
      <c r="A67" s="4" t="inlineStr">
        <is>
          <t>蒸汽费</t>
        </is>
      </c>
      <c r="D67" s="7" t="n">
        <v>99.3</v>
      </c>
      <c r="F67" s="7" t="n">
        <v>84.8</v>
      </c>
      <c r="H67" s="7" t="n">
        <v>232.9</v>
      </c>
      <c r="J67" s="7" t="n">
        <v>183.1</v>
      </c>
      <c r="L67" s="7" t="n">
        <v>248.9</v>
      </c>
      <c r="N67" s="7" t="n">
        <v>325.3</v>
      </c>
      <c r="P67" s="7" t="n">
        <v>150.6</v>
      </c>
      <c r="R67" s="7" t="n">
        <v>351.6</v>
      </c>
      <c r="T67" s="7" t="n">
        <v>138.7</v>
      </c>
      <c r="V67" s="7" t="n">
        <v>223.6</v>
      </c>
      <c r="X67" s="7" t="n">
        <v>136.8</v>
      </c>
      <c r="Z67" s="7" t="n">
        <v>152.7</v>
      </c>
      <c r="AB67" s="7" t="n">
        <v>2328.3</v>
      </c>
    </row>
    <row r="68">
      <c r="A68" s="4" t="inlineStr">
        <is>
          <t>物业费</t>
        </is>
      </c>
      <c r="D68" s="7" t="n">
        <v>100.5</v>
      </c>
      <c r="F68" s="7" t="n">
        <v>149.6</v>
      </c>
      <c r="H68" s="7" t="n">
        <v>322.6</v>
      </c>
      <c r="J68" s="7" t="n">
        <v>332.2</v>
      </c>
      <c r="L68" s="7" t="n">
        <v>343.7</v>
      </c>
      <c r="N68" s="7" t="n">
        <v>384.4</v>
      </c>
      <c r="P68" s="7" t="n">
        <v>279.3</v>
      </c>
      <c r="R68" s="7" t="n">
        <v>419.1</v>
      </c>
      <c r="T68" s="7" t="n">
        <v>184.1</v>
      </c>
      <c r="V68" s="7" t="n">
        <v>263</v>
      </c>
      <c r="X68" s="7" t="n">
        <v>173</v>
      </c>
      <c r="Z68" s="7" t="n">
        <v>157.3</v>
      </c>
      <c r="AB68" s="7" t="n">
        <v>3108.8</v>
      </c>
    </row>
    <row r="69">
      <c r="A69" s="4" t="inlineStr">
        <is>
          <t>劳动保护费</t>
        </is>
      </c>
      <c r="D69" s="7" t="n">
        <v>127.6</v>
      </c>
      <c r="F69" s="7" t="n">
        <v>233.9</v>
      </c>
      <c r="H69" s="7" t="n">
        <v>355.3</v>
      </c>
      <c r="J69" s="7" t="n">
        <v>439.1</v>
      </c>
      <c r="L69" s="7" t="n">
        <v>593.2</v>
      </c>
      <c r="N69" s="7" t="n">
        <v>525.7</v>
      </c>
      <c r="P69" s="7" t="n">
        <v>281.5</v>
      </c>
      <c r="R69" s="7" t="n">
        <v>472.9</v>
      </c>
      <c r="T69" s="7" t="n">
        <v>230.2</v>
      </c>
      <c r="V69" s="7" t="n">
        <v>284.7</v>
      </c>
      <c r="X69" s="7" t="n">
        <v>279.2</v>
      </c>
      <c r="Z69" s="7" t="n">
        <v>409.4</v>
      </c>
      <c r="AB69" s="7" t="n">
        <v>4232.7</v>
      </c>
    </row>
    <row r="70">
      <c r="A70" s="4" t="inlineStr">
        <is>
          <t>顾问费</t>
        </is>
      </c>
      <c r="D70" s="7" t="n">
        <v>729.4</v>
      </c>
      <c r="F70" s="7" t="n">
        <v>628.4</v>
      </c>
      <c r="H70" s="7" t="n">
        <v>1716.4</v>
      </c>
      <c r="J70" s="7" t="n">
        <v>1199.9</v>
      </c>
      <c r="L70" s="7" t="n">
        <v>2149.1</v>
      </c>
      <c r="N70" s="7" t="n">
        <v>2017.7</v>
      </c>
      <c r="P70" s="7" t="n">
        <v>1159.1</v>
      </c>
      <c r="R70" s="7" t="n">
        <v>1696.6</v>
      </c>
      <c r="T70" s="7" t="n">
        <v>1279.9</v>
      </c>
      <c r="V70" s="7" t="n">
        <v>1706.2</v>
      </c>
      <c r="X70" s="7" t="n">
        <v>727.1</v>
      </c>
      <c r="Z70" s="7" t="n">
        <v>932.9</v>
      </c>
      <c r="AB70" s="7" t="n">
        <v>15942.7</v>
      </c>
    </row>
    <row r="71">
      <c r="A71" s="4" t="inlineStr">
        <is>
          <t>快递费</t>
        </is>
      </c>
      <c r="D71" s="7" t="n">
        <v>604.8</v>
      </c>
      <c r="F71" s="7" t="n">
        <v>693.6</v>
      </c>
      <c r="H71" s="7" t="n">
        <v>1551.6</v>
      </c>
      <c r="J71" s="7" t="n">
        <v>1330.1</v>
      </c>
      <c r="L71" s="7" t="n">
        <v>2101.9</v>
      </c>
      <c r="N71" s="7" t="n">
        <v>1962.6</v>
      </c>
      <c r="P71" s="7" t="n">
        <v>1168.5</v>
      </c>
      <c r="R71" s="7" t="n">
        <v>2068.2</v>
      </c>
      <c r="T71" s="7" t="n">
        <v>1184.9</v>
      </c>
      <c r="V71" s="7" t="n">
        <v>1316.5</v>
      </c>
      <c r="X71" s="7" t="n">
        <v>653.1</v>
      </c>
      <c r="Z71" s="7" t="n">
        <v>988.2</v>
      </c>
      <c r="AB71" s="7" t="n">
        <v>15624</v>
      </c>
    </row>
    <row r="72">
      <c r="A72" s="4" t="inlineStr">
        <is>
          <t>诉讼费</t>
        </is>
      </c>
      <c r="D72" s="7" t="n">
        <v>286.1</v>
      </c>
      <c r="F72" s="7" t="n">
        <v>458.3</v>
      </c>
      <c r="H72" s="7" t="n">
        <v>1053.4</v>
      </c>
      <c r="J72" s="7" t="n">
        <v>673.4</v>
      </c>
      <c r="L72" s="7" t="n">
        <v>1174.7</v>
      </c>
      <c r="N72" s="7" t="n">
        <v>1435.8</v>
      </c>
      <c r="P72" s="7" t="n">
        <v>700.7</v>
      </c>
      <c r="R72" s="7" t="n">
        <v>1254.2</v>
      </c>
      <c r="T72" s="7" t="n">
        <v>472.2</v>
      </c>
      <c r="V72" s="7" t="n">
        <v>581.6</v>
      </c>
      <c r="X72" s="7" t="n">
        <v>380.2</v>
      </c>
      <c r="Z72" s="7" t="n">
        <v>587.8</v>
      </c>
      <c r="AB72" s="7" t="n">
        <v>9058.4</v>
      </c>
    </row>
    <row r="73">
      <c r="A73" s="4" t="inlineStr">
        <is>
          <t>会员费</t>
        </is>
      </c>
      <c r="D73" s="7" t="n">
        <v>480.9</v>
      </c>
      <c r="F73" s="7" t="n">
        <v>881.6</v>
      </c>
      <c r="H73" s="7" t="n">
        <v>1785.5</v>
      </c>
      <c r="J73" s="7" t="n">
        <v>1480.8</v>
      </c>
      <c r="L73" s="7" t="n">
        <v>2438.1</v>
      </c>
      <c r="N73" s="7" t="n">
        <v>1614.3</v>
      </c>
      <c r="P73" s="7" t="n">
        <v>1010.6</v>
      </c>
      <c r="R73" s="7" t="n">
        <v>1622.9</v>
      </c>
      <c r="T73" s="7" t="n">
        <v>728.1</v>
      </c>
      <c r="V73" s="7" t="n">
        <v>1180.1</v>
      </c>
      <c r="X73" s="7" t="n">
        <v>718.4</v>
      </c>
      <c r="Z73" s="7" t="n">
        <v>1154</v>
      </c>
      <c r="AB73" s="7" t="n">
        <v>15095.3</v>
      </c>
    </row>
    <row r="74">
      <c r="A74" s="4" t="inlineStr">
        <is>
          <t>广告宣传费</t>
        </is>
      </c>
      <c r="D74" s="7" t="n">
        <v>3414.6</v>
      </c>
      <c r="F74" s="7" t="n">
        <v>3900.7</v>
      </c>
      <c r="H74" s="7" t="n">
        <v>11317.9</v>
      </c>
      <c r="J74" s="7" t="n">
        <v>9957.6</v>
      </c>
      <c r="L74" s="7" t="n">
        <v>12735.7</v>
      </c>
      <c r="N74" s="7" t="n">
        <v>10315.7</v>
      </c>
      <c r="P74" s="7" t="n">
        <v>4918.8</v>
      </c>
      <c r="R74" s="7" t="n">
        <v>9028.4</v>
      </c>
      <c r="T74" s="7" t="n">
        <v>6010.6</v>
      </c>
      <c r="V74" s="7" t="n">
        <v>7352.1</v>
      </c>
      <c r="X74" s="7" t="n">
        <v>3716.9</v>
      </c>
      <c r="Z74" s="7" t="n">
        <v>7622</v>
      </c>
      <c r="AB74" s="7" t="n">
        <v>90291</v>
      </c>
    </row>
    <row r="75">
      <c r="A75" s="4" t="inlineStr">
        <is>
          <t>会务费</t>
        </is>
      </c>
      <c r="D75" s="7" t="n">
        <v>323.8</v>
      </c>
      <c r="F75" s="7" t="n">
        <v>567.5</v>
      </c>
      <c r="H75" s="7" t="n">
        <v>918</v>
      </c>
      <c r="J75" s="7" t="n">
        <v>1203.4</v>
      </c>
      <c r="L75" s="7" t="n">
        <v>1081.5</v>
      </c>
      <c r="N75" s="7" t="n">
        <v>1427.5</v>
      </c>
      <c r="P75" s="7" t="n">
        <v>1059.8</v>
      </c>
      <c r="R75" s="7" t="n">
        <v>981.7</v>
      </c>
      <c r="T75" s="7" t="n">
        <v>602.3</v>
      </c>
      <c r="V75" s="7" t="n">
        <v>988.9</v>
      </c>
      <c r="X75" s="7" t="n">
        <v>676.3</v>
      </c>
      <c r="Z75" s="7" t="n">
        <v>652.2</v>
      </c>
      <c r="AB75" s="7" t="n">
        <v>10482.9</v>
      </c>
    </row>
    <row r="76">
      <c r="A76" s="4" t="inlineStr">
        <is>
          <t>装修费</t>
        </is>
      </c>
      <c r="D76" s="7" t="n">
        <v>290.6</v>
      </c>
      <c r="F76" s="7" t="n">
        <v>274</v>
      </c>
      <c r="H76" s="7" t="n">
        <v>984.9</v>
      </c>
      <c r="J76" s="7" t="n">
        <v>844.2</v>
      </c>
      <c r="L76" s="7" t="n">
        <v>934.3</v>
      </c>
      <c r="N76" s="7" t="n">
        <v>1030.9</v>
      </c>
      <c r="P76" s="7" t="n">
        <v>466.6</v>
      </c>
      <c r="R76" s="7" t="n">
        <v>1039.1</v>
      </c>
      <c r="T76" s="7" t="n">
        <v>552.9</v>
      </c>
      <c r="V76" s="7" t="n">
        <v>695.8</v>
      </c>
      <c r="X76" s="7" t="n">
        <v>308</v>
      </c>
      <c r="Z76" s="7" t="n">
        <v>451.4</v>
      </c>
      <c r="AB76" s="7" t="n">
        <v>7872.7</v>
      </c>
    </row>
    <row r="77">
      <c r="A77" s="4" t="inlineStr">
        <is>
          <t>推广费</t>
        </is>
      </c>
      <c r="D77" s="7" t="n">
        <v>209.5</v>
      </c>
      <c r="F77" s="7" t="n">
        <v>185.1</v>
      </c>
      <c r="H77" s="7" t="n">
        <v>633.2</v>
      </c>
      <c r="J77" s="7" t="n">
        <v>443.3</v>
      </c>
      <c r="L77" s="7" t="n">
        <v>799.5</v>
      </c>
      <c r="N77" s="7" t="n">
        <v>658.6</v>
      </c>
      <c r="P77" s="7" t="n">
        <v>563.5</v>
      </c>
      <c r="R77" s="7" t="n">
        <v>746.7</v>
      </c>
      <c r="T77" s="7" t="n">
        <v>249.5</v>
      </c>
      <c r="V77" s="7" t="n">
        <v>479.1</v>
      </c>
      <c r="X77" s="7" t="n">
        <v>312.2</v>
      </c>
      <c r="Z77" s="7" t="n">
        <v>314.9</v>
      </c>
      <c r="AB77" s="7" t="n">
        <v>5595.1</v>
      </c>
    </row>
    <row r="78">
      <c r="A78" s="4" t="inlineStr">
        <is>
          <t>展会费</t>
        </is>
      </c>
      <c r="D78" s="7" t="n">
        <v>672.5</v>
      </c>
      <c r="F78" s="7" t="n">
        <v>961.5</v>
      </c>
      <c r="H78" s="7" t="n">
        <v>1455</v>
      </c>
      <c r="J78" s="7" t="n">
        <v>1251.9</v>
      </c>
      <c r="L78" s="7" t="n">
        <v>1928</v>
      </c>
      <c r="N78" s="7" t="n">
        <v>2469</v>
      </c>
      <c r="P78" s="7" t="n">
        <v>1014.7</v>
      </c>
      <c r="R78" s="7" t="n">
        <v>2582.1</v>
      </c>
      <c r="T78" s="7" t="n">
        <v>927.8</v>
      </c>
      <c r="V78" s="7" t="n">
        <v>1134.1</v>
      </c>
      <c r="X78" s="7" t="n">
        <v>784.1</v>
      </c>
      <c r="Z78" s="7" t="n">
        <v>1588.2</v>
      </c>
      <c r="AB78" s="7" t="n">
        <v>16768.9</v>
      </c>
    </row>
    <row r="79">
      <c r="A79" s="4" t="inlineStr">
        <is>
          <t>设计费</t>
        </is>
      </c>
      <c r="D79" s="7" t="n">
        <v>207.3</v>
      </c>
      <c r="F79" s="7" t="n">
        <v>219.1</v>
      </c>
      <c r="H79" s="7" t="n">
        <v>684.7</v>
      </c>
      <c r="J79" s="7" t="n">
        <v>567.8</v>
      </c>
      <c r="L79" s="7" t="n">
        <v>532.4</v>
      </c>
      <c r="N79" s="7" t="n">
        <v>859.9</v>
      </c>
      <c r="P79" s="7" t="n">
        <v>435.2</v>
      </c>
      <c r="R79" s="7" t="n">
        <v>674.5</v>
      </c>
      <c r="T79" s="7" t="n">
        <v>231.5</v>
      </c>
      <c r="V79" s="7" t="n">
        <v>423.8</v>
      </c>
      <c r="X79" s="7" t="n">
        <v>275.7</v>
      </c>
      <c r="Z79" s="7" t="n">
        <v>293.9</v>
      </c>
      <c r="AB79" s="7" t="n">
        <v>5405.8</v>
      </c>
    </row>
    <row r="80">
      <c r="A80" s="4" t="inlineStr">
        <is>
          <t>折旧费</t>
        </is>
      </c>
      <c r="D80" s="7" t="n">
        <v>3982</v>
      </c>
      <c r="F80" s="7" t="n">
        <v>5928.1</v>
      </c>
      <c r="H80" s="7" t="n">
        <v>8598.5</v>
      </c>
      <c r="J80" s="7" t="n">
        <v>10702.8</v>
      </c>
      <c r="L80" s="7" t="n">
        <v>15999.5</v>
      </c>
      <c r="N80" s="7" t="n">
        <v>19066.9</v>
      </c>
      <c r="P80" s="7" t="n">
        <v>10390.3</v>
      </c>
      <c r="R80" s="7" t="n">
        <v>11087.2</v>
      </c>
      <c r="T80" s="7" t="n">
        <v>6701.3</v>
      </c>
      <c r="V80" s="7" t="n">
        <v>9007.6</v>
      </c>
      <c r="X80" s="7" t="n">
        <v>5801.6</v>
      </c>
      <c r="Z80" s="7" t="n">
        <v>7559.3</v>
      </c>
      <c r="AB80" s="7" t="n">
        <v>114825.1</v>
      </c>
    </row>
    <row r="81">
      <c r="A81" s="4" t="inlineStr">
        <is>
          <t>认证费</t>
        </is>
      </c>
      <c r="D81" s="7" t="n">
        <v>157.9</v>
      </c>
      <c r="F81" s="7" t="n">
        <v>259.6</v>
      </c>
      <c r="H81" s="7" t="n">
        <v>489.6</v>
      </c>
      <c r="J81" s="7" t="n">
        <v>696.4</v>
      </c>
      <c r="L81" s="7" t="n">
        <v>784.3</v>
      </c>
      <c r="N81" s="7" t="n">
        <v>601.6</v>
      </c>
      <c r="P81" s="7" t="n">
        <v>535.9</v>
      </c>
      <c r="R81" s="7" t="n">
        <v>791.2</v>
      </c>
      <c r="T81" s="7" t="n">
        <v>437.7</v>
      </c>
      <c r="V81" s="7" t="n">
        <v>584.8</v>
      </c>
      <c r="X81" s="7" t="n">
        <v>370.8</v>
      </c>
      <c r="Z81" s="7" t="n">
        <v>315</v>
      </c>
      <c r="AB81" s="7" t="n">
        <v>6024.8</v>
      </c>
    </row>
    <row r="82">
      <c r="A82" s="4" t="inlineStr">
        <is>
          <t>样品费</t>
        </is>
      </c>
      <c r="D82" s="7" t="n">
        <v>2297.6</v>
      </c>
      <c r="F82" s="7" t="n">
        <v>2293.7</v>
      </c>
      <c r="H82" s="7" t="n">
        <v>6549</v>
      </c>
      <c r="J82" s="7" t="n">
        <v>5759.3</v>
      </c>
      <c r="L82" s="7" t="n">
        <v>4939.7</v>
      </c>
      <c r="N82" s="7" t="n">
        <v>5565</v>
      </c>
      <c r="P82" s="7" t="n">
        <v>3447.7</v>
      </c>
      <c r="R82" s="7" t="n">
        <v>8072.6</v>
      </c>
      <c r="T82" s="7" t="n">
        <v>2796.4</v>
      </c>
      <c r="V82" s="7" t="n">
        <v>3600.2</v>
      </c>
      <c r="X82" s="7" t="n">
        <v>2454.8</v>
      </c>
      <c r="Z82" s="7" t="n">
        <v>3585.5</v>
      </c>
      <c r="AB82" s="7" t="n">
        <v>51361.5</v>
      </c>
    </row>
    <row r="83">
      <c r="A83" s="4" t="inlineStr">
        <is>
          <t>劳务费</t>
        </is>
      </c>
      <c r="D83" s="7" t="n">
        <v>503.4</v>
      </c>
      <c r="F83" s="7" t="n">
        <v>417.9</v>
      </c>
      <c r="H83" s="7" t="n">
        <v>934.9</v>
      </c>
      <c r="J83" s="7" t="n">
        <v>1006.3</v>
      </c>
      <c r="L83" s="7" t="n">
        <v>1889.2</v>
      </c>
      <c r="N83" s="7" t="n">
        <v>1885.4</v>
      </c>
      <c r="P83" s="7" t="n">
        <v>732.7</v>
      </c>
      <c r="R83" s="7" t="n">
        <v>1807.5</v>
      </c>
      <c r="T83" s="7" t="n">
        <v>871.7</v>
      </c>
      <c r="V83" s="7" t="n">
        <v>1024.4</v>
      </c>
      <c r="X83" s="7" t="n">
        <v>648.3</v>
      </c>
      <c r="Z83" s="7" t="n">
        <v>656.8</v>
      </c>
      <c r="AB83" s="7" t="n">
        <v>12378.5</v>
      </c>
    </row>
    <row r="84">
      <c r="A84" s="4" t="inlineStr">
        <is>
          <t>销售佣金</t>
        </is>
      </c>
      <c r="D84" s="7" t="n">
        <v>741.5</v>
      </c>
      <c r="F84" s="7" t="n">
        <v>664.8</v>
      </c>
      <c r="H84" s="7" t="n">
        <v>1603.4</v>
      </c>
      <c r="J84" s="7" t="n">
        <v>1839.1</v>
      </c>
      <c r="L84" s="7" t="n">
        <v>2014.3</v>
      </c>
      <c r="N84" s="7" t="n">
        <v>2008.6</v>
      </c>
      <c r="P84" s="7" t="n">
        <v>1654</v>
      </c>
      <c r="R84" s="7" t="n">
        <v>1745.2</v>
      </c>
      <c r="T84" s="7" t="n">
        <v>1278.4</v>
      </c>
      <c r="V84" s="7" t="n">
        <v>1601</v>
      </c>
      <c r="X84" s="7" t="n">
        <v>733.1</v>
      </c>
      <c r="Z84" s="7" t="n">
        <v>1487.2</v>
      </c>
      <c r="AB84" s="7" t="n">
        <v>17370.6</v>
      </c>
    </row>
    <row r="85">
      <c r="A85" s="4" t="inlineStr">
        <is>
          <t>检测费</t>
        </is>
      </c>
      <c r="D85" s="7" t="n">
        <v>600.6</v>
      </c>
      <c r="F85" s="7" t="n">
        <v>633.8</v>
      </c>
      <c r="H85" s="7" t="n">
        <v>1908.8</v>
      </c>
      <c r="J85" s="7" t="n">
        <v>1889.1</v>
      </c>
      <c r="L85" s="7" t="n">
        <v>1736.9</v>
      </c>
      <c r="N85" s="7" t="n">
        <v>2698.9</v>
      </c>
      <c r="P85" s="7" t="n">
        <v>1339.8</v>
      </c>
      <c r="R85" s="7" t="n">
        <v>1545.3</v>
      </c>
      <c r="T85" s="7" t="n">
        <v>817.7</v>
      </c>
      <c r="V85" s="7" t="n">
        <v>1042.3</v>
      </c>
      <c r="X85" s="7" t="n">
        <v>843.3</v>
      </c>
      <c r="Z85" s="7" t="n">
        <v>1311.6</v>
      </c>
      <c r="AB85" s="7" t="n">
        <v>16368.1</v>
      </c>
    </row>
    <row r="86">
      <c r="A86" s="4" t="inlineStr">
        <is>
          <t>质量赔偿</t>
        </is>
      </c>
      <c r="D86" s="7" t="n">
        <v>297.1</v>
      </c>
      <c r="F86" s="7" t="n">
        <v>294.4</v>
      </c>
      <c r="H86" s="7" t="n">
        <v>884.1</v>
      </c>
      <c r="J86" s="7" t="n">
        <v>812.9</v>
      </c>
      <c r="L86" s="7" t="n">
        <v>690.8</v>
      </c>
      <c r="N86" s="7" t="n">
        <v>1037</v>
      </c>
      <c r="P86" s="7" t="n">
        <v>622.5</v>
      </c>
      <c r="R86" s="7" t="n">
        <v>1077.4</v>
      </c>
      <c r="T86" s="7" t="n">
        <v>622</v>
      </c>
      <c r="V86" s="7" t="n">
        <v>806.5</v>
      </c>
      <c r="X86" s="7" t="n">
        <v>470.4</v>
      </c>
      <c r="Z86" s="7" t="n">
        <v>487.4</v>
      </c>
      <c r="AB86" s="7" t="n">
        <v>8102.5</v>
      </c>
    </row>
    <row r="87">
      <c r="A87" s="4" t="inlineStr">
        <is>
          <t>保险费</t>
        </is>
      </c>
      <c r="D87" s="7" t="n">
        <v>129.9</v>
      </c>
      <c r="F87" s="7" t="n">
        <v>186</v>
      </c>
      <c r="H87" s="7" t="n">
        <v>573.2</v>
      </c>
      <c r="J87" s="7" t="n">
        <v>383.7</v>
      </c>
      <c r="L87" s="7" t="n">
        <v>381</v>
      </c>
      <c r="N87" s="7" t="n">
        <v>421.7</v>
      </c>
      <c r="P87" s="7" t="n">
        <v>416.3</v>
      </c>
      <c r="R87" s="7" t="n">
        <v>359.4</v>
      </c>
      <c r="T87" s="7" t="n">
        <v>209.2</v>
      </c>
      <c r="V87" s="7" t="n">
        <v>366.5</v>
      </c>
      <c r="X87" s="7" t="n">
        <v>241.6</v>
      </c>
      <c r="Z87" s="7" t="n">
        <v>230.8</v>
      </c>
      <c r="AB87" s="7" t="n">
        <v>3899.3</v>
      </c>
    </row>
    <row r="88">
      <c r="A88" s="4" t="inlineStr">
        <is>
          <t>清洁费</t>
        </is>
      </c>
      <c r="D88" s="7" t="n">
        <v>241</v>
      </c>
      <c r="F88" s="7" t="n">
        <v>500.8</v>
      </c>
      <c r="H88" s="7" t="n">
        <v>925.6</v>
      </c>
      <c r="J88" s="7" t="n">
        <v>662</v>
      </c>
      <c r="L88" s="7" t="n">
        <v>1120.1</v>
      </c>
      <c r="N88" s="7" t="n">
        <v>1023.8</v>
      </c>
      <c r="P88" s="7" t="n">
        <v>549</v>
      </c>
      <c r="R88" s="7" t="n">
        <v>1198.4</v>
      </c>
      <c r="T88" s="7" t="n">
        <v>730.4</v>
      </c>
      <c r="V88" s="7" t="n">
        <v>989.9</v>
      </c>
      <c r="X88" s="7" t="n">
        <v>383</v>
      </c>
      <c r="Z88" s="7" t="n">
        <v>851.6</v>
      </c>
      <c r="AB88" s="7" t="n">
        <v>9175.6</v>
      </c>
    </row>
    <row r="89">
      <c r="A89" s="4" t="inlineStr">
        <is>
          <t>低值易耗品</t>
        </is>
      </c>
      <c r="D89" s="7" t="n">
        <v>438.5</v>
      </c>
      <c r="F89" s="7" t="n">
        <v>448.4</v>
      </c>
      <c r="H89" s="7" t="n">
        <v>1006.9</v>
      </c>
      <c r="J89" s="7" t="n">
        <v>1420.6</v>
      </c>
      <c r="L89" s="7" t="n">
        <v>1659.6</v>
      </c>
      <c r="N89" s="7" t="n">
        <v>2083.8</v>
      </c>
      <c r="P89" s="7" t="n">
        <v>930.4</v>
      </c>
      <c r="R89" s="7" t="n">
        <v>1661.9</v>
      </c>
      <c r="T89" s="7" t="n">
        <v>660.2</v>
      </c>
      <c r="V89" s="7" t="n">
        <v>1252.1</v>
      </c>
      <c r="X89" s="7" t="n">
        <v>719.3</v>
      </c>
      <c r="Z89" s="7" t="n">
        <v>881.8</v>
      </c>
      <c r="AB89" s="7" t="n">
        <v>13163.5</v>
      </c>
    </row>
    <row r="90">
      <c r="A90" s="4" t="inlineStr">
        <is>
          <t>物料消耗</t>
        </is>
      </c>
      <c r="D90" s="7" t="n">
        <v>224</v>
      </c>
      <c r="F90" s="7" t="n">
        <v>206.3</v>
      </c>
      <c r="H90" s="7" t="n">
        <v>527.9</v>
      </c>
      <c r="J90" s="7" t="n">
        <v>717</v>
      </c>
      <c r="L90" s="7" t="n">
        <v>599.4</v>
      </c>
      <c r="N90" s="7" t="n">
        <v>922.1</v>
      </c>
      <c r="P90" s="7" t="n">
        <v>366.8</v>
      </c>
      <c r="R90" s="7" t="n">
        <v>899.1</v>
      </c>
      <c r="T90" s="7" t="n">
        <v>461.3</v>
      </c>
      <c r="V90" s="7" t="n">
        <v>495.3</v>
      </c>
      <c r="X90" s="7" t="n">
        <v>318.6</v>
      </c>
      <c r="Z90" s="7" t="n">
        <v>492.7</v>
      </c>
      <c r="AB90" s="7" t="n">
        <v>6230.5</v>
      </c>
    </row>
    <row r="91">
      <c r="A91" s="4" t="inlineStr">
        <is>
          <t>盘盈盘亏</t>
        </is>
      </c>
      <c r="D91" s="7" t="n">
        <v>227.3</v>
      </c>
      <c r="F91" s="7" t="n">
        <v>216.6</v>
      </c>
      <c r="H91" s="7" t="n">
        <v>744.9</v>
      </c>
      <c r="J91" s="7" t="n">
        <v>611.8</v>
      </c>
      <c r="L91" s="7" t="n">
        <v>676</v>
      </c>
      <c r="N91" s="7" t="n">
        <v>842.2</v>
      </c>
      <c r="P91" s="7" t="n">
        <v>458.5</v>
      </c>
      <c r="R91" s="7" t="n">
        <v>707.6</v>
      </c>
      <c r="T91" s="7" t="n">
        <v>403.6</v>
      </c>
      <c r="V91" s="7" t="n">
        <v>358.2</v>
      </c>
      <c r="X91" s="7" t="n">
        <v>338.4</v>
      </c>
      <c r="Z91" s="7" t="n">
        <v>363</v>
      </c>
      <c r="AB91" s="7" t="n">
        <v>5948.1</v>
      </c>
    </row>
    <row r="92">
      <c r="A92" s="4" t="inlineStr">
        <is>
          <t>平台服务费</t>
        </is>
      </c>
      <c r="D92" s="7" t="n">
        <v>269.6</v>
      </c>
      <c r="F92" s="7" t="n">
        <v>329.8</v>
      </c>
      <c r="H92" s="7" t="n">
        <v>962.9</v>
      </c>
      <c r="J92" s="7" t="n">
        <v>537.5</v>
      </c>
      <c r="L92" s="7" t="n">
        <v>918.1</v>
      </c>
      <c r="N92" s="7" t="n">
        <v>1192.9</v>
      </c>
      <c r="P92" s="7" t="n">
        <v>455.4</v>
      </c>
      <c r="R92" s="7" t="n">
        <v>1018</v>
      </c>
      <c r="T92" s="7" t="n">
        <v>503</v>
      </c>
      <c r="V92" s="7" t="n">
        <v>565.6</v>
      </c>
      <c r="X92" s="7" t="n">
        <v>404.1</v>
      </c>
      <c r="Z92" s="7" t="n">
        <v>367.7</v>
      </c>
      <c r="AB92" s="7" t="n">
        <v>7524.6</v>
      </c>
    </row>
    <row r="93">
      <c r="A93" s="4" t="inlineStr">
        <is>
          <t>无形资产摊销</t>
        </is>
      </c>
      <c r="D93" s="7" t="n">
        <v>395.7</v>
      </c>
      <c r="F93" s="7" t="n">
        <v>456.7</v>
      </c>
      <c r="H93" s="7" t="n">
        <v>1417.4</v>
      </c>
      <c r="J93" s="7" t="n">
        <v>1111.6</v>
      </c>
      <c r="L93" s="7" t="n">
        <v>1100.1</v>
      </c>
      <c r="N93" s="7" t="n">
        <v>1391.1</v>
      </c>
      <c r="P93" s="7" t="n">
        <v>917.4</v>
      </c>
      <c r="R93" s="7" t="n">
        <v>1255.9</v>
      </c>
      <c r="T93" s="7" t="n">
        <v>893.6</v>
      </c>
      <c r="V93" s="7" t="n">
        <v>1249.9</v>
      </c>
      <c r="X93" s="7" t="n">
        <v>684.9</v>
      </c>
      <c r="Z93" s="7" t="n">
        <v>932.3</v>
      </c>
      <c r="AB93" s="7" t="n">
        <v>11806.6</v>
      </c>
    </row>
    <row r="94">
      <c r="A94" s="4" t="inlineStr">
        <is>
          <t>研发材料</t>
        </is>
      </c>
      <c r="D94" s="7" t="n">
        <v>137.5</v>
      </c>
      <c r="F94" s="7" t="n">
        <v>290.1</v>
      </c>
      <c r="H94" s="7" t="n">
        <v>531.1</v>
      </c>
      <c r="J94" s="7" t="n">
        <v>520.2</v>
      </c>
      <c r="L94" s="7" t="n">
        <v>678.6</v>
      </c>
      <c r="N94" s="7" t="n">
        <v>607</v>
      </c>
      <c r="P94" s="7" t="n">
        <v>541.9</v>
      </c>
      <c r="R94" s="7" t="n">
        <v>775.9</v>
      </c>
      <c r="T94" s="7" t="n">
        <v>308.3</v>
      </c>
      <c r="V94" s="7" t="n">
        <v>589.2</v>
      </c>
      <c r="X94" s="7" t="n">
        <v>289.8</v>
      </c>
      <c r="Z94" s="7" t="n">
        <v>392.5</v>
      </c>
      <c r="AB94" s="7" t="n">
        <v>5662.1</v>
      </c>
    </row>
    <row r="95">
      <c r="A95" s="4" t="inlineStr">
        <is>
          <t>项目名称</t>
        </is>
      </c>
      <c r="D95" s="7" t="n">
        <v>43.2</v>
      </c>
      <c r="F95" s="7" t="n">
        <v>60.7</v>
      </c>
      <c r="H95" s="7" t="n">
        <v>90.59999999999999</v>
      </c>
      <c r="J95" s="7" t="n">
        <v>97.2</v>
      </c>
      <c r="L95" s="7" t="n">
        <v>146.7</v>
      </c>
      <c r="N95" s="7" t="n">
        <v>190.4</v>
      </c>
      <c r="P95" s="7" t="n">
        <v>114.1</v>
      </c>
      <c r="R95" s="7" t="n">
        <v>151.2</v>
      </c>
      <c r="T95" s="7" t="n">
        <v>66.2</v>
      </c>
      <c r="V95" s="7" t="n">
        <v>92</v>
      </c>
      <c r="X95" s="7" t="n">
        <v>65.09999999999999</v>
      </c>
      <c r="Z95" s="7" t="n">
        <v>62</v>
      </c>
      <c r="AB95" s="7" t="n">
        <v>1179.4</v>
      </c>
    </row>
    <row r="96">
      <c r="A96" s="4" t="inlineStr">
        <is>
          <t>研发费</t>
        </is>
      </c>
      <c r="D96" s="7" t="n">
        <v>424.7</v>
      </c>
      <c r="F96" s="7" t="n">
        <v>418.8</v>
      </c>
      <c r="H96" s="7" t="n">
        <v>1068</v>
      </c>
      <c r="J96" s="7" t="n">
        <v>693.4</v>
      </c>
      <c r="L96" s="7" t="n">
        <v>1588.6</v>
      </c>
      <c r="N96" s="7" t="n">
        <v>1090.4</v>
      </c>
      <c r="P96" s="7" t="n">
        <v>916.2</v>
      </c>
      <c r="R96" s="7" t="n">
        <v>1303.2</v>
      </c>
      <c r="T96" s="7" t="n">
        <v>532</v>
      </c>
      <c r="V96" s="7" t="n">
        <v>768</v>
      </c>
      <c r="X96" s="7" t="n">
        <v>529.2</v>
      </c>
      <c r="Z96" s="7" t="n">
        <v>682.6</v>
      </c>
      <c r="AB96" s="7" t="n">
        <v>10015.1</v>
      </c>
    </row>
    <row r="97">
      <c r="A97" s="4" t="inlineStr">
        <is>
          <t>残保金</t>
        </is>
      </c>
      <c r="D97" s="7" t="n">
        <v>109.3</v>
      </c>
      <c r="F97" s="7" t="n">
        <v>105.8</v>
      </c>
      <c r="H97" s="7" t="n">
        <v>285</v>
      </c>
      <c r="J97" s="7" t="n">
        <v>271.7</v>
      </c>
      <c r="L97" s="7" t="n">
        <v>395.5</v>
      </c>
      <c r="N97" s="7" t="n">
        <v>374.9</v>
      </c>
      <c r="P97" s="7" t="n">
        <v>187.2</v>
      </c>
      <c r="R97" s="7" t="n">
        <v>432.8</v>
      </c>
      <c r="T97" s="7" t="n">
        <v>229.2</v>
      </c>
      <c r="V97" s="7" t="n">
        <v>212.8</v>
      </c>
      <c r="X97" s="7" t="n">
        <v>191.1</v>
      </c>
      <c r="Z97" s="7" t="n">
        <v>183.7</v>
      </c>
      <c r="AB97" s="7" t="n">
        <v>2979</v>
      </c>
    </row>
    <row r="98">
      <c r="A98" s="4" t="inlineStr">
        <is>
          <t>环保费</t>
        </is>
      </c>
      <c r="D98" s="7" t="n">
        <v>233.1</v>
      </c>
      <c r="F98" s="7" t="n">
        <v>262</v>
      </c>
      <c r="H98" s="7" t="n">
        <v>697.6</v>
      </c>
      <c r="J98" s="7" t="n">
        <v>508</v>
      </c>
      <c r="L98" s="7" t="n">
        <v>868.1</v>
      </c>
      <c r="N98" s="7" t="n">
        <v>739</v>
      </c>
      <c r="P98" s="7" t="n">
        <v>447.7</v>
      </c>
      <c r="R98" s="7" t="n">
        <v>729.7</v>
      </c>
      <c r="T98" s="7" t="n">
        <v>329.7</v>
      </c>
      <c r="V98" s="7" t="n">
        <v>485.8</v>
      </c>
      <c r="X98" s="7" t="n">
        <v>283.4</v>
      </c>
      <c r="Z98" s="7" t="n">
        <v>336.1</v>
      </c>
      <c r="AB98" s="7" t="n">
        <v>5920.2</v>
      </c>
    </row>
    <row r="99">
      <c r="A99" s="4" t="inlineStr">
        <is>
          <t>报废损失</t>
        </is>
      </c>
      <c r="D99" s="7" t="n">
        <v>98.3</v>
      </c>
      <c r="F99" s="7" t="n">
        <v>133.5</v>
      </c>
      <c r="H99" s="7" t="n">
        <v>243.2</v>
      </c>
      <c r="J99" s="7" t="n">
        <v>301.9</v>
      </c>
      <c r="L99" s="7" t="n">
        <v>426.9</v>
      </c>
      <c r="N99" s="7" t="n">
        <v>327.9</v>
      </c>
      <c r="P99" s="7" t="n">
        <v>257.2</v>
      </c>
      <c r="R99" s="7" t="n">
        <v>397.5</v>
      </c>
      <c r="T99" s="7" t="n">
        <v>134.4</v>
      </c>
      <c r="V99" s="7" t="n">
        <v>319.7</v>
      </c>
      <c r="X99" s="7" t="n">
        <v>167.5</v>
      </c>
      <c r="Z99" s="7" t="n">
        <v>278</v>
      </c>
      <c r="AB99" s="7" t="n">
        <v>3086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92615.8</v>
      </c>
      <c r="D100" s="7" t="n">
        <v>57018.5</v>
      </c>
      <c r="E100" s="7" t="n">
        <v>114092</v>
      </c>
      <c r="F100" s="7" t="n">
        <v>44974.4</v>
      </c>
      <c r="G100" s="7" t="n">
        <v>100123.8</v>
      </c>
      <c r="H100" s="7" t="n">
        <v>87338.89999999999</v>
      </c>
      <c r="I100" s="7" t="n">
        <v>95677.10000000001</v>
      </c>
      <c r="J100" s="7" t="n">
        <v>81720.89999999999</v>
      </c>
      <c r="K100" s="7" t="n">
        <v>119913.3</v>
      </c>
      <c r="L100" s="7" t="n">
        <v>134938.4</v>
      </c>
      <c r="M100" s="7" t="n">
        <v>110993.7</v>
      </c>
      <c r="N100" s="7" t="n">
        <v>160374.7</v>
      </c>
      <c r="O100" s="7" t="n">
        <v>114588.3</v>
      </c>
      <c r="P100" s="7" t="n">
        <v>180273.9</v>
      </c>
      <c r="Q100" s="7" t="n">
        <v>109879.9</v>
      </c>
      <c r="R100" s="7" t="n">
        <v>120055.3</v>
      </c>
      <c r="S100" s="7" t="n">
        <v>95465.3</v>
      </c>
      <c r="T100" s="7" t="n">
        <v>143865.5</v>
      </c>
      <c r="U100" s="7" t="n">
        <v>93660.5</v>
      </c>
      <c r="V100" s="7" t="n">
        <v>147027.3</v>
      </c>
      <c r="W100" s="7" t="n">
        <v>91158.89999999999</v>
      </c>
      <c r="X100" s="7" t="n">
        <v>70210.60000000001</v>
      </c>
      <c r="Y100" s="7" t="n">
        <v>93545.3</v>
      </c>
      <c r="Z100" s="7" t="n">
        <v>38730.5</v>
      </c>
      <c r="AA100" s="8" t="n">
        <v>1231713.9</v>
      </c>
      <c r="AB100" s="8" t="n">
        <v>1266528.9</v>
      </c>
    </row>
    <row r="101">
      <c r="A101" s="4" t="inlineStr">
        <is>
          <t>职工薪酬</t>
        </is>
      </c>
      <c r="D101" s="7" t="n">
        <v>29947.6</v>
      </c>
      <c r="F101" s="7" t="n">
        <v>24059.2</v>
      </c>
      <c r="H101" s="7" t="n">
        <v>42247.3</v>
      </c>
      <c r="J101" s="7" t="n">
        <v>40210.9</v>
      </c>
      <c r="L101" s="7" t="n">
        <v>71607.60000000001</v>
      </c>
      <c r="N101" s="7" t="n">
        <v>82554.39999999999</v>
      </c>
      <c r="P101" s="7" t="n">
        <v>79775.2</v>
      </c>
      <c r="R101" s="7" t="n">
        <v>62315.3</v>
      </c>
      <c r="T101" s="7" t="n">
        <v>74826.10000000001</v>
      </c>
      <c r="V101" s="7" t="n">
        <v>85231.5</v>
      </c>
      <c r="X101" s="7" t="n">
        <v>41141.3</v>
      </c>
      <c r="Z101" s="7" t="n">
        <v>15206.1</v>
      </c>
      <c r="AB101" s="7" t="n">
        <v>649122.5</v>
      </c>
    </row>
    <row r="102">
      <c r="A102" s="4" t="inlineStr">
        <is>
          <t>工资</t>
        </is>
      </c>
      <c r="D102" s="7" t="n">
        <v>16293.4</v>
      </c>
      <c r="F102" s="7" t="n">
        <v>13988.3</v>
      </c>
      <c r="H102" s="7" t="n">
        <v>24561.1</v>
      </c>
      <c r="J102" s="7" t="n">
        <v>21709.5</v>
      </c>
      <c r="L102" s="7" t="n">
        <v>44498.5</v>
      </c>
      <c r="N102" s="7" t="n">
        <v>46243.5</v>
      </c>
      <c r="P102" s="7" t="n">
        <v>50866.9</v>
      </c>
      <c r="R102" s="7" t="n">
        <v>37581.1</v>
      </c>
      <c r="T102" s="7" t="n">
        <v>45570.2</v>
      </c>
      <c r="V102" s="7" t="n">
        <v>55312.3</v>
      </c>
      <c r="X102" s="7" t="n">
        <v>25926.4</v>
      </c>
      <c r="Z102" s="7" t="n">
        <v>8754.1</v>
      </c>
      <c r="AB102" s="7" t="n">
        <v>391305.3</v>
      </c>
    </row>
    <row r="103">
      <c r="A103" s="4" t="inlineStr">
        <is>
          <t>奖金及提成</t>
        </is>
      </c>
      <c r="D103" s="7" t="n">
        <v>6783.7</v>
      </c>
      <c r="F103" s="7" t="n">
        <v>4188.9</v>
      </c>
      <c r="H103" s="7" t="n">
        <v>7935</v>
      </c>
      <c r="J103" s="7" t="n">
        <v>9106.799999999999</v>
      </c>
      <c r="L103" s="7" t="n">
        <v>9719.1</v>
      </c>
      <c r="N103" s="7" t="n">
        <v>19481.4</v>
      </c>
      <c r="P103" s="7" t="n">
        <v>12976.4</v>
      </c>
      <c r="R103" s="7" t="n">
        <v>11333.5</v>
      </c>
      <c r="T103" s="7" t="n">
        <v>13117.7</v>
      </c>
      <c r="V103" s="7" t="n">
        <v>16458.5</v>
      </c>
      <c r="X103" s="7" t="n">
        <v>6895.8</v>
      </c>
      <c r="Z103" s="7" t="n">
        <v>2798.6</v>
      </c>
      <c r="AB103" s="7" t="n">
        <v>120795.4</v>
      </c>
    </row>
    <row r="104">
      <c r="A104" s="4" t="inlineStr">
        <is>
          <t>社保</t>
        </is>
      </c>
      <c r="D104" s="7" t="n">
        <v>5215.9</v>
      </c>
      <c r="F104" s="7" t="n">
        <v>4623.5</v>
      </c>
      <c r="H104" s="7" t="n">
        <v>7259.8</v>
      </c>
      <c r="J104" s="7" t="n">
        <v>6994.5</v>
      </c>
      <c r="L104" s="7" t="n">
        <v>13793.2</v>
      </c>
      <c r="N104" s="7" t="n">
        <v>12378.7</v>
      </c>
      <c r="P104" s="7" t="n">
        <v>11046.4</v>
      </c>
      <c r="R104" s="7" t="n">
        <v>10382.3</v>
      </c>
      <c r="T104" s="7" t="n">
        <v>12545.6</v>
      </c>
      <c r="V104" s="7" t="n">
        <v>9202.9</v>
      </c>
      <c r="X104" s="7" t="n">
        <v>6277.2</v>
      </c>
      <c r="Z104" s="7" t="n">
        <v>2583</v>
      </c>
      <c r="AB104" s="7" t="n">
        <v>102303</v>
      </c>
    </row>
    <row r="105">
      <c r="A105" s="4" t="inlineStr">
        <is>
          <t>养老</t>
        </is>
      </c>
      <c r="D105" s="7" t="n">
        <v>86</v>
      </c>
      <c r="F105" s="7" t="n">
        <v>64.09999999999999</v>
      </c>
      <c r="H105" s="7" t="n">
        <v>133.4</v>
      </c>
      <c r="J105" s="7" t="n">
        <v>89.09999999999999</v>
      </c>
      <c r="L105" s="7" t="n">
        <v>165.8</v>
      </c>
      <c r="N105" s="7" t="n">
        <v>172.5</v>
      </c>
      <c r="P105" s="7" t="n">
        <v>193.9</v>
      </c>
      <c r="R105" s="7" t="n">
        <v>153.7</v>
      </c>
      <c r="T105" s="7" t="n">
        <v>160</v>
      </c>
      <c r="V105" s="7" t="n">
        <v>174.6</v>
      </c>
      <c r="X105" s="7" t="n">
        <v>122.5</v>
      </c>
      <c r="Z105" s="7" t="n">
        <v>63.4</v>
      </c>
      <c r="AB105" s="7" t="n">
        <v>1579</v>
      </c>
    </row>
    <row r="106">
      <c r="A106" s="4" t="inlineStr">
        <is>
          <t>医疗</t>
        </is>
      </c>
      <c r="D106" s="7" t="n">
        <v>286.9</v>
      </c>
      <c r="F106" s="7" t="n">
        <v>194.2</v>
      </c>
      <c r="H106" s="7" t="n">
        <v>364.3</v>
      </c>
      <c r="J106" s="7" t="n">
        <v>342.9</v>
      </c>
      <c r="L106" s="7" t="n">
        <v>489.7</v>
      </c>
      <c r="N106" s="7" t="n">
        <v>604.5</v>
      </c>
      <c r="P106" s="7" t="n">
        <v>910</v>
      </c>
      <c r="R106" s="7" t="n">
        <v>458.5</v>
      </c>
      <c r="T106" s="7" t="n">
        <v>556.6</v>
      </c>
      <c r="V106" s="7" t="n">
        <v>520.5</v>
      </c>
      <c r="X106" s="7" t="n">
        <v>254</v>
      </c>
      <c r="Z106" s="7" t="n">
        <v>133.7</v>
      </c>
      <c r="AB106" s="7" t="n">
        <v>5115.8</v>
      </c>
    </row>
    <row r="107">
      <c r="A107" s="4" t="inlineStr">
        <is>
          <t>工伤</t>
        </is>
      </c>
      <c r="D107" s="7" t="n">
        <v>422.5</v>
      </c>
      <c r="F107" s="7" t="n">
        <v>304.9</v>
      </c>
      <c r="H107" s="7" t="n">
        <v>456.4</v>
      </c>
      <c r="J107" s="7" t="n">
        <v>412.6</v>
      </c>
      <c r="L107" s="7" t="n">
        <v>593.1</v>
      </c>
      <c r="N107" s="7" t="n">
        <v>1173.2</v>
      </c>
      <c r="P107" s="7" t="n">
        <v>1136.8</v>
      </c>
      <c r="R107" s="7" t="n">
        <v>664.9</v>
      </c>
      <c r="T107" s="7" t="n">
        <v>1068.4</v>
      </c>
      <c r="V107" s="7" t="n">
        <v>915.2</v>
      </c>
      <c r="X107" s="7" t="n">
        <v>477.8</v>
      </c>
      <c r="Z107" s="7" t="n">
        <v>193.5</v>
      </c>
      <c r="AB107" s="7" t="n">
        <v>7819.3</v>
      </c>
    </row>
    <row r="108">
      <c r="A108" s="4" t="inlineStr">
        <is>
          <t>失业</t>
        </is>
      </c>
      <c r="D108" s="7" t="n">
        <v>320.5</v>
      </c>
      <c r="F108" s="7" t="n">
        <v>180.1</v>
      </c>
      <c r="H108" s="7" t="n">
        <v>392.2</v>
      </c>
      <c r="J108" s="7" t="n">
        <v>316.1</v>
      </c>
      <c r="L108" s="7" t="n">
        <v>767.1</v>
      </c>
      <c r="N108" s="7" t="n">
        <v>910</v>
      </c>
      <c r="P108" s="7" t="n">
        <v>716</v>
      </c>
      <c r="R108" s="7" t="n">
        <v>564.2</v>
      </c>
      <c r="T108" s="7" t="n">
        <v>736</v>
      </c>
      <c r="V108" s="7" t="n">
        <v>744.6</v>
      </c>
      <c r="X108" s="7" t="n">
        <v>336.9</v>
      </c>
      <c r="Z108" s="7" t="n">
        <v>141.2</v>
      </c>
      <c r="AB108" s="7" t="n">
        <v>6124.9</v>
      </c>
    </row>
    <row r="109">
      <c r="A109" s="4" t="inlineStr">
        <is>
          <t>生育</t>
        </is>
      </c>
      <c r="D109" s="7" t="n">
        <v>16</v>
      </c>
      <c r="F109" s="7" t="n">
        <v>13.4</v>
      </c>
      <c r="H109" s="7" t="n">
        <v>29.1</v>
      </c>
      <c r="J109" s="7" t="n">
        <v>25.2</v>
      </c>
      <c r="L109" s="7" t="n">
        <v>53.3</v>
      </c>
      <c r="N109" s="7" t="n">
        <v>64.90000000000001</v>
      </c>
      <c r="P109" s="7" t="n">
        <v>62.2</v>
      </c>
      <c r="R109" s="7" t="n">
        <v>38.3</v>
      </c>
      <c r="T109" s="7" t="n">
        <v>52.4</v>
      </c>
      <c r="V109" s="7" t="n">
        <v>46.6</v>
      </c>
      <c r="X109" s="7" t="n">
        <v>26.7</v>
      </c>
      <c r="Z109" s="7" t="n">
        <v>10.4</v>
      </c>
      <c r="AB109" s="7" t="n">
        <v>438.5</v>
      </c>
    </row>
    <row r="110">
      <c r="A110" s="4" t="inlineStr">
        <is>
          <t>公积金</t>
        </is>
      </c>
      <c r="D110" s="7" t="n">
        <v>71</v>
      </c>
      <c r="F110" s="7" t="n">
        <v>51.8</v>
      </c>
      <c r="H110" s="7" t="n">
        <v>176.5</v>
      </c>
      <c r="J110" s="7" t="n">
        <v>139.2</v>
      </c>
      <c r="L110" s="7" t="n">
        <v>171.4</v>
      </c>
      <c r="N110" s="7" t="n">
        <v>292.1</v>
      </c>
      <c r="P110" s="7" t="n">
        <v>226.5</v>
      </c>
      <c r="R110" s="7" t="n">
        <v>193.7</v>
      </c>
      <c r="T110" s="7" t="n">
        <v>170.7</v>
      </c>
      <c r="V110" s="7" t="n">
        <v>215.3</v>
      </c>
      <c r="X110" s="7" t="n">
        <v>142.2</v>
      </c>
      <c r="Z110" s="7" t="n">
        <v>64</v>
      </c>
      <c r="AB110" s="7" t="n">
        <v>1914.4</v>
      </c>
    </row>
    <row r="111">
      <c r="A111" s="4" t="inlineStr">
        <is>
          <t>工会经费</t>
        </is>
      </c>
      <c r="D111" s="7" t="n">
        <v>77.7</v>
      </c>
      <c r="F111" s="7" t="n">
        <v>66.5</v>
      </c>
      <c r="H111" s="7" t="n">
        <v>101.8</v>
      </c>
      <c r="J111" s="7" t="n">
        <v>101.6</v>
      </c>
      <c r="L111" s="7" t="n">
        <v>179.3</v>
      </c>
      <c r="N111" s="7" t="n">
        <v>246.3</v>
      </c>
      <c r="P111" s="7" t="n">
        <v>176.6</v>
      </c>
      <c r="R111" s="7" t="n">
        <v>128.5</v>
      </c>
      <c r="T111" s="7" t="n">
        <v>131.9</v>
      </c>
      <c r="V111" s="7" t="n">
        <v>161.1</v>
      </c>
      <c r="X111" s="7" t="n">
        <v>85.2</v>
      </c>
      <c r="Z111" s="7" t="n">
        <v>43.2</v>
      </c>
      <c r="AB111" s="7" t="n">
        <v>1499.7</v>
      </c>
    </row>
    <row r="112">
      <c r="A112" s="4" t="inlineStr">
        <is>
          <t>职工教育经费</t>
        </is>
      </c>
      <c r="D112" s="7" t="n">
        <v>274</v>
      </c>
      <c r="F112" s="7" t="n">
        <v>292.2</v>
      </c>
      <c r="H112" s="7" t="n">
        <v>553.2</v>
      </c>
      <c r="J112" s="7" t="n">
        <v>594.2</v>
      </c>
      <c r="L112" s="7" t="n">
        <v>645.1</v>
      </c>
      <c r="N112" s="7" t="n">
        <v>1116</v>
      </c>
      <c r="P112" s="7" t="n">
        <v>1003.1</v>
      </c>
      <c r="R112" s="7" t="n">
        <v>571.7</v>
      </c>
      <c r="T112" s="7" t="n">
        <v>673.8</v>
      </c>
      <c r="V112" s="7" t="n">
        <v>1021.2</v>
      </c>
      <c r="X112" s="7" t="n">
        <v>417.8</v>
      </c>
      <c r="Z112" s="7" t="n">
        <v>286.7</v>
      </c>
      <c r="AB112" s="7" t="n">
        <v>7449</v>
      </c>
    </row>
    <row r="113">
      <c r="A113" s="4" t="inlineStr">
        <is>
          <t>福利费</t>
        </is>
      </c>
      <c r="D113" s="7" t="n">
        <v>1231.9</v>
      </c>
      <c r="F113" s="7" t="n">
        <v>848</v>
      </c>
      <c r="H113" s="7" t="n">
        <v>1659.9</v>
      </c>
      <c r="J113" s="7" t="n">
        <v>1565.1</v>
      </c>
      <c r="L113" s="7" t="n">
        <v>2601</v>
      </c>
      <c r="N113" s="7" t="n">
        <v>2796.4</v>
      </c>
      <c r="P113" s="7" t="n">
        <v>3479.3</v>
      </c>
      <c r="R113" s="7" t="n">
        <v>2124.5</v>
      </c>
      <c r="T113" s="7" t="n">
        <v>2616.2</v>
      </c>
      <c r="V113" s="7" t="n">
        <v>2860.2</v>
      </c>
      <c r="X113" s="7" t="n">
        <v>1396.7</v>
      </c>
      <c r="Z113" s="7" t="n">
        <v>676.5</v>
      </c>
      <c r="AB113" s="7" t="n">
        <v>23855.7</v>
      </c>
    </row>
    <row r="114">
      <c r="A114" s="4" t="inlineStr">
        <is>
          <t>职工房租</t>
        </is>
      </c>
      <c r="D114" s="7" t="n">
        <v>288.6</v>
      </c>
      <c r="F114" s="7" t="n">
        <v>154</v>
      </c>
      <c r="H114" s="7" t="n">
        <v>319.8</v>
      </c>
      <c r="J114" s="7" t="n">
        <v>287.1</v>
      </c>
      <c r="L114" s="7" t="n">
        <v>461.4</v>
      </c>
      <c r="N114" s="7" t="n">
        <v>574.5</v>
      </c>
      <c r="P114" s="7" t="n">
        <v>672</v>
      </c>
      <c r="R114" s="7" t="n">
        <v>360.2</v>
      </c>
      <c r="T114" s="7" t="n">
        <v>479.4</v>
      </c>
      <c r="V114" s="7" t="n">
        <v>602.4</v>
      </c>
      <c r="X114" s="7" t="n">
        <v>258.9</v>
      </c>
      <c r="Z114" s="7" t="n">
        <v>190.5</v>
      </c>
      <c r="AB114" s="7" t="n">
        <v>4648.8</v>
      </c>
    </row>
    <row r="115">
      <c r="A115" s="4" t="inlineStr">
        <is>
          <t>水电物业费</t>
        </is>
      </c>
      <c r="D115" s="7" t="n">
        <v>89.8</v>
      </c>
      <c r="F115" s="7" t="n">
        <v>104.7</v>
      </c>
      <c r="H115" s="7" t="n">
        <v>135</v>
      </c>
      <c r="J115" s="7" t="n">
        <v>175.2</v>
      </c>
      <c r="L115" s="7" t="n">
        <v>205.1</v>
      </c>
      <c r="N115" s="7" t="n">
        <v>378.9</v>
      </c>
      <c r="P115" s="7" t="n">
        <v>286.5</v>
      </c>
      <c r="R115" s="7" t="n">
        <v>227.6</v>
      </c>
      <c r="T115" s="7" t="n">
        <v>226.6</v>
      </c>
      <c r="V115" s="7" t="n">
        <v>269.9</v>
      </c>
      <c r="X115" s="7" t="n">
        <v>149.3</v>
      </c>
      <c r="Z115" s="7" t="n">
        <v>53.6</v>
      </c>
      <c r="AB115" s="7" t="n">
        <v>2302.2</v>
      </c>
    </row>
    <row r="116">
      <c r="A116" s="4" t="inlineStr">
        <is>
          <t>员工餐</t>
        </is>
      </c>
      <c r="D116" s="7" t="n">
        <v>84.2</v>
      </c>
      <c r="F116" s="7" t="n">
        <v>71.7</v>
      </c>
      <c r="H116" s="7" t="n">
        <v>133.2</v>
      </c>
      <c r="J116" s="7" t="n">
        <v>138.7</v>
      </c>
      <c r="L116" s="7" t="n">
        <v>242.3</v>
      </c>
      <c r="N116" s="7" t="n">
        <v>228.8</v>
      </c>
      <c r="P116" s="7" t="n">
        <v>327.2</v>
      </c>
      <c r="R116" s="7" t="n">
        <v>218.9</v>
      </c>
      <c r="T116" s="7" t="n">
        <v>157.5</v>
      </c>
      <c r="V116" s="7" t="n">
        <v>262.8</v>
      </c>
      <c r="X116" s="7" t="n">
        <v>138.1</v>
      </c>
      <c r="Z116" s="7" t="n">
        <v>64.3</v>
      </c>
      <c r="AB116" s="7" t="n">
        <v>2067.7</v>
      </c>
    </row>
    <row r="117">
      <c r="A117" s="4" t="inlineStr">
        <is>
          <t>节日礼品</t>
        </is>
      </c>
      <c r="D117" s="7" t="n">
        <v>329.1</v>
      </c>
      <c r="F117" s="7" t="n">
        <v>218.3</v>
      </c>
      <c r="H117" s="7" t="n">
        <v>353.5</v>
      </c>
      <c r="J117" s="7" t="n">
        <v>438.8</v>
      </c>
      <c r="L117" s="7" t="n">
        <v>802.2</v>
      </c>
      <c r="N117" s="7" t="n">
        <v>591.8</v>
      </c>
      <c r="P117" s="7" t="n">
        <v>993.8</v>
      </c>
      <c r="R117" s="7" t="n">
        <v>421.8</v>
      </c>
      <c r="T117" s="7" t="n">
        <v>736</v>
      </c>
      <c r="V117" s="7" t="n">
        <v>680</v>
      </c>
      <c r="X117" s="7" t="n">
        <v>403.7</v>
      </c>
      <c r="Z117" s="7" t="n">
        <v>133.3</v>
      </c>
      <c r="AB117" s="7" t="n">
        <v>6102.3</v>
      </c>
    </row>
    <row r="118">
      <c r="A118" s="4" t="inlineStr">
        <is>
          <t>生日礼品</t>
        </is>
      </c>
      <c r="D118" s="7" t="n">
        <v>127.7</v>
      </c>
      <c r="F118" s="7" t="n">
        <v>68.5</v>
      </c>
      <c r="H118" s="7" t="n">
        <v>181.8</v>
      </c>
      <c r="J118" s="7" t="n">
        <v>103.8</v>
      </c>
      <c r="L118" s="7" t="n">
        <v>195.2</v>
      </c>
      <c r="N118" s="7" t="n">
        <v>326</v>
      </c>
      <c r="P118" s="7" t="n">
        <v>374</v>
      </c>
      <c r="R118" s="7" t="n">
        <v>263.1</v>
      </c>
      <c r="T118" s="7" t="n">
        <v>198.4</v>
      </c>
      <c r="V118" s="7" t="n">
        <v>302.1</v>
      </c>
      <c r="X118" s="7" t="n">
        <v>129.3</v>
      </c>
      <c r="Z118" s="7" t="n">
        <v>58.1</v>
      </c>
      <c r="AB118" s="7" t="n">
        <v>2328</v>
      </c>
    </row>
    <row r="119">
      <c r="A119" s="4" t="inlineStr">
        <is>
          <t>体检</t>
        </is>
      </c>
      <c r="D119" s="7" t="n">
        <v>118.2</v>
      </c>
      <c r="F119" s="7" t="n">
        <v>132.7</v>
      </c>
      <c r="H119" s="7" t="n">
        <v>254.7</v>
      </c>
      <c r="J119" s="7" t="n">
        <v>241.3</v>
      </c>
      <c r="L119" s="7" t="n">
        <v>399.5</v>
      </c>
      <c r="N119" s="7" t="n">
        <v>336.8</v>
      </c>
      <c r="P119" s="7" t="n">
        <v>360.4</v>
      </c>
      <c r="R119" s="7" t="n">
        <v>398.9</v>
      </c>
      <c r="T119" s="7" t="n">
        <v>396.1</v>
      </c>
      <c r="V119" s="7" t="n">
        <v>316.6</v>
      </c>
      <c r="X119" s="7" t="n">
        <v>140.7</v>
      </c>
      <c r="Z119" s="7" t="n">
        <v>77.5</v>
      </c>
      <c r="AB119" s="7" t="n">
        <v>3173.4</v>
      </c>
    </row>
    <row r="120">
      <c r="A120" s="4" t="inlineStr">
        <is>
          <t>其他福利支出</t>
        </is>
      </c>
      <c r="D120" s="7" t="n">
        <v>194.3</v>
      </c>
      <c r="F120" s="7" t="n">
        <v>98.09999999999999</v>
      </c>
      <c r="H120" s="7" t="n">
        <v>281.9</v>
      </c>
      <c r="J120" s="7" t="n">
        <v>180.2</v>
      </c>
      <c r="L120" s="7" t="n">
        <v>295.3</v>
      </c>
      <c r="N120" s="7" t="n">
        <v>359.6</v>
      </c>
      <c r="P120" s="7" t="n">
        <v>465.4</v>
      </c>
      <c r="R120" s="7" t="n">
        <v>234</v>
      </c>
      <c r="T120" s="7" t="n">
        <v>422.2</v>
      </c>
      <c r="V120" s="7" t="n">
        <v>426.4</v>
      </c>
      <c r="X120" s="7" t="n">
        <v>176.7</v>
      </c>
      <c r="Z120" s="7" t="n">
        <v>99.2</v>
      </c>
      <c r="AB120" s="7" t="n">
        <v>3233.3</v>
      </c>
    </row>
    <row r="121">
      <c r="A121" s="4" t="inlineStr">
        <is>
          <t>招聘费</t>
        </is>
      </c>
      <c r="D121" s="7" t="n">
        <v>246.4</v>
      </c>
      <c r="F121" s="7" t="n">
        <v>333.8</v>
      </c>
      <c r="H121" s="7" t="n">
        <v>419.5</v>
      </c>
      <c r="J121" s="7" t="n">
        <v>493.4</v>
      </c>
      <c r="L121" s="7" t="n">
        <v>879.9</v>
      </c>
      <c r="N121" s="7" t="n">
        <v>1128.7</v>
      </c>
      <c r="P121" s="7" t="n">
        <v>980.4</v>
      </c>
      <c r="R121" s="7" t="n">
        <v>910</v>
      </c>
      <c r="T121" s="7" t="n">
        <v>645.9</v>
      </c>
      <c r="V121" s="7" t="n">
        <v>779.5</v>
      </c>
      <c r="X121" s="7" t="n">
        <v>396</v>
      </c>
      <c r="Z121" s="7" t="n">
        <v>173.8</v>
      </c>
      <c r="AB121" s="7" t="n">
        <v>7387.3</v>
      </c>
    </row>
    <row r="122">
      <c r="A122" s="4" t="inlineStr">
        <is>
          <t>办公费</t>
        </is>
      </c>
      <c r="D122" s="7" t="n">
        <v>2163.7</v>
      </c>
      <c r="F122" s="7" t="n">
        <v>1084.5</v>
      </c>
      <c r="H122" s="7" t="n">
        <v>2197</v>
      </c>
      <c r="J122" s="7" t="n">
        <v>2571.8</v>
      </c>
      <c r="L122" s="7" t="n">
        <v>4702.9</v>
      </c>
      <c r="N122" s="7" t="n">
        <v>5723.6</v>
      </c>
      <c r="P122" s="7" t="n">
        <v>4339.4</v>
      </c>
      <c r="R122" s="7" t="n">
        <v>2583.9</v>
      </c>
      <c r="T122" s="7" t="n">
        <v>3722.6</v>
      </c>
      <c r="V122" s="7" t="n">
        <v>5516.8</v>
      </c>
      <c r="X122" s="7" t="n">
        <v>2475.9</v>
      </c>
      <c r="Z122" s="7" t="n">
        <v>845.9</v>
      </c>
      <c r="AB122" s="7" t="n">
        <v>37928</v>
      </c>
    </row>
    <row r="123">
      <c r="A123" s="4" t="inlineStr">
        <is>
          <t>市内交通费</t>
        </is>
      </c>
      <c r="D123" s="7" t="n">
        <v>196.9</v>
      </c>
      <c r="F123" s="7" t="n">
        <v>202</v>
      </c>
      <c r="H123" s="7" t="n">
        <v>365</v>
      </c>
      <c r="J123" s="7" t="n">
        <v>343.2</v>
      </c>
      <c r="L123" s="7" t="n">
        <v>563.2</v>
      </c>
      <c r="N123" s="7" t="n">
        <v>710.3</v>
      </c>
      <c r="P123" s="7" t="n">
        <v>453.3</v>
      </c>
      <c r="R123" s="7" t="n">
        <v>413.6</v>
      </c>
      <c r="T123" s="7" t="n">
        <v>406.6</v>
      </c>
      <c r="V123" s="7" t="n">
        <v>415.6</v>
      </c>
      <c r="X123" s="7" t="n">
        <v>293</v>
      </c>
      <c r="Z123" s="7" t="n">
        <v>120.1</v>
      </c>
      <c r="AB123" s="7" t="n">
        <v>4482.8</v>
      </c>
    </row>
    <row r="124">
      <c r="A124" s="4" t="inlineStr">
        <is>
          <t>差旅费</t>
        </is>
      </c>
      <c r="D124" s="7" t="n">
        <v>4203.3</v>
      </c>
      <c r="F124" s="7" t="n">
        <v>1983.6</v>
      </c>
      <c r="H124" s="7" t="n">
        <v>6228.6</v>
      </c>
      <c r="J124" s="7" t="n">
        <v>5557</v>
      </c>
      <c r="L124" s="7" t="n">
        <v>10118.6</v>
      </c>
      <c r="N124" s="7" t="n">
        <v>8230.700000000001</v>
      </c>
      <c r="P124" s="7" t="n">
        <v>13302.7</v>
      </c>
      <c r="R124" s="7" t="n">
        <v>7041.5</v>
      </c>
      <c r="T124" s="7" t="n">
        <v>10062.4</v>
      </c>
      <c r="V124" s="7" t="n">
        <v>6712.9</v>
      </c>
      <c r="X124" s="7" t="n">
        <v>5267.5</v>
      </c>
      <c r="Z124" s="7" t="n">
        <v>2522.1</v>
      </c>
      <c r="AB124" s="7" t="n">
        <v>81230.89999999999</v>
      </c>
    </row>
    <row r="125">
      <c r="A125" s="4" t="inlineStr">
        <is>
          <t>交通费</t>
        </is>
      </c>
      <c r="D125" s="7" t="n">
        <v>230.6</v>
      </c>
      <c r="F125" s="7" t="n">
        <v>174.5</v>
      </c>
      <c r="H125" s="7" t="n">
        <v>302.2</v>
      </c>
      <c r="J125" s="7" t="n">
        <v>434</v>
      </c>
      <c r="L125" s="7" t="n">
        <v>648.4</v>
      </c>
      <c r="N125" s="7" t="n">
        <v>884.6</v>
      </c>
      <c r="P125" s="7" t="n">
        <v>1025.4</v>
      </c>
      <c r="R125" s="7" t="n">
        <v>397.1</v>
      </c>
      <c r="T125" s="7" t="n">
        <v>597</v>
      </c>
      <c r="V125" s="7" t="n">
        <v>682.8</v>
      </c>
      <c r="X125" s="7" t="n">
        <v>325.2</v>
      </c>
      <c r="Z125" s="7" t="n">
        <v>219.8</v>
      </c>
      <c r="AB125" s="7" t="n">
        <v>5921.6</v>
      </c>
    </row>
    <row r="126">
      <c r="A126" s="4" t="inlineStr">
        <is>
          <t>住宿费</t>
        </is>
      </c>
      <c r="D126" s="7" t="n">
        <v>63.8</v>
      </c>
      <c r="F126" s="7" t="n">
        <v>49</v>
      </c>
      <c r="H126" s="7" t="n">
        <v>79.7</v>
      </c>
      <c r="J126" s="7" t="n">
        <v>101</v>
      </c>
      <c r="L126" s="7" t="n">
        <v>100.7</v>
      </c>
      <c r="N126" s="7" t="n">
        <v>128.6</v>
      </c>
      <c r="P126" s="7" t="n">
        <v>192.9</v>
      </c>
      <c r="R126" s="7" t="n">
        <v>143.3</v>
      </c>
      <c r="T126" s="7" t="n">
        <v>152.8</v>
      </c>
      <c r="V126" s="7" t="n">
        <v>165.3</v>
      </c>
      <c r="X126" s="7" t="n">
        <v>66.09999999999999</v>
      </c>
      <c r="Z126" s="7" t="n">
        <v>45.2</v>
      </c>
      <c r="AB126" s="7" t="n">
        <v>1288.4</v>
      </c>
    </row>
    <row r="127">
      <c r="A127" s="4" t="inlineStr">
        <is>
          <t>餐补</t>
        </is>
      </c>
      <c r="D127" s="7" t="n">
        <v>89.8</v>
      </c>
      <c r="F127" s="7" t="n">
        <v>83.40000000000001</v>
      </c>
      <c r="H127" s="7" t="n">
        <v>184.5</v>
      </c>
      <c r="J127" s="7" t="n">
        <v>191.5</v>
      </c>
      <c r="L127" s="7" t="n">
        <v>247.1</v>
      </c>
      <c r="N127" s="7" t="n">
        <v>318.9</v>
      </c>
      <c r="P127" s="7" t="n">
        <v>323.3</v>
      </c>
      <c r="R127" s="7" t="n">
        <v>257.7</v>
      </c>
      <c r="T127" s="7" t="n">
        <v>198.2</v>
      </c>
      <c r="V127" s="7" t="n">
        <v>220.5</v>
      </c>
      <c r="X127" s="7" t="n">
        <v>100.9</v>
      </c>
      <c r="Z127" s="7" t="n">
        <v>53.8</v>
      </c>
      <c r="AB127" s="7" t="n">
        <v>2269.6</v>
      </c>
    </row>
    <row r="128">
      <c r="A128" s="4" t="inlineStr">
        <is>
          <t>交通补助</t>
        </is>
      </c>
      <c r="D128" s="7" t="n">
        <v>18</v>
      </c>
      <c r="F128" s="7" t="n">
        <v>17.8</v>
      </c>
      <c r="H128" s="7" t="n">
        <v>19.6</v>
      </c>
      <c r="J128" s="7" t="n">
        <v>28.2</v>
      </c>
      <c r="L128" s="7" t="n">
        <v>53.8</v>
      </c>
      <c r="N128" s="7" t="n">
        <v>51.2</v>
      </c>
      <c r="P128" s="7" t="n">
        <v>66</v>
      </c>
      <c r="R128" s="7" t="n">
        <v>42.5</v>
      </c>
      <c r="T128" s="7" t="n">
        <v>32.5</v>
      </c>
      <c r="V128" s="7" t="n">
        <v>56.8</v>
      </c>
      <c r="X128" s="7" t="n">
        <v>27.9</v>
      </c>
      <c r="Z128" s="7" t="n">
        <v>8.9</v>
      </c>
      <c r="AB128" s="7" t="n">
        <v>423.2</v>
      </c>
    </row>
    <row r="129">
      <c r="A129" s="4" t="inlineStr">
        <is>
          <t>通讯补助</t>
        </is>
      </c>
      <c r="D129" s="7" t="n">
        <v>389.3</v>
      </c>
      <c r="F129" s="7" t="n">
        <v>249.9</v>
      </c>
      <c r="H129" s="7" t="n">
        <v>546.6</v>
      </c>
      <c r="J129" s="7" t="n">
        <v>540.1</v>
      </c>
      <c r="L129" s="7" t="n">
        <v>952.9</v>
      </c>
      <c r="N129" s="7" t="n">
        <v>952.2</v>
      </c>
      <c r="P129" s="7" t="n">
        <v>921.3</v>
      </c>
      <c r="R129" s="7" t="n">
        <v>708.6</v>
      </c>
      <c r="T129" s="7" t="n">
        <v>864.4</v>
      </c>
      <c r="V129" s="7" t="n">
        <v>701.6</v>
      </c>
      <c r="X129" s="7" t="n">
        <v>359.4</v>
      </c>
      <c r="Z129" s="7" t="n">
        <v>230</v>
      </c>
      <c r="AB129" s="7" t="n">
        <v>7416.3</v>
      </c>
    </row>
    <row r="130">
      <c r="A130" s="4" t="inlineStr">
        <is>
          <t>招待费</t>
        </is>
      </c>
      <c r="D130" s="7" t="n">
        <v>2602.6</v>
      </c>
      <c r="F130" s="7" t="n">
        <v>2227.9</v>
      </c>
      <c r="H130" s="7" t="n">
        <v>2674.8</v>
      </c>
      <c r="J130" s="7" t="n">
        <v>2488.3</v>
      </c>
      <c r="L130" s="7" t="n">
        <v>4346.6</v>
      </c>
      <c r="N130" s="7" t="n">
        <v>7975</v>
      </c>
      <c r="P130" s="7" t="n">
        <v>9137.799999999999</v>
      </c>
      <c r="R130" s="7" t="n">
        <v>5518</v>
      </c>
      <c r="T130" s="7" t="n">
        <v>4890.6</v>
      </c>
      <c r="V130" s="7" t="n">
        <v>6084.2</v>
      </c>
      <c r="X130" s="7" t="n">
        <v>2272.2</v>
      </c>
      <c r="Z130" s="7" t="n">
        <v>1104.4</v>
      </c>
      <c r="AB130" s="7" t="n">
        <v>51322.4</v>
      </c>
    </row>
    <row r="131">
      <c r="A131" s="4" t="inlineStr">
        <is>
          <t>通讯费</t>
        </is>
      </c>
      <c r="D131" s="7" t="n">
        <v>253.1</v>
      </c>
      <c r="F131" s="7" t="n">
        <v>194.1</v>
      </c>
      <c r="H131" s="7" t="n">
        <v>395.5</v>
      </c>
      <c r="J131" s="7" t="n">
        <v>508.7</v>
      </c>
      <c r="L131" s="7" t="n">
        <v>842.7</v>
      </c>
      <c r="N131" s="7" t="n">
        <v>772</v>
      </c>
      <c r="P131" s="7" t="n">
        <v>1243.7</v>
      </c>
      <c r="R131" s="7" t="n">
        <v>627.2</v>
      </c>
      <c r="T131" s="7" t="n">
        <v>1030.9</v>
      </c>
      <c r="V131" s="7" t="n">
        <v>1029.1</v>
      </c>
      <c r="X131" s="7" t="n">
        <v>451.5</v>
      </c>
      <c r="Z131" s="7" t="n">
        <v>152.6</v>
      </c>
      <c r="AB131" s="7" t="n">
        <v>7501.1</v>
      </c>
    </row>
    <row r="132">
      <c r="A132" s="4" t="inlineStr">
        <is>
          <t>网络费</t>
        </is>
      </c>
      <c r="D132" s="7" t="n">
        <v>164.9</v>
      </c>
      <c r="F132" s="7" t="n">
        <v>204.6</v>
      </c>
      <c r="H132" s="7" t="n">
        <v>270.9</v>
      </c>
      <c r="J132" s="7" t="n">
        <v>279.2</v>
      </c>
      <c r="L132" s="7" t="n">
        <v>593.4</v>
      </c>
      <c r="N132" s="7" t="n">
        <v>403.5</v>
      </c>
      <c r="P132" s="7" t="n">
        <v>638.7</v>
      </c>
      <c r="R132" s="7" t="n">
        <v>429.5</v>
      </c>
      <c r="T132" s="7" t="n">
        <v>511.6</v>
      </c>
      <c r="V132" s="7" t="n">
        <v>545.2</v>
      </c>
      <c r="X132" s="7" t="n">
        <v>223.2</v>
      </c>
      <c r="Z132" s="7" t="n">
        <v>118.2</v>
      </c>
      <c r="AB132" s="7" t="n">
        <v>4382.9</v>
      </c>
    </row>
    <row r="133">
      <c r="A133" s="4" t="inlineStr">
        <is>
          <t>修理费</t>
        </is>
      </c>
      <c r="D133" s="7" t="n">
        <v>6.2</v>
      </c>
      <c r="F133" s="7" t="n">
        <v>7.5</v>
      </c>
      <c r="H133" s="7" t="n">
        <v>12.7</v>
      </c>
      <c r="J133" s="7" t="n">
        <v>10.3</v>
      </c>
      <c r="L133" s="7" t="n">
        <v>18.5</v>
      </c>
      <c r="N133" s="7" t="n">
        <v>19.9</v>
      </c>
      <c r="P133" s="7" t="n">
        <v>26.3</v>
      </c>
      <c r="R133" s="7" t="n">
        <v>20.1</v>
      </c>
      <c r="T133" s="7" t="n">
        <v>16</v>
      </c>
      <c r="V133" s="7" t="n">
        <v>22.3</v>
      </c>
      <c r="X133" s="7" t="n">
        <v>9.6</v>
      </c>
      <c r="Z133" s="7" t="n">
        <v>5.7</v>
      </c>
      <c r="AB133" s="7" t="n">
        <v>175.1</v>
      </c>
    </row>
    <row r="134">
      <c r="A134" s="4" t="inlineStr">
        <is>
          <t>车辆费</t>
        </is>
      </c>
      <c r="D134" s="7" t="n">
        <v>317.1</v>
      </c>
      <c r="F134" s="7" t="n">
        <v>288.1</v>
      </c>
      <c r="H134" s="7" t="n">
        <v>427.3</v>
      </c>
      <c r="J134" s="7" t="n">
        <v>614.4</v>
      </c>
      <c r="L134" s="7" t="n">
        <v>846.6</v>
      </c>
      <c r="N134" s="7" t="n">
        <v>845.8</v>
      </c>
      <c r="P134" s="7" t="n">
        <v>897.3</v>
      </c>
      <c r="R134" s="7" t="n">
        <v>577</v>
      </c>
      <c r="T134" s="7" t="n">
        <v>1068.1</v>
      </c>
      <c r="V134" s="7" t="n">
        <v>857.8</v>
      </c>
      <c r="X134" s="7" t="n">
        <v>489.7</v>
      </c>
      <c r="Z134" s="7" t="n">
        <v>182.7</v>
      </c>
      <c r="AB134" s="7" t="n">
        <v>7411.9</v>
      </c>
    </row>
    <row r="135">
      <c r="A135" s="4" t="inlineStr">
        <is>
          <t>租赁费</t>
        </is>
      </c>
      <c r="D135" s="7" t="n">
        <v>2609.2</v>
      </c>
      <c r="F135" s="7" t="n">
        <v>1781.4</v>
      </c>
      <c r="H135" s="7" t="n">
        <v>4153</v>
      </c>
      <c r="J135" s="7" t="n">
        <v>5031.9</v>
      </c>
      <c r="L135" s="7" t="n">
        <v>6136.8</v>
      </c>
      <c r="N135" s="7" t="n">
        <v>6015.9</v>
      </c>
      <c r="P135" s="7" t="n">
        <v>10687.7</v>
      </c>
      <c r="R135" s="7" t="n">
        <v>4683.9</v>
      </c>
      <c r="T135" s="7" t="n">
        <v>7858.5</v>
      </c>
      <c r="V135" s="7" t="n">
        <v>7672.1</v>
      </c>
      <c r="X135" s="7" t="n">
        <v>4410.9</v>
      </c>
      <c r="Z135" s="7" t="n">
        <v>1530.9</v>
      </c>
      <c r="AB135" s="7" t="n">
        <v>62572.2</v>
      </c>
    </row>
    <row r="136">
      <c r="A136" s="4" t="inlineStr">
        <is>
          <t>能源费</t>
        </is>
      </c>
      <c r="D136" s="7" t="n">
        <v>882.5</v>
      </c>
      <c r="F136" s="7" t="n">
        <v>752.6</v>
      </c>
      <c r="H136" s="7" t="n">
        <v>1183.8</v>
      </c>
      <c r="J136" s="7" t="n">
        <v>1292.3</v>
      </c>
      <c r="L136" s="7" t="n">
        <v>2493.9</v>
      </c>
      <c r="N136" s="7" t="n">
        <v>2553.8</v>
      </c>
      <c r="P136" s="7" t="n">
        <v>2675.4</v>
      </c>
      <c r="R136" s="7" t="n">
        <v>1854</v>
      </c>
      <c r="T136" s="7" t="n">
        <v>2354.3</v>
      </c>
      <c r="V136" s="7" t="n">
        <v>2510.4</v>
      </c>
      <c r="X136" s="7" t="n">
        <v>1123.2</v>
      </c>
      <c r="Z136" s="7" t="n">
        <v>610.9</v>
      </c>
      <c r="AB136" s="7" t="n">
        <v>20287.1</v>
      </c>
    </row>
    <row r="137">
      <c r="A137" s="4" t="inlineStr">
        <is>
          <t>水费</t>
        </is>
      </c>
      <c r="D137" s="7" t="n">
        <v>196.1</v>
      </c>
      <c r="F137" s="7" t="n">
        <v>108.3</v>
      </c>
      <c r="H137" s="7" t="n">
        <v>250.8</v>
      </c>
      <c r="J137" s="7" t="n">
        <v>296.9</v>
      </c>
      <c r="L137" s="7" t="n">
        <v>464.7</v>
      </c>
      <c r="N137" s="7" t="n">
        <v>535.2</v>
      </c>
      <c r="P137" s="7" t="n">
        <v>696.8</v>
      </c>
      <c r="R137" s="7" t="n">
        <v>264.7</v>
      </c>
      <c r="T137" s="7" t="n">
        <v>404.8</v>
      </c>
      <c r="V137" s="7" t="n">
        <v>402.5</v>
      </c>
      <c r="X137" s="7" t="n">
        <v>182.5</v>
      </c>
      <c r="Z137" s="7" t="n">
        <v>118.7</v>
      </c>
      <c r="AB137" s="7" t="n">
        <v>3922</v>
      </c>
    </row>
    <row r="138">
      <c r="A138" s="4" t="inlineStr">
        <is>
          <t>电费</t>
        </is>
      </c>
      <c r="D138" s="7" t="n">
        <v>249.1</v>
      </c>
      <c r="F138" s="7" t="n">
        <v>144.5</v>
      </c>
      <c r="H138" s="7" t="n">
        <v>304.6</v>
      </c>
      <c r="J138" s="7" t="n">
        <v>264.7</v>
      </c>
      <c r="L138" s="7" t="n">
        <v>625</v>
      </c>
      <c r="N138" s="7" t="n">
        <v>785.8</v>
      </c>
      <c r="P138" s="7" t="n">
        <v>553.4</v>
      </c>
      <c r="R138" s="7" t="n">
        <v>439.4</v>
      </c>
      <c r="T138" s="7" t="n">
        <v>622.3</v>
      </c>
      <c r="V138" s="7" t="n">
        <v>754.3</v>
      </c>
      <c r="X138" s="7" t="n">
        <v>334</v>
      </c>
      <c r="Z138" s="7" t="n">
        <v>130.4</v>
      </c>
      <c r="AB138" s="7" t="n">
        <v>5207.5</v>
      </c>
    </row>
    <row r="139">
      <c r="A139" s="4" t="inlineStr">
        <is>
          <t>燃气费</t>
        </is>
      </c>
      <c r="D139" s="7" t="n">
        <v>229.7</v>
      </c>
      <c r="F139" s="7" t="n">
        <v>292.3</v>
      </c>
      <c r="H139" s="7" t="n">
        <v>354.9</v>
      </c>
      <c r="J139" s="7" t="n">
        <v>525.4</v>
      </c>
      <c r="L139" s="7" t="n">
        <v>847.3</v>
      </c>
      <c r="N139" s="7" t="n">
        <v>795.1</v>
      </c>
      <c r="P139" s="7" t="n">
        <v>849.6</v>
      </c>
      <c r="R139" s="7" t="n">
        <v>707.6</v>
      </c>
      <c r="T139" s="7" t="n">
        <v>950.3</v>
      </c>
      <c r="V139" s="7" t="n">
        <v>889.6</v>
      </c>
      <c r="X139" s="7" t="n">
        <v>385.7</v>
      </c>
      <c r="Z139" s="7" t="n">
        <v>254.1</v>
      </c>
      <c r="AB139" s="7" t="n">
        <v>7081.6</v>
      </c>
    </row>
    <row r="140">
      <c r="A140" s="4" t="inlineStr">
        <is>
          <t>蒸汽费</t>
        </is>
      </c>
      <c r="D140" s="7" t="n">
        <v>207.6</v>
      </c>
      <c r="F140" s="7" t="n">
        <v>207.5</v>
      </c>
      <c r="H140" s="7" t="n">
        <v>273.5</v>
      </c>
      <c r="J140" s="7" t="n">
        <v>205.3</v>
      </c>
      <c r="L140" s="7" t="n">
        <v>556.9</v>
      </c>
      <c r="N140" s="7" t="n">
        <v>437.7</v>
      </c>
      <c r="P140" s="7" t="n">
        <v>575.6</v>
      </c>
      <c r="R140" s="7" t="n">
        <v>442.3</v>
      </c>
      <c r="T140" s="7" t="n">
        <v>376.9</v>
      </c>
      <c r="V140" s="7" t="n">
        <v>464</v>
      </c>
      <c r="X140" s="7" t="n">
        <v>221</v>
      </c>
      <c r="Z140" s="7" t="n">
        <v>107.7</v>
      </c>
      <c r="AB140" s="7" t="n">
        <v>4076</v>
      </c>
    </row>
    <row r="141">
      <c r="A141" s="4" t="inlineStr">
        <is>
          <t>物业费</t>
        </is>
      </c>
      <c r="D141" s="7" t="n">
        <v>219.2</v>
      </c>
      <c r="F141" s="7" t="n">
        <v>290.4</v>
      </c>
      <c r="H141" s="7" t="n">
        <v>386.6</v>
      </c>
      <c r="J141" s="7" t="n">
        <v>563.6</v>
      </c>
      <c r="L141" s="7" t="n">
        <v>925.1</v>
      </c>
      <c r="N141" s="7" t="n">
        <v>878.9</v>
      </c>
      <c r="P141" s="7" t="n">
        <v>1071.3</v>
      </c>
      <c r="R141" s="7" t="n">
        <v>651.1</v>
      </c>
      <c r="T141" s="7" t="n">
        <v>946.7</v>
      </c>
      <c r="V141" s="7" t="n">
        <v>816.8</v>
      </c>
      <c r="X141" s="7" t="n">
        <v>449.1</v>
      </c>
      <c r="Z141" s="7" t="n">
        <v>271.2</v>
      </c>
      <c r="AB141" s="7" t="n">
        <v>7470</v>
      </c>
    </row>
    <row r="142">
      <c r="A142" s="4" t="inlineStr">
        <is>
          <t>劳动保护费</t>
        </is>
      </c>
      <c r="D142" s="7" t="n">
        <v>207.2</v>
      </c>
      <c r="F142" s="7" t="n">
        <v>229.9</v>
      </c>
      <c r="H142" s="7" t="n">
        <v>419.8</v>
      </c>
      <c r="J142" s="7" t="n">
        <v>398.2</v>
      </c>
      <c r="L142" s="7" t="n">
        <v>435.3</v>
      </c>
      <c r="N142" s="7" t="n">
        <v>644.7</v>
      </c>
      <c r="P142" s="7" t="n">
        <v>586.3</v>
      </c>
      <c r="R142" s="7" t="n">
        <v>440.7</v>
      </c>
      <c r="T142" s="7" t="n">
        <v>486.3</v>
      </c>
      <c r="V142" s="7" t="n">
        <v>655.7</v>
      </c>
      <c r="X142" s="7" t="n">
        <v>331.5</v>
      </c>
      <c r="Z142" s="7" t="n">
        <v>155.8</v>
      </c>
      <c r="AB142" s="7" t="n">
        <v>4991.4</v>
      </c>
    </row>
    <row r="143">
      <c r="A143" s="4" t="inlineStr">
        <is>
          <t>顾问费</t>
        </is>
      </c>
      <c r="D143" s="7" t="n">
        <v>40.3</v>
      </c>
      <c r="F143" s="7" t="n">
        <v>34.6</v>
      </c>
      <c r="H143" s="7" t="n">
        <v>73.3</v>
      </c>
      <c r="J143" s="7" t="n">
        <v>57.3</v>
      </c>
      <c r="L143" s="7" t="n">
        <v>111.6</v>
      </c>
      <c r="N143" s="7" t="n">
        <v>162.5</v>
      </c>
      <c r="P143" s="7" t="n">
        <v>174.5</v>
      </c>
      <c r="R143" s="7" t="n">
        <v>134.3</v>
      </c>
      <c r="T143" s="7" t="n">
        <v>104.9</v>
      </c>
      <c r="V143" s="7" t="n">
        <v>159.1</v>
      </c>
      <c r="X143" s="7" t="n">
        <v>84.2</v>
      </c>
      <c r="Z143" s="7" t="n">
        <v>46</v>
      </c>
      <c r="AB143" s="7" t="n">
        <v>1182.6</v>
      </c>
    </row>
    <row r="144">
      <c r="A144" s="4" t="inlineStr">
        <is>
          <t>快递费</t>
        </is>
      </c>
      <c r="D144" s="7" t="n">
        <v>258.6</v>
      </c>
      <c r="F144" s="7" t="n">
        <v>204.4</v>
      </c>
      <c r="H144" s="7" t="n">
        <v>245.4</v>
      </c>
      <c r="J144" s="7" t="n">
        <v>370.8</v>
      </c>
      <c r="L144" s="7" t="n">
        <v>486.8</v>
      </c>
      <c r="N144" s="7" t="n">
        <v>714.4</v>
      </c>
      <c r="P144" s="7" t="n">
        <v>634.1</v>
      </c>
      <c r="R144" s="7" t="n">
        <v>476.8</v>
      </c>
      <c r="T144" s="7" t="n">
        <v>689.5</v>
      </c>
      <c r="V144" s="7" t="n">
        <v>474.9</v>
      </c>
      <c r="X144" s="7" t="n">
        <v>291.6</v>
      </c>
      <c r="Z144" s="7" t="n">
        <v>109.4</v>
      </c>
      <c r="AB144" s="7" t="n">
        <v>4956.7</v>
      </c>
    </row>
    <row r="145">
      <c r="A145" s="4" t="inlineStr">
        <is>
          <t>诉讼费</t>
        </is>
      </c>
      <c r="D145" s="7" t="n">
        <v>67.3</v>
      </c>
      <c r="F145" s="7" t="n">
        <v>36.4</v>
      </c>
      <c r="H145" s="7" t="n">
        <v>94.90000000000001</v>
      </c>
      <c r="J145" s="7" t="n">
        <v>63.3</v>
      </c>
      <c r="L145" s="7" t="n">
        <v>174.4</v>
      </c>
      <c r="N145" s="7" t="n">
        <v>161.3</v>
      </c>
      <c r="P145" s="7" t="n">
        <v>135.5</v>
      </c>
      <c r="R145" s="7" t="n">
        <v>141</v>
      </c>
      <c r="T145" s="7" t="n">
        <v>121.5</v>
      </c>
      <c r="V145" s="7" t="n">
        <v>108.8</v>
      </c>
      <c r="X145" s="7" t="n">
        <v>52.1</v>
      </c>
      <c r="Z145" s="7" t="n">
        <v>51.6</v>
      </c>
      <c r="AB145" s="7" t="n">
        <v>1208.1</v>
      </c>
    </row>
    <row r="146">
      <c r="A146" s="4" t="inlineStr">
        <is>
          <t>会员费</t>
        </is>
      </c>
      <c r="D146" s="7" t="n">
        <v>286.3</v>
      </c>
      <c r="F146" s="7" t="n">
        <v>180</v>
      </c>
      <c r="H146" s="7" t="n">
        <v>401.7</v>
      </c>
      <c r="J146" s="7" t="n">
        <v>490.5</v>
      </c>
      <c r="L146" s="7" t="n">
        <v>464.8</v>
      </c>
      <c r="N146" s="7" t="n">
        <v>848.8</v>
      </c>
      <c r="P146" s="7" t="n">
        <v>792.2</v>
      </c>
      <c r="R146" s="7" t="n">
        <v>475.6</v>
      </c>
      <c r="T146" s="7" t="n">
        <v>597.4</v>
      </c>
      <c r="V146" s="7" t="n">
        <v>733.9</v>
      </c>
      <c r="X146" s="7" t="n">
        <v>289.6</v>
      </c>
      <c r="Z146" s="7" t="n">
        <v>213.9</v>
      </c>
      <c r="AB146" s="7" t="n">
        <v>5774.7</v>
      </c>
    </row>
    <row r="147">
      <c r="A147" s="4" t="inlineStr">
        <is>
          <t>广告宣传费</t>
        </is>
      </c>
      <c r="D147" s="7" t="n">
        <v>2157.3</v>
      </c>
      <c r="F147" s="7" t="n">
        <v>1392.3</v>
      </c>
      <c r="H147" s="7" t="n">
        <v>2088.5</v>
      </c>
      <c r="J147" s="7" t="n">
        <v>2330.9</v>
      </c>
      <c r="L147" s="7" t="n">
        <v>4801.9</v>
      </c>
      <c r="N147" s="7" t="n">
        <v>3861.3</v>
      </c>
      <c r="P147" s="7" t="n">
        <v>6311.5</v>
      </c>
      <c r="R147" s="7" t="n">
        <v>4179.3</v>
      </c>
      <c r="T147" s="7" t="n">
        <v>3182.9</v>
      </c>
      <c r="V147" s="7" t="n">
        <v>4281.4</v>
      </c>
      <c r="X147" s="7" t="n">
        <v>2149.3</v>
      </c>
      <c r="Z147" s="7" t="n">
        <v>1114.6</v>
      </c>
      <c r="AB147" s="7" t="n">
        <v>37851.2</v>
      </c>
    </row>
    <row r="148">
      <c r="A148" s="4" t="inlineStr">
        <is>
          <t>会务费</t>
        </is>
      </c>
      <c r="D148" s="7" t="n">
        <v>354.9</v>
      </c>
      <c r="F148" s="7" t="n">
        <v>305.7</v>
      </c>
      <c r="H148" s="7" t="n">
        <v>572.3</v>
      </c>
      <c r="J148" s="7" t="n">
        <v>355.5</v>
      </c>
      <c r="L148" s="7" t="n">
        <v>752.3</v>
      </c>
      <c r="N148" s="7" t="n">
        <v>1067.3</v>
      </c>
      <c r="P148" s="7" t="n">
        <v>1195.4</v>
      </c>
      <c r="R148" s="7" t="n">
        <v>648.2</v>
      </c>
      <c r="T148" s="7" t="n">
        <v>959</v>
      </c>
      <c r="V148" s="7" t="n">
        <v>875.5</v>
      </c>
      <c r="X148" s="7" t="n">
        <v>465.7</v>
      </c>
      <c r="Z148" s="7" t="n">
        <v>171.8</v>
      </c>
      <c r="AB148" s="7" t="n">
        <v>7723.6</v>
      </c>
    </row>
    <row r="149">
      <c r="A149" s="4" t="inlineStr">
        <is>
          <t>装修费</t>
        </is>
      </c>
      <c r="D149" s="7" t="n">
        <v>287.7</v>
      </c>
      <c r="F149" s="7" t="n">
        <v>275.8</v>
      </c>
      <c r="H149" s="7" t="n">
        <v>468.1</v>
      </c>
      <c r="J149" s="7" t="n">
        <v>471.9</v>
      </c>
      <c r="L149" s="7" t="n">
        <v>886.5</v>
      </c>
      <c r="N149" s="7" t="n">
        <v>1094.8</v>
      </c>
      <c r="P149" s="7" t="n">
        <v>1201.5</v>
      </c>
      <c r="R149" s="7" t="n">
        <v>737.5</v>
      </c>
      <c r="T149" s="7" t="n">
        <v>892</v>
      </c>
      <c r="V149" s="7" t="n">
        <v>633.1</v>
      </c>
      <c r="X149" s="7" t="n">
        <v>364.9</v>
      </c>
      <c r="Z149" s="7" t="n">
        <v>175.6</v>
      </c>
      <c r="AB149" s="7" t="n">
        <v>7489.4</v>
      </c>
    </row>
    <row r="150">
      <c r="A150" s="4" t="inlineStr">
        <is>
          <t>推广费</t>
        </is>
      </c>
      <c r="D150" s="7" t="n">
        <v>264.1</v>
      </c>
      <c r="F150" s="7" t="n">
        <v>124.6</v>
      </c>
      <c r="H150" s="7" t="n">
        <v>406</v>
      </c>
      <c r="J150" s="7" t="n">
        <v>240.8</v>
      </c>
      <c r="L150" s="7" t="n">
        <v>536.6</v>
      </c>
      <c r="N150" s="7" t="n">
        <v>682.1</v>
      </c>
      <c r="P150" s="7" t="n">
        <v>535.7</v>
      </c>
      <c r="R150" s="7" t="n">
        <v>363.1</v>
      </c>
      <c r="T150" s="7" t="n">
        <v>554.9</v>
      </c>
      <c r="V150" s="7" t="n">
        <v>404.3</v>
      </c>
      <c r="X150" s="7" t="n">
        <v>260.4</v>
      </c>
      <c r="Z150" s="7" t="n">
        <v>140.9</v>
      </c>
      <c r="AB150" s="7" t="n">
        <v>4513.5</v>
      </c>
    </row>
    <row r="151">
      <c r="A151" s="4" t="inlineStr">
        <is>
          <t>展会费</t>
        </is>
      </c>
      <c r="D151" s="7" t="n">
        <v>330.2</v>
      </c>
      <c r="F151" s="7" t="n">
        <v>232.5</v>
      </c>
      <c r="H151" s="7" t="n">
        <v>635.1</v>
      </c>
      <c r="J151" s="7" t="n">
        <v>591.5</v>
      </c>
      <c r="L151" s="7" t="n">
        <v>633.9</v>
      </c>
      <c r="N151" s="7" t="n">
        <v>1006.8</v>
      </c>
      <c r="P151" s="7" t="n">
        <v>1291</v>
      </c>
      <c r="R151" s="7" t="n">
        <v>885.5</v>
      </c>
      <c r="T151" s="7" t="n">
        <v>1158.2</v>
      </c>
      <c r="V151" s="7" t="n">
        <v>666.3</v>
      </c>
      <c r="X151" s="7" t="n">
        <v>568.4</v>
      </c>
      <c r="Z151" s="7" t="n">
        <v>243.9</v>
      </c>
      <c r="AB151" s="7" t="n">
        <v>8243.299999999999</v>
      </c>
    </row>
    <row r="152">
      <c r="A152" s="4" t="inlineStr">
        <is>
          <t>设计费</t>
        </is>
      </c>
      <c r="D152" s="7" t="n">
        <v>157.2</v>
      </c>
      <c r="F152" s="7" t="n">
        <v>108.4</v>
      </c>
      <c r="H152" s="7" t="n">
        <v>238</v>
      </c>
      <c r="J152" s="7" t="n">
        <v>190.6</v>
      </c>
      <c r="L152" s="7" t="n">
        <v>358</v>
      </c>
      <c r="N152" s="7" t="n">
        <v>285.4</v>
      </c>
      <c r="P152" s="7" t="n">
        <v>565</v>
      </c>
      <c r="R152" s="7" t="n">
        <v>310.6</v>
      </c>
      <c r="T152" s="7" t="n">
        <v>276.6</v>
      </c>
      <c r="V152" s="7" t="n">
        <v>406.2</v>
      </c>
      <c r="X152" s="7" t="n">
        <v>152.7</v>
      </c>
      <c r="Z152" s="7" t="n">
        <v>113.8</v>
      </c>
      <c r="AB152" s="7" t="n">
        <v>3162.5</v>
      </c>
    </row>
    <row r="153">
      <c r="A153" s="4" t="inlineStr">
        <is>
          <t>折旧费</t>
        </is>
      </c>
      <c r="D153" s="7" t="n">
        <v>2446.6</v>
      </c>
      <c r="F153" s="7" t="n">
        <v>1763.5</v>
      </c>
      <c r="H153" s="7" t="n">
        <v>3377.4</v>
      </c>
      <c r="J153" s="7" t="n">
        <v>3091.8</v>
      </c>
      <c r="L153" s="7" t="n">
        <v>5270.1</v>
      </c>
      <c r="N153" s="7" t="n">
        <v>6427.2</v>
      </c>
      <c r="P153" s="7" t="n">
        <v>5526.5</v>
      </c>
      <c r="R153" s="7" t="n">
        <v>6156.3</v>
      </c>
      <c r="T153" s="7" t="n">
        <v>5474.9</v>
      </c>
      <c r="V153" s="7" t="n">
        <v>7127.5</v>
      </c>
      <c r="X153" s="7" t="n">
        <v>3049.8</v>
      </c>
      <c r="Z153" s="7" t="n">
        <v>1587.3</v>
      </c>
      <c r="AB153" s="7" t="n">
        <v>51298.9</v>
      </c>
    </row>
    <row r="154">
      <c r="A154" s="4" t="inlineStr">
        <is>
          <t>认证费</t>
        </is>
      </c>
      <c r="D154" s="7" t="n">
        <v>122.5</v>
      </c>
      <c r="F154" s="7" t="n">
        <v>71.09999999999999</v>
      </c>
      <c r="H154" s="7" t="n">
        <v>189.2</v>
      </c>
      <c r="J154" s="7" t="n">
        <v>207.3</v>
      </c>
      <c r="L154" s="7" t="n">
        <v>315.6</v>
      </c>
      <c r="N154" s="7" t="n">
        <v>248.5</v>
      </c>
      <c r="P154" s="7" t="n">
        <v>330.2</v>
      </c>
      <c r="R154" s="7" t="n">
        <v>216.8</v>
      </c>
      <c r="T154" s="7" t="n">
        <v>358.7</v>
      </c>
      <c r="V154" s="7" t="n">
        <v>270.8</v>
      </c>
      <c r="X154" s="7" t="n">
        <v>128.1</v>
      </c>
      <c r="Z154" s="7" t="n">
        <v>60.9</v>
      </c>
      <c r="AB154" s="7" t="n">
        <v>2519.7</v>
      </c>
    </row>
    <row r="155">
      <c r="A155" s="4" t="inlineStr">
        <is>
          <t>样品费</t>
        </is>
      </c>
      <c r="D155" s="7" t="n">
        <v>1393.4</v>
      </c>
      <c r="F155" s="7" t="n">
        <v>939.8</v>
      </c>
      <c r="H155" s="7" t="n">
        <v>1321.5</v>
      </c>
      <c r="J155" s="7" t="n">
        <v>1461.5</v>
      </c>
      <c r="L155" s="7" t="n">
        <v>2219.7</v>
      </c>
      <c r="N155" s="7" t="n">
        <v>3432.2</v>
      </c>
      <c r="P155" s="7" t="n">
        <v>3807</v>
      </c>
      <c r="R155" s="7" t="n">
        <v>2964.6</v>
      </c>
      <c r="T155" s="7" t="n">
        <v>2294.7</v>
      </c>
      <c r="V155" s="7" t="n">
        <v>2633.8</v>
      </c>
      <c r="X155" s="7" t="n">
        <v>1490.4</v>
      </c>
      <c r="Z155" s="7" t="n">
        <v>854.2</v>
      </c>
      <c r="AB155" s="7" t="n">
        <v>24812.8</v>
      </c>
    </row>
    <row r="156">
      <c r="A156" s="4" t="inlineStr">
        <is>
          <t>劳务费</t>
        </is>
      </c>
      <c r="D156" s="7" t="n">
        <v>165.7</v>
      </c>
      <c r="F156" s="7" t="n">
        <v>179.1</v>
      </c>
      <c r="H156" s="7" t="n">
        <v>316.2</v>
      </c>
      <c r="J156" s="7" t="n">
        <v>263.2</v>
      </c>
      <c r="L156" s="7" t="n">
        <v>676.6</v>
      </c>
      <c r="N156" s="7" t="n">
        <v>471.4</v>
      </c>
      <c r="P156" s="7" t="n">
        <v>639.4</v>
      </c>
      <c r="R156" s="7" t="n">
        <v>487.2</v>
      </c>
      <c r="T156" s="7" t="n">
        <v>686.9</v>
      </c>
      <c r="V156" s="7" t="n">
        <v>573.7</v>
      </c>
      <c r="X156" s="7" t="n">
        <v>304.9</v>
      </c>
      <c r="Z156" s="7" t="n">
        <v>207.1</v>
      </c>
      <c r="AB156" s="7" t="n">
        <v>4971.4</v>
      </c>
    </row>
    <row r="157">
      <c r="A157" s="4" t="inlineStr">
        <is>
          <t>销售佣金</t>
        </is>
      </c>
      <c r="D157" s="7" t="n">
        <v>22.7</v>
      </c>
      <c r="F157" s="7" t="n">
        <v>19.9</v>
      </c>
      <c r="H157" s="7" t="n">
        <v>35.7</v>
      </c>
      <c r="J157" s="7" t="n">
        <v>35</v>
      </c>
      <c r="L157" s="7" t="n">
        <v>57.5</v>
      </c>
      <c r="N157" s="7" t="n">
        <v>70</v>
      </c>
      <c r="P157" s="7" t="n">
        <v>65.8</v>
      </c>
      <c r="R157" s="7" t="n">
        <v>54.9</v>
      </c>
      <c r="T157" s="7" t="n">
        <v>50.6</v>
      </c>
      <c r="V157" s="7" t="n">
        <v>55.3</v>
      </c>
      <c r="X157" s="7" t="n">
        <v>31</v>
      </c>
      <c r="Z157" s="7" t="n">
        <v>16.7</v>
      </c>
      <c r="AB157" s="7" t="n">
        <v>515.1</v>
      </c>
    </row>
    <row r="158">
      <c r="A158" s="4" t="inlineStr">
        <is>
          <t>检测费</t>
        </is>
      </c>
      <c r="D158" s="7" t="n">
        <v>113</v>
      </c>
      <c r="F158" s="7" t="n">
        <v>120.3</v>
      </c>
      <c r="H158" s="7" t="n">
        <v>274.5</v>
      </c>
      <c r="J158" s="7" t="n">
        <v>256.8</v>
      </c>
      <c r="L158" s="7" t="n">
        <v>433.6</v>
      </c>
      <c r="N158" s="7" t="n">
        <v>327.4</v>
      </c>
      <c r="P158" s="7" t="n">
        <v>468.6</v>
      </c>
      <c r="R158" s="7" t="n">
        <v>278.9</v>
      </c>
      <c r="T158" s="7" t="n">
        <v>373.1</v>
      </c>
      <c r="V158" s="7" t="n">
        <v>495.2</v>
      </c>
      <c r="X158" s="7" t="n">
        <v>169.2</v>
      </c>
      <c r="Z158" s="7" t="n">
        <v>96.8</v>
      </c>
      <c r="AB158" s="7" t="n">
        <v>3407.4</v>
      </c>
    </row>
    <row r="159">
      <c r="A159" s="4" t="inlineStr">
        <is>
          <t>质量赔偿</t>
        </is>
      </c>
      <c r="D159" s="7" t="n">
        <v>257.7</v>
      </c>
      <c r="F159" s="7" t="n">
        <v>131</v>
      </c>
      <c r="H159" s="7" t="n">
        <v>309.2</v>
      </c>
      <c r="J159" s="7" t="n">
        <v>363.3</v>
      </c>
      <c r="L159" s="7" t="n">
        <v>525</v>
      </c>
      <c r="N159" s="7" t="n">
        <v>525.4</v>
      </c>
      <c r="P159" s="7" t="n">
        <v>611.6</v>
      </c>
      <c r="R159" s="7" t="n">
        <v>538.1</v>
      </c>
      <c r="T159" s="7" t="n">
        <v>438.9</v>
      </c>
      <c r="V159" s="7" t="n">
        <v>607.8</v>
      </c>
      <c r="X159" s="7" t="n">
        <v>316.9</v>
      </c>
      <c r="Z159" s="7" t="n">
        <v>181</v>
      </c>
      <c r="AB159" s="7" t="n">
        <v>4805.9</v>
      </c>
    </row>
    <row r="160">
      <c r="A160" s="4" t="inlineStr">
        <is>
          <t>保险费</t>
        </is>
      </c>
      <c r="D160" s="7" t="n">
        <v>98</v>
      </c>
      <c r="F160" s="7" t="n">
        <v>115.7</v>
      </c>
      <c r="H160" s="7" t="n">
        <v>241.7</v>
      </c>
      <c r="J160" s="7" t="n">
        <v>139.8</v>
      </c>
      <c r="L160" s="7" t="n">
        <v>226.5</v>
      </c>
      <c r="N160" s="7" t="n">
        <v>335</v>
      </c>
      <c r="P160" s="7" t="n">
        <v>362.2</v>
      </c>
      <c r="R160" s="7" t="n">
        <v>224.7</v>
      </c>
      <c r="T160" s="7" t="n">
        <v>327</v>
      </c>
      <c r="V160" s="7" t="n">
        <v>232</v>
      </c>
      <c r="X160" s="7" t="n">
        <v>181.1</v>
      </c>
      <c r="Z160" s="7" t="n">
        <v>67</v>
      </c>
      <c r="AB160" s="7" t="n">
        <v>2550.7</v>
      </c>
    </row>
    <row r="161">
      <c r="A161" s="4" t="inlineStr">
        <is>
          <t>清洁费</t>
        </is>
      </c>
      <c r="D161" s="7" t="n">
        <v>170.2</v>
      </c>
      <c r="F161" s="7" t="n">
        <v>159.6</v>
      </c>
      <c r="H161" s="7" t="n">
        <v>355.8</v>
      </c>
      <c r="J161" s="7" t="n">
        <v>200.6</v>
      </c>
      <c r="L161" s="7" t="n">
        <v>580.2</v>
      </c>
      <c r="N161" s="7" t="n">
        <v>586.9</v>
      </c>
      <c r="P161" s="7" t="n">
        <v>514.4</v>
      </c>
      <c r="R161" s="7" t="n">
        <v>462.7</v>
      </c>
      <c r="T161" s="7" t="n">
        <v>365.5</v>
      </c>
      <c r="V161" s="7" t="n">
        <v>510</v>
      </c>
      <c r="X161" s="7" t="n">
        <v>270.8</v>
      </c>
      <c r="Z161" s="7" t="n">
        <v>139.1</v>
      </c>
      <c r="AB161" s="7" t="n">
        <v>4315.8</v>
      </c>
    </row>
    <row r="162">
      <c r="A162" s="4" t="inlineStr">
        <is>
          <t>低值易耗品</t>
        </is>
      </c>
      <c r="D162" s="7" t="n">
        <v>93.59999999999999</v>
      </c>
      <c r="F162" s="7" t="n">
        <v>68.8</v>
      </c>
      <c r="H162" s="7" t="n">
        <v>162.9</v>
      </c>
      <c r="J162" s="7" t="n">
        <v>145.5</v>
      </c>
      <c r="L162" s="7" t="n">
        <v>160.1</v>
      </c>
      <c r="N162" s="7" t="n">
        <v>226.4</v>
      </c>
      <c r="P162" s="7" t="n">
        <v>361.5</v>
      </c>
      <c r="R162" s="7" t="n">
        <v>157.1</v>
      </c>
      <c r="T162" s="7" t="n">
        <v>176.5</v>
      </c>
      <c r="V162" s="7" t="n">
        <v>291.5</v>
      </c>
      <c r="X162" s="7" t="n">
        <v>128</v>
      </c>
      <c r="Z162" s="7" t="n">
        <v>75.2</v>
      </c>
      <c r="AB162" s="7" t="n">
        <v>2047.1</v>
      </c>
    </row>
    <row r="163">
      <c r="A163" s="4" t="inlineStr">
        <is>
          <t>物料消耗</t>
        </is>
      </c>
      <c r="D163" s="7" t="n">
        <v>14.6</v>
      </c>
      <c r="F163" s="7" t="n">
        <v>15.4</v>
      </c>
      <c r="H163" s="7" t="n">
        <v>30.6</v>
      </c>
      <c r="J163" s="7" t="n">
        <v>29.3</v>
      </c>
      <c r="L163" s="7" t="n">
        <v>39.4</v>
      </c>
      <c r="N163" s="7" t="n">
        <v>52.4</v>
      </c>
      <c r="P163" s="7" t="n">
        <v>68.2</v>
      </c>
      <c r="R163" s="7" t="n">
        <v>39.3</v>
      </c>
      <c r="T163" s="7" t="n">
        <v>48.4</v>
      </c>
      <c r="V163" s="7" t="n">
        <v>32.4</v>
      </c>
      <c r="X163" s="7" t="n">
        <v>27.9</v>
      </c>
      <c r="Z163" s="7" t="n">
        <v>11</v>
      </c>
      <c r="AB163" s="7" t="n">
        <v>408.9</v>
      </c>
    </row>
    <row r="164">
      <c r="A164" s="4" t="inlineStr">
        <is>
          <t>盘盈盘亏</t>
        </is>
      </c>
      <c r="D164" s="7" t="n">
        <v>113.3</v>
      </c>
      <c r="F164" s="7" t="n">
        <v>100.2</v>
      </c>
      <c r="H164" s="7" t="n">
        <v>136.7</v>
      </c>
      <c r="J164" s="7" t="n">
        <v>151.1</v>
      </c>
      <c r="L164" s="7" t="n">
        <v>265.5</v>
      </c>
      <c r="N164" s="7" t="n">
        <v>371.6</v>
      </c>
      <c r="P164" s="7" t="n">
        <v>448</v>
      </c>
      <c r="R164" s="7" t="n">
        <v>221.1</v>
      </c>
      <c r="T164" s="7" t="n">
        <v>287.7</v>
      </c>
      <c r="V164" s="7" t="n">
        <v>282.7</v>
      </c>
      <c r="X164" s="7" t="n">
        <v>133.2</v>
      </c>
      <c r="Z164" s="7" t="n">
        <v>84.2</v>
      </c>
      <c r="AB164" s="7" t="n">
        <v>2595.3</v>
      </c>
    </row>
    <row r="165">
      <c r="A165" s="4" t="inlineStr">
        <is>
          <t>平台服务费</t>
        </is>
      </c>
      <c r="D165" s="7" t="n">
        <v>5.6</v>
      </c>
      <c r="F165" s="7" t="n">
        <v>5.7</v>
      </c>
      <c r="H165" s="7" t="n">
        <v>10.6</v>
      </c>
      <c r="J165" s="7" t="n">
        <v>11.3</v>
      </c>
      <c r="L165" s="7" t="n">
        <v>12.4</v>
      </c>
      <c r="N165" s="7" t="n">
        <v>15.7</v>
      </c>
      <c r="P165" s="7" t="n">
        <v>26.5</v>
      </c>
      <c r="R165" s="7" t="n">
        <v>14.7</v>
      </c>
      <c r="T165" s="7" t="n">
        <v>22.7</v>
      </c>
      <c r="V165" s="7" t="n">
        <v>14.6</v>
      </c>
      <c r="X165" s="7" t="n">
        <v>7.5</v>
      </c>
      <c r="Z165" s="7" t="n">
        <v>6.2</v>
      </c>
      <c r="AB165" s="7" t="n">
        <v>153.5</v>
      </c>
    </row>
    <row r="166">
      <c r="A166" s="4" t="inlineStr">
        <is>
          <t>无形资产摊销</t>
        </is>
      </c>
      <c r="D166" s="7" t="n">
        <v>145.2</v>
      </c>
      <c r="F166" s="7" t="n">
        <v>69.59999999999999</v>
      </c>
      <c r="H166" s="7" t="n">
        <v>183.5</v>
      </c>
      <c r="J166" s="7" t="n">
        <v>117.9</v>
      </c>
      <c r="L166" s="7" t="n">
        <v>265.5</v>
      </c>
      <c r="N166" s="7" t="n">
        <v>350.3</v>
      </c>
      <c r="P166" s="7" t="n">
        <v>455.9</v>
      </c>
      <c r="R166" s="7" t="n">
        <v>246.9</v>
      </c>
      <c r="T166" s="7" t="n">
        <v>359.5</v>
      </c>
      <c r="V166" s="7" t="n">
        <v>348</v>
      </c>
      <c r="X166" s="7" t="n">
        <v>129</v>
      </c>
      <c r="Z166" s="7" t="n">
        <v>67.8</v>
      </c>
      <c r="AB166" s="7" t="n">
        <v>2739.1</v>
      </c>
    </row>
    <row r="167">
      <c r="A167" s="4" t="inlineStr">
        <is>
          <t>研发材料</t>
        </is>
      </c>
      <c r="D167" s="7" t="n">
        <v>11.3</v>
      </c>
      <c r="F167" s="7" t="n">
        <v>13.3</v>
      </c>
      <c r="H167" s="7" t="n">
        <v>17</v>
      </c>
      <c r="J167" s="7" t="n">
        <v>25.8</v>
      </c>
      <c r="L167" s="7" t="n">
        <v>36.5</v>
      </c>
      <c r="N167" s="7" t="n">
        <v>39.1</v>
      </c>
      <c r="P167" s="7" t="n">
        <v>45</v>
      </c>
      <c r="R167" s="7" t="n">
        <v>27</v>
      </c>
      <c r="T167" s="7" t="n">
        <v>34.8</v>
      </c>
      <c r="V167" s="7" t="n">
        <v>30</v>
      </c>
      <c r="X167" s="7" t="n">
        <v>22.5</v>
      </c>
      <c r="Z167" s="7" t="n">
        <v>7.9</v>
      </c>
      <c r="AB167" s="7" t="n">
        <v>310.2</v>
      </c>
    </row>
    <row r="168">
      <c r="A168" s="4" t="inlineStr">
        <is>
          <t>项目名称</t>
        </is>
      </c>
      <c r="D168" s="7" t="n">
        <v>204.7</v>
      </c>
      <c r="F168" s="7" t="n">
        <v>148.9</v>
      </c>
      <c r="H168" s="7" t="n">
        <v>377.1</v>
      </c>
      <c r="J168" s="7" t="n">
        <v>357.7</v>
      </c>
      <c r="L168" s="7" t="n">
        <v>519.3</v>
      </c>
      <c r="N168" s="7" t="n">
        <v>459.6</v>
      </c>
      <c r="P168" s="7" t="n">
        <v>719.4</v>
      </c>
      <c r="R168" s="7" t="n">
        <v>473.8</v>
      </c>
      <c r="T168" s="7" t="n">
        <v>536.2</v>
      </c>
      <c r="V168" s="7" t="n">
        <v>601.6</v>
      </c>
      <c r="X168" s="7" t="n">
        <v>311.5</v>
      </c>
      <c r="Z168" s="7" t="n">
        <v>138.5</v>
      </c>
      <c r="AB168" s="7" t="n">
        <v>4848.3</v>
      </c>
    </row>
    <row r="169">
      <c r="A169" s="4" t="inlineStr">
        <is>
          <t>研发费</t>
        </is>
      </c>
      <c r="D169" s="7" t="n">
        <v>236.8</v>
      </c>
      <c r="F169" s="7" t="n">
        <v>157.8</v>
      </c>
      <c r="H169" s="7" t="n">
        <v>259.2</v>
      </c>
      <c r="J169" s="7" t="n">
        <v>382.3</v>
      </c>
      <c r="L169" s="7" t="n">
        <v>443.4</v>
      </c>
      <c r="N169" s="7" t="n">
        <v>524.6</v>
      </c>
      <c r="P169" s="7" t="n">
        <v>496.8</v>
      </c>
      <c r="R169" s="7" t="n">
        <v>563.4</v>
      </c>
      <c r="T169" s="7" t="n">
        <v>722.2</v>
      </c>
      <c r="V169" s="7" t="n">
        <v>502.4</v>
      </c>
      <c r="X169" s="7" t="n">
        <v>312.7</v>
      </c>
      <c r="Z169" s="7" t="n">
        <v>126</v>
      </c>
      <c r="AB169" s="7" t="n">
        <v>4727.6</v>
      </c>
    </row>
    <row r="170">
      <c r="A170" s="4" t="inlineStr">
        <is>
          <t>残保金</t>
        </is>
      </c>
      <c r="D170" s="7" t="n">
        <v>74.40000000000001</v>
      </c>
      <c r="F170" s="7" t="n">
        <v>60.8</v>
      </c>
      <c r="H170" s="7" t="n">
        <v>69.90000000000001</v>
      </c>
      <c r="J170" s="7" t="n">
        <v>102</v>
      </c>
      <c r="L170" s="7" t="n">
        <v>137.8</v>
      </c>
      <c r="N170" s="7" t="n">
        <v>191.4</v>
      </c>
      <c r="P170" s="7" t="n">
        <v>249.1</v>
      </c>
      <c r="R170" s="7" t="n">
        <v>164.7</v>
      </c>
      <c r="T170" s="7" t="n">
        <v>116.2</v>
      </c>
      <c r="V170" s="7" t="n">
        <v>181.1</v>
      </c>
      <c r="X170" s="7" t="n">
        <v>75.3</v>
      </c>
      <c r="Z170" s="7" t="n">
        <v>52.9</v>
      </c>
      <c r="AB170" s="7" t="n">
        <v>1475.6</v>
      </c>
    </row>
    <row r="171">
      <c r="A171" s="4" t="inlineStr">
        <is>
          <t>环保费</t>
        </is>
      </c>
      <c r="D171" s="7" t="n">
        <v>258.5</v>
      </c>
      <c r="F171" s="7" t="n">
        <v>184.6</v>
      </c>
      <c r="H171" s="7" t="n">
        <v>291.2</v>
      </c>
      <c r="J171" s="7" t="n">
        <v>399.1</v>
      </c>
      <c r="L171" s="7" t="n">
        <v>578.6</v>
      </c>
      <c r="N171" s="7" t="n">
        <v>691.6</v>
      </c>
      <c r="P171" s="7" t="n">
        <v>641.5</v>
      </c>
      <c r="R171" s="7" t="n">
        <v>457.5</v>
      </c>
      <c r="T171" s="7" t="n">
        <v>539</v>
      </c>
      <c r="V171" s="7" t="n">
        <v>682</v>
      </c>
      <c r="X171" s="7" t="n">
        <v>304.3</v>
      </c>
      <c r="Z171" s="7" t="n">
        <v>130.5</v>
      </c>
      <c r="AB171" s="7" t="n">
        <v>5158.4</v>
      </c>
    </row>
    <row r="172">
      <c r="A172" s="4" t="inlineStr">
        <is>
          <t>报废损失</t>
        </is>
      </c>
      <c r="D172" s="7" t="n">
        <v>193</v>
      </c>
      <c r="F172" s="7" t="n">
        <v>191.1</v>
      </c>
      <c r="H172" s="7" t="n">
        <v>303.9</v>
      </c>
      <c r="J172" s="7" t="n">
        <v>353.2</v>
      </c>
      <c r="L172" s="7" t="n">
        <v>459</v>
      </c>
      <c r="N172" s="7" t="n">
        <v>580</v>
      </c>
      <c r="P172" s="7" t="n">
        <v>888.8</v>
      </c>
      <c r="R172" s="7" t="n">
        <v>412.5</v>
      </c>
      <c r="T172" s="7" t="n">
        <v>507.8</v>
      </c>
      <c r="V172" s="7" t="n">
        <v>422.8</v>
      </c>
      <c r="X172" s="7" t="n">
        <v>199.1</v>
      </c>
      <c r="Z172" s="7" t="n">
        <v>133.8</v>
      </c>
      <c r="AB172" s="7" t="n">
        <v>4645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35290</v>
      </c>
      <c r="D173" s="7" t="n">
        <v>11623.9</v>
      </c>
      <c r="E173" s="7" t="n">
        <v>36266.8</v>
      </c>
      <c r="F173" s="7" t="n">
        <v>29741.9</v>
      </c>
      <c r="G173" s="7" t="n">
        <v>38579.7</v>
      </c>
      <c r="H173" s="7" t="n">
        <v>17418.9</v>
      </c>
      <c r="I173" s="7" t="n">
        <v>38460</v>
      </c>
      <c r="J173" s="7" t="n">
        <v>33043.7</v>
      </c>
      <c r="K173" s="7" t="n">
        <v>31771.1</v>
      </c>
      <c r="L173" s="7" t="n">
        <v>23945.1</v>
      </c>
      <c r="M173" s="7" t="n">
        <v>39077.2</v>
      </c>
      <c r="N173" s="7" t="n">
        <v>48963.5</v>
      </c>
      <c r="O173" s="7" t="n">
        <v>35536.8</v>
      </c>
      <c r="P173" s="7" t="n">
        <v>44972.2</v>
      </c>
      <c r="Q173" s="7" t="n">
        <v>34406</v>
      </c>
      <c r="R173" s="7" t="n">
        <v>45125.2</v>
      </c>
      <c r="S173" s="7" t="n">
        <v>33800.6</v>
      </c>
      <c r="T173" s="7" t="n">
        <v>63182.2</v>
      </c>
      <c r="U173" s="7" t="n">
        <v>39253.1</v>
      </c>
      <c r="V173" s="7" t="n">
        <v>66043.3</v>
      </c>
      <c r="W173" s="7" t="n">
        <v>36721.5</v>
      </c>
      <c r="X173" s="7" t="n">
        <v>31983.2</v>
      </c>
      <c r="Y173" s="7" t="n">
        <v>32712.8</v>
      </c>
      <c r="Z173" s="7" t="n">
        <v>15414.9</v>
      </c>
      <c r="AA173" s="8" t="n">
        <v>431875.6</v>
      </c>
      <c r="AB173" s="8" t="n">
        <v>431458</v>
      </c>
    </row>
    <row r="174">
      <c r="A174" s="4" t="inlineStr">
        <is>
          <t>职工薪酬</t>
        </is>
      </c>
      <c r="D174" s="7" t="n">
        <v>5709.5</v>
      </c>
      <c r="F174" s="7" t="n">
        <v>16500.4</v>
      </c>
      <c r="H174" s="7" t="n">
        <v>9831.700000000001</v>
      </c>
      <c r="J174" s="7" t="n">
        <v>21186.4</v>
      </c>
      <c r="L174" s="7" t="n">
        <v>12024.4</v>
      </c>
      <c r="N174" s="7" t="n">
        <v>19775.7</v>
      </c>
      <c r="P174" s="7" t="n">
        <v>21900.2</v>
      </c>
      <c r="R174" s="7" t="n">
        <v>21976</v>
      </c>
      <c r="T174" s="7" t="n">
        <v>28546.8</v>
      </c>
      <c r="V174" s="7" t="n">
        <v>37827.1</v>
      </c>
      <c r="X174" s="7" t="n">
        <v>13246.8</v>
      </c>
      <c r="Z174" s="7" t="n">
        <v>9235.799999999999</v>
      </c>
      <c r="AB174" s="7" t="n">
        <v>217760.8</v>
      </c>
    </row>
    <row r="175">
      <c r="A175" s="4" t="inlineStr">
        <is>
          <t>工资</t>
        </is>
      </c>
      <c r="D175" s="7" t="n">
        <v>2942.4</v>
      </c>
      <c r="F175" s="7" t="n">
        <v>9695.1</v>
      </c>
      <c r="H175" s="7" t="n">
        <v>6537.7</v>
      </c>
      <c r="J175" s="7" t="n">
        <v>12770.5</v>
      </c>
      <c r="L175" s="7" t="n">
        <v>6869.4</v>
      </c>
      <c r="N175" s="7" t="n">
        <v>10612.3</v>
      </c>
      <c r="P175" s="7" t="n">
        <v>13284.7</v>
      </c>
      <c r="R175" s="7" t="n">
        <v>13821.4</v>
      </c>
      <c r="T175" s="7" t="n">
        <v>15259.4</v>
      </c>
      <c r="V175" s="7" t="n">
        <v>24729.9</v>
      </c>
      <c r="X175" s="7" t="n">
        <v>7109.8</v>
      </c>
      <c r="Z175" s="7" t="n">
        <v>5441.3</v>
      </c>
      <c r="AB175" s="7" t="n">
        <v>129073.9</v>
      </c>
    </row>
    <row r="176">
      <c r="A176" s="4" t="inlineStr">
        <is>
          <t>奖金及提成</t>
        </is>
      </c>
      <c r="D176" s="7" t="n">
        <v>1148.4</v>
      </c>
      <c r="F176" s="7" t="n">
        <v>2930</v>
      </c>
      <c r="H176" s="7" t="n">
        <v>1229.4</v>
      </c>
      <c r="J176" s="7" t="n">
        <v>3953.1</v>
      </c>
      <c r="L176" s="7" t="n">
        <v>2300.8</v>
      </c>
      <c r="N176" s="7" t="n">
        <v>4355.7</v>
      </c>
      <c r="P176" s="7" t="n">
        <v>3317</v>
      </c>
      <c r="R176" s="7" t="n">
        <v>3650.3</v>
      </c>
      <c r="T176" s="7" t="n">
        <v>6110.4</v>
      </c>
      <c r="V176" s="7" t="n">
        <v>5834.5</v>
      </c>
      <c r="X176" s="7" t="n">
        <v>2865.8</v>
      </c>
      <c r="Z176" s="7" t="n">
        <v>1690.3</v>
      </c>
      <c r="AB176" s="7" t="n">
        <v>39385.7</v>
      </c>
    </row>
    <row r="177">
      <c r="A177" s="4" t="inlineStr">
        <is>
          <t>社保</t>
        </is>
      </c>
      <c r="D177" s="7" t="n">
        <v>1167.9</v>
      </c>
      <c r="F177" s="7" t="n">
        <v>2706.2</v>
      </c>
      <c r="H177" s="7" t="n">
        <v>1379</v>
      </c>
      <c r="J177" s="7" t="n">
        <v>3128.5</v>
      </c>
      <c r="L177" s="7" t="n">
        <v>1929.2</v>
      </c>
      <c r="N177" s="7" t="n">
        <v>2980.6</v>
      </c>
      <c r="P177" s="7" t="n">
        <v>3737.1</v>
      </c>
      <c r="R177" s="7" t="n">
        <v>2759.6</v>
      </c>
      <c r="T177" s="7" t="n">
        <v>4826.7</v>
      </c>
      <c r="V177" s="7" t="n">
        <v>5214.9</v>
      </c>
      <c r="X177" s="7" t="n">
        <v>2240.2</v>
      </c>
      <c r="Z177" s="7" t="n">
        <v>1506.5</v>
      </c>
      <c r="AB177" s="7" t="n">
        <v>33576.4</v>
      </c>
    </row>
    <row r="178">
      <c r="A178" s="4" t="inlineStr">
        <is>
          <t>养老</t>
        </is>
      </c>
      <c r="D178" s="7" t="n">
        <v>43.2</v>
      </c>
      <c r="F178" s="7" t="n">
        <v>93.5</v>
      </c>
      <c r="H178" s="7" t="n">
        <v>52.6</v>
      </c>
      <c r="J178" s="7" t="n">
        <v>85.8</v>
      </c>
      <c r="L178" s="7" t="n">
        <v>92.40000000000001</v>
      </c>
      <c r="N178" s="7" t="n">
        <v>167.9</v>
      </c>
      <c r="P178" s="7" t="n">
        <v>108.2</v>
      </c>
      <c r="R178" s="7" t="n">
        <v>130.2</v>
      </c>
      <c r="T178" s="7" t="n">
        <v>169.9</v>
      </c>
      <c r="V178" s="7" t="n">
        <v>201.6</v>
      </c>
      <c r="X178" s="7" t="n">
        <v>109.6</v>
      </c>
      <c r="Z178" s="7" t="n">
        <v>52.5</v>
      </c>
      <c r="AB178" s="7" t="n">
        <v>1307.4</v>
      </c>
    </row>
    <row r="179">
      <c r="A179" s="4" t="inlineStr">
        <is>
          <t>医疗</t>
        </is>
      </c>
      <c r="D179" s="7" t="n">
        <v>73</v>
      </c>
      <c r="F179" s="7" t="n">
        <v>166</v>
      </c>
      <c r="H179" s="7" t="n">
        <v>130.2</v>
      </c>
      <c r="J179" s="7" t="n">
        <v>174.2</v>
      </c>
      <c r="L179" s="7" t="n">
        <v>148.7</v>
      </c>
      <c r="N179" s="7" t="n">
        <v>298.2</v>
      </c>
      <c r="P179" s="7" t="n">
        <v>307.7</v>
      </c>
      <c r="R179" s="7" t="n">
        <v>292.9</v>
      </c>
      <c r="T179" s="7" t="n">
        <v>282.5</v>
      </c>
      <c r="V179" s="7" t="n">
        <v>392.3</v>
      </c>
      <c r="X179" s="7" t="n">
        <v>192.4</v>
      </c>
      <c r="Z179" s="7" t="n">
        <v>88.7</v>
      </c>
      <c r="AB179" s="7" t="n">
        <v>2546.8</v>
      </c>
    </row>
    <row r="180">
      <c r="A180" s="4" t="inlineStr">
        <is>
          <t>工伤</t>
        </is>
      </c>
      <c r="D180" s="7" t="n">
        <v>44.8</v>
      </c>
      <c r="F180" s="7" t="n">
        <v>94.59999999999999</v>
      </c>
      <c r="H180" s="7" t="n">
        <v>83</v>
      </c>
      <c r="J180" s="7" t="n">
        <v>140.8</v>
      </c>
      <c r="L180" s="7" t="n">
        <v>72.40000000000001</v>
      </c>
      <c r="N180" s="7" t="n">
        <v>208.1</v>
      </c>
      <c r="P180" s="7" t="n">
        <v>174.4</v>
      </c>
      <c r="R180" s="7" t="n">
        <v>161.6</v>
      </c>
      <c r="T180" s="7" t="n">
        <v>242.4</v>
      </c>
      <c r="V180" s="7" t="n">
        <v>310.8</v>
      </c>
      <c r="X180" s="7" t="n">
        <v>97.09999999999999</v>
      </c>
      <c r="Z180" s="7" t="n">
        <v>51.2</v>
      </c>
      <c r="AB180" s="7" t="n">
        <v>1681.2</v>
      </c>
    </row>
    <row r="181">
      <c r="A181" s="4" t="inlineStr">
        <is>
          <t>失业</t>
        </is>
      </c>
      <c r="D181" s="7" t="n">
        <v>26.7</v>
      </c>
      <c r="F181" s="7" t="n">
        <v>63</v>
      </c>
      <c r="H181" s="7" t="n">
        <v>27.8</v>
      </c>
      <c r="J181" s="7" t="n">
        <v>69</v>
      </c>
      <c r="L181" s="7" t="n">
        <v>53.9</v>
      </c>
      <c r="N181" s="7" t="n">
        <v>98</v>
      </c>
      <c r="P181" s="7" t="n">
        <v>92.7</v>
      </c>
      <c r="R181" s="7" t="n">
        <v>86</v>
      </c>
      <c r="T181" s="7" t="n">
        <v>110.5</v>
      </c>
      <c r="V181" s="7" t="n">
        <v>124.3</v>
      </c>
      <c r="X181" s="7" t="n">
        <v>71.2</v>
      </c>
      <c r="Z181" s="7" t="n">
        <v>33.4</v>
      </c>
      <c r="AB181" s="7" t="n">
        <v>856.5</v>
      </c>
    </row>
    <row r="182">
      <c r="A182" s="4" t="inlineStr">
        <is>
          <t>生育</t>
        </is>
      </c>
      <c r="D182" s="7" t="n">
        <v>60.8</v>
      </c>
      <c r="F182" s="7" t="n">
        <v>195.4</v>
      </c>
      <c r="H182" s="7" t="n">
        <v>92.40000000000001</v>
      </c>
      <c r="J182" s="7" t="n">
        <v>195.1</v>
      </c>
      <c r="L182" s="7" t="n">
        <v>177.1</v>
      </c>
      <c r="N182" s="7" t="n">
        <v>327.2</v>
      </c>
      <c r="P182" s="7" t="n">
        <v>316.4</v>
      </c>
      <c r="R182" s="7" t="n">
        <v>192.4</v>
      </c>
      <c r="T182" s="7" t="n">
        <v>289.8</v>
      </c>
      <c r="V182" s="7" t="n">
        <v>371.7</v>
      </c>
      <c r="X182" s="7" t="n">
        <v>196</v>
      </c>
      <c r="Z182" s="7" t="n">
        <v>102.4</v>
      </c>
      <c r="AB182" s="7" t="n">
        <v>2516.7</v>
      </c>
    </row>
    <row r="183">
      <c r="A183" s="4" t="inlineStr">
        <is>
          <t>公积金</t>
        </is>
      </c>
      <c r="D183" s="7" t="n">
        <v>57.5</v>
      </c>
      <c r="F183" s="7" t="n">
        <v>143.5</v>
      </c>
      <c r="H183" s="7" t="n">
        <v>83.7</v>
      </c>
      <c r="J183" s="7" t="n">
        <v>157.3</v>
      </c>
      <c r="L183" s="7" t="n">
        <v>84.09999999999999</v>
      </c>
      <c r="N183" s="7" t="n">
        <v>200.3</v>
      </c>
      <c r="P183" s="7" t="n">
        <v>194.7</v>
      </c>
      <c r="R183" s="7" t="n">
        <v>224.3</v>
      </c>
      <c r="T183" s="7" t="n">
        <v>245.1</v>
      </c>
      <c r="V183" s="7" t="n">
        <v>197.7</v>
      </c>
      <c r="X183" s="7" t="n">
        <v>90.5</v>
      </c>
      <c r="Z183" s="7" t="n">
        <v>55.2</v>
      </c>
      <c r="AB183" s="7" t="n">
        <v>1733.9</v>
      </c>
    </row>
    <row r="184">
      <c r="A184" s="4" t="inlineStr">
        <is>
          <t>工会经费</t>
        </is>
      </c>
      <c r="D184" s="7" t="n">
        <v>38.9</v>
      </c>
      <c r="F184" s="7" t="n">
        <v>144.9</v>
      </c>
      <c r="H184" s="7" t="n">
        <v>83.2</v>
      </c>
      <c r="J184" s="7" t="n">
        <v>149.3</v>
      </c>
      <c r="L184" s="7" t="n">
        <v>107</v>
      </c>
      <c r="N184" s="7" t="n">
        <v>219.4</v>
      </c>
      <c r="P184" s="7" t="n">
        <v>141</v>
      </c>
      <c r="R184" s="7" t="n">
        <v>171.4</v>
      </c>
      <c r="T184" s="7" t="n">
        <v>294.5</v>
      </c>
      <c r="V184" s="7" t="n">
        <v>254.9</v>
      </c>
      <c r="X184" s="7" t="n">
        <v>113.8</v>
      </c>
      <c r="Z184" s="7" t="n">
        <v>59.5</v>
      </c>
      <c r="AB184" s="7" t="n">
        <v>1777.8</v>
      </c>
    </row>
    <row r="185">
      <c r="A185" s="4" t="inlineStr">
        <is>
          <t>职工教育经费</t>
        </is>
      </c>
      <c r="D185" s="7" t="n">
        <v>7.2</v>
      </c>
      <c r="F185" s="7" t="n">
        <v>17.5</v>
      </c>
      <c r="H185" s="7" t="n">
        <v>7.8</v>
      </c>
      <c r="J185" s="7" t="n">
        <v>18</v>
      </c>
      <c r="L185" s="7" t="n">
        <v>15</v>
      </c>
      <c r="N185" s="7" t="n">
        <v>32.2</v>
      </c>
      <c r="P185" s="7" t="n">
        <v>18.8</v>
      </c>
      <c r="R185" s="7" t="n">
        <v>18.4</v>
      </c>
      <c r="T185" s="7" t="n">
        <v>29.1</v>
      </c>
      <c r="V185" s="7" t="n">
        <v>46.4</v>
      </c>
      <c r="X185" s="7" t="n">
        <v>17.3</v>
      </c>
      <c r="Z185" s="7" t="n">
        <v>8.6</v>
      </c>
      <c r="AB185" s="7" t="n">
        <v>236.3</v>
      </c>
    </row>
    <row r="186">
      <c r="A186" s="4" t="inlineStr">
        <is>
          <t>福利费</t>
        </is>
      </c>
      <c r="D186" s="7" t="n">
        <v>347.2</v>
      </c>
      <c r="F186" s="7" t="n">
        <v>863.2</v>
      </c>
      <c r="H186" s="7" t="n">
        <v>510.9</v>
      </c>
      <c r="J186" s="7" t="n">
        <v>1009.7</v>
      </c>
      <c r="L186" s="7" t="n">
        <v>718.9</v>
      </c>
      <c r="N186" s="7" t="n">
        <v>1375.2</v>
      </c>
      <c r="P186" s="7" t="n">
        <v>1206.9</v>
      </c>
      <c r="R186" s="7" t="n">
        <v>1330.6</v>
      </c>
      <c r="T186" s="7" t="n">
        <v>1781.6</v>
      </c>
      <c r="V186" s="7" t="n">
        <v>1548.8</v>
      </c>
      <c r="X186" s="7" t="n">
        <v>809.4</v>
      </c>
      <c r="Z186" s="7" t="n">
        <v>474.4</v>
      </c>
      <c r="AB186" s="7" t="n">
        <v>11976.8</v>
      </c>
    </row>
    <row r="187">
      <c r="A187" s="4" t="inlineStr">
        <is>
          <t>职工房租</t>
        </is>
      </c>
      <c r="D187" s="7" t="n">
        <v>35.5</v>
      </c>
      <c r="F187" s="7" t="n">
        <v>80.09999999999999</v>
      </c>
      <c r="H187" s="7" t="n">
        <v>40.1</v>
      </c>
      <c r="J187" s="7" t="n">
        <v>117.4</v>
      </c>
      <c r="L187" s="7" t="n">
        <v>87.7</v>
      </c>
      <c r="N187" s="7" t="n">
        <v>150.3</v>
      </c>
      <c r="P187" s="7" t="n">
        <v>109.3</v>
      </c>
      <c r="R187" s="7" t="n">
        <v>154.6</v>
      </c>
      <c r="T187" s="7" t="n">
        <v>139</v>
      </c>
      <c r="V187" s="7" t="n">
        <v>230.9</v>
      </c>
      <c r="X187" s="7" t="n">
        <v>82.90000000000001</v>
      </c>
      <c r="Z187" s="7" t="n">
        <v>45.1</v>
      </c>
      <c r="AB187" s="7" t="n">
        <v>1272.9</v>
      </c>
    </row>
    <row r="188">
      <c r="A188" s="4" t="inlineStr">
        <is>
          <t>水电物业费</t>
        </is>
      </c>
      <c r="D188" s="7" t="n">
        <v>66</v>
      </c>
      <c r="F188" s="7" t="n">
        <v>143.3</v>
      </c>
      <c r="H188" s="7" t="n">
        <v>98.59999999999999</v>
      </c>
      <c r="J188" s="7" t="n">
        <v>188.9</v>
      </c>
      <c r="L188" s="7" t="n">
        <v>129.8</v>
      </c>
      <c r="N188" s="7" t="n">
        <v>197</v>
      </c>
      <c r="P188" s="7" t="n">
        <v>244.5</v>
      </c>
      <c r="R188" s="7" t="n">
        <v>158.2</v>
      </c>
      <c r="T188" s="7" t="n">
        <v>356.7</v>
      </c>
      <c r="V188" s="7" t="n">
        <v>251.4</v>
      </c>
      <c r="X188" s="7" t="n">
        <v>133</v>
      </c>
      <c r="Z188" s="7" t="n">
        <v>79.7</v>
      </c>
      <c r="AB188" s="7" t="n">
        <v>2047.1</v>
      </c>
    </row>
    <row r="189">
      <c r="A189" s="4" t="inlineStr">
        <is>
          <t>员工餐</t>
        </is>
      </c>
      <c r="D189" s="7" t="n">
        <v>1</v>
      </c>
      <c r="F189" s="7" t="n">
        <v>2.1</v>
      </c>
      <c r="H189" s="7" t="n">
        <v>1.4</v>
      </c>
      <c r="J189" s="7" t="n">
        <v>2.9</v>
      </c>
      <c r="L189" s="7" t="n">
        <v>1.4</v>
      </c>
      <c r="N189" s="7" t="n">
        <v>3.6</v>
      </c>
      <c r="P189" s="7" t="n">
        <v>2.7</v>
      </c>
      <c r="R189" s="7" t="n">
        <v>2.4</v>
      </c>
      <c r="T189" s="7" t="n">
        <v>4.9</v>
      </c>
      <c r="V189" s="7" t="n">
        <v>3.3</v>
      </c>
      <c r="X189" s="7" t="n">
        <v>1.6</v>
      </c>
      <c r="Z189" s="7" t="n">
        <v>1.1</v>
      </c>
      <c r="AB189" s="7" t="n">
        <v>28.4</v>
      </c>
    </row>
    <row r="190">
      <c r="A190" s="4" t="inlineStr">
        <is>
          <t>节日礼品</t>
        </is>
      </c>
      <c r="D190" s="7" t="n">
        <v>74.2</v>
      </c>
      <c r="F190" s="7" t="n">
        <v>195.5</v>
      </c>
      <c r="H190" s="7" t="n">
        <v>106.7</v>
      </c>
      <c r="J190" s="7" t="n">
        <v>129.9</v>
      </c>
      <c r="L190" s="7" t="n">
        <v>116.3</v>
      </c>
      <c r="N190" s="7" t="n">
        <v>325.7</v>
      </c>
      <c r="P190" s="7" t="n">
        <v>214.4</v>
      </c>
      <c r="R190" s="7" t="n">
        <v>276</v>
      </c>
      <c r="T190" s="7" t="n">
        <v>282.1</v>
      </c>
      <c r="V190" s="7" t="n">
        <v>265.5</v>
      </c>
      <c r="X190" s="7" t="n">
        <v>157</v>
      </c>
      <c r="Z190" s="7" t="n">
        <v>93.40000000000001</v>
      </c>
      <c r="AB190" s="7" t="n">
        <v>2236.7</v>
      </c>
    </row>
    <row r="191">
      <c r="A191" s="4" t="inlineStr">
        <is>
          <t>生日礼品</t>
        </is>
      </c>
      <c r="D191" s="7" t="n">
        <v>59.9</v>
      </c>
      <c r="F191" s="7" t="n">
        <v>142.4</v>
      </c>
      <c r="H191" s="7" t="n">
        <v>84.59999999999999</v>
      </c>
      <c r="J191" s="7" t="n">
        <v>213</v>
      </c>
      <c r="L191" s="7" t="n">
        <v>92.40000000000001</v>
      </c>
      <c r="N191" s="7" t="n">
        <v>281.5</v>
      </c>
      <c r="P191" s="7" t="n">
        <v>233.4</v>
      </c>
      <c r="R191" s="7" t="n">
        <v>246.8</v>
      </c>
      <c r="T191" s="7" t="n">
        <v>339.4</v>
      </c>
      <c r="V191" s="7" t="n">
        <v>281.3</v>
      </c>
      <c r="X191" s="7" t="n">
        <v>139.5</v>
      </c>
      <c r="Z191" s="7" t="n">
        <v>85.2</v>
      </c>
      <c r="AB191" s="7" t="n">
        <v>2199.4</v>
      </c>
    </row>
    <row r="192">
      <c r="A192" s="4" t="inlineStr">
        <is>
          <t>体检</t>
        </is>
      </c>
      <c r="D192" s="7" t="n">
        <v>57.8</v>
      </c>
      <c r="F192" s="7" t="n">
        <v>141</v>
      </c>
      <c r="H192" s="7" t="n">
        <v>103.4</v>
      </c>
      <c r="J192" s="7" t="n">
        <v>196.2</v>
      </c>
      <c r="L192" s="7" t="n">
        <v>133.3</v>
      </c>
      <c r="N192" s="7" t="n">
        <v>216.7</v>
      </c>
      <c r="P192" s="7" t="n">
        <v>191.1</v>
      </c>
      <c r="R192" s="7" t="n">
        <v>265.4</v>
      </c>
      <c r="T192" s="7" t="n">
        <v>283.1</v>
      </c>
      <c r="V192" s="7" t="n">
        <v>258.6</v>
      </c>
      <c r="X192" s="7" t="n">
        <v>161.1</v>
      </c>
      <c r="Z192" s="7" t="n">
        <v>86.59999999999999</v>
      </c>
      <c r="AB192" s="7" t="n">
        <v>2094.3</v>
      </c>
    </row>
    <row r="193">
      <c r="A193" s="4" t="inlineStr">
        <is>
          <t>其他福利支出</t>
        </is>
      </c>
      <c r="D193" s="7" t="n">
        <v>52.8</v>
      </c>
      <c r="F193" s="7" t="n">
        <v>158.8</v>
      </c>
      <c r="H193" s="7" t="n">
        <v>76.09999999999999</v>
      </c>
      <c r="J193" s="7" t="n">
        <v>161.4</v>
      </c>
      <c r="L193" s="7" t="n">
        <v>158</v>
      </c>
      <c r="N193" s="7" t="n">
        <v>200.4</v>
      </c>
      <c r="P193" s="7" t="n">
        <v>211.5</v>
      </c>
      <c r="R193" s="7" t="n">
        <v>227.2</v>
      </c>
      <c r="T193" s="7" t="n">
        <v>376.4</v>
      </c>
      <c r="V193" s="7" t="n">
        <v>257.8</v>
      </c>
      <c r="X193" s="7" t="n">
        <v>134.3</v>
      </c>
      <c r="Z193" s="7" t="n">
        <v>83.3</v>
      </c>
      <c r="AB193" s="7" t="n">
        <v>2098</v>
      </c>
    </row>
    <row r="194">
      <c r="A194" s="4" t="inlineStr">
        <is>
          <t>招聘费</t>
        </is>
      </c>
      <c r="D194" s="7" t="n">
        <v>18.1</v>
      </c>
      <c r="F194" s="7" t="n">
        <v>45.6</v>
      </c>
      <c r="H194" s="7" t="n">
        <v>33.3</v>
      </c>
      <c r="J194" s="7" t="n">
        <v>53.4</v>
      </c>
      <c r="L194" s="7" t="n">
        <v>35.9</v>
      </c>
      <c r="N194" s="7" t="n">
        <v>89.3</v>
      </c>
      <c r="P194" s="7" t="n">
        <v>65.59999999999999</v>
      </c>
      <c r="R194" s="7" t="n">
        <v>49.9</v>
      </c>
      <c r="T194" s="7" t="n">
        <v>124.1</v>
      </c>
      <c r="V194" s="7" t="n">
        <v>91.09999999999999</v>
      </c>
      <c r="X194" s="7" t="n">
        <v>51</v>
      </c>
      <c r="Z194" s="7" t="n">
        <v>22.5</v>
      </c>
      <c r="AB194" s="7" t="n">
        <v>679.8</v>
      </c>
    </row>
    <row r="195">
      <c r="A195" s="4" t="inlineStr">
        <is>
          <t>办公费</t>
        </is>
      </c>
      <c r="D195" s="7" t="n">
        <v>297.4</v>
      </c>
      <c r="F195" s="7" t="n">
        <v>661.4</v>
      </c>
      <c r="H195" s="7" t="n">
        <v>586.8</v>
      </c>
      <c r="J195" s="7" t="n">
        <v>939.1</v>
      </c>
      <c r="L195" s="7" t="n">
        <v>517.9</v>
      </c>
      <c r="N195" s="7" t="n">
        <v>1120.6</v>
      </c>
      <c r="P195" s="7" t="n">
        <v>1753.2</v>
      </c>
      <c r="R195" s="7" t="n">
        <v>1322.7</v>
      </c>
      <c r="T195" s="7" t="n">
        <v>2405.9</v>
      </c>
      <c r="V195" s="7" t="n">
        <v>2141.3</v>
      </c>
      <c r="X195" s="7" t="n">
        <v>789.5</v>
      </c>
      <c r="Z195" s="7" t="n">
        <v>472.3</v>
      </c>
      <c r="AB195" s="7" t="n">
        <v>13008.1</v>
      </c>
    </row>
    <row r="196">
      <c r="A196" s="4" t="inlineStr">
        <is>
          <t>市内交通费</t>
        </is>
      </c>
      <c r="D196" s="7" t="n">
        <v>78</v>
      </c>
      <c r="F196" s="7" t="n">
        <v>150.9</v>
      </c>
      <c r="H196" s="7" t="n">
        <v>80.3</v>
      </c>
      <c r="J196" s="7" t="n">
        <v>227.8</v>
      </c>
      <c r="L196" s="7" t="n">
        <v>164.2</v>
      </c>
      <c r="N196" s="7" t="n">
        <v>189.8</v>
      </c>
      <c r="P196" s="7" t="n">
        <v>265.8</v>
      </c>
      <c r="R196" s="7" t="n">
        <v>248.9</v>
      </c>
      <c r="T196" s="7" t="n">
        <v>264.8</v>
      </c>
      <c r="V196" s="7" t="n">
        <v>456.4</v>
      </c>
      <c r="X196" s="7" t="n">
        <v>121</v>
      </c>
      <c r="Z196" s="7" t="n">
        <v>65</v>
      </c>
      <c r="AB196" s="7" t="n">
        <v>2312.9</v>
      </c>
    </row>
    <row r="197">
      <c r="A197" s="4" t="inlineStr">
        <is>
          <t>差旅费</t>
        </is>
      </c>
      <c r="D197" s="7" t="n">
        <v>663.8</v>
      </c>
      <c r="F197" s="7" t="n">
        <v>1701.2</v>
      </c>
      <c r="H197" s="7" t="n">
        <v>1317.1</v>
      </c>
      <c r="J197" s="7" t="n">
        <v>1993.5</v>
      </c>
      <c r="L197" s="7" t="n">
        <v>1094</v>
      </c>
      <c r="N197" s="7" t="n">
        <v>3173.6</v>
      </c>
      <c r="P197" s="7" t="n">
        <v>2984</v>
      </c>
      <c r="R197" s="7" t="n">
        <v>2631.6</v>
      </c>
      <c r="T197" s="7" t="n">
        <v>3856.6</v>
      </c>
      <c r="V197" s="7" t="n">
        <v>4150.5</v>
      </c>
      <c r="X197" s="7" t="n">
        <v>2024.9</v>
      </c>
      <c r="Z197" s="7" t="n">
        <v>1088.2</v>
      </c>
      <c r="AB197" s="7" t="n">
        <v>26679</v>
      </c>
    </row>
    <row r="198">
      <c r="A198" s="4" t="inlineStr">
        <is>
          <t>交通费</t>
        </is>
      </c>
      <c r="D198" s="7" t="n">
        <v>73.8</v>
      </c>
      <c r="F198" s="7" t="n">
        <v>188.9</v>
      </c>
      <c r="H198" s="7" t="n">
        <v>76.90000000000001</v>
      </c>
      <c r="J198" s="7" t="n">
        <v>200.2</v>
      </c>
      <c r="L198" s="7" t="n">
        <v>124.5</v>
      </c>
      <c r="N198" s="7" t="n">
        <v>343.2</v>
      </c>
      <c r="P198" s="7" t="n">
        <v>341.7</v>
      </c>
      <c r="R198" s="7" t="n">
        <v>333.4</v>
      </c>
      <c r="T198" s="7" t="n">
        <v>413.1</v>
      </c>
      <c r="V198" s="7" t="n">
        <v>447.5</v>
      </c>
      <c r="X198" s="7" t="n">
        <v>136.4</v>
      </c>
      <c r="Z198" s="7" t="n">
        <v>75.3</v>
      </c>
      <c r="AB198" s="7" t="n">
        <v>2754.9</v>
      </c>
    </row>
    <row r="199">
      <c r="A199" s="4" t="inlineStr">
        <is>
          <t>住宿费</t>
        </is>
      </c>
      <c r="D199" s="7" t="n">
        <v>44.6</v>
      </c>
      <c r="F199" s="7" t="n">
        <v>85.5</v>
      </c>
      <c r="H199" s="7" t="n">
        <v>61.7</v>
      </c>
      <c r="J199" s="7" t="n">
        <v>106.6</v>
      </c>
      <c r="L199" s="7" t="n">
        <v>68.40000000000001</v>
      </c>
      <c r="N199" s="7" t="n">
        <v>144.8</v>
      </c>
      <c r="P199" s="7" t="n">
        <v>190.4</v>
      </c>
      <c r="R199" s="7" t="n">
        <v>114.8</v>
      </c>
      <c r="T199" s="7" t="n">
        <v>235.5</v>
      </c>
      <c r="V199" s="7" t="n">
        <v>262.5</v>
      </c>
      <c r="X199" s="7" t="n">
        <v>123</v>
      </c>
      <c r="Z199" s="7" t="n">
        <v>52.3</v>
      </c>
      <c r="AB199" s="7" t="n">
        <v>1490.1</v>
      </c>
    </row>
    <row r="200">
      <c r="A200" s="4" t="inlineStr">
        <is>
          <t>餐补</t>
        </is>
      </c>
      <c r="D200" s="7" t="n">
        <v>53.2</v>
      </c>
      <c r="F200" s="7" t="n">
        <v>173.2</v>
      </c>
      <c r="H200" s="7" t="n">
        <v>99.09999999999999</v>
      </c>
      <c r="J200" s="7" t="n">
        <v>238.5</v>
      </c>
      <c r="L200" s="7" t="n">
        <v>99.90000000000001</v>
      </c>
      <c r="N200" s="7" t="n">
        <v>367.1</v>
      </c>
      <c r="P200" s="7" t="n">
        <v>311.6</v>
      </c>
      <c r="R200" s="7" t="n">
        <v>337.1</v>
      </c>
      <c r="T200" s="7" t="n">
        <v>477.5</v>
      </c>
      <c r="V200" s="7" t="n">
        <v>453.6</v>
      </c>
      <c r="X200" s="7" t="n">
        <v>216.2</v>
      </c>
      <c r="Z200" s="7" t="n">
        <v>108.6</v>
      </c>
      <c r="AB200" s="7" t="n">
        <v>2935.6</v>
      </c>
    </row>
    <row r="201">
      <c r="A201" s="4" t="inlineStr">
        <is>
          <t>交通补助</t>
        </is>
      </c>
      <c r="D201" s="7" t="n">
        <v>72.90000000000001</v>
      </c>
      <c r="F201" s="7" t="n">
        <v>185.6</v>
      </c>
      <c r="H201" s="7" t="n">
        <v>67.59999999999999</v>
      </c>
      <c r="J201" s="7" t="n">
        <v>157</v>
      </c>
      <c r="L201" s="7" t="n">
        <v>106.3</v>
      </c>
      <c r="N201" s="7" t="n">
        <v>264.1</v>
      </c>
      <c r="P201" s="7" t="n">
        <v>245.3</v>
      </c>
      <c r="R201" s="7" t="n">
        <v>179.5</v>
      </c>
      <c r="T201" s="7" t="n">
        <v>338.7</v>
      </c>
      <c r="V201" s="7" t="n">
        <v>365.8</v>
      </c>
      <c r="X201" s="7" t="n">
        <v>166.3</v>
      </c>
      <c r="Z201" s="7" t="n">
        <v>95.3</v>
      </c>
      <c r="AB201" s="7" t="n">
        <v>2244.4</v>
      </c>
    </row>
    <row r="202">
      <c r="A202" s="4" t="inlineStr">
        <is>
          <t>通讯补助</t>
        </is>
      </c>
      <c r="D202" s="7" t="n">
        <v>61.1</v>
      </c>
      <c r="F202" s="7" t="n">
        <v>157.6</v>
      </c>
      <c r="H202" s="7" t="n">
        <v>103.6</v>
      </c>
      <c r="J202" s="7" t="n">
        <v>241</v>
      </c>
      <c r="L202" s="7" t="n">
        <v>146.4</v>
      </c>
      <c r="N202" s="7" t="n">
        <v>369.8</v>
      </c>
      <c r="P202" s="7" t="n">
        <v>214.6</v>
      </c>
      <c r="R202" s="7" t="n">
        <v>321.7</v>
      </c>
      <c r="T202" s="7" t="n">
        <v>423.6</v>
      </c>
      <c r="V202" s="7" t="n">
        <v>447.2</v>
      </c>
      <c r="X202" s="7" t="n">
        <v>154.8</v>
      </c>
      <c r="Z202" s="7" t="n">
        <v>123.6</v>
      </c>
      <c r="AB202" s="7" t="n">
        <v>2765</v>
      </c>
    </row>
    <row r="203">
      <c r="A203" s="4" t="inlineStr">
        <is>
          <t>招待费</t>
        </is>
      </c>
      <c r="D203" s="7" t="n">
        <v>379.3</v>
      </c>
      <c r="F203" s="7" t="n">
        <v>1422.3</v>
      </c>
      <c r="H203" s="7" t="n">
        <v>852.8</v>
      </c>
      <c r="J203" s="7" t="n">
        <v>1693.9</v>
      </c>
      <c r="L203" s="7" t="n">
        <v>777.5</v>
      </c>
      <c r="N203" s="7" t="n">
        <v>1521.1</v>
      </c>
      <c r="P203" s="7" t="n">
        <v>1403</v>
      </c>
      <c r="R203" s="7" t="n">
        <v>1550</v>
      </c>
      <c r="T203" s="7" t="n">
        <v>2022.1</v>
      </c>
      <c r="V203" s="7" t="n">
        <v>1911.9</v>
      </c>
      <c r="X203" s="7" t="n">
        <v>1096.6</v>
      </c>
      <c r="Z203" s="7" t="n">
        <v>674</v>
      </c>
      <c r="AB203" s="7" t="n">
        <v>15304.5</v>
      </c>
    </row>
    <row r="204">
      <c r="A204" s="4" t="inlineStr">
        <is>
          <t>通讯费</t>
        </is>
      </c>
      <c r="D204" s="7" t="n">
        <v>15.9</v>
      </c>
      <c r="F204" s="7" t="n">
        <v>41.1</v>
      </c>
      <c r="H204" s="7" t="n">
        <v>20.8</v>
      </c>
      <c r="J204" s="7" t="n">
        <v>41.9</v>
      </c>
      <c r="L204" s="7" t="n">
        <v>24.4</v>
      </c>
      <c r="N204" s="7" t="n">
        <v>53.5</v>
      </c>
      <c r="P204" s="7" t="n">
        <v>35.4</v>
      </c>
      <c r="R204" s="7" t="n">
        <v>58.2</v>
      </c>
      <c r="T204" s="7" t="n">
        <v>52.2</v>
      </c>
      <c r="V204" s="7" t="n">
        <v>54.2</v>
      </c>
      <c r="X204" s="7" t="n">
        <v>39.8</v>
      </c>
      <c r="Z204" s="7" t="n">
        <v>19.2</v>
      </c>
      <c r="AB204" s="7" t="n">
        <v>456.6</v>
      </c>
    </row>
    <row r="205">
      <c r="A205" s="4" t="inlineStr">
        <is>
          <t>网络费</t>
        </is>
      </c>
      <c r="D205" s="7" t="n">
        <v>55.2</v>
      </c>
      <c r="F205" s="7" t="n">
        <v>170</v>
      </c>
      <c r="H205" s="7" t="n">
        <v>76.2</v>
      </c>
      <c r="J205" s="7" t="n">
        <v>167.7</v>
      </c>
      <c r="L205" s="7" t="n">
        <v>153.9</v>
      </c>
      <c r="N205" s="7" t="n">
        <v>324.3</v>
      </c>
      <c r="P205" s="7" t="n">
        <v>268.6</v>
      </c>
      <c r="R205" s="7" t="n">
        <v>182.6</v>
      </c>
      <c r="T205" s="7" t="n">
        <v>343.9</v>
      </c>
      <c r="V205" s="7" t="n">
        <v>388.6</v>
      </c>
      <c r="X205" s="7" t="n">
        <v>133.6</v>
      </c>
      <c r="Z205" s="7" t="n">
        <v>91.59999999999999</v>
      </c>
      <c r="AB205" s="7" t="n">
        <v>2356.2</v>
      </c>
    </row>
    <row r="206">
      <c r="A206" s="4" t="inlineStr">
        <is>
          <t>修理费</t>
        </is>
      </c>
      <c r="D206" s="7" t="n">
        <v>12.7</v>
      </c>
      <c r="F206" s="7" t="n">
        <v>28.9</v>
      </c>
      <c r="H206" s="7" t="n">
        <v>16.2</v>
      </c>
      <c r="J206" s="7" t="n">
        <v>32.9</v>
      </c>
      <c r="L206" s="7" t="n">
        <v>25.9</v>
      </c>
      <c r="N206" s="7" t="n">
        <v>45.7</v>
      </c>
      <c r="P206" s="7" t="n">
        <v>48.8</v>
      </c>
      <c r="R206" s="7" t="n">
        <v>55.1</v>
      </c>
      <c r="T206" s="7" t="n">
        <v>73</v>
      </c>
      <c r="V206" s="7" t="n">
        <v>65.3</v>
      </c>
      <c r="X206" s="7" t="n">
        <v>24.9</v>
      </c>
      <c r="Z206" s="7" t="n">
        <v>11.8</v>
      </c>
      <c r="AB206" s="7" t="n">
        <v>441.2</v>
      </c>
    </row>
    <row r="207">
      <c r="A207" s="4" t="inlineStr">
        <is>
          <t>车辆费</t>
        </is>
      </c>
      <c r="D207" s="7" t="n">
        <v>5.9</v>
      </c>
      <c r="F207" s="7" t="n">
        <v>13.4</v>
      </c>
      <c r="H207" s="7" t="n">
        <v>7</v>
      </c>
      <c r="J207" s="7" t="n">
        <v>14.8</v>
      </c>
      <c r="L207" s="7" t="n">
        <v>10.5</v>
      </c>
      <c r="N207" s="7" t="n">
        <v>31</v>
      </c>
      <c r="P207" s="7" t="n">
        <v>25.1</v>
      </c>
      <c r="R207" s="7" t="n">
        <v>19.2</v>
      </c>
      <c r="T207" s="7" t="n">
        <v>30.8</v>
      </c>
      <c r="V207" s="7" t="n">
        <v>25.9</v>
      </c>
      <c r="X207" s="7" t="n">
        <v>19.6</v>
      </c>
      <c r="Z207" s="7" t="n">
        <v>5.8</v>
      </c>
      <c r="AB207" s="7" t="n">
        <v>209</v>
      </c>
    </row>
    <row r="208">
      <c r="A208" s="4" t="inlineStr">
        <is>
          <t>租赁费</t>
        </is>
      </c>
      <c r="D208" s="7" t="n">
        <v>473.9</v>
      </c>
      <c r="F208" s="7" t="n">
        <v>1382.3</v>
      </c>
      <c r="H208" s="7" t="n">
        <v>835.2</v>
      </c>
      <c r="J208" s="7" t="n">
        <v>1838.1</v>
      </c>
      <c r="L208" s="7" t="n">
        <v>992.6</v>
      </c>
      <c r="N208" s="7" t="n">
        <v>2411.3</v>
      </c>
      <c r="P208" s="7" t="n">
        <v>1775.5</v>
      </c>
      <c r="R208" s="7" t="n">
        <v>2120</v>
      </c>
      <c r="T208" s="7" t="n">
        <v>3527.7</v>
      </c>
      <c r="V208" s="7" t="n">
        <v>2648</v>
      </c>
      <c r="X208" s="7" t="n">
        <v>2015.8</v>
      </c>
      <c r="Z208" s="7" t="n">
        <v>609.6</v>
      </c>
      <c r="AB208" s="7" t="n">
        <v>20630</v>
      </c>
    </row>
    <row r="209">
      <c r="A209" s="4" t="inlineStr">
        <is>
          <t>能源费</t>
        </is>
      </c>
      <c r="D209" s="7" t="n">
        <v>112.8</v>
      </c>
      <c r="F209" s="7" t="n">
        <v>308.5</v>
      </c>
      <c r="H209" s="7" t="n">
        <v>190.5</v>
      </c>
      <c r="J209" s="7" t="n">
        <v>363.9</v>
      </c>
      <c r="L209" s="7" t="n">
        <v>269.3</v>
      </c>
      <c r="N209" s="7" t="n">
        <v>599.8</v>
      </c>
      <c r="P209" s="7" t="n">
        <v>460.7</v>
      </c>
      <c r="R209" s="7" t="n">
        <v>400.3</v>
      </c>
      <c r="T209" s="7" t="n">
        <v>694.2</v>
      </c>
      <c r="V209" s="7" t="n">
        <v>773.7</v>
      </c>
      <c r="X209" s="7" t="n">
        <v>308</v>
      </c>
      <c r="Z209" s="7" t="n">
        <v>133.6</v>
      </c>
      <c r="AB209" s="7" t="n">
        <v>4615.3</v>
      </c>
    </row>
    <row r="210">
      <c r="A210" s="4" t="inlineStr">
        <is>
          <t>水费</t>
        </is>
      </c>
      <c r="D210" s="7" t="n">
        <v>37.7</v>
      </c>
      <c r="F210" s="7" t="n">
        <v>65.09999999999999</v>
      </c>
      <c r="H210" s="7" t="n">
        <v>40.2</v>
      </c>
      <c r="J210" s="7" t="n">
        <v>85.2</v>
      </c>
      <c r="L210" s="7" t="n">
        <v>65.7</v>
      </c>
      <c r="N210" s="7" t="n">
        <v>175.9</v>
      </c>
      <c r="P210" s="7" t="n">
        <v>175.4</v>
      </c>
      <c r="R210" s="7" t="n">
        <v>98.40000000000001</v>
      </c>
      <c r="T210" s="7" t="n">
        <v>188.1</v>
      </c>
      <c r="V210" s="7" t="n">
        <v>215.2</v>
      </c>
      <c r="X210" s="7" t="n">
        <v>73.5</v>
      </c>
      <c r="Z210" s="7" t="n">
        <v>54.1</v>
      </c>
      <c r="AB210" s="7" t="n">
        <v>1274.5</v>
      </c>
    </row>
    <row r="211">
      <c r="A211" s="4" t="inlineStr">
        <is>
          <t>电费</t>
        </is>
      </c>
      <c r="D211" s="7" t="n">
        <v>2.6</v>
      </c>
      <c r="F211" s="7" t="n">
        <v>5.4</v>
      </c>
      <c r="H211" s="7" t="n">
        <v>3</v>
      </c>
      <c r="J211" s="7" t="n">
        <v>7.7</v>
      </c>
      <c r="L211" s="7" t="n">
        <v>5</v>
      </c>
      <c r="N211" s="7" t="n">
        <v>8.1</v>
      </c>
      <c r="P211" s="7" t="n">
        <v>10.3</v>
      </c>
      <c r="R211" s="7" t="n">
        <v>12.6</v>
      </c>
      <c r="T211" s="7" t="n">
        <v>15.7</v>
      </c>
      <c r="V211" s="7" t="n">
        <v>14.9</v>
      </c>
      <c r="X211" s="7" t="n">
        <v>5.9</v>
      </c>
      <c r="Z211" s="7" t="n">
        <v>2.5</v>
      </c>
      <c r="AB211" s="7" t="n">
        <v>93.7</v>
      </c>
    </row>
    <row r="212">
      <c r="A212" s="4" t="inlineStr">
        <is>
          <t>燃气费</t>
        </is>
      </c>
      <c r="D212" s="7" t="n">
        <v>55.9</v>
      </c>
      <c r="F212" s="7" t="n">
        <v>201.3</v>
      </c>
      <c r="H212" s="7" t="n">
        <v>109.5</v>
      </c>
      <c r="J212" s="7" t="n">
        <v>204.5</v>
      </c>
      <c r="L212" s="7" t="n">
        <v>152</v>
      </c>
      <c r="N212" s="7" t="n">
        <v>343.6</v>
      </c>
      <c r="P212" s="7" t="n">
        <v>186.2</v>
      </c>
      <c r="R212" s="7" t="n">
        <v>195</v>
      </c>
      <c r="T212" s="7" t="n">
        <v>404.2</v>
      </c>
      <c r="V212" s="7" t="n">
        <v>456.1</v>
      </c>
      <c r="X212" s="7" t="n">
        <v>170</v>
      </c>
      <c r="Z212" s="7" t="n">
        <v>58.6</v>
      </c>
      <c r="AB212" s="7" t="n">
        <v>2536.9</v>
      </c>
    </row>
    <row r="213">
      <c r="A213" s="4" t="inlineStr">
        <is>
          <t>蒸汽费</t>
        </is>
      </c>
      <c r="D213" s="7" t="n">
        <v>16.6</v>
      </c>
      <c r="F213" s="7" t="n">
        <v>36.7</v>
      </c>
      <c r="H213" s="7" t="n">
        <v>37.8</v>
      </c>
      <c r="J213" s="7" t="n">
        <v>66.5</v>
      </c>
      <c r="L213" s="7" t="n">
        <v>46.6</v>
      </c>
      <c r="N213" s="7" t="n">
        <v>72.2</v>
      </c>
      <c r="P213" s="7" t="n">
        <v>88.8</v>
      </c>
      <c r="R213" s="7" t="n">
        <v>94.3</v>
      </c>
      <c r="T213" s="7" t="n">
        <v>86.2</v>
      </c>
      <c r="V213" s="7" t="n">
        <v>87.5</v>
      </c>
      <c r="X213" s="7" t="n">
        <v>58.6</v>
      </c>
      <c r="Z213" s="7" t="n">
        <v>18.4</v>
      </c>
      <c r="AB213" s="7" t="n">
        <v>710.2</v>
      </c>
    </row>
    <row r="214">
      <c r="A214" s="4" t="inlineStr">
        <is>
          <t>物业费</t>
        </is>
      </c>
      <c r="D214" s="7" t="n">
        <v>21.6</v>
      </c>
      <c r="F214" s="7" t="n">
        <v>70.3</v>
      </c>
      <c r="H214" s="7" t="n">
        <v>45.1</v>
      </c>
      <c r="J214" s="7" t="n">
        <v>58.2</v>
      </c>
      <c r="L214" s="7" t="n">
        <v>61.3</v>
      </c>
      <c r="N214" s="7" t="n">
        <v>138.7</v>
      </c>
      <c r="P214" s="7" t="n">
        <v>114.9</v>
      </c>
      <c r="R214" s="7" t="n">
        <v>106.4</v>
      </c>
      <c r="T214" s="7" t="n">
        <v>125.2</v>
      </c>
      <c r="V214" s="7" t="n">
        <v>177</v>
      </c>
      <c r="X214" s="7" t="n">
        <v>84.59999999999999</v>
      </c>
      <c r="Z214" s="7" t="n">
        <v>34.1</v>
      </c>
      <c r="AB214" s="7" t="n">
        <v>1037.4</v>
      </c>
    </row>
    <row r="215">
      <c r="A215" s="4" t="inlineStr">
        <is>
          <t>劳动保护费</t>
        </is>
      </c>
      <c r="D215" s="7" t="n">
        <v>14.7</v>
      </c>
      <c r="F215" s="7" t="n">
        <v>29</v>
      </c>
      <c r="H215" s="7" t="n">
        <v>16.7</v>
      </c>
      <c r="J215" s="7" t="n">
        <v>42.4</v>
      </c>
      <c r="L215" s="7" t="n">
        <v>25.8</v>
      </c>
      <c r="N215" s="7" t="n">
        <v>43.8</v>
      </c>
      <c r="P215" s="7" t="n">
        <v>66.7</v>
      </c>
      <c r="R215" s="7" t="n">
        <v>52.4</v>
      </c>
      <c r="T215" s="7" t="n">
        <v>55.8</v>
      </c>
      <c r="V215" s="7" t="n">
        <v>76.5</v>
      </c>
      <c r="X215" s="7" t="n">
        <v>45</v>
      </c>
      <c r="Z215" s="7" t="n">
        <v>20.6</v>
      </c>
      <c r="AB215" s="7" t="n">
        <v>489.4</v>
      </c>
    </row>
    <row r="216">
      <c r="A216" s="4" t="inlineStr">
        <is>
          <t>顾问费</t>
        </is>
      </c>
      <c r="D216" s="7" t="n">
        <v>2.4</v>
      </c>
      <c r="F216" s="7" t="n">
        <v>3.7</v>
      </c>
      <c r="H216" s="7" t="n">
        <v>3.5</v>
      </c>
      <c r="J216" s="7" t="n">
        <v>6.2</v>
      </c>
      <c r="L216" s="7" t="n">
        <v>3.5</v>
      </c>
      <c r="N216" s="7" t="n">
        <v>7.9</v>
      </c>
      <c r="P216" s="7" t="n">
        <v>5.5</v>
      </c>
      <c r="R216" s="7" t="n">
        <v>5.2</v>
      </c>
      <c r="T216" s="7" t="n">
        <v>7.6</v>
      </c>
      <c r="V216" s="7" t="n">
        <v>10.9</v>
      </c>
      <c r="X216" s="7" t="n">
        <v>3.9</v>
      </c>
      <c r="Z216" s="7" t="n">
        <v>3.1</v>
      </c>
      <c r="AB216" s="7" t="n">
        <v>63.4</v>
      </c>
    </row>
    <row r="217">
      <c r="A217" s="4" t="inlineStr">
        <is>
          <t>快递费</t>
        </is>
      </c>
      <c r="D217" s="7" t="n">
        <v>51.3</v>
      </c>
      <c r="F217" s="7" t="n">
        <v>79</v>
      </c>
      <c r="H217" s="7" t="n">
        <v>72.59999999999999</v>
      </c>
      <c r="J217" s="7" t="n">
        <v>119.2</v>
      </c>
      <c r="L217" s="7" t="n">
        <v>79.5</v>
      </c>
      <c r="N217" s="7" t="n">
        <v>199.1</v>
      </c>
      <c r="P217" s="7" t="n">
        <v>138</v>
      </c>
      <c r="R217" s="7" t="n">
        <v>169.1</v>
      </c>
      <c r="T217" s="7" t="n">
        <v>227.3</v>
      </c>
      <c r="V217" s="7" t="n">
        <v>220.5</v>
      </c>
      <c r="X217" s="7" t="n">
        <v>111.2</v>
      </c>
      <c r="Z217" s="7" t="n">
        <v>51.9</v>
      </c>
      <c r="AB217" s="7" t="n">
        <v>1518.7</v>
      </c>
    </row>
    <row r="218">
      <c r="A218" s="4" t="inlineStr">
        <is>
          <t>诉讼费</t>
        </is>
      </c>
      <c r="D218" s="7" t="n">
        <v>86.3</v>
      </c>
      <c r="F218" s="7" t="n">
        <v>189.3</v>
      </c>
      <c r="H218" s="7" t="n">
        <v>77.90000000000001</v>
      </c>
      <c r="J218" s="7" t="n">
        <v>186.3</v>
      </c>
      <c r="L218" s="7" t="n">
        <v>179.3</v>
      </c>
      <c r="N218" s="7" t="n">
        <v>351.2</v>
      </c>
      <c r="P218" s="7" t="n">
        <v>259.2</v>
      </c>
      <c r="R218" s="7" t="n">
        <v>224</v>
      </c>
      <c r="T218" s="7" t="n">
        <v>354.5</v>
      </c>
      <c r="V218" s="7" t="n">
        <v>271.8</v>
      </c>
      <c r="X218" s="7" t="n">
        <v>211.9</v>
      </c>
      <c r="Z218" s="7" t="n">
        <v>85.5</v>
      </c>
      <c r="AB218" s="7" t="n">
        <v>2477.2</v>
      </c>
    </row>
    <row r="219">
      <c r="A219" s="4" t="inlineStr">
        <is>
          <t>会员费</t>
        </is>
      </c>
      <c r="D219" s="7" t="n">
        <v>64.40000000000001</v>
      </c>
      <c r="F219" s="7" t="n">
        <v>164.9</v>
      </c>
      <c r="H219" s="7" t="n">
        <v>57.5</v>
      </c>
      <c r="J219" s="7" t="n">
        <v>102.5</v>
      </c>
      <c r="L219" s="7" t="n">
        <v>90.3</v>
      </c>
      <c r="N219" s="7" t="n">
        <v>254.9</v>
      </c>
      <c r="P219" s="7" t="n">
        <v>150.9</v>
      </c>
      <c r="R219" s="7" t="n">
        <v>187.2</v>
      </c>
      <c r="T219" s="7" t="n">
        <v>197.8</v>
      </c>
      <c r="V219" s="7" t="n">
        <v>268.2</v>
      </c>
      <c r="X219" s="7" t="n">
        <v>157.5</v>
      </c>
      <c r="Z219" s="7" t="n">
        <v>77</v>
      </c>
      <c r="AB219" s="7" t="n">
        <v>1773.1</v>
      </c>
    </row>
    <row r="220">
      <c r="A220" s="4" t="inlineStr">
        <is>
          <t>广告宣传费</t>
        </is>
      </c>
      <c r="D220" s="7" t="n">
        <v>439.4</v>
      </c>
      <c r="F220" s="7" t="n">
        <v>1036</v>
      </c>
      <c r="H220" s="7" t="n">
        <v>661.3</v>
      </c>
      <c r="J220" s="7" t="n">
        <v>813.8</v>
      </c>
      <c r="L220" s="7" t="n">
        <v>764.9</v>
      </c>
      <c r="N220" s="7" t="n">
        <v>1671.9</v>
      </c>
      <c r="P220" s="7" t="n">
        <v>1047.9</v>
      </c>
      <c r="R220" s="7" t="n">
        <v>1108</v>
      </c>
      <c r="T220" s="7" t="n">
        <v>1697.6</v>
      </c>
      <c r="V220" s="7" t="n">
        <v>1660.9</v>
      </c>
      <c r="X220" s="7" t="n">
        <v>982.7</v>
      </c>
      <c r="Z220" s="7" t="n">
        <v>465.2</v>
      </c>
      <c r="AB220" s="7" t="n">
        <v>12349.6</v>
      </c>
    </row>
    <row r="221">
      <c r="A221" s="4" t="inlineStr">
        <is>
          <t>会务费</t>
        </is>
      </c>
      <c r="D221" s="7" t="n">
        <v>26.1</v>
      </c>
      <c r="F221" s="7" t="n">
        <v>38.2</v>
      </c>
      <c r="H221" s="7" t="n">
        <v>24.5</v>
      </c>
      <c r="J221" s="7" t="n">
        <v>48.9</v>
      </c>
      <c r="L221" s="7" t="n">
        <v>54.3</v>
      </c>
      <c r="N221" s="7" t="n">
        <v>82.09999999999999</v>
      </c>
      <c r="P221" s="7" t="n">
        <v>68.90000000000001</v>
      </c>
      <c r="R221" s="7" t="n">
        <v>65</v>
      </c>
      <c r="T221" s="7" t="n">
        <v>126.5</v>
      </c>
      <c r="V221" s="7" t="n">
        <v>82.7</v>
      </c>
      <c r="X221" s="7" t="n">
        <v>41.9</v>
      </c>
      <c r="Z221" s="7" t="n">
        <v>21.9</v>
      </c>
      <c r="AB221" s="7" t="n">
        <v>681</v>
      </c>
    </row>
    <row r="222">
      <c r="A222" s="4" t="inlineStr">
        <is>
          <t>装修费</t>
        </is>
      </c>
      <c r="D222" s="7" t="n">
        <v>56.4</v>
      </c>
      <c r="F222" s="7" t="n">
        <v>183.2</v>
      </c>
      <c r="H222" s="7" t="n">
        <v>67</v>
      </c>
      <c r="J222" s="7" t="n">
        <v>114.2</v>
      </c>
      <c r="L222" s="7" t="n">
        <v>144.9</v>
      </c>
      <c r="N222" s="7" t="n">
        <v>167.3</v>
      </c>
      <c r="P222" s="7" t="n">
        <v>180.9</v>
      </c>
      <c r="R222" s="7" t="n">
        <v>182.7</v>
      </c>
      <c r="T222" s="7" t="n">
        <v>226.9</v>
      </c>
      <c r="V222" s="7" t="n">
        <v>228.9</v>
      </c>
      <c r="X222" s="7" t="n">
        <v>157.7</v>
      </c>
      <c r="Z222" s="7" t="n">
        <v>63.8</v>
      </c>
      <c r="AB222" s="7" t="n">
        <v>1773.9</v>
      </c>
    </row>
    <row r="223">
      <c r="A223" s="4" t="inlineStr">
        <is>
          <t>推广费</t>
        </is>
      </c>
      <c r="D223" s="7" t="n">
        <v>25.1</v>
      </c>
      <c r="F223" s="7" t="n">
        <v>53.6</v>
      </c>
      <c r="H223" s="7" t="n">
        <v>28.1</v>
      </c>
      <c r="J223" s="7" t="n">
        <v>48.5</v>
      </c>
      <c r="L223" s="7" t="n">
        <v>32.2</v>
      </c>
      <c r="N223" s="7" t="n">
        <v>94.59999999999999</v>
      </c>
      <c r="P223" s="7" t="n">
        <v>89.7</v>
      </c>
      <c r="R223" s="7" t="n">
        <v>100.7</v>
      </c>
      <c r="T223" s="7" t="n">
        <v>157.1</v>
      </c>
      <c r="V223" s="7" t="n">
        <v>97.59999999999999</v>
      </c>
      <c r="X223" s="7" t="n">
        <v>47.2</v>
      </c>
      <c r="Z223" s="7" t="n">
        <v>34.8</v>
      </c>
      <c r="AB223" s="7" t="n">
        <v>809.2</v>
      </c>
    </row>
    <row r="224">
      <c r="A224" s="4" t="inlineStr">
        <is>
          <t>展会费</t>
        </is>
      </c>
      <c r="D224" s="7" t="n">
        <v>2.2</v>
      </c>
      <c r="F224" s="7" t="n">
        <v>5.5</v>
      </c>
      <c r="H224" s="7" t="n">
        <v>2.5</v>
      </c>
      <c r="J224" s="7" t="n">
        <v>5.8</v>
      </c>
      <c r="L224" s="7" t="n">
        <v>3.9</v>
      </c>
      <c r="N224" s="7" t="n">
        <v>8.9</v>
      </c>
      <c r="P224" s="7" t="n">
        <v>5.3</v>
      </c>
      <c r="R224" s="7" t="n">
        <v>6.8</v>
      </c>
      <c r="T224" s="7" t="n">
        <v>12.1</v>
      </c>
      <c r="V224" s="7" t="n">
        <v>11.5</v>
      </c>
      <c r="X224" s="7" t="n">
        <v>5.1</v>
      </c>
      <c r="Z224" s="7" t="n">
        <v>2.4</v>
      </c>
      <c r="AB224" s="7" t="n">
        <v>72</v>
      </c>
    </row>
    <row r="225">
      <c r="A225" s="4" t="inlineStr">
        <is>
          <t>设计费</t>
        </is>
      </c>
      <c r="D225" s="7" t="n">
        <v>67</v>
      </c>
      <c r="F225" s="7" t="n">
        <v>172.5</v>
      </c>
      <c r="H225" s="7" t="n">
        <v>94.59999999999999</v>
      </c>
      <c r="J225" s="7" t="n">
        <v>156.3</v>
      </c>
      <c r="L225" s="7" t="n">
        <v>124.5</v>
      </c>
      <c r="N225" s="7" t="n">
        <v>283</v>
      </c>
      <c r="P225" s="7" t="n">
        <v>200.7</v>
      </c>
      <c r="R225" s="7" t="n">
        <v>296</v>
      </c>
      <c r="T225" s="7" t="n">
        <v>407.1</v>
      </c>
      <c r="V225" s="7" t="n">
        <v>423.9</v>
      </c>
      <c r="X225" s="7" t="n">
        <v>197.9</v>
      </c>
      <c r="Z225" s="7" t="n">
        <v>80.40000000000001</v>
      </c>
      <c r="AB225" s="7" t="n">
        <v>2503.9</v>
      </c>
    </row>
    <row r="226">
      <c r="A226" s="4" t="inlineStr">
        <is>
          <t>折旧费</t>
        </is>
      </c>
      <c r="D226" s="7" t="n">
        <v>459.4</v>
      </c>
      <c r="F226" s="7" t="n">
        <v>1016.9</v>
      </c>
      <c r="H226" s="7" t="n">
        <v>590.1</v>
      </c>
      <c r="J226" s="7" t="n">
        <v>965.4</v>
      </c>
      <c r="L226" s="7" t="n">
        <v>1200</v>
      </c>
      <c r="N226" s="7" t="n">
        <v>2329.8</v>
      </c>
      <c r="P226" s="7" t="n">
        <v>2308.8</v>
      </c>
      <c r="R226" s="7" t="n">
        <v>1821.3</v>
      </c>
      <c r="T226" s="7" t="n">
        <v>2806.8</v>
      </c>
      <c r="V226" s="7" t="n">
        <v>2244</v>
      </c>
      <c r="X226" s="7" t="n">
        <v>986.7</v>
      </c>
      <c r="Z226" s="7" t="n">
        <v>467.4</v>
      </c>
      <c r="AB226" s="7" t="n">
        <v>17196.6</v>
      </c>
    </row>
    <row r="227">
      <c r="A227" s="4" t="inlineStr">
        <is>
          <t>认证费</t>
        </is>
      </c>
      <c r="D227" s="7" t="n">
        <v>81</v>
      </c>
      <c r="F227" s="7" t="n">
        <v>122.1</v>
      </c>
      <c r="H227" s="7" t="n">
        <v>72.3</v>
      </c>
      <c r="J227" s="7" t="n">
        <v>222.4</v>
      </c>
      <c r="L227" s="7" t="n">
        <v>116.8</v>
      </c>
      <c r="N227" s="7" t="n">
        <v>294.2</v>
      </c>
      <c r="P227" s="7" t="n">
        <v>254.4</v>
      </c>
      <c r="R227" s="7" t="n">
        <v>227.7</v>
      </c>
      <c r="T227" s="7" t="n">
        <v>296</v>
      </c>
      <c r="V227" s="7" t="n">
        <v>361.9</v>
      </c>
      <c r="X227" s="7" t="n">
        <v>202.4</v>
      </c>
      <c r="Z227" s="7" t="n">
        <v>107.8</v>
      </c>
      <c r="AB227" s="7" t="n">
        <v>2359</v>
      </c>
    </row>
    <row r="228">
      <c r="A228" s="4" t="inlineStr">
        <is>
          <t>样品费</t>
        </is>
      </c>
      <c r="D228" s="7" t="n">
        <v>205.8</v>
      </c>
      <c r="F228" s="7" t="n">
        <v>763.6</v>
      </c>
      <c r="H228" s="7" t="n">
        <v>283.4</v>
      </c>
      <c r="J228" s="7" t="n">
        <v>565.6</v>
      </c>
      <c r="L228" s="7" t="n">
        <v>578.9</v>
      </c>
      <c r="N228" s="7" t="n">
        <v>692.6</v>
      </c>
      <c r="P228" s="7" t="n">
        <v>825.5</v>
      </c>
      <c r="R228" s="7" t="n">
        <v>807.2</v>
      </c>
      <c r="T228" s="7" t="n">
        <v>1065.9</v>
      </c>
      <c r="V228" s="7" t="n">
        <v>1251.8</v>
      </c>
      <c r="X228" s="7" t="n">
        <v>459.3</v>
      </c>
      <c r="Z228" s="7" t="n">
        <v>275.3</v>
      </c>
      <c r="AB228" s="7" t="n">
        <v>7774.9</v>
      </c>
    </row>
    <row r="229">
      <c r="A229" s="4" t="inlineStr">
        <is>
          <t>劳务费</t>
        </is>
      </c>
      <c r="D229" s="7" t="n">
        <v>76.5</v>
      </c>
      <c r="F229" s="7" t="n">
        <v>156.4</v>
      </c>
      <c r="H229" s="7" t="n">
        <v>113.1</v>
      </c>
      <c r="J229" s="7" t="n">
        <v>229.5</v>
      </c>
      <c r="L229" s="7" t="n">
        <v>180.4</v>
      </c>
      <c r="N229" s="7" t="n">
        <v>290.5</v>
      </c>
      <c r="P229" s="7" t="n">
        <v>219.5</v>
      </c>
      <c r="R229" s="7" t="n">
        <v>204.4</v>
      </c>
      <c r="T229" s="7" t="n">
        <v>287.4</v>
      </c>
      <c r="V229" s="7" t="n">
        <v>319.8</v>
      </c>
      <c r="X229" s="7" t="n">
        <v>243.1</v>
      </c>
      <c r="Z229" s="7" t="n">
        <v>108</v>
      </c>
      <c r="AB229" s="7" t="n">
        <v>2428.6</v>
      </c>
    </row>
    <row r="230">
      <c r="A230" s="4" t="inlineStr">
        <is>
          <t>销售佣金</t>
        </is>
      </c>
      <c r="D230" s="7" t="n">
        <v>69.40000000000001</v>
      </c>
      <c r="F230" s="7" t="n">
        <v>161.7</v>
      </c>
      <c r="H230" s="7" t="n">
        <v>69.90000000000001</v>
      </c>
      <c r="J230" s="7" t="n">
        <v>176.3</v>
      </c>
      <c r="L230" s="7" t="n">
        <v>159.3</v>
      </c>
      <c r="N230" s="7" t="n">
        <v>283.9</v>
      </c>
      <c r="P230" s="7" t="n">
        <v>240.8</v>
      </c>
      <c r="R230" s="7" t="n">
        <v>253.6</v>
      </c>
      <c r="T230" s="7" t="n">
        <v>389.4</v>
      </c>
      <c r="V230" s="7" t="n">
        <v>449.4</v>
      </c>
      <c r="X230" s="7" t="n">
        <v>134.2</v>
      </c>
      <c r="Z230" s="7" t="n">
        <v>101.1</v>
      </c>
      <c r="AB230" s="7" t="n">
        <v>2489</v>
      </c>
    </row>
    <row r="231">
      <c r="A231" s="4" t="inlineStr">
        <is>
          <t>检测费</t>
        </is>
      </c>
      <c r="D231" s="7" t="n">
        <v>10.9</v>
      </c>
      <c r="F231" s="7" t="n">
        <v>27.5</v>
      </c>
      <c r="H231" s="7" t="n">
        <v>11.9</v>
      </c>
      <c r="J231" s="7" t="n">
        <v>26.1</v>
      </c>
      <c r="L231" s="7" t="n">
        <v>19.8</v>
      </c>
      <c r="N231" s="7" t="n">
        <v>35.3</v>
      </c>
      <c r="P231" s="7" t="n">
        <v>34.7</v>
      </c>
      <c r="R231" s="7" t="n">
        <v>52</v>
      </c>
      <c r="T231" s="7" t="n">
        <v>63.1</v>
      </c>
      <c r="V231" s="7" t="n">
        <v>49.7</v>
      </c>
      <c r="X231" s="7" t="n">
        <v>26.2</v>
      </c>
      <c r="Z231" s="7" t="n">
        <v>18.1</v>
      </c>
      <c r="AB231" s="7" t="n">
        <v>375.3</v>
      </c>
    </row>
    <row r="232">
      <c r="A232" s="4" t="inlineStr">
        <is>
          <t>质量赔偿</t>
        </is>
      </c>
      <c r="D232" s="7" t="n">
        <v>22</v>
      </c>
      <c r="F232" s="7" t="n">
        <v>30.8</v>
      </c>
      <c r="H232" s="7" t="n">
        <v>22.3</v>
      </c>
      <c r="J232" s="7" t="n">
        <v>38.3</v>
      </c>
      <c r="L232" s="7" t="n">
        <v>26.4</v>
      </c>
      <c r="N232" s="7" t="n">
        <v>83</v>
      </c>
      <c r="P232" s="7" t="n">
        <v>83.3</v>
      </c>
      <c r="R232" s="7" t="n">
        <v>67.8</v>
      </c>
      <c r="T232" s="7" t="n">
        <v>82.8</v>
      </c>
      <c r="V232" s="7" t="n">
        <v>99.09999999999999</v>
      </c>
      <c r="X232" s="7" t="n">
        <v>51.8</v>
      </c>
      <c r="Z232" s="7" t="n">
        <v>28.4</v>
      </c>
      <c r="AB232" s="7" t="n">
        <v>636</v>
      </c>
    </row>
    <row r="233">
      <c r="A233" s="4" t="inlineStr">
        <is>
          <t>保险费</t>
        </is>
      </c>
      <c r="D233" s="7" t="n">
        <v>56.1</v>
      </c>
      <c r="F233" s="7" t="n">
        <v>157.4</v>
      </c>
      <c r="H233" s="7" t="n">
        <v>65.09999999999999</v>
      </c>
      <c r="J233" s="7" t="n">
        <v>96.8</v>
      </c>
      <c r="L233" s="7" t="n">
        <v>108.5</v>
      </c>
      <c r="N233" s="7" t="n">
        <v>249.2</v>
      </c>
      <c r="P233" s="7" t="n">
        <v>142.4</v>
      </c>
      <c r="R233" s="7" t="n">
        <v>133.7</v>
      </c>
      <c r="T233" s="7" t="n">
        <v>254.8</v>
      </c>
      <c r="V233" s="7" t="n">
        <v>218.7</v>
      </c>
      <c r="X233" s="7" t="n">
        <v>96.59999999999999</v>
      </c>
      <c r="Z233" s="7" t="n">
        <v>60.7</v>
      </c>
      <c r="AB233" s="7" t="n">
        <v>1640</v>
      </c>
    </row>
    <row r="234">
      <c r="A234" s="4" t="inlineStr">
        <is>
          <t>清洁费</t>
        </is>
      </c>
      <c r="D234" s="7" t="n">
        <v>1.3</v>
      </c>
      <c r="F234" s="7" t="n">
        <v>4.8</v>
      </c>
      <c r="H234" s="7" t="n">
        <v>2.7</v>
      </c>
      <c r="J234" s="7" t="n">
        <v>5</v>
      </c>
      <c r="L234" s="7" t="n">
        <v>2.7</v>
      </c>
      <c r="N234" s="7" t="n">
        <v>8.6</v>
      </c>
      <c r="P234" s="7" t="n">
        <v>8</v>
      </c>
      <c r="R234" s="7" t="n">
        <v>5.6</v>
      </c>
      <c r="T234" s="7" t="n">
        <v>12.6</v>
      </c>
      <c r="V234" s="7" t="n">
        <v>7.9</v>
      </c>
      <c r="X234" s="7" t="n">
        <v>5.6</v>
      </c>
      <c r="Z234" s="7" t="n">
        <v>3</v>
      </c>
      <c r="AB234" s="7" t="n">
        <v>67.8</v>
      </c>
    </row>
    <row r="235">
      <c r="A235" s="4" t="inlineStr">
        <is>
          <t>低值易耗品</t>
        </is>
      </c>
      <c r="D235" s="7" t="n">
        <v>29.6</v>
      </c>
      <c r="F235" s="7" t="n">
        <v>64.59999999999999</v>
      </c>
      <c r="H235" s="7" t="n">
        <v>53.3</v>
      </c>
      <c r="J235" s="7" t="n">
        <v>79.5</v>
      </c>
      <c r="L235" s="7" t="n">
        <v>68.40000000000001</v>
      </c>
      <c r="N235" s="7" t="n">
        <v>126.8</v>
      </c>
      <c r="P235" s="7" t="n">
        <v>125.8</v>
      </c>
      <c r="R235" s="7" t="n">
        <v>121.1</v>
      </c>
      <c r="T235" s="7" t="n">
        <v>203.7</v>
      </c>
      <c r="V235" s="7" t="n">
        <v>154.4</v>
      </c>
      <c r="X235" s="7" t="n">
        <v>106.5</v>
      </c>
      <c r="Z235" s="7" t="n">
        <v>53.3</v>
      </c>
      <c r="AB235" s="7" t="n">
        <v>1187</v>
      </c>
    </row>
    <row r="236">
      <c r="A236" s="4" t="inlineStr">
        <is>
          <t>物料消耗</t>
        </is>
      </c>
      <c r="D236" s="7" t="n">
        <v>80.2</v>
      </c>
      <c r="F236" s="7" t="n">
        <v>158.1</v>
      </c>
      <c r="H236" s="7" t="n">
        <v>118.4</v>
      </c>
      <c r="J236" s="7" t="n">
        <v>253.8</v>
      </c>
      <c r="L236" s="7" t="n">
        <v>126.7</v>
      </c>
      <c r="N236" s="7" t="n">
        <v>236.6</v>
      </c>
      <c r="P236" s="7" t="n">
        <v>211.9</v>
      </c>
      <c r="R236" s="7" t="n">
        <v>260.5</v>
      </c>
      <c r="T236" s="7" t="n">
        <v>489.2</v>
      </c>
      <c r="V236" s="7" t="n">
        <v>479.2</v>
      </c>
      <c r="X236" s="7" t="n">
        <v>168.6</v>
      </c>
      <c r="Z236" s="7" t="n">
        <v>110.3</v>
      </c>
      <c r="AB236" s="7" t="n">
        <v>2693.5</v>
      </c>
    </row>
    <row r="237">
      <c r="A237" s="4" t="inlineStr">
        <is>
          <t>盘盈盘亏</t>
        </is>
      </c>
      <c r="D237" s="7" t="n">
        <v>2.1</v>
      </c>
      <c r="F237" s="7" t="n">
        <v>4.4</v>
      </c>
      <c r="H237" s="7" t="n">
        <v>2</v>
      </c>
      <c r="J237" s="7" t="n">
        <v>5.4</v>
      </c>
      <c r="L237" s="7" t="n">
        <v>4.5</v>
      </c>
      <c r="N237" s="7" t="n">
        <v>8.699999999999999</v>
      </c>
      <c r="P237" s="7" t="n">
        <v>6.1</v>
      </c>
      <c r="R237" s="7" t="n">
        <v>8.5</v>
      </c>
      <c r="T237" s="7" t="n">
        <v>10.4</v>
      </c>
      <c r="V237" s="7" t="n">
        <v>8.6</v>
      </c>
      <c r="X237" s="7" t="n">
        <v>4.4</v>
      </c>
      <c r="Z237" s="7" t="n">
        <v>2.6</v>
      </c>
      <c r="AB237" s="7" t="n">
        <v>67.7</v>
      </c>
    </row>
    <row r="238">
      <c r="A238" s="4" t="inlineStr">
        <is>
          <t>平台服务费</t>
        </is>
      </c>
      <c r="D238" s="7" t="n">
        <v>32</v>
      </c>
      <c r="F238" s="7" t="n">
        <v>77.8</v>
      </c>
      <c r="H238" s="7" t="n">
        <v>38.6</v>
      </c>
      <c r="J238" s="7" t="n">
        <v>115.6</v>
      </c>
      <c r="L238" s="7" t="n">
        <v>76.40000000000001</v>
      </c>
      <c r="N238" s="7" t="n">
        <v>155.7</v>
      </c>
      <c r="P238" s="7" t="n">
        <v>96.5</v>
      </c>
      <c r="R238" s="7" t="n">
        <v>121.7</v>
      </c>
      <c r="T238" s="7" t="n">
        <v>222.3</v>
      </c>
      <c r="V238" s="7" t="n">
        <v>171.1</v>
      </c>
      <c r="X238" s="7" t="n">
        <v>114.3</v>
      </c>
      <c r="Z238" s="7" t="n">
        <v>42.9</v>
      </c>
      <c r="AB238" s="7" t="n">
        <v>1264.9</v>
      </c>
    </row>
    <row r="239">
      <c r="A239" s="4" t="inlineStr">
        <is>
          <t>无形资产摊销</t>
        </is>
      </c>
      <c r="D239" s="7" t="n">
        <v>72.5</v>
      </c>
      <c r="F239" s="7" t="n">
        <v>154.1</v>
      </c>
      <c r="H239" s="7" t="n">
        <v>88.09999999999999</v>
      </c>
      <c r="J239" s="7" t="n">
        <v>205.5</v>
      </c>
      <c r="L239" s="7" t="n">
        <v>125.1</v>
      </c>
      <c r="N239" s="7" t="n">
        <v>215.3</v>
      </c>
      <c r="P239" s="7" t="n">
        <v>194.4</v>
      </c>
      <c r="R239" s="7" t="n">
        <v>323.5</v>
      </c>
      <c r="T239" s="7" t="n">
        <v>447.2</v>
      </c>
      <c r="V239" s="7" t="n">
        <v>393.7</v>
      </c>
      <c r="X239" s="7" t="n">
        <v>171.5</v>
      </c>
      <c r="Z239" s="7" t="n">
        <v>111.2</v>
      </c>
      <c r="AB239" s="7" t="n">
        <v>2502.1</v>
      </c>
    </row>
    <row r="240">
      <c r="A240" s="4" t="inlineStr">
        <is>
          <t>研发材料</t>
        </is>
      </c>
      <c r="D240" s="7" t="n">
        <v>62.7</v>
      </c>
      <c r="F240" s="7" t="n">
        <v>201.8</v>
      </c>
      <c r="H240" s="7" t="n">
        <v>83.90000000000001</v>
      </c>
      <c r="J240" s="7" t="n">
        <v>198.4</v>
      </c>
      <c r="L240" s="7" t="n">
        <v>131.7</v>
      </c>
      <c r="N240" s="7" t="n">
        <v>327.8</v>
      </c>
      <c r="P240" s="7" t="n">
        <v>275.8</v>
      </c>
      <c r="R240" s="7" t="n">
        <v>264</v>
      </c>
      <c r="T240" s="7" t="n">
        <v>382.6</v>
      </c>
      <c r="V240" s="7" t="n">
        <v>338.5</v>
      </c>
      <c r="X240" s="7" t="n">
        <v>129</v>
      </c>
      <c r="Z240" s="7" t="n">
        <v>110.7</v>
      </c>
      <c r="AB240" s="7" t="n">
        <v>2506.9</v>
      </c>
    </row>
    <row r="241">
      <c r="A241" s="4" t="inlineStr">
        <is>
          <t>项目名称</t>
        </is>
      </c>
      <c r="D241" s="7" t="n">
        <v>8.300000000000001</v>
      </c>
      <c r="F241" s="7" t="n">
        <v>21.2</v>
      </c>
      <c r="H241" s="7" t="n">
        <v>12.3</v>
      </c>
      <c r="J241" s="7" t="n">
        <v>20.8</v>
      </c>
      <c r="L241" s="7" t="n">
        <v>13.5</v>
      </c>
      <c r="N241" s="7" t="n">
        <v>29.4</v>
      </c>
      <c r="P241" s="7" t="n">
        <v>39.1</v>
      </c>
      <c r="R241" s="7" t="n">
        <v>38.2</v>
      </c>
      <c r="T241" s="7" t="n">
        <v>39.9</v>
      </c>
      <c r="V241" s="7" t="n">
        <v>41.7</v>
      </c>
      <c r="X241" s="7" t="n">
        <v>21.7</v>
      </c>
      <c r="Z241" s="7" t="n">
        <v>12.6</v>
      </c>
      <c r="AB241" s="7" t="n">
        <v>298.7</v>
      </c>
    </row>
    <row r="242">
      <c r="A242" s="4" t="inlineStr">
        <is>
          <t>研发费</t>
        </is>
      </c>
      <c r="D242" s="7" t="n">
        <v>22.8</v>
      </c>
      <c r="F242" s="7" t="n">
        <v>56.6</v>
      </c>
      <c r="H242" s="7" t="n">
        <v>32.5</v>
      </c>
      <c r="J242" s="7" t="n">
        <v>96.3</v>
      </c>
      <c r="L242" s="7" t="n">
        <v>57</v>
      </c>
      <c r="N242" s="7" t="n">
        <v>103.5</v>
      </c>
      <c r="P242" s="7" t="n">
        <v>127.5</v>
      </c>
      <c r="R242" s="7" t="n">
        <v>102.3</v>
      </c>
      <c r="T242" s="7" t="n">
        <v>143.3</v>
      </c>
      <c r="V242" s="7" t="n">
        <v>171.2</v>
      </c>
      <c r="X242" s="7" t="n">
        <v>63.7</v>
      </c>
      <c r="Z242" s="7" t="n">
        <v>49</v>
      </c>
      <c r="AB242" s="7" t="n">
        <v>1025.7</v>
      </c>
    </row>
    <row r="243">
      <c r="A243" s="4" t="inlineStr">
        <is>
          <t>残保金</t>
        </is>
      </c>
      <c r="D243" s="7" t="n">
        <v>43.6</v>
      </c>
      <c r="F243" s="7" t="n">
        <v>112</v>
      </c>
      <c r="H243" s="7" t="n">
        <v>89.8</v>
      </c>
      <c r="J243" s="7" t="n">
        <v>165.8</v>
      </c>
      <c r="L243" s="7" t="n">
        <v>78.8</v>
      </c>
      <c r="N243" s="7" t="n">
        <v>238.6</v>
      </c>
      <c r="P243" s="7" t="n">
        <v>193.8</v>
      </c>
      <c r="R243" s="7" t="n">
        <v>159.6</v>
      </c>
      <c r="T243" s="7" t="n">
        <v>281.7</v>
      </c>
      <c r="V243" s="7" t="n">
        <v>291.1</v>
      </c>
      <c r="X243" s="7" t="n">
        <v>135.4</v>
      </c>
      <c r="Z243" s="7" t="n">
        <v>46.8</v>
      </c>
      <c r="AB243" s="7" t="n">
        <v>1837</v>
      </c>
    </row>
    <row r="244">
      <c r="A244" s="4" t="inlineStr">
        <is>
          <t>环保费</t>
        </is>
      </c>
      <c r="D244" s="7" t="n">
        <v>42.8</v>
      </c>
      <c r="F244" s="7" t="n">
        <v>108.9</v>
      </c>
      <c r="H244" s="7" t="n">
        <v>84.5</v>
      </c>
      <c r="J244" s="7" t="n">
        <v>170</v>
      </c>
      <c r="L244" s="7" t="n">
        <v>105</v>
      </c>
      <c r="N244" s="7" t="n">
        <v>261.6</v>
      </c>
      <c r="P244" s="7" t="n">
        <v>233.4</v>
      </c>
      <c r="R244" s="7" t="n">
        <v>224.5</v>
      </c>
      <c r="T244" s="7" t="n">
        <v>281.7</v>
      </c>
      <c r="V244" s="7" t="n">
        <v>250.9</v>
      </c>
      <c r="X244" s="7" t="n">
        <v>165.6</v>
      </c>
      <c r="Z244" s="7" t="n">
        <v>69.09999999999999</v>
      </c>
      <c r="AB244" s="7" t="n">
        <v>1998</v>
      </c>
    </row>
    <row r="245">
      <c r="A245" s="4" t="inlineStr">
        <is>
          <t>报废损失</t>
        </is>
      </c>
      <c r="D245" s="7" t="n">
        <v>71.40000000000001</v>
      </c>
      <c r="F245" s="7" t="n">
        <v>236.2</v>
      </c>
      <c r="H245" s="7" t="n">
        <v>80.59999999999999</v>
      </c>
      <c r="J245" s="7" t="n">
        <v>259.9</v>
      </c>
      <c r="L245" s="7" t="n">
        <v>185.5</v>
      </c>
      <c r="N245" s="7" t="n">
        <v>413.2</v>
      </c>
      <c r="P245" s="7" t="n">
        <v>236.9</v>
      </c>
      <c r="R245" s="7" t="n">
        <v>234.1</v>
      </c>
      <c r="T245" s="7" t="n">
        <v>504.8</v>
      </c>
      <c r="V245" s="7" t="n">
        <v>381.3</v>
      </c>
      <c r="X245" s="7" t="n">
        <v>227.8</v>
      </c>
      <c r="Z245" s="7" t="n">
        <v>87.09999999999999</v>
      </c>
      <c r="AB245" s="7" t="n">
        <v>2918.8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6908.1</v>
      </c>
      <c r="D246" s="7" t="n">
        <v>15053.7</v>
      </c>
      <c r="E246" s="7" t="n">
        <v>7184</v>
      </c>
      <c r="F246" s="7" t="n">
        <v>-337.8</v>
      </c>
      <c r="G246" s="7" t="n">
        <v>6239.4</v>
      </c>
      <c r="H246" s="7" t="n">
        <v>16579.7</v>
      </c>
      <c r="I246" s="7" t="n">
        <v>7407.2</v>
      </c>
      <c r="J246" s="7" t="n">
        <v>-2038.4</v>
      </c>
      <c r="K246" s="7" t="n">
        <v>5885.7</v>
      </c>
      <c r="L246" s="7" t="n">
        <v>5036.2</v>
      </c>
      <c r="M246" s="7" t="n">
        <v>5614</v>
      </c>
      <c r="N246" s="7" t="n">
        <v>2773.9</v>
      </c>
      <c r="O246" s="7" t="n">
        <v>6847.8</v>
      </c>
      <c r="P246" s="7" t="n">
        <v>13599.4</v>
      </c>
      <c r="Q246" s="7" t="n">
        <v>5696.5</v>
      </c>
      <c r="R246" s="7" t="n">
        <v>8197.299999999999</v>
      </c>
      <c r="S246" s="7" t="n">
        <v>6358.9</v>
      </c>
      <c r="T246" s="7" t="n">
        <v>-4895.2</v>
      </c>
      <c r="U246" s="7" t="n">
        <v>7098.3</v>
      </c>
      <c r="V246" s="7" t="n">
        <v>18649.2</v>
      </c>
      <c r="W246" s="7" t="n">
        <v>6700.5</v>
      </c>
      <c r="X246" s="7" t="n">
        <v>7416.8</v>
      </c>
      <c r="Y246" s="7" t="n">
        <v>7261.8</v>
      </c>
      <c r="Z246" s="7" t="n">
        <v>-2488</v>
      </c>
      <c r="AA246" s="8" t="n">
        <v>79202.2</v>
      </c>
      <c r="AB246" s="8" t="n">
        <v>77546.8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-4505</v>
      </c>
      <c r="E248" s="7" t="n">
        <v>0</v>
      </c>
      <c r="F248" s="7" t="n">
        <v>-4105.3</v>
      </c>
      <c r="G248" s="7" t="n">
        <v>0</v>
      </c>
      <c r="H248" s="7" t="n">
        <v>-2239.8</v>
      </c>
      <c r="I248" s="7" t="n">
        <v>0</v>
      </c>
      <c r="J248" s="7" t="n">
        <v>4383.6</v>
      </c>
      <c r="K248" s="7" t="n">
        <v>0</v>
      </c>
      <c r="L248" s="7" t="n">
        <v>-2901.4</v>
      </c>
      <c r="M248" s="7" t="n">
        <v>0</v>
      </c>
      <c r="N248" s="7" t="n">
        <v>4189.8</v>
      </c>
      <c r="O248" s="7" t="n">
        <v>0</v>
      </c>
      <c r="P248" s="7" t="n">
        <v>-251.6</v>
      </c>
      <c r="Q248" s="7" t="n">
        <v>0</v>
      </c>
      <c r="R248" s="7" t="n">
        <v>-3832.2</v>
      </c>
      <c r="S248" s="7" t="n">
        <v>0</v>
      </c>
      <c r="T248" s="7" t="n">
        <v>-3930.6</v>
      </c>
      <c r="U248" s="7" t="n">
        <v>0</v>
      </c>
      <c r="V248" s="7" t="n">
        <v>1898.6</v>
      </c>
      <c r="W248" s="7" t="n">
        <v>0</v>
      </c>
      <c r="X248" s="7" t="n">
        <v>2475.4</v>
      </c>
      <c r="Y248" s="7" t="n">
        <v>0</v>
      </c>
      <c r="Z248" s="7" t="n">
        <v>896.9</v>
      </c>
      <c r="AA248" s="7" t="n">
        <v>0</v>
      </c>
      <c r="AB248" s="7" t="n">
        <v>-7921.6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19803.3</v>
      </c>
      <c r="D253" s="7" t="n">
        <v>13999</v>
      </c>
      <c r="E253" s="7" t="n">
        <v>15934.3</v>
      </c>
      <c r="F253" s="7" t="n">
        <v>19566.9</v>
      </c>
      <c r="G253" s="7" t="n">
        <v>18455.7</v>
      </c>
      <c r="H253" s="7" t="n">
        <v>12448.2</v>
      </c>
      <c r="I253" s="7" t="n">
        <v>16197.2</v>
      </c>
      <c r="J253" s="7" t="n">
        <v>23420.2</v>
      </c>
      <c r="K253" s="7" t="n">
        <v>19233</v>
      </c>
      <c r="L253" s="7" t="n">
        <v>3148.9</v>
      </c>
      <c r="M253" s="7" t="n">
        <v>20323.4</v>
      </c>
      <c r="N253" s="7" t="n">
        <v>18910.2</v>
      </c>
      <c r="O253" s="7" t="n">
        <v>19167.3</v>
      </c>
      <c r="P253" s="7" t="n">
        <v>11638.6</v>
      </c>
      <c r="Q253" s="7" t="n">
        <v>20191.3</v>
      </c>
      <c r="R253" s="7" t="n">
        <v>27819.4</v>
      </c>
      <c r="S253" s="7" t="n">
        <v>17468.6</v>
      </c>
      <c r="T253" s="7" t="n">
        <v>22816.8</v>
      </c>
      <c r="U253" s="7" t="n">
        <v>17667.5</v>
      </c>
      <c r="V253" s="7" t="n">
        <v>28197.2</v>
      </c>
      <c r="W253" s="7" t="n">
        <v>15705</v>
      </c>
      <c r="X253" s="7" t="n">
        <v>20512.3</v>
      </c>
      <c r="Y253" s="7" t="n">
        <v>16318.6</v>
      </c>
      <c r="Z253" s="7" t="n">
        <v>18505.2</v>
      </c>
      <c r="AA253" s="7" t="n">
        <v>216465.2</v>
      </c>
      <c r="AB253" s="7" t="n">
        <v>220982.9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108543.8</v>
      </c>
      <c r="D254" s="7" t="n">
        <v>49175.9</v>
      </c>
      <c r="E254" s="7" t="n">
        <v>120614.3</v>
      </c>
      <c r="F254" s="7" t="n">
        <v>56843.6</v>
      </c>
      <c r="G254" s="7" t="n">
        <v>131299.8</v>
      </c>
      <c r="H254" s="7" t="n">
        <v>81720.60000000001</v>
      </c>
      <c r="I254" s="7" t="n">
        <v>129641.3</v>
      </c>
      <c r="J254" s="7" t="n">
        <v>136504.7</v>
      </c>
      <c r="K254" s="7" t="n">
        <v>120613.1</v>
      </c>
      <c r="L254" s="7" t="n">
        <v>164748.9</v>
      </c>
      <c r="M254" s="7" t="n">
        <v>138060.3</v>
      </c>
      <c r="N254" s="7" t="n">
        <v>79459.39999999999</v>
      </c>
      <c r="O254" s="7" t="n">
        <v>107381.3</v>
      </c>
      <c r="P254" s="7" t="n">
        <v>237302.1</v>
      </c>
      <c r="Q254" s="7" t="n">
        <v>104520.8</v>
      </c>
      <c r="R254" s="7" t="n">
        <v>145110.7</v>
      </c>
      <c r="S254" s="7" t="n">
        <v>128735.3</v>
      </c>
      <c r="T254" s="7" t="n">
        <v>156491.6</v>
      </c>
      <c r="U254" s="7" t="n">
        <v>107574.4</v>
      </c>
      <c r="V254" s="7" t="n">
        <v>190399.7</v>
      </c>
      <c r="W254" s="7" t="n">
        <v>126006.4</v>
      </c>
      <c r="X254" s="7" t="n">
        <v>120228.5</v>
      </c>
      <c r="Y254" s="7" t="n">
        <v>139172.9</v>
      </c>
      <c r="Z254" s="7" t="n">
        <v>43423.3</v>
      </c>
      <c r="AA254" s="8" t="n">
        <v>1462163.7</v>
      </c>
      <c r="AB254" s="8" t="n">
        <v>1461409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773.1</v>
      </c>
      <c r="E255" s="7" t="n">
        <v>0</v>
      </c>
      <c r="F255" s="7" t="n">
        <v>4468.8</v>
      </c>
      <c r="G255" s="7" t="n">
        <v>0</v>
      </c>
      <c r="H255" s="7" t="n">
        <v>3384.2</v>
      </c>
      <c r="I255" s="7" t="n">
        <v>0</v>
      </c>
      <c r="J255" s="7" t="n">
        <v>4395.6</v>
      </c>
      <c r="K255" s="7" t="n">
        <v>0</v>
      </c>
      <c r="L255" s="7" t="n">
        <v>2940.4</v>
      </c>
      <c r="M255" s="7" t="n">
        <v>0</v>
      </c>
      <c r="N255" s="7" t="n">
        <v>4939.2</v>
      </c>
      <c r="O255" s="7" t="n">
        <v>0</v>
      </c>
      <c r="P255" s="7" t="n">
        <v>1256.6</v>
      </c>
      <c r="Q255" s="7" t="n">
        <v>0</v>
      </c>
      <c r="R255" s="7" t="n">
        <v>2452.1</v>
      </c>
      <c r="S255" s="7" t="n">
        <v>0</v>
      </c>
      <c r="T255" s="7" t="n">
        <v>603.1</v>
      </c>
      <c r="U255" s="7" t="n">
        <v>0</v>
      </c>
      <c r="V255" s="7" t="n">
        <v>989.8</v>
      </c>
      <c r="W255" s="7" t="n">
        <v>0</v>
      </c>
      <c r="X255" s="7" t="n">
        <v>1694.2</v>
      </c>
      <c r="Y255" s="7" t="n">
        <v>0</v>
      </c>
      <c r="Z255" s="7" t="n">
        <v>1133.4</v>
      </c>
      <c r="AA255" s="7" t="n">
        <v>0</v>
      </c>
      <c r="AB255" s="7" t="n">
        <v>29030.5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1342.2</v>
      </c>
      <c r="E256" s="7" t="n">
        <v>0</v>
      </c>
      <c r="F256" s="7" t="n">
        <v>1257.7</v>
      </c>
      <c r="G256" s="7" t="n">
        <v>0</v>
      </c>
      <c r="H256" s="7" t="n">
        <v>2589.9</v>
      </c>
      <c r="I256" s="7" t="n">
        <v>0</v>
      </c>
      <c r="J256" s="7" t="n">
        <v>2699</v>
      </c>
      <c r="K256" s="7" t="n">
        <v>0</v>
      </c>
      <c r="L256" s="7" t="n">
        <v>20.9</v>
      </c>
      <c r="M256" s="7" t="n">
        <v>0</v>
      </c>
      <c r="N256" s="7" t="n">
        <v>2394.8</v>
      </c>
      <c r="O256" s="7" t="n">
        <v>0</v>
      </c>
      <c r="P256" s="7" t="n">
        <v>1641.1</v>
      </c>
      <c r="Q256" s="7" t="n">
        <v>0</v>
      </c>
      <c r="R256" s="7" t="n">
        <v>2021.2</v>
      </c>
      <c r="S256" s="7" t="n">
        <v>0</v>
      </c>
      <c r="T256" s="7" t="n">
        <v>2149</v>
      </c>
      <c r="U256" s="7" t="n">
        <v>0</v>
      </c>
      <c r="V256" s="7" t="n">
        <v>1099</v>
      </c>
      <c r="W256" s="7" t="n">
        <v>0</v>
      </c>
      <c r="X256" s="7" t="n">
        <v>1055.7</v>
      </c>
      <c r="Y256" s="7" t="n">
        <v>0</v>
      </c>
      <c r="Z256" s="7" t="n">
        <v>2601.4</v>
      </c>
      <c r="AA256" s="7" t="n">
        <v>0</v>
      </c>
      <c r="AB256" s="7" t="n">
        <v>20871.9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105022.4</v>
      </c>
      <c r="D257" s="7" t="n">
        <v>49180.8</v>
      </c>
      <c r="E257" s="7" t="n">
        <v>139961.6</v>
      </c>
      <c r="F257" s="7" t="n">
        <v>51326.7</v>
      </c>
      <c r="G257" s="7" t="n">
        <v>125666.1</v>
      </c>
      <c r="H257" s="7" t="n">
        <v>84194</v>
      </c>
      <c r="I257" s="7" t="n">
        <v>131553.1</v>
      </c>
      <c r="J257" s="7" t="n">
        <v>141122.1</v>
      </c>
      <c r="K257" s="7" t="n">
        <v>123801.5</v>
      </c>
      <c r="L257" s="7" t="n">
        <v>157933.6</v>
      </c>
      <c r="M257" s="7" t="n">
        <v>134607</v>
      </c>
      <c r="N257" s="7" t="n">
        <v>84201.60000000001</v>
      </c>
      <c r="O257" s="7" t="n">
        <v>113125</v>
      </c>
      <c r="P257" s="7" t="n">
        <v>219976.8</v>
      </c>
      <c r="Q257" s="7" t="n">
        <v>128003.9</v>
      </c>
      <c r="R257" s="7" t="n">
        <v>156032.9</v>
      </c>
      <c r="S257" s="7" t="n">
        <v>104359.3</v>
      </c>
      <c r="T257" s="7" t="n">
        <v>171014.3</v>
      </c>
      <c r="U257" s="7" t="n">
        <v>132922</v>
      </c>
      <c r="V257" s="7" t="n">
        <v>177538.9</v>
      </c>
      <c r="W257" s="7" t="n">
        <v>128583.9</v>
      </c>
      <c r="X257" s="7" t="n">
        <v>128025.1</v>
      </c>
      <c r="Y257" s="7" t="n">
        <v>116670.1</v>
      </c>
      <c r="Z257" s="7" t="n">
        <v>42474.1</v>
      </c>
      <c r="AA257" s="8" t="n">
        <v>1484275.9</v>
      </c>
      <c r="AB257" s="8" t="n">
        <v>1463020.9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29902.9</v>
      </c>
      <c r="D258" s="7" t="n">
        <v>12295.2</v>
      </c>
      <c r="E258" s="7" t="n">
        <v>32217.8</v>
      </c>
      <c r="F258" s="7" t="n">
        <v>12831.7</v>
      </c>
      <c r="G258" s="7" t="n">
        <v>28156.2</v>
      </c>
      <c r="H258" s="7" t="n">
        <v>21048.5</v>
      </c>
      <c r="I258" s="7" t="n">
        <v>33677.3</v>
      </c>
      <c r="J258" s="7" t="n">
        <v>35280.5</v>
      </c>
      <c r="K258" s="7" t="n">
        <v>34268.7</v>
      </c>
      <c r="L258" s="7" t="n">
        <v>39483.4</v>
      </c>
      <c r="M258" s="7" t="n">
        <v>29242.2</v>
      </c>
      <c r="N258" s="7" t="n">
        <v>21050.4</v>
      </c>
      <c r="O258" s="7" t="n">
        <v>32752.5</v>
      </c>
      <c r="P258" s="7" t="n">
        <v>54994.2</v>
      </c>
      <c r="Q258" s="7" t="n">
        <v>33931.2</v>
      </c>
      <c r="R258" s="7" t="n">
        <v>39008.2</v>
      </c>
      <c r="S258" s="7" t="n">
        <v>27206.4</v>
      </c>
      <c r="T258" s="7" t="n">
        <v>42753.6</v>
      </c>
      <c r="U258" s="7" t="n">
        <v>28850.7</v>
      </c>
      <c r="V258" s="7" t="n">
        <v>44384.7</v>
      </c>
      <c r="W258" s="7" t="n">
        <v>32635.7</v>
      </c>
      <c r="X258" s="7" t="n">
        <v>32006.3</v>
      </c>
      <c r="Y258" s="7" t="n">
        <v>33576.9</v>
      </c>
      <c r="Z258" s="7" t="n">
        <v>10618.5</v>
      </c>
      <c r="AA258" s="7" t="n">
        <v>376418.5</v>
      </c>
      <c r="AB258" s="7" t="n">
        <v>365755.2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144802.6</v>
      </c>
      <c r="D259" s="7" t="n">
        <v>36885.6</v>
      </c>
      <c r="E259" s="7" t="n">
        <v>134936.2</v>
      </c>
      <c r="F259" s="7" t="n">
        <v>38495</v>
      </c>
      <c r="G259" s="7" t="n">
        <v>145069.7</v>
      </c>
      <c r="H259" s="7" t="n">
        <v>63145.5</v>
      </c>
      <c r="I259" s="7" t="n">
        <v>103172.6</v>
      </c>
      <c r="J259" s="7" t="n">
        <v>105841.6</v>
      </c>
      <c r="K259" s="7" t="n">
        <v>129199.5</v>
      </c>
      <c r="L259" s="7" t="n">
        <v>118450.2</v>
      </c>
      <c r="M259" s="7" t="n">
        <v>157695.5</v>
      </c>
      <c r="N259" s="7" t="n">
        <v>63151.2</v>
      </c>
      <c r="O259" s="7" t="n">
        <v>120833.8</v>
      </c>
      <c r="P259" s="7" t="n">
        <v>164982.6</v>
      </c>
      <c r="Q259" s="7" t="n">
        <v>140420.9</v>
      </c>
      <c r="R259" s="7" t="n">
        <v>117024.7</v>
      </c>
      <c r="S259" s="7" t="n">
        <v>96988.3</v>
      </c>
      <c r="T259" s="7" t="n">
        <v>128260.7</v>
      </c>
      <c r="U259" s="7" t="n">
        <v>161119.5</v>
      </c>
      <c r="V259" s="7" t="n">
        <v>133154.2</v>
      </c>
      <c r="W259" s="7" t="n">
        <v>133691.1</v>
      </c>
      <c r="X259" s="7" t="n">
        <v>96018.8</v>
      </c>
      <c r="Y259" s="7" t="n">
        <v>105863.6</v>
      </c>
      <c r="Z259" s="7" t="n">
        <v>31855.6</v>
      </c>
      <c r="AA259" s="8" t="n">
        <v>1573793.3</v>
      </c>
      <c r="AB259" s="8" t="n">
        <v>1097265.7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9899.9</v>
      </c>
      <c r="E260" s="7" t="n">
        <v>0</v>
      </c>
      <c r="F260" s="7" t="n">
        <v>9509.6</v>
      </c>
      <c r="G260" s="7" t="n">
        <v>0</v>
      </c>
      <c r="H260" s="7" t="n">
        <v>7357.6</v>
      </c>
      <c r="I260" s="7" t="n">
        <v>0</v>
      </c>
      <c r="J260" s="7" t="n">
        <v>140.1</v>
      </c>
      <c r="K260" s="7" t="n">
        <v>0</v>
      </c>
      <c r="L260" s="7" t="n">
        <v>32967.4</v>
      </c>
      <c r="M260" s="7" t="n">
        <v>0</v>
      </c>
      <c r="N260" s="7" t="n">
        <v>4122.2</v>
      </c>
      <c r="O260" s="7" t="n">
        <v>0</v>
      </c>
      <c r="P260" s="7" t="n">
        <v>18015</v>
      </c>
      <c r="Q260" s="7" t="n">
        <v>0</v>
      </c>
      <c r="R260" s="7" t="n">
        <v>34378.1</v>
      </c>
      <c r="S260" s="7" t="n">
        <v>0</v>
      </c>
      <c r="T260" s="7" t="n">
        <v>36746.4</v>
      </c>
      <c r="U260" s="7" t="n">
        <v>0</v>
      </c>
      <c r="V260" s="7" t="n">
        <v>25916.2</v>
      </c>
      <c r="W260" s="7" t="n">
        <v>0</v>
      </c>
      <c r="X260" s="7" t="n">
        <v>22089.4</v>
      </c>
      <c r="Y260" s="7" t="n">
        <v>0</v>
      </c>
      <c r="Z260" s="7" t="n">
        <v>8532.1</v>
      </c>
      <c r="AA260" s="7" t="n">
        <v>0</v>
      </c>
      <c r="AB260" s="7" t="n">
        <v>209674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144802.6</v>
      </c>
      <c r="D261" s="7" t="n">
        <v>26985.7</v>
      </c>
      <c r="E261" s="7" t="n">
        <v>134936.2</v>
      </c>
      <c r="F261" s="7" t="n">
        <v>28985.4</v>
      </c>
      <c r="G261" s="7" t="n">
        <v>145069.7</v>
      </c>
      <c r="H261" s="7" t="n">
        <v>55787.9</v>
      </c>
      <c r="I261" s="7" t="n">
        <v>103172.6</v>
      </c>
      <c r="J261" s="7" t="n">
        <v>105701.5</v>
      </c>
      <c r="K261" s="7" t="n">
        <v>129199.5</v>
      </c>
      <c r="L261" s="7" t="n">
        <v>85482.8</v>
      </c>
      <c r="M261" s="7" t="n">
        <v>157695.5</v>
      </c>
      <c r="N261" s="7" t="n">
        <v>59029</v>
      </c>
      <c r="O261" s="7" t="n">
        <v>120833.8</v>
      </c>
      <c r="P261" s="7" t="n">
        <v>146967.6</v>
      </c>
      <c r="Q261" s="7" t="n">
        <v>140420.9</v>
      </c>
      <c r="R261" s="7" t="n">
        <v>82646.60000000001</v>
      </c>
      <c r="S261" s="7" t="n">
        <v>96988.3</v>
      </c>
      <c r="T261" s="7" t="n">
        <v>91514.3</v>
      </c>
      <c r="U261" s="7" t="n">
        <v>161119.5</v>
      </c>
      <c r="V261" s="7" t="n">
        <v>107238</v>
      </c>
      <c r="W261" s="7" t="n">
        <v>133691.1</v>
      </c>
      <c r="X261" s="7" t="n">
        <v>73929.39999999999</v>
      </c>
      <c r="Y261" s="7" t="n">
        <v>105863.6</v>
      </c>
      <c r="Z261" s="7" t="n">
        <v>23323.5</v>
      </c>
      <c r="AA261" s="8" t="n">
        <v>1573793.3</v>
      </c>
      <c r="AB261" s="8" t="n">
        <v>887591.7</v>
      </c>
    </row>
    <row r="262">
      <c r="A262" s="4" t="inlineStr">
        <is>
          <t>净利率</t>
        </is>
      </c>
      <c r="D262" s="13" t="n">
        <v>3.7</v>
      </c>
      <c r="F262" s="13" t="n">
        <v>4.6</v>
      </c>
      <c r="H262" s="13" t="n">
        <v>4.1</v>
      </c>
      <c r="J262" s="13" t="n">
        <v>6.2</v>
      </c>
      <c r="L262" s="13" t="n">
        <v>6.3</v>
      </c>
      <c r="N262" s="13" t="n">
        <v>3</v>
      </c>
      <c r="P262" s="13" t="n">
        <v>7.1</v>
      </c>
      <c r="R262" s="13" t="n">
        <v>6.3</v>
      </c>
      <c r="T262" s="13" t="n">
        <v>6.7</v>
      </c>
      <c r="V262" s="13" t="n">
        <v>5.9</v>
      </c>
      <c r="X262" s="13" t="n">
        <v>6.2</v>
      </c>
      <c r="Z262" s="13" t="n">
        <v>2.9</v>
      </c>
    </row>
    <row r="263">
      <c r="A263" s="4" t="inlineStr">
        <is>
          <t>销售达成率</t>
        </is>
      </c>
      <c r="D263" s="13" t="n">
        <v>59.7</v>
      </c>
      <c r="F263" s="13" t="n">
        <v>56.5</v>
      </c>
      <c r="H263" s="13" t="n">
        <v>94.7</v>
      </c>
      <c r="J263" s="13" t="n">
        <v>107</v>
      </c>
      <c r="L263" s="13" t="n">
        <v>105.6</v>
      </c>
      <c r="N263" s="13" t="n">
        <v>111.7</v>
      </c>
      <c r="P263" s="13" t="n">
        <v>146.1</v>
      </c>
      <c r="R263" s="13" t="n">
        <v>104.6</v>
      </c>
      <c r="T263" s="13" t="n">
        <v>121.3</v>
      </c>
      <c r="V263" s="13" t="n">
        <v>118.4</v>
      </c>
      <c r="X263" s="13" t="n">
        <v>83.7</v>
      </c>
      <c r="Z263" s="13" t="n">
        <v>63.2</v>
      </c>
    </row>
    <row r="264">
      <c r="A264" s="4" t="inlineStr">
        <is>
          <t>净利达成率</t>
        </is>
      </c>
      <c r="D264" s="13" t="n">
        <v>25.5</v>
      </c>
      <c r="F264" s="13" t="n">
        <v>28.5</v>
      </c>
      <c r="H264" s="13" t="n">
        <v>43.5</v>
      </c>
      <c r="J264" s="13" t="n">
        <v>102.6</v>
      </c>
      <c r="L264" s="13" t="n">
        <v>91.7</v>
      </c>
      <c r="N264" s="13" t="n">
        <v>40</v>
      </c>
      <c r="P264" s="13" t="n">
        <v>136.5</v>
      </c>
      <c r="R264" s="13" t="n">
        <v>83.3</v>
      </c>
      <c r="T264" s="13" t="n">
        <v>132.2</v>
      </c>
      <c r="V264" s="13" t="n">
        <v>82.59999999999999</v>
      </c>
      <c r="X264" s="13" t="n">
        <v>71.8</v>
      </c>
      <c r="Z264" s="13" t="n">
        <v>30.1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天猫旗舰利润表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282967.7</v>
      </c>
      <c r="D6" s="7" t="n">
        <v>226143.1</v>
      </c>
      <c r="E6" s="7" t="n">
        <v>302807.8</v>
      </c>
      <c r="F6" s="7" t="n">
        <v>179665.8</v>
      </c>
      <c r="G6" s="7" t="n">
        <v>346593.5</v>
      </c>
      <c r="H6" s="7" t="n">
        <v>304250.6</v>
      </c>
      <c r="I6" s="7" t="n">
        <v>291244</v>
      </c>
      <c r="J6" s="7" t="n">
        <v>354404.9</v>
      </c>
      <c r="K6" s="7" t="n">
        <v>287035.5</v>
      </c>
      <c r="L6" s="7" t="n">
        <v>344387.7</v>
      </c>
      <c r="M6" s="7" t="n">
        <v>326453.8</v>
      </c>
      <c r="N6" s="7" t="n">
        <v>390922.4</v>
      </c>
      <c r="O6" s="7" t="n">
        <v>368275.8</v>
      </c>
      <c r="P6" s="7" t="n">
        <v>437175</v>
      </c>
      <c r="Q6" s="7" t="n">
        <v>325625.7</v>
      </c>
      <c r="R6" s="7" t="n">
        <v>380241.2</v>
      </c>
      <c r="S6" s="7" t="n">
        <v>362661.6</v>
      </c>
      <c r="T6" s="7" t="n">
        <v>312944.5</v>
      </c>
      <c r="U6" s="7" t="n">
        <v>354626.5</v>
      </c>
      <c r="V6" s="7" t="n">
        <v>367597</v>
      </c>
      <c r="W6" s="7" t="n">
        <v>299116.1</v>
      </c>
      <c r="X6" s="7" t="n">
        <v>301193.8</v>
      </c>
      <c r="Y6" s="7" t="n">
        <v>354066.7</v>
      </c>
      <c r="Z6" s="7" t="n">
        <v>226802.4</v>
      </c>
      <c r="AA6" s="8" t="n">
        <v>3901474.7</v>
      </c>
      <c r="AB6" s="8" t="n">
        <v>3825728.4</v>
      </c>
    </row>
    <row r="7">
      <c r="A7" s="4" t="inlineStr">
        <is>
          <t>生鲜蔬果</t>
        </is>
      </c>
      <c r="D7" s="7" t="n">
        <v>32767.6</v>
      </c>
      <c r="F7" s="7" t="n">
        <v>51145.6</v>
      </c>
      <c r="H7" s="7" t="n">
        <v>45724.1</v>
      </c>
      <c r="J7" s="7" t="n">
        <v>66350.39999999999</v>
      </c>
      <c r="L7" s="7" t="n">
        <v>67655.5</v>
      </c>
      <c r="N7" s="7" t="n">
        <v>51503.3</v>
      </c>
      <c r="P7" s="7" t="n">
        <v>94329.8</v>
      </c>
      <c r="R7" s="7" t="n">
        <v>60028.3</v>
      </c>
      <c r="T7" s="7" t="n">
        <v>70113.2</v>
      </c>
      <c r="V7" s="7" t="n">
        <v>81995</v>
      </c>
      <c r="X7" s="7" t="n">
        <v>38734</v>
      </c>
      <c r="Z7" s="7" t="n">
        <v>34198</v>
      </c>
      <c r="AB7" s="7" t="n">
        <v>694544.8</v>
      </c>
    </row>
    <row r="8">
      <c r="A8" s="4" t="inlineStr">
        <is>
          <t>肉禽蛋奶</t>
        </is>
      </c>
      <c r="D8" s="7" t="n">
        <v>37144.6</v>
      </c>
      <c r="F8" s="7" t="n">
        <v>28932.3</v>
      </c>
      <c r="H8" s="7" t="n">
        <v>62044.2</v>
      </c>
      <c r="J8" s="7" t="n">
        <v>35420.7</v>
      </c>
      <c r="L8" s="7" t="n">
        <v>47484.2</v>
      </c>
      <c r="N8" s="7" t="n">
        <v>61181.1</v>
      </c>
      <c r="P8" s="7" t="n">
        <v>54921.3</v>
      </c>
      <c r="R8" s="7" t="n">
        <v>62763</v>
      </c>
      <c r="T8" s="7" t="n">
        <v>38769.9</v>
      </c>
      <c r="V8" s="7" t="n">
        <v>37540.6</v>
      </c>
      <c r="X8" s="7" t="n">
        <v>51625.8</v>
      </c>
      <c r="Z8" s="7" t="n">
        <v>31347.2</v>
      </c>
      <c r="AB8" s="7" t="n">
        <v>549174.9</v>
      </c>
    </row>
    <row r="9">
      <c r="A9" s="4" t="inlineStr">
        <is>
          <t>粮油调味</t>
        </is>
      </c>
      <c r="D9" s="7" t="n">
        <v>59934.2</v>
      </c>
      <c r="F9" s="7" t="n">
        <v>31794.8</v>
      </c>
      <c r="H9" s="7" t="n">
        <v>69611</v>
      </c>
      <c r="J9" s="7" t="n">
        <v>93736.5</v>
      </c>
      <c r="L9" s="7" t="n">
        <v>81002.5</v>
      </c>
      <c r="N9" s="7" t="n">
        <v>101974.6</v>
      </c>
      <c r="P9" s="7" t="n">
        <v>105396</v>
      </c>
      <c r="R9" s="7" t="n">
        <v>77418.2</v>
      </c>
      <c r="T9" s="7" t="n">
        <v>62823.9</v>
      </c>
      <c r="V9" s="7" t="n">
        <v>96946.10000000001</v>
      </c>
      <c r="X9" s="7" t="n">
        <v>83228</v>
      </c>
      <c r="Z9" s="7" t="n">
        <v>45651.2</v>
      </c>
      <c r="AB9" s="7" t="n">
        <v>909517</v>
      </c>
    </row>
    <row r="10">
      <c r="A10" s="4" t="inlineStr">
        <is>
          <t>酒水饮料</t>
        </is>
      </c>
      <c r="D10" s="7" t="n">
        <v>46866.3</v>
      </c>
      <c r="F10" s="7" t="n">
        <v>28468.8</v>
      </c>
      <c r="H10" s="7" t="n">
        <v>64326.7</v>
      </c>
      <c r="J10" s="7" t="n">
        <v>90428</v>
      </c>
      <c r="L10" s="7" t="n">
        <v>67396.60000000001</v>
      </c>
      <c r="N10" s="7" t="n">
        <v>85929.5</v>
      </c>
      <c r="P10" s="7" t="n">
        <v>80303.60000000001</v>
      </c>
      <c r="R10" s="7" t="n">
        <v>94119.8</v>
      </c>
      <c r="T10" s="7" t="n">
        <v>80011.8</v>
      </c>
      <c r="V10" s="7" t="n">
        <v>69851.7</v>
      </c>
      <c r="X10" s="7" t="n">
        <v>59669.5</v>
      </c>
      <c r="Z10" s="7" t="n">
        <v>55877</v>
      </c>
      <c r="AB10" s="7" t="n">
        <v>823249.3</v>
      </c>
    </row>
    <row r="11">
      <c r="A11" s="4" t="inlineStr">
        <is>
          <t>休闲零食</t>
        </is>
      </c>
      <c r="D11" s="7" t="n">
        <v>13962.2</v>
      </c>
      <c r="F11" s="7" t="n">
        <v>9957.700000000001</v>
      </c>
      <c r="H11" s="7" t="n">
        <v>11540.2</v>
      </c>
      <c r="J11" s="7" t="n">
        <v>14414.1</v>
      </c>
      <c r="L11" s="7" t="n">
        <v>11992.9</v>
      </c>
      <c r="N11" s="7" t="n">
        <v>28447.6</v>
      </c>
      <c r="P11" s="7" t="n">
        <v>16946.5</v>
      </c>
      <c r="R11" s="7" t="n">
        <v>17301.9</v>
      </c>
      <c r="T11" s="7" t="n">
        <v>19941</v>
      </c>
      <c r="V11" s="7" t="n">
        <v>17230.1</v>
      </c>
      <c r="X11" s="7" t="n">
        <v>12265.1</v>
      </c>
      <c r="Z11" s="7" t="n">
        <v>12393.6</v>
      </c>
      <c r="AB11" s="7" t="n">
        <v>186392.9</v>
      </c>
    </row>
    <row r="12">
      <c r="A12" s="4" t="inlineStr">
        <is>
          <t>日用百货</t>
        </is>
      </c>
      <c r="D12" s="7" t="n">
        <v>34314.8</v>
      </c>
      <c r="F12" s="7" t="n">
        <v>31585.4</v>
      </c>
      <c r="H12" s="7" t="n">
        <v>54713.1</v>
      </c>
      <c r="J12" s="7" t="n">
        <v>56807.8</v>
      </c>
      <c r="L12" s="7" t="n">
        <v>70976.3</v>
      </c>
      <c r="N12" s="7" t="n">
        <v>70266.2</v>
      </c>
      <c r="P12" s="7" t="n">
        <v>92831.5</v>
      </c>
      <c r="R12" s="7" t="n">
        <v>73549.60000000001</v>
      </c>
      <c r="T12" s="7" t="n">
        <v>47586.5</v>
      </c>
      <c r="V12" s="7" t="n">
        <v>71016.60000000001</v>
      </c>
      <c r="X12" s="7" t="n">
        <v>57149.1</v>
      </c>
      <c r="Z12" s="7" t="n">
        <v>47997.2</v>
      </c>
      <c r="AB12" s="7" t="n">
        <v>708794.1</v>
      </c>
    </row>
    <row r="13">
      <c r="A13" s="4" t="inlineStr">
        <is>
          <t>返利</t>
        </is>
      </c>
      <c r="D13" s="7" t="n">
        <v>-2954.3</v>
      </c>
      <c r="F13" s="7" t="n">
        <v>-4905.6</v>
      </c>
      <c r="H13" s="7" t="n">
        <v>-7408.4</v>
      </c>
      <c r="J13" s="7" t="n">
        <v>-8534.9</v>
      </c>
      <c r="L13" s="7" t="n">
        <v>-7761.8</v>
      </c>
      <c r="N13" s="7" t="n">
        <v>-10906.6</v>
      </c>
      <c r="P13" s="7" t="n">
        <v>-9587.299999999999</v>
      </c>
      <c r="R13" s="7" t="n">
        <v>-6074.8</v>
      </c>
      <c r="T13" s="7" t="n">
        <v>-8653.4</v>
      </c>
      <c r="V13" s="7" t="n">
        <v>-7517</v>
      </c>
      <c r="X13" s="7" t="n">
        <v>-4360.8</v>
      </c>
      <c r="Z13" s="7" t="n">
        <v>-2321.1</v>
      </c>
      <c r="AB13" s="7" t="n">
        <v>-80986</v>
      </c>
    </row>
    <row r="14">
      <c r="A14" s="4" t="inlineStr">
        <is>
          <t>其他</t>
        </is>
      </c>
      <c r="D14" s="7" t="n">
        <v>4107.7</v>
      </c>
      <c r="F14" s="7" t="n">
        <v>2686.8</v>
      </c>
      <c r="H14" s="7" t="n">
        <v>3699.7</v>
      </c>
      <c r="J14" s="7" t="n">
        <v>5782.3</v>
      </c>
      <c r="L14" s="7" t="n">
        <v>5641.5</v>
      </c>
      <c r="N14" s="7" t="n">
        <v>2526.7</v>
      </c>
      <c r="P14" s="7" t="n">
        <v>2033.6</v>
      </c>
      <c r="R14" s="7" t="n">
        <v>1135.2</v>
      </c>
      <c r="T14" s="7" t="n">
        <v>2351.6</v>
      </c>
      <c r="V14" s="7" t="n">
        <v>533.9</v>
      </c>
      <c r="X14" s="7" t="n">
        <v>2883.1</v>
      </c>
      <c r="Z14" s="7" t="n">
        <v>1659.3</v>
      </c>
      <c r="AB14" s="7" t="n">
        <v>35041.4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240005.7</v>
      </c>
      <c r="D15" s="7" t="n">
        <v>177615.4</v>
      </c>
      <c r="E15" s="7" t="n">
        <v>277560.6</v>
      </c>
      <c r="F15" s="7" t="n">
        <v>144614.7</v>
      </c>
      <c r="G15" s="7" t="n">
        <v>282140</v>
      </c>
      <c r="H15" s="7" t="n">
        <v>240183.6</v>
      </c>
      <c r="I15" s="7" t="n">
        <v>236228.9</v>
      </c>
      <c r="J15" s="7" t="n">
        <v>276685.8</v>
      </c>
      <c r="K15" s="7" t="n">
        <v>253134.8</v>
      </c>
      <c r="L15" s="7" t="n">
        <v>274502.3</v>
      </c>
      <c r="M15" s="7" t="n">
        <v>234970.7</v>
      </c>
      <c r="N15" s="7" t="n">
        <v>308446.8</v>
      </c>
      <c r="O15" s="7" t="n">
        <v>290737</v>
      </c>
      <c r="P15" s="7" t="n">
        <v>352179.4</v>
      </c>
      <c r="Q15" s="7" t="n">
        <v>252520.5</v>
      </c>
      <c r="R15" s="7" t="n">
        <v>306980</v>
      </c>
      <c r="S15" s="7" t="n">
        <v>277566.5</v>
      </c>
      <c r="T15" s="7" t="n">
        <v>254368.2</v>
      </c>
      <c r="U15" s="7" t="n">
        <v>259709.2</v>
      </c>
      <c r="V15" s="7" t="n">
        <v>291166.2</v>
      </c>
      <c r="W15" s="7" t="n">
        <v>247499</v>
      </c>
      <c r="X15" s="7" t="n">
        <v>236571</v>
      </c>
      <c r="Y15" s="7" t="n">
        <v>288118.3</v>
      </c>
      <c r="Z15" s="7" t="n">
        <v>175517.1</v>
      </c>
      <c r="AA15" s="8" t="n">
        <v>3140191.2</v>
      </c>
      <c r="AB15" s="8" t="n">
        <v>3038830.5</v>
      </c>
    </row>
    <row r="16">
      <c r="A16" s="4" t="inlineStr">
        <is>
          <t>生鲜蔬果</t>
        </is>
      </c>
      <c r="D16" s="7" t="n">
        <v>26331.3</v>
      </c>
      <c r="F16" s="7" t="n">
        <v>41099.5</v>
      </c>
      <c r="H16" s="7" t="n">
        <v>36742.9</v>
      </c>
      <c r="J16" s="7" t="n">
        <v>53317.8</v>
      </c>
      <c r="L16" s="7" t="n">
        <v>54366.5</v>
      </c>
      <c r="N16" s="7" t="n">
        <v>41387</v>
      </c>
      <c r="P16" s="7" t="n">
        <v>75801.39999999999</v>
      </c>
      <c r="R16" s="7" t="n">
        <v>48237.5</v>
      </c>
      <c r="T16" s="7" t="n">
        <v>56341.5</v>
      </c>
      <c r="V16" s="7" t="n">
        <v>65889.39999999999</v>
      </c>
      <c r="X16" s="7" t="n">
        <v>31125.8</v>
      </c>
      <c r="Z16" s="7" t="n">
        <v>27480.8</v>
      </c>
      <c r="AB16" s="7" t="n">
        <v>558121.4</v>
      </c>
    </row>
    <row r="17">
      <c r="A17" s="4" t="inlineStr">
        <is>
          <t>肉禽蛋奶</t>
        </is>
      </c>
      <c r="D17" s="7" t="n">
        <v>28225.4</v>
      </c>
      <c r="F17" s="7" t="n">
        <v>21985</v>
      </c>
      <c r="H17" s="7" t="n">
        <v>47146</v>
      </c>
      <c r="J17" s="7" t="n">
        <v>26915.4</v>
      </c>
      <c r="L17" s="7" t="n">
        <v>36082.2</v>
      </c>
      <c r="N17" s="7" t="n">
        <v>46490.2</v>
      </c>
      <c r="P17" s="7" t="n">
        <v>41733.5</v>
      </c>
      <c r="R17" s="7" t="n">
        <v>47692.2</v>
      </c>
      <c r="T17" s="7" t="n">
        <v>29460.4</v>
      </c>
      <c r="V17" s="7" t="n">
        <v>28526.3</v>
      </c>
      <c r="X17" s="7" t="n">
        <v>39229.3</v>
      </c>
      <c r="Z17" s="7" t="n">
        <v>23820</v>
      </c>
      <c r="AB17" s="7" t="n">
        <v>417305.9</v>
      </c>
    </row>
    <row r="18">
      <c r="A18" s="4" t="inlineStr">
        <is>
          <t>粮油调味</t>
        </is>
      </c>
      <c r="D18" s="7" t="n">
        <v>42104.9</v>
      </c>
      <c r="F18" s="7" t="n">
        <v>22336.4</v>
      </c>
      <c r="H18" s="7" t="n">
        <v>48903</v>
      </c>
      <c r="J18" s="7" t="n">
        <v>65851.60000000001</v>
      </c>
      <c r="L18" s="7" t="n">
        <v>56905.8</v>
      </c>
      <c r="N18" s="7" t="n">
        <v>71639.10000000001</v>
      </c>
      <c r="P18" s="7" t="n">
        <v>74042.60000000001</v>
      </c>
      <c r="R18" s="7" t="n">
        <v>54387.7</v>
      </c>
      <c r="T18" s="7" t="n">
        <v>44135</v>
      </c>
      <c r="V18" s="7" t="n">
        <v>68106.39999999999</v>
      </c>
      <c r="X18" s="7" t="n">
        <v>58469.2</v>
      </c>
      <c r="Z18" s="7" t="n">
        <v>32070.8</v>
      </c>
      <c r="AB18" s="7" t="n">
        <v>638952.5</v>
      </c>
    </row>
    <row r="19">
      <c r="A19" s="4" t="inlineStr">
        <is>
          <t>酒水饮料</t>
        </is>
      </c>
      <c r="D19" s="7" t="n">
        <v>33975.3</v>
      </c>
      <c r="F19" s="7" t="n">
        <v>20638.2</v>
      </c>
      <c r="H19" s="7" t="n">
        <v>46633</v>
      </c>
      <c r="J19" s="7" t="n">
        <v>65554.89999999999</v>
      </c>
      <c r="L19" s="7" t="n">
        <v>48858.5</v>
      </c>
      <c r="N19" s="7" t="n">
        <v>62293.7</v>
      </c>
      <c r="P19" s="7" t="n">
        <v>58215.3</v>
      </c>
      <c r="R19" s="7" t="n">
        <v>68231.2</v>
      </c>
      <c r="T19" s="7" t="n">
        <v>58003.7</v>
      </c>
      <c r="V19" s="7" t="n">
        <v>50638.3</v>
      </c>
      <c r="X19" s="7" t="n">
        <v>43256.8</v>
      </c>
      <c r="Z19" s="7" t="n">
        <v>40507.5</v>
      </c>
      <c r="AB19" s="7" t="n">
        <v>596806.4</v>
      </c>
    </row>
    <row r="20">
      <c r="A20" s="4" t="inlineStr">
        <is>
          <t>休闲零食</t>
        </is>
      </c>
      <c r="D20" s="7" t="n">
        <v>10451.1</v>
      </c>
      <c r="F20" s="7" t="n">
        <v>7453.6</v>
      </c>
      <c r="H20" s="7" t="n">
        <v>8638.200000000001</v>
      </c>
      <c r="J20" s="7" t="n">
        <v>10789.4</v>
      </c>
      <c r="L20" s="7" t="n">
        <v>8977</v>
      </c>
      <c r="N20" s="7" t="n">
        <v>21293.8</v>
      </c>
      <c r="P20" s="7" t="n">
        <v>12684.9</v>
      </c>
      <c r="R20" s="7" t="n">
        <v>12950.9</v>
      </c>
      <c r="T20" s="7" t="n">
        <v>14926.4</v>
      </c>
      <c r="V20" s="7" t="n">
        <v>12897.2</v>
      </c>
      <c r="X20" s="7" t="n">
        <v>9180.799999999999</v>
      </c>
      <c r="Z20" s="7" t="n">
        <v>9277</v>
      </c>
      <c r="AB20" s="7" t="n">
        <v>139520.3</v>
      </c>
    </row>
    <row r="21">
      <c r="A21" s="4" t="inlineStr">
        <is>
          <t>日用百货</t>
        </is>
      </c>
      <c r="D21" s="7" t="n">
        <v>26576.9</v>
      </c>
      <c r="F21" s="7" t="n">
        <v>24462.9</v>
      </c>
      <c r="H21" s="7" t="n">
        <v>42375.4</v>
      </c>
      <c r="J21" s="7" t="n">
        <v>43997.7</v>
      </c>
      <c r="L21" s="7" t="n">
        <v>54971.2</v>
      </c>
      <c r="N21" s="7" t="n">
        <v>54421.3</v>
      </c>
      <c r="P21" s="7" t="n">
        <v>71898.10000000001</v>
      </c>
      <c r="R21" s="7" t="n">
        <v>56964.3</v>
      </c>
      <c r="T21" s="7" t="n">
        <v>36855.8</v>
      </c>
      <c r="V21" s="7" t="n">
        <v>55002.4</v>
      </c>
      <c r="X21" s="7" t="n">
        <v>44262</v>
      </c>
      <c r="Z21" s="7" t="n">
        <v>37173.9</v>
      </c>
      <c r="AB21" s="7" t="n">
        <v>548961.9</v>
      </c>
    </row>
    <row r="22">
      <c r="A22" s="4" t="inlineStr">
        <is>
          <t>其他</t>
        </is>
      </c>
      <c r="D22" s="7" t="n">
        <v>1073.2</v>
      </c>
      <c r="F22" s="7" t="n">
        <v>681</v>
      </c>
      <c r="H22" s="7" t="n">
        <v>1553</v>
      </c>
      <c r="J22" s="7" t="n">
        <v>3966.9</v>
      </c>
      <c r="L22" s="7" t="n">
        <v>4757.8</v>
      </c>
      <c r="N22" s="7" t="n">
        <v>661.5</v>
      </c>
      <c r="P22" s="7" t="n">
        <v>3651.4</v>
      </c>
      <c r="R22" s="7" t="n">
        <v>440.5</v>
      </c>
      <c r="T22" s="7" t="n">
        <v>2152.9</v>
      </c>
      <c r="V22" s="7" t="n">
        <v>2769.4</v>
      </c>
      <c r="X22" s="7" t="n">
        <v>3640.8</v>
      </c>
      <c r="Z22" s="7" t="n">
        <v>456.4</v>
      </c>
      <c r="AB22" s="7" t="n">
        <v>25804.8</v>
      </c>
    </row>
    <row r="23">
      <c r="A23" s="4" t="inlineStr">
        <is>
          <t>运费</t>
        </is>
      </c>
      <c r="D23" s="7" t="n">
        <v>9950.5</v>
      </c>
      <c r="F23" s="7" t="n">
        <v>6639.1</v>
      </c>
      <c r="H23" s="7" t="n">
        <v>9745.1</v>
      </c>
      <c r="J23" s="7" t="n">
        <v>10259</v>
      </c>
      <c r="L23" s="7" t="n">
        <v>14341.1</v>
      </c>
      <c r="N23" s="7" t="n">
        <v>10921.7</v>
      </c>
      <c r="P23" s="7" t="n">
        <v>17803.6</v>
      </c>
      <c r="R23" s="7" t="n">
        <v>18516.2</v>
      </c>
      <c r="T23" s="7" t="n">
        <v>14645.4</v>
      </c>
      <c r="V23" s="7" t="n">
        <v>10106.2</v>
      </c>
      <c r="X23" s="7" t="n">
        <v>11047.1</v>
      </c>
      <c r="Z23" s="7" t="n">
        <v>5187.1</v>
      </c>
      <c r="AB23" s="7" t="n">
        <v>139162.1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42962</v>
      </c>
      <c r="D24" s="7" t="n">
        <v>48527.7</v>
      </c>
      <c r="E24" s="7" t="n">
        <v>25247.2</v>
      </c>
      <c r="F24" s="7" t="n">
        <v>35051.1</v>
      </c>
      <c r="G24" s="7" t="n">
        <v>64453.5</v>
      </c>
      <c r="H24" s="7" t="n">
        <v>64067</v>
      </c>
      <c r="I24" s="7" t="n">
        <v>55015.1</v>
      </c>
      <c r="J24" s="7" t="n">
        <v>77719.10000000001</v>
      </c>
      <c r="K24" s="7" t="n">
        <v>33900.7</v>
      </c>
      <c r="L24" s="7" t="n">
        <v>69885.39999999999</v>
      </c>
      <c r="M24" s="7" t="n">
        <v>91483.10000000001</v>
      </c>
      <c r="N24" s="7" t="n">
        <v>82475.60000000001</v>
      </c>
      <c r="O24" s="7" t="n">
        <v>77538.8</v>
      </c>
      <c r="P24" s="7" t="n">
        <v>84995.60000000001</v>
      </c>
      <c r="Q24" s="7" t="n">
        <v>73105.2</v>
      </c>
      <c r="R24" s="7" t="n">
        <v>73261.2</v>
      </c>
      <c r="S24" s="7" t="n">
        <v>85095.10000000001</v>
      </c>
      <c r="T24" s="7" t="n">
        <v>58576.3</v>
      </c>
      <c r="U24" s="7" t="n">
        <v>94917.3</v>
      </c>
      <c r="V24" s="7" t="n">
        <v>76430.8</v>
      </c>
      <c r="W24" s="7" t="n">
        <v>51617.1</v>
      </c>
      <c r="X24" s="7" t="n">
        <v>64622.8</v>
      </c>
      <c r="Y24" s="7" t="n">
        <v>65948.39999999999</v>
      </c>
      <c r="Z24" s="7" t="n">
        <v>51285.3</v>
      </c>
      <c r="AA24" s="8" t="n">
        <v>761283.5</v>
      </c>
      <c r="AB24" s="8" t="n">
        <v>786897.9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15.2</v>
      </c>
      <c r="D25" s="13" t="n">
        <v>21.5</v>
      </c>
      <c r="E25" s="13" t="n">
        <v>8.300000000000001</v>
      </c>
      <c r="F25" s="13" t="n">
        <v>19.5</v>
      </c>
      <c r="G25" s="13" t="n">
        <v>18.6</v>
      </c>
      <c r="H25" s="13" t="n">
        <v>21.1</v>
      </c>
      <c r="I25" s="13" t="n">
        <v>18.9</v>
      </c>
      <c r="J25" s="13" t="n">
        <v>21.9</v>
      </c>
      <c r="K25" s="13" t="n">
        <v>11.8</v>
      </c>
      <c r="L25" s="13" t="n">
        <v>20.3</v>
      </c>
      <c r="M25" s="13" t="n">
        <v>28</v>
      </c>
      <c r="N25" s="13" t="n">
        <v>21.1</v>
      </c>
      <c r="O25" s="13" t="n">
        <v>21.1</v>
      </c>
      <c r="P25" s="13" t="n">
        <v>19.4</v>
      </c>
      <c r="Q25" s="13" t="n">
        <v>22.5</v>
      </c>
      <c r="R25" s="13" t="n">
        <v>19.3</v>
      </c>
      <c r="S25" s="13" t="n">
        <v>23.5</v>
      </c>
      <c r="T25" s="13" t="n">
        <v>18.7</v>
      </c>
      <c r="U25" s="13" t="n">
        <v>26.8</v>
      </c>
      <c r="V25" s="13" t="n">
        <v>20.8</v>
      </c>
      <c r="W25" s="13" t="n">
        <v>17.3</v>
      </c>
      <c r="X25" s="13" t="n">
        <v>21.5</v>
      </c>
      <c r="Y25" s="13" t="n">
        <v>18.6</v>
      </c>
      <c r="Z25" s="13" t="n">
        <v>22.6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3136.4</v>
      </c>
      <c r="D26" s="7" t="n">
        <v>2470.1</v>
      </c>
      <c r="E26" s="7" t="n">
        <v>2912.3</v>
      </c>
      <c r="F26" s="7" t="n">
        <v>2272.9</v>
      </c>
      <c r="G26" s="7" t="n">
        <v>3529.7</v>
      </c>
      <c r="H26" s="7" t="n">
        <v>3035.7</v>
      </c>
      <c r="I26" s="7" t="n">
        <v>3186.9</v>
      </c>
      <c r="J26" s="7" t="n">
        <v>2121</v>
      </c>
      <c r="K26" s="7" t="n">
        <v>3482.3</v>
      </c>
      <c r="L26" s="7" t="n">
        <v>2969.6</v>
      </c>
      <c r="M26" s="7" t="n">
        <v>3728.6</v>
      </c>
      <c r="N26" s="7" t="n">
        <v>2559.6</v>
      </c>
      <c r="O26" s="7" t="n">
        <v>3515</v>
      </c>
      <c r="P26" s="7" t="n">
        <v>5919.7</v>
      </c>
      <c r="Q26" s="7" t="n">
        <v>3174.9</v>
      </c>
      <c r="R26" s="7" t="n">
        <v>4332.8</v>
      </c>
      <c r="S26" s="7" t="n">
        <v>3213.6</v>
      </c>
      <c r="T26" s="7" t="n">
        <v>3950.7</v>
      </c>
      <c r="U26" s="7" t="n">
        <v>2900.4</v>
      </c>
      <c r="V26" s="7" t="n">
        <v>4823.2</v>
      </c>
      <c r="W26" s="7" t="n">
        <v>3111.8</v>
      </c>
      <c r="X26" s="7" t="n">
        <v>2897.1</v>
      </c>
      <c r="Y26" s="7" t="n">
        <v>3193.1</v>
      </c>
      <c r="Z26" s="7" t="n">
        <v>1649</v>
      </c>
      <c r="AA26" s="8" t="n">
        <v>39085</v>
      </c>
      <c r="AB26" s="8" t="n">
        <v>39001.4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44450.4</v>
      </c>
      <c r="D27" s="7" t="n">
        <v>18832.7</v>
      </c>
      <c r="E27" s="7" t="n">
        <v>48387.9</v>
      </c>
      <c r="F27" s="7" t="n">
        <v>18762.3</v>
      </c>
      <c r="G27" s="7" t="n">
        <v>45767.7</v>
      </c>
      <c r="H27" s="7" t="n">
        <v>54530.6</v>
      </c>
      <c r="I27" s="7" t="n">
        <v>44621.7</v>
      </c>
      <c r="J27" s="7" t="n">
        <v>48079.1</v>
      </c>
      <c r="K27" s="7" t="n">
        <v>41527.2</v>
      </c>
      <c r="L27" s="7" t="n">
        <v>42496.9</v>
      </c>
      <c r="M27" s="7" t="n">
        <v>44001.5</v>
      </c>
      <c r="N27" s="7" t="n">
        <v>69060.8</v>
      </c>
      <c r="O27" s="7" t="n">
        <v>47741.1</v>
      </c>
      <c r="P27" s="7" t="n">
        <v>74566.2</v>
      </c>
      <c r="Q27" s="7" t="n">
        <v>53265.5</v>
      </c>
      <c r="R27" s="7" t="n">
        <v>52352.4</v>
      </c>
      <c r="S27" s="7" t="n">
        <v>53545.3</v>
      </c>
      <c r="T27" s="7" t="n">
        <v>62397.7</v>
      </c>
      <c r="U27" s="7" t="n">
        <v>48629.5</v>
      </c>
      <c r="V27" s="7" t="n">
        <v>62607.9</v>
      </c>
      <c r="W27" s="7" t="n">
        <v>46021.6</v>
      </c>
      <c r="X27" s="7" t="n">
        <v>41486</v>
      </c>
      <c r="Y27" s="7" t="n">
        <v>47984.8</v>
      </c>
      <c r="Z27" s="7" t="n">
        <v>37812.3</v>
      </c>
      <c r="AA27" s="8" t="n">
        <v>565944.2</v>
      </c>
      <c r="AB27" s="8" t="n">
        <v>582984.9</v>
      </c>
    </row>
    <row r="28">
      <c r="A28" s="4" t="inlineStr">
        <is>
          <t>职工薪酬</t>
        </is>
      </c>
      <c r="D28" s="7" t="n">
        <v>8652.700000000001</v>
      </c>
      <c r="F28" s="7" t="n">
        <v>9621.799999999999</v>
      </c>
      <c r="H28" s="7" t="n">
        <v>25161.1</v>
      </c>
      <c r="J28" s="7" t="n">
        <v>21561.9</v>
      </c>
      <c r="L28" s="7" t="n">
        <v>22630.1</v>
      </c>
      <c r="N28" s="7" t="n">
        <v>34923.8</v>
      </c>
      <c r="P28" s="7" t="n">
        <v>34557.7</v>
      </c>
      <c r="R28" s="7" t="n">
        <v>26252.6</v>
      </c>
      <c r="T28" s="7" t="n">
        <v>29012.8</v>
      </c>
      <c r="V28" s="7" t="n">
        <v>38627.3</v>
      </c>
      <c r="X28" s="7" t="n">
        <v>20265.3</v>
      </c>
      <c r="Z28" s="7" t="n">
        <v>18035.3</v>
      </c>
      <c r="AB28" s="7" t="n">
        <v>289302.4</v>
      </c>
    </row>
    <row r="29">
      <c r="A29" s="4" t="inlineStr">
        <is>
          <t>工资</t>
        </is>
      </c>
      <c r="D29" s="7" t="n">
        <v>4109.8</v>
      </c>
      <c r="F29" s="7" t="n">
        <v>5347.1</v>
      </c>
      <c r="H29" s="7" t="n">
        <v>13911.9</v>
      </c>
      <c r="J29" s="7" t="n">
        <v>10185.6</v>
      </c>
      <c r="L29" s="7" t="n">
        <v>13917.2</v>
      </c>
      <c r="N29" s="7" t="n">
        <v>19192.3</v>
      </c>
      <c r="P29" s="7" t="n">
        <v>18435.6</v>
      </c>
      <c r="R29" s="7" t="n">
        <v>15500.6</v>
      </c>
      <c r="T29" s="7" t="n">
        <v>13862.7</v>
      </c>
      <c r="V29" s="7" t="n">
        <v>22555.8</v>
      </c>
      <c r="X29" s="7" t="n">
        <v>10254.3</v>
      </c>
      <c r="Z29" s="7" t="n">
        <v>10242.8</v>
      </c>
      <c r="AB29" s="7" t="n">
        <v>157515.7</v>
      </c>
    </row>
    <row r="30">
      <c r="A30" s="4" t="inlineStr">
        <is>
          <t>奖金及提成</t>
        </is>
      </c>
      <c r="D30" s="7" t="n">
        <v>2139.4</v>
      </c>
      <c r="F30" s="7" t="n">
        <v>2401.8</v>
      </c>
      <c r="H30" s="7" t="n">
        <v>5128.8</v>
      </c>
      <c r="J30" s="7" t="n">
        <v>4570.1</v>
      </c>
      <c r="L30" s="7" t="n">
        <v>3327.6</v>
      </c>
      <c r="N30" s="7" t="n">
        <v>7336</v>
      </c>
      <c r="P30" s="7" t="n">
        <v>6194.5</v>
      </c>
      <c r="R30" s="7" t="n">
        <v>5326.4</v>
      </c>
      <c r="T30" s="7" t="n">
        <v>7071</v>
      </c>
      <c r="V30" s="7" t="n">
        <v>7522.6</v>
      </c>
      <c r="X30" s="7" t="n">
        <v>4415.9</v>
      </c>
      <c r="Z30" s="7" t="n">
        <v>3569</v>
      </c>
      <c r="AB30" s="7" t="n">
        <v>59003.1</v>
      </c>
    </row>
    <row r="31">
      <c r="A31" s="4" t="inlineStr">
        <is>
          <t>社保</t>
        </is>
      </c>
      <c r="D31" s="7" t="n">
        <v>1661.9</v>
      </c>
      <c r="F31" s="7" t="n">
        <v>1077.9</v>
      </c>
      <c r="H31" s="7" t="n">
        <v>3742.8</v>
      </c>
      <c r="J31" s="7" t="n">
        <v>4812.2</v>
      </c>
      <c r="L31" s="7" t="n">
        <v>3447.3</v>
      </c>
      <c r="N31" s="7" t="n">
        <v>5171.4</v>
      </c>
      <c r="P31" s="7" t="n">
        <v>6607.5</v>
      </c>
      <c r="R31" s="7" t="n">
        <v>3374.9</v>
      </c>
      <c r="T31" s="7" t="n">
        <v>5572.6</v>
      </c>
      <c r="V31" s="7" t="n">
        <v>5850.6</v>
      </c>
      <c r="X31" s="7" t="n">
        <v>3871.3</v>
      </c>
      <c r="Z31" s="7" t="n">
        <v>2588.9</v>
      </c>
      <c r="AB31" s="7" t="n">
        <v>47779.3</v>
      </c>
    </row>
    <row r="32">
      <c r="A32" s="4" t="inlineStr">
        <is>
          <t>养老</t>
        </is>
      </c>
      <c r="D32" s="7" t="n">
        <v>30.6</v>
      </c>
      <c r="F32" s="7" t="n">
        <v>43.3</v>
      </c>
      <c r="H32" s="7" t="n">
        <v>148.9</v>
      </c>
      <c r="J32" s="7" t="n">
        <v>127.2</v>
      </c>
      <c r="L32" s="7" t="n">
        <v>95.2</v>
      </c>
      <c r="N32" s="7" t="n">
        <v>164.4</v>
      </c>
      <c r="P32" s="7" t="n">
        <v>194.2</v>
      </c>
      <c r="R32" s="7" t="n">
        <v>151.7</v>
      </c>
      <c r="T32" s="7" t="n">
        <v>127.2</v>
      </c>
      <c r="V32" s="7" t="n">
        <v>172.6</v>
      </c>
      <c r="X32" s="7" t="n">
        <v>90.3</v>
      </c>
      <c r="Z32" s="7" t="n">
        <v>73.5</v>
      </c>
      <c r="AB32" s="7" t="n">
        <v>1419.1</v>
      </c>
    </row>
    <row r="33">
      <c r="A33" s="4" t="inlineStr">
        <is>
          <t>医疗</t>
        </is>
      </c>
      <c r="D33" s="7" t="n">
        <v>0.9</v>
      </c>
      <c r="F33" s="7" t="n">
        <v>1.2</v>
      </c>
      <c r="H33" s="7" t="n">
        <v>2.8</v>
      </c>
      <c r="J33" s="7" t="n">
        <v>2.7</v>
      </c>
      <c r="L33" s="7" t="n">
        <v>2.8</v>
      </c>
      <c r="N33" s="7" t="n">
        <v>4</v>
      </c>
      <c r="P33" s="7" t="n">
        <v>5.3</v>
      </c>
      <c r="R33" s="7" t="n">
        <v>3</v>
      </c>
      <c r="T33" s="7" t="n">
        <v>3.3</v>
      </c>
      <c r="V33" s="7" t="n">
        <v>3.1</v>
      </c>
      <c r="X33" s="7" t="n">
        <v>2.3</v>
      </c>
      <c r="Z33" s="7" t="n">
        <v>1.6</v>
      </c>
      <c r="AB33" s="7" t="n">
        <v>33</v>
      </c>
    </row>
    <row r="34">
      <c r="A34" s="4" t="inlineStr">
        <is>
          <t>工伤</t>
        </is>
      </c>
      <c r="D34" s="7" t="n">
        <v>62.3</v>
      </c>
      <c r="F34" s="7" t="n">
        <v>103.9</v>
      </c>
      <c r="H34" s="7" t="n">
        <v>256</v>
      </c>
      <c r="J34" s="7" t="n">
        <v>175.1</v>
      </c>
      <c r="L34" s="7" t="n">
        <v>158.7</v>
      </c>
      <c r="N34" s="7" t="n">
        <v>263.5</v>
      </c>
      <c r="P34" s="7" t="n">
        <v>324.3</v>
      </c>
      <c r="R34" s="7" t="n">
        <v>290.8</v>
      </c>
      <c r="T34" s="7" t="n">
        <v>280.5</v>
      </c>
      <c r="V34" s="7" t="n">
        <v>238.2</v>
      </c>
      <c r="X34" s="7" t="n">
        <v>141</v>
      </c>
      <c r="Z34" s="7" t="n">
        <v>140.7</v>
      </c>
      <c r="AB34" s="7" t="n">
        <v>2435</v>
      </c>
    </row>
    <row r="35">
      <c r="A35" s="4" t="inlineStr">
        <is>
          <t>失业</t>
        </is>
      </c>
      <c r="D35" s="7" t="n">
        <v>91.90000000000001</v>
      </c>
      <c r="F35" s="7" t="n">
        <v>88.5</v>
      </c>
      <c r="H35" s="7" t="n">
        <v>390.4</v>
      </c>
      <c r="J35" s="7" t="n">
        <v>357.5</v>
      </c>
      <c r="L35" s="7" t="n">
        <v>315.1</v>
      </c>
      <c r="N35" s="7" t="n">
        <v>466.1</v>
      </c>
      <c r="P35" s="7" t="n">
        <v>458.7</v>
      </c>
      <c r="R35" s="7" t="n">
        <v>344.7</v>
      </c>
      <c r="T35" s="7" t="n">
        <v>494.7</v>
      </c>
      <c r="V35" s="7" t="n">
        <v>296</v>
      </c>
      <c r="X35" s="7" t="n">
        <v>205</v>
      </c>
      <c r="Z35" s="7" t="n">
        <v>273.2</v>
      </c>
      <c r="AB35" s="7" t="n">
        <v>3781.8</v>
      </c>
    </row>
    <row r="36">
      <c r="A36" s="4" t="inlineStr">
        <is>
          <t>生育</t>
        </is>
      </c>
      <c r="D36" s="7" t="n">
        <v>23.9</v>
      </c>
      <c r="F36" s="7" t="n">
        <v>17.9</v>
      </c>
      <c r="H36" s="7" t="n">
        <v>49.2</v>
      </c>
      <c r="J36" s="7" t="n">
        <v>59.7</v>
      </c>
      <c r="L36" s="7" t="n">
        <v>41.4</v>
      </c>
      <c r="N36" s="7" t="n">
        <v>73.7</v>
      </c>
      <c r="P36" s="7" t="n">
        <v>55.4</v>
      </c>
      <c r="R36" s="7" t="n">
        <v>43.6</v>
      </c>
      <c r="T36" s="7" t="n">
        <v>49.2</v>
      </c>
      <c r="V36" s="7" t="n">
        <v>61.8</v>
      </c>
      <c r="X36" s="7" t="n">
        <v>44.9</v>
      </c>
      <c r="Z36" s="7" t="n">
        <v>32.2</v>
      </c>
      <c r="AB36" s="7" t="n">
        <v>552.9</v>
      </c>
    </row>
    <row r="37">
      <c r="A37" s="4" t="inlineStr">
        <is>
          <t>公积金</t>
        </is>
      </c>
      <c r="D37" s="7" t="n">
        <v>85.40000000000001</v>
      </c>
      <c r="F37" s="7" t="n">
        <v>75.59999999999999</v>
      </c>
      <c r="H37" s="7" t="n">
        <v>247.5</v>
      </c>
      <c r="J37" s="7" t="n">
        <v>256</v>
      </c>
      <c r="L37" s="7" t="n">
        <v>304.7</v>
      </c>
      <c r="N37" s="7" t="n">
        <v>403.8</v>
      </c>
      <c r="P37" s="7" t="n">
        <v>431.2</v>
      </c>
      <c r="R37" s="7" t="n">
        <v>222.7</v>
      </c>
      <c r="T37" s="7" t="n">
        <v>451.2</v>
      </c>
      <c r="V37" s="7" t="n">
        <v>302.3</v>
      </c>
      <c r="X37" s="7" t="n">
        <v>258</v>
      </c>
      <c r="Z37" s="7" t="n">
        <v>182.9</v>
      </c>
      <c r="AB37" s="7" t="n">
        <v>3221.3</v>
      </c>
    </row>
    <row r="38">
      <c r="A38" s="4" t="inlineStr">
        <is>
          <t>工会经费</t>
        </is>
      </c>
      <c r="D38" s="7" t="n">
        <v>75.40000000000001</v>
      </c>
      <c r="F38" s="7" t="n">
        <v>104.8</v>
      </c>
      <c r="H38" s="7" t="n">
        <v>361.9</v>
      </c>
      <c r="J38" s="7" t="n">
        <v>253.6</v>
      </c>
      <c r="L38" s="7" t="n">
        <v>284.1</v>
      </c>
      <c r="N38" s="7" t="n">
        <v>433.8</v>
      </c>
      <c r="P38" s="7" t="n">
        <v>507.8</v>
      </c>
      <c r="R38" s="7" t="n">
        <v>336.8</v>
      </c>
      <c r="T38" s="7" t="n">
        <v>253.7</v>
      </c>
      <c r="V38" s="7" t="n">
        <v>426.8</v>
      </c>
      <c r="X38" s="7" t="n">
        <v>218.1</v>
      </c>
      <c r="Z38" s="7" t="n">
        <v>239.9</v>
      </c>
      <c r="AB38" s="7" t="n">
        <v>3496.7</v>
      </c>
    </row>
    <row r="39">
      <c r="A39" s="4" t="inlineStr">
        <is>
          <t>职工教育经费</t>
        </is>
      </c>
      <c r="D39" s="7" t="n">
        <v>121.9</v>
      </c>
      <c r="F39" s="7" t="n">
        <v>138.2</v>
      </c>
      <c r="H39" s="7" t="n">
        <v>277.8</v>
      </c>
      <c r="J39" s="7" t="n">
        <v>229.3</v>
      </c>
      <c r="L39" s="7" t="n">
        <v>200.7</v>
      </c>
      <c r="N39" s="7" t="n">
        <v>483.1</v>
      </c>
      <c r="P39" s="7" t="n">
        <v>351.8</v>
      </c>
      <c r="R39" s="7" t="n">
        <v>381.2</v>
      </c>
      <c r="T39" s="7" t="n">
        <v>336.5</v>
      </c>
      <c r="V39" s="7" t="n">
        <v>304.2</v>
      </c>
      <c r="X39" s="7" t="n">
        <v>185.5</v>
      </c>
      <c r="Z39" s="7" t="n">
        <v>261</v>
      </c>
      <c r="AB39" s="7" t="n">
        <v>3271.2</v>
      </c>
    </row>
    <row r="40">
      <c r="A40" s="4" t="inlineStr">
        <is>
          <t>福利费</t>
        </is>
      </c>
      <c r="D40" s="7" t="n">
        <v>458.9</v>
      </c>
      <c r="F40" s="7" t="n">
        <v>476.4</v>
      </c>
      <c r="H40" s="7" t="n">
        <v>1490.4</v>
      </c>
      <c r="J40" s="7" t="n">
        <v>1255.1</v>
      </c>
      <c r="L40" s="7" t="n">
        <v>1148.5</v>
      </c>
      <c r="N40" s="7" t="n">
        <v>1903.4</v>
      </c>
      <c r="P40" s="7" t="n">
        <v>2029.3</v>
      </c>
      <c r="R40" s="7" t="n">
        <v>1110</v>
      </c>
      <c r="T40" s="7" t="n">
        <v>1465.1</v>
      </c>
      <c r="V40" s="7" t="n">
        <v>1665</v>
      </c>
      <c r="X40" s="7" t="n">
        <v>1062.2</v>
      </c>
      <c r="Z40" s="7" t="n">
        <v>950.8</v>
      </c>
      <c r="AB40" s="7" t="n">
        <v>15015.1</v>
      </c>
    </row>
    <row r="41">
      <c r="A41" s="4" t="inlineStr">
        <is>
          <t>职工房租</t>
        </is>
      </c>
      <c r="D41" s="7" t="n">
        <v>116.4</v>
      </c>
      <c r="F41" s="7" t="n">
        <v>115.7</v>
      </c>
      <c r="H41" s="7" t="n">
        <v>407</v>
      </c>
      <c r="J41" s="7" t="n">
        <v>248.6</v>
      </c>
      <c r="L41" s="7" t="n">
        <v>274.8</v>
      </c>
      <c r="N41" s="7" t="n">
        <v>331.7</v>
      </c>
      <c r="P41" s="7" t="n">
        <v>457.8</v>
      </c>
      <c r="R41" s="7" t="n">
        <v>234.8</v>
      </c>
      <c r="T41" s="7" t="n">
        <v>403.9</v>
      </c>
      <c r="V41" s="7" t="n">
        <v>468.3</v>
      </c>
      <c r="X41" s="7" t="n">
        <v>238.7</v>
      </c>
      <c r="Z41" s="7" t="n">
        <v>223.8</v>
      </c>
      <c r="AB41" s="7" t="n">
        <v>3521.5</v>
      </c>
    </row>
    <row r="42">
      <c r="A42" s="4" t="inlineStr">
        <is>
          <t>水电物业费</t>
        </is>
      </c>
      <c r="D42" s="7" t="n">
        <v>13.3</v>
      </c>
      <c r="F42" s="7" t="n">
        <v>8.300000000000001</v>
      </c>
      <c r="H42" s="7" t="n">
        <v>29</v>
      </c>
      <c r="J42" s="7" t="n">
        <v>24.9</v>
      </c>
      <c r="L42" s="7" t="n">
        <v>17.7</v>
      </c>
      <c r="N42" s="7" t="n">
        <v>50.6</v>
      </c>
      <c r="P42" s="7" t="n">
        <v>44.2</v>
      </c>
      <c r="R42" s="7" t="n">
        <v>28.6</v>
      </c>
      <c r="T42" s="7" t="n">
        <v>27.6</v>
      </c>
      <c r="V42" s="7" t="n">
        <v>34.2</v>
      </c>
      <c r="X42" s="7" t="n">
        <v>22.5</v>
      </c>
      <c r="Z42" s="7" t="n">
        <v>20.2</v>
      </c>
      <c r="AB42" s="7" t="n">
        <v>321.1</v>
      </c>
    </row>
    <row r="43">
      <c r="A43" s="4" t="inlineStr">
        <is>
          <t>员工餐</t>
        </is>
      </c>
      <c r="D43" s="7" t="n">
        <v>32.8</v>
      </c>
      <c r="F43" s="7" t="n">
        <v>49.6</v>
      </c>
      <c r="H43" s="7" t="n">
        <v>122.2</v>
      </c>
      <c r="J43" s="7" t="n">
        <v>92.09999999999999</v>
      </c>
      <c r="L43" s="7" t="n">
        <v>118.7</v>
      </c>
      <c r="N43" s="7" t="n">
        <v>157.9</v>
      </c>
      <c r="P43" s="7" t="n">
        <v>139.1</v>
      </c>
      <c r="R43" s="7" t="n">
        <v>130.7</v>
      </c>
      <c r="T43" s="7" t="n">
        <v>142.5</v>
      </c>
      <c r="V43" s="7" t="n">
        <v>97.09999999999999</v>
      </c>
      <c r="X43" s="7" t="n">
        <v>102.1</v>
      </c>
      <c r="Z43" s="7" t="n">
        <v>82.40000000000001</v>
      </c>
      <c r="AB43" s="7" t="n">
        <v>1267.2</v>
      </c>
    </row>
    <row r="44">
      <c r="A44" s="4" t="inlineStr">
        <is>
          <t>节日礼品</t>
        </is>
      </c>
      <c r="D44" s="7" t="n">
        <v>59.4</v>
      </c>
      <c r="F44" s="7" t="n">
        <v>47.1</v>
      </c>
      <c r="H44" s="7" t="n">
        <v>224.4</v>
      </c>
      <c r="J44" s="7" t="n">
        <v>223.2</v>
      </c>
      <c r="L44" s="7" t="n">
        <v>175.3</v>
      </c>
      <c r="N44" s="7" t="n">
        <v>298.7</v>
      </c>
      <c r="P44" s="7" t="n">
        <v>190.4</v>
      </c>
      <c r="R44" s="7" t="n">
        <v>136.3</v>
      </c>
      <c r="T44" s="7" t="n">
        <v>157.8</v>
      </c>
      <c r="V44" s="7" t="n">
        <v>253.1</v>
      </c>
      <c r="X44" s="7" t="n">
        <v>113.2</v>
      </c>
      <c r="Z44" s="7" t="n">
        <v>172.8</v>
      </c>
      <c r="AB44" s="7" t="n">
        <v>2051.7</v>
      </c>
    </row>
    <row r="45">
      <c r="A45" s="4" t="inlineStr">
        <is>
          <t>生日礼品</t>
        </is>
      </c>
      <c r="D45" s="7" t="n">
        <v>110.2</v>
      </c>
      <c r="F45" s="7" t="n">
        <v>83.09999999999999</v>
      </c>
      <c r="H45" s="7" t="n">
        <v>351.2</v>
      </c>
      <c r="J45" s="7" t="n">
        <v>330.8</v>
      </c>
      <c r="L45" s="7" t="n">
        <v>274.4</v>
      </c>
      <c r="N45" s="7" t="n">
        <v>484.4</v>
      </c>
      <c r="P45" s="7" t="n">
        <v>507.6</v>
      </c>
      <c r="R45" s="7" t="n">
        <v>244.4</v>
      </c>
      <c r="T45" s="7" t="n">
        <v>248.6</v>
      </c>
      <c r="V45" s="7" t="n">
        <v>296.6</v>
      </c>
      <c r="X45" s="7" t="n">
        <v>239.7</v>
      </c>
      <c r="Z45" s="7" t="n">
        <v>150.9</v>
      </c>
      <c r="AB45" s="7" t="n">
        <v>3321.9</v>
      </c>
    </row>
    <row r="46">
      <c r="A46" s="4" t="inlineStr">
        <is>
          <t>体检</t>
        </is>
      </c>
      <c r="D46" s="7" t="n">
        <v>34.5</v>
      </c>
      <c r="F46" s="7" t="n">
        <v>25.2</v>
      </c>
      <c r="H46" s="7" t="n">
        <v>65.7</v>
      </c>
      <c r="J46" s="7" t="n">
        <v>58.5</v>
      </c>
      <c r="L46" s="7" t="n">
        <v>44.2</v>
      </c>
      <c r="N46" s="7" t="n">
        <v>81.59999999999999</v>
      </c>
      <c r="P46" s="7" t="n">
        <v>100.7</v>
      </c>
      <c r="R46" s="7" t="n">
        <v>56</v>
      </c>
      <c r="T46" s="7" t="n">
        <v>109.2</v>
      </c>
      <c r="V46" s="7" t="n">
        <v>115</v>
      </c>
      <c r="X46" s="7" t="n">
        <v>72.5</v>
      </c>
      <c r="Z46" s="7" t="n">
        <v>50.6</v>
      </c>
      <c r="AB46" s="7" t="n">
        <v>813.7</v>
      </c>
    </row>
    <row r="47">
      <c r="A47" s="4" t="inlineStr">
        <is>
          <t>其他福利支出</t>
        </is>
      </c>
      <c r="D47" s="7" t="n">
        <v>92.3</v>
      </c>
      <c r="F47" s="7" t="n">
        <v>147.4</v>
      </c>
      <c r="H47" s="7" t="n">
        <v>290.9</v>
      </c>
      <c r="J47" s="7" t="n">
        <v>277</v>
      </c>
      <c r="L47" s="7" t="n">
        <v>243.4</v>
      </c>
      <c r="N47" s="7" t="n">
        <v>498.5</v>
      </c>
      <c r="P47" s="7" t="n">
        <v>589.5</v>
      </c>
      <c r="R47" s="7" t="n">
        <v>279.2</v>
      </c>
      <c r="T47" s="7" t="n">
        <v>375.5</v>
      </c>
      <c r="V47" s="7" t="n">
        <v>400.7</v>
      </c>
      <c r="X47" s="7" t="n">
        <v>273.5</v>
      </c>
      <c r="Z47" s="7" t="n">
        <v>250.1</v>
      </c>
      <c r="AB47" s="7" t="n">
        <v>3718</v>
      </c>
    </row>
    <row r="48">
      <c r="A48" s="4" t="inlineStr">
        <is>
          <t>招聘费</t>
        </is>
      </c>
      <c r="D48" s="7" t="n">
        <v>70.8</v>
      </c>
      <c r="F48" s="7" t="n">
        <v>69.8</v>
      </c>
      <c r="H48" s="7" t="n">
        <v>289.7</v>
      </c>
      <c r="J48" s="7" t="n">
        <v>178.8</v>
      </c>
      <c r="L48" s="7" t="n">
        <v>154.5</v>
      </c>
      <c r="N48" s="7" t="n">
        <v>380.9</v>
      </c>
      <c r="P48" s="7" t="n">
        <v>318.3</v>
      </c>
      <c r="R48" s="7" t="n">
        <v>190.4</v>
      </c>
      <c r="T48" s="7" t="n">
        <v>271.9</v>
      </c>
      <c r="V48" s="7" t="n">
        <v>201</v>
      </c>
      <c r="X48" s="7" t="n">
        <v>193.4</v>
      </c>
      <c r="Z48" s="7" t="n">
        <v>156.5</v>
      </c>
      <c r="AB48" s="7" t="n">
        <v>2476</v>
      </c>
    </row>
    <row r="49">
      <c r="A49" s="4" t="inlineStr">
        <is>
          <t>办公费</t>
        </is>
      </c>
      <c r="D49" s="7" t="n">
        <v>648.6</v>
      </c>
      <c r="F49" s="7" t="n">
        <v>575.8</v>
      </c>
      <c r="H49" s="7" t="n">
        <v>1778.4</v>
      </c>
      <c r="J49" s="7" t="n">
        <v>1115.6</v>
      </c>
      <c r="L49" s="7" t="n">
        <v>1528.6</v>
      </c>
      <c r="N49" s="7" t="n">
        <v>2430.7</v>
      </c>
      <c r="P49" s="7" t="n">
        <v>2576.1</v>
      </c>
      <c r="R49" s="7" t="n">
        <v>1184.7</v>
      </c>
      <c r="T49" s="7" t="n">
        <v>2298.4</v>
      </c>
      <c r="V49" s="7" t="n">
        <v>1379.6</v>
      </c>
      <c r="X49" s="7" t="n">
        <v>1453.7</v>
      </c>
      <c r="Z49" s="7" t="n">
        <v>1305.4</v>
      </c>
      <c r="AB49" s="7" t="n">
        <v>18275.6</v>
      </c>
    </row>
    <row r="50">
      <c r="A50" s="4" t="inlineStr">
        <is>
          <t>市内交通费</t>
        </is>
      </c>
      <c r="D50" s="7" t="n">
        <v>60.4</v>
      </c>
      <c r="F50" s="7" t="n">
        <v>51.6</v>
      </c>
      <c r="H50" s="7" t="n">
        <v>150.1</v>
      </c>
      <c r="J50" s="7" t="n">
        <v>157.4</v>
      </c>
      <c r="L50" s="7" t="n">
        <v>84.40000000000001</v>
      </c>
      <c r="N50" s="7" t="n">
        <v>150.4</v>
      </c>
      <c r="P50" s="7" t="n">
        <v>191.7</v>
      </c>
      <c r="R50" s="7" t="n">
        <v>110.4</v>
      </c>
      <c r="T50" s="7" t="n">
        <v>158.9</v>
      </c>
      <c r="V50" s="7" t="n">
        <v>142.8</v>
      </c>
      <c r="X50" s="7" t="n">
        <v>98.59999999999999</v>
      </c>
      <c r="Z50" s="7" t="n">
        <v>77.5</v>
      </c>
      <c r="AB50" s="7" t="n">
        <v>1434.2</v>
      </c>
    </row>
    <row r="51">
      <c r="A51" s="4" t="inlineStr">
        <is>
          <t>差旅费</t>
        </is>
      </c>
      <c r="D51" s="7" t="n">
        <v>1405.5</v>
      </c>
      <c r="F51" s="7" t="n">
        <v>1047.3</v>
      </c>
      <c r="H51" s="7" t="n">
        <v>3458.9</v>
      </c>
      <c r="J51" s="7" t="n">
        <v>3519.9</v>
      </c>
      <c r="L51" s="7" t="n">
        <v>2765.4</v>
      </c>
      <c r="N51" s="7" t="n">
        <v>4308.6</v>
      </c>
      <c r="P51" s="7" t="n">
        <v>5552.3</v>
      </c>
      <c r="R51" s="7" t="n">
        <v>2843.2</v>
      </c>
      <c r="T51" s="7" t="n">
        <v>4835.5</v>
      </c>
      <c r="V51" s="7" t="n">
        <v>2849.9</v>
      </c>
      <c r="X51" s="7" t="n">
        <v>1940.2</v>
      </c>
      <c r="Z51" s="7" t="n">
        <v>2126.5</v>
      </c>
      <c r="AB51" s="7" t="n">
        <v>36653.2</v>
      </c>
    </row>
    <row r="52">
      <c r="A52" s="4" t="inlineStr">
        <is>
          <t>交通费</t>
        </is>
      </c>
      <c r="D52" s="7" t="n">
        <v>7.9</v>
      </c>
      <c r="F52" s="7" t="n">
        <v>9.199999999999999</v>
      </c>
      <c r="H52" s="7" t="n">
        <v>22.8</v>
      </c>
      <c r="J52" s="7" t="n">
        <v>22.5</v>
      </c>
      <c r="L52" s="7" t="n">
        <v>26.8</v>
      </c>
      <c r="N52" s="7" t="n">
        <v>41.8</v>
      </c>
      <c r="P52" s="7" t="n">
        <v>32.1</v>
      </c>
      <c r="R52" s="7" t="n">
        <v>23.3</v>
      </c>
      <c r="T52" s="7" t="n">
        <v>34.2</v>
      </c>
      <c r="V52" s="7" t="n">
        <v>31.4</v>
      </c>
      <c r="X52" s="7" t="n">
        <v>25.9</v>
      </c>
      <c r="Z52" s="7" t="n">
        <v>16</v>
      </c>
      <c r="AB52" s="7" t="n">
        <v>293.9</v>
      </c>
    </row>
    <row r="53">
      <c r="A53" s="4" t="inlineStr">
        <is>
          <t>住宿费</t>
        </is>
      </c>
      <c r="D53" s="7" t="n">
        <v>15.8</v>
      </c>
      <c r="F53" s="7" t="n">
        <v>14.2</v>
      </c>
      <c r="H53" s="7" t="n">
        <v>45.4</v>
      </c>
      <c r="J53" s="7" t="n">
        <v>31</v>
      </c>
      <c r="L53" s="7" t="n">
        <v>27.8</v>
      </c>
      <c r="N53" s="7" t="n">
        <v>54</v>
      </c>
      <c r="P53" s="7" t="n">
        <v>36</v>
      </c>
      <c r="R53" s="7" t="n">
        <v>36.8</v>
      </c>
      <c r="T53" s="7" t="n">
        <v>33.5</v>
      </c>
      <c r="V53" s="7" t="n">
        <v>48.4</v>
      </c>
      <c r="X53" s="7" t="n">
        <v>28.5</v>
      </c>
      <c r="Z53" s="7" t="n">
        <v>22</v>
      </c>
      <c r="AB53" s="7" t="n">
        <v>393.4</v>
      </c>
    </row>
    <row r="54">
      <c r="A54" s="4" t="inlineStr">
        <is>
          <t>餐补</t>
        </is>
      </c>
      <c r="D54" s="7" t="n">
        <v>93.09999999999999</v>
      </c>
      <c r="F54" s="7" t="n">
        <v>87.7</v>
      </c>
      <c r="H54" s="7" t="n">
        <v>351.2</v>
      </c>
      <c r="J54" s="7" t="n">
        <v>203.4</v>
      </c>
      <c r="L54" s="7" t="n">
        <v>271.7</v>
      </c>
      <c r="N54" s="7" t="n">
        <v>481.6</v>
      </c>
      <c r="P54" s="7" t="n">
        <v>390.3</v>
      </c>
      <c r="R54" s="7" t="n">
        <v>267.4</v>
      </c>
      <c r="T54" s="7" t="n">
        <v>308.7</v>
      </c>
      <c r="V54" s="7" t="n">
        <v>406.4</v>
      </c>
      <c r="X54" s="7" t="n">
        <v>186.5</v>
      </c>
      <c r="Z54" s="7" t="n">
        <v>227.5</v>
      </c>
      <c r="AB54" s="7" t="n">
        <v>3275.5</v>
      </c>
    </row>
    <row r="55">
      <c r="A55" s="4" t="inlineStr">
        <is>
          <t>交通补助</t>
        </is>
      </c>
      <c r="D55" s="7" t="n">
        <v>10.9</v>
      </c>
      <c r="F55" s="7" t="n">
        <v>15.6</v>
      </c>
      <c r="H55" s="7" t="n">
        <v>38</v>
      </c>
      <c r="J55" s="7" t="n">
        <v>32</v>
      </c>
      <c r="L55" s="7" t="n">
        <v>36.6</v>
      </c>
      <c r="N55" s="7" t="n">
        <v>46.5</v>
      </c>
      <c r="P55" s="7" t="n">
        <v>40.3</v>
      </c>
      <c r="R55" s="7" t="n">
        <v>35.3</v>
      </c>
      <c r="T55" s="7" t="n">
        <v>55.2</v>
      </c>
      <c r="V55" s="7" t="n">
        <v>39.9</v>
      </c>
      <c r="X55" s="7" t="n">
        <v>32.7</v>
      </c>
      <c r="Z55" s="7" t="n">
        <v>31.7</v>
      </c>
      <c r="AB55" s="7" t="n">
        <v>414.7</v>
      </c>
    </row>
    <row r="56">
      <c r="A56" s="4" t="inlineStr">
        <is>
          <t>通讯补助</t>
        </is>
      </c>
      <c r="D56" s="7" t="n">
        <v>14.3</v>
      </c>
      <c r="F56" s="7" t="n">
        <v>19.4</v>
      </c>
      <c r="H56" s="7" t="n">
        <v>61.7</v>
      </c>
      <c r="J56" s="7" t="n">
        <v>41.2</v>
      </c>
      <c r="L56" s="7" t="n">
        <v>50.4</v>
      </c>
      <c r="N56" s="7" t="n">
        <v>62</v>
      </c>
      <c r="P56" s="7" t="n">
        <v>94.40000000000001</v>
      </c>
      <c r="R56" s="7" t="n">
        <v>61.8</v>
      </c>
      <c r="T56" s="7" t="n">
        <v>66.09999999999999</v>
      </c>
      <c r="V56" s="7" t="n">
        <v>71.90000000000001</v>
      </c>
      <c r="X56" s="7" t="n">
        <v>53.5</v>
      </c>
      <c r="Z56" s="7" t="n">
        <v>33.5</v>
      </c>
      <c r="AB56" s="7" t="n">
        <v>630.2</v>
      </c>
    </row>
    <row r="57">
      <c r="A57" s="4" t="inlineStr">
        <is>
          <t>招待费</t>
        </is>
      </c>
      <c r="D57" s="7" t="n">
        <v>772.6</v>
      </c>
      <c r="F57" s="7" t="n">
        <v>747.2</v>
      </c>
      <c r="H57" s="7" t="n">
        <v>2091.5</v>
      </c>
      <c r="J57" s="7" t="n">
        <v>2077.8</v>
      </c>
      <c r="L57" s="7" t="n">
        <v>2036</v>
      </c>
      <c r="N57" s="7" t="n">
        <v>2262.3</v>
      </c>
      <c r="P57" s="7" t="n">
        <v>2461.8</v>
      </c>
      <c r="R57" s="7" t="n">
        <v>1760.5</v>
      </c>
      <c r="T57" s="7" t="n">
        <v>2002</v>
      </c>
      <c r="V57" s="7" t="n">
        <v>2638.9</v>
      </c>
      <c r="X57" s="7" t="n">
        <v>1717.4</v>
      </c>
      <c r="Z57" s="7" t="n">
        <v>1380.3</v>
      </c>
      <c r="AB57" s="7" t="n">
        <v>21948.3</v>
      </c>
    </row>
    <row r="58">
      <c r="A58" s="4" t="inlineStr">
        <is>
          <t>通讯费</t>
        </is>
      </c>
      <c r="D58" s="7" t="n">
        <v>47.3</v>
      </c>
      <c r="F58" s="7" t="n">
        <v>32.3</v>
      </c>
      <c r="H58" s="7" t="n">
        <v>115.7</v>
      </c>
      <c r="J58" s="7" t="n">
        <v>127.5</v>
      </c>
      <c r="L58" s="7" t="n">
        <v>109.7</v>
      </c>
      <c r="N58" s="7" t="n">
        <v>206.9</v>
      </c>
      <c r="P58" s="7" t="n">
        <v>151.4</v>
      </c>
      <c r="R58" s="7" t="n">
        <v>151.2</v>
      </c>
      <c r="T58" s="7" t="n">
        <v>131.8</v>
      </c>
      <c r="V58" s="7" t="n">
        <v>147.3</v>
      </c>
      <c r="X58" s="7" t="n">
        <v>114</v>
      </c>
      <c r="Z58" s="7" t="n">
        <v>101.3</v>
      </c>
      <c r="AB58" s="7" t="n">
        <v>1436.4</v>
      </c>
    </row>
    <row r="59">
      <c r="A59" s="4" t="inlineStr">
        <is>
          <t>网络费</t>
        </is>
      </c>
      <c r="D59" s="7" t="n">
        <v>78.5</v>
      </c>
      <c r="F59" s="7" t="n">
        <v>66.90000000000001</v>
      </c>
      <c r="H59" s="7" t="n">
        <v>243.4</v>
      </c>
      <c r="J59" s="7" t="n">
        <v>149.2</v>
      </c>
      <c r="L59" s="7" t="n">
        <v>142.2</v>
      </c>
      <c r="N59" s="7" t="n">
        <v>282.5</v>
      </c>
      <c r="P59" s="7" t="n">
        <v>202.5</v>
      </c>
      <c r="R59" s="7" t="n">
        <v>213.6</v>
      </c>
      <c r="T59" s="7" t="n">
        <v>154.3</v>
      </c>
      <c r="V59" s="7" t="n">
        <v>218.8</v>
      </c>
      <c r="X59" s="7" t="n">
        <v>135.5</v>
      </c>
      <c r="Z59" s="7" t="n">
        <v>101.9</v>
      </c>
      <c r="AB59" s="7" t="n">
        <v>1989.3</v>
      </c>
    </row>
    <row r="60">
      <c r="A60" s="4" t="inlineStr">
        <is>
          <t>修理费</t>
        </is>
      </c>
      <c r="D60" s="7" t="n">
        <v>57.8</v>
      </c>
      <c r="F60" s="7" t="n">
        <v>63.5</v>
      </c>
      <c r="H60" s="7" t="n">
        <v>173.5</v>
      </c>
      <c r="J60" s="7" t="n">
        <v>215.3</v>
      </c>
      <c r="L60" s="7" t="n">
        <v>199.5</v>
      </c>
      <c r="N60" s="7" t="n">
        <v>302.4</v>
      </c>
      <c r="P60" s="7" t="n">
        <v>213.8</v>
      </c>
      <c r="R60" s="7" t="n">
        <v>211</v>
      </c>
      <c r="T60" s="7" t="n">
        <v>191.6</v>
      </c>
      <c r="V60" s="7" t="n">
        <v>190.9</v>
      </c>
      <c r="X60" s="7" t="n">
        <v>128.8</v>
      </c>
      <c r="Z60" s="7" t="n">
        <v>131.9</v>
      </c>
      <c r="AB60" s="7" t="n">
        <v>2080</v>
      </c>
    </row>
    <row r="61">
      <c r="A61" s="4" t="inlineStr">
        <is>
          <t>车辆费</t>
        </is>
      </c>
      <c r="D61" s="7" t="n">
        <v>95.09999999999999</v>
      </c>
      <c r="F61" s="7" t="n">
        <v>84.7</v>
      </c>
      <c r="H61" s="7" t="n">
        <v>317.9</v>
      </c>
      <c r="J61" s="7" t="n">
        <v>300</v>
      </c>
      <c r="L61" s="7" t="n">
        <v>198.5</v>
      </c>
      <c r="N61" s="7" t="n">
        <v>394.6</v>
      </c>
      <c r="P61" s="7" t="n">
        <v>477.4</v>
      </c>
      <c r="R61" s="7" t="n">
        <v>251</v>
      </c>
      <c r="T61" s="7" t="n">
        <v>318.6</v>
      </c>
      <c r="V61" s="7" t="n">
        <v>252.1</v>
      </c>
      <c r="X61" s="7" t="n">
        <v>237.5</v>
      </c>
      <c r="Z61" s="7" t="n">
        <v>230</v>
      </c>
      <c r="AB61" s="7" t="n">
        <v>3157.4</v>
      </c>
    </row>
    <row r="62">
      <c r="A62" s="4" t="inlineStr">
        <is>
          <t>租赁费</t>
        </is>
      </c>
      <c r="D62" s="7" t="n">
        <v>1024.2</v>
      </c>
      <c r="F62" s="7" t="n">
        <v>707.7</v>
      </c>
      <c r="H62" s="7" t="n">
        <v>3455.8</v>
      </c>
      <c r="J62" s="7" t="n">
        <v>2826.5</v>
      </c>
      <c r="L62" s="7" t="n">
        <v>1800.6</v>
      </c>
      <c r="N62" s="7" t="n">
        <v>2983.8</v>
      </c>
      <c r="P62" s="7" t="n">
        <v>3252.9</v>
      </c>
      <c r="R62" s="7" t="n">
        <v>2732.9</v>
      </c>
      <c r="T62" s="7" t="n">
        <v>3295.9</v>
      </c>
      <c r="V62" s="7" t="n">
        <v>3671.4</v>
      </c>
      <c r="X62" s="7" t="n">
        <v>2205.6</v>
      </c>
      <c r="Z62" s="7" t="n">
        <v>2066.6</v>
      </c>
      <c r="AB62" s="7" t="n">
        <v>30023.9</v>
      </c>
    </row>
    <row r="63">
      <c r="A63" s="4" t="inlineStr">
        <is>
          <t>能源费</t>
        </is>
      </c>
      <c r="D63" s="7" t="n">
        <v>130.6</v>
      </c>
      <c r="F63" s="7" t="n">
        <v>117.3</v>
      </c>
      <c r="H63" s="7" t="n">
        <v>362.5</v>
      </c>
      <c r="J63" s="7" t="n">
        <v>283.6</v>
      </c>
      <c r="L63" s="7" t="n">
        <v>285.4</v>
      </c>
      <c r="N63" s="7" t="n">
        <v>479.7</v>
      </c>
      <c r="P63" s="7" t="n">
        <v>516.9</v>
      </c>
      <c r="R63" s="7" t="n">
        <v>326.6</v>
      </c>
      <c r="T63" s="7" t="n">
        <v>401.3</v>
      </c>
      <c r="V63" s="7" t="n">
        <v>428.1</v>
      </c>
      <c r="X63" s="7" t="n">
        <v>213.7</v>
      </c>
      <c r="Z63" s="7" t="n">
        <v>225.9</v>
      </c>
      <c r="AB63" s="7" t="n">
        <v>3771.6</v>
      </c>
    </row>
    <row r="64">
      <c r="A64" s="4" t="inlineStr">
        <is>
          <t>水费</t>
        </is>
      </c>
      <c r="D64" s="7" t="n">
        <v>9.9</v>
      </c>
      <c r="F64" s="7" t="n">
        <v>8.9</v>
      </c>
      <c r="H64" s="7" t="n">
        <v>17</v>
      </c>
      <c r="J64" s="7" t="n">
        <v>17.7</v>
      </c>
      <c r="L64" s="7" t="n">
        <v>13.9</v>
      </c>
      <c r="N64" s="7" t="n">
        <v>34.5</v>
      </c>
      <c r="P64" s="7" t="n">
        <v>24.5</v>
      </c>
      <c r="R64" s="7" t="n">
        <v>19.1</v>
      </c>
      <c r="T64" s="7" t="n">
        <v>25.2</v>
      </c>
      <c r="V64" s="7" t="n">
        <v>22.5</v>
      </c>
      <c r="X64" s="7" t="n">
        <v>19.5</v>
      </c>
      <c r="Z64" s="7" t="n">
        <v>12.9</v>
      </c>
      <c r="AB64" s="7" t="n">
        <v>225.6</v>
      </c>
    </row>
    <row r="65">
      <c r="A65" s="4" t="inlineStr">
        <is>
          <t>电费</t>
        </is>
      </c>
      <c r="D65" s="7" t="n">
        <v>36</v>
      </c>
      <c r="F65" s="7" t="n">
        <v>27.6</v>
      </c>
      <c r="H65" s="7" t="n">
        <v>112.4</v>
      </c>
      <c r="J65" s="7" t="n">
        <v>87.3</v>
      </c>
      <c r="L65" s="7" t="n">
        <v>58.4</v>
      </c>
      <c r="N65" s="7" t="n">
        <v>98.2</v>
      </c>
      <c r="P65" s="7" t="n">
        <v>186.3</v>
      </c>
      <c r="R65" s="7" t="n">
        <v>128.8</v>
      </c>
      <c r="T65" s="7" t="n">
        <v>95.8</v>
      </c>
      <c r="V65" s="7" t="n">
        <v>121.3</v>
      </c>
      <c r="X65" s="7" t="n">
        <v>58.5</v>
      </c>
      <c r="Z65" s="7" t="n">
        <v>69.40000000000001</v>
      </c>
      <c r="AB65" s="7" t="n">
        <v>1080</v>
      </c>
    </row>
    <row r="66">
      <c r="A66" s="4" t="inlineStr">
        <is>
          <t>燃气费</t>
        </is>
      </c>
      <c r="D66" s="7" t="n">
        <v>62</v>
      </c>
      <c r="F66" s="7" t="n">
        <v>56.6</v>
      </c>
      <c r="H66" s="7" t="n">
        <v>171.5</v>
      </c>
      <c r="J66" s="7" t="n">
        <v>92.5</v>
      </c>
      <c r="L66" s="7" t="n">
        <v>143.4</v>
      </c>
      <c r="N66" s="7" t="n">
        <v>221.5</v>
      </c>
      <c r="P66" s="7" t="n">
        <v>182.9</v>
      </c>
      <c r="R66" s="7" t="n">
        <v>114.2</v>
      </c>
      <c r="T66" s="7" t="n">
        <v>166.3</v>
      </c>
      <c r="V66" s="7" t="n">
        <v>207.6</v>
      </c>
      <c r="X66" s="7" t="n">
        <v>76.90000000000001</v>
      </c>
      <c r="Z66" s="7" t="n">
        <v>103.6</v>
      </c>
      <c r="AB66" s="7" t="n">
        <v>1599</v>
      </c>
    </row>
    <row r="67">
      <c r="A67" s="4" t="inlineStr">
        <is>
          <t>蒸汽费</t>
        </is>
      </c>
      <c r="D67" s="7" t="n">
        <v>22.7</v>
      </c>
      <c r="F67" s="7" t="n">
        <v>24.2</v>
      </c>
      <c r="H67" s="7" t="n">
        <v>61.6</v>
      </c>
      <c r="J67" s="7" t="n">
        <v>86.09999999999999</v>
      </c>
      <c r="L67" s="7" t="n">
        <v>69.7</v>
      </c>
      <c r="N67" s="7" t="n">
        <v>125.5</v>
      </c>
      <c r="P67" s="7" t="n">
        <v>123.2</v>
      </c>
      <c r="R67" s="7" t="n">
        <v>64.5</v>
      </c>
      <c r="T67" s="7" t="n">
        <v>114</v>
      </c>
      <c r="V67" s="7" t="n">
        <v>76.7</v>
      </c>
      <c r="X67" s="7" t="n">
        <v>58.8</v>
      </c>
      <c r="Z67" s="7" t="n">
        <v>40</v>
      </c>
      <c r="AB67" s="7" t="n">
        <v>867</v>
      </c>
    </row>
    <row r="68">
      <c r="A68" s="4" t="inlineStr">
        <is>
          <t>物业费</t>
        </is>
      </c>
      <c r="D68" s="7" t="n">
        <v>123.8</v>
      </c>
      <c r="F68" s="7" t="n">
        <v>100.3</v>
      </c>
      <c r="H68" s="7" t="n">
        <v>253.2</v>
      </c>
      <c r="J68" s="7" t="n">
        <v>283.9</v>
      </c>
      <c r="L68" s="7" t="n">
        <v>204.2</v>
      </c>
      <c r="N68" s="7" t="n">
        <v>347.9</v>
      </c>
      <c r="P68" s="7" t="n">
        <v>347.9</v>
      </c>
      <c r="R68" s="7" t="n">
        <v>292.5</v>
      </c>
      <c r="T68" s="7" t="n">
        <v>475.3</v>
      </c>
      <c r="V68" s="7" t="n">
        <v>335.6</v>
      </c>
      <c r="X68" s="7" t="n">
        <v>318.4</v>
      </c>
      <c r="Z68" s="7" t="n">
        <v>190</v>
      </c>
      <c r="AB68" s="7" t="n">
        <v>3273</v>
      </c>
    </row>
    <row r="69">
      <c r="A69" s="4" t="inlineStr">
        <is>
          <t>劳动保护费</t>
        </is>
      </c>
      <c r="D69" s="7" t="n">
        <v>21.7</v>
      </c>
      <c r="F69" s="7" t="n">
        <v>27.2</v>
      </c>
      <c r="H69" s="7" t="n">
        <v>64.8</v>
      </c>
      <c r="J69" s="7" t="n">
        <v>55.5</v>
      </c>
      <c r="L69" s="7" t="n">
        <v>47.4</v>
      </c>
      <c r="N69" s="7" t="n">
        <v>101.2</v>
      </c>
      <c r="P69" s="7" t="n">
        <v>62.8</v>
      </c>
      <c r="R69" s="7" t="n">
        <v>74.5</v>
      </c>
      <c r="T69" s="7" t="n">
        <v>60.3</v>
      </c>
      <c r="V69" s="7" t="n">
        <v>62.4</v>
      </c>
      <c r="X69" s="7" t="n">
        <v>42.6</v>
      </c>
      <c r="Z69" s="7" t="n">
        <v>47.6</v>
      </c>
      <c r="AB69" s="7" t="n">
        <v>668</v>
      </c>
    </row>
    <row r="70">
      <c r="A70" s="4" t="inlineStr">
        <is>
          <t>顾问费</t>
        </is>
      </c>
      <c r="D70" s="7" t="n">
        <v>4.8</v>
      </c>
      <c r="F70" s="7" t="n">
        <v>5.3</v>
      </c>
      <c r="H70" s="7" t="n">
        <v>11.9</v>
      </c>
      <c r="J70" s="7" t="n">
        <v>12.7</v>
      </c>
      <c r="L70" s="7" t="n">
        <v>11.3</v>
      </c>
      <c r="N70" s="7" t="n">
        <v>20.5</v>
      </c>
      <c r="P70" s="7" t="n">
        <v>21.2</v>
      </c>
      <c r="R70" s="7" t="n">
        <v>20.1</v>
      </c>
      <c r="T70" s="7" t="n">
        <v>22.1</v>
      </c>
      <c r="V70" s="7" t="n">
        <v>18.4</v>
      </c>
      <c r="X70" s="7" t="n">
        <v>13.1</v>
      </c>
      <c r="Z70" s="7" t="n">
        <v>9.1</v>
      </c>
      <c r="AB70" s="7" t="n">
        <v>170.5</v>
      </c>
    </row>
    <row r="71">
      <c r="A71" s="4" t="inlineStr">
        <is>
          <t>快递费</t>
        </is>
      </c>
      <c r="D71" s="7" t="n">
        <v>30</v>
      </c>
      <c r="F71" s="7" t="n">
        <v>45.3</v>
      </c>
      <c r="H71" s="7" t="n">
        <v>93.5</v>
      </c>
      <c r="J71" s="7" t="n">
        <v>78.59999999999999</v>
      </c>
      <c r="L71" s="7" t="n">
        <v>73.90000000000001</v>
      </c>
      <c r="N71" s="7" t="n">
        <v>157.9</v>
      </c>
      <c r="P71" s="7" t="n">
        <v>109.4</v>
      </c>
      <c r="R71" s="7" t="n">
        <v>102.7</v>
      </c>
      <c r="T71" s="7" t="n">
        <v>102</v>
      </c>
      <c r="V71" s="7" t="n">
        <v>111.7</v>
      </c>
      <c r="X71" s="7" t="n">
        <v>95.3</v>
      </c>
      <c r="Z71" s="7" t="n">
        <v>87.5</v>
      </c>
      <c r="AB71" s="7" t="n">
        <v>1087.8</v>
      </c>
    </row>
    <row r="72">
      <c r="A72" s="4" t="inlineStr">
        <is>
          <t>诉讼费</t>
        </is>
      </c>
      <c r="D72" s="7" t="n">
        <v>57.7</v>
      </c>
      <c r="F72" s="7" t="n">
        <v>52.6</v>
      </c>
      <c r="H72" s="7" t="n">
        <v>186.7</v>
      </c>
      <c r="J72" s="7" t="n">
        <v>205.1</v>
      </c>
      <c r="L72" s="7" t="n">
        <v>111.6</v>
      </c>
      <c r="N72" s="7" t="n">
        <v>277.8</v>
      </c>
      <c r="P72" s="7" t="n">
        <v>285</v>
      </c>
      <c r="R72" s="7" t="n">
        <v>158.5</v>
      </c>
      <c r="T72" s="7" t="n">
        <v>171.2</v>
      </c>
      <c r="V72" s="7" t="n">
        <v>247.9</v>
      </c>
      <c r="X72" s="7" t="n">
        <v>106.6</v>
      </c>
      <c r="Z72" s="7" t="n">
        <v>128.6</v>
      </c>
      <c r="AB72" s="7" t="n">
        <v>1989.3</v>
      </c>
    </row>
    <row r="73">
      <c r="A73" s="4" t="inlineStr">
        <is>
          <t>会员费</t>
        </is>
      </c>
      <c r="D73" s="7" t="n">
        <v>5.7</v>
      </c>
      <c r="F73" s="7" t="n">
        <v>4.1</v>
      </c>
      <c r="H73" s="7" t="n">
        <v>15</v>
      </c>
      <c r="J73" s="7" t="n">
        <v>14.9</v>
      </c>
      <c r="L73" s="7" t="n">
        <v>9.9</v>
      </c>
      <c r="N73" s="7" t="n">
        <v>20.5</v>
      </c>
      <c r="P73" s="7" t="n">
        <v>26.1</v>
      </c>
      <c r="R73" s="7" t="n">
        <v>10</v>
      </c>
      <c r="T73" s="7" t="n">
        <v>15.3</v>
      </c>
      <c r="V73" s="7" t="n">
        <v>17</v>
      </c>
      <c r="X73" s="7" t="n">
        <v>10.2</v>
      </c>
      <c r="Z73" s="7" t="n">
        <v>12.7</v>
      </c>
      <c r="AB73" s="7" t="n">
        <v>161.4</v>
      </c>
    </row>
    <row r="74">
      <c r="A74" s="4" t="inlineStr">
        <is>
          <t>广告宣传费</t>
        </is>
      </c>
      <c r="D74" s="7" t="n">
        <v>558.8</v>
      </c>
      <c r="F74" s="7" t="n">
        <v>712.7</v>
      </c>
      <c r="H74" s="7" t="n">
        <v>1316.3</v>
      </c>
      <c r="J74" s="7" t="n">
        <v>1347.9</v>
      </c>
      <c r="L74" s="7" t="n">
        <v>1105.5</v>
      </c>
      <c r="N74" s="7" t="n">
        <v>1849.7</v>
      </c>
      <c r="P74" s="7" t="n">
        <v>2357.7</v>
      </c>
      <c r="R74" s="7" t="n">
        <v>1114.5</v>
      </c>
      <c r="T74" s="7" t="n">
        <v>2206.7</v>
      </c>
      <c r="V74" s="7" t="n">
        <v>1970.1</v>
      </c>
      <c r="X74" s="7" t="n">
        <v>1035.8</v>
      </c>
      <c r="Z74" s="7" t="n">
        <v>1157.3</v>
      </c>
      <c r="AB74" s="7" t="n">
        <v>16733</v>
      </c>
    </row>
    <row r="75">
      <c r="A75" s="4" t="inlineStr">
        <is>
          <t>会务费</t>
        </is>
      </c>
      <c r="D75" s="7" t="n">
        <v>30.9</v>
      </c>
      <c r="F75" s="7" t="n">
        <v>28.4</v>
      </c>
      <c r="H75" s="7" t="n">
        <v>113.1</v>
      </c>
      <c r="J75" s="7" t="n">
        <v>89.2</v>
      </c>
      <c r="L75" s="7" t="n">
        <v>83.3</v>
      </c>
      <c r="N75" s="7" t="n">
        <v>103.9</v>
      </c>
      <c r="P75" s="7" t="n">
        <v>124.6</v>
      </c>
      <c r="R75" s="7" t="n">
        <v>114.5</v>
      </c>
      <c r="T75" s="7" t="n">
        <v>108.6</v>
      </c>
      <c r="V75" s="7" t="n">
        <v>93</v>
      </c>
      <c r="X75" s="7" t="n">
        <v>69.40000000000001</v>
      </c>
      <c r="Z75" s="7" t="n">
        <v>60.9</v>
      </c>
      <c r="AB75" s="7" t="n">
        <v>1019.8</v>
      </c>
    </row>
    <row r="76">
      <c r="A76" s="4" t="inlineStr">
        <is>
          <t>装修费</t>
        </is>
      </c>
      <c r="D76" s="7" t="n">
        <v>47.5</v>
      </c>
      <c r="F76" s="7" t="n">
        <v>44.8</v>
      </c>
      <c r="H76" s="7" t="n">
        <v>146.4</v>
      </c>
      <c r="J76" s="7" t="n">
        <v>143.6</v>
      </c>
      <c r="L76" s="7" t="n">
        <v>128.3</v>
      </c>
      <c r="N76" s="7" t="n">
        <v>145.1</v>
      </c>
      <c r="P76" s="7" t="n">
        <v>174</v>
      </c>
      <c r="R76" s="7" t="n">
        <v>126.3</v>
      </c>
      <c r="T76" s="7" t="n">
        <v>170</v>
      </c>
      <c r="V76" s="7" t="n">
        <v>143.6</v>
      </c>
      <c r="X76" s="7" t="n">
        <v>85.8</v>
      </c>
      <c r="Z76" s="7" t="n">
        <v>96</v>
      </c>
      <c r="AB76" s="7" t="n">
        <v>1451.4</v>
      </c>
    </row>
    <row r="77">
      <c r="A77" s="4" t="inlineStr">
        <is>
          <t>推广费</t>
        </is>
      </c>
      <c r="D77" s="7" t="n">
        <v>127.8</v>
      </c>
      <c r="F77" s="7" t="n">
        <v>73.7</v>
      </c>
      <c r="H77" s="7" t="n">
        <v>317</v>
      </c>
      <c r="J77" s="7" t="n">
        <v>313.6</v>
      </c>
      <c r="L77" s="7" t="n">
        <v>169.6</v>
      </c>
      <c r="N77" s="7" t="n">
        <v>338.5</v>
      </c>
      <c r="P77" s="7" t="n">
        <v>399.8</v>
      </c>
      <c r="R77" s="7" t="n">
        <v>295.9</v>
      </c>
      <c r="T77" s="7" t="n">
        <v>238.4</v>
      </c>
      <c r="V77" s="7" t="n">
        <v>244.5</v>
      </c>
      <c r="X77" s="7" t="n">
        <v>213.9</v>
      </c>
      <c r="Z77" s="7" t="n">
        <v>251.7</v>
      </c>
      <c r="AB77" s="7" t="n">
        <v>2984.4</v>
      </c>
    </row>
    <row r="78">
      <c r="A78" s="4" t="inlineStr">
        <is>
          <t>展会费</t>
        </is>
      </c>
      <c r="D78" s="7" t="n">
        <v>24.9</v>
      </c>
      <c r="F78" s="7" t="n">
        <v>14.5</v>
      </c>
      <c r="H78" s="7" t="n">
        <v>60.3</v>
      </c>
      <c r="J78" s="7" t="n">
        <v>47.4</v>
      </c>
      <c r="L78" s="7" t="n">
        <v>52</v>
      </c>
      <c r="N78" s="7" t="n">
        <v>82.40000000000001</v>
      </c>
      <c r="P78" s="7" t="n">
        <v>98.2</v>
      </c>
      <c r="R78" s="7" t="n">
        <v>53.4</v>
      </c>
      <c r="T78" s="7" t="n">
        <v>59.7</v>
      </c>
      <c r="V78" s="7" t="n">
        <v>57.7</v>
      </c>
      <c r="X78" s="7" t="n">
        <v>43</v>
      </c>
      <c r="Z78" s="7" t="n">
        <v>50.9</v>
      </c>
      <c r="AB78" s="7" t="n">
        <v>644.4</v>
      </c>
    </row>
    <row r="79">
      <c r="A79" s="4" t="inlineStr">
        <is>
          <t>设计费</t>
        </is>
      </c>
      <c r="D79" s="7" t="n">
        <v>5.1</v>
      </c>
      <c r="F79" s="7" t="n">
        <v>3.4</v>
      </c>
      <c r="H79" s="7" t="n">
        <v>10.1</v>
      </c>
      <c r="J79" s="7" t="n">
        <v>9</v>
      </c>
      <c r="L79" s="7" t="n">
        <v>8.9</v>
      </c>
      <c r="N79" s="7" t="n">
        <v>15.1</v>
      </c>
      <c r="P79" s="7" t="n">
        <v>13.4</v>
      </c>
      <c r="R79" s="7" t="n">
        <v>10.7</v>
      </c>
      <c r="T79" s="7" t="n">
        <v>14.8</v>
      </c>
      <c r="V79" s="7" t="n">
        <v>15</v>
      </c>
      <c r="X79" s="7" t="n">
        <v>6.5</v>
      </c>
      <c r="Z79" s="7" t="n">
        <v>7.8</v>
      </c>
      <c r="AB79" s="7" t="n">
        <v>119.8</v>
      </c>
    </row>
    <row r="80">
      <c r="A80" s="4" t="inlineStr">
        <is>
          <t>折旧费</t>
        </is>
      </c>
      <c r="D80" s="7" t="n">
        <v>844.1</v>
      </c>
      <c r="F80" s="7" t="n">
        <v>925.1</v>
      </c>
      <c r="H80" s="7" t="n">
        <v>1684.2</v>
      </c>
      <c r="J80" s="7" t="n">
        <v>2422.8</v>
      </c>
      <c r="L80" s="7" t="n">
        <v>1376.6</v>
      </c>
      <c r="N80" s="7" t="n">
        <v>2237.7</v>
      </c>
      <c r="P80" s="7" t="n">
        <v>2822.1</v>
      </c>
      <c r="R80" s="7" t="n">
        <v>2543.4</v>
      </c>
      <c r="T80" s="7" t="n">
        <v>3111.7</v>
      </c>
      <c r="V80" s="7" t="n">
        <v>2718.2</v>
      </c>
      <c r="X80" s="7" t="n">
        <v>1934.3</v>
      </c>
      <c r="Z80" s="7" t="n">
        <v>1616.2</v>
      </c>
      <c r="AB80" s="7" t="n">
        <v>24236.4</v>
      </c>
    </row>
    <row r="81">
      <c r="A81" s="4" t="inlineStr">
        <is>
          <t>认证费</t>
        </is>
      </c>
      <c r="D81" s="7" t="n">
        <v>92.5</v>
      </c>
      <c r="F81" s="7" t="n">
        <v>103.2</v>
      </c>
      <c r="H81" s="7" t="n">
        <v>264.3</v>
      </c>
      <c r="J81" s="7" t="n">
        <v>202</v>
      </c>
      <c r="L81" s="7" t="n">
        <v>248.4</v>
      </c>
      <c r="N81" s="7" t="n">
        <v>386.1</v>
      </c>
      <c r="P81" s="7" t="n">
        <v>446.8</v>
      </c>
      <c r="R81" s="7" t="n">
        <v>192.7</v>
      </c>
      <c r="T81" s="7" t="n">
        <v>310</v>
      </c>
      <c r="V81" s="7" t="n">
        <v>260.6</v>
      </c>
      <c r="X81" s="7" t="n">
        <v>199</v>
      </c>
      <c r="Z81" s="7" t="n">
        <v>168.8</v>
      </c>
      <c r="AB81" s="7" t="n">
        <v>2874.4</v>
      </c>
    </row>
    <row r="82">
      <c r="A82" s="4" t="inlineStr">
        <is>
          <t>样品费</t>
        </is>
      </c>
      <c r="D82" s="7" t="n">
        <v>447.4</v>
      </c>
      <c r="F82" s="7" t="n">
        <v>419.5</v>
      </c>
      <c r="H82" s="7" t="n">
        <v>1217.3</v>
      </c>
      <c r="J82" s="7" t="n">
        <v>1174.2</v>
      </c>
      <c r="L82" s="7" t="n">
        <v>851.8</v>
      </c>
      <c r="N82" s="7" t="n">
        <v>1365.9</v>
      </c>
      <c r="P82" s="7" t="n">
        <v>1401.7</v>
      </c>
      <c r="R82" s="7" t="n">
        <v>1199</v>
      </c>
      <c r="T82" s="7" t="n">
        <v>1109.4</v>
      </c>
      <c r="V82" s="7" t="n">
        <v>1623.5</v>
      </c>
      <c r="X82" s="7" t="n">
        <v>741.4</v>
      </c>
      <c r="Z82" s="7" t="n">
        <v>539.3</v>
      </c>
      <c r="AB82" s="7" t="n">
        <v>12090.4</v>
      </c>
    </row>
    <row r="83">
      <c r="A83" s="4" t="inlineStr">
        <is>
          <t>劳务费</t>
        </is>
      </c>
      <c r="D83" s="7" t="n">
        <v>73</v>
      </c>
      <c r="F83" s="7" t="n">
        <v>64.59999999999999</v>
      </c>
      <c r="H83" s="7" t="n">
        <v>287.1</v>
      </c>
      <c r="J83" s="7" t="n">
        <v>236.1</v>
      </c>
      <c r="L83" s="7" t="n">
        <v>137.4</v>
      </c>
      <c r="N83" s="7" t="n">
        <v>330.7</v>
      </c>
      <c r="P83" s="7" t="n">
        <v>340</v>
      </c>
      <c r="R83" s="7" t="n">
        <v>266.9</v>
      </c>
      <c r="T83" s="7" t="n">
        <v>318.1</v>
      </c>
      <c r="V83" s="7" t="n">
        <v>282.8</v>
      </c>
      <c r="X83" s="7" t="n">
        <v>171.7</v>
      </c>
      <c r="Z83" s="7" t="n">
        <v>188.6</v>
      </c>
      <c r="AB83" s="7" t="n">
        <v>2697</v>
      </c>
    </row>
    <row r="84">
      <c r="A84" s="4" t="inlineStr">
        <is>
          <t>销售佣金</t>
        </is>
      </c>
      <c r="D84" s="7" t="n">
        <v>3.4</v>
      </c>
      <c r="F84" s="7" t="n">
        <v>3</v>
      </c>
      <c r="H84" s="7" t="n">
        <v>7.8</v>
      </c>
      <c r="J84" s="7" t="n">
        <v>7</v>
      </c>
      <c r="L84" s="7" t="n">
        <v>9.6</v>
      </c>
      <c r="N84" s="7" t="n">
        <v>14.1</v>
      </c>
      <c r="P84" s="7" t="n">
        <v>18.6</v>
      </c>
      <c r="R84" s="7" t="n">
        <v>12.6</v>
      </c>
      <c r="T84" s="7" t="n">
        <v>8.6</v>
      </c>
      <c r="V84" s="7" t="n">
        <v>10</v>
      </c>
      <c r="X84" s="7" t="n">
        <v>9.6</v>
      </c>
      <c r="Z84" s="7" t="n">
        <v>7.7</v>
      </c>
      <c r="AB84" s="7" t="n">
        <v>112</v>
      </c>
    </row>
    <row r="85">
      <c r="A85" s="4" t="inlineStr">
        <is>
          <t>检测费</t>
        </is>
      </c>
      <c r="D85" s="7" t="n">
        <v>95.2</v>
      </c>
      <c r="F85" s="7" t="n">
        <v>100.9</v>
      </c>
      <c r="H85" s="7" t="n">
        <v>302.6</v>
      </c>
      <c r="J85" s="7" t="n">
        <v>251.4</v>
      </c>
      <c r="L85" s="7" t="n">
        <v>218.3</v>
      </c>
      <c r="N85" s="7" t="n">
        <v>276.3</v>
      </c>
      <c r="P85" s="7" t="n">
        <v>289.4</v>
      </c>
      <c r="R85" s="7" t="n">
        <v>208.6</v>
      </c>
      <c r="T85" s="7" t="n">
        <v>351.8</v>
      </c>
      <c r="V85" s="7" t="n">
        <v>402.7</v>
      </c>
      <c r="X85" s="7" t="n">
        <v>242.3</v>
      </c>
      <c r="Z85" s="7" t="n">
        <v>221.2</v>
      </c>
      <c r="AB85" s="7" t="n">
        <v>2960.7</v>
      </c>
    </row>
    <row r="86">
      <c r="A86" s="4" t="inlineStr">
        <is>
          <t>质量赔偿</t>
        </is>
      </c>
      <c r="D86" s="7" t="n">
        <v>21.7</v>
      </c>
      <c r="F86" s="7" t="n">
        <v>32.8</v>
      </c>
      <c r="H86" s="7" t="n">
        <v>104.6</v>
      </c>
      <c r="J86" s="7" t="n">
        <v>75.09999999999999</v>
      </c>
      <c r="L86" s="7" t="n">
        <v>77.59999999999999</v>
      </c>
      <c r="N86" s="7" t="n">
        <v>93.5</v>
      </c>
      <c r="P86" s="7" t="n">
        <v>97.8</v>
      </c>
      <c r="R86" s="7" t="n">
        <v>75.59999999999999</v>
      </c>
      <c r="T86" s="7" t="n">
        <v>83.59999999999999</v>
      </c>
      <c r="V86" s="7" t="n">
        <v>68.8</v>
      </c>
      <c r="X86" s="7" t="n">
        <v>71.8</v>
      </c>
      <c r="Z86" s="7" t="n">
        <v>61</v>
      </c>
      <c r="AB86" s="7" t="n">
        <v>863.9</v>
      </c>
    </row>
    <row r="87">
      <c r="A87" s="4" t="inlineStr">
        <is>
          <t>保险费</t>
        </is>
      </c>
      <c r="D87" s="7" t="n">
        <v>93.2</v>
      </c>
      <c r="F87" s="7" t="n">
        <v>108.5</v>
      </c>
      <c r="H87" s="7" t="n">
        <v>184.8</v>
      </c>
      <c r="J87" s="7" t="n">
        <v>251.8</v>
      </c>
      <c r="L87" s="7" t="n">
        <v>244</v>
      </c>
      <c r="N87" s="7" t="n">
        <v>274.2</v>
      </c>
      <c r="P87" s="7" t="n">
        <v>434.6</v>
      </c>
      <c r="R87" s="7" t="n">
        <v>250.2</v>
      </c>
      <c r="T87" s="7" t="n">
        <v>200</v>
      </c>
      <c r="V87" s="7" t="n">
        <v>245.2</v>
      </c>
      <c r="X87" s="7" t="n">
        <v>217.7</v>
      </c>
      <c r="Z87" s="7" t="n">
        <v>181.6</v>
      </c>
      <c r="AB87" s="7" t="n">
        <v>2685.8</v>
      </c>
    </row>
    <row r="88">
      <c r="A88" s="4" t="inlineStr">
        <is>
          <t>清洁费</t>
        </is>
      </c>
      <c r="D88" s="7" t="n">
        <v>37</v>
      </c>
      <c r="F88" s="7" t="n">
        <v>47.8</v>
      </c>
      <c r="H88" s="7" t="n">
        <v>120.9</v>
      </c>
      <c r="J88" s="7" t="n">
        <v>141.2</v>
      </c>
      <c r="L88" s="7" t="n">
        <v>139</v>
      </c>
      <c r="N88" s="7" t="n">
        <v>182.6</v>
      </c>
      <c r="P88" s="7" t="n">
        <v>143.5</v>
      </c>
      <c r="R88" s="7" t="n">
        <v>122.9</v>
      </c>
      <c r="T88" s="7" t="n">
        <v>182.3</v>
      </c>
      <c r="V88" s="7" t="n">
        <v>137</v>
      </c>
      <c r="X88" s="7" t="n">
        <v>148</v>
      </c>
      <c r="Z88" s="7" t="n">
        <v>87.09999999999999</v>
      </c>
      <c r="AB88" s="7" t="n">
        <v>1489.3</v>
      </c>
    </row>
    <row r="89">
      <c r="A89" s="4" t="inlineStr">
        <is>
          <t>低值易耗品</t>
        </is>
      </c>
      <c r="D89" s="7" t="n">
        <v>129.1</v>
      </c>
      <c r="F89" s="7" t="n">
        <v>97.3</v>
      </c>
      <c r="H89" s="7" t="n">
        <v>382.3</v>
      </c>
      <c r="J89" s="7" t="n">
        <v>341.5</v>
      </c>
      <c r="L89" s="7" t="n">
        <v>284.4</v>
      </c>
      <c r="N89" s="7" t="n">
        <v>483.3</v>
      </c>
      <c r="P89" s="7" t="n">
        <v>498</v>
      </c>
      <c r="R89" s="7" t="n">
        <v>373.8</v>
      </c>
      <c r="T89" s="7" t="n">
        <v>278.2</v>
      </c>
      <c r="V89" s="7" t="n">
        <v>425.1</v>
      </c>
      <c r="X89" s="7" t="n">
        <v>190.4</v>
      </c>
      <c r="Z89" s="7" t="n">
        <v>222.4</v>
      </c>
      <c r="AB89" s="7" t="n">
        <v>3705.8</v>
      </c>
    </row>
    <row r="90">
      <c r="A90" s="4" t="inlineStr">
        <is>
          <t>物料消耗</t>
        </is>
      </c>
      <c r="D90" s="7" t="n">
        <v>74.7</v>
      </c>
      <c r="F90" s="7" t="n">
        <v>114.3</v>
      </c>
      <c r="H90" s="7" t="n">
        <v>391.3</v>
      </c>
      <c r="J90" s="7" t="n">
        <v>233.9</v>
      </c>
      <c r="L90" s="7" t="n">
        <v>199.7</v>
      </c>
      <c r="N90" s="7" t="n">
        <v>299.2</v>
      </c>
      <c r="P90" s="7" t="n">
        <v>517.2</v>
      </c>
      <c r="R90" s="7" t="n">
        <v>300.2</v>
      </c>
      <c r="T90" s="7" t="n">
        <v>428.7</v>
      </c>
      <c r="V90" s="7" t="n">
        <v>407.9</v>
      </c>
      <c r="X90" s="7" t="n">
        <v>293.1</v>
      </c>
      <c r="Z90" s="7" t="n">
        <v>162.4</v>
      </c>
      <c r="AB90" s="7" t="n">
        <v>3422.6</v>
      </c>
    </row>
    <row r="91">
      <c r="A91" s="4" t="inlineStr">
        <is>
          <t>盘盈盘亏</t>
        </is>
      </c>
      <c r="D91" s="7" t="n">
        <v>68.40000000000001</v>
      </c>
      <c r="F91" s="7" t="n">
        <v>93.09999999999999</v>
      </c>
      <c r="H91" s="7" t="n">
        <v>291.4</v>
      </c>
      <c r="J91" s="7" t="n">
        <v>224.5</v>
      </c>
      <c r="L91" s="7" t="n">
        <v>224.9</v>
      </c>
      <c r="N91" s="7" t="n">
        <v>321.8</v>
      </c>
      <c r="P91" s="7" t="n">
        <v>240.4</v>
      </c>
      <c r="R91" s="7" t="n">
        <v>156.5</v>
      </c>
      <c r="T91" s="7" t="n">
        <v>336.3</v>
      </c>
      <c r="V91" s="7" t="n">
        <v>311.1</v>
      </c>
      <c r="X91" s="7" t="n">
        <v>136</v>
      </c>
      <c r="Z91" s="7" t="n">
        <v>118.2</v>
      </c>
      <c r="AB91" s="7" t="n">
        <v>2522.6</v>
      </c>
    </row>
    <row r="92">
      <c r="A92" s="4" t="inlineStr">
        <is>
          <t>平台服务费</t>
        </is>
      </c>
      <c r="D92" s="7" t="n">
        <v>58.7</v>
      </c>
      <c r="F92" s="7" t="n">
        <v>79.5</v>
      </c>
      <c r="H92" s="7" t="n">
        <v>155.4</v>
      </c>
      <c r="J92" s="7" t="n">
        <v>231.9</v>
      </c>
      <c r="L92" s="7" t="n">
        <v>137.3</v>
      </c>
      <c r="N92" s="7" t="n">
        <v>273.4</v>
      </c>
      <c r="P92" s="7" t="n">
        <v>299.9</v>
      </c>
      <c r="R92" s="7" t="n">
        <v>207.8</v>
      </c>
      <c r="T92" s="7" t="n">
        <v>303.7</v>
      </c>
      <c r="V92" s="7" t="n">
        <v>314</v>
      </c>
      <c r="X92" s="7" t="n">
        <v>120.5</v>
      </c>
      <c r="Z92" s="7" t="n">
        <v>118.2</v>
      </c>
      <c r="AB92" s="7" t="n">
        <v>2300.3</v>
      </c>
    </row>
    <row r="93">
      <c r="A93" s="4" t="inlineStr">
        <is>
          <t>无形资产摊销</t>
        </is>
      </c>
      <c r="D93" s="7" t="n">
        <v>14.8</v>
      </c>
      <c r="F93" s="7" t="n">
        <v>23.4</v>
      </c>
      <c r="H93" s="7" t="n">
        <v>55.3</v>
      </c>
      <c r="J93" s="7" t="n">
        <v>51.7</v>
      </c>
      <c r="L93" s="7" t="n">
        <v>48.7</v>
      </c>
      <c r="N93" s="7" t="n">
        <v>81.59999999999999</v>
      </c>
      <c r="P93" s="7" t="n">
        <v>88.5</v>
      </c>
      <c r="R93" s="7" t="n">
        <v>46.2</v>
      </c>
      <c r="T93" s="7" t="n">
        <v>77.90000000000001</v>
      </c>
      <c r="V93" s="7" t="n">
        <v>67.59999999999999</v>
      </c>
      <c r="X93" s="7" t="n">
        <v>29.1</v>
      </c>
      <c r="Z93" s="7" t="n">
        <v>29.4</v>
      </c>
      <c r="AB93" s="7" t="n">
        <v>614.2</v>
      </c>
    </row>
    <row r="94">
      <c r="A94" s="4" t="inlineStr">
        <is>
          <t>研发材料</t>
        </is>
      </c>
      <c r="D94" s="7" t="n">
        <v>65.7</v>
      </c>
      <c r="F94" s="7" t="n">
        <v>56.4</v>
      </c>
      <c r="H94" s="7" t="n">
        <v>188.6</v>
      </c>
      <c r="J94" s="7" t="n">
        <v>173.6</v>
      </c>
      <c r="L94" s="7" t="n">
        <v>138.7</v>
      </c>
      <c r="N94" s="7" t="n">
        <v>198.9</v>
      </c>
      <c r="P94" s="7" t="n">
        <v>185</v>
      </c>
      <c r="R94" s="7" t="n">
        <v>178.4</v>
      </c>
      <c r="T94" s="7" t="n">
        <v>198.1</v>
      </c>
      <c r="V94" s="7" t="n">
        <v>220</v>
      </c>
      <c r="X94" s="7" t="n">
        <v>106</v>
      </c>
      <c r="Z94" s="7" t="n">
        <v>133.4</v>
      </c>
      <c r="AB94" s="7" t="n">
        <v>1842.8</v>
      </c>
    </row>
    <row r="95">
      <c r="A95" s="4" t="inlineStr">
        <is>
          <t>项目名称</t>
        </is>
      </c>
      <c r="D95" s="7" t="n">
        <v>134.2</v>
      </c>
      <c r="F95" s="7" t="n">
        <v>88.3</v>
      </c>
      <c r="H95" s="7" t="n">
        <v>314.5</v>
      </c>
      <c r="J95" s="7" t="n">
        <v>263.7</v>
      </c>
      <c r="L95" s="7" t="n">
        <v>176.8</v>
      </c>
      <c r="N95" s="7" t="n">
        <v>291.6</v>
      </c>
      <c r="P95" s="7" t="n">
        <v>341.1</v>
      </c>
      <c r="R95" s="7" t="n">
        <v>218</v>
      </c>
      <c r="T95" s="7" t="n">
        <v>393.4</v>
      </c>
      <c r="V95" s="7" t="n">
        <v>357.5</v>
      </c>
      <c r="X95" s="7" t="n">
        <v>263.1</v>
      </c>
      <c r="Z95" s="7" t="n">
        <v>262.3</v>
      </c>
      <c r="AB95" s="7" t="n">
        <v>3104.5</v>
      </c>
    </row>
    <row r="96">
      <c r="A96" s="4" t="inlineStr">
        <is>
          <t>研发费</t>
        </is>
      </c>
      <c r="D96" s="7" t="n">
        <v>117</v>
      </c>
      <c r="F96" s="7" t="n">
        <v>135</v>
      </c>
      <c r="H96" s="7" t="n">
        <v>437.1</v>
      </c>
      <c r="J96" s="7" t="n">
        <v>272.2</v>
      </c>
      <c r="L96" s="7" t="n">
        <v>230.2</v>
      </c>
      <c r="N96" s="7" t="n">
        <v>532.1</v>
      </c>
      <c r="P96" s="7" t="n">
        <v>451.6</v>
      </c>
      <c r="R96" s="7" t="n">
        <v>372.2</v>
      </c>
      <c r="T96" s="7" t="n">
        <v>441.5</v>
      </c>
      <c r="V96" s="7" t="n">
        <v>367.5</v>
      </c>
      <c r="X96" s="7" t="n">
        <v>274</v>
      </c>
      <c r="Z96" s="7" t="n">
        <v>294.1</v>
      </c>
      <c r="AB96" s="7" t="n">
        <v>3924.5</v>
      </c>
    </row>
    <row r="97">
      <c r="A97" s="4" t="inlineStr">
        <is>
          <t>残保金</t>
        </is>
      </c>
      <c r="D97" s="7" t="n">
        <v>42.1</v>
      </c>
      <c r="F97" s="7" t="n">
        <v>48.1</v>
      </c>
      <c r="H97" s="7" t="n">
        <v>197.8</v>
      </c>
      <c r="J97" s="7" t="n">
        <v>134</v>
      </c>
      <c r="L97" s="7" t="n">
        <v>148.1</v>
      </c>
      <c r="N97" s="7" t="n">
        <v>240.2</v>
      </c>
      <c r="P97" s="7" t="n">
        <v>208.2</v>
      </c>
      <c r="R97" s="7" t="n">
        <v>182.1</v>
      </c>
      <c r="T97" s="7" t="n">
        <v>183.3</v>
      </c>
      <c r="V97" s="7" t="n">
        <v>187.9</v>
      </c>
      <c r="X97" s="7" t="n">
        <v>93.7</v>
      </c>
      <c r="Z97" s="7" t="n">
        <v>90.59999999999999</v>
      </c>
      <c r="AB97" s="7" t="n">
        <v>1756.1</v>
      </c>
    </row>
    <row r="98">
      <c r="A98" s="4" t="inlineStr">
        <is>
          <t>环保费</t>
        </is>
      </c>
      <c r="D98" s="7" t="n">
        <v>145.7</v>
      </c>
      <c r="F98" s="7" t="n">
        <v>111.1</v>
      </c>
      <c r="H98" s="7" t="n">
        <v>281.2</v>
      </c>
      <c r="J98" s="7" t="n">
        <v>236.4</v>
      </c>
      <c r="L98" s="7" t="n">
        <v>321.5</v>
      </c>
      <c r="N98" s="7" t="n">
        <v>436.9</v>
      </c>
      <c r="P98" s="7" t="n">
        <v>427</v>
      </c>
      <c r="R98" s="7" t="n">
        <v>378.2</v>
      </c>
      <c r="T98" s="7" t="n">
        <v>425.3</v>
      </c>
      <c r="V98" s="7" t="n">
        <v>323.1</v>
      </c>
      <c r="X98" s="7" t="n">
        <v>233.3</v>
      </c>
      <c r="Z98" s="7" t="n">
        <v>265.6</v>
      </c>
      <c r="AB98" s="7" t="n">
        <v>3585.3</v>
      </c>
    </row>
    <row r="99">
      <c r="A99" s="4" t="inlineStr">
        <is>
          <t>报废损失</t>
        </is>
      </c>
      <c r="D99" s="7" t="n">
        <v>0.1</v>
      </c>
      <c r="F99" s="7" t="n">
        <v>0.1</v>
      </c>
      <c r="H99" s="7" t="n">
        <v>0.3</v>
      </c>
      <c r="J99" s="7" t="n">
        <v>0.2</v>
      </c>
      <c r="L99" s="7" t="n">
        <v>0.2</v>
      </c>
      <c r="N99" s="7" t="n">
        <v>0.4</v>
      </c>
      <c r="P99" s="7" t="n">
        <v>0.3</v>
      </c>
      <c r="R99" s="7" t="n">
        <v>0.2</v>
      </c>
      <c r="T99" s="7" t="n">
        <v>0.4</v>
      </c>
      <c r="V99" s="7" t="n">
        <v>0.3</v>
      </c>
      <c r="X99" s="7" t="n">
        <v>0.2</v>
      </c>
      <c r="Z99" s="7" t="n">
        <v>0.1</v>
      </c>
      <c r="AB99" s="7" t="n">
        <v>2.8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19292.5</v>
      </c>
      <c r="D100" s="7" t="n">
        <v>12808.6</v>
      </c>
      <c r="E100" s="7" t="n">
        <v>21500.4</v>
      </c>
      <c r="F100" s="7" t="n">
        <v>9339.200000000001</v>
      </c>
      <c r="G100" s="7" t="n">
        <v>19895</v>
      </c>
      <c r="H100" s="7" t="n">
        <v>14713.8</v>
      </c>
      <c r="I100" s="7" t="n">
        <v>20177.5</v>
      </c>
      <c r="J100" s="7" t="n">
        <v>27318.1</v>
      </c>
      <c r="K100" s="7" t="n">
        <v>20294.7</v>
      </c>
      <c r="L100" s="7" t="n">
        <v>22035.1</v>
      </c>
      <c r="M100" s="7" t="n">
        <v>18833.2</v>
      </c>
      <c r="N100" s="7" t="n">
        <v>30704.9</v>
      </c>
      <c r="O100" s="7" t="n">
        <v>21472.8</v>
      </c>
      <c r="P100" s="7" t="n">
        <v>32213.3</v>
      </c>
      <c r="Q100" s="7" t="n">
        <v>19648.8</v>
      </c>
      <c r="R100" s="7" t="n">
        <v>27131.5</v>
      </c>
      <c r="S100" s="7" t="n">
        <v>23209.5</v>
      </c>
      <c r="T100" s="7" t="n">
        <v>13644</v>
      </c>
      <c r="U100" s="7" t="n">
        <v>22977.3</v>
      </c>
      <c r="V100" s="7" t="n">
        <v>27150.4</v>
      </c>
      <c r="W100" s="7" t="n">
        <v>18556.9</v>
      </c>
      <c r="X100" s="7" t="n">
        <v>16716.6</v>
      </c>
      <c r="Y100" s="7" t="n">
        <v>17391.8</v>
      </c>
      <c r="Z100" s="7" t="n">
        <v>8469.6</v>
      </c>
      <c r="AA100" s="8" t="n">
        <v>243250.4</v>
      </c>
      <c r="AB100" s="8" t="n">
        <v>242245.1</v>
      </c>
    </row>
    <row r="101">
      <c r="A101" s="4" t="inlineStr">
        <is>
          <t>职工薪酬</t>
        </is>
      </c>
      <c r="D101" s="7" t="n">
        <v>7603.9</v>
      </c>
      <c r="F101" s="7" t="n">
        <v>4688.8</v>
      </c>
      <c r="H101" s="7" t="n">
        <v>6629.5</v>
      </c>
      <c r="J101" s="7" t="n">
        <v>12072.8</v>
      </c>
      <c r="L101" s="7" t="n">
        <v>12731.4</v>
      </c>
      <c r="N101" s="7" t="n">
        <v>15445</v>
      </c>
      <c r="P101" s="7" t="n">
        <v>16341.6</v>
      </c>
      <c r="R101" s="7" t="n">
        <v>14277.2</v>
      </c>
      <c r="T101" s="7" t="n">
        <v>7803.9</v>
      </c>
      <c r="V101" s="7" t="n">
        <v>12222</v>
      </c>
      <c r="X101" s="7" t="n">
        <v>8007.1</v>
      </c>
      <c r="Z101" s="7" t="n">
        <v>3820.5</v>
      </c>
      <c r="AB101" s="7" t="n">
        <v>121643.7</v>
      </c>
    </row>
    <row r="102">
      <c r="A102" s="4" t="inlineStr">
        <is>
          <t>工资</t>
        </is>
      </c>
      <c r="D102" s="7" t="n">
        <v>4776.5</v>
      </c>
      <c r="F102" s="7" t="n">
        <v>2188</v>
      </c>
      <c r="H102" s="7" t="n">
        <v>3223.6</v>
      </c>
      <c r="J102" s="7" t="n">
        <v>6998.4</v>
      </c>
      <c r="L102" s="7" t="n">
        <v>7026.3</v>
      </c>
      <c r="N102" s="7" t="n">
        <v>8586.700000000001</v>
      </c>
      <c r="P102" s="7" t="n">
        <v>7726.1</v>
      </c>
      <c r="R102" s="7" t="n">
        <v>7703.5</v>
      </c>
      <c r="T102" s="7" t="n">
        <v>4387.6</v>
      </c>
      <c r="V102" s="7" t="n">
        <v>5755.7</v>
      </c>
      <c r="X102" s="7" t="n">
        <v>4765.1</v>
      </c>
      <c r="Z102" s="7" t="n">
        <v>1889.4</v>
      </c>
      <c r="AB102" s="7" t="n">
        <v>65026.9</v>
      </c>
    </row>
    <row r="103">
      <c r="A103" s="4" t="inlineStr">
        <is>
          <t>奖金及提成</t>
        </is>
      </c>
      <c r="D103" s="7" t="n">
        <v>1245.3</v>
      </c>
      <c r="F103" s="7" t="n">
        <v>1175.7</v>
      </c>
      <c r="H103" s="7" t="n">
        <v>1545</v>
      </c>
      <c r="J103" s="7" t="n">
        <v>2202.3</v>
      </c>
      <c r="L103" s="7" t="n">
        <v>2722.5</v>
      </c>
      <c r="N103" s="7" t="n">
        <v>2843.8</v>
      </c>
      <c r="P103" s="7" t="n">
        <v>4159.3</v>
      </c>
      <c r="R103" s="7" t="n">
        <v>3378.4</v>
      </c>
      <c r="T103" s="7" t="n">
        <v>1731.1</v>
      </c>
      <c r="V103" s="7" t="n">
        <v>2971.3</v>
      </c>
      <c r="X103" s="7" t="n">
        <v>1324.9</v>
      </c>
      <c r="Z103" s="7" t="n">
        <v>1057.8</v>
      </c>
      <c r="AB103" s="7" t="n">
        <v>26357.4</v>
      </c>
    </row>
    <row r="104">
      <c r="A104" s="4" t="inlineStr">
        <is>
          <t>社保</t>
        </is>
      </c>
      <c r="D104" s="7" t="n">
        <v>1088.1</v>
      </c>
      <c r="F104" s="7" t="n">
        <v>949.5</v>
      </c>
      <c r="H104" s="7" t="n">
        <v>1211.1</v>
      </c>
      <c r="J104" s="7" t="n">
        <v>1812.2</v>
      </c>
      <c r="L104" s="7" t="n">
        <v>2028.8</v>
      </c>
      <c r="N104" s="7" t="n">
        <v>2802.5</v>
      </c>
      <c r="P104" s="7" t="n">
        <v>3141.7</v>
      </c>
      <c r="R104" s="7" t="n">
        <v>2040.1</v>
      </c>
      <c r="T104" s="7" t="n">
        <v>1101.2</v>
      </c>
      <c r="V104" s="7" t="n">
        <v>2445.9</v>
      </c>
      <c r="X104" s="7" t="n">
        <v>1298</v>
      </c>
      <c r="Z104" s="7" t="n">
        <v>550.4</v>
      </c>
      <c r="AB104" s="7" t="n">
        <v>20469.5</v>
      </c>
    </row>
    <row r="105">
      <c r="A105" s="4" t="inlineStr">
        <is>
          <t>养老</t>
        </is>
      </c>
      <c r="D105" s="7" t="n">
        <v>73.90000000000001</v>
      </c>
      <c r="F105" s="7" t="n">
        <v>49.4</v>
      </c>
      <c r="H105" s="7" t="n">
        <v>75</v>
      </c>
      <c r="J105" s="7" t="n">
        <v>166.6</v>
      </c>
      <c r="L105" s="7" t="n">
        <v>96.59999999999999</v>
      </c>
      <c r="N105" s="7" t="n">
        <v>234</v>
      </c>
      <c r="P105" s="7" t="n">
        <v>229.3</v>
      </c>
      <c r="R105" s="7" t="n">
        <v>201.7</v>
      </c>
      <c r="T105" s="7" t="n">
        <v>97.40000000000001</v>
      </c>
      <c r="V105" s="7" t="n">
        <v>123.6</v>
      </c>
      <c r="X105" s="7" t="n">
        <v>82.40000000000001</v>
      </c>
      <c r="Z105" s="7" t="n">
        <v>51.7</v>
      </c>
      <c r="AB105" s="7" t="n">
        <v>1481.6</v>
      </c>
    </row>
    <row r="106">
      <c r="A106" s="4" t="inlineStr">
        <is>
          <t>医疗</t>
        </is>
      </c>
      <c r="D106" s="7" t="n">
        <v>18.5</v>
      </c>
      <c r="F106" s="7" t="n">
        <v>8.699999999999999</v>
      </c>
      <c r="H106" s="7" t="n">
        <v>23.7</v>
      </c>
      <c r="J106" s="7" t="n">
        <v>32</v>
      </c>
      <c r="L106" s="7" t="n">
        <v>19.7</v>
      </c>
      <c r="N106" s="7" t="n">
        <v>47.3</v>
      </c>
      <c r="P106" s="7" t="n">
        <v>35</v>
      </c>
      <c r="R106" s="7" t="n">
        <v>24.6</v>
      </c>
      <c r="T106" s="7" t="n">
        <v>21.8</v>
      </c>
      <c r="V106" s="7" t="n">
        <v>37.8</v>
      </c>
      <c r="X106" s="7" t="n">
        <v>26.1</v>
      </c>
      <c r="Z106" s="7" t="n">
        <v>8.300000000000001</v>
      </c>
      <c r="AB106" s="7" t="n">
        <v>303.5</v>
      </c>
    </row>
    <row r="107">
      <c r="A107" s="4" t="inlineStr">
        <is>
          <t>工伤</t>
        </is>
      </c>
      <c r="D107" s="7" t="n">
        <v>59.5</v>
      </c>
      <c r="F107" s="7" t="n">
        <v>28</v>
      </c>
      <c r="H107" s="7" t="n">
        <v>70</v>
      </c>
      <c r="J107" s="7" t="n">
        <v>126.5</v>
      </c>
      <c r="L107" s="7" t="n">
        <v>97.8</v>
      </c>
      <c r="N107" s="7" t="n">
        <v>150.5</v>
      </c>
      <c r="P107" s="7" t="n">
        <v>159.3</v>
      </c>
      <c r="R107" s="7" t="n">
        <v>125</v>
      </c>
      <c r="T107" s="7" t="n">
        <v>57.3</v>
      </c>
      <c r="V107" s="7" t="n">
        <v>91.2</v>
      </c>
      <c r="X107" s="7" t="n">
        <v>52.1</v>
      </c>
      <c r="Z107" s="7" t="n">
        <v>28.2</v>
      </c>
      <c r="AB107" s="7" t="n">
        <v>1045.4</v>
      </c>
    </row>
    <row r="108">
      <c r="A108" s="4" t="inlineStr">
        <is>
          <t>失业</t>
        </is>
      </c>
      <c r="D108" s="7" t="n">
        <v>68</v>
      </c>
      <c r="F108" s="7" t="n">
        <v>39.3</v>
      </c>
      <c r="H108" s="7" t="n">
        <v>84.7</v>
      </c>
      <c r="J108" s="7" t="n">
        <v>149.2</v>
      </c>
      <c r="L108" s="7" t="n">
        <v>91.40000000000001</v>
      </c>
      <c r="N108" s="7" t="n">
        <v>172.4</v>
      </c>
      <c r="P108" s="7" t="n">
        <v>175.6</v>
      </c>
      <c r="R108" s="7" t="n">
        <v>156.9</v>
      </c>
      <c r="T108" s="7" t="n">
        <v>87.09999999999999</v>
      </c>
      <c r="V108" s="7" t="n">
        <v>134.4</v>
      </c>
      <c r="X108" s="7" t="n">
        <v>70.8</v>
      </c>
      <c r="Z108" s="7" t="n">
        <v>52.8</v>
      </c>
      <c r="AB108" s="7" t="n">
        <v>1282.6</v>
      </c>
    </row>
    <row r="109">
      <c r="A109" s="4" t="inlineStr">
        <is>
          <t>生育</t>
        </is>
      </c>
      <c r="D109" s="7" t="n">
        <v>61.7</v>
      </c>
      <c r="F109" s="7" t="n">
        <v>71.7</v>
      </c>
      <c r="H109" s="7" t="n">
        <v>81.40000000000001</v>
      </c>
      <c r="J109" s="7" t="n">
        <v>215.8</v>
      </c>
      <c r="L109" s="7" t="n">
        <v>147.9</v>
      </c>
      <c r="N109" s="7" t="n">
        <v>138.8</v>
      </c>
      <c r="P109" s="7" t="n">
        <v>160.7</v>
      </c>
      <c r="R109" s="7" t="n">
        <v>150.8</v>
      </c>
      <c r="T109" s="7" t="n">
        <v>70.59999999999999</v>
      </c>
      <c r="V109" s="7" t="n">
        <v>174.4</v>
      </c>
      <c r="X109" s="7" t="n">
        <v>102.1</v>
      </c>
      <c r="Z109" s="7" t="n">
        <v>49.9</v>
      </c>
      <c r="AB109" s="7" t="n">
        <v>1425.8</v>
      </c>
    </row>
    <row r="110">
      <c r="A110" s="4" t="inlineStr">
        <is>
          <t>公积金</t>
        </is>
      </c>
      <c r="D110" s="7" t="n">
        <v>60.3</v>
      </c>
      <c r="F110" s="7" t="n">
        <v>40</v>
      </c>
      <c r="H110" s="7" t="n">
        <v>50.3</v>
      </c>
      <c r="J110" s="7" t="n">
        <v>135.6</v>
      </c>
      <c r="L110" s="7" t="n">
        <v>82.7</v>
      </c>
      <c r="N110" s="7" t="n">
        <v>153.1</v>
      </c>
      <c r="P110" s="7" t="n">
        <v>133.8</v>
      </c>
      <c r="R110" s="7" t="n">
        <v>139.3</v>
      </c>
      <c r="T110" s="7" t="n">
        <v>63.5</v>
      </c>
      <c r="V110" s="7" t="n">
        <v>135.7</v>
      </c>
      <c r="X110" s="7" t="n">
        <v>85.90000000000001</v>
      </c>
      <c r="Z110" s="7" t="n">
        <v>24.4</v>
      </c>
      <c r="AB110" s="7" t="n">
        <v>1104.6</v>
      </c>
    </row>
    <row r="111">
      <c r="A111" s="4" t="inlineStr">
        <is>
          <t>工会经费</t>
        </is>
      </c>
      <c r="D111" s="7" t="n">
        <v>76.5</v>
      </c>
      <c r="F111" s="7" t="n">
        <v>61.7</v>
      </c>
      <c r="H111" s="7" t="n">
        <v>117</v>
      </c>
      <c r="J111" s="7" t="n">
        <v>132.9</v>
      </c>
      <c r="L111" s="7" t="n">
        <v>156.3</v>
      </c>
      <c r="N111" s="7" t="n">
        <v>168.6</v>
      </c>
      <c r="P111" s="7" t="n">
        <v>263.1</v>
      </c>
      <c r="R111" s="7" t="n">
        <v>170.3</v>
      </c>
      <c r="T111" s="7" t="n">
        <v>83.5</v>
      </c>
      <c r="V111" s="7" t="n">
        <v>133.7</v>
      </c>
      <c r="X111" s="7" t="n">
        <v>110</v>
      </c>
      <c r="Z111" s="7" t="n">
        <v>57.2</v>
      </c>
      <c r="AB111" s="7" t="n">
        <v>1530.8</v>
      </c>
    </row>
    <row r="112">
      <c r="A112" s="4" t="inlineStr">
        <is>
          <t>职工教育经费</t>
        </is>
      </c>
      <c r="D112" s="7" t="n">
        <v>65</v>
      </c>
      <c r="F112" s="7" t="n">
        <v>69.40000000000001</v>
      </c>
      <c r="H112" s="7" t="n">
        <v>117.9</v>
      </c>
      <c r="J112" s="7" t="n">
        <v>190.1</v>
      </c>
      <c r="L112" s="7" t="n">
        <v>164.3</v>
      </c>
      <c r="N112" s="7" t="n">
        <v>238.3</v>
      </c>
      <c r="P112" s="7" t="n">
        <v>145.5</v>
      </c>
      <c r="R112" s="7" t="n">
        <v>147.7</v>
      </c>
      <c r="T112" s="7" t="n">
        <v>110.6</v>
      </c>
      <c r="V112" s="7" t="n">
        <v>173.2</v>
      </c>
      <c r="X112" s="7" t="n">
        <v>82.8</v>
      </c>
      <c r="Z112" s="7" t="n">
        <v>43.4</v>
      </c>
      <c r="AB112" s="7" t="n">
        <v>1548.2</v>
      </c>
    </row>
    <row r="113">
      <c r="A113" s="4" t="inlineStr">
        <is>
          <t>福利费</t>
        </is>
      </c>
      <c r="D113" s="7" t="n">
        <v>292.2</v>
      </c>
      <c r="F113" s="7" t="n">
        <v>204.5</v>
      </c>
      <c r="H113" s="7" t="n">
        <v>364.6</v>
      </c>
      <c r="J113" s="7" t="n">
        <v>601.3</v>
      </c>
      <c r="L113" s="7" t="n">
        <v>550.5</v>
      </c>
      <c r="N113" s="7" t="n">
        <v>652</v>
      </c>
      <c r="P113" s="7" t="n">
        <v>772.1</v>
      </c>
      <c r="R113" s="7" t="n">
        <v>697.9</v>
      </c>
      <c r="T113" s="7" t="n">
        <v>326.4</v>
      </c>
      <c r="V113" s="7" t="n">
        <v>606.5</v>
      </c>
      <c r="X113" s="7" t="n">
        <v>340.4</v>
      </c>
      <c r="Z113" s="7" t="n">
        <v>197.9</v>
      </c>
      <c r="AB113" s="7" t="n">
        <v>5606.3</v>
      </c>
    </row>
    <row r="114">
      <c r="A114" s="4" t="inlineStr">
        <is>
          <t>职工房租</t>
        </is>
      </c>
      <c r="D114" s="7" t="n">
        <v>24.5</v>
      </c>
      <c r="F114" s="7" t="n">
        <v>16.1</v>
      </c>
      <c r="H114" s="7" t="n">
        <v>35.3</v>
      </c>
      <c r="J114" s="7" t="n">
        <v>68.8</v>
      </c>
      <c r="L114" s="7" t="n">
        <v>64.59999999999999</v>
      </c>
      <c r="N114" s="7" t="n">
        <v>55.5</v>
      </c>
      <c r="P114" s="7" t="n">
        <v>66.5</v>
      </c>
      <c r="R114" s="7" t="n">
        <v>66.8</v>
      </c>
      <c r="T114" s="7" t="n">
        <v>37.6</v>
      </c>
      <c r="V114" s="7" t="n">
        <v>65.90000000000001</v>
      </c>
      <c r="X114" s="7" t="n">
        <v>28.5</v>
      </c>
      <c r="Z114" s="7" t="n">
        <v>15.9</v>
      </c>
      <c r="AB114" s="7" t="n">
        <v>546</v>
      </c>
    </row>
    <row r="115">
      <c r="A115" s="4" t="inlineStr">
        <is>
          <t>水电物业费</t>
        </is>
      </c>
      <c r="D115" s="7" t="n">
        <v>33.6</v>
      </c>
      <c r="F115" s="7" t="n">
        <v>21.5</v>
      </c>
      <c r="H115" s="7" t="n">
        <v>41.1</v>
      </c>
      <c r="J115" s="7" t="n">
        <v>70.3</v>
      </c>
      <c r="L115" s="7" t="n">
        <v>61.3</v>
      </c>
      <c r="N115" s="7" t="n">
        <v>126.5</v>
      </c>
      <c r="P115" s="7" t="n">
        <v>88.5</v>
      </c>
      <c r="R115" s="7" t="n">
        <v>83.5</v>
      </c>
      <c r="T115" s="7" t="n">
        <v>44.6</v>
      </c>
      <c r="V115" s="7" t="n">
        <v>60.4</v>
      </c>
      <c r="X115" s="7" t="n">
        <v>45.8</v>
      </c>
      <c r="Z115" s="7" t="n">
        <v>25.8</v>
      </c>
      <c r="AB115" s="7" t="n">
        <v>702.9</v>
      </c>
    </row>
    <row r="116">
      <c r="A116" s="4" t="inlineStr">
        <is>
          <t>员工餐</t>
        </is>
      </c>
      <c r="D116" s="7" t="n">
        <v>47.5</v>
      </c>
      <c r="F116" s="7" t="n">
        <v>25.8</v>
      </c>
      <c r="H116" s="7" t="n">
        <v>33.3</v>
      </c>
      <c r="J116" s="7" t="n">
        <v>66.40000000000001</v>
      </c>
      <c r="L116" s="7" t="n">
        <v>82.90000000000001</v>
      </c>
      <c r="N116" s="7" t="n">
        <v>112.1</v>
      </c>
      <c r="P116" s="7" t="n">
        <v>115.4</v>
      </c>
      <c r="R116" s="7" t="n">
        <v>88.09999999999999</v>
      </c>
      <c r="T116" s="7" t="n">
        <v>39</v>
      </c>
      <c r="V116" s="7" t="n">
        <v>70.59999999999999</v>
      </c>
      <c r="X116" s="7" t="n">
        <v>56.8</v>
      </c>
      <c r="Z116" s="7" t="n">
        <v>26.3</v>
      </c>
      <c r="AB116" s="7" t="n">
        <v>764.2</v>
      </c>
    </row>
    <row r="117">
      <c r="A117" s="4" t="inlineStr">
        <is>
          <t>节日礼品</t>
        </is>
      </c>
      <c r="D117" s="7" t="n">
        <v>71.2</v>
      </c>
      <c r="F117" s="7" t="n">
        <v>62</v>
      </c>
      <c r="H117" s="7" t="n">
        <v>84.40000000000001</v>
      </c>
      <c r="J117" s="7" t="n">
        <v>170.7</v>
      </c>
      <c r="L117" s="7" t="n">
        <v>146</v>
      </c>
      <c r="N117" s="7" t="n">
        <v>119.4</v>
      </c>
      <c r="P117" s="7" t="n">
        <v>185.6</v>
      </c>
      <c r="R117" s="7" t="n">
        <v>178.6</v>
      </c>
      <c r="T117" s="7" t="n">
        <v>56.3</v>
      </c>
      <c r="V117" s="7" t="n">
        <v>143.2</v>
      </c>
      <c r="X117" s="7" t="n">
        <v>78.3</v>
      </c>
      <c r="Z117" s="7" t="n">
        <v>37.6</v>
      </c>
      <c r="AB117" s="7" t="n">
        <v>1333.3</v>
      </c>
    </row>
    <row r="118">
      <c r="A118" s="4" t="inlineStr">
        <is>
          <t>生日礼品</t>
        </is>
      </c>
      <c r="D118" s="7" t="n">
        <v>41.3</v>
      </c>
      <c r="F118" s="7" t="n">
        <v>17</v>
      </c>
      <c r="H118" s="7" t="n">
        <v>44</v>
      </c>
      <c r="J118" s="7" t="n">
        <v>71.09999999999999</v>
      </c>
      <c r="L118" s="7" t="n">
        <v>50.6</v>
      </c>
      <c r="N118" s="7" t="n">
        <v>54.1</v>
      </c>
      <c r="P118" s="7" t="n">
        <v>73.5</v>
      </c>
      <c r="R118" s="7" t="n">
        <v>78.09999999999999</v>
      </c>
      <c r="T118" s="7" t="n">
        <v>39</v>
      </c>
      <c r="V118" s="7" t="n">
        <v>80.90000000000001</v>
      </c>
      <c r="X118" s="7" t="n">
        <v>37.5</v>
      </c>
      <c r="Z118" s="7" t="n">
        <v>25.6</v>
      </c>
      <c r="AB118" s="7" t="n">
        <v>612.7</v>
      </c>
    </row>
    <row r="119">
      <c r="A119" s="4" t="inlineStr">
        <is>
          <t>体检</t>
        </is>
      </c>
      <c r="D119" s="7" t="n">
        <v>24.8</v>
      </c>
      <c r="F119" s="7" t="n">
        <v>17.1</v>
      </c>
      <c r="H119" s="7" t="n">
        <v>27.7</v>
      </c>
      <c r="J119" s="7" t="n">
        <v>39.6</v>
      </c>
      <c r="L119" s="7" t="n">
        <v>41.4</v>
      </c>
      <c r="N119" s="7" t="n">
        <v>65.7</v>
      </c>
      <c r="P119" s="7" t="n">
        <v>40.1</v>
      </c>
      <c r="R119" s="7" t="n">
        <v>46.1</v>
      </c>
      <c r="T119" s="7" t="n">
        <v>22.9</v>
      </c>
      <c r="V119" s="7" t="n">
        <v>33.9</v>
      </c>
      <c r="X119" s="7" t="n">
        <v>20.2</v>
      </c>
      <c r="Z119" s="7" t="n">
        <v>12.3</v>
      </c>
      <c r="AB119" s="7" t="n">
        <v>391.8</v>
      </c>
    </row>
    <row r="120">
      <c r="A120" s="4" t="inlineStr">
        <is>
          <t>其他福利支出</t>
        </is>
      </c>
      <c r="D120" s="7" t="n">
        <v>49.3</v>
      </c>
      <c r="F120" s="7" t="n">
        <v>45</v>
      </c>
      <c r="H120" s="7" t="n">
        <v>98.8</v>
      </c>
      <c r="J120" s="7" t="n">
        <v>114.4</v>
      </c>
      <c r="L120" s="7" t="n">
        <v>103.7</v>
      </c>
      <c r="N120" s="7" t="n">
        <v>118.7</v>
      </c>
      <c r="P120" s="7" t="n">
        <v>202.5</v>
      </c>
      <c r="R120" s="7" t="n">
        <v>156.7</v>
      </c>
      <c r="T120" s="7" t="n">
        <v>87</v>
      </c>
      <c r="V120" s="7" t="n">
        <v>151.6</v>
      </c>
      <c r="X120" s="7" t="n">
        <v>73.3</v>
      </c>
      <c r="Z120" s="7" t="n">
        <v>54.4</v>
      </c>
      <c r="AB120" s="7" t="n">
        <v>1255.4</v>
      </c>
    </row>
    <row r="121">
      <c r="A121" s="4" t="inlineStr">
        <is>
          <t>招聘费</t>
        </is>
      </c>
      <c r="D121" s="7" t="n">
        <v>1.7</v>
      </c>
      <c r="F121" s="7" t="n">
        <v>1.4</v>
      </c>
      <c r="H121" s="7" t="n">
        <v>2.7</v>
      </c>
      <c r="J121" s="7" t="n">
        <v>5</v>
      </c>
      <c r="L121" s="7" t="n">
        <v>4</v>
      </c>
      <c r="N121" s="7" t="n">
        <v>3.5</v>
      </c>
      <c r="P121" s="7" t="n">
        <v>5.1</v>
      </c>
      <c r="R121" s="7" t="n">
        <v>5.4</v>
      </c>
      <c r="T121" s="7" t="n">
        <v>2.2</v>
      </c>
      <c r="V121" s="7" t="n">
        <v>4</v>
      </c>
      <c r="X121" s="7" t="n">
        <v>3.4</v>
      </c>
      <c r="Z121" s="7" t="n">
        <v>1.4</v>
      </c>
      <c r="AB121" s="7" t="n">
        <v>39.8</v>
      </c>
    </row>
    <row r="122">
      <c r="A122" s="4" t="inlineStr">
        <is>
          <t>办公费</t>
        </is>
      </c>
      <c r="D122" s="7" t="n">
        <v>428.8</v>
      </c>
      <c r="F122" s="7" t="n">
        <v>199.7</v>
      </c>
      <c r="H122" s="7" t="n">
        <v>426.8</v>
      </c>
      <c r="J122" s="7" t="n">
        <v>839.5</v>
      </c>
      <c r="L122" s="7" t="n">
        <v>522.8</v>
      </c>
      <c r="N122" s="7" t="n">
        <v>822.6</v>
      </c>
      <c r="P122" s="7" t="n">
        <v>1029.1</v>
      </c>
      <c r="R122" s="7" t="n">
        <v>734.8</v>
      </c>
      <c r="T122" s="7" t="n">
        <v>525</v>
      </c>
      <c r="V122" s="7" t="n">
        <v>756.9</v>
      </c>
      <c r="X122" s="7" t="n">
        <v>559.3</v>
      </c>
      <c r="Z122" s="7" t="n">
        <v>286</v>
      </c>
      <c r="AB122" s="7" t="n">
        <v>7131.3</v>
      </c>
    </row>
    <row r="123">
      <c r="A123" s="4" t="inlineStr">
        <is>
          <t>市内交通费</t>
        </is>
      </c>
      <c r="D123" s="7" t="n">
        <v>14.3</v>
      </c>
      <c r="F123" s="7" t="n">
        <v>10.7</v>
      </c>
      <c r="H123" s="7" t="n">
        <v>22.6</v>
      </c>
      <c r="J123" s="7" t="n">
        <v>28.8</v>
      </c>
      <c r="L123" s="7" t="n">
        <v>21.9</v>
      </c>
      <c r="N123" s="7" t="n">
        <v>33.9</v>
      </c>
      <c r="P123" s="7" t="n">
        <v>56.4</v>
      </c>
      <c r="R123" s="7" t="n">
        <v>32.4</v>
      </c>
      <c r="T123" s="7" t="n">
        <v>22.4</v>
      </c>
      <c r="V123" s="7" t="n">
        <v>36.9</v>
      </c>
      <c r="X123" s="7" t="n">
        <v>22.8</v>
      </c>
      <c r="Z123" s="7" t="n">
        <v>8.4</v>
      </c>
      <c r="AB123" s="7" t="n">
        <v>311.5</v>
      </c>
    </row>
    <row r="124">
      <c r="A124" s="4" t="inlineStr">
        <is>
          <t>差旅费</t>
        </is>
      </c>
      <c r="D124" s="7" t="n">
        <v>892.4</v>
      </c>
      <c r="F124" s="7" t="n">
        <v>537.5</v>
      </c>
      <c r="H124" s="7" t="n">
        <v>640.5</v>
      </c>
      <c r="J124" s="7" t="n">
        <v>1855.3</v>
      </c>
      <c r="L124" s="7" t="n">
        <v>1405.5</v>
      </c>
      <c r="N124" s="7" t="n">
        <v>1823.5</v>
      </c>
      <c r="P124" s="7" t="n">
        <v>2476.5</v>
      </c>
      <c r="R124" s="7" t="n">
        <v>1722.2</v>
      </c>
      <c r="T124" s="7" t="n">
        <v>593.2</v>
      </c>
      <c r="V124" s="7" t="n">
        <v>1804.5</v>
      </c>
      <c r="X124" s="7" t="n">
        <v>772.8</v>
      </c>
      <c r="Z124" s="7" t="n">
        <v>568.9</v>
      </c>
      <c r="AB124" s="7" t="n">
        <v>15092.8</v>
      </c>
    </row>
    <row r="125">
      <c r="A125" s="4" t="inlineStr">
        <is>
          <t>交通费</t>
        </is>
      </c>
      <c r="D125" s="7" t="n">
        <v>9.4</v>
      </c>
      <c r="F125" s="7" t="n">
        <v>6.8</v>
      </c>
      <c r="H125" s="7" t="n">
        <v>9.6</v>
      </c>
      <c r="J125" s="7" t="n">
        <v>21.4</v>
      </c>
      <c r="L125" s="7" t="n">
        <v>16.3</v>
      </c>
      <c r="N125" s="7" t="n">
        <v>13.9</v>
      </c>
      <c r="P125" s="7" t="n">
        <v>16</v>
      </c>
      <c r="R125" s="7" t="n">
        <v>20</v>
      </c>
      <c r="T125" s="7" t="n">
        <v>6.5</v>
      </c>
      <c r="V125" s="7" t="n">
        <v>15.4</v>
      </c>
      <c r="X125" s="7" t="n">
        <v>7.7</v>
      </c>
      <c r="Z125" s="7" t="n">
        <v>4.6</v>
      </c>
      <c r="AB125" s="7" t="n">
        <v>147.6</v>
      </c>
    </row>
    <row r="126">
      <c r="A126" s="4" t="inlineStr">
        <is>
          <t>住宿费</t>
        </is>
      </c>
      <c r="D126" s="7" t="n">
        <v>20.9</v>
      </c>
      <c r="F126" s="7" t="n">
        <v>12.3</v>
      </c>
      <c r="H126" s="7" t="n">
        <v>21.2</v>
      </c>
      <c r="J126" s="7" t="n">
        <v>46.4</v>
      </c>
      <c r="L126" s="7" t="n">
        <v>32.3</v>
      </c>
      <c r="N126" s="7" t="n">
        <v>42.8</v>
      </c>
      <c r="P126" s="7" t="n">
        <v>61.5</v>
      </c>
      <c r="R126" s="7" t="n">
        <v>46.2</v>
      </c>
      <c r="T126" s="7" t="n">
        <v>21.6</v>
      </c>
      <c r="V126" s="7" t="n">
        <v>47.7</v>
      </c>
      <c r="X126" s="7" t="n">
        <v>33.6</v>
      </c>
      <c r="Z126" s="7" t="n">
        <v>19.8</v>
      </c>
      <c r="AB126" s="7" t="n">
        <v>406.3</v>
      </c>
    </row>
    <row r="127">
      <c r="A127" s="4" t="inlineStr">
        <is>
          <t>餐补</t>
        </is>
      </c>
      <c r="D127" s="7" t="n">
        <v>10.9</v>
      </c>
      <c r="F127" s="7" t="n">
        <v>9.5</v>
      </c>
      <c r="H127" s="7" t="n">
        <v>13.9</v>
      </c>
      <c r="J127" s="7" t="n">
        <v>18.5</v>
      </c>
      <c r="L127" s="7" t="n">
        <v>20.9</v>
      </c>
      <c r="N127" s="7" t="n">
        <v>25.5</v>
      </c>
      <c r="P127" s="7" t="n">
        <v>34.9</v>
      </c>
      <c r="R127" s="7" t="n">
        <v>22.9</v>
      </c>
      <c r="T127" s="7" t="n">
        <v>14.9</v>
      </c>
      <c r="V127" s="7" t="n">
        <v>33.3</v>
      </c>
      <c r="X127" s="7" t="n">
        <v>11.8</v>
      </c>
      <c r="Z127" s="7" t="n">
        <v>8.300000000000001</v>
      </c>
      <c r="AB127" s="7" t="n">
        <v>225.3</v>
      </c>
    </row>
    <row r="128">
      <c r="A128" s="4" t="inlineStr">
        <is>
          <t>交通补助</t>
        </is>
      </c>
      <c r="D128" s="7" t="n">
        <v>87.09999999999999</v>
      </c>
      <c r="F128" s="7" t="n">
        <v>68.3</v>
      </c>
      <c r="H128" s="7" t="n">
        <v>106.4</v>
      </c>
      <c r="J128" s="7" t="n">
        <v>119.5</v>
      </c>
      <c r="L128" s="7" t="n">
        <v>148.2</v>
      </c>
      <c r="N128" s="7" t="n">
        <v>156.8</v>
      </c>
      <c r="P128" s="7" t="n">
        <v>216.2</v>
      </c>
      <c r="R128" s="7" t="n">
        <v>189.4</v>
      </c>
      <c r="T128" s="7" t="n">
        <v>83.2</v>
      </c>
      <c r="V128" s="7" t="n">
        <v>180.6</v>
      </c>
      <c r="X128" s="7" t="n">
        <v>102.2</v>
      </c>
      <c r="Z128" s="7" t="n">
        <v>47.2</v>
      </c>
      <c r="AB128" s="7" t="n">
        <v>1505.1</v>
      </c>
    </row>
    <row r="129">
      <c r="A129" s="4" t="inlineStr">
        <is>
          <t>通讯补助</t>
        </is>
      </c>
      <c r="D129" s="7" t="n">
        <v>78.7</v>
      </c>
      <c r="F129" s="7" t="n">
        <v>63</v>
      </c>
      <c r="H129" s="7" t="n">
        <v>59.6</v>
      </c>
      <c r="J129" s="7" t="n">
        <v>134.1</v>
      </c>
      <c r="L129" s="7" t="n">
        <v>97.2</v>
      </c>
      <c r="N129" s="7" t="n">
        <v>179.1</v>
      </c>
      <c r="P129" s="7" t="n">
        <v>175.1</v>
      </c>
      <c r="R129" s="7" t="n">
        <v>176.8</v>
      </c>
      <c r="T129" s="7" t="n">
        <v>65.09999999999999</v>
      </c>
      <c r="V129" s="7" t="n">
        <v>181.4</v>
      </c>
      <c r="X129" s="7" t="n">
        <v>68</v>
      </c>
      <c r="Z129" s="7" t="n">
        <v>41</v>
      </c>
      <c r="AB129" s="7" t="n">
        <v>1319.1</v>
      </c>
    </row>
    <row r="130">
      <c r="A130" s="4" t="inlineStr">
        <is>
          <t>招待费</t>
        </is>
      </c>
      <c r="D130" s="7" t="n">
        <v>586.1</v>
      </c>
      <c r="F130" s="7" t="n">
        <v>329</v>
      </c>
      <c r="H130" s="7" t="n">
        <v>457.8</v>
      </c>
      <c r="J130" s="7" t="n">
        <v>1083.7</v>
      </c>
      <c r="L130" s="7" t="n">
        <v>910.8</v>
      </c>
      <c r="N130" s="7" t="n">
        <v>1190.2</v>
      </c>
      <c r="P130" s="7" t="n">
        <v>1069</v>
      </c>
      <c r="R130" s="7" t="n">
        <v>1012.5</v>
      </c>
      <c r="T130" s="7" t="n">
        <v>513.4</v>
      </c>
      <c r="V130" s="7" t="n">
        <v>975.7</v>
      </c>
      <c r="X130" s="7" t="n">
        <v>794.1</v>
      </c>
      <c r="Z130" s="7" t="n">
        <v>317.1</v>
      </c>
      <c r="AB130" s="7" t="n">
        <v>9239.4</v>
      </c>
    </row>
    <row r="131">
      <c r="A131" s="4" t="inlineStr">
        <is>
          <t>通讯费</t>
        </is>
      </c>
      <c r="D131" s="7" t="n">
        <v>3.3</v>
      </c>
      <c r="F131" s="7" t="n">
        <v>2.4</v>
      </c>
      <c r="H131" s="7" t="n">
        <v>2.8</v>
      </c>
      <c r="J131" s="7" t="n">
        <v>5.4</v>
      </c>
      <c r="L131" s="7" t="n">
        <v>6.8</v>
      </c>
      <c r="N131" s="7" t="n">
        <v>10.3</v>
      </c>
      <c r="P131" s="7" t="n">
        <v>6.6</v>
      </c>
      <c r="R131" s="7" t="n">
        <v>8</v>
      </c>
      <c r="T131" s="7" t="n">
        <v>3.2</v>
      </c>
      <c r="V131" s="7" t="n">
        <v>5.2</v>
      </c>
      <c r="X131" s="7" t="n">
        <v>4.7</v>
      </c>
      <c r="Z131" s="7" t="n">
        <v>1.8</v>
      </c>
      <c r="AB131" s="7" t="n">
        <v>60.5</v>
      </c>
    </row>
    <row r="132">
      <c r="A132" s="4" t="inlineStr">
        <is>
          <t>网络费</t>
        </is>
      </c>
      <c r="D132" s="7" t="n">
        <v>76</v>
      </c>
      <c r="F132" s="7" t="n">
        <v>55.6</v>
      </c>
      <c r="H132" s="7" t="n">
        <v>107.2</v>
      </c>
      <c r="J132" s="7" t="n">
        <v>113.2</v>
      </c>
      <c r="L132" s="7" t="n">
        <v>142.1</v>
      </c>
      <c r="N132" s="7" t="n">
        <v>187.5</v>
      </c>
      <c r="P132" s="7" t="n">
        <v>142.7</v>
      </c>
      <c r="R132" s="7" t="n">
        <v>119.5</v>
      </c>
      <c r="T132" s="7" t="n">
        <v>81.90000000000001</v>
      </c>
      <c r="V132" s="7" t="n">
        <v>138.2</v>
      </c>
      <c r="X132" s="7" t="n">
        <v>104.9</v>
      </c>
      <c r="Z132" s="7" t="n">
        <v>55.4</v>
      </c>
      <c r="AB132" s="7" t="n">
        <v>1324.2</v>
      </c>
    </row>
    <row r="133">
      <c r="A133" s="4" t="inlineStr">
        <is>
          <t>修理费</t>
        </is>
      </c>
      <c r="D133" s="7" t="n">
        <v>35.7</v>
      </c>
      <c r="F133" s="7" t="n">
        <v>27.6</v>
      </c>
      <c r="H133" s="7" t="n">
        <v>47</v>
      </c>
      <c r="J133" s="7" t="n">
        <v>69.09999999999999</v>
      </c>
      <c r="L133" s="7" t="n">
        <v>51</v>
      </c>
      <c r="N133" s="7" t="n">
        <v>100.9</v>
      </c>
      <c r="P133" s="7" t="n">
        <v>78.90000000000001</v>
      </c>
      <c r="R133" s="7" t="n">
        <v>76.59999999999999</v>
      </c>
      <c r="T133" s="7" t="n">
        <v>30</v>
      </c>
      <c r="V133" s="7" t="n">
        <v>92.59999999999999</v>
      </c>
      <c r="X133" s="7" t="n">
        <v>48.3</v>
      </c>
      <c r="Z133" s="7" t="n">
        <v>19.9</v>
      </c>
      <c r="AB133" s="7" t="n">
        <v>677.6</v>
      </c>
    </row>
    <row r="134">
      <c r="A134" s="4" t="inlineStr">
        <is>
          <t>车辆费</t>
        </is>
      </c>
      <c r="D134" s="7" t="n">
        <v>73.90000000000001</v>
      </c>
      <c r="F134" s="7" t="n">
        <v>70.40000000000001</v>
      </c>
      <c r="H134" s="7" t="n">
        <v>92.90000000000001</v>
      </c>
      <c r="J134" s="7" t="n">
        <v>151.9</v>
      </c>
      <c r="L134" s="7" t="n">
        <v>124.8</v>
      </c>
      <c r="N134" s="7" t="n">
        <v>231.1</v>
      </c>
      <c r="P134" s="7" t="n">
        <v>263.3</v>
      </c>
      <c r="R134" s="7" t="n">
        <v>181.4</v>
      </c>
      <c r="T134" s="7" t="n">
        <v>67.7</v>
      </c>
      <c r="V134" s="7" t="n">
        <v>153.5</v>
      </c>
      <c r="X134" s="7" t="n">
        <v>121.7</v>
      </c>
      <c r="Z134" s="7" t="n">
        <v>68.59999999999999</v>
      </c>
      <c r="AB134" s="7" t="n">
        <v>1601.2</v>
      </c>
    </row>
    <row r="135">
      <c r="A135" s="4" t="inlineStr">
        <is>
          <t>租赁费</t>
        </is>
      </c>
      <c r="D135" s="7" t="n">
        <v>556.5</v>
      </c>
      <c r="F135" s="7" t="n">
        <v>406.8</v>
      </c>
      <c r="H135" s="7" t="n">
        <v>660.4</v>
      </c>
      <c r="J135" s="7" t="n">
        <v>1377.2</v>
      </c>
      <c r="L135" s="7" t="n">
        <v>853.4</v>
      </c>
      <c r="N135" s="7" t="n">
        <v>1089.7</v>
      </c>
      <c r="P135" s="7" t="n">
        <v>1669.7</v>
      </c>
      <c r="R135" s="7" t="n">
        <v>1534.3</v>
      </c>
      <c r="T135" s="7" t="n">
        <v>721.2</v>
      </c>
      <c r="V135" s="7" t="n">
        <v>1233.6</v>
      </c>
      <c r="X135" s="7" t="n">
        <v>760.8</v>
      </c>
      <c r="Z135" s="7" t="n">
        <v>350.1</v>
      </c>
      <c r="AB135" s="7" t="n">
        <v>11213.7</v>
      </c>
    </row>
    <row r="136">
      <c r="A136" s="4" t="inlineStr">
        <is>
          <t>能源费</t>
        </is>
      </c>
      <c r="D136" s="7" t="n">
        <v>111.8</v>
      </c>
      <c r="F136" s="7" t="n">
        <v>103.2</v>
      </c>
      <c r="H136" s="7" t="n">
        <v>179.5</v>
      </c>
      <c r="J136" s="7" t="n">
        <v>266.8</v>
      </c>
      <c r="L136" s="7" t="n">
        <v>246.1</v>
      </c>
      <c r="N136" s="7" t="n">
        <v>282.4</v>
      </c>
      <c r="P136" s="7" t="n">
        <v>339.5</v>
      </c>
      <c r="R136" s="7" t="n">
        <v>279.2</v>
      </c>
      <c r="T136" s="7" t="n">
        <v>119.2</v>
      </c>
      <c r="V136" s="7" t="n">
        <v>294.9</v>
      </c>
      <c r="X136" s="7" t="n">
        <v>189.2</v>
      </c>
      <c r="Z136" s="7" t="n">
        <v>93.09999999999999</v>
      </c>
      <c r="AB136" s="7" t="n">
        <v>2504.9</v>
      </c>
    </row>
    <row r="137">
      <c r="A137" s="4" t="inlineStr">
        <is>
          <t>水费</t>
        </is>
      </c>
      <c r="D137" s="7" t="n">
        <v>24.2</v>
      </c>
      <c r="F137" s="7" t="n">
        <v>32</v>
      </c>
      <c r="H137" s="7" t="n">
        <v>37.1</v>
      </c>
      <c r="J137" s="7" t="n">
        <v>86.59999999999999</v>
      </c>
      <c r="L137" s="7" t="n">
        <v>70.90000000000001</v>
      </c>
      <c r="N137" s="7" t="n">
        <v>72.7</v>
      </c>
      <c r="P137" s="7" t="n">
        <v>82.09999999999999</v>
      </c>
      <c r="R137" s="7" t="n">
        <v>70.2</v>
      </c>
      <c r="T137" s="7" t="n">
        <v>32</v>
      </c>
      <c r="V137" s="7" t="n">
        <v>88.40000000000001</v>
      </c>
      <c r="X137" s="7" t="n">
        <v>35.4</v>
      </c>
      <c r="Z137" s="7" t="n">
        <v>21.6</v>
      </c>
      <c r="AB137" s="7" t="n">
        <v>653.2</v>
      </c>
    </row>
    <row r="138">
      <c r="A138" s="4" t="inlineStr">
        <is>
          <t>电费</t>
        </is>
      </c>
      <c r="D138" s="7" t="n">
        <v>54.9</v>
      </c>
      <c r="F138" s="7" t="n">
        <v>46.2</v>
      </c>
      <c r="H138" s="7" t="n">
        <v>104.9</v>
      </c>
      <c r="J138" s="7" t="n">
        <v>121.8</v>
      </c>
      <c r="L138" s="7" t="n">
        <v>133.5</v>
      </c>
      <c r="N138" s="7" t="n">
        <v>132.9</v>
      </c>
      <c r="P138" s="7" t="n">
        <v>180</v>
      </c>
      <c r="R138" s="7" t="n">
        <v>134.3</v>
      </c>
      <c r="T138" s="7" t="n">
        <v>57.9</v>
      </c>
      <c r="V138" s="7" t="n">
        <v>158.3</v>
      </c>
      <c r="X138" s="7" t="n">
        <v>111.9</v>
      </c>
      <c r="Z138" s="7" t="n">
        <v>55.3</v>
      </c>
      <c r="AB138" s="7" t="n">
        <v>1291.9</v>
      </c>
    </row>
    <row r="139">
      <c r="A139" s="4" t="inlineStr">
        <is>
          <t>燃气费</t>
        </is>
      </c>
      <c r="D139" s="7" t="n">
        <v>7.6</v>
      </c>
      <c r="F139" s="7" t="n">
        <v>4.2</v>
      </c>
      <c r="H139" s="7" t="n">
        <v>8.300000000000001</v>
      </c>
      <c r="J139" s="7" t="n">
        <v>14.7</v>
      </c>
      <c r="L139" s="7" t="n">
        <v>12.6</v>
      </c>
      <c r="N139" s="7" t="n">
        <v>13.4</v>
      </c>
      <c r="P139" s="7" t="n">
        <v>14.8</v>
      </c>
      <c r="R139" s="7" t="n">
        <v>13.7</v>
      </c>
      <c r="T139" s="7" t="n">
        <v>6</v>
      </c>
      <c r="V139" s="7" t="n">
        <v>13.6</v>
      </c>
      <c r="X139" s="7" t="n">
        <v>8.9</v>
      </c>
      <c r="Z139" s="7" t="n">
        <v>4.8</v>
      </c>
      <c r="AB139" s="7" t="n">
        <v>122.6</v>
      </c>
    </row>
    <row r="140">
      <c r="A140" s="4" t="inlineStr">
        <is>
          <t>蒸汽费</t>
        </is>
      </c>
      <c r="D140" s="7" t="n">
        <v>25.1</v>
      </c>
      <c r="F140" s="7" t="n">
        <v>20.8</v>
      </c>
      <c r="H140" s="7" t="n">
        <v>29.2</v>
      </c>
      <c r="J140" s="7" t="n">
        <v>43.7</v>
      </c>
      <c r="L140" s="7" t="n">
        <v>29.1</v>
      </c>
      <c r="N140" s="7" t="n">
        <v>63.4</v>
      </c>
      <c r="P140" s="7" t="n">
        <v>62.6</v>
      </c>
      <c r="R140" s="7" t="n">
        <v>61</v>
      </c>
      <c r="T140" s="7" t="n">
        <v>23.3</v>
      </c>
      <c r="V140" s="7" t="n">
        <v>34.6</v>
      </c>
      <c r="X140" s="7" t="n">
        <v>33</v>
      </c>
      <c r="Z140" s="7" t="n">
        <v>11.4</v>
      </c>
      <c r="AB140" s="7" t="n">
        <v>437.2</v>
      </c>
    </row>
    <row r="141">
      <c r="A141" s="4" t="inlineStr">
        <is>
          <t>物业费</t>
        </is>
      </c>
      <c r="D141" s="7" t="n">
        <v>58.6</v>
      </c>
      <c r="F141" s="7" t="n">
        <v>62.1</v>
      </c>
      <c r="H141" s="7" t="n">
        <v>91.40000000000001</v>
      </c>
      <c r="J141" s="7" t="n">
        <v>174.8</v>
      </c>
      <c r="L141" s="7" t="n">
        <v>126.6</v>
      </c>
      <c r="N141" s="7" t="n">
        <v>240.3</v>
      </c>
      <c r="P141" s="7" t="n">
        <v>248.9</v>
      </c>
      <c r="R141" s="7" t="n">
        <v>200.7</v>
      </c>
      <c r="T141" s="7" t="n">
        <v>78.7</v>
      </c>
      <c r="V141" s="7" t="n">
        <v>137.8</v>
      </c>
      <c r="X141" s="7" t="n">
        <v>91.90000000000001</v>
      </c>
      <c r="Z141" s="7" t="n">
        <v>63.8</v>
      </c>
      <c r="AB141" s="7" t="n">
        <v>1575.6</v>
      </c>
    </row>
    <row r="142">
      <c r="A142" s="4" t="inlineStr">
        <is>
          <t>劳动保护费</t>
        </is>
      </c>
      <c r="D142" s="7" t="n">
        <v>38</v>
      </c>
      <c r="F142" s="7" t="n">
        <v>30.3</v>
      </c>
      <c r="H142" s="7" t="n">
        <v>56.9</v>
      </c>
      <c r="J142" s="7" t="n">
        <v>85.09999999999999</v>
      </c>
      <c r="L142" s="7" t="n">
        <v>88.2</v>
      </c>
      <c r="N142" s="7" t="n">
        <v>108.8</v>
      </c>
      <c r="P142" s="7" t="n">
        <v>120.3</v>
      </c>
      <c r="R142" s="7" t="n">
        <v>69.40000000000001</v>
      </c>
      <c r="T142" s="7" t="n">
        <v>55.1</v>
      </c>
      <c r="V142" s="7" t="n">
        <v>71.90000000000001</v>
      </c>
      <c r="X142" s="7" t="n">
        <v>49.3</v>
      </c>
      <c r="Z142" s="7" t="n">
        <v>26</v>
      </c>
      <c r="AB142" s="7" t="n">
        <v>799.3</v>
      </c>
    </row>
    <row r="143">
      <c r="A143" s="4" t="inlineStr">
        <is>
          <t>顾问费</t>
        </is>
      </c>
      <c r="D143" s="7" t="n">
        <v>61.8</v>
      </c>
      <c r="F143" s="7" t="n">
        <v>45</v>
      </c>
      <c r="H143" s="7" t="n">
        <v>82</v>
      </c>
      <c r="J143" s="7" t="n">
        <v>137</v>
      </c>
      <c r="L143" s="7" t="n">
        <v>91.3</v>
      </c>
      <c r="N143" s="7" t="n">
        <v>105.7</v>
      </c>
      <c r="P143" s="7" t="n">
        <v>171.1</v>
      </c>
      <c r="R143" s="7" t="n">
        <v>137.8</v>
      </c>
      <c r="T143" s="7" t="n">
        <v>53.3</v>
      </c>
      <c r="V143" s="7" t="n">
        <v>141.1</v>
      </c>
      <c r="X143" s="7" t="n">
        <v>78.5</v>
      </c>
      <c r="Z143" s="7" t="n">
        <v>35</v>
      </c>
      <c r="AB143" s="7" t="n">
        <v>1139.6</v>
      </c>
    </row>
    <row r="144">
      <c r="A144" s="4" t="inlineStr">
        <is>
          <t>快递费</t>
        </is>
      </c>
      <c r="D144" s="7" t="n">
        <v>19</v>
      </c>
      <c r="F144" s="7" t="n">
        <v>12.9</v>
      </c>
      <c r="H144" s="7" t="n">
        <v>19.4</v>
      </c>
      <c r="J144" s="7" t="n">
        <v>33.5</v>
      </c>
      <c r="L144" s="7" t="n">
        <v>32.1</v>
      </c>
      <c r="N144" s="7" t="n">
        <v>29.8</v>
      </c>
      <c r="P144" s="7" t="n">
        <v>41.6</v>
      </c>
      <c r="R144" s="7" t="n">
        <v>41</v>
      </c>
      <c r="T144" s="7" t="n">
        <v>14.8</v>
      </c>
      <c r="V144" s="7" t="n">
        <v>24.4</v>
      </c>
      <c r="X144" s="7" t="n">
        <v>25.4</v>
      </c>
      <c r="Z144" s="7" t="n">
        <v>13.2</v>
      </c>
      <c r="AB144" s="7" t="n">
        <v>307.1</v>
      </c>
    </row>
    <row r="145">
      <c r="A145" s="4" t="inlineStr">
        <is>
          <t>诉讼费</t>
        </is>
      </c>
      <c r="D145" s="7" t="n">
        <v>31.3</v>
      </c>
      <c r="F145" s="7" t="n">
        <v>23.5</v>
      </c>
      <c r="H145" s="7" t="n">
        <v>39.2</v>
      </c>
      <c r="J145" s="7" t="n">
        <v>71.40000000000001</v>
      </c>
      <c r="L145" s="7" t="n">
        <v>45.4</v>
      </c>
      <c r="N145" s="7" t="n">
        <v>69.40000000000001</v>
      </c>
      <c r="P145" s="7" t="n">
        <v>71.90000000000001</v>
      </c>
      <c r="R145" s="7" t="n">
        <v>46.5</v>
      </c>
      <c r="T145" s="7" t="n">
        <v>23</v>
      </c>
      <c r="V145" s="7" t="n">
        <v>56.4</v>
      </c>
      <c r="X145" s="7" t="n">
        <v>29.7</v>
      </c>
      <c r="Z145" s="7" t="n">
        <v>22.5</v>
      </c>
      <c r="AB145" s="7" t="n">
        <v>530.2</v>
      </c>
    </row>
    <row r="146">
      <c r="A146" s="4" t="inlineStr">
        <is>
          <t>会员费</t>
        </is>
      </c>
      <c r="D146" s="7" t="n">
        <v>15.2</v>
      </c>
      <c r="F146" s="7" t="n">
        <v>11.9</v>
      </c>
      <c r="H146" s="7" t="n">
        <v>16.8</v>
      </c>
      <c r="J146" s="7" t="n">
        <v>20.8</v>
      </c>
      <c r="L146" s="7" t="n">
        <v>19.4</v>
      </c>
      <c r="N146" s="7" t="n">
        <v>26</v>
      </c>
      <c r="P146" s="7" t="n">
        <v>35.2</v>
      </c>
      <c r="R146" s="7" t="n">
        <v>24.1</v>
      </c>
      <c r="T146" s="7" t="n">
        <v>18.5</v>
      </c>
      <c r="V146" s="7" t="n">
        <v>21</v>
      </c>
      <c r="X146" s="7" t="n">
        <v>18.7</v>
      </c>
      <c r="Z146" s="7" t="n">
        <v>7.4</v>
      </c>
      <c r="AB146" s="7" t="n">
        <v>235</v>
      </c>
    </row>
    <row r="147">
      <c r="A147" s="4" t="inlineStr">
        <is>
          <t>广告宣传费</t>
        </is>
      </c>
      <c r="D147" s="7" t="n">
        <v>453.1</v>
      </c>
      <c r="F147" s="7" t="n">
        <v>282.9</v>
      </c>
      <c r="H147" s="7" t="n">
        <v>386.7</v>
      </c>
      <c r="J147" s="7" t="n">
        <v>678.1</v>
      </c>
      <c r="L147" s="7" t="n">
        <v>580.5</v>
      </c>
      <c r="N147" s="7" t="n">
        <v>1009.5</v>
      </c>
      <c r="P147" s="7" t="n">
        <v>1027.1</v>
      </c>
      <c r="R147" s="7" t="n">
        <v>826.3</v>
      </c>
      <c r="T147" s="7" t="n">
        <v>505</v>
      </c>
      <c r="V147" s="7" t="n">
        <v>574.6</v>
      </c>
      <c r="X147" s="7" t="n">
        <v>553.5</v>
      </c>
      <c r="Z147" s="7" t="n">
        <v>228.4</v>
      </c>
      <c r="AB147" s="7" t="n">
        <v>7105.7</v>
      </c>
    </row>
    <row r="148">
      <c r="A148" s="4" t="inlineStr">
        <is>
          <t>会务费</t>
        </is>
      </c>
      <c r="D148" s="7" t="n">
        <v>20.2</v>
      </c>
      <c r="F148" s="7" t="n">
        <v>23.7</v>
      </c>
      <c r="H148" s="7" t="n">
        <v>34.5</v>
      </c>
      <c r="J148" s="7" t="n">
        <v>44.6</v>
      </c>
      <c r="L148" s="7" t="n">
        <v>43.3</v>
      </c>
      <c r="N148" s="7" t="n">
        <v>80.7</v>
      </c>
      <c r="P148" s="7" t="n">
        <v>65.5</v>
      </c>
      <c r="R148" s="7" t="n">
        <v>54.9</v>
      </c>
      <c r="T148" s="7" t="n">
        <v>32</v>
      </c>
      <c r="V148" s="7" t="n">
        <v>61.4</v>
      </c>
      <c r="X148" s="7" t="n">
        <v>28.9</v>
      </c>
      <c r="Z148" s="7" t="n">
        <v>22.7</v>
      </c>
      <c r="AB148" s="7" t="n">
        <v>512.4</v>
      </c>
    </row>
    <row r="149">
      <c r="A149" s="4" t="inlineStr">
        <is>
          <t>装修费</t>
        </is>
      </c>
      <c r="D149" s="7" t="n">
        <v>7.3</v>
      </c>
      <c r="F149" s="7" t="n">
        <v>9.1</v>
      </c>
      <c r="H149" s="7" t="n">
        <v>14.1</v>
      </c>
      <c r="J149" s="7" t="n">
        <v>28.7</v>
      </c>
      <c r="L149" s="7" t="n">
        <v>14.9</v>
      </c>
      <c r="N149" s="7" t="n">
        <v>19.8</v>
      </c>
      <c r="P149" s="7" t="n">
        <v>30.6</v>
      </c>
      <c r="R149" s="7" t="n">
        <v>21.2</v>
      </c>
      <c r="T149" s="7" t="n">
        <v>12</v>
      </c>
      <c r="V149" s="7" t="n">
        <v>25.8</v>
      </c>
      <c r="X149" s="7" t="n">
        <v>17</v>
      </c>
      <c r="Z149" s="7" t="n">
        <v>6.9</v>
      </c>
      <c r="AB149" s="7" t="n">
        <v>207.4</v>
      </c>
    </row>
    <row r="150">
      <c r="A150" s="4" t="inlineStr">
        <is>
          <t>推广费</t>
        </is>
      </c>
      <c r="D150" s="7" t="n">
        <v>32.6</v>
      </c>
      <c r="F150" s="7" t="n">
        <v>36.2</v>
      </c>
      <c r="H150" s="7" t="n">
        <v>42.8</v>
      </c>
      <c r="J150" s="7" t="n">
        <v>95.09999999999999</v>
      </c>
      <c r="L150" s="7" t="n">
        <v>75.59999999999999</v>
      </c>
      <c r="N150" s="7" t="n">
        <v>67.8</v>
      </c>
      <c r="P150" s="7" t="n">
        <v>92.7</v>
      </c>
      <c r="R150" s="7" t="n">
        <v>104.5</v>
      </c>
      <c r="T150" s="7" t="n">
        <v>47.6</v>
      </c>
      <c r="V150" s="7" t="n">
        <v>59.7</v>
      </c>
      <c r="X150" s="7" t="n">
        <v>60.5</v>
      </c>
      <c r="Z150" s="7" t="n">
        <v>18.2</v>
      </c>
      <c r="AB150" s="7" t="n">
        <v>733.3</v>
      </c>
    </row>
    <row r="151">
      <c r="A151" s="4" t="inlineStr">
        <is>
          <t>展会费</t>
        </is>
      </c>
      <c r="D151" s="7" t="n">
        <v>34.3</v>
      </c>
      <c r="F151" s="7" t="n">
        <v>31.7</v>
      </c>
      <c r="H151" s="7" t="n">
        <v>38.8</v>
      </c>
      <c r="J151" s="7" t="n">
        <v>106.9</v>
      </c>
      <c r="L151" s="7" t="n">
        <v>64.7</v>
      </c>
      <c r="N151" s="7" t="n">
        <v>112.7</v>
      </c>
      <c r="P151" s="7" t="n">
        <v>104.1</v>
      </c>
      <c r="R151" s="7" t="n">
        <v>107.1</v>
      </c>
      <c r="T151" s="7" t="n">
        <v>37.5</v>
      </c>
      <c r="V151" s="7" t="n">
        <v>118.8</v>
      </c>
      <c r="X151" s="7" t="n">
        <v>66.40000000000001</v>
      </c>
      <c r="Z151" s="7" t="n">
        <v>36.4</v>
      </c>
      <c r="AB151" s="7" t="n">
        <v>859.4</v>
      </c>
    </row>
    <row r="152">
      <c r="A152" s="4" t="inlineStr">
        <is>
          <t>设计费</t>
        </is>
      </c>
      <c r="D152" s="7" t="n">
        <v>18.3</v>
      </c>
      <c r="F152" s="7" t="n">
        <v>22.6</v>
      </c>
      <c r="H152" s="7" t="n">
        <v>24.7</v>
      </c>
      <c r="J152" s="7" t="n">
        <v>58.9</v>
      </c>
      <c r="L152" s="7" t="n">
        <v>52.5</v>
      </c>
      <c r="N152" s="7" t="n">
        <v>58.9</v>
      </c>
      <c r="P152" s="7" t="n">
        <v>72.59999999999999</v>
      </c>
      <c r="R152" s="7" t="n">
        <v>53.1</v>
      </c>
      <c r="T152" s="7" t="n">
        <v>25.5</v>
      </c>
      <c r="V152" s="7" t="n">
        <v>50.4</v>
      </c>
      <c r="X152" s="7" t="n">
        <v>30.1</v>
      </c>
      <c r="Z152" s="7" t="n">
        <v>20.7</v>
      </c>
      <c r="AB152" s="7" t="n">
        <v>488.3</v>
      </c>
    </row>
    <row r="153">
      <c r="A153" s="4" t="inlineStr">
        <is>
          <t>折旧费</t>
        </is>
      </c>
      <c r="D153" s="7" t="n">
        <v>617.4</v>
      </c>
      <c r="F153" s="7" t="n">
        <v>357.8</v>
      </c>
      <c r="H153" s="7" t="n">
        <v>468.5</v>
      </c>
      <c r="J153" s="7" t="n">
        <v>1317.5</v>
      </c>
      <c r="L153" s="7" t="n">
        <v>746.6</v>
      </c>
      <c r="N153" s="7" t="n">
        <v>1158.1</v>
      </c>
      <c r="P153" s="7" t="n">
        <v>1524.2</v>
      </c>
      <c r="R153" s="7" t="n">
        <v>1191</v>
      </c>
      <c r="T153" s="7" t="n">
        <v>498.9</v>
      </c>
      <c r="V153" s="7" t="n">
        <v>1312.1</v>
      </c>
      <c r="X153" s="7" t="n">
        <v>792.9</v>
      </c>
      <c r="Z153" s="7" t="n">
        <v>319.2</v>
      </c>
      <c r="AB153" s="7" t="n">
        <v>10304.2</v>
      </c>
    </row>
    <row r="154">
      <c r="A154" s="4" t="inlineStr">
        <is>
          <t>认证费</t>
        </is>
      </c>
      <c r="D154" s="7" t="n">
        <v>68.8</v>
      </c>
      <c r="F154" s="7" t="n">
        <v>55.4</v>
      </c>
      <c r="H154" s="7" t="n">
        <v>68.40000000000001</v>
      </c>
      <c r="J154" s="7" t="n">
        <v>178.7</v>
      </c>
      <c r="L154" s="7" t="n">
        <v>118.7</v>
      </c>
      <c r="N154" s="7" t="n">
        <v>203.3</v>
      </c>
      <c r="P154" s="7" t="n">
        <v>219.4</v>
      </c>
      <c r="R154" s="7" t="n">
        <v>140.3</v>
      </c>
      <c r="T154" s="7" t="n">
        <v>86.59999999999999</v>
      </c>
      <c r="V154" s="7" t="n">
        <v>141.2</v>
      </c>
      <c r="X154" s="7" t="n">
        <v>110.2</v>
      </c>
      <c r="Z154" s="7" t="n">
        <v>61.6</v>
      </c>
      <c r="AB154" s="7" t="n">
        <v>1452.6</v>
      </c>
    </row>
    <row r="155">
      <c r="A155" s="4" t="inlineStr">
        <is>
          <t>样品费</t>
        </is>
      </c>
      <c r="D155" s="7" t="n">
        <v>283.7</v>
      </c>
      <c r="F155" s="7" t="n">
        <v>214.6</v>
      </c>
      <c r="H155" s="7" t="n">
        <v>354.1</v>
      </c>
      <c r="J155" s="7" t="n">
        <v>614.6</v>
      </c>
      <c r="L155" s="7" t="n">
        <v>531.2</v>
      </c>
      <c r="N155" s="7" t="n">
        <v>650.3</v>
      </c>
      <c r="P155" s="7" t="n">
        <v>480.9</v>
      </c>
      <c r="R155" s="7" t="n">
        <v>574.8</v>
      </c>
      <c r="T155" s="7" t="n">
        <v>306.6</v>
      </c>
      <c r="V155" s="7" t="n">
        <v>519.3</v>
      </c>
      <c r="X155" s="7" t="n">
        <v>352.2</v>
      </c>
      <c r="Z155" s="7" t="n">
        <v>181.6</v>
      </c>
      <c r="AB155" s="7" t="n">
        <v>5063.9</v>
      </c>
    </row>
    <row r="156">
      <c r="A156" s="4" t="inlineStr">
        <is>
          <t>劳务费</t>
        </is>
      </c>
      <c r="D156" s="7" t="n">
        <v>23.5</v>
      </c>
      <c r="F156" s="7" t="n">
        <v>23.5</v>
      </c>
      <c r="H156" s="7" t="n">
        <v>32.2</v>
      </c>
      <c r="J156" s="7" t="n">
        <v>66.59999999999999</v>
      </c>
      <c r="L156" s="7" t="n">
        <v>37.5</v>
      </c>
      <c r="N156" s="7" t="n">
        <v>75.7</v>
      </c>
      <c r="P156" s="7" t="n">
        <v>77.5</v>
      </c>
      <c r="R156" s="7" t="n">
        <v>53.9</v>
      </c>
      <c r="T156" s="7" t="n">
        <v>23.4</v>
      </c>
      <c r="V156" s="7" t="n">
        <v>43.7</v>
      </c>
      <c r="X156" s="7" t="n">
        <v>28.8</v>
      </c>
      <c r="Z156" s="7" t="n">
        <v>18.4</v>
      </c>
      <c r="AB156" s="7" t="n">
        <v>504.7</v>
      </c>
    </row>
    <row r="157">
      <c r="A157" s="4" t="inlineStr">
        <is>
          <t>销售佣金</t>
        </is>
      </c>
      <c r="D157" s="7" t="n">
        <v>57.1</v>
      </c>
      <c r="F157" s="7" t="n">
        <v>41.6</v>
      </c>
      <c r="H157" s="7" t="n">
        <v>97.5</v>
      </c>
      <c r="J157" s="7" t="n">
        <v>168.2</v>
      </c>
      <c r="L157" s="7" t="n">
        <v>162.7</v>
      </c>
      <c r="N157" s="7" t="n">
        <v>183.5</v>
      </c>
      <c r="P157" s="7" t="n">
        <v>205.8</v>
      </c>
      <c r="R157" s="7" t="n">
        <v>174.2</v>
      </c>
      <c r="T157" s="7" t="n">
        <v>99.59999999999999</v>
      </c>
      <c r="V157" s="7" t="n">
        <v>142.8</v>
      </c>
      <c r="X157" s="7" t="n">
        <v>85.5</v>
      </c>
      <c r="Z157" s="7" t="n">
        <v>62.5</v>
      </c>
      <c r="AB157" s="7" t="n">
        <v>1481</v>
      </c>
    </row>
    <row r="158">
      <c r="A158" s="4" t="inlineStr">
        <is>
          <t>检测费</t>
        </is>
      </c>
      <c r="D158" s="7" t="n">
        <v>13.6</v>
      </c>
      <c r="F158" s="7" t="n">
        <v>15.6</v>
      </c>
      <c r="H158" s="7" t="n">
        <v>17.8</v>
      </c>
      <c r="J158" s="7" t="n">
        <v>39.6</v>
      </c>
      <c r="L158" s="7" t="n">
        <v>37.7</v>
      </c>
      <c r="N158" s="7" t="n">
        <v>59.3</v>
      </c>
      <c r="P158" s="7" t="n">
        <v>59</v>
      </c>
      <c r="R158" s="7" t="n">
        <v>31.7</v>
      </c>
      <c r="T158" s="7" t="n">
        <v>16.6</v>
      </c>
      <c r="V158" s="7" t="n">
        <v>42.8</v>
      </c>
      <c r="X158" s="7" t="n">
        <v>25.5</v>
      </c>
      <c r="Z158" s="7" t="n">
        <v>15.8</v>
      </c>
      <c r="AB158" s="7" t="n">
        <v>375</v>
      </c>
    </row>
    <row r="159">
      <c r="A159" s="4" t="inlineStr">
        <is>
          <t>质量赔偿</t>
        </is>
      </c>
      <c r="D159" s="7" t="n">
        <v>69.40000000000001</v>
      </c>
      <c r="F159" s="7" t="n">
        <v>68.8</v>
      </c>
      <c r="H159" s="7" t="n">
        <v>113.9</v>
      </c>
      <c r="J159" s="7" t="n">
        <v>134.1</v>
      </c>
      <c r="L159" s="7" t="n">
        <v>127.4</v>
      </c>
      <c r="N159" s="7" t="n">
        <v>184.7</v>
      </c>
      <c r="P159" s="7" t="n">
        <v>198.8</v>
      </c>
      <c r="R159" s="7" t="n">
        <v>166.2</v>
      </c>
      <c r="T159" s="7" t="n">
        <v>101.5</v>
      </c>
      <c r="V159" s="7" t="n">
        <v>194.7</v>
      </c>
      <c r="X159" s="7" t="n">
        <v>104.6</v>
      </c>
      <c r="Z159" s="7" t="n">
        <v>65</v>
      </c>
      <c r="AB159" s="7" t="n">
        <v>1529.1</v>
      </c>
    </row>
    <row r="160">
      <c r="A160" s="4" t="inlineStr">
        <is>
          <t>保险费</t>
        </is>
      </c>
      <c r="D160" s="7" t="n">
        <v>10.5</v>
      </c>
      <c r="F160" s="7" t="n">
        <v>8.6</v>
      </c>
      <c r="H160" s="7" t="n">
        <v>13.5</v>
      </c>
      <c r="J160" s="7" t="n">
        <v>16.9</v>
      </c>
      <c r="L160" s="7" t="n">
        <v>20.4</v>
      </c>
      <c r="N160" s="7" t="n">
        <v>33.3</v>
      </c>
      <c r="P160" s="7" t="n">
        <v>23.8</v>
      </c>
      <c r="R160" s="7" t="n">
        <v>21.4</v>
      </c>
      <c r="T160" s="7" t="n">
        <v>8.4</v>
      </c>
      <c r="V160" s="7" t="n">
        <v>25.6</v>
      </c>
      <c r="X160" s="7" t="n">
        <v>18.2</v>
      </c>
      <c r="Z160" s="7" t="n">
        <v>5.9</v>
      </c>
      <c r="AB160" s="7" t="n">
        <v>206.5</v>
      </c>
    </row>
    <row r="161">
      <c r="A161" s="4" t="inlineStr">
        <is>
          <t>清洁费</t>
        </is>
      </c>
      <c r="D161" s="7" t="n">
        <v>63.5</v>
      </c>
      <c r="F161" s="7" t="n">
        <v>40.8</v>
      </c>
      <c r="H161" s="7" t="n">
        <v>61.7</v>
      </c>
      <c r="J161" s="7" t="n">
        <v>148.8</v>
      </c>
      <c r="L161" s="7" t="n">
        <v>109.2</v>
      </c>
      <c r="N161" s="7" t="n">
        <v>148.8</v>
      </c>
      <c r="P161" s="7" t="n">
        <v>186.7</v>
      </c>
      <c r="R161" s="7" t="n">
        <v>111</v>
      </c>
      <c r="T161" s="7" t="n">
        <v>46.3</v>
      </c>
      <c r="V161" s="7" t="n">
        <v>142.6</v>
      </c>
      <c r="X161" s="7" t="n">
        <v>80</v>
      </c>
      <c r="Z161" s="7" t="n">
        <v>44.7</v>
      </c>
      <c r="AB161" s="7" t="n">
        <v>1184.1</v>
      </c>
    </row>
    <row r="162">
      <c r="A162" s="4" t="inlineStr">
        <is>
          <t>低值易耗品</t>
        </is>
      </c>
      <c r="D162" s="7" t="n">
        <v>54.5</v>
      </c>
      <c r="F162" s="7" t="n">
        <v>45</v>
      </c>
      <c r="H162" s="7" t="n">
        <v>49.1</v>
      </c>
      <c r="J162" s="7" t="n">
        <v>123.6</v>
      </c>
      <c r="L162" s="7" t="n">
        <v>76.09999999999999</v>
      </c>
      <c r="N162" s="7" t="n">
        <v>88.2</v>
      </c>
      <c r="P162" s="7" t="n">
        <v>141.3</v>
      </c>
      <c r="R162" s="7" t="n">
        <v>138.8</v>
      </c>
      <c r="T162" s="7" t="n">
        <v>44.2</v>
      </c>
      <c r="V162" s="7" t="n">
        <v>104</v>
      </c>
      <c r="X162" s="7" t="n">
        <v>52.7</v>
      </c>
      <c r="Z162" s="7" t="n">
        <v>41.7</v>
      </c>
      <c r="AB162" s="7" t="n">
        <v>959.2</v>
      </c>
    </row>
    <row r="163">
      <c r="A163" s="4" t="inlineStr">
        <is>
          <t>物料消耗</t>
        </is>
      </c>
      <c r="D163" s="7" t="n">
        <v>6.1</v>
      </c>
      <c r="F163" s="7" t="n">
        <v>3.5</v>
      </c>
      <c r="H163" s="7" t="n">
        <v>5.3</v>
      </c>
      <c r="J163" s="7" t="n">
        <v>8.300000000000001</v>
      </c>
      <c r="L163" s="7" t="n">
        <v>6.5</v>
      </c>
      <c r="N163" s="7" t="n">
        <v>10.7</v>
      </c>
      <c r="P163" s="7" t="n">
        <v>15.6</v>
      </c>
      <c r="R163" s="7" t="n">
        <v>12</v>
      </c>
      <c r="T163" s="7" t="n">
        <v>5.9</v>
      </c>
      <c r="V163" s="7" t="n">
        <v>10</v>
      </c>
      <c r="X163" s="7" t="n">
        <v>5.6</v>
      </c>
      <c r="Z163" s="7" t="n">
        <v>3.3</v>
      </c>
      <c r="AB163" s="7" t="n">
        <v>92.8</v>
      </c>
    </row>
    <row r="164">
      <c r="A164" s="4" t="inlineStr">
        <is>
          <t>盘盈盘亏</t>
        </is>
      </c>
      <c r="D164" s="7" t="n">
        <v>98.7</v>
      </c>
      <c r="F164" s="7" t="n">
        <v>50.7</v>
      </c>
      <c r="H164" s="7" t="n">
        <v>102.9</v>
      </c>
      <c r="J164" s="7" t="n">
        <v>151.9</v>
      </c>
      <c r="L164" s="7" t="n">
        <v>133.4</v>
      </c>
      <c r="N164" s="7" t="n">
        <v>141.8</v>
      </c>
      <c r="P164" s="7" t="n">
        <v>250.5</v>
      </c>
      <c r="R164" s="7" t="n">
        <v>140.6</v>
      </c>
      <c r="T164" s="7" t="n">
        <v>79.5</v>
      </c>
      <c r="V164" s="7" t="n">
        <v>116.1</v>
      </c>
      <c r="X164" s="7" t="n">
        <v>74.3</v>
      </c>
      <c r="Z164" s="7" t="n">
        <v>52.2</v>
      </c>
      <c r="AB164" s="7" t="n">
        <v>1392.6</v>
      </c>
    </row>
    <row r="165">
      <c r="A165" s="4" t="inlineStr">
        <is>
          <t>平台服务费</t>
        </is>
      </c>
      <c r="D165" s="7" t="n">
        <v>33.2</v>
      </c>
      <c r="F165" s="7" t="n">
        <v>19.6</v>
      </c>
      <c r="H165" s="7" t="n">
        <v>33.2</v>
      </c>
      <c r="J165" s="7" t="n">
        <v>47.1</v>
      </c>
      <c r="L165" s="7" t="n">
        <v>54.1</v>
      </c>
      <c r="N165" s="7" t="n">
        <v>62.2</v>
      </c>
      <c r="P165" s="7" t="n">
        <v>67.7</v>
      </c>
      <c r="R165" s="7" t="n">
        <v>54.8</v>
      </c>
      <c r="T165" s="7" t="n">
        <v>27</v>
      </c>
      <c r="V165" s="7" t="n">
        <v>47.6</v>
      </c>
      <c r="X165" s="7" t="n">
        <v>45.7</v>
      </c>
      <c r="Z165" s="7" t="n">
        <v>22.8</v>
      </c>
      <c r="AB165" s="7" t="n">
        <v>515</v>
      </c>
    </row>
    <row r="166">
      <c r="A166" s="4" t="inlineStr">
        <is>
          <t>无形资产摊销</t>
        </is>
      </c>
      <c r="D166" s="7" t="n">
        <v>25.4</v>
      </c>
      <c r="F166" s="7" t="n">
        <v>16.8</v>
      </c>
      <c r="H166" s="7" t="n">
        <v>24.7</v>
      </c>
      <c r="J166" s="7" t="n">
        <v>40.9</v>
      </c>
      <c r="L166" s="7" t="n">
        <v>29.5</v>
      </c>
      <c r="N166" s="7" t="n">
        <v>63.3</v>
      </c>
      <c r="P166" s="7" t="n">
        <v>45.1</v>
      </c>
      <c r="R166" s="7" t="n">
        <v>47.1</v>
      </c>
      <c r="T166" s="7" t="n">
        <v>29</v>
      </c>
      <c r="V166" s="7" t="n">
        <v>60.1</v>
      </c>
      <c r="X166" s="7" t="n">
        <v>20.2</v>
      </c>
      <c r="Z166" s="7" t="n">
        <v>16.8</v>
      </c>
      <c r="AB166" s="7" t="n">
        <v>418.9</v>
      </c>
    </row>
    <row r="167">
      <c r="A167" s="4" t="inlineStr">
        <is>
          <t>研发材料</t>
        </is>
      </c>
      <c r="D167" s="7" t="n">
        <v>83.8</v>
      </c>
      <c r="F167" s="7" t="n">
        <v>62.5</v>
      </c>
      <c r="H167" s="7" t="n">
        <v>91.90000000000001</v>
      </c>
      <c r="J167" s="7" t="n">
        <v>145.6</v>
      </c>
      <c r="L167" s="7" t="n">
        <v>154.1</v>
      </c>
      <c r="N167" s="7" t="n">
        <v>159.1</v>
      </c>
      <c r="P167" s="7" t="n">
        <v>128.5</v>
      </c>
      <c r="R167" s="7" t="n">
        <v>159.7</v>
      </c>
      <c r="T167" s="7" t="n">
        <v>88.8</v>
      </c>
      <c r="V167" s="7" t="n">
        <v>128.2</v>
      </c>
      <c r="X167" s="7" t="n">
        <v>114.6</v>
      </c>
      <c r="Z167" s="7" t="n">
        <v>46.8</v>
      </c>
      <c r="AB167" s="7" t="n">
        <v>1363.6</v>
      </c>
    </row>
    <row r="168">
      <c r="A168" s="4" t="inlineStr">
        <is>
          <t>项目名称</t>
        </is>
      </c>
      <c r="D168" s="7" t="n">
        <v>27.8</v>
      </c>
      <c r="F168" s="7" t="n">
        <v>29.7</v>
      </c>
      <c r="H168" s="7" t="n">
        <v>35.7</v>
      </c>
      <c r="J168" s="7" t="n">
        <v>53.7</v>
      </c>
      <c r="L168" s="7" t="n">
        <v>63.4</v>
      </c>
      <c r="N168" s="7" t="n">
        <v>84.5</v>
      </c>
      <c r="P168" s="7" t="n">
        <v>62.4</v>
      </c>
      <c r="R168" s="7" t="n">
        <v>77.90000000000001</v>
      </c>
      <c r="T168" s="7" t="n">
        <v>45</v>
      </c>
      <c r="V168" s="7" t="n">
        <v>84</v>
      </c>
      <c r="X168" s="7" t="n">
        <v>37.3</v>
      </c>
      <c r="Z168" s="7" t="n">
        <v>25.1</v>
      </c>
      <c r="AB168" s="7" t="n">
        <v>626.5</v>
      </c>
    </row>
    <row r="169">
      <c r="A169" s="4" t="inlineStr">
        <is>
          <t>研发费</t>
        </is>
      </c>
      <c r="D169" s="7" t="n">
        <v>1.2</v>
      </c>
      <c r="F169" s="7" t="n">
        <v>0.8</v>
      </c>
      <c r="H169" s="7" t="n">
        <v>1.4</v>
      </c>
      <c r="J169" s="7" t="n">
        <v>2.1</v>
      </c>
      <c r="L169" s="7" t="n">
        <v>1.7</v>
      </c>
      <c r="N169" s="7" t="n">
        <v>2.9</v>
      </c>
      <c r="P169" s="7" t="n">
        <v>3.1</v>
      </c>
      <c r="R169" s="7" t="n">
        <v>2.3</v>
      </c>
      <c r="T169" s="7" t="n">
        <v>1.1</v>
      </c>
      <c r="V169" s="7" t="n">
        <v>2.6</v>
      </c>
      <c r="X169" s="7" t="n">
        <v>1.2</v>
      </c>
      <c r="Z169" s="7" t="n">
        <v>0.5</v>
      </c>
      <c r="AB169" s="7" t="n">
        <v>20.9</v>
      </c>
    </row>
    <row r="170">
      <c r="A170" s="4" t="inlineStr">
        <is>
          <t>残保金</t>
        </is>
      </c>
      <c r="D170" s="7" t="n">
        <v>18.6</v>
      </c>
      <c r="F170" s="7" t="n">
        <v>15.4</v>
      </c>
      <c r="H170" s="7" t="n">
        <v>22.4</v>
      </c>
      <c r="J170" s="7" t="n">
        <v>34.1</v>
      </c>
      <c r="L170" s="7" t="n">
        <v>34.6</v>
      </c>
      <c r="N170" s="7" t="n">
        <v>39.2</v>
      </c>
      <c r="P170" s="7" t="n">
        <v>46.7</v>
      </c>
      <c r="R170" s="7" t="n">
        <v>55.1</v>
      </c>
      <c r="T170" s="7" t="n">
        <v>22.3</v>
      </c>
      <c r="V170" s="7" t="n">
        <v>53.3</v>
      </c>
      <c r="X170" s="7" t="n">
        <v>25.9</v>
      </c>
      <c r="Z170" s="7" t="n">
        <v>15</v>
      </c>
      <c r="AB170" s="7" t="n">
        <v>382.6</v>
      </c>
    </row>
    <row r="171">
      <c r="A171" s="4" t="inlineStr">
        <is>
          <t>环保费</t>
        </is>
      </c>
      <c r="D171" s="7" t="n">
        <v>86.2</v>
      </c>
      <c r="F171" s="7" t="n">
        <v>60.2</v>
      </c>
      <c r="H171" s="7" t="n">
        <v>102.8</v>
      </c>
      <c r="J171" s="7" t="n">
        <v>146.9</v>
      </c>
      <c r="L171" s="7" t="n">
        <v>120.9</v>
      </c>
      <c r="N171" s="7" t="n">
        <v>140.9</v>
      </c>
      <c r="P171" s="7" t="n">
        <v>187.4</v>
      </c>
      <c r="R171" s="7" t="n">
        <v>209.5</v>
      </c>
      <c r="T171" s="7" t="n">
        <v>101.8</v>
      </c>
      <c r="V171" s="7" t="n">
        <v>127.3</v>
      </c>
      <c r="X171" s="7" t="n">
        <v>118</v>
      </c>
      <c r="Z171" s="7" t="n">
        <v>52.4</v>
      </c>
      <c r="AB171" s="7" t="n">
        <v>1454.3</v>
      </c>
    </row>
    <row r="172">
      <c r="A172" s="4" t="inlineStr">
        <is>
          <t>报废损失</t>
        </is>
      </c>
      <c r="D172" s="7" t="n">
        <v>15.2</v>
      </c>
      <c r="F172" s="7" t="n">
        <v>8.9</v>
      </c>
      <c r="H172" s="7" t="n">
        <v>17.7</v>
      </c>
      <c r="J172" s="7" t="n">
        <v>35.8</v>
      </c>
      <c r="L172" s="7" t="n">
        <v>17.7</v>
      </c>
      <c r="N172" s="7" t="n">
        <v>28.5</v>
      </c>
      <c r="P172" s="7" t="n">
        <v>26.9</v>
      </c>
      <c r="R172" s="7" t="n">
        <v>37.4</v>
      </c>
      <c r="T172" s="7" t="n">
        <v>16</v>
      </c>
      <c r="V172" s="7" t="n">
        <v>34.7</v>
      </c>
      <c r="X172" s="7" t="n">
        <v>16.6</v>
      </c>
      <c r="Z172" s="7" t="n">
        <v>8.1</v>
      </c>
      <c r="AB172" s="7" t="n">
        <v>263.5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8205.700000000001</v>
      </c>
      <c r="D173" s="7" t="n">
        <v>7970.6</v>
      </c>
      <c r="E173" s="7" t="n">
        <v>6382.2</v>
      </c>
      <c r="F173" s="7" t="n">
        <v>1891.3</v>
      </c>
      <c r="G173" s="7" t="n">
        <v>6804.7</v>
      </c>
      <c r="H173" s="7" t="n">
        <v>4787.8</v>
      </c>
      <c r="I173" s="7" t="n">
        <v>7248.1</v>
      </c>
      <c r="J173" s="7" t="n">
        <v>6863.2</v>
      </c>
      <c r="K173" s="7" t="n">
        <v>7057.2</v>
      </c>
      <c r="L173" s="7" t="n">
        <v>3866.1</v>
      </c>
      <c r="M173" s="7" t="n">
        <v>6714.9</v>
      </c>
      <c r="N173" s="7" t="n">
        <v>5039.4</v>
      </c>
      <c r="O173" s="7" t="n">
        <v>8104.8</v>
      </c>
      <c r="P173" s="7" t="n">
        <v>14130.8</v>
      </c>
      <c r="Q173" s="7" t="n">
        <v>7268</v>
      </c>
      <c r="R173" s="7" t="n">
        <v>11388.1</v>
      </c>
      <c r="S173" s="7" t="n">
        <v>6480.3</v>
      </c>
      <c r="T173" s="7" t="n">
        <v>7552.9</v>
      </c>
      <c r="U173" s="7" t="n">
        <v>6144</v>
      </c>
      <c r="V173" s="7" t="n">
        <v>9549.299999999999</v>
      </c>
      <c r="W173" s="7" t="n">
        <v>7266.5</v>
      </c>
      <c r="X173" s="7" t="n">
        <v>7170.9</v>
      </c>
      <c r="Y173" s="7" t="n">
        <v>7703.8</v>
      </c>
      <c r="Z173" s="7" t="n">
        <v>6416.2</v>
      </c>
      <c r="AA173" s="8" t="n">
        <v>85380.2</v>
      </c>
      <c r="AB173" s="8" t="n">
        <v>86626.60000000001</v>
      </c>
    </row>
    <row r="174">
      <c r="A174" s="4" t="inlineStr">
        <is>
          <t>职工薪酬</t>
        </is>
      </c>
      <c r="D174" s="7" t="n">
        <v>3996.8</v>
      </c>
      <c r="F174" s="7" t="n">
        <v>1053.6</v>
      </c>
      <c r="H174" s="7" t="n">
        <v>2263.9</v>
      </c>
      <c r="J174" s="7" t="n">
        <v>3325.9</v>
      </c>
      <c r="L174" s="7" t="n">
        <v>2059.6</v>
      </c>
      <c r="N174" s="7" t="n">
        <v>2803</v>
      </c>
      <c r="P174" s="7" t="n">
        <v>6299</v>
      </c>
      <c r="R174" s="7" t="n">
        <v>5638.7</v>
      </c>
      <c r="T174" s="7" t="n">
        <v>3678.7</v>
      </c>
      <c r="V174" s="7" t="n">
        <v>5873.5</v>
      </c>
      <c r="X174" s="7" t="n">
        <v>3311.4</v>
      </c>
      <c r="Z174" s="7" t="n">
        <v>3637.7</v>
      </c>
      <c r="AB174" s="7" t="n">
        <v>43941.8</v>
      </c>
    </row>
    <row r="175">
      <c r="A175" s="4" t="inlineStr">
        <is>
          <t>工资</t>
        </is>
      </c>
      <c r="D175" s="7" t="n">
        <v>2289.8</v>
      </c>
      <c r="F175" s="7" t="n">
        <v>648</v>
      </c>
      <c r="H175" s="7" t="n">
        <v>1316.2</v>
      </c>
      <c r="J175" s="7" t="n">
        <v>2119</v>
      </c>
      <c r="L175" s="7" t="n">
        <v>1310.4</v>
      </c>
      <c r="N175" s="7" t="n">
        <v>1744.7</v>
      </c>
      <c r="P175" s="7" t="n">
        <v>3389.1</v>
      </c>
      <c r="R175" s="7" t="n">
        <v>3252.4</v>
      </c>
      <c r="T175" s="7" t="n">
        <v>2239.4</v>
      </c>
      <c r="V175" s="7" t="n">
        <v>3600.6</v>
      </c>
      <c r="X175" s="7" t="n">
        <v>1776.7</v>
      </c>
      <c r="Z175" s="7" t="n">
        <v>2328.3</v>
      </c>
      <c r="AB175" s="7" t="n">
        <v>26014.6</v>
      </c>
    </row>
    <row r="176">
      <c r="A176" s="4" t="inlineStr">
        <is>
          <t>奖金及提成</t>
        </is>
      </c>
      <c r="D176" s="7" t="n">
        <v>770</v>
      </c>
      <c r="F176" s="7" t="n">
        <v>211.8</v>
      </c>
      <c r="H176" s="7" t="n">
        <v>445.4</v>
      </c>
      <c r="J176" s="7" t="n">
        <v>555.3</v>
      </c>
      <c r="L176" s="7" t="n">
        <v>407.6</v>
      </c>
      <c r="N176" s="7" t="n">
        <v>551.5</v>
      </c>
      <c r="P176" s="7" t="n">
        <v>1533.7</v>
      </c>
      <c r="R176" s="7" t="n">
        <v>1262.7</v>
      </c>
      <c r="T176" s="7" t="n">
        <v>697.1</v>
      </c>
      <c r="V176" s="7" t="n">
        <v>1230.9</v>
      </c>
      <c r="X176" s="7" t="n">
        <v>729.8</v>
      </c>
      <c r="Z176" s="7" t="n">
        <v>793.1</v>
      </c>
      <c r="AB176" s="7" t="n">
        <v>9188.9</v>
      </c>
    </row>
    <row r="177">
      <c r="A177" s="4" t="inlineStr">
        <is>
          <t>社保</t>
        </is>
      </c>
      <c r="D177" s="7" t="n">
        <v>738.8</v>
      </c>
      <c r="F177" s="7" t="n">
        <v>148.5</v>
      </c>
      <c r="H177" s="7" t="n">
        <v>383.2</v>
      </c>
      <c r="J177" s="7" t="n">
        <v>481.5</v>
      </c>
      <c r="L177" s="7" t="n">
        <v>243.7</v>
      </c>
      <c r="N177" s="7" t="n">
        <v>374.5</v>
      </c>
      <c r="P177" s="7" t="n">
        <v>1036.7</v>
      </c>
      <c r="R177" s="7" t="n">
        <v>823.5</v>
      </c>
      <c r="T177" s="7" t="n">
        <v>536.2</v>
      </c>
      <c r="V177" s="7" t="n">
        <v>820.3</v>
      </c>
      <c r="X177" s="7" t="n">
        <v>605.9</v>
      </c>
      <c r="Z177" s="7" t="n">
        <v>366.5</v>
      </c>
      <c r="AB177" s="7" t="n">
        <v>6559.3</v>
      </c>
    </row>
    <row r="178">
      <c r="A178" s="4" t="inlineStr">
        <is>
          <t>养老</t>
        </is>
      </c>
      <c r="D178" s="7" t="n">
        <v>17.4</v>
      </c>
      <c r="F178" s="7" t="n">
        <v>4.1</v>
      </c>
      <c r="H178" s="7" t="n">
        <v>15</v>
      </c>
      <c r="J178" s="7" t="n">
        <v>15.7</v>
      </c>
      <c r="L178" s="7" t="n">
        <v>10.5</v>
      </c>
      <c r="N178" s="7" t="n">
        <v>13.5</v>
      </c>
      <c r="P178" s="7" t="n">
        <v>39</v>
      </c>
      <c r="R178" s="7" t="n">
        <v>32.9</v>
      </c>
      <c r="T178" s="7" t="n">
        <v>26.8</v>
      </c>
      <c r="V178" s="7" t="n">
        <v>32.4</v>
      </c>
      <c r="X178" s="7" t="n">
        <v>16.5</v>
      </c>
      <c r="Z178" s="7" t="n">
        <v>19.6</v>
      </c>
      <c r="AB178" s="7" t="n">
        <v>243.4</v>
      </c>
    </row>
    <row r="179">
      <c r="A179" s="4" t="inlineStr">
        <is>
          <t>医疗</t>
        </is>
      </c>
      <c r="D179" s="7" t="n">
        <v>21.6</v>
      </c>
      <c r="F179" s="7" t="n">
        <v>8.4</v>
      </c>
      <c r="H179" s="7" t="n">
        <v>20.8</v>
      </c>
      <c r="J179" s="7" t="n">
        <v>24.7</v>
      </c>
      <c r="L179" s="7" t="n">
        <v>17.4</v>
      </c>
      <c r="N179" s="7" t="n">
        <v>23.2</v>
      </c>
      <c r="P179" s="7" t="n">
        <v>59.9</v>
      </c>
      <c r="R179" s="7" t="n">
        <v>46.1</v>
      </c>
      <c r="T179" s="7" t="n">
        <v>27.5</v>
      </c>
      <c r="V179" s="7" t="n">
        <v>39.6</v>
      </c>
      <c r="X179" s="7" t="n">
        <v>27.8</v>
      </c>
      <c r="Z179" s="7" t="n">
        <v>28.6</v>
      </c>
      <c r="AB179" s="7" t="n">
        <v>345.6</v>
      </c>
    </row>
    <row r="180">
      <c r="A180" s="4" t="inlineStr">
        <is>
          <t>工伤</t>
        </is>
      </c>
      <c r="D180" s="7" t="n">
        <v>54</v>
      </c>
      <c r="F180" s="7" t="n">
        <v>13.7</v>
      </c>
      <c r="H180" s="7" t="n">
        <v>22.9</v>
      </c>
      <c r="J180" s="7" t="n">
        <v>52</v>
      </c>
      <c r="L180" s="7" t="n">
        <v>23.8</v>
      </c>
      <c r="N180" s="7" t="n">
        <v>28.9</v>
      </c>
      <c r="P180" s="7" t="n">
        <v>74.90000000000001</v>
      </c>
      <c r="R180" s="7" t="n">
        <v>74.59999999999999</v>
      </c>
      <c r="T180" s="7" t="n">
        <v>63.1</v>
      </c>
      <c r="V180" s="7" t="n">
        <v>75.59999999999999</v>
      </c>
      <c r="X180" s="7" t="n">
        <v>47.5</v>
      </c>
      <c r="Z180" s="7" t="n">
        <v>44.5</v>
      </c>
      <c r="AB180" s="7" t="n">
        <v>575.5</v>
      </c>
    </row>
    <row r="181">
      <c r="A181" s="4" t="inlineStr">
        <is>
          <t>失业</t>
        </is>
      </c>
      <c r="D181" s="7" t="n">
        <v>2</v>
      </c>
      <c r="F181" s="7" t="n">
        <v>0.4</v>
      </c>
      <c r="H181" s="7" t="n">
        <v>1.3</v>
      </c>
      <c r="J181" s="7" t="n">
        <v>1.6</v>
      </c>
      <c r="L181" s="7" t="n">
        <v>0.7</v>
      </c>
      <c r="N181" s="7" t="n">
        <v>1.3</v>
      </c>
      <c r="P181" s="7" t="n">
        <v>2.7</v>
      </c>
      <c r="R181" s="7" t="n">
        <v>3.1</v>
      </c>
      <c r="T181" s="7" t="n">
        <v>1.8</v>
      </c>
      <c r="V181" s="7" t="n">
        <v>3.2</v>
      </c>
      <c r="X181" s="7" t="n">
        <v>2.2</v>
      </c>
      <c r="Z181" s="7" t="n">
        <v>1.8</v>
      </c>
      <c r="AB181" s="7" t="n">
        <v>22.1</v>
      </c>
    </row>
    <row r="182">
      <c r="A182" s="4" t="inlineStr">
        <is>
          <t>生育</t>
        </is>
      </c>
      <c r="D182" s="7" t="n">
        <v>10.5</v>
      </c>
      <c r="F182" s="7" t="n">
        <v>1.7</v>
      </c>
      <c r="H182" s="7" t="n">
        <v>4.5</v>
      </c>
      <c r="J182" s="7" t="n">
        <v>7.6</v>
      </c>
      <c r="L182" s="7" t="n">
        <v>4</v>
      </c>
      <c r="N182" s="7" t="n">
        <v>5.6</v>
      </c>
      <c r="P182" s="7" t="n">
        <v>18.9</v>
      </c>
      <c r="R182" s="7" t="n">
        <v>16</v>
      </c>
      <c r="T182" s="7" t="n">
        <v>9.199999999999999</v>
      </c>
      <c r="V182" s="7" t="n">
        <v>9.9</v>
      </c>
      <c r="X182" s="7" t="n">
        <v>6.2</v>
      </c>
      <c r="Z182" s="7" t="n">
        <v>7.4</v>
      </c>
      <c r="AB182" s="7" t="n">
        <v>101.5</v>
      </c>
    </row>
    <row r="183">
      <c r="A183" s="4" t="inlineStr">
        <is>
          <t>公积金</t>
        </is>
      </c>
      <c r="D183" s="7" t="n">
        <v>28.8</v>
      </c>
      <c r="F183" s="7" t="n">
        <v>10.7</v>
      </c>
      <c r="H183" s="7" t="n">
        <v>25.1</v>
      </c>
      <c r="J183" s="7" t="n">
        <v>32.5</v>
      </c>
      <c r="L183" s="7" t="n">
        <v>18.6</v>
      </c>
      <c r="N183" s="7" t="n">
        <v>20.3</v>
      </c>
      <c r="P183" s="7" t="n">
        <v>47.5</v>
      </c>
      <c r="R183" s="7" t="n">
        <v>62.4</v>
      </c>
      <c r="T183" s="7" t="n">
        <v>34.7</v>
      </c>
      <c r="V183" s="7" t="n">
        <v>33.8</v>
      </c>
      <c r="X183" s="7" t="n">
        <v>33.3</v>
      </c>
      <c r="Z183" s="7" t="n">
        <v>33.6</v>
      </c>
      <c r="AB183" s="7" t="n">
        <v>381.3</v>
      </c>
    </row>
    <row r="184">
      <c r="A184" s="4" t="inlineStr">
        <is>
          <t>工会经费</t>
        </is>
      </c>
      <c r="D184" s="7" t="n">
        <v>25.5</v>
      </c>
      <c r="F184" s="7" t="n">
        <v>7.1</v>
      </c>
      <c r="H184" s="7" t="n">
        <v>19</v>
      </c>
      <c r="J184" s="7" t="n">
        <v>23.7</v>
      </c>
      <c r="L184" s="7" t="n">
        <v>10.3</v>
      </c>
      <c r="N184" s="7" t="n">
        <v>20.5</v>
      </c>
      <c r="P184" s="7" t="n">
        <v>52.8</v>
      </c>
      <c r="R184" s="7" t="n">
        <v>38.8</v>
      </c>
      <c r="T184" s="7" t="n">
        <v>32.4</v>
      </c>
      <c r="V184" s="7" t="n">
        <v>30.5</v>
      </c>
      <c r="X184" s="7" t="n">
        <v>28.4</v>
      </c>
      <c r="Z184" s="7" t="n">
        <v>28.2</v>
      </c>
      <c r="AB184" s="7" t="n">
        <v>317.2</v>
      </c>
    </row>
    <row r="185">
      <c r="A185" s="4" t="inlineStr">
        <is>
          <t>职工教育经费</t>
        </is>
      </c>
      <c r="D185" s="7" t="n">
        <v>1.5</v>
      </c>
      <c r="F185" s="7" t="n">
        <v>0.4</v>
      </c>
      <c r="H185" s="7" t="n">
        <v>0.9</v>
      </c>
      <c r="J185" s="7" t="n">
        <v>1.6</v>
      </c>
      <c r="L185" s="7" t="n">
        <v>0.7</v>
      </c>
      <c r="N185" s="7" t="n">
        <v>1.3</v>
      </c>
      <c r="P185" s="7" t="n">
        <v>3.2</v>
      </c>
      <c r="R185" s="7" t="n">
        <v>2.9</v>
      </c>
      <c r="T185" s="7" t="n">
        <v>1.5</v>
      </c>
      <c r="V185" s="7" t="n">
        <v>2</v>
      </c>
      <c r="X185" s="7" t="n">
        <v>1.9</v>
      </c>
      <c r="Z185" s="7" t="n">
        <v>1.7</v>
      </c>
      <c r="AB185" s="7" t="n">
        <v>19.6</v>
      </c>
    </row>
    <row r="186">
      <c r="A186" s="4" t="inlineStr">
        <is>
          <t>福利费</t>
        </is>
      </c>
      <c r="D186" s="7" t="n">
        <v>142.4</v>
      </c>
      <c r="F186" s="7" t="n">
        <v>27.1</v>
      </c>
      <c r="H186" s="7" t="n">
        <v>74.09999999999999</v>
      </c>
      <c r="J186" s="7" t="n">
        <v>112.3</v>
      </c>
      <c r="L186" s="7" t="n">
        <v>68.3</v>
      </c>
      <c r="N186" s="7" t="n">
        <v>90.2</v>
      </c>
      <c r="P186" s="7" t="n">
        <v>236</v>
      </c>
      <c r="R186" s="7" t="n">
        <v>196</v>
      </c>
      <c r="T186" s="7" t="n">
        <v>137.4</v>
      </c>
      <c r="V186" s="7" t="n">
        <v>155.4</v>
      </c>
      <c r="X186" s="7" t="n">
        <v>135.4</v>
      </c>
      <c r="Z186" s="7" t="n">
        <v>86.3</v>
      </c>
      <c r="AB186" s="7" t="n">
        <v>1460.9</v>
      </c>
    </row>
    <row r="187">
      <c r="A187" s="4" t="inlineStr">
        <is>
          <t>职工房租</t>
        </is>
      </c>
      <c r="D187" s="7" t="n">
        <v>58.7</v>
      </c>
      <c r="F187" s="7" t="n">
        <v>8.699999999999999</v>
      </c>
      <c r="H187" s="7" t="n">
        <v>24.8</v>
      </c>
      <c r="J187" s="7" t="n">
        <v>37.7</v>
      </c>
      <c r="L187" s="7" t="n">
        <v>25.9</v>
      </c>
      <c r="N187" s="7" t="n">
        <v>27.6</v>
      </c>
      <c r="P187" s="7" t="n">
        <v>91.7</v>
      </c>
      <c r="R187" s="7" t="n">
        <v>74.90000000000001</v>
      </c>
      <c r="T187" s="7" t="n">
        <v>51.6</v>
      </c>
      <c r="V187" s="7" t="n">
        <v>59.3</v>
      </c>
      <c r="X187" s="7" t="n">
        <v>49.9</v>
      </c>
      <c r="Z187" s="7" t="n">
        <v>27.7</v>
      </c>
      <c r="AB187" s="7" t="n">
        <v>538.5</v>
      </c>
    </row>
    <row r="188">
      <c r="A188" s="4" t="inlineStr">
        <is>
          <t>水电物业费</t>
        </is>
      </c>
      <c r="D188" s="7" t="n">
        <v>18.6</v>
      </c>
      <c r="F188" s="7" t="n">
        <v>4.5</v>
      </c>
      <c r="H188" s="7" t="n">
        <v>12</v>
      </c>
      <c r="J188" s="7" t="n">
        <v>14.3</v>
      </c>
      <c r="L188" s="7" t="n">
        <v>10.4</v>
      </c>
      <c r="N188" s="7" t="n">
        <v>10</v>
      </c>
      <c r="P188" s="7" t="n">
        <v>33.1</v>
      </c>
      <c r="R188" s="7" t="n">
        <v>25</v>
      </c>
      <c r="T188" s="7" t="n">
        <v>17.5</v>
      </c>
      <c r="V188" s="7" t="n">
        <v>22.8</v>
      </c>
      <c r="X188" s="7" t="n">
        <v>17.7</v>
      </c>
      <c r="Z188" s="7" t="n">
        <v>14</v>
      </c>
      <c r="AB188" s="7" t="n">
        <v>199.9</v>
      </c>
    </row>
    <row r="189">
      <c r="A189" s="4" t="inlineStr">
        <is>
          <t>员工餐</t>
        </is>
      </c>
      <c r="D189" s="7" t="n">
        <v>32.3</v>
      </c>
      <c r="F189" s="7" t="n">
        <v>6.4</v>
      </c>
      <c r="H189" s="7" t="n">
        <v>20.5</v>
      </c>
      <c r="J189" s="7" t="n">
        <v>32.2</v>
      </c>
      <c r="L189" s="7" t="n">
        <v>14.9</v>
      </c>
      <c r="N189" s="7" t="n">
        <v>30.1</v>
      </c>
      <c r="P189" s="7" t="n">
        <v>58.4</v>
      </c>
      <c r="R189" s="7" t="n">
        <v>47</v>
      </c>
      <c r="T189" s="7" t="n">
        <v>34.9</v>
      </c>
      <c r="V189" s="7" t="n">
        <v>32.5</v>
      </c>
      <c r="X189" s="7" t="n">
        <v>41.8</v>
      </c>
      <c r="Z189" s="7" t="n">
        <v>22.8</v>
      </c>
      <c r="AB189" s="7" t="n">
        <v>373.8</v>
      </c>
    </row>
    <row r="190">
      <c r="A190" s="4" t="inlineStr">
        <is>
          <t>节日礼品</t>
        </is>
      </c>
      <c r="D190" s="7" t="n">
        <v>6.7</v>
      </c>
      <c r="F190" s="7" t="n">
        <v>2.1</v>
      </c>
      <c r="H190" s="7" t="n">
        <v>4.3</v>
      </c>
      <c r="J190" s="7" t="n">
        <v>5</v>
      </c>
      <c r="L190" s="7" t="n">
        <v>3.6</v>
      </c>
      <c r="N190" s="7" t="n">
        <v>6.5</v>
      </c>
      <c r="P190" s="7" t="n">
        <v>10.8</v>
      </c>
      <c r="R190" s="7" t="n">
        <v>12.3</v>
      </c>
      <c r="T190" s="7" t="n">
        <v>7.1</v>
      </c>
      <c r="V190" s="7" t="n">
        <v>12</v>
      </c>
      <c r="X190" s="7" t="n">
        <v>7.3</v>
      </c>
      <c r="Z190" s="7" t="n">
        <v>4.8</v>
      </c>
      <c r="AB190" s="7" t="n">
        <v>82.5</v>
      </c>
    </row>
    <row r="191">
      <c r="A191" s="4" t="inlineStr">
        <is>
          <t>生日礼品</t>
        </is>
      </c>
      <c r="D191" s="7" t="n">
        <v>2.1</v>
      </c>
      <c r="F191" s="7" t="n">
        <v>0.6</v>
      </c>
      <c r="H191" s="7" t="n">
        <v>1.1</v>
      </c>
      <c r="J191" s="7" t="n">
        <v>1.6</v>
      </c>
      <c r="L191" s="7" t="n">
        <v>0.7</v>
      </c>
      <c r="N191" s="7" t="n">
        <v>1.5</v>
      </c>
      <c r="P191" s="7" t="n">
        <v>2.9</v>
      </c>
      <c r="R191" s="7" t="n">
        <v>3.6</v>
      </c>
      <c r="T191" s="7" t="n">
        <v>2.2</v>
      </c>
      <c r="V191" s="7" t="n">
        <v>2.5</v>
      </c>
      <c r="X191" s="7" t="n">
        <v>1.6</v>
      </c>
      <c r="Z191" s="7" t="n">
        <v>1.6</v>
      </c>
      <c r="AB191" s="7" t="n">
        <v>22</v>
      </c>
    </row>
    <row r="192">
      <c r="A192" s="4" t="inlineStr">
        <is>
          <t>体检</t>
        </is>
      </c>
      <c r="D192" s="7" t="n">
        <v>17.7</v>
      </c>
      <c r="F192" s="7" t="n">
        <v>3.4</v>
      </c>
      <c r="H192" s="7" t="n">
        <v>7.2</v>
      </c>
      <c r="J192" s="7" t="n">
        <v>14.8</v>
      </c>
      <c r="L192" s="7" t="n">
        <v>8.6</v>
      </c>
      <c r="N192" s="7" t="n">
        <v>10.4</v>
      </c>
      <c r="P192" s="7" t="n">
        <v>23.3</v>
      </c>
      <c r="R192" s="7" t="n">
        <v>23.9</v>
      </c>
      <c r="T192" s="7" t="n">
        <v>16.6</v>
      </c>
      <c r="V192" s="7" t="n">
        <v>19.6</v>
      </c>
      <c r="X192" s="7" t="n">
        <v>9.199999999999999</v>
      </c>
      <c r="Z192" s="7" t="n">
        <v>9.199999999999999</v>
      </c>
      <c r="AB192" s="7" t="n">
        <v>163.9</v>
      </c>
    </row>
    <row r="193">
      <c r="A193" s="4" t="inlineStr">
        <is>
          <t>其他福利支出</t>
        </is>
      </c>
      <c r="D193" s="7" t="n">
        <v>6.3</v>
      </c>
      <c r="F193" s="7" t="n">
        <v>1.4</v>
      </c>
      <c r="H193" s="7" t="n">
        <v>4.2</v>
      </c>
      <c r="J193" s="7" t="n">
        <v>6.7</v>
      </c>
      <c r="L193" s="7" t="n">
        <v>4.2</v>
      </c>
      <c r="N193" s="7" t="n">
        <v>4.1</v>
      </c>
      <c r="P193" s="7" t="n">
        <v>15.8</v>
      </c>
      <c r="R193" s="7" t="n">
        <v>9.300000000000001</v>
      </c>
      <c r="T193" s="7" t="n">
        <v>7.5</v>
      </c>
      <c r="V193" s="7" t="n">
        <v>6.7</v>
      </c>
      <c r="X193" s="7" t="n">
        <v>7.9</v>
      </c>
      <c r="Z193" s="7" t="n">
        <v>6.2</v>
      </c>
      <c r="AB193" s="7" t="n">
        <v>80.3</v>
      </c>
    </row>
    <row r="194">
      <c r="A194" s="4" t="inlineStr">
        <is>
          <t>招聘费</t>
        </is>
      </c>
      <c r="D194" s="7" t="n">
        <v>29.1</v>
      </c>
      <c r="F194" s="7" t="n">
        <v>8.300000000000001</v>
      </c>
      <c r="H194" s="7" t="n">
        <v>26.6</v>
      </c>
      <c r="J194" s="7" t="n">
        <v>34.7</v>
      </c>
      <c r="L194" s="7" t="n">
        <v>13.9</v>
      </c>
      <c r="N194" s="7" t="n">
        <v>15.8</v>
      </c>
      <c r="P194" s="7" t="n">
        <v>63.8</v>
      </c>
      <c r="R194" s="7" t="n">
        <v>37.3</v>
      </c>
      <c r="T194" s="7" t="n">
        <v>34</v>
      </c>
      <c r="V194" s="7" t="n">
        <v>52</v>
      </c>
      <c r="X194" s="7" t="n">
        <v>34.2</v>
      </c>
      <c r="Z194" s="7" t="n">
        <v>30.3</v>
      </c>
      <c r="AB194" s="7" t="n">
        <v>380</v>
      </c>
    </row>
    <row r="195">
      <c r="A195" s="4" t="inlineStr">
        <is>
          <t>办公费</t>
        </is>
      </c>
      <c r="D195" s="7" t="n">
        <v>310.3</v>
      </c>
      <c r="F195" s="7" t="n">
        <v>47.4</v>
      </c>
      <c r="H195" s="7" t="n">
        <v>115.6</v>
      </c>
      <c r="J195" s="7" t="n">
        <v>155.3</v>
      </c>
      <c r="L195" s="7" t="n">
        <v>140.7</v>
      </c>
      <c r="N195" s="7" t="n">
        <v>172.6</v>
      </c>
      <c r="P195" s="7" t="n">
        <v>314.3</v>
      </c>
      <c r="R195" s="7" t="n">
        <v>310.3</v>
      </c>
      <c r="T195" s="7" t="n">
        <v>259.1</v>
      </c>
      <c r="V195" s="7" t="n">
        <v>292.9</v>
      </c>
      <c r="X195" s="7" t="n">
        <v>225.9</v>
      </c>
      <c r="Z195" s="7" t="n">
        <v>226.8</v>
      </c>
      <c r="AB195" s="7" t="n">
        <v>2571.2</v>
      </c>
    </row>
    <row r="196">
      <c r="A196" s="4" t="inlineStr">
        <is>
          <t>市内交通费</t>
        </is>
      </c>
      <c r="D196" s="7" t="n">
        <v>1.2</v>
      </c>
      <c r="F196" s="7" t="n">
        <v>0.2</v>
      </c>
      <c r="H196" s="7" t="n">
        <v>0.7</v>
      </c>
      <c r="J196" s="7" t="n">
        <v>1</v>
      </c>
      <c r="L196" s="7" t="n">
        <v>0.6</v>
      </c>
      <c r="N196" s="7" t="n">
        <v>0.7</v>
      </c>
      <c r="P196" s="7" t="n">
        <v>1.8</v>
      </c>
      <c r="R196" s="7" t="n">
        <v>1.4</v>
      </c>
      <c r="T196" s="7" t="n">
        <v>1.4</v>
      </c>
      <c r="V196" s="7" t="n">
        <v>1.6</v>
      </c>
      <c r="X196" s="7" t="n">
        <v>1.2</v>
      </c>
      <c r="Z196" s="7" t="n">
        <v>1.1</v>
      </c>
      <c r="AB196" s="7" t="n">
        <v>12.9</v>
      </c>
    </row>
    <row r="197">
      <c r="A197" s="4" t="inlineStr">
        <is>
          <t>差旅费</t>
        </is>
      </c>
      <c r="D197" s="7" t="n">
        <v>599.2</v>
      </c>
      <c r="F197" s="7" t="n">
        <v>112.6</v>
      </c>
      <c r="H197" s="7" t="n">
        <v>328.8</v>
      </c>
      <c r="J197" s="7" t="n">
        <v>516.4</v>
      </c>
      <c r="L197" s="7" t="n">
        <v>247.2</v>
      </c>
      <c r="N197" s="7" t="n">
        <v>288.7</v>
      </c>
      <c r="P197" s="7" t="n">
        <v>818.3</v>
      </c>
      <c r="R197" s="7" t="n">
        <v>616.3</v>
      </c>
      <c r="T197" s="7" t="n">
        <v>575.1</v>
      </c>
      <c r="V197" s="7" t="n">
        <v>709.6</v>
      </c>
      <c r="X197" s="7" t="n">
        <v>321</v>
      </c>
      <c r="Z197" s="7" t="n">
        <v>422.9</v>
      </c>
      <c r="AB197" s="7" t="n">
        <v>5556.1</v>
      </c>
    </row>
    <row r="198">
      <c r="A198" s="4" t="inlineStr">
        <is>
          <t>交通费</t>
        </is>
      </c>
      <c r="D198" s="7" t="n">
        <v>21.8</v>
      </c>
      <c r="F198" s="7" t="n">
        <v>5.5</v>
      </c>
      <c r="H198" s="7" t="n">
        <v>16.1</v>
      </c>
      <c r="J198" s="7" t="n">
        <v>22.5</v>
      </c>
      <c r="L198" s="7" t="n">
        <v>7.8</v>
      </c>
      <c r="N198" s="7" t="n">
        <v>15.7</v>
      </c>
      <c r="P198" s="7" t="n">
        <v>33</v>
      </c>
      <c r="R198" s="7" t="n">
        <v>26.1</v>
      </c>
      <c r="T198" s="7" t="n">
        <v>19.8</v>
      </c>
      <c r="V198" s="7" t="n">
        <v>28.4</v>
      </c>
      <c r="X198" s="7" t="n">
        <v>14</v>
      </c>
      <c r="Z198" s="7" t="n">
        <v>17.9</v>
      </c>
      <c r="AB198" s="7" t="n">
        <v>228.6</v>
      </c>
    </row>
    <row r="199">
      <c r="A199" s="4" t="inlineStr">
        <is>
          <t>住宿费</t>
        </is>
      </c>
      <c r="D199" s="7" t="n">
        <v>35.1</v>
      </c>
      <c r="F199" s="7" t="n">
        <v>10.1</v>
      </c>
      <c r="H199" s="7" t="n">
        <v>24.9</v>
      </c>
      <c r="J199" s="7" t="n">
        <v>26.3</v>
      </c>
      <c r="L199" s="7" t="n">
        <v>26.9</v>
      </c>
      <c r="N199" s="7" t="n">
        <v>28.5</v>
      </c>
      <c r="P199" s="7" t="n">
        <v>85.7</v>
      </c>
      <c r="R199" s="7" t="n">
        <v>47.3</v>
      </c>
      <c r="T199" s="7" t="n">
        <v>38.2</v>
      </c>
      <c r="V199" s="7" t="n">
        <v>56.2</v>
      </c>
      <c r="X199" s="7" t="n">
        <v>49.9</v>
      </c>
      <c r="Z199" s="7" t="n">
        <v>44.1</v>
      </c>
      <c r="AB199" s="7" t="n">
        <v>473.2</v>
      </c>
    </row>
    <row r="200">
      <c r="A200" s="4" t="inlineStr">
        <is>
          <t>餐补</t>
        </is>
      </c>
      <c r="D200" s="7" t="n">
        <v>28.9</v>
      </c>
      <c r="F200" s="7" t="n">
        <v>7.6</v>
      </c>
      <c r="H200" s="7" t="n">
        <v>30.9</v>
      </c>
      <c r="J200" s="7" t="n">
        <v>37.5</v>
      </c>
      <c r="L200" s="7" t="n">
        <v>25</v>
      </c>
      <c r="N200" s="7" t="n">
        <v>29.3</v>
      </c>
      <c r="P200" s="7" t="n">
        <v>74.59999999999999</v>
      </c>
      <c r="R200" s="7" t="n">
        <v>62.6</v>
      </c>
      <c r="T200" s="7" t="n">
        <v>35.5</v>
      </c>
      <c r="V200" s="7" t="n">
        <v>57.5</v>
      </c>
      <c r="X200" s="7" t="n">
        <v>27.9</v>
      </c>
      <c r="Z200" s="7" t="n">
        <v>40</v>
      </c>
      <c r="AB200" s="7" t="n">
        <v>457.3</v>
      </c>
    </row>
    <row r="201">
      <c r="A201" s="4" t="inlineStr">
        <is>
          <t>交通补助</t>
        </is>
      </c>
      <c r="D201" s="7" t="n">
        <v>21.1</v>
      </c>
      <c r="F201" s="7" t="n">
        <v>4</v>
      </c>
      <c r="H201" s="7" t="n">
        <v>15</v>
      </c>
      <c r="J201" s="7" t="n">
        <v>24.2</v>
      </c>
      <c r="L201" s="7" t="n">
        <v>10</v>
      </c>
      <c r="N201" s="7" t="n">
        <v>17.5</v>
      </c>
      <c r="P201" s="7" t="n">
        <v>27</v>
      </c>
      <c r="R201" s="7" t="n">
        <v>40.3</v>
      </c>
      <c r="T201" s="7" t="n">
        <v>23.6</v>
      </c>
      <c r="V201" s="7" t="n">
        <v>32.5</v>
      </c>
      <c r="X201" s="7" t="n">
        <v>16.9</v>
      </c>
      <c r="Z201" s="7" t="n">
        <v>20.8</v>
      </c>
      <c r="AB201" s="7" t="n">
        <v>252.9</v>
      </c>
    </row>
    <row r="202">
      <c r="A202" s="4" t="inlineStr">
        <is>
          <t>通讯补助</t>
        </is>
      </c>
      <c r="D202" s="7" t="n">
        <v>37.6</v>
      </c>
      <c r="F202" s="7" t="n">
        <v>13.8</v>
      </c>
      <c r="H202" s="7" t="n">
        <v>22.5</v>
      </c>
      <c r="J202" s="7" t="n">
        <v>46</v>
      </c>
      <c r="L202" s="7" t="n">
        <v>30.1</v>
      </c>
      <c r="N202" s="7" t="n">
        <v>26.2</v>
      </c>
      <c r="P202" s="7" t="n">
        <v>89.90000000000001</v>
      </c>
      <c r="R202" s="7" t="n">
        <v>49.8</v>
      </c>
      <c r="T202" s="7" t="n">
        <v>56.6</v>
      </c>
      <c r="V202" s="7" t="n">
        <v>47.6</v>
      </c>
      <c r="X202" s="7" t="n">
        <v>41.7</v>
      </c>
      <c r="Z202" s="7" t="n">
        <v>37</v>
      </c>
      <c r="AB202" s="7" t="n">
        <v>498.8</v>
      </c>
    </row>
    <row r="203">
      <c r="A203" s="4" t="inlineStr">
        <is>
          <t>招待费</t>
        </is>
      </c>
      <c r="D203" s="7" t="n">
        <v>265.4</v>
      </c>
      <c r="F203" s="7" t="n">
        <v>72.09999999999999</v>
      </c>
      <c r="H203" s="7" t="n">
        <v>175.2</v>
      </c>
      <c r="J203" s="7" t="n">
        <v>314.1</v>
      </c>
      <c r="L203" s="7" t="n">
        <v>117</v>
      </c>
      <c r="N203" s="7" t="n">
        <v>245.6</v>
      </c>
      <c r="P203" s="7" t="n">
        <v>604</v>
      </c>
      <c r="R203" s="7" t="n">
        <v>408.3</v>
      </c>
      <c r="T203" s="7" t="n">
        <v>326.7</v>
      </c>
      <c r="V203" s="7" t="n">
        <v>330.7</v>
      </c>
      <c r="X203" s="7" t="n">
        <v>270.2</v>
      </c>
      <c r="Z203" s="7" t="n">
        <v>221.9</v>
      </c>
      <c r="AB203" s="7" t="n">
        <v>3351.2</v>
      </c>
    </row>
    <row r="204">
      <c r="A204" s="4" t="inlineStr">
        <is>
          <t>通讯费</t>
        </is>
      </c>
      <c r="D204" s="7" t="n">
        <v>1.1</v>
      </c>
      <c r="F204" s="7" t="n">
        <v>0.3</v>
      </c>
      <c r="H204" s="7" t="n">
        <v>1</v>
      </c>
      <c r="J204" s="7" t="n">
        <v>0.9</v>
      </c>
      <c r="L204" s="7" t="n">
        <v>0.6</v>
      </c>
      <c r="N204" s="7" t="n">
        <v>0.8</v>
      </c>
      <c r="P204" s="7" t="n">
        <v>2.3</v>
      </c>
      <c r="R204" s="7" t="n">
        <v>2.5</v>
      </c>
      <c r="T204" s="7" t="n">
        <v>1</v>
      </c>
      <c r="V204" s="7" t="n">
        <v>2</v>
      </c>
      <c r="X204" s="7" t="n">
        <v>1.5</v>
      </c>
      <c r="Z204" s="7" t="n">
        <v>0.9</v>
      </c>
      <c r="AB204" s="7" t="n">
        <v>14.9</v>
      </c>
    </row>
    <row r="205">
      <c r="A205" s="4" t="inlineStr">
        <is>
          <t>网络费</t>
        </is>
      </c>
      <c r="D205" s="7" t="n">
        <v>19.9</v>
      </c>
      <c r="F205" s="7" t="n">
        <v>3.7</v>
      </c>
      <c r="H205" s="7" t="n">
        <v>10</v>
      </c>
      <c r="J205" s="7" t="n">
        <v>18</v>
      </c>
      <c r="L205" s="7" t="n">
        <v>11.4</v>
      </c>
      <c r="N205" s="7" t="n">
        <v>11.6</v>
      </c>
      <c r="P205" s="7" t="n">
        <v>44.2</v>
      </c>
      <c r="R205" s="7" t="n">
        <v>26.6</v>
      </c>
      <c r="T205" s="7" t="n">
        <v>20.3</v>
      </c>
      <c r="V205" s="7" t="n">
        <v>21.6</v>
      </c>
      <c r="X205" s="7" t="n">
        <v>18.9</v>
      </c>
      <c r="Z205" s="7" t="n">
        <v>12.8</v>
      </c>
      <c r="AB205" s="7" t="n">
        <v>219</v>
      </c>
    </row>
    <row r="206">
      <c r="A206" s="4" t="inlineStr">
        <is>
          <t>修理费</t>
        </is>
      </c>
      <c r="D206" s="7" t="n">
        <v>10.6</v>
      </c>
      <c r="F206" s="7" t="n">
        <v>2.1</v>
      </c>
      <c r="H206" s="7" t="n">
        <v>7</v>
      </c>
      <c r="J206" s="7" t="n">
        <v>9.800000000000001</v>
      </c>
      <c r="L206" s="7" t="n">
        <v>4.1</v>
      </c>
      <c r="N206" s="7" t="n">
        <v>4.4</v>
      </c>
      <c r="P206" s="7" t="n">
        <v>14</v>
      </c>
      <c r="R206" s="7" t="n">
        <v>16.6</v>
      </c>
      <c r="T206" s="7" t="n">
        <v>10.6</v>
      </c>
      <c r="V206" s="7" t="n">
        <v>13.6</v>
      </c>
      <c r="X206" s="7" t="n">
        <v>7.7</v>
      </c>
      <c r="Z206" s="7" t="n">
        <v>9.9</v>
      </c>
      <c r="AB206" s="7" t="n">
        <v>110.4</v>
      </c>
    </row>
    <row r="207">
      <c r="A207" s="4" t="inlineStr">
        <is>
          <t>车辆费</t>
        </is>
      </c>
      <c r="D207" s="7" t="n">
        <v>35</v>
      </c>
      <c r="F207" s="7" t="n">
        <v>6.8</v>
      </c>
      <c r="H207" s="7" t="n">
        <v>26.4</v>
      </c>
      <c r="J207" s="7" t="n">
        <v>27.6</v>
      </c>
      <c r="L207" s="7" t="n">
        <v>23.8</v>
      </c>
      <c r="N207" s="7" t="n">
        <v>31.5</v>
      </c>
      <c r="P207" s="7" t="n">
        <v>80.40000000000001</v>
      </c>
      <c r="R207" s="7" t="n">
        <v>69.59999999999999</v>
      </c>
      <c r="T207" s="7" t="n">
        <v>31.4</v>
      </c>
      <c r="V207" s="7" t="n">
        <v>47.9</v>
      </c>
      <c r="X207" s="7" t="n">
        <v>34.5</v>
      </c>
      <c r="Z207" s="7" t="n">
        <v>25.3</v>
      </c>
      <c r="AB207" s="7" t="n">
        <v>440.2</v>
      </c>
    </row>
    <row r="208">
      <c r="A208" s="4" t="inlineStr">
        <is>
          <t>租赁费</t>
        </is>
      </c>
      <c r="D208" s="7" t="n">
        <v>496.7</v>
      </c>
      <c r="F208" s="7" t="n">
        <v>79.2</v>
      </c>
      <c r="H208" s="7" t="n">
        <v>167.7</v>
      </c>
      <c r="J208" s="7" t="n">
        <v>336.7</v>
      </c>
      <c r="L208" s="7" t="n">
        <v>163.3</v>
      </c>
      <c r="N208" s="7" t="n">
        <v>211.7</v>
      </c>
      <c r="P208" s="7" t="n">
        <v>601.7</v>
      </c>
      <c r="R208" s="7" t="n">
        <v>522</v>
      </c>
      <c r="T208" s="7" t="n">
        <v>350</v>
      </c>
      <c r="V208" s="7" t="n">
        <v>545.9</v>
      </c>
      <c r="X208" s="7" t="n">
        <v>269</v>
      </c>
      <c r="Z208" s="7" t="n">
        <v>356.7</v>
      </c>
      <c r="AB208" s="7" t="n">
        <v>4100.6</v>
      </c>
    </row>
    <row r="209">
      <c r="A209" s="4" t="inlineStr">
        <is>
          <t>能源费</t>
        </is>
      </c>
      <c r="D209" s="7" t="n">
        <v>67.40000000000001</v>
      </c>
      <c r="F209" s="7" t="n">
        <v>14.7</v>
      </c>
      <c r="H209" s="7" t="n">
        <v>32.4</v>
      </c>
      <c r="J209" s="7" t="n">
        <v>58.2</v>
      </c>
      <c r="L209" s="7" t="n">
        <v>32.4</v>
      </c>
      <c r="N209" s="7" t="n">
        <v>36.9</v>
      </c>
      <c r="P209" s="7" t="n">
        <v>107.7</v>
      </c>
      <c r="R209" s="7" t="n">
        <v>94</v>
      </c>
      <c r="T209" s="7" t="n">
        <v>64.2</v>
      </c>
      <c r="V209" s="7" t="n">
        <v>73.40000000000001</v>
      </c>
      <c r="X209" s="7" t="n">
        <v>73</v>
      </c>
      <c r="Z209" s="7" t="n">
        <v>53.2</v>
      </c>
      <c r="AB209" s="7" t="n">
        <v>707.5</v>
      </c>
    </row>
    <row r="210">
      <c r="A210" s="4" t="inlineStr">
        <is>
          <t>水费</t>
        </is>
      </c>
      <c r="D210" s="7" t="n">
        <v>0.3</v>
      </c>
      <c r="F210" s="7" t="n">
        <v>0.1</v>
      </c>
      <c r="H210" s="7" t="n">
        <v>0.2</v>
      </c>
      <c r="J210" s="7" t="n">
        <v>0.4</v>
      </c>
      <c r="L210" s="7" t="n">
        <v>0.2</v>
      </c>
      <c r="N210" s="7" t="n">
        <v>0.2</v>
      </c>
      <c r="P210" s="7" t="n">
        <v>0.6</v>
      </c>
      <c r="R210" s="7" t="n">
        <v>0.7</v>
      </c>
      <c r="T210" s="7" t="n">
        <v>0.5</v>
      </c>
      <c r="V210" s="7" t="n">
        <v>0.5</v>
      </c>
      <c r="X210" s="7" t="n">
        <v>0.3</v>
      </c>
      <c r="Z210" s="7" t="n">
        <v>0.4</v>
      </c>
      <c r="AB210" s="7" t="n">
        <v>4.4</v>
      </c>
    </row>
    <row r="211">
      <c r="A211" s="4" t="inlineStr">
        <is>
          <t>电费</t>
        </is>
      </c>
      <c r="D211" s="7" t="n">
        <v>35.8</v>
      </c>
      <c r="F211" s="7" t="n">
        <v>5</v>
      </c>
      <c r="H211" s="7" t="n">
        <v>13.9</v>
      </c>
      <c r="J211" s="7" t="n">
        <v>18.1</v>
      </c>
      <c r="L211" s="7" t="n">
        <v>10.3</v>
      </c>
      <c r="N211" s="7" t="n">
        <v>13.1</v>
      </c>
      <c r="P211" s="7" t="n">
        <v>41.6</v>
      </c>
      <c r="R211" s="7" t="n">
        <v>39.6</v>
      </c>
      <c r="T211" s="7" t="n">
        <v>25.1</v>
      </c>
      <c r="V211" s="7" t="n">
        <v>36.2</v>
      </c>
      <c r="X211" s="7" t="n">
        <v>31.9</v>
      </c>
      <c r="Z211" s="7" t="n">
        <v>16</v>
      </c>
      <c r="AB211" s="7" t="n">
        <v>286.6</v>
      </c>
    </row>
    <row r="212">
      <c r="A212" s="4" t="inlineStr">
        <is>
          <t>燃气费</t>
        </is>
      </c>
      <c r="D212" s="7" t="n">
        <v>31.2</v>
      </c>
      <c r="F212" s="7" t="n">
        <v>9.6</v>
      </c>
      <c r="H212" s="7" t="n">
        <v>18.2</v>
      </c>
      <c r="J212" s="7" t="n">
        <v>39.6</v>
      </c>
      <c r="L212" s="7" t="n">
        <v>21.8</v>
      </c>
      <c r="N212" s="7" t="n">
        <v>23.5</v>
      </c>
      <c r="P212" s="7" t="n">
        <v>65.2</v>
      </c>
      <c r="R212" s="7" t="n">
        <v>53.6</v>
      </c>
      <c r="T212" s="7" t="n">
        <v>38.5</v>
      </c>
      <c r="V212" s="7" t="n">
        <v>36.6</v>
      </c>
      <c r="X212" s="7" t="n">
        <v>40.7</v>
      </c>
      <c r="Z212" s="7" t="n">
        <v>36.7</v>
      </c>
      <c r="AB212" s="7" t="n">
        <v>415.2</v>
      </c>
    </row>
    <row r="213">
      <c r="A213" s="4" t="inlineStr">
        <is>
          <t>蒸汽费</t>
        </is>
      </c>
      <c r="D213" s="7" t="n">
        <v>0.1</v>
      </c>
      <c r="F213" s="7" t="n">
        <v>0</v>
      </c>
      <c r="H213" s="7" t="n">
        <v>0.1</v>
      </c>
      <c r="J213" s="7" t="n">
        <v>0.1</v>
      </c>
      <c r="L213" s="7" t="n">
        <v>0.1</v>
      </c>
      <c r="N213" s="7" t="n">
        <v>0.1</v>
      </c>
      <c r="P213" s="7" t="n">
        <v>0.3</v>
      </c>
      <c r="R213" s="7" t="n">
        <v>0.1</v>
      </c>
      <c r="T213" s="7" t="n">
        <v>0.1</v>
      </c>
      <c r="V213" s="7" t="n">
        <v>0.1</v>
      </c>
      <c r="X213" s="7" t="n">
        <v>0.1</v>
      </c>
      <c r="Z213" s="7" t="n">
        <v>0.1</v>
      </c>
      <c r="AB213" s="7" t="n">
        <v>1.3</v>
      </c>
    </row>
    <row r="214">
      <c r="A214" s="4" t="inlineStr">
        <is>
          <t>物业费</t>
        </is>
      </c>
      <c r="D214" s="7" t="n">
        <v>3.6</v>
      </c>
      <c r="F214" s="7" t="n">
        <v>0.6</v>
      </c>
      <c r="H214" s="7" t="n">
        <v>1.5</v>
      </c>
      <c r="J214" s="7" t="n">
        <v>2.7</v>
      </c>
      <c r="L214" s="7" t="n">
        <v>1.7</v>
      </c>
      <c r="N214" s="7" t="n">
        <v>2.2</v>
      </c>
      <c r="P214" s="7" t="n">
        <v>3.6</v>
      </c>
      <c r="R214" s="7" t="n">
        <v>3.6</v>
      </c>
      <c r="T214" s="7" t="n">
        <v>3.2</v>
      </c>
      <c r="V214" s="7" t="n">
        <v>2.7</v>
      </c>
      <c r="X214" s="7" t="n">
        <v>2.9</v>
      </c>
      <c r="Z214" s="7" t="n">
        <v>1.7</v>
      </c>
      <c r="AB214" s="7" t="n">
        <v>30</v>
      </c>
    </row>
    <row r="215">
      <c r="A215" s="4" t="inlineStr">
        <is>
          <t>劳动保护费</t>
        </is>
      </c>
      <c r="D215" s="7" t="n">
        <v>29.5</v>
      </c>
      <c r="F215" s="7" t="n">
        <v>9.199999999999999</v>
      </c>
      <c r="H215" s="7" t="n">
        <v>17.9</v>
      </c>
      <c r="J215" s="7" t="n">
        <v>31.5</v>
      </c>
      <c r="L215" s="7" t="n">
        <v>17.1</v>
      </c>
      <c r="N215" s="7" t="n">
        <v>29.8</v>
      </c>
      <c r="P215" s="7" t="n">
        <v>76</v>
      </c>
      <c r="R215" s="7" t="n">
        <v>41.9</v>
      </c>
      <c r="T215" s="7" t="n">
        <v>50.4</v>
      </c>
      <c r="V215" s="7" t="n">
        <v>46.5</v>
      </c>
      <c r="X215" s="7" t="n">
        <v>45.8</v>
      </c>
      <c r="Z215" s="7" t="n">
        <v>27.3</v>
      </c>
      <c r="AB215" s="7" t="n">
        <v>422.9</v>
      </c>
    </row>
    <row r="216">
      <c r="A216" s="4" t="inlineStr">
        <is>
          <t>顾问费</t>
        </is>
      </c>
      <c r="D216" s="7" t="n">
        <v>30.3</v>
      </c>
      <c r="F216" s="7" t="n">
        <v>7.2</v>
      </c>
      <c r="H216" s="7" t="n">
        <v>18.2</v>
      </c>
      <c r="J216" s="7" t="n">
        <v>24.1</v>
      </c>
      <c r="L216" s="7" t="n">
        <v>24.3</v>
      </c>
      <c r="N216" s="7" t="n">
        <v>20.5</v>
      </c>
      <c r="P216" s="7" t="n">
        <v>88.2</v>
      </c>
      <c r="R216" s="7" t="n">
        <v>43</v>
      </c>
      <c r="T216" s="7" t="n">
        <v>40.3</v>
      </c>
      <c r="V216" s="7" t="n">
        <v>33.8</v>
      </c>
      <c r="X216" s="7" t="n">
        <v>32.3</v>
      </c>
      <c r="Z216" s="7" t="n">
        <v>34</v>
      </c>
      <c r="AB216" s="7" t="n">
        <v>396.2</v>
      </c>
    </row>
    <row r="217">
      <c r="A217" s="4" t="inlineStr">
        <is>
          <t>快递费</t>
        </is>
      </c>
      <c r="D217" s="7" t="n">
        <v>5.5</v>
      </c>
      <c r="F217" s="7" t="n">
        <v>1.3</v>
      </c>
      <c r="H217" s="7" t="n">
        <v>2.2</v>
      </c>
      <c r="J217" s="7" t="n">
        <v>3.2</v>
      </c>
      <c r="L217" s="7" t="n">
        <v>2.8</v>
      </c>
      <c r="N217" s="7" t="n">
        <v>2.7</v>
      </c>
      <c r="P217" s="7" t="n">
        <v>7.8</v>
      </c>
      <c r="R217" s="7" t="n">
        <v>6</v>
      </c>
      <c r="T217" s="7" t="n">
        <v>3.6</v>
      </c>
      <c r="V217" s="7" t="n">
        <v>5</v>
      </c>
      <c r="X217" s="7" t="n">
        <v>3.6</v>
      </c>
      <c r="Z217" s="7" t="n">
        <v>3.3</v>
      </c>
      <c r="AB217" s="7" t="n">
        <v>47</v>
      </c>
    </row>
    <row r="218">
      <c r="A218" s="4" t="inlineStr">
        <is>
          <t>诉讼费</t>
        </is>
      </c>
      <c r="D218" s="7" t="n">
        <v>25.4</v>
      </c>
      <c r="F218" s="7" t="n">
        <v>5.5</v>
      </c>
      <c r="H218" s="7" t="n">
        <v>9.5</v>
      </c>
      <c r="J218" s="7" t="n">
        <v>19.4</v>
      </c>
      <c r="L218" s="7" t="n">
        <v>8.199999999999999</v>
      </c>
      <c r="N218" s="7" t="n">
        <v>15</v>
      </c>
      <c r="P218" s="7" t="n">
        <v>33.2</v>
      </c>
      <c r="R218" s="7" t="n">
        <v>24.6</v>
      </c>
      <c r="T218" s="7" t="n">
        <v>14.6</v>
      </c>
      <c r="V218" s="7" t="n">
        <v>20.9</v>
      </c>
      <c r="X218" s="7" t="n">
        <v>17.8</v>
      </c>
      <c r="Z218" s="7" t="n">
        <v>14</v>
      </c>
      <c r="AB218" s="7" t="n">
        <v>208.1</v>
      </c>
    </row>
    <row r="219">
      <c r="A219" s="4" t="inlineStr">
        <is>
          <t>会员费</t>
        </is>
      </c>
      <c r="D219" s="7" t="n">
        <v>44.8</v>
      </c>
      <c r="F219" s="7" t="n">
        <v>9.5</v>
      </c>
      <c r="H219" s="7" t="n">
        <v>17.7</v>
      </c>
      <c r="J219" s="7" t="n">
        <v>31.1</v>
      </c>
      <c r="L219" s="7" t="n">
        <v>20.5</v>
      </c>
      <c r="N219" s="7" t="n">
        <v>25.4</v>
      </c>
      <c r="P219" s="7" t="n">
        <v>64.09999999999999</v>
      </c>
      <c r="R219" s="7" t="n">
        <v>68.90000000000001</v>
      </c>
      <c r="T219" s="7" t="n">
        <v>45.3</v>
      </c>
      <c r="V219" s="7" t="n">
        <v>52.9</v>
      </c>
      <c r="X219" s="7" t="n">
        <v>34.6</v>
      </c>
      <c r="Z219" s="7" t="n">
        <v>32.6</v>
      </c>
      <c r="AB219" s="7" t="n">
        <v>447.4</v>
      </c>
    </row>
    <row r="220">
      <c r="A220" s="4" t="inlineStr">
        <is>
          <t>广告宣传费</t>
        </is>
      </c>
      <c r="D220" s="7" t="n">
        <v>232.5</v>
      </c>
      <c r="F220" s="7" t="n">
        <v>62.5</v>
      </c>
      <c r="H220" s="7" t="n">
        <v>154.4</v>
      </c>
      <c r="J220" s="7" t="n">
        <v>251.2</v>
      </c>
      <c r="L220" s="7" t="n">
        <v>98.09999999999999</v>
      </c>
      <c r="N220" s="7" t="n">
        <v>165.9</v>
      </c>
      <c r="P220" s="7" t="n">
        <v>436.7</v>
      </c>
      <c r="R220" s="7" t="n">
        <v>367.3</v>
      </c>
      <c r="T220" s="7" t="n">
        <v>182.7</v>
      </c>
      <c r="V220" s="7" t="n">
        <v>281.6</v>
      </c>
      <c r="X220" s="7" t="n">
        <v>180.5</v>
      </c>
      <c r="Z220" s="7" t="n">
        <v>181.5</v>
      </c>
      <c r="AB220" s="7" t="n">
        <v>2594.9</v>
      </c>
    </row>
    <row r="221">
      <c r="A221" s="4" t="inlineStr">
        <is>
          <t>会务费</t>
        </is>
      </c>
      <c r="D221" s="7" t="n">
        <v>36.5</v>
      </c>
      <c r="F221" s="7" t="n">
        <v>7.7</v>
      </c>
      <c r="H221" s="7" t="n">
        <v>22.6</v>
      </c>
      <c r="J221" s="7" t="n">
        <v>44.5</v>
      </c>
      <c r="L221" s="7" t="n">
        <v>18.1</v>
      </c>
      <c r="N221" s="7" t="n">
        <v>23</v>
      </c>
      <c r="P221" s="7" t="n">
        <v>86.7</v>
      </c>
      <c r="R221" s="7" t="n">
        <v>49.8</v>
      </c>
      <c r="T221" s="7" t="n">
        <v>44.4</v>
      </c>
      <c r="V221" s="7" t="n">
        <v>45.3</v>
      </c>
      <c r="X221" s="7" t="n">
        <v>28.9</v>
      </c>
      <c r="Z221" s="7" t="n">
        <v>38.2</v>
      </c>
      <c r="AB221" s="7" t="n">
        <v>445.7</v>
      </c>
    </row>
    <row r="222">
      <c r="A222" s="4" t="inlineStr">
        <is>
          <t>装修费</t>
        </is>
      </c>
      <c r="D222" s="7" t="n">
        <v>45.9</v>
      </c>
      <c r="F222" s="7" t="n">
        <v>11.6</v>
      </c>
      <c r="H222" s="7" t="n">
        <v>26</v>
      </c>
      <c r="J222" s="7" t="n">
        <v>34.6</v>
      </c>
      <c r="L222" s="7" t="n">
        <v>19</v>
      </c>
      <c r="N222" s="7" t="n">
        <v>33.7</v>
      </c>
      <c r="P222" s="7" t="n">
        <v>74.5</v>
      </c>
      <c r="R222" s="7" t="n">
        <v>55.3</v>
      </c>
      <c r="T222" s="7" t="n">
        <v>52.3</v>
      </c>
      <c r="V222" s="7" t="n">
        <v>61.1</v>
      </c>
      <c r="X222" s="7" t="n">
        <v>32.6</v>
      </c>
      <c r="Z222" s="7" t="n">
        <v>45</v>
      </c>
      <c r="AB222" s="7" t="n">
        <v>491.6</v>
      </c>
    </row>
    <row r="223">
      <c r="A223" s="4" t="inlineStr">
        <is>
          <t>推广费</t>
        </is>
      </c>
      <c r="D223" s="7" t="n">
        <v>51.6</v>
      </c>
      <c r="F223" s="7" t="n">
        <v>12.1</v>
      </c>
      <c r="H223" s="7" t="n">
        <v>22.9</v>
      </c>
      <c r="J223" s="7" t="n">
        <v>39.6</v>
      </c>
      <c r="L223" s="7" t="n">
        <v>21.7</v>
      </c>
      <c r="N223" s="7" t="n">
        <v>23.2</v>
      </c>
      <c r="P223" s="7" t="n">
        <v>74.7</v>
      </c>
      <c r="R223" s="7" t="n">
        <v>65</v>
      </c>
      <c r="T223" s="7" t="n">
        <v>43.1</v>
      </c>
      <c r="V223" s="7" t="n">
        <v>46</v>
      </c>
      <c r="X223" s="7" t="n">
        <v>42.3</v>
      </c>
      <c r="Z223" s="7" t="n">
        <v>40.2</v>
      </c>
      <c r="AB223" s="7" t="n">
        <v>482.4</v>
      </c>
    </row>
    <row r="224">
      <c r="A224" s="4" t="inlineStr">
        <is>
          <t>展会费</t>
        </is>
      </c>
      <c r="D224" s="7" t="n">
        <v>37.2</v>
      </c>
      <c r="F224" s="7" t="n">
        <v>8.199999999999999</v>
      </c>
      <c r="H224" s="7" t="n">
        <v>14.3</v>
      </c>
      <c r="J224" s="7" t="n">
        <v>21.3</v>
      </c>
      <c r="L224" s="7" t="n">
        <v>18.2</v>
      </c>
      <c r="N224" s="7" t="n">
        <v>22</v>
      </c>
      <c r="P224" s="7" t="n">
        <v>49.8</v>
      </c>
      <c r="R224" s="7" t="n">
        <v>54</v>
      </c>
      <c r="T224" s="7" t="n">
        <v>22.6</v>
      </c>
      <c r="V224" s="7" t="n">
        <v>27.5</v>
      </c>
      <c r="X224" s="7" t="n">
        <v>26.7</v>
      </c>
      <c r="Z224" s="7" t="n">
        <v>19.3</v>
      </c>
      <c r="AB224" s="7" t="n">
        <v>321.1</v>
      </c>
    </row>
    <row r="225">
      <c r="A225" s="4" t="inlineStr">
        <is>
          <t>设计费</t>
        </is>
      </c>
      <c r="D225" s="7" t="n">
        <v>26</v>
      </c>
      <c r="F225" s="7" t="n">
        <v>7.2</v>
      </c>
      <c r="H225" s="7" t="n">
        <v>18.3</v>
      </c>
      <c r="J225" s="7" t="n">
        <v>23.6</v>
      </c>
      <c r="L225" s="7" t="n">
        <v>11.9</v>
      </c>
      <c r="N225" s="7" t="n">
        <v>12.6</v>
      </c>
      <c r="P225" s="7" t="n">
        <v>36.6</v>
      </c>
      <c r="R225" s="7" t="n">
        <v>43.2</v>
      </c>
      <c r="T225" s="7" t="n">
        <v>19.8</v>
      </c>
      <c r="V225" s="7" t="n">
        <v>29.5</v>
      </c>
      <c r="X225" s="7" t="n">
        <v>21.5</v>
      </c>
      <c r="Z225" s="7" t="n">
        <v>18.4</v>
      </c>
      <c r="AB225" s="7" t="n">
        <v>268.6</v>
      </c>
    </row>
    <row r="226">
      <c r="A226" s="4" t="inlineStr">
        <is>
          <t>折旧费</t>
        </is>
      </c>
      <c r="D226" s="7" t="n">
        <v>351.1</v>
      </c>
      <c r="F226" s="7" t="n">
        <v>54.1</v>
      </c>
      <c r="H226" s="7" t="n">
        <v>224.2</v>
      </c>
      <c r="J226" s="7" t="n">
        <v>257</v>
      </c>
      <c r="L226" s="7" t="n">
        <v>158.2</v>
      </c>
      <c r="N226" s="7" t="n">
        <v>176.9</v>
      </c>
      <c r="P226" s="7" t="n">
        <v>555.2</v>
      </c>
      <c r="R226" s="7" t="n">
        <v>493.5</v>
      </c>
      <c r="T226" s="7" t="n">
        <v>323.1</v>
      </c>
      <c r="V226" s="7" t="n">
        <v>439.7</v>
      </c>
      <c r="X226" s="7" t="n">
        <v>331.4</v>
      </c>
      <c r="Z226" s="7" t="n">
        <v>300.9</v>
      </c>
      <c r="AB226" s="7" t="n">
        <v>3665.3</v>
      </c>
    </row>
    <row r="227">
      <c r="A227" s="4" t="inlineStr">
        <is>
          <t>认证费</t>
        </is>
      </c>
      <c r="D227" s="7" t="n">
        <v>3.1</v>
      </c>
      <c r="F227" s="7" t="n">
        <v>1.2</v>
      </c>
      <c r="H227" s="7" t="n">
        <v>2.7</v>
      </c>
      <c r="J227" s="7" t="n">
        <v>3.5</v>
      </c>
      <c r="L227" s="7" t="n">
        <v>1.5</v>
      </c>
      <c r="N227" s="7" t="n">
        <v>3.2</v>
      </c>
      <c r="P227" s="7" t="n">
        <v>7.2</v>
      </c>
      <c r="R227" s="7" t="n">
        <v>4.7</v>
      </c>
      <c r="T227" s="7" t="n">
        <v>3.7</v>
      </c>
      <c r="V227" s="7" t="n">
        <v>3.5</v>
      </c>
      <c r="X227" s="7" t="n">
        <v>2.6</v>
      </c>
      <c r="Z227" s="7" t="n">
        <v>3.8</v>
      </c>
      <c r="AB227" s="7" t="n">
        <v>40.7</v>
      </c>
    </row>
    <row r="228">
      <c r="A228" s="4" t="inlineStr">
        <is>
          <t>样品费</t>
        </is>
      </c>
      <c r="D228" s="7" t="n">
        <v>156.9</v>
      </c>
      <c r="F228" s="7" t="n">
        <v>35.1</v>
      </c>
      <c r="H228" s="7" t="n">
        <v>94.09999999999999</v>
      </c>
      <c r="J228" s="7" t="n">
        <v>109.8</v>
      </c>
      <c r="L228" s="7" t="n">
        <v>92.59999999999999</v>
      </c>
      <c r="N228" s="7" t="n">
        <v>70.8</v>
      </c>
      <c r="P228" s="7" t="n">
        <v>214</v>
      </c>
      <c r="R228" s="7" t="n">
        <v>232.7</v>
      </c>
      <c r="T228" s="7" t="n">
        <v>144.1</v>
      </c>
      <c r="V228" s="7" t="n">
        <v>188.9</v>
      </c>
      <c r="X228" s="7" t="n">
        <v>148.1</v>
      </c>
      <c r="Z228" s="7" t="n">
        <v>144.6</v>
      </c>
      <c r="AB228" s="7" t="n">
        <v>1631.7</v>
      </c>
    </row>
    <row r="229">
      <c r="A229" s="4" t="inlineStr">
        <is>
          <t>劳务费</t>
        </is>
      </c>
      <c r="D229" s="7" t="n">
        <v>22.8</v>
      </c>
      <c r="F229" s="7" t="n">
        <v>7.9</v>
      </c>
      <c r="H229" s="7" t="n">
        <v>18.2</v>
      </c>
      <c r="J229" s="7" t="n">
        <v>19.3</v>
      </c>
      <c r="L229" s="7" t="n">
        <v>18.1</v>
      </c>
      <c r="N229" s="7" t="n">
        <v>23.7</v>
      </c>
      <c r="P229" s="7" t="n">
        <v>48.4</v>
      </c>
      <c r="R229" s="7" t="n">
        <v>34</v>
      </c>
      <c r="T229" s="7" t="n">
        <v>32</v>
      </c>
      <c r="V229" s="7" t="n">
        <v>40.7</v>
      </c>
      <c r="X229" s="7" t="n">
        <v>25.2</v>
      </c>
      <c r="Z229" s="7" t="n">
        <v>19</v>
      </c>
      <c r="AB229" s="7" t="n">
        <v>309.3</v>
      </c>
    </row>
    <row r="230">
      <c r="A230" s="4" t="inlineStr">
        <is>
          <t>销售佣金</t>
        </is>
      </c>
      <c r="D230" s="7" t="n">
        <v>40.4</v>
      </c>
      <c r="F230" s="7" t="n">
        <v>9.199999999999999</v>
      </c>
      <c r="H230" s="7" t="n">
        <v>26.1</v>
      </c>
      <c r="J230" s="7" t="n">
        <v>31.2</v>
      </c>
      <c r="L230" s="7" t="n">
        <v>15.2</v>
      </c>
      <c r="N230" s="7" t="n">
        <v>23.8</v>
      </c>
      <c r="P230" s="7" t="n">
        <v>54</v>
      </c>
      <c r="R230" s="7" t="n">
        <v>45.3</v>
      </c>
      <c r="T230" s="7" t="n">
        <v>39.8</v>
      </c>
      <c r="V230" s="7" t="n">
        <v>32.8</v>
      </c>
      <c r="X230" s="7" t="n">
        <v>23.1</v>
      </c>
      <c r="Z230" s="7" t="n">
        <v>21.2</v>
      </c>
      <c r="AB230" s="7" t="n">
        <v>362.1</v>
      </c>
    </row>
    <row r="231">
      <c r="A231" s="4" t="inlineStr">
        <is>
          <t>检测费</t>
        </is>
      </c>
      <c r="D231" s="7" t="n">
        <v>59.2</v>
      </c>
      <c r="F231" s="7" t="n">
        <v>12.2</v>
      </c>
      <c r="H231" s="7" t="n">
        <v>36.2</v>
      </c>
      <c r="J231" s="7" t="n">
        <v>29.6</v>
      </c>
      <c r="L231" s="7" t="n">
        <v>22.1</v>
      </c>
      <c r="N231" s="7" t="n">
        <v>32.1</v>
      </c>
      <c r="P231" s="7" t="n">
        <v>86.5</v>
      </c>
      <c r="R231" s="7" t="n">
        <v>76.40000000000001</v>
      </c>
      <c r="T231" s="7" t="n">
        <v>59.7</v>
      </c>
      <c r="V231" s="7" t="n">
        <v>44.6</v>
      </c>
      <c r="X231" s="7" t="n">
        <v>47.5</v>
      </c>
      <c r="Z231" s="7" t="n">
        <v>43.9</v>
      </c>
      <c r="AB231" s="7" t="n">
        <v>550</v>
      </c>
    </row>
    <row r="232">
      <c r="A232" s="4" t="inlineStr">
        <is>
          <t>质量赔偿</t>
        </is>
      </c>
      <c r="D232" s="7" t="n">
        <v>17.5</v>
      </c>
      <c r="F232" s="7" t="n">
        <v>4.6</v>
      </c>
      <c r="H232" s="7" t="n">
        <v>12.9</v>
      </c>
      <c r="J232" s="7" t="n">
        <v>16.7</v>
      </c>
      <c r="L232" s="7" t="n">
        <v>10.7</v>
      </c>
      <c r="N232" s="7" t="n">
        <v>12</v>
      </c>
      <c r="P232" s="7" t="n">
        <v>43.8</v>
      </c>
      <c r="R232" s="7" t="n">
        <v>23.9</v>
      </c>
      <c r="T232" s="7" t="n">
        <v>17</v>
      </c>
      <c r="V232" s="7" t="n">
        <v>25.4</v>
      </c>
      <c r="X232" s="7" t="n">
        <v>13</v>
      </c>
      <c r="Z232" s="7" t="n">
        <v>20.5</v>
      </c>
      <c r="AB232" s="7" t="n">
        <v>218</v>
      </c>
    </row>
    <row r="233">
      <c r="A233" s="4" t="inlineStr">
        <is>
          <t>保险费</t>
        </is>
      </c>
      <c r="D233" s="7" t="n">
        <v>5.1</v>
      </c>
      <c r="F233" s="7" t="n">
        <v>1.6</v>
      </c>
      <c r="H233" s="7" t="n">
        <v>2.4</v>
      </c>
      <c r="J233" s="7" t="n">
        <v>4.5</v>
      </c>
      <c r="L233" s="7" t="n">
        <v>3.1</v>
      </c>
      <c r="N233" s="7" t="n">
        <v>3.7</v>
      </c>
      <c r="P233" s="7" t="n">
        <v>8.6</v>
      </c>
      <c r="R233" s="7" t="n">
        <v>8.4</v>
      </c>
      <c r="T233" s="7" t="n">
        <v>6.2</v>
      </c>
      <c r="V233" s="7" t="n">
        <v>5</v>
      </c>
      <c r="X233" s="7" t="n">
        <v>4.2</v>
      </c>
      <c r="Z233" s="7" t="n">
        <v>3.9</v>
      </c>
      <c r="AB233" s="7" t="n">
        <v>56.7</v>
      </c>
    </row>
    <row r="234">
      <c r="A234" s="4" t="inlineStr">
        <is>
          <t>清洁费</t>
        </is>
      </c>
      <c r="D234" s="7" t="n">
        <v>14</v>
      </c>
      <c r="F234" s="7" t="n">
        <v>3.7</v>
      </c>
      <c r="H234" s="7" t="n">
        <v>10.2</v>
      </c>
      <c r="J234" s="7" t="n">
        <v>13.4</v>
      </c>
      <c r="L234" s="7" t="n">
        <v>5.7</v>
      </c>
      <c r="N234" s="7" t="n">
        <v>10</v>
      </c>
      <c r="P234" s="7" t="n">
        <v>25.7</v>
      </c>
      <c r="R234" s="7" t="n">
        <v>15.4</v>
      </c>
      <c r="T234" s="7" t="n">
        <v>9.800000000000001</v>
      </c>
      <c r="V234" s="7" t="n">
        <v>17.7</v>
      </c>
      <c r="X234" s="7" t="n">
        <v>15.1</v>
      </c>
      <c r="Z234" s="7" t="n">
        <v>9.800000000000001</v>
      </c>
      <c r="AB234" s="7" t="n">
        <v>150.5</v>
      </c>
    </row>
    <row r="235">
      <c r="A235" s="4" t="inlineStr">
        <is>
          <t>低值易耗品</t>
        </is>
      </c>
      <c r="D235" s="7" t="n">
        <v>48.5</v>
      </c>
      <c r="F235" s="7" t="n">
        <v>11</v>
      </c>
      <c r="H235" s="7" t="n">
        <v>22.8</v>
      </c>
      <c r="J235" s="7" t="n">
        <v>27.2</v>
      </c>
      <c r="L235" s="7" t="n">
        <v>13.7</v>
      </c>
      <c r="N235" s="7" t="n">
        <v>20.5</v>
      </c>
      <c r="P235" s="7" t="n">
        <v>69.3</v>
      </c>
      <c r="R235" s="7" t="n">
        <v>41.5</v>
      </c>
      <c r="T235" s="7" t="n">
        <v>25.5</v>
      </c>
      <c r="V235" s="7" t="n">
        <v>39.7</v>
      </c>
      <c r="X235" s="7" t="n">
        <v>37.4</v>
      </c>
      <c r="Z235" s="7" t="n">
        <v>32.3</v>
      </c>
      <c r="AB235" s="7" t="n">
        <v>389.4</v>
      </c>
    </row>
    <row r="236">
      <c r="A236" s="4" t="inlineStr">
        <is>
          <t>物料消耗</t>
        </is>
      </c>
      <c r="D236" s="7" t="n">
        <v>40</v>
      </c>
      <c r="F236" s="7" t="n">
        <v>5.9</v>
      </c>
      <c r="H236" s="7" t="n">
        <v>18.3</v>
      </c>
      <c r="J236" s="7" t="n">
        <v>36.7</v>
      </c>
      <c r="L236" s="7" t="n">
        <v>13.3</v>
      </c>
      <c r="N236" s="7" t="n">
        <v>27.1</v>
      </c>
      <c r="P236" s="7" t="n">
        <v>48.2</v>
      </c>
      <c r="R236" s="7" t="n">
        <v>50.9</v>
      </c>
      <c r="T236" s="7" t="n">
        <v>40</v>
      </c>
      <c r="V236" s="7" t="n">
        <v>49.9</v>
      </c>
      <c r="X236" s="7" t="n">
        <v>38.8</v>
      </c>
      <c r="Z236" s="7" t="n">
        <v>26.1</v>
      </c>
      <c r="AB236" s="7" t="n">
        <v>395.2</v>
      </c>
    </row>
    <row r="237">
      <c r="A237" s="4" t="inlineStr">
        <is>
          <t>盘盈盘亏</t>
        </is>
      </c>
      <c r="D237" s="7" t="n">
        <v>20.5</v>
      </c>
      <c r="F237" s="7" t="n">
        <v>8.6</v>
      </c>
      <c r="H237" s="7" t="n">
        <v>20.9</v>
      </c>
      <c r="J237" s="7" t="n">
        <v>26</v>
      </c>
      <c r="L237" s="7" t="n">
        <v>11.7</v>
      </c>
      <c r="N237" s="7" t="n">
        <v>14.1</v>
      </c>
      <c r="P237" s="7" t="n">
        <v>64.2</v>
      </c>
      <c r="R237" s="7" t="n">
        <v>47.2</v>
      </c>
      <c r="T237" s="7" t="n">
        <v>23</v>
      </c>
      <c r="V237" s="7" t="n">
        <v>42.2</v>
      </c>
      <c r="X237" s="7" t="n">
        <v>32.3</v>
      </c>
      <c r="Z237" s="7" t="n">
        <v>20.2</v>
      </c>
      <c r="AB237" s="7" t="n">
        <v>330.9</v>
      </c>
    </row>
    <row r="238">
      <c r="A238" s="4" t="inlineStr">
        <is>
          <t>平台服务费</t>
        </is>
      </c>
      <c r="D238" s="7" t="n">
        <v>10.8</v>
      </c>
      <c r="F238" s="7" t="n">
        <v>2.4</v>
      </c>
      <c r="H238" s="7" t="n">
        <v>7.3</v>
      </c>
      <c r="J238" s="7" t="n">
        <v>8.800000000000001</v>
      </c>
      <c r="L238" s="7" t="n">
        <v>4.9</v>
      </c>
      <c r="N238" s="7" t="n">
        <v>8.5</v>
      </c>
      <c r="P238" s="7" t="n">
        <v>31.2</v>
      </c>
      <c r="R238" s="7" t="n">
        <v>14.8</v>
      </c>
      <c r="T238" s="7" t="n">
        <v>15.6</v>
      </c>
      <c r="V238" s="7" t="n">
        <v>20.6</v>
      </c>
      <c r="X238" s="7" t="n">
        <v>9.300000000000001</v>
      </c>
      <c r="Z238" s="7" t="n">
        <v>13.8</v>
      </c>
      <c r="AB238" s="7" t="n">
        <v>148</v>
      </c>
    </row>
    <row r="239">
      <c r="A239" s="4" t="inlineStr">
        <is>
          <t>无形资产摊销</t>
        </is>
      </c>
      <c r="D239" s="7" t="n">
        <v>14.9</v>
      </c>
      <c r="F239" s="7" t="n">
        <v>5.6</v>
      </c>
      <c r="H239" s="7" t="n">
        <v>9.1</v>
      </c>
      <c r="J239" s="7" t="n">
        <v>19.3</v>
      </c>
      <c r="L239" s="7" t="n">
        <v>7.3</v>
      </c>
      <c r="N239" s="7" t="n">
        <v>12.6</v>
      </c>
      <c r="P239" s="7" t="n">
        <v>29.1</v>
      </c>
      <c r="R239" s="7" t="n">
        <v>22.3</v>
      </c>
      <c r="T239" s="7" t="n">
        <v>21.3</v>
      </c>
      <c r="V239" s="7" t="n">
        <v>25.1</v>
      </c>
      <c r="X239" s="7" t="n">
        <v>15.9</v>
      </c>
      <c r="Z239" s="7" t="n">
        <v>19.4</v>
      </c>
      <c r="AB239" s="7" t="n">
        <v>201.9</v>
      </c>
    </row>
    <row r="240">
      <c r="A240" s="4" t="inlineStr">
        <is>
          <t>研发材料</t>
        </is>
      </c>
      <c r="D240" s="7" t="n">
        <v>0.7</v>
      </c>
      <c r="F240" s="7" t="n">
        <v>0.3</v>
      </c>
      <c r="H240" s="7" t="n">
        <v>0.6</v>
      </c>
      <c r="J240" s="7" t="n">
        <v>0.5</v>
      </c>
      <c r="L240" s="7" t="n">
        <v>0.5</v>
      </c>
      <c r="N240" s="7" t="n">
        <v>0.5</v>
      </c>
      <c r="P240" s="7" t="n">
        <v>1.8</v>
      </c>
      <c r="R240" s="7" t="n">
        <v>0.9</v>
      </c>
      <c r="T240" s="7" t="n">
        <v>0.6</v>
      </c>
      <c r="V240" s="7" t="n">
        <v>0.8</v>
      </c>
      <c r="X240" s="7" t="n">
        <v>0.8</v>
      </c>
      <c r="Z240" s="7" t="n">
        <v>0.8</v>
      </c>
      <c r="AB240" s="7" t="n">
        <v>8.800000000000001</v>
      </c>
    </row>
    <row r="241">
      <c r="A241" s="4" t="inlineStr">
        <is>
          <t>项目名称</t>
        </is>
      </c>
      <c r="D241" s="7" t="n">
        <v>12.2</v>
      </c>
      <c r="F241" s="7" t="n">
        <v>3.7</v>
      </c>
      <c r="H241" s="7" t="n">
        <v>10.5</v>
      </c>
      <c r="J241" s="7" t="n">
        <v>15.7</v>
      </c>
      <c r="L241" s="7" t="n">
        <v>8.1</v>
      </c>
      <c r="N241" s="7" t="n">
        <v>12.7</v>
      </c>
      <c r="P241" s="7" t="n">
        <v>27.3</v>
      </c>
      <c r="R241" s="7" t="n">
        <v>22.5</v>
      </c>
      <c r="T241" s="7" t="n">
        <v>14.7</v>
      </c>
      <c r="V241" s="7" t="n">
        <v>16.4</v>
      </c>
      <c r="X241" s="7" t="n">
        <v>13.5</v>
      </c>
      <c r="Z241" s="7" t="n">
        <v>13.4</v>
      </c>
      <c r="AB241" s="7" t="n">
        <v>170.7</v>
      </c>
    </row>
    <row r="242">
      <c r="A242" s="4" t="inlineStr">
        <is>
          <t>研发费</t>
        </is>
      </c>
      <c r="D242" s="7" t="n">
        <v>14.6</v>
      </c>
      <c r="F242" s="7" t="n">
        <v>2.2</v>
      </c>
      <c r="H242" s="7" t="n">
        <v>9.4</v>
      </c>
      <c r="J242" s="7" t="n">
        <v>10.7</v>
      </c>
      <c r="L242" s="7" t="n">
        <v>6.5</v>
      </c>
      <c r="N242" s="7" t="n">
        <v>6.1</v>
      </c>
      <c r="P242" s="7" t="n">
        <v>28.6</v>
      </c>
      <c r="R242" s="7" t="n">
        <v>13.8</v>
      </c>
      <c r="T242" s="7" t="n">
        <v>12.4</v>
      </c>
      <c r="V242" s="7" t="n">
        <v>13</v>
      </c>
      <c r="X242" s="7" t="n">
        <v>9.5</v>
      </c>
      <c r="Z242" s="7" t="n">
        <v>7.9</v>
      </c>
      <c r="AB242" s="7" t="n">
        <v>134.7</v>
      </c>
    </row>
    <row r="243">
      <c r="A243" s="4" t="inlineStr">
        <is>
          <t>残保金</t>
        </is>
      </c>
      <c r="D243" s="7" t="n">
        <v>22.3</v>
      </c>
      <c r="F243" s="7" t="n">
        <v>3.2</v>
      </c>
      <c r="H243" s="7" t="n">
        <v>9.199999999999999</v>
      </c>
      <c r="J243" s="7" t="n">
        <v>19.6</v>
      </c>
      <c r="L243" s="7" t="n">
        <v>7.3</v>
      </c>
      <c r="N243" s="7" t="n">
        <v>8.4</v>
      </c>
      <c r="P243" s="7" t="n">
        <v>34.2</v>
      </c>
      <c r="R243" s="7" t="n">
        <v>25</v>
      </c>
      <c r="T243" s="7" t="n">
        <v>18.9</v>
      </c>
      <c r="V243" s="7" t="n">
        <v>20.4</v>
      </c>
      <c r="X243" s="7" t="n">
        <v>15.5</v>
      </c>
      <c r="Z243" s="7" t="n">
        <v>12.5</v>
      </c>
      <c r="AB243" s="7" t="n">
        <v>196.5</v>
      </c>
    </row>
    <row r="244">
      <c r="A244" s="4" t="inlineStr">
        <is>
          <t>环保费</t>
        </is>
      </c>
      <c r="D244" s="7" t="n">
        <v>14.4</v>
      </c>
      <c r="F244" s="7" t="n">
        <v>3.8</v>
      </c>
      <c r="H244" s="7" t="n">
        <v>12.5</v>
      </c>
      <c r="J244" s="7" t="n">
        <v>15.5</v>
      </c>
      <c r="L244" s="7" t="n">
        <v>7.7</v>
      </c>
      <c r="N244" s="7" t="n">
        <v>8.5</v>
      </c>
      <c r="P244" s="7" t="n">
        <v>25</v>
      </c>
      <c r="R244" s="7" t="n">
        <v>23.6</v>
      </c>
      <c r="T244" s="7" t="n">
        <v>16.9</v>
      </c>
      <c r="V244" s="7" t="n">
        <v>25.6</v>
      </c>
      <c r="X244" s="7" t="n">
        <v>20.4</v>
      </c>
      <c r="Z244" s="7" t="n">
        <v>14.2</v>
      </c>
      <c r="AB244" s="7" t="n">
        <v>188.1</v>
      </c>
    </row>
    <row r="245">
      <c r="A245" s="4" t="inlineStr">
        <is>
          <t>报废损失</t>
        </is>
      </c>
      <c r="D245" s="7" t="n">
        <v>31.9</v>
      </c>
      <c r="F245" s="7" t="n">
        <v>5.8</v>
      </c>
      <c r="H245" s="7" t="n">
        <v>17.3</v>
      </c>
      <c r="J245" s="7" t="n">
        <v>30.4</v>
      </c>
      <c r="L245" s="7" t="n">
        <v>13.1</v>
      </c>
      <c r="N245" s="7" t="n">
        <v>19.1</v>
      </c>
      <c r="P245" s="7" t="n">
        <v>50.5</v>
      </c>
      <c r="R245" s="7" t="n">
        <v>52.3</v>
      </c>
      <c r="T245" s="7" t="n">
        <v>28.5</v>
      </c>
      <c r="V245" s="7" t="n">
        <v>43.8</v>
      </c>
      <c r="X245" s="7" t="n">
        <v>18.3</v>
      </c>
      <c r="Z245" s="7" t="n">
        <v>17.4</v>
      </c>
      <c r="AB245" s="7" t="n">
        <v>328.4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10716.1</v>
      </c>
      <c r="D246" s="7" t="n">
        <v>19760.2</v>
      </c>
      <c r="E246" s="7" t="n">
        <v>9013</v>
      </c>
      <c r="F246" s="7" t="n">
        <v>12518.9</v>
      </c>
      <c r="G246" s="7" t="n">
        <v>9227.9</v>
      </c>
      <c r="H246" s="7" t="n">
        <v>3518.3</v>
      </c>
      <c r="I246" s="7" t="n">
        <v>9993.9</v>
      </c>
      <c r="J246" s="7" t="n">
        <v>6285.4</v>
      </c>
      <c r="K246" s="7" t="n">
        <v>11093.5</v>
      </c>
      <c r="L246" s="7" t="n">
        <v>18477</v>
      </c>
      <c r="M246" s="7" t="n">
        <v>9862.5</v>
      </c>
      <c r="N246" s="7" t="n">
        <v>17925.4</v>
      </c>
      <c r="O246" s="7" t="n">
        <v>9878.9</v>
      </c>
      <c r="P246" s="7" t="n">
        <v>205.2</v>
      </c>
      <c r="Q246" s="7" t="n">
        <v>9545.700000000001</v>
      </c>
      <c r="R246" s="7" t="n">
        <v>4101.5</v>
      </c>
      <c r="S246" s="7" t="n">
        <v>11444</v>
      </c>
      <c r="T246" s="7" t="n">
        <v>7621.6</v>
      </c>
      <c r="U246" s="7" t="n">
        <v>10216.8</v>
      </c>
      <c r="V246" s="7" t="n">
        <v>17162.8</v>
      </c>
      <c r="W246" s="7" t="n">
        <v>10793.8</v>
      </c>
      <c r="X246" s="7" t="n">
        <v>16293.4</v>
      </c>
      <c r="Y246" s="7" t="n">
        <v>9002.4</v>
      </c>
      <c r="Z246" s="7" t="n">
        <v>-394.2</v>
      </c>
      <c r="AA246" s="8" t="n">
        <v>120788.5</v>
      </c>
      <c r="AB246" s="8" t="n">
        <v>123475.5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3590.2</v>
      </c>
      <c r="E248" s="7" t="n">
        <v>0</v>
      </c>
      <c r="F248" s="7" t="n">
        <v>1539.1</v>
      </c>
      <c r="G248" s="7" t="n">
        <v>0</v>
      </c>
      <c r="H248" s="7" t="n">
        <v>-2255.5</v>
      </c>
      <c r="I248" s="7" t="n">
        <v>0</v>
      </c>
      <c r="J248" s="7" t="n">
        <v>3388.3</v>
      </c>
      <c r="K248" s="7" t="n">
        <v>0</v>
      </c>
      <c r="L248" s="7" t="n">
        <v>-4949.1</v>
      </c>
      <c r="M248" s="7" t="n">
        <v>0</v>
      </c>
      <c r="N248" s="7" t="n">
        <v>3184.1</v>
      </c>
      <c r="O248" s="7" t="n">
        <v>0</v>
      </c>
      <c r="P248" s="7" t="n">
        <v>92.40000000000001</v>
      </c>
      <c r="Q248" s="7" t="n">
        <v>0</v>
      </c>
      <c r="R248" s="7" t="n">
        <v>4557.2</v>
      </c>
      <c r="S248" s="7" t="n">
        <v>0</v>
      </c>
      <c r="T248" s="7" t="n">
        <v>-790.2</v>
      </c>
      <c r="U248" s="7" t="n">
        <v>0</v>
      </c>
      <c r="V248" s="7" t="n">
        <v>-3199.7</v>
      </c>
      <c r="W248" s="7" t="n">
        <v>0</v>
      </c>
      <c r="X248" s="7" t="n">
        <v>-4594.7</v>
      </c>
      <c r="Y248" s="7" t="n">
        <v>0</v>
      </c>
      <c r="Z248" s="7" t="n">
        <v>2004.3</v>
      </c>
      <c r="AA248" s="7" t="n">
        <v>0</v>
      </c>
      <c r="AB248" s="7" t="n">
        <v>2566.4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15938.9</v>
      </c>
      <c r="D253" s="7" t="n">
        <v>13352.4</v>
      </c>
      <c r="E253" s="7" t="n">
        <v>15966.6</v>
      </c>
      <c r="F253" s="7" t="n">
        <v>24240.8</v>
      </c>
      <c r="G253" s="7" t="n">
        <v>17743.5</v>
      </c>
      <c r="H253" s="7" t="n">
        <v>26308.5</v>
      </c>
      <c r="I253" s="7" t="n">
        <v>16115.7</v>
      </c>
      <c r="J253" s="7" t="n">
        <v>102.9</v>
      </c>
      <c r="K253" s="7" t="n">
        <v>17903.5</v>
      </c>
      <c r="L253" s="7" t="n">
        <v>19145.1</v>
      </c>
      <c r="M253" s="7" t="n">
        <v>15808.7</v>
      </c>
      <c r="N253" s="7" t="n">
        <v>24381.9</v>
      </c>
      <c r="O253" s="7" t="n">
        <v>17096.4</v>
      </c>
      <c r="P253" s="7" t="n">
        <v>12275.3</v>
      </c>
      <c r="Q253" s="7" t="n">
        <v>19467</v>
      </c>
      <c r="R253" s="7" t="n">
        <v>17985.2</v>
      </c>
      <c r="S253" s="7" t="n">
        <v>16077.3</v>
      </c>
      <c r="T253" s="7" t="n">
        <v>20169.5</v>
      </c>
      <c r="U253" s="7" t="n">
        <v>16442.5</v>
      </c>
      <c r="V253" s="7" t="n">
        <v>29648.3</v>
      </c>
      <c r="W253" s="7" t="n">
        <v>18175.7</v>
      </c>
      <c r="X253" s="7" t="n">
        <v>24126.2</v>
      </c>
      <c r="Y253" s="7" t="n">
        <v>16182.7</v>
      </c>
      <c r="Z253" s="7" t="n">
        <v>3008.7</v>
      </c>
      <c r="AA253" s="7" t="n">
        <v>202918.5</v>
      </c>
      <c r="AB253" s="7" t="n">
        <v>214744.8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23341.2</v>
      </c>
      <c r="D254" s="7" t="n">
        <v>17800.9</v>
      </c>
      <c r="E254" s="7" t="n">
        <v>20194</v>
      </c>
      <c r="F254" s="7" t="n">
        <v>9995.6</v>
      </c>
      <c r="G254" s="7" t="n">
        <v>22390.7</v>
      </c>
      <c r="H254" s="7" t="n">
        <v>23116.3</v>
      </c>
      <c r="I254" s="7" t="n">
        <v>19203.2</v>
      </c>
      <c r="J254" s="7" t="n">
        <v>26526.5</v>
      </c>
      <c r="K254" s="7" t="n">
        <v>20878</v>
      </c>
      <c r="L254" s="7" t="n">
        <v>32140.2</v>
      </c>
      <c r="M254" s="7" t="n">
        <v>23539.4</v>
      </c>
      <c r="N254" s="7" t="n">
        <v>29510</v>
      </c>
      <c r="O254" s="7" t="n">
        <v>23036.6</v>
      </c>
      <c r="P254" s="7" t="n">
        <v>26125.5</v>
      </c>
      <c r="Q254" s="7" t="n">
        <v>24543.9</v>
      </c>
      <c r="R254" s="7" t="n">
        <v>27971</v>
      </c>
      <c r="S254" s="7" t="n">
        <v>20708.7</v>
      </c>
      <c r="T254" s="7" t="n">
        <v>22179.8</v>
      </c>
      <c r="U254" s="7" t="n">
        <v>18642.5</v>
      </c>
      <c r="V254" s="7" t="n">
        <v>16018.7</v>
      </c>
      <c r="W254" s="7" t="n">
        <v>24003.3</v>
      </c>
      <c r="X254" s="7" t="n">
        <v>18215.6</v>
      </c>
      <c r="Y254" s="7" t="n">
        <v>23490.9</v>
      </c>
      <c r="Z254" s="7" t="n">
        <v>10857.3</v>
      </c>
      <c r="AA254" s="8" t="n">
        <v>263972.4</v>
      </c>
      <c r="AB254" s="8" t="n">
        <v>260457.4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971.2</v>
      </c>
      <c r="E255" s="7" t="n">
        <v>0</v>
      </c>
      <c r="F255" s="7" t="n">
        <v>4835.9</v>
      </c>
      <c r="G255" s="7" t="n">
        <v>0</v>
      </c>
      <c r="H255" s="7" t="n">
        <v>4718.4</v>
      </c>
      <c r="I255" s="7" t="n">
        <v>0</v>
      </c>
      <c r="J255" s="7" t="n">
        <v>4638.2</v>
      </c>
      <c r="K255" s="7" t="n">
        <v>0</v>
      </c>
      <c r="L255" s="7" t="n">
        <v>823.7</v>
      </c>
      <c r="M255" s="7" t="n">
        <v>0</v>
      </c>
      <c r="N255" s="7" t="n">
        <v>3215.6</v>
      </c>
      <c r="O255" s="7" t="n">
        <v>0</v>
      </c>
      <c r="P255" s="7" t="n">
        <v>2960.2</v>
      </c>
      <c r="Q255" s="7" t="n">
        <v>0</v>
      </c>
      <c r="R255" s="7" t="n">
        <v>4617.7</v>
      </c>
      <c r="S255" s="7" t="n">
        <v>0</v>
      </c>
      <c r="T255" s="7" t="n">
        <v>38.3</v>
      </c>
      <c r="U255" s="7" t="n">
        <v>0</v>
      </c>
      <c r="V255" s="7" t="n">
        <v>4647.4</v>
      </c>
      <c r="W255" s="7" t="n">
        <v>0</v>
      </c>
      <c r="X255" s="7" t="n">
        <v>1446.3</v>
      </c>
      <c r="Y255" s="7" t="n">
        <v>0</v>
      </c>
      <c r="Z255" s="7" t="n">
        <v>3197.8</v>
      </c>
      <c r="AA255" s="7" t="n">
        <v>0</v>
      </c>
      <c r="AB255" s="7" t="n">
        <v>36110.7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2808</v>
      </c>
      <c r="E256" s="7" t="n">
        <v>0</v>
      </c>
      <c r="F256" s="7" t="n">
        <v>1078.2</v>
      </c>
      <c r="G256" s="7" t="n">
        <v>0</v>
      </c>
      <c r="H256" s="7" t="n">
        <v>1468.1</v>
      </c>
      <c r="I256" s="7" t="n">
        <v>0</v>
      </c>
      <c r="J256" s="7" t="n">
        <v>2941.6</v>
      </c>
      <c r="K256" s="7" t="n">
        <v>0</v>
      </c>
      <c r="L256" s="7" t="n">
        <v>1796.4</v>
      </c>
      <c r="M256" s="7" t="n">
        <v>0</v>
      </c>
      <c r="N256" s="7" t="n">
        <v>1393.1</v>
      </c>
      <c r="O256" s="7" t="n">
        <v>0</v>
      </c>
      <c r="P256" s="7" t="n">
        <v>720.8</v>
      </c>
      <c r="Q256" s="7" t="n">
        <v>0</v>
      </c>
      <c r="R256" s="7" t="n">
        <v>382.9</v>
      </c>
      <c r="S256" s="7" t="n">
        <v>0</v>
      </c>
      <c r="T256" s="7" t="n">
        <v>1621.3</v>
      </c>
      <c r="U256" s="7" t="n">
        <v>0</v>
      </c>
      <c r="V256" s="7" t="n">
        <v>2554.5</v>
      </c>
      <c r="W256" s="7" t="n">
        <v>0</v>
      </c>
      <c r="X256" s="7" t="n">
        <v>71.2</v>
      </c>
      <c r="Y256" s="7" t="n">
        <v>0</v>
      </c>
      <c r="Z256" s="7" t="n">
        <v>900.3</v>
      </c>
      <c r="AA256" s="7" t="n">
        <v>0</v>
      </c>
      <c r="AB256" s="7" t="n">
        <v>17736.4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20435.9</v>
      </c>
      <c r="D257" s="7" t="n">
        <v>18235.5</v>
      </c>
      <c r="E257" s="7" t="n">
        <v>22189</v>
      </c>
      <c r="F257" s="7" t="n">
        <v>10815.3</v>
      </c>
      <c r="G257" s="7" t="n">
        <v>23787.8</v>
      </c>
      <c r="H257" s="7" t="n">
        <v>24097.8</v>
      </c>
      <c r="I257" s="7" t="n">
        <v>20435.4</v>
      </c>
      <c r="J257" s="7" t="n">
        <v>25621.6</v>
      </c>
      <c r="K257" s="7" t="n">
        <v>24337.3</v>
      </c>
      <c r="L257" s="7" t="n">
        <v>30862.8</v>
      </c>
      <c r="M257" s="7" t="n">
        <v>19394.7</v>
      </c>
      <c r="N257" s="7" t="n">
        <v>30178.5</v>
      </c>
      <c r="O257" s="7" t="n">
        <v>18789.2</v>
      </c>
      <c r="P257" s="7" t="n">
        <v>28067.1</v>
      </c>
      <c r="Q257" s="7" t="n">
        <v>19107.4</v>
      </c>
      <c r="R257" s="7" t="n">
        <v>25880.2</v>
      </c>
      <c r="S257" s="7" t="n">
        <v>21889.6</v>
      </c>
      <c r="T257" s="7" t="n">
        <v>23342.5</v>
      </c>
      <c r="U257" s="7" t="n">
        <v>22187.6</v>
      </c>
      <c r="V257" s="7" t="n">
        <v>16854.7</v>
      </c>
      <c r="W257" s="7" t="n">
        <v>22546.3</v>
      </c>
      <c r="X257" s="7" t="n">
        <v>16742.3</v>
      </c>
      <c r="Y257" s="7" t="n">
        <v>18698.6</v>
      </c>
      <c r="Z257" s="7" t="n">
        <v>11195.6</v>
      </c>
      <c r="AA257" s="8" t="n">
        <v>253798.8</v>
      </c>
      <c r="AB257" s="8" t="n">
        <v>261893.9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5001.1</v>
      </c>
      <c r="D258" s="7" t="n">
        <v>4558.9</v>
      </c>
      <c r="E258" s="7" t="n">
        <v>5201.4</v>
      </c>
      <c r="F258" s="7" t="n">
        <v>2703.8</v>
      </c>
      <c r="G258" s="7" t="n">
        <v>6244</v>
      </c>
      <c r="H258" s="7" t="n">
        <v>6024.4</v>
      </c>
      <c r="I258" s="7" t="n">
        <v>5553.1</v>
      </c>
      <c r="J258" s="7" t="n">
        <v>6405.4</v>
      </c>
      <c r="K258" s="7" t="n">
        <v>5800.5</v>
      </c>
      <c r="L258" s="7" t="n">
        <v>7715.7</v>
      </c>
      <c r="M258" s="7" t="n">
        <v>4678.5</v>
      </c>
      <c r="N258" s="7" t="n">
        <v>7544.6</v>
      </c>
      <c r="O258" s="7" t="n">
        <v>6267</v>
      </c>
      <c r="P258" s="7" t="n">
        <v>7016.8</v>
      </c>
      <c r="Q258" s="7" t="n">
        <v>5398.3</v>
      </c>
      <c r="R258" s="7" t="n">
        <v>6470.1</v>
      </c>
      <c r="S258" s="7" t="n">
        <v>5595.6</v>
      </c>
      <c r="T258" s="7" t="n">
        <v>5835.6</v>
      </c>
      <c r="U258" s="7" t="n">
        <v>4826.6</v>
      </c>
      <c r="V258" s="7" t="n">
        <v>4213.7</v>
      </c>
      <c r="W258" s="7" t="n">
        <v>4876.5</v>
      </c>
      <c r="X258" s="7" t="n">
        <v>4185.6</v>
      </c>
      <c r="Y258" s="7" t="n">
        <v>5001</v>
      </c>
      <c r="Z258" s="7" t="n">
        <v>2798.9</v>
      </c>
      <c r="AA258" s="7" t="n">
        <v>64443.6</v>
      </c>
      <c r="AB258" s="7" t="n">
        <v>65473.5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32546.2</v>
      </c>
      <c r="D259" s="7" t="n">
        <v>13676.6</v>
      </c>
      <c r="E259" s="7" t="n">
        <v>25301.2</v>
      </c>
      <c r="F259" s="7" t="n">
        <v>8111.5</v>
      </c>
      <c r="G259" s="7" t="n">
        <v>32316.6</v>
      </c>
      <c r="H259" s="7" t="n">
        <v>18073.4</v>
      </c>
      <c r="I259" s="7" t="n">
        <v>19491.9</v>
      </c>
      <c r="J259" s="7" t="n">
        <v>19216.2</v>
      </c>
      <c r="K259" s="7" t="n">
        <v>28121.2</v>
      </c>
      <c r="L259" s="7" t="n">
        <v>23147.1</v>
      </c>
      <c r="M259" s="7" t="n">
        <v>26770.8</v>
      </c>
      <c r="N259" s="7" t="n">
        <v>22633.9</v>
      </c>
      <c r="O259" s="7" t="n">
        <v>30370.8</v>
      </c>
      <c r="P259" s="7" t="n">
        <v>21050.3</v>
      </c>
      <c r="Q259" s="7" t="n">
        <v>30362.7</v>
      </c>
      <c r="R259" s="7" t="n">
        <v>19410.1</v>
      </c>
      <c r="S259" s="7" t="n">
        <v>28913.5</v>
      </c>
      <c r="T259" s="7" t="n">
        <v>17506.9</v>
      </c>
      <c r="U259" s="7" t="n">
        <v>32840.6</v>
      </c>
      <c r="V259" s="7" t="n">
        <v>12641</v>
      </c>
      <c r="W259" s="7" t="n">
        <v>34786.7</v>
      </c>
      <c r="X259" s="7" t="n">
        <v>12556.7</v>
      </c>
      <c r="Y259" s="7" t="n">
        <v>21051</v>
      </c>
      <c r="Z259" s="7" t="n">
        <v>8396.700000000001</v>
      </c>
      <c r="AA259" s="8" t="n">
        <v>342873.2</v>
      </c>
      <c r="AB259" s="8" t="n">
        <v>196420.4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2710.6</v>
      </c>
      <c r="E260" s="7" t="n">
        <v>0</v>
      </c>
      <c r="F260" s="7" t="n">
        <v>1765.2</v>
      </c>
      <c r="G260" s="7" t="n">
        <v>0</v>
      </c>
      <c r="H260" s="7" t="n">
        <v>3896.9</v>
      </c>
      <c r="I260" s="7" t="n">
        <v>0</v>
      </c>
      <c r="J260" s="7" t="n">
        <v>1444.6</v>
      </c>
      <c r="K260" s="7" t="n">
        <v>0</v>
      </c>
      <c r="L260" s="7" t="n">
        <v>6372.7</v>
      </c>
      <c r="M260" s="7" t="n">
        <v>0</v>
      </c>
      <c r="N260" s="7" t="n">
        <v>1626.6</v>
      </c>
      <c r="O260" s="7" t="n">
        <v>0</v>
      </c>
      <c r="P260" s="7" t="n">
        <v>4550</v>
      </c>
      <c r="Q260" s="7" t="n">
        <v>0</v>
      </c>
      <c r="R260" s="7" t="n">
        <v>3472</v>
      </c>
      <c r="S260" s="7" t="n">
        <v>0</v>
      </c>
      <c r="T260" s="7" t="n">
        <v>72.2</v>
      </c>
      <c r="U260" s="7" t="n">
        <v>0</v>
      </c>
      <c r="V260" s="7" t="n">
        <v>3088.2</v>
      </c>
      <c r="W260" s="7" t="n">
        <v>0</v>
      </c>
      <c r="X260" s="7" t="n">
        <v>2081.5</v>
      </c>
      <c r="Y260" s="7" t="n">
        <v>0</v>
      </c>
      <c r="Z260" s="7" t="n">
        <v>2412.8</v>
      </c>
      <c r="AA260" s="7" t="n">
        <v>0</v>
      </c>
      <c r="AB260" s="7" t="n">
        <v>33493.3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32546.2</v>
      </c>
      <c r="D261" s="7" t="n">
        <v>10966</v>
      </c>
      <c r="E261" s="7" t="n">
        <v>25301.2</v>
      </c>
      <c r="F261" s="7" t="n">
        <v>6346.3</v>
      </c>
      <c r="G261" s="7" t="n">
        <v>32316.6</v>
      </c>
      <c r="H261" s="7" t="n">
        <v>14176.5</v>
      </c>
      <c r="I261" s="7" t="n">
        <v>19491.9</v>
      </c>
      <c r="J261" s="7" t="n">
        <v>17771.6</v>
      </c>
      <c r="K261" s="7" t="n">
        <v>28121.2</v>
      </c>
      <c r="L261" s="7" t="n">
        <v>16774.4</v>
      </c>
      <c r="M261" s="7" t="n">
        <v>26770.8</v>
      </c>
      <c r="N261" s="7" t="n">
        <v>21007.3</v>
      </c>
      <c r="O261" s="7" t="n">
        <v>30370.8</v>
      </c>
      <c r="P261" s="7" t="n">
        <v>16500.3</v>
      </c>
      <c r="Q261" s="7" t="n">
        <v>30362.7</v>
      </c>
      <c r="R261" s="7" t="n">
        <v>15938.1</v>
      </c>
      <c r="S261" s="7" t="n">
        <v>28913.5</v>
      </c>
      <c r="T261" s="7" t="n">
        <v>17434.7</v>
      </c>
      <c r="U261" s="7" t="n">
        <v>32840.6</v>
      </c>
      <c r="V261" s="7" t="n">
        <v>9552.799999999999</v>
      </c>
      <c r="W261" s="7" t="n">
        <v>34786.7</v>
      </c>
      <c r="X261" s="7" t="n">
        <v>10475.2</v>
      </c>
      <c r="Y261" s="7" t="n">
        <v>21051</v>
      </c>
      <c r="Z261" s="7" t="n">
        <v>5983.9</v>
      </c>
      <c r="AA261" s="8" t="n">
        <v>342873.2</v>
      </c>
      <c r="AB261" s="8" t="n">
        <v>162927.1</v>
      </c>
    </row>
    <row r="262">
      <c r="A262" s="4" t="inlineStr">
        <is>
          <t>净利率</t>
        </is>
      </c>
      <c r="D262" s="13" t="n">
        <v>6</v>
      </c>
      <c r="F262" s="13" t="n">
        <v>4.5</v>
      </c>
      <c r="H262" s="13" t="n">
        <v>5.9</v>
      </c>
      <c r="J262" s="13" t="n">
        <v>5.4</v>
      </c>
      <c r="L262" s="13" t="n">
        <v>6.7</v>
      </c>
      <c r="N262" s="13" t="n">
        <v>5.8</v>
      </c>
      <c r="P262" s="13" t="n">
        <v>4.8</v>
      </c>
      <c r="R262" s="13" t="n">
        <v>5.1</v>
      </c>
      <c r="T262" s="13" t="n">
        <v>5.6</v>
      </c>
      <c r="V262" s="13" t="n">
        <v>3.4</v>
      </c>
      <c r="X262" s="13" t="n">
        <v>4.2</v>
      </c>
      <c r="Z262" s="13" t="n">
        <v>3.7</v>
      </c>
    </row>
    <row r="263">
      <c r="A263" s="4" t="inlineStr">
        <is>
          <t>销售达成率</t>
        </is>
      </c>
      <c r="D263" s="13" t="n">
        <v>79.90000000000001</v>
      </c>
      <c r="F263" s="13" t="n">
        <v>59.3</v>
      </c>
      <c r="H263" s="13" t="n">
        <v>87.8</v>
      </c>
      <c r="J263" s="13" t="n">
        <v>121.7</v>
      </c>
      <c r="L263" s="13" t="n">
        <v>120</v>
      </c>
      <c r="N263" s="13" t="n">
        <v>119.7</v>
      </c>
      <c r="P263" s="13" t="n">
        <v>118.7</v>
      </c>
      <c r="R263" s="13" t="n">
        <v>116.8</v>
      </c>
      <c r="T263" s="13" t="n">
        <v>86.3</v>
      </c>
      <c r="V263" s="13" t="n">
        <v>103.7</v>
      </c>
      <c r="X263" s="13" t="n">
        <v>100.7</v>
      </c>
      <c r="Z263" s="13" t="n">
        <v>64.09999999999999</v>
      </c>
    </row>
    <row r="264">
      <c r="A264" s="4" t="inlineStr">
        <is>
          <t>净利达成率</t>
        </is>
      </c>
      <c r="D264" s="13" t="n">
        <v>42</v>
      </c>
      <c r="F264" s="13" t="n">
        <v>32.1</v>
      </c>
      <c r="H264" s="13" t="n">
        <v>55.9</v>
      </c>
      <c r="J264" s="13" t="n">
        <v>98.59999999999999</v>
      </c>
      <c r="L264" s="13" t="n">
        <v>82.3</v>
      </c>
      <c r="N264" s="13" t="n">
        <v>84.5</v>
      </c>
      <c r="P264" s="13" t="n">
        <v>69.3</v>
      </c>
      <c r="R264" s="13" t="n">
        <v>63.9</v>
      </c>
      <c r="T264" s="13" t="n">
        <v>60.5</v>
      </c>
      <c r="V264" s="13" t="n">
        <v>38.5</v>
      </c>
      <c r="X264" s="13" t="n">
        <v>36.1</v>
      </c>
      <c r="Z264" s="13" t="n">
        <v>39.9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京东自营利润表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244702.5</v>
      </c>
      <c r="D6" s="7" t="n">
        <v>148808</v>
      </c>
      <c r="E6" s="7" t="n">
        <v>230975.4</v>
      </c>
      <c r="F6" s="7" t="n">
        <v>194073.2</v>
      </c>
      <c r="G6" s="7" t="n">
        <v>232927.1</v>
      </c>
      <c r="H6" s="7" t="n">
        <v>171133.7</v>
      </c>
      <c r="I6" s="7" t="n">
        <v>191619.4</v>
      </c>
      <c r="J6" s="7" t="n">
        <v>232890.7</v>
      </c>
      <c r="K6" s="7" t="n">
        <v>252117.6</v>
      </c>
      <c r="L6" s="7" t="n">
        <v>277838.1</v>
      </c>
      <c r="M6" s="7" t="n">
        <v>245441.9</v>
      </c>
      <c r="N6" s="7" t="n">
        <v>301164.4</v>
      </c>
      <c r="O6" s="7" t="n">
        <v>207781.7</v>
      </c>
      <c r="P6" s="7" t="n">
        <v>288013.1</v>
      </c>
      <c r="Q6" s="7" t="n">
        <v>201949.8</v>
      </c>
      <c r="R6" s="7" t="n">
        <v>219939.4</v>
      </c>
      <c r="S6" s="7" t="n">
        <v>236947.6</v>
      </c>
      <c r="T6" s="7" t="n">
        <v>223548.5</v>
      </c>
      <c r="U6" s="7" t="n">
        <v>210565.1</v>
      </c>
      <c r="V6" s="7" t="n">
        <v>277203.8</v>
      </c>
      <c r="W6" s="7" t="n">
        <v>212631.6</v>
      </c>
      <c r="X6" s="7" t="n">
        <v>189061.7</v>
      </c>
      <c r="Y6" s="7" t="n">
        <v>190269.3</v>
      </c>
      <c r="Z6" s="7" t="n">
        <v>115416.5</v>
      </c>
      <c r="AA6" s="8" t="n">
        <v>2657929</v>
      </c>
      <c r="AB6" s="8" t="n">
        <v>2639091.1</v>
      </c>
    </row>
    <row r="7">
      <c r="A7" s="4" t="inlineStr">
        <is>
          <t>生鲜蔬果</t>
        </is>
      </c>
      <c r="D7" s="7" t="n">
        <v>13640.6</v>
      </c>
      <c r="F7" s="7" t="n">
        <v>16216.1</v>
      </c>
      <c r="H7" s="7" t="n">
        <v>10181.6</v>
      </c>
      <c r="J7" s="7" t="n">
        <v>23084.3</v>
      </c>
      <c r="L7" s="7" t="n">
        <v>17724.8</v>
      </c>
      <c r="N7" s="7" t="n">
        <v>28316.7</v>
      </c>
      <c r="P7" s="7" t="n">
        <v>22472.5</v>
      </c>
      <c r="R7" s="7" t="n">
        <v>25054.1</v>
      </c>
      <c r="T7" s="7" t="n">
        <v>16744.3</v>
      </c>
      <c r="V7" s="7" t="n">
        <v>24925.9</v>
      </c>
      <c r="X7" s="7" t="n">
        <v>14637.7</v>
      </c>
      <c r="Z7" s="7" t="n">
        <v>8808.200000000001</v>
      </c>
      <c r="AB7" s="7" t="n">
        <v>221806.8</v>
      </c>
    </row>
    <row r="8">
      <c r="A8" s="4" t="inlineStr">
        <is>
          <t>肉禽蛋奶</t>
        </is>
      </c>
      <c r="D8" s="7" t="n">
        <v>14337.8</v>
      </c>
      <c r="F8" s="7" t="n">
        <v>22965.4</v>
      </c>
      <c r="H8" s="7" t="n">
        <v>19444.8</v>
      </c>
      <c r="J8" s="7" t="n">
        <v>32789.1</v>
      </c>
      <c r="L8" s="7" t="n">
        <v>18014.4</v>
      </c>
      <c r="N8" s="7" t="n">
        <v>29950.9</v>
      </c>
      <c r="P8" s="7" t="n">
        <v>27789.8</v>
      </c>
      <c r="R8" s="7" t="n">
        <v>19932.9</v>
      </c>
      <c r="T8" s="7" t="n">
        <v>30812.3</v>
      </c>
      <c r="V8" s="7" t="n">
        <v>32688.2</v>
      </c>
      <c r="X8" s="7" t="n">
        <v>23377.4</v>
      </c>
      <c r="Z8" s="7" t="n">
        <v>20742.1</v>
      </c>
      <c r="AB8" s="7" t="n">
        <v>292845.1</v>
      </c>
    </row>
    <row r="9">
      <c r="A9" s="4" t="inlineStr">
        <is>
          <t>粮油调味</t>
        </is>
      </c>
      <c r="D9" s="7" t="n">
        <v>16748</v>
      </c>
      <c r="F9" s="7" t="n">
        <v>22520.7</v>
      </c>
      <c r="H9" s="7" t="n">
        <v>18459.7</v>
      </c>
      <c r="J9" s="7" t="n">
        <v>22901.8</v>
      </c>
      <c r="L9" s="7" t="n">
        <v>38551.6</v>
      </c>
      <c r="N9" s="7" t="n">
        <v>40982.9</v>
      </c>
      <c r="P9" s="7" t="n">
        <v>24291.2</v>
      </c>
      <c r="R9" s="7" t="n">
        <v>21593.6</v>
      </c>
      <c r="T9" s="7" t="n">
        <v>16472.7</v>
      </c>
      <c r="V9" s="7" t="n">
        <v>39239.5</v>
      </c>
      <c r="X9" s="7" t="n">
        <v>20520.1</v>
      </c>
      <c r="Z9" s="7" t="n">
        <v>11926.5</v>
      </c>
      <c r="AB9" s="7" t="n">
        <v>294208.3</v>
      </c>
    </row>
    <row r="10">
      <c r="A10" s="4" t="inlineStr">
        <is>
          <t>酒水饮料</t>
        </is>
      </c>
      <c r="D10" s="7" t="n">
        <v>45115.9</v>
      </c>
      <c r="F10" s="7" t="n">
        <v>53773.7</v>
      </c>
      <c r="H10" s="7" t="n">
        <v>38869.3</v>
      </c>
      <c r="J10" s="7" t="n">
        <v>85235.39999999999</v>
      </c>
      <c r="L10" s="7" t="n">
        <v>84789.7</v>
      </c>
      <c r="N10" s="7" t="n">
        <v>76705.2</v>
      </c>
      <c r="P10" s="7" t="n">
        <v>112022.3</v>
      </c>
      <c r="R10" s="7" t="n">
        <v>67964.5</v>
      </c>
      <c r="T10" s="7" t="n">
        <v>72198.39999999999</v>
      </c>
      <c r="V10" s="7" t="n">
        <v>100127.8</v>
      </c>
      <c r="X10" s="7" t="n">
        <v>37590.5</v>
      </c>
      <c r="Z10" s="7" t="n">
        <v>28705.3</v>
      </c>
      <c r="AB10" s="7" t="n">
        <v>803098</v>
      </c>
    </row>
    <row r="11">
      <c r="A11" s="4" t="inlineStr">
        <is>
          <t>休闲零食</t>
        </is>
      </c>
      <c r="D11" s="7" t="n">
        <v>45212.8</v>
      </c>
      <c r="F11" s="7" t="n">
        <v>70879</v>
      </c>
      <c r="H11" s="7" t="n">
        <v>62875.7</v>
      </c>
      <c r="J11" s="7" t="n">
        <v>49285.1</v>
      </c>
      <c r="L11" s="7" t="n">
        <v>102326.1</v>
      </c>
      <c r="N11" s="7" t="n">
        <v>105790.1</v>
      </c>
      <c r="P11" s="7" t="n">
        <v>72811.10000000001</v>
      </c>
      <c r="R11" s="7" t="n">
        <v>62469.4</v>
      </c>
      <c r="T11" s="7" t="n">
        <v>69849.3</v>
      </c>
      <c r="V11" s="7" t="n">
        <v>58857.1</v>
      </c>
      <c r="X11" s="7" t="n">
        <v>73917.7</v>
      </c>
      <c r="Z11" s="7" t="n">
        <v>36671.5</v>
      </c>
      <c r="AB11" s="7" t="n">
        <v>810944.9</v>
      </c>
    </row>
    <row r="12">
      <c r="A12" s="4" t="inlineStr">
        <is>
          <t>日用百货</t>
        </is>
      </c>
      <c r="D12" s="7" t="n">
        <v>16102.9</v>
      </c>
      <c r="F12" s="7" t="n">
        <v>10054.7</v>
      </c>
      <c r="H12" s="7" t="n">
        <v>23849</v>
      </c>
      <c r="J12" s="7" t="n">
        <v>22676.1</v>
      </c>
      <c r="L12" s="7" t="n">
        <v>20150.4</v>
      </c>
      <c r="N12" s="7" t="n">
        <v>22470</v>
      </c>
      <c r="P12" s="7" t="n">
        <v>33092.3</v>
      </c>
      <c r="R12" s="7" t="n">
        <v>27455.8</v>
      </c>
      <c r="T12" s="7" t="n">
        <v>22912.7</v>
      </c>
      <c r="V12" s="7" t="n">
        <v>27037.3</v>
      </c>
      <c r="X12" s="7" t="n">
        <v>21481.5</v>
      </c>
      <c r="Z12" s="7" t="n">
        <v>10193.1</v>
      </c>
      <c r="AB12" s="7" t="n">
        <v>257475.8</v>
      </c>
    </row>
    <row r="13">
      <c r="A13" s="4" t="inlineStr">
        <is>
          <t>返利</t>
        </is>
      </c>
      <c r="D13" s="7" t="n">
        <v>-4277.7</v>
      </c>
      <c r="F13" s="7" t="n">
        <v>-5044.8</v>
      </c>
      <c r="H13" s="7" t="n">
        <v>-3794.4</v>
      </c>
      <c r="J13" s="7" t="n">
        <v>-3804.2</v>
      </c>
      <c r="L13" s="7" t="n">
        <v>-7141.2</v>
      </c>
      <c r="N13" s="7" t="n">
        <v>-6356.5</v>
      </c>
      <c r="P13" s="7" t="n">
        <v>-4552.5</v>
      </c>
      <c r="R13" s="7" t="n">
        <v>-4830.2</v>
      </c>
      <c r="T13" s="7" t="n">
        <v>-5663.2</v>
      </c>
      <c r="V13" s="7" t="n">
        <v>-7547.8</v>
      </c>
      <c r="X13" s="7" t="n">
        <v>-4224.1</v>
      </c>
      <c r="Z13" s="7" t="n">
        <v>-2176.9</v>
      </c>
      <c r="AB13" s="7" t="n">
        <v>-59413.5</v>
      </c>
    </row>
    <row r="14">
      <c r="A14" s="4" t="inlineStr">
        <is>
          <t>其他</t>
        </is>
      </c>
      <c r="D14" s="7" t="n">
        <v>1927.7</v>
      </c>
      <c r="F14" s="7" t="n">
        <v>2708.4</v>
      </c>
      <c r="H14" s="7" t="n">
        <v>1248</v>
      </c>
      <c r="J14" s="7" t="n">
        <v>723.1</v>
      </c>
      <c r="L14" s="7" t="n">
        <v>3422.3</v>
      </c>
      <c r="N14" s="7" t="n">
        <v>3305.1</v>
      </c>
      <c r="P14" s="7" t="n">
        <v>86.40000000000001</v>
      </c>
      <c r="R14" s="7" t="n">
        <v>299.3</v>
      </c>
      <c r="T14" s="7" t="n">
        <v>222</v>
      </c>
      <c r="V14" s="7" t="n">
        <v>1875.8</v>
      </c>
      <c r="X14" s="7" t="n">
        <v>1760.9</v>
      </c>
      <c r="Z14" s="7" t="n">
        <v>546.7</v>
      </c>
      <c r="AB14" s="7" t="n">
        <v>18125.7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161761.4</v>
      </c>
      <c r="D15" s="7" t="n">
        <v>124405.5</v>
      </c>
      <c r="E15" s="7" t="n">
        <v>166110.4</v>
      </c>
      <c r="F15" s="7" t="n">
        <v>159199</v>
      </c>
      <c r="G15" s="7" t="n">
        <v>155259.2</v>
      </c>
      <c r="H15" s="7" t="n">
        <v>144299.6</v>
      </c>
      <c r="I15" s="7" t="n">
        <v>169396.4</v>
      </c>
      <c r="J15" s="7" t="n">
        <v>189151.7</v>
      </c>
      <c r="K15" s="7" t="n">
        <v>180198.7</v>
      </c>
      <c r="L15" s="7" t="n">
        <v>228213.4</v>
      </c>
      <c r="M15" s="7" t="n">
        <v>175822.3</v>
      </c>
      <c r="N15" s="7" t="n">
        <v>246978.6</v>
      </c>
      <c r="O15" s="7" t="n">
        <v>187536.1</v>
      </c>
      <c r="P15" s="7" t="n">
        <v>235473.1</v>
      </c>
      <c r="Q15" s="7" t="n">
        <v>188970.6</v>
      </c>
      <c r="R15" s="7" t="n">
        <v>181002.4</v>
      </c>
      <c r="S15" s="7" t="n">
        <v>200326.4</v>
      </c>
      <c r="T15" s="7" t="n">
        <v>188371.7</v>
      </c>
      <c r="U15" s="7" t="n">
        <v>170234.7</v>
      </c>
      <c r="V15" s="7" t="n">
        <v>226414.2</v>
      </c>
      <c r="W15" s="7" t="n">
        <v>170535.7</v>
      </c>
      <c r="X15" s="7" t="n">
        <v>156984.3</v>
      </c>
      <c r="Y15" s="7" t="n">
        <v>196245.7</v>
      </c>
      <c r="Z15" s="7" t="n">
        <v>95659.10000000001</v>
      </c>
      <c r="AA15" s="8" t="n">
        <v>2122397.6</v>
      </c>
      <c r="AB15" s="8" t="n">
        <v>2176152.6</v>
      </c>
    </row>
    <row r="16">
      <c r="A16" s="4" t="inlineStr">
        <is>
          <t>生鲜蔬果</t>
        </is>
      </c>
      <c r="D16" s="7" t="n">
        <v>9718.700000000001</v>
      </c>
      <c r="F16" s="7" t="n">
        <v>11553.7</v>
      </c>
      <c r="H16" s="7" t="n">
        <v>7254.2</v>
      </c>
      <c r="J16" s="7" t="n">
        <v>16447.2</v>
      </c>
      <c r="L16" s="7" t="n">
        <v>12628.7</v>
      </c>
      <c r="N16" s="7" t="n">
        <v>20175.2</v>
      </c>
      <c r="P16" s="7" t="n">
        <v>16011.3</v>
      </c>
      <c r="R16" s="7" t="n">
        <v>17850.7</v>
      </c>
      <c r="T16" s="7" t="n">
        <v>11930.1</v>
      </c>
      <c r="V16" s="7" t="n">
        <v>17759.3</v>
      </c>
      <c r="X16" s="7" t="n">
        <v>10429.1</v>
      </c>
      <c r="Z16" s="7" t="n">
        <v>6275.7</v>
      </c>
      <c r="AB16" s="7" t="n">
        <v>158033.9</v>
      </c>
    </row>
    <row r="17">
      <c r="A17" s="4" t="inlineStr">
        <is>
          <t>肉禽蛋奶</t>
        </is>
      </c>
      <c r="D17" s="7" t="n">
        <v>11178.4</v>
      </c>
      <c r="F17" s="7" t="n">
        <v>17904.8</v>
      </c>
      <c r="H17" s="7" t="n">
        <v>15160</v>
      </c>
      <c r="J17" s="7" t="n">
        <v>25563.8</v>
      </c>
      <c r="L17" s="7" t="n">
        <v>14044.8</v>
      </c>
      <c r="N17" s="7" t="n">
        <v>23351</v>
      </c>
      <c r="P17" s="7" t="n">
        <v>21666.1</v>
      </c>
      <c r="R17" s="7" t="n">
        <v>15540.5</v>
      </c>
      <c r="T17" s="7" t="n">
        <v>24022.6</v>
      </c>
      <c r="V17" s="7" t="n">
        <v>25485.1</v>
      </c>
      <c r="X17" s="7" t="n">
        <v>18226</v>
      </c>
      <c r="Z17" s="7" t="n">
        <v>16171.4</v>
      </c>
      <c r="AB17" s="7" t="n">
        <v>228314.5</v>
      </c>
    </row>
    <row r="18">
      <c r="A18" s="4" t="inlineStr">
        <is>
          <t>粮油调味</t>
        </is>
      </c>
      <c r="D18" s="7" t="n">
        <v>12520.8</v>
      </c>
      <c r="F18" s="7" t="n">
        <v>16836.4</v>
      </c>
      <c r="H18" s="7" t="n">
        <v>13800.4</v>
      </c>
      <c r="J18" s="7" t="n">
        <v>17121.3</v>
      </c>
      <c r="L18" s="7" t="n">
        <v>28821.1</v>
      </c>
      <c r="N18" s="7" t="n">
        <v>30638.7</v>
      </c>
      <c r="P18" s="7" t="n">
        <v>18160</v>
      </c>
      <c r="R18" s="7" t="n">
        <v>16143.3</v>
      </c>
      <c r="T18" s="7" t="n">
        <v>12314.9</v>
      </c>
      <c r="V18" s="7" t="n">
        <v>29335.3</v>
      </c>
      <c r="X18" s="7" t="n">
        <v>15340.8</v>
      </c>
      <c r="Z18" s="7" t="n">
        <v>8916.200000000001</v>
      </c>
      <c r="AB18" s="7" t="n">
        <v>219949.2</v>
      </c>
    </row>
    <row r="19">
      <c r="A19" s="4" t="inlineStr">
        <is>
          <t>酒水饮料</t>
        </is>
      </c>
      <c r="D19" s="7" t="n">
        <v>35516.5</v>
      </c>
      <c r="F19" s="7" t="n">
        <v>42332.1</v>
      </c>
      <c r="H19" s="7" t="n">
        <v>30599</v>
      </c>
      <c r="J19" s="7" t="n">
        <v>67099.7</v>
      </c>
      <c r="L19" s="7" t="n">
        <v>66748.8</v>
      </c>
      <c r="N19" s="7" t="n">
        <v>60384.5</v>
      </c>
      <c r="P19" s="7" t="n">
        <v>88187.10000000001</v>
      </c>
      <c r="R19" s="7" t="n">
        <v>53503.5</v>
      </c>
      <c r="T19" s="7" t="n">
        <v>56836.6</v>
      </c>
      <c r="V19" s="7" t="n">
        <v>78823.39999999999</v>
      </c>
      <c r="X19" s="7" t="n">
        <v>29592.3</v>
      </c>
      <c r="Z19" s="7" t="n">
        <v>22597.6</v>
      </c>
      <c r="AB19" s="7" t="n">
        <v>632221.1</v>
      </c>
    </row>
    <row r="20">
      <c r="A20" s="4" t="inlineStr">
        <is>
          <t>休闲零食</t>
        </is>
      </c>
      <c r="D20" s="7" t="n">
        <v>35884.3</v>
      </c>
      <c r="F20" s="7" t="n">
        <v>56255</v>
      </c>
      <c r="H20" s="7" t="n">
        <v>49903</v>
      </c>
      <c r="J20" s="7" t="n">
        <v>39116.4</v>
      </c>
      <c r="L20" s="7" t="n">
        <v>81213.8</v>
      </c>
      <c r="N20" s="7" t="n">
        <v>83963.10000000001</v>
      </c>
      <c r="P20" s="7" t="n">
        <v>57788.5</v>
      </c>
      <c r="R20" s="7" t="n">
        <v>49580.5</v>
      </c>
      <c r="T20" s="7" t="n">
        <v>55437.7</v>
      </c>
      <c r="V20" s="7" t="n">
        <v>46713.5</v>
      </c>
      <c r="X20" s="7" t="n">
        <v>58666.7</v>
      </c>
      <c r="Z20" s="7" t="n">
        <v>29105.3</v>
      </c>
      <c r="AB20" s="7" t="n">
        <v>643627.8</v>
      </c>
    </row>
    <row r="21">
      <c r="A21" s="4" t="inlineStr">
        <is>
          <t>日用百货</t>
        </is>
      </c>
      <c r="D21" s="7" t="n">
        <v>13134.7</v>
      </c>
      <c r="F21" s="7" t="n">
        <v>8201.299999999999</v>
      </c>
      <c r="H21" s="7" t="n">
        <v>19453</v>
      </c>
      <c r="J21" s="7" t="n">
        <v>18496.3</v>
      </c>
      <c r="L21" s="7" t="n">
        <v>16436.1</v>
      </c>
      <c r="N21" s="7" t="n">
        <v>18328.2</v>
      </c>
      <c r="P21" s="7" t="n">
        <v>26992.5</v>
      </c>
      <c r="R21" s="7" t="n">
        <v>22395</v>
      </c>
      <c r="T21" s="7" t="n">
        <v>18689.3</v>
      </c>
      <c r="V21" s="7" t="n">
        <v>22053.6</v>
      </c>
      <c r="X21" s="7" t="n">
        <v>17521.9</v>
      </c>
      <c r="Z21" s="7" t="n">
        <v>8314.200000000001</v>
      </c>
      <c r="AB21" s="7" t="n">
        <v>210016.1</v>
      </c>
    </row>
    <row r="22">
      <c r="A22" s="4" t="inlineStr">
        <is>
          <t>其他</t>
        </is>
      </c>
      <c r="D22" s="7" t="n">
        <v>1176.9</v>
      </c>
      <c r="F22" s="7" t="n">
        <v>2784.3</v>
      </c>
      <c r="H22" s="7" t="n">
        <v>880</v>
      </c>
      <c r="J22" s="7" t="n">
        <v>3222.6</v>
      </c>
      <c r="L22" s="7" t="n">
        <v>40.2</v>
      </c>
      <c r="N22" s="7" t="n">
        <v>1335.7</v>
      </c>
      <c r="P22" s="7" t="n">
        <v>842.9</v>
      </c>
      <c r="R22" s="7" t="n">
        <v>2604</v>
      </c>
      <c r="T22" s="7" t="n">
        <v>3229.6</v>
      </c>
      <c r="V22" s="7" t="n">
        <v>766.7</v>
      </c>
      <c r="X22" s="7" t="n">
        <v>903.1</v>
      </c>
      <c r="Z22" s="7" t="n">
        <v>8.699999999999999</v>
      </c>
      <c r="AB22" s="7" t="n">
        <v>17794.7</v>
      </c>
    </row>
    <row r="23">
      <c r="A23" s="4" t="inlineStr">
        <is>
          <t>运费</t>
        </is>
      </c>
      <c r="D23" s="7" t="n">
        <v>6452.1</v>
      </c>
      <c r="F23" s="7" t="n">
        <v>6115.7</v>
      </c>
      <c r="H23" s="7" t="n">
        <v>8130</v>
      </c>
      <c r="J23" s="7" t="n">
        <v>5307</v>
      </c>
      <c r="L23" s="7" t="n">
        <v>8320.1</v>
      </c>
      <c r="N23" s="7" t="n">
        <v>10137.9</v>
      </c>
      <c r="P23" s="7" t="n">
        <v>6667.6</v>
      </c>
      <c r="R23" s="7" t="n">
        <v>5988.9</v>
      </c>
      <c r="T23" s="7" t="n">
        <v>9140.5</v>
      </c>
      <c r="V23" s="7" t="n">
        <v>6244</v>
      </c>
      <c r="X23" s="7" t="n">
        <v>7207.5</v>
      </c>
      <c r="Z23" s="7" t="n">
        <v>4278.7</v>
      </c>
      <c r="AB23" s="7" t="n">
        <v>83990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82941.10000000001</v>
      </c>
      <c r="D24" s="7" t="n">
        <v>24402.5</v>
      </c>
      <c r="E24" s="7" t="n">
        <v>64865</v>
      </c>
      <c r="F24" s="7" t="n">
        <v>34874.2</v>
      </c>
      <c r="G24" s="7" t="n">
        <v>77667.89999999999</v>
      </c>
      <c r="H24" s="7" t="n">
        <v>26834.1</v>
      </c>
      <c r="I24" s="7" t="n">
        <v>22223</v>
      </c>
      <c r="J24" s="7" t="n">
        <v>43739</v>
      </c>
      <c r="K24" s="7" t="n">
        <v>71918.89999999999</v>
      </c>
      <c r="L24" s="7" t="n">
        <v>49624.7</v>
      </c>
      <c r="M24" s="7" t="n">
        <v>69619.60000000001</v>
      </c>
      <c r="N24" s="7" t="n">
        <v>54185.8</v>
      </c>
      <c r="O24" s="7" t="n">
        <v>20245.6</v>
      </c>
      <c r="P24" s="7" t="n">
        <v>52540</v>
      </c>
      <c r="Q24" s="7" t="n">
        <v>12979.2</v>
      </c>
      <c r="R24" s="7" t="n">
        <v>38937</v>
      </c>
      <c r="S24" s="7" t="n">
        <v>36621.2</v>
      </c>
      <c r="T24" s="7" t="n">
        <v>35176.8</v>
      </c>
      <c r="U24" s="7" t="n">
        <v>40330.4</v>
      </c>
      <c r="V24" s="7" t="n">
        <v>50789.6</v>
      </c>
      <c r="W24" s="7" t="n">
        <v>42095.9</v>
      </c>
      <c r="X24" s="7" t="n">
        <v>32077.4</v>
      </c>
      <c r="Y24" s="7" t="n">
        <v>-5976.4</v>
      </c>
      <c r="Z24" s="7" t="n">
        <v>19757.4</v>
      </c>
      <c r="AA24" s="8" t="n">
        <v>535531.4</v>
      </c>
      <c r="AB24" s="8" t="n">
        <v>462938.5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33.9</v>
      </c>
      <c r="D25" s="13" t="n">
        <v>16.4</v>
      </c>
      <c r="E25" s="13" t="n">
        <v>28.1</v>
      </c>
      <c r="F25" s="13" t="n">
        <v>18</v>
      </c>
      <c r="G25" s="13" t="n">
        <v>33.3</v>
      </c>
      <c r="H25" s="13" t="n">
        <v>15.7</v>
      </c>
      <c r="I25" s="13" t="n">
        <v>11.6</v>
      </c>
      <c r="J25" s="13" t="n">
        <v>18.8</v>
      </c>
      <c r="K25" s="13" t="n">
        <v>28.5</v>
      </c>
      <c r="L25" s="13" t="n">
        <v>17.9</v>
      </c>
      <c r="M25" s="13" t="n">
        <v>28.4</v>
      </c>
      <c r="N25" s="13" t="n">
        <v>18</v>
      </c>
      <c r="O25" s="13" t="n">
        <v>9.699999999999999</v>
      </c>
      <c r="P25" s="13" t="n">
        <v>18.2</v>
      </c>
      <c r="Q25" s="13" t="n">
        <v>6.4</v>
      </c>
      <c r="R25" s="13" t="n">
        <v>17.7</v>
      </c>
      <c r="S25" s="13" t="n">
        <v>15.5</v>
      </c>
      <c r="T25" s="13" t="n">
        <v>15.7</v>
      </c>
      <c r="U25" s="13" t="n">
        <v>19.2</v>
      </c>
      <c r="V25" s="13" t="n">
        <v>18.3</v>
      </c>
      <c r="W25" s="13" t="n">
        <v>19.8</v>
      </c>
      <c r="X25" s="13" t="n">
        <v>17</v>
      </c>
      <c r="Y25" s="13" t="n">
        <v>-3.1</v>
      </c>
      <c r="Z25" s="13" t="n">
        <v>17.1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2330.4</v>
      </c>
      <c r="D26" s="7" t="n">
        <v>791.5</v>
      </c>
      <c r="E26" s="7" t="n">
        <v>2312.8</v>
      </c>
      <c r="F26" s="7" t="n">
        <v>1125.7</v>
      </c>
      <c r="G26" s="7" t="n">
        <v>1978.3</v>
      </c>
      <c r="H26" s="7" t="n">
        <v>2069.8</v>
      </c>
      <c r="I26" s="7" t="n">
        <v>2255</v>
      </c>
      <c r="J26" s="7" t="n">
        <v>1881.3</v>
      </c>
      <c r="K26" s="7" t="n">
        <v>2088.4</v>
      </c>
      <c r="L26" s="7" t="n">
        <v>3390</v>
      </c>
      <c r="M26" s="7" t="n">
        <v>1975.1</v>
      </c>
      <c r="N26" s="7" t="n">
        <v>2535.8</v>
      </c>
      <c r="O26" s="7" t="n">
        <v>1841.8</v>
      </c>
      <c r="P26" s="7" t="n">
        <v>4154</v>
      </c>
      <c r="Q26" s="7" t="n">
        <v>1843.3</v>
      </c>
      <c r="R26" s="7" t="n">
        <v>1975.8</v>
      </c>
      <c r="S26" s="7" t="n">
        <v>2020.2</v>
      </c>
      <c r="T26" s="7" t="n">
        <v>1359.2</v>
      </c>
      <c r="U26" s="7" t="n">
        <v>1889.2</v>
      </c>
      <c r="V26" s="7" t="n">
        <v>2867.9</v>
      </c>
      <c r="W26" s="7" t="n">
        <v>2211.2</v>
      </c>
      <c r="X26" s="7" t="n">
        <v>1541.5</v>
      </c>
      <c r="Y26" s="7" t="n">
        <v>1878.4</v>
      </c>
      <c r="Z26" s="7" t="n">
        <v>902.3</v>
      </c>
      <c r="AA26" s="8" t="n">
        <v>24624.1</v>
      </c>
      <c r="AB26" s="8" t="n">
        <v>24594.8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23315.4</v>
      </c>
      <c r="D27" s="7" t="n">
        <v>14483.2</v>
      </c>
      <c r="E27" s="7" t="n">
        <v>29916.2</v>
      </c>
      <c r="F27" s="7" t="n">
        <v>34036.4</v>
      </c>
      <c r="G27" s="7" t="n">
        <v>28093.9</v>
      </c>
      <c r="H27" s="7" t="n">
        <v>27566</v>
      </c>
      <c r="I27" s="7" t="n">
        <v>26355.3</v>
      </c>
      <c r="J27" s="7" t="n">
        <v>26767.1</v>
      </c>
      <c r="K27" s="7" t="n">
        <v>30542.8</v>
      </c>
      <c r="L27" s="7" t="n">
        <v>28271.1</v>
      </c>
      <c r="M27" s="7" t="n">
        <v>28788.8</v>
      </c>
      <c r="N27" s="7" t="n">
        <v>32124.9</v>
      </c>
      <c r="O27" s="7" t="n">
        <v>28053</v>
      </c>
      <c r="P27" s="7" t="n">
        <v>25894.7</v>
      </c>
      <c r="Q27" s="7" t="n">
        <v>26766.3</v>
      </c>
      <c r="R27" s="7" t="n">
        <v>34487.4</v>
      </c>
      <c r="S27" s="7" t="n">
        <v>23960.5</v>
      </c>
      <c r="T27" s="7" t="n">
        <v>42607.2</v>
      </c>
      <c r="U27" s="7" t="n">
        <v>25564.2</v>
      </c>
      <c r="V27" s="7" t="n">
        <v>26810</v>
      </c>
      <c r="W27" s="7" t="n">
        <v>24432.4</v>
      </c>
      <c r="X27" s="7" t="n">
        <v>23902.1</v>
      </c>
      <c r="Y27" s="7" t="n">
        <v>24284.2</v>
      </c>
      <c r="Z27" s="7" t="n">
        <v>9871.700000000001</v>
      </c>
      <c r="AA27" s="8" t="n">
        <v>320073</v>
      </c>
      <c r="AB27" s="8" t="n">
        <v>326821.8</v>
      </c>
    </row>
    <row r="28">
      <c r="A28" s="4" t="inlineStr">
        <is>
          <t>职工薪酬</t>
        </is>
      </c>
      <c r="D28" s="7" t="n">
        <v>9044.299999999999</v>
      </c>
      <c r="F28" s="7" t="n">
        <v>12473.4</v>
      </c>
      <c r="H28" s="7" t="n">
        <v>12296.6</v>
      </c>
      <c r="J28" s="7" t="n">
        <v>11435.1</v>
      </c>
      <c r="L28" s="7" t="n">
        <v>14108.2</v>
      </c>
      <c r="N28" s="7" t="n">
        <v>12564.8</v>
      </c>
      <c r="P28" s="7" t="n">
        <v>11519</v>
      </c>
      <c r="R28" s="7" t="n">
        <v>19516.7</v>
      </c>
      <c r="T28" s="7" t="n">
        <v>22457.3</v>
      </c>
      <c r="V28" s="7" t="n">
        <v>13777.1</v>
      </c>
      <c r="X28" s="7" t="n">
        <v>11682.1</v>
      </c>
      <c r="Z28" s="7" t="n">
        <v>5419.4</v>
      </c>
      <c r="AB28" s="7" t="n">
        <v>156294</v>
      </c>
    </row>
    <row r="29">
      <c r="A29" s="4" t="inlineStr">
        <is>
          <t>工资</t>
        </is>
      </c>
      <c r="D29" s="7" t="n">
        <v>5623.7</v>
      </c>
      <c r="F29" s="7" t="n">
        <v>7178</v>
      </c>
      <c r="H29" s="7" t="n">
        <v>6886.9</v>
      </c>
      <c r="J29" s="7" t="n">
        <v>6229.1</v>
      </c>
      <c r="L29" s="7" t="n">
        <v>7743.2</v>
      </c>
      <c r="N29" s="7" t="n">
        <v>6937.1</v>
      </c>
      <c r="P29" s="7" t="n">
        <v>6442.1</v>
      </c>
      <c r="R29" s="7" t="n">
        <v>12450.7</v>
      </c>
      <c r="T29" s="7" t="n">
        <v>13444.6</v>
      </c>
      <c r="V29" s="7" t="n">
        <v>8043.5</v>
      </c>
      <c r="X29" s="7" t="n">
        <v>6319.1</v>
      </c>
      <c r="Z29" s="7" t="n">
        <v>3459.5</v>
      </c>
      <c r="AB29" s="7" t="n">
        <v>90757.5</v>
      </c>
    </row>
    <row r="30">
      <c r="A30" s="4" t="inlineStr">
        <is>
          <t>奖金及提成</t>
        </is>
      </c>
      <c r="D30" s="7" t="n">
        <v>1727.5</v>
      </c>
      <c r="F30" s="7" t="n">
        <v>2398</v>
      </c>
      <c r="H30" s="7" t="n">
        <v>2179.7</v>
      </c>
      <c r="J30" s="7" t="n">
        <v>2545</v>
      </c>
      <c r="L30" s="7" t="n">
        <v>3117.9</v>
      </c>
      <c r="N30" s="7" t="n">
        <v>2342.7</v>
      </c>
      <c r="P30" s="7" t="n">
        <v>2708.3</v>
      </c>
      <c r="R30" s="7" t="n">
        <v>3744.6</v>
      </c>
      <c r="T30" s="7" t="n">
        <v>3523.6</v>
      </c>
      <c r="V30" s="7" t="n">
        <v>2872.4</v>
      </c>
      <c r="X30" s="7" t="n">
        <v>2375</v>
      </c>
      <c r="Z30" s="7" t="n">
        <v>979.6</v>
      </c>
      <c r="AB30" s="7" t="n">
        <v>30514.3</v>
      </c>
    </row>
    <row r="31">
      <c r="A31" s="4" t="inlineStr">
        <is>
          <t>社保</t>
        </is>
      </c>
      <c r="D31" s="7" t="n">
        <v>1230.7</v>
      </c>
      <c r="F31" s="7" t="n">
        <v>1909.4</v>
      </c>
      <c r="H31" s="7" t="n">
        <v>2398.6</v>
      </c>
      <c r="J31" s="7" t="n">
        <v>1735.1</v>
      </c>
      <c r="L31" s="7" t="n">
        <v>2372.6</v>
      </c>
      <c r="N31" s="7" t="n">
        <v>2325.7</v>
      </c>
      <c r="P31" s="7" t="n">
        <v>1573.7</v>
      </c>
      <c r="R31" s="7" t="n">
        <v>2173.4</v>
      </c>
      <c r="T31" s="7" t="n">
        <v>4107.4</v>
      </c>
      <c r="V31" s="7" t="n">
        <v>1986</v>
      </c>
      <c r="X31" s="7" t="n">
        <v>2162.2</v>
      </c>
      <c r="Z31" s="7" t="n">
        <v>685.9</v>
      </c>
      <c r="AB31" s="7" t="n">
        <v>24660.7</v>
      </c>
    </row>
    <row r="32">
      <c r="A32" s="4" t="inlineStr">
        <is>
          <t>养老</t>
        </is>
      </c>
      <c r="D32" s="7" t="n">
        <v>47.1</v>
      </c>
      <c r="F32" s="7" t="n">
        <v>101.2</v>
      </c>
      <c r="H32" s="7" t="n">
        <v>114.1</v>
      </c>
      <c r="J32" s="7" t="n">
        <v>76.5</v>
      </c>
      <c r="L32" s="7" t="n">
        <v>103.7</v>
      </c>
      <c r="N32" s="7" t="n">
        <v>108.6</v>
      </c>
      <c r="P32" s="7" t="n">
        <v>89.7</v>
      </c>
      <c r="R32" s="7" t="n">
        <v>137.9</v>
      </c>
      <c r="T32" s="7" t="n">
        <v>115</v>
      </c>
      <c r="V32" s="7" t="n">
        <v>75.40000000000001</v>
      </c>
      <c r="X32" s="7" t="n">
        <v>90.09999999999999</v>
      </c>
      <c r="Z32" s="7" t="n">
        <v>36.2</v>
      </c>
      <c r="AB32" s="7" t="n">
        <v>1095.5</v>
      </c>
    </row>
    <row r="33">
      <c r="A33" s="4" t="inlineStr">
        <is>
          <t>医疗</t>
        </is>
      </c>
      <c r="D33" s="7" t="n">
        <v>72.59999999999999</v>
      </c>
      <c r="F33" s="7" t="n">
        <v>183.4</v>
      </c>
      <c r="H33" s="7" t="n">
        <v>225.7</v>
      </c>
      <c r="J33" s="7" t="n">
        <v>187.1</v>
      </c>
      <c r="L33" s="7" t="n">
        <v>177.8</v>
      </c>
      <c r="N33" s="7" t="n">
        <v>257.3</v>
      </c>
      <c r="P33" s="7" t="n">
        <v>169.4</v>
      </c>
      <c r="R33" s="7" t="n">
        <v>164.7</v>
      </c>
      <c r="T33" s="7" t="n">
        <v>245.5</v>
      </c>
      <c r="V33" s="7" t="n">
        <v>150.1</v>
      </c>
      <c r="X33" s="7" t="n">
        <v>174.7</v>
      </c>
      <c r="Z33" s="7" t="n">
        <v>76.09999999999999</v>
      </c>
      <c r="AB33" s="7" t="n">
        <v>2084.4</v>
      </c>
    </row>
    <row r="34">
      <c r="A34" s="4" t="inlineStr">
        <is>
          <t>工伤</t>
        </is>
      </c>
      <c r="D34" s="7" t="n">
        <v>49.3</v>
      </c>
      <c r="F34" s="7" t="n">
        <v>76.40000000000001</v>
      </c>
      <c r="H34" s="7" t="n">
        <v>70.40000000000001</v>
      </c>
      <c r="J34" s="7" t="n">
        <v>89.90000000000001</v>
      </c>
      <c r="L34" s="7" t="n">
        <v>67.3</v>
      </c>
      <c r="N34" s="7" t="n">
        <v>99.90000000000001</v>
      </c>
      <c r="P34" s="7" t="n">
        <v>94</v>
      </c>
      <c r="R34" s="7" t="n">
        <v>125.7</v>
      </c>
      <c r="T34" s="7" t="n">
        <v>136.7</v>
      </c>
      <c r="V34" s="7" t="n">
        <v>100.2</v>
      </c>
      <c r="X34" s="7" t="n">
        <v>66.59999999999999</v>
      </c>
      <c r="Z34" s="7" t="n">
        <v>27.4</v>
      </c>
      <c r="AB34" s="7" t="n">
        <v>1003.8</v>
      </c>
    </row>
    <row r="35">
      <c r="A35" s="4" t="inlineStr">
        <is>
          <t>失业</t>
        </is>
      </c>
      <c r="D35" s="7" t="n">
        <v>29.9</v>
      </c>
      <c r="F35" s="7" t="n">
        <v>77</v>
      </c>
      <c r="H35" s="7" t="n">
        <v>76</v>
      </c>
      <c r="J35" s="7" t="n">
        <v>93</v>
      </c>
      <c r="L35" s="7" t="n">
        <v>75.40000000000001</v>
      </c>
      <c r="N35" s="7" t="n">
        <v>69.90000000000001</v>
      </c>
      <c r="P35" s="7" t="n">
        <v>85.09999999999999</v>
      </c>
      <c r="R35" s="7" t="n">
        <v>77.09999999999999</v>
      </c>
      <c r="T35" s="7" t="n">
        <v>89.90000000000001</v>
      </c>
      <c r="V35" s="7" t="n">
        <v>84.3</v>
      </c>
      <c r="X35" s="7" t="n">
        <v>59.9</v>
      </c>
      <c r="Z35" s="7" t="n">
        <v>28.5</v>
      </c>
      <c r="AB35" s="7" t="n">
        <v>846</v>
      </c>
    </row>
    <row r="36">
      <c r="A36" s="4" t="inlineStr">
        <is>
          <t>生育</t>
        </is>
      </c>
      <c r="D36" s="7" t="n">
        <v>28.8</v>
      </c>
      <c r="F36" s="7" t="n">
        <v>102.8</v>
      </c>
      <c r="H36" s="7" t="n">
        <v>54.1</v>
      </c>
      <c r="J36" s="7" t="n">
        <v>55.6</v>
      </c>
      <c r="L36" s="7" t="n">
        <v>55.9</v>
      </c>
      <c r="N36" s="7" t="n">
        <v>65.8</v>
      </c>
      <c r="P36" s="7" t="n">
        <v>68.2</v>
      </c>
      <c r="R36" s="7" t="n">
        <v>94.59999999999999</v>
      </c>
      <c r="T36" s="7" t="n">
        <v>142.8</v>
      </c>
      <c r="V36" s="7" t="n">
        <v>51.1</v>
      </c>
      <c r="X36" s="7" t="n">
        <v>68.7</v>
      </c>
      <c r="Z36" s="7" t="n">
        <v>26</v>
      </c>
      <c r="AB36" s="7" t="n">
        <v>814.4</v>
      </c>
    </row>
    <row r="37">
      <c r="A37" s="4" t="inlineStr">
        <is>
          <t>公积金</t>
        </is>
      </c>
      <c r="D37" s="7" t="n">
        <v>36.6</v>
      </c>
      <c r="F37" s="7" t="n">
        <v>74.59999999999999</v>
      </c>
      <c r="H37" s="7" t="n">
        <v>63.3</v>
      </c>
      <c r="J37" s="7" t="n">
        <v>74.40000000000001</v>
      </c>
      <c r="L37" s="7" t="n">
        <v>81.09999999999999</v>
      </c>
      <c r="N37" s="7" t="n">
        <v>94.7</v>
      </c>
      <c r="P37" s="7" t="n">
        <v>53.9</v>
      </c>
      <c r="R37" s="7" t="n">
        <v>75.7</v>
      </c>
      <c r="T37" s="7" t="n">
        <v>142.3</v>
      </c>
      <c r="V37" s="7" t="n">
        <v>75.90000000000001</v>
      </c>
      <c r="X37" s="7" t="n">
        <v>58.4</v>
      </c>
      <c r="Z37" s="7" t="n">
        <v>27.9</v>
      </c>
      <c r="AB37" s="7" t="n">
        <v>858.8</v>
      </c>
    </row>
    <row r="38">
      <c r="A38" s="4" t="inlineStr">
        <is>
          <t>工会经费</t>
        </is>
      </c>
      <c r="D38" s="7" t="n">
        <v>49</v>
      </c>
      <c r="F38" s="7" t="n">
        <v>69.3</v>
      </c>
      <c r="H38" s="7" t="n">
        <v>65.2</v>
      </c>
      <c r="J38" s="7" t="n">
        <v>57.5</v>
      </c>
      <c r="L38" s="7" t="n">
        <v>68.09999999999999</v>
      </c>
      <c r="N38" s="7" t="n">
        <v>62.2</v>
      </c>
      <c r="P38" s="7" t="n">
        <v>50.4</v>
      </c>
      <c r="R38" s="7" t="n">
        <v>107.5</v>
      </c>
      <c r="T38" s="7" t="n">
        <v>112.5</v>
      </c>
      <c r="V38" s="7" t="n">
        <v>65.7</v>
      </c>
      <c r="X38" s="7" t="n">
        <v>80.8</v>
      </c>
      <c r="Z38" s="7" t="n">
        <v>27.9</v>
      </c>
      <c r="AB38" s="7" t="n">
        <v>816.1</v>
      </c>
    </row>
    <row r="39">
      <c r="A39" s="4" t="inlineStr">
        <is>
          <t>职工教育经费</t>
        </is>
      </c>
      <c r="D39" s="7" t="n">
        <v>63.6</v>
      </c>
      <c r="F39" s="7" t="n">
        <v>94.7</v>
      </c>
      <c r="H39" s="7" t="n">
        <v>82.3</v>
      </c>
      <c r="J39" s="7" t="n">
        <v>105.6</v>
      </c>
      <c r="L39" s="7" t="n">
        <v>82.2</v>
      </c>
      <c r="N39" s="7" t="n">
        <v>97</v>
      </c>
      <c r="P39" s="7" t="n">
        <v>82.8</v>
      </c>
      <c r="R39" s="7" t="n">
        <v>133.2</v>
      </c>
      <c r="T39" s="7" t="n">
        <v>150.5</v>
      </c>
      <c r="V39" s="7" t="n">
        <v>87.8</v>
      </c>
      <c r="X39" s="7" t="n">
        <v>90</v>
      </c>
      <c r="Z39" s="7" t="n">
        <v>27</v>
      </c>
      <c r="AB39" s="7" t="n">
        <v>1096.7</v>
      </c>
    </row>
    <row r="40">
      <c r="A40" s="4" t="inlineStr">
        <is>
          <t>福利费</t>
        </is>
      </c>
      <c r="D40" s="7" t="n">
        <v>313.2</v>
      </c>
      <c r="F40" s="7" t="n">
        <v>749.4</v>
      </c>
      <c r="H40" s="7" t="n">
        <v>620.6</v>
      </c>
      <c r="J40" s="7" t="n">
        <v>688.4</v>
      </c>
      <c r="L40" s="7" t="n">
        <v>643.1</v>
      </c>
      <c r="N40" s="7" t="n">
        <v>705.4</v>
      </c>
      <c r="P40" s="7" t="n">
        <v>607.8</v>
      </c>
      <c r="R40" s="7" t="n">
        <v>831.6</v>
      </c>
      <c r="T40" s="7" t="n">
        <v>976.4</v>
      </c>
      <c r="V40" s="7" t="n">
        <v>645.8</v>
      </c>
      <c r="X40" s="7" t="n">
        <v>596.6</v>
      </c>
      <c r="Z40" s="7" t="n">
        <v>211.6</v>
      </c>
      <c r="AB40" s="7" t="n">
        <v>7589.9</v>
      </c>
    </row>
    <row r="41">
      <c r="A41" s="4" t="inlineStr">
        <is>
          <t>职工房租</t>
        </is>
      </c>
      <c r="D41" s="7" t="n">
        <v>36.1</v>
      </c>
      <c r="F41" s="7" t="n">
        <v>88.7</v>
      </c>
      <c r="H41" s="7" t="n">
        <v>81.90000000000001</v>
      </c>
      <c r="J41" s="7" t="n">
        <v>112.4</v>
      </c>
      <c r="L41" s="7" t="n">
        <v>115.4</v>
      </c>
      <c r="N41" s="7" t="n">
        <v>130.5</v>
      </c>
      <c r="P41" s="7" t="n">
        <v>71</v>
      </c>
      <c r="R41" s="7" t="n">
        <v>113.3</v>
      </c>
      <c r="T41" s="7" t="n">
        <v>128.2</v>
      </c>
      <c r="V41" s="7" t="n">
        <v>88.3</v>
      </c>
      <c r="X41" s="7" t="n">
        <v>100.1</v>
      </c>
      <c r="Z41" s="7" t="n">
        <v>41.6</v>
      </c>
      <c r="AB41" s="7" t="n">
        <v>1107.5</v>
      </c>
    </row>
    <row r="42">
      <c r="A42" s="4" t="inlineStr">
        <is>
          <t>水电物业费</t>
        </is>
      </c>
      <c r="D42" s="7" t="n">
        <v>76.3</v>
      </c>
      <c r="F42" s="7" t="n">
        <v>230.2</v>
      </c>
      <c r="H42" s="7" t="n">
        <v>156.4</v>
      </c>
      <c r="J42" s="7" t="n">
        <v>198.3</v>
      </c>
      <c r="L42" s="7" t="n">
        <v>143.7</v>
      </c>
      <c r="N42" s="7" t="n">
        <v>166.6</v>
      </c>
      <c r="P42" s="7" t="n">
        <v>189</v>
      </c>
      <c r="R42" s="7" t="n">
        <v>245.5</v>
      </c>
      <c r="T42" s="7" t="n">
        <v>241.9</v>
      </c>
      <c r="V42" s="7" t="n">
        <v>184</v>
      </c>
      <c r="X42" s="7" t="n">
        <v>150.7</v>
      </c>
      <c r="Z42" s="7" t="n">
        <v>50.1</v>
      </c>
      <c r="AB42" s="7" t="n">
        <v>2032.7</v>
      </c>
    </row>
    <row r="43">
      <c r="A43" s="4" t="inlineStr">
        <is>
          <t>员工餐</t>
        </is>
      </c>
      <c r="D43" s="7" t="n">
        <v>76.2</v>
      </c>
      <c r="F43" s="7" t="n">
        <v>215.7</v>
      </c>
      <c r="H43" s="7" t="n">
        <v>116.3</v>
      </c>
      <c r="J43" s="7" t="n">
        <v>127.2</v>
      </c>
      <c r="L43" s="7" t="n">
        <v>122</v>
      </c>
      <c r="N43" s="7" t="n">
        <v>151.2</v>
      </c>
      <c r="P43" s="7" t="n">
        <v>101.9</v>
      </c>
      <c r="R43" s="7" t="n">
        <v>201.9</v>
      </c>
      <c r="T43" s="7" t="n">
        <v>219.7</v>
      </c>
      <c r="V43" s="7" t="n">
        <v>148.6</v>
      </c>
      <c r="X43" s="7" t="n">
        <v>141.1</v>
      </c>
      <c r="Z43" s="7" t="n">
        <v>34.7</v>
      </c>
      <c r="AB43" s="7" t="n">
        <v>1656.5</v>
      </c>
    </row>
    <row r="44">
      <c r="A44" s="4" t="inlineStr">
        <is>
          <t>节日礼品</t>
        </is>
      </c>
      <c r="D44" s="7" t="n">
        <v>30.2</v>
      </c>
      <c r="F44" s="7" t="n">
        <v>63.9</v>
      </c>
      <c r="H44" s="7" t="n">
        <v>69.7</v>
      </c>
      <c r="J44" s="7" t="n">
        <v>55.5</v>
      </c>
      <c r="L44" s="7" t="n">
        <v>78.5</v>
      </c>
      <c r="N44" s="7" t="n">
        <v>76.8</v>
      </c>
      <c r="P44" s="7" t="n">
        <v>70.5</v>
      </c>
      <c r="R44" s="7" t="n">
        <v>82.8</v>
      </c>
      <c r="T44" s="7" t="n">
        <v>87.09999999999999</v>
      </c>
      <c r="V44" s="7" t="n">
        <v>85.2</v>
      </c>
      <c r="X44" s="7" t="n">
        <v>46.7</v>
      </c>
      <c r="Z44" s="7" t="n">
        <v>25.1</v>
      </c>
      <c r="AB44" s="7" t="n">
        <v>772</v>
      </c>
    </row>
    <row r="45">
      <c r="A45" s="4" t="inlineStr">
        <is>
          <t>生日礼品</t>
        </is>
      </c>
      <c r="D45" s="7" t="n">
        <v>11.6</v>
      </c>
      <c r="F45" s="7" t="n">
        <v>26.8</v>
      </c>
      <c r="H45" s="7" t="n">
        <v>22.7</v>
      </c>
      <c r="J45" s="7" t="n">
        <v>23.5</v>
      </c>
      <c r="L45" s="7" t="n">
        <v>19.7</v>
      </c>
      <c r="N45" s="7" t="n">
        <v>23.7</v>
      </c>
      <c r="P45" s="7" t="n">
        <v>15.3</v>
      </c>
      <c r="R45" s="7" t="n">
        <v>27.6</v>
      </c>
      <c r="T45" s="7" t="n">
        <v>41.2</v>
      </c>
      <c r="V45" s="7" t="n">
        <v>19</v>
      </c>
      <c r="X45" s="7" t="n">
        <v>24.3</v>
      </c>
      <c r="Z45" s="7" t="n">
        <v>10</v>
      </c>
      <c r="AB45" s="7" t="n">
        <v>265.4</v>
      </c>
    </row>
    <row r="46">
      <c r="A46" s="4" t="inlineStr">
        <is>
          <t>体检</t>
        </is>
      </c>
      <c r="D46" s="7" t="n">
        <v>7.2</v>
      </c>
      <c r="F46" s="7" t="n">
        <v>14.3</v>
      </c>
      <c r="H46" s="7" t="n">
        <v>16.1</v>
      </c>
      <c r="J46" s="7" t="n">
        <v>14</v>
      </c>
      <c r="L46" s="7" t="n">
        <v>16.8</v>
      </c>
      <c r="N46" s="7" t="n">
        <v>12.5</v>
      </c>
      <c r="P46" s="7" t="n">
        <v>14.5</v>
      </c>
      <c r="R46" s="7" t="n">
        <v>14.4</v>
      </c>
      <c r="T46" s="7" t="n">
        <v>20.3</v>
      </c>
      <c r="V46" s="7" t="n">
        <v>13.2</v>
      </c>
      <c r="X46" s="7" t="n">
        <v>13.9</v>
      </c>
      <c r="Z46" s="7" t="n">
        <v>6</v>
      </c>
      <c r="AB46" s="7" t="n">
        <v>163.2</v>
      </c>
    </row>
    <row r="47">
      <c r="A47" s="4" t="inlineStr">
        <is>
          <t>其他福利支出</t>
        </is>
      </c>
      <c r="D47" s="7" t="n">
        <v>75.59999999999999</v>
      </c>
      <c r="F47" s="7" t="n">
        <v>109.8</v>
      </c>
      <c r="H47" s="7" t="n">
        <v>157.5</v>
      </c>
      <c r="J47" s="7" t="n">
        <v>157.5</v>
      </c>
      <c r="L47" s="7" t="n">
        <v>147</v>
      </c>
      <c r="N47" s="7" t="n">
        <v>144.1</v>
      </c>
      <c r="P47" s="7" t="n">
        <v>145.6</v>
      </c>
      <c r="R47" s="7" t="n">
        <v>146.1</v>
      </c>
      <c r="T47" s="7" t="n">
        <v>238</v>
      </c>
      <c r="V47" s="7" t="n">
        <v>107.5</v>
      </c>
      <c r="X47" s="7" t="n">
        <v>119.8</v>
      </c>
      <c r="Z47" s="7" t="n">
        <v>44.1</v>
      </c>
      <c r="AB47" s="7" t="n">
        <v>1592.6</v>
      </c>
    </row>
    <row r="48">
      <c r="A48" s="4" t="inlineStr">
        <is>
          <t>招聘费</t>
        </is>
      </c>
      <c r="D48" s="7" t="n">
        <v>21.1</v>
      </c>
      <c r="F48" s="7" t="n">
        <v>46.3</v>
      </c>
      <c r="H48" s="7" t="n">
        <v>27.8</v>
      </c>
      <c r="J48" s="7" t="n">
        <v>34.7</v>
      </c>
      <c r="L48" s="7" t="n">
        <v>41.8</v>
      </c>
      <c r="N48" s="7" t="n">
        <v>54.4</v>
      </c>
      <c r="P48" s="7" t="n">
        <v>44.6</v>
      </c>
      <c r="R48" s="7" t="n">
        <v>36.2</v>
      </c>
      <c r="T48" s="7" t="n">
        <v>48.1</v>
      </c>
      <c r="V48" s="7" t="n">
        <v>34.6</v>
      </c>
      <c r="X48" s="7" t="n">
        <v>36.3</v>
      </c>
      <c r="Z48" s="7" t="n">
        <v>10.5</v>
      </c>
      <c r="AB48" s="7" t="n">
        <v>436.4</v>
      </c>
    </row>
    <row r="49">
      <c r="A49" s="4" t="inlineStr">
        <is>
          <t>办公费</t>
        </is>
      </c>
      <c r="D49" s="7" t="n">
        <v>318.8</v>
      </c>
      <c r="F49" s="7" t="n">
        <v>1062.4</v>
      </c>
      <c r="H49" s="7" t="n">
        <v>927.8</v>
      </c>
      <c r="J49" s="7" t="n">
        <v>714.7</v>
      </c>
      <c r="L49" s="7" t="n">
        <v>959</v>
      </c>
      <c r="N49" s="7" t="n">
        <v>902.9</v>
      </c>
      <c r="P49" s="7" t="n">
        <v>730.3</v>
      </c>
      <c r="R49" s="7" t="n">
        <v>1177.3</v>
      </c>
      <c r="T49" s="7" t="n">
        <v>903.8</v>
      </c>
      <c r="V49" s="7" t="n">
        <v>658.1</v>
      </c>
      <c r="X49" s="7" t="n">
        <v>773.1</v>
      </c>
      <c r="Z49" s="7" t="n">
        <v>326.5</v>
      </c>
      <c r="AB49" s="7" t="n">
        <v>9454.700000000001</v>
      </c>
    </row>
    <row r="50">
      <c r="A50" s="4" t="inlineStr">
        <is>
          <t>市内交通费</t>
        </is>
      </c>
      <c r="D50" s="7" t="n">
        <v>94.3</v>
      </c>
      <c r="F50" s="7" t="n">
        <v>224.4</v>
      </c>
      <c r="H50" s="7" t="n">
        <v>146.6</v>
      </c>
      <c r="J50" s="7" t="n">
        <v>104.7</v>
      </c>
      <c r="L50" s="7" t="n">
        <v>116.5</v>
      </c>
      <c r="N50" s="7" t="n">
        <v>140</v>
      </c>
      <c r="P50" s="7" t="n">
        <v>169.5</v>
      </c>
      <c r="R50" s="7" t="n">
        <v>151.8</v>
      </c>
      <c r="T50" s="7" t="n">
        <v>282.9</v>
      </c>
      <c r="V50" s="7" t="n">
        <v>179.7</v>
      </c>
      <c r="X50" s="7" t="n">
        <v>164.3</v>
      </c>
      <c r="Z50" s="7" t="n">
        <v>62.2</v>
      </c>
      <c r="AB50" s="7" t="n">
        <v>1836.9</v>
      </c>
    </row>
    <row r="51">
      <c r="A51" s="4" t="inlineStr">
        <is>
          <t>差旅费</t>
        </is>
      </c>
      <c r="D51" s="7" t="n">
        <v>878.4</v>
      </c>
      <c r="F51" s="7" t="n">
        <v>2046.3</v>
      </c>
      <c r="H51" s="7" t="n">
        <v>1424.1</v>
      </c>
      <c r="J51" s="7" t="n">
        <v>1497.8</v>
      </c>
      <c r="L51" s="7" t="n">
        <v>1445</v>
      </c>
      <c r="N51" s="7" t="n">
        <v>2464.9</v>
      </c>
      <c r="P51" s="7" t="n">
        <v>1593.9</v>
      </c>
      <c r="R51" s="7" t="n">
        <v>1702.5</v>
      </c>
      <c r="T51" s="7" t="n">
        <v>2944.1</v>
      </c>
      <c r="V51" s="7" t="n">
        <v>1534.1</v>
      </c>
      <c r="X51" s="7" t="n">
        <v>1392.3</v>
      </c>
      <c r="Z51" s="7" t="n">
        <v>619.4</v>
      </c>
      <c r="AB51" s="7" t="n">
        <v>19542.8</v>
      </c>
    </row>
    <row r="52">
      <c r="A52" s="4" t="inlineStr">
        <is>
          <t>交通费</t>
        </is>
      </c>
      <c r="D52" s="7" t="n">
        <v>2.6</v>
      </c>
      <c r="F52" s="7" t="n">
        <v>4.1</v>
      </c>
      <c r="H52" s="7" t="n">
        <v>5.3</v>
      </c>
      <c r="J52" s="7" t="n">
        <v>4.1</v>
      </c>
      <c r="L52" s="7" t="n">
        <v>4</v>
      </c>
      <c r="N52" s="7" t="n">
        <v>5.5</v>
      </c>
      <c r="P52" s="7" t="n">
        <v>4.2</v>
      </c>
      <c r="R52" s="7" t="n">
        <v>5.8</v>
      </c>
      <c r="T52" s="7" t="n">
        <v>6</v>
      </c>
      <c r="V52" s="7" t="n">
        <v>4.9</v>
      </c>
      <c r="X52" s="7" t="n">
        <v>3.9</v>
      </c>
      <c r="Z52" s="7" t="n">
        <v>1.3</v>
      </c>
      <c r="AB52" s="7" t="n">
        <v>51.7</v>
      </c>
    </row>
    <row r="53">
      <c r="A53" s="4" t="inlineStr">
        <is>
          <t>住宿费</t>
        </is>
      </c>
      <c r="D53" s="7" t="n">
        <v>107.5</v>
      </c>
      <c r="F53" s="7" t="n">
        <v>251</v>
      </c>
      <c r="H53" s="7" t="n">
        <v>175.7</v>
      </c>
      <c r="J53" s="7" t="n">
        <v>115</v>
      </c>
      <c r="L53" s="7" t="n">
        <v>219.6</v>
      </c>
      <c r="N53" s="7" t="n">
        <v>241.6</v>
      </c>
      <c r="P53" s="7" t="n">
        <v>135.2</v>
      </c>
      <c r="R53" s="7" t="n">
        <v>234.2</v>
      </c>
      <c r="T53" s="7" t="n">
        <v>187.4</v>
      </c>
      <c r="V53" s="7" t="n">
        <v>196.8</v>
      </c>
      <c r="X53" s="7" t="n">
        <v>113.2</v>
      </c>
      <c r="Z53" s="7" t="n">
        <v>63.7</v>
      </c>
      <c r="AB53" s="7" t="n">
        <v>2040.9</v>
      </c>
    </row>
    <row r="54">
      <c r="A54" s="4" t="inlineStr">
        <is>
          <t>餐补</t>
        </is>
      </c>
      <c r="D54" s="7" t="n">
        <v>54.8</v>
      </c>
      <c r="F54" s="7" t="n">
        <v>177</v>
      </c>
      <c r="H54" s="7" t="n">
        <v>114.4</v>
      </c>
      <c r="J54" s="7" t="n">
        <v>97.8</v>
      </c>
      <c r="L54" s="7" t="n">
        <v>154.6</v>
      </c>
      <c r="N54" s="7" t="n">
        <v>198.5</v>
      </c>
      <c r="P54" s="7" t="n">
        <v>90.8</v>
      </c>
      <c r="R54" s="7" t="n">
        <v>132.1</v>
      </c>
      <c r="T54" s="7" t="n">
        <v>191.8</v>
      </c>
      <c r="V54" s="7" t="n">
        <v>125.5</v>
      </c>
      <c r="X54" s="7" t="n">
        <v>117.9</v>
      </c>
      <c r="Z54" s="7" t="n">
        <v>57.9</v>
      </c>
      <c r="AB54" s="7" t="n">
        <v>1513.1</v>
      </c>
    </row>
    <row r="55">
      <c r="A55" s="4" t="inlineStr">
        <is>
          <t>交通补助</t>
        </is>
      </c>
      <c r="D55" s="7" t="n">
        <v>56.2</v>
      </c>
      <c r="F55" s="7" t="n">
        <v>133.2</v>
      </c>
      <c r="H55" s="7" t="n">
        <v>70.59999999999999</v>
      </c>
      <c r="J55" s="7" t="n">
        <v>114.2</v>
      </c>
      <c r="L55" s="7" t="n">
        <v>81.59999999999999</v>
      </c>
      <c r="N55" s="7" t="n">
        <v>113.4</v>
      </c>
      <c r="P55" s="7" t="n">
        <v>90.59999999999999</v>
      </c>
      <c r="R55" s="7" t="n">
        <v>130</v>
      </c>
      <c r="T55" s="7" t="n">
        <v>168.5</v>
      </c>
      <c r="V55" s="7" t="n">
        <v>67.3</v>
      </c>
      <c r="X55" s="7" t="n">
        <v>71</v>
      </c>
      <c r="Z55" s="7" t="n">
        <v>25.4</v>
      </c>
      <c r="AB55" s="7" t="n">
        <v>1122</v>
      </c>
    </row>
    <row r="56">
      <c r="A56" s="4" t="inlineStr">
        <is>
          <t>通讯补助</t>
        </is>
      </c>
      <c r="D56" s="7" t="n">
        <v>23.1</v>
      </c>
      <c r="F56" s="7" t="n">
        <v>46.4</v>
      </c>
      <c r="H56" s="7" t="n">
        <v>48.1</v>
      </c>
      <c r="J56" s="7" t="n">
        <v>61.2</v>
      </c>
      <c r="L56" s="7" t="n">
        <v>47.2</v>
      </c>
      <c r="N56" s="7" t="n">
        <v>66</v>
      </c>
      <c r="P56" s="7" t="n">
        <v>57.4</v>
      </c>
      <c r="R56" s="7" t="n">
        <v>51.9</v>
      </c>
      <c r="T56" s="7" t="n">
        <v>85.09999999999999</v>
      </c>
      <c r="V56" s="7" t="n">
        <v>37.7</v>
      </c>
      <c r="X56" s="7" t="n">
        <v>44.6</v>
      </c>
      <c r="Z56" s="7" t="n">
        <v>15.1</v>
      </c>
      <c r="AB56" s="7" t="n">
        <v>583.8</v>
      </c>
    </row>
    <row r="57">
      <c r="A57" s="4" t="inlineStr">
        <is>
          <t>招待费</t>
        </is>
      </c>
      <c r="D57" s="7" t="n">
        <v>513.4</v>
      </c>
      <c r="F57" s="7" t="n">
        <v>1214.2</v>
      </c>
      <c r="H57" s="7" t="n">
        <v>1106.4</v>
      </c>
      <c r="J57" s="7" t="n">
        <v>876.1</v>
      </c>
      <c r="L57" s="7" t="n">
        <v>1215.3</v>
      </c>
      <c r="N57" s="7" t="n">
        <v>908.8</v>
      </c>
      <c r="P57" s="7" t="n">
        <v>1298.2</v>
      </c>
      <c r="R57" s="7" t="n">
        <v>1393</v>
      </c>
      <c r="T57" s="7" t="n">
        <v>1517.9</v>
      </c>
      <c r="V57" s="7" t="n">
        <v>932</v>
      </c>
      <c r="X57" s="7" t="n">
        <v>732.4</v>
      </c>
      <c r="Z57" s="7" t="n">
        <v>475.6</v>
      </c>
      <c r="AB57" s="7" t="n">
        <v>12183.3</v>
      </c>
    </row>
    <row r="58">
      <c r="A58" s="4" t="inlineStr">
        <is>
          <t>通讯费</t>
        </is>
      </c>
      <c r="D58" s="7" t="n">
        <v>36.7</v>
      </c>
      <c r="F58" s="7" t="n">
        <v>75.90000000000001</v>
      </c>
      <c r="H58" s="7" t="n">
        <v>102.4</v>
      </c>
      <c r="J58" s="7" t="n">
        <v>57.2</v>
      </c>
      <c r="L58" s="7" t="n">
        <v>103.1</v>
      </c>
      <c r="N58" s="7" t="n">
        <v>111.5</v>
      </c>
      <c r="P58" s="7" t="n">
        <v>83.8</v>
      </c>
      <c r="R58" s="7" t="n">
        <v>96.09999999999999</v>
      </c>
      <c r="T58" s="7" t="n">
        <v>134</v>
      </c>
      <c r="V58" s="7" t="n">
        <v>88.5</v>
      </c>
      <c r="X58" s="7" t="n">
        <v>76.8</v>
      </c>
      <c r="Z58" s="7" t="n">
        <v>24</v>
      </c>
      <c r="AB58" s="7" t="n">
        <v>990</v>
      </c>
    </row>
    <row r="59">
      <c r="A59" s="4" t="inlineStr">
        <is>
          <t>网络费</t>
        </is>
      </c>
      <c r="D59" s="7" t="n">
        <v>64.09999999999999</v>
      </c>
      <c r="F59" s="7" t="n">
        <v>119.7</v>
      </c>
      <c r="H59" s="7" t="n">
        <v>128.1</v>
      </c>
      <c r="J59" s="7" t="n">
        <v>115</v>
      </c>
      <c r="L59" s="7" t="n">
        <v>167.6</v>
      </c>
      <c r="N59" s="7" t="n">
        <v>149.4</v>
      </c>
      <c r="P59" s="7" t="n">
        <v>113.6</v>
      </c>
      <c r="R59" s="7" t="n">
        <v>119.2</v>
      </c>
      <c r="T59" s="7" t="n">
        <v>204.4</v>
      </c>
      <c r="V59" s="7" t="n">
        <v>147.5</v>
      </c>
      <c r="X59" s="7" t="n">
        <v>102.4</v>
      </c>
      <c r="Z59" s="7" t="n">
        <v>41.5</v>
      </c>
      <c r="AB59" s="7" t="n">
        <v>1472.5</v>
      </c>
    </row>
    <row r="60">
      <c r="A60" s="4" t="inlineStr">
        <is>
          <t>修理费</t>
        </is>
      </c>
      <c r="D60" s="7" t="n">
        <v>70.8</v>
      </c>
      <c r="F60" s="7" t="n">
        <v>180.4</v>
      </c>
      <c r="H60" s="7" t="n">
        <v>105.9</v>
      </c>
      <c r="J60" s="7" t="n">
        <v>95.5</v>
      </c>
      <c r="L60" s="7" t="n">
        <v>166.7</v>
      </c>
      <c r="N60" s="7" t="n">
        <v>175.4</v>
      </c>
      <c r="P60" s="7" t="n">
        <v>152.3</v>
      </c>
      <c r="R60" s="7" t="n">
        <v>149.7</v>
      </c>
      <c r="T60" s="7" t="n">
        <v>264.7</v>
      </c>
      <c r="V60" s="7" t="n">
        <v>106.7</v>
      </c>
      <c r="X60" s="7" t="n">
        <v>93.90000000000001</v>
      </c>
      <c r="Z60" s="7" t="n">
        <v>43.5</v>
      </c>
      <c r="AB60" s="7" t="n">
        <v>1605.5</v>
      </c>
    </row>
    <row r="61">
      <c r="A61" s="4" t="inlineStr">
        <is>
          <t>车辆费</t>
        </is>
      </c>
      <c r="D61" s="7" t="n">
        <v>53.9</v>
      </c>
      <c r="F61" s="7" t="n">
        <v>114.7</v>
      </c>
      <c r="H61" s="7" t="n">
        <v>93.90000000000001</v>
      </c>
      <c r="J61" s="7" t="n">
        <v>74.8</v>
      </c>
      <c r="L61" s="7" t="n">
        <v>92.09999999999999</v>
      </c>
      <c r="N61" s="7" t="n">
        <v>104.4</v>
      </c>
      <c r="P61" s="7" t="n">
        <v>77.2</v>
      </c>
      <c r="R61" s="7" t="n">
        <v>103.4</v>
      </c>
      <c r="T61" s="7" t="n">
        <v>164.7</v>
      </c>
      <c r="V61" s="7" t="n">
        <v>110.2</v>
      </c>
      <c r="X61" s="7" t="n">
        <v>85</v>
      </c>
      <c r="Z61" s="7" t="n">
        <v>30.3</v>
      </c>
      <c r="AB61" s="7" t="n">
        <v>1104.6</v>
      </c>
    </row>
    <row r="62">
      <c r="A62" s="4" t="inlineStr">
        <is>
          <t>租赁费</t>
        </is>
      </c>
      <c r="D62" s="7" t="n">
        <v>675.5</v>
      </c>
      <c r="F62" s="7" t="n">
        <v>1864.6</v>
      </c>
      <c r="H62" s="7" t="n">
        <v>1042.8</v>
      </c>
      <c r="J62" s="7" t="n">
        <v>1663.9</v>
      </c>
      <c r="L62" s="7" t="n">
        <v>1583.5</v>
      </c>
      <c r="N62" s="7" t="n">
        <v>1447.4</v>
      </c>
      <c r="P62" s="7" t="n">
        <v>940</v>
      </c>
      <c r="R62" s="7" t="n">
        <v>1912</v>
      </c>
      <c r="T62" s="7" t="n">
        <v>2180.8</v>
      </c>
      <c r="V62" s="7" t="n">
        <v>1153.6</v>
      </c>
      <c r="X62" s="7" t="n">
        <v>1141.6</v>
      </c>
      <c r="Z62" s="7" t="n">
        <v>507.8</v>
      </c>
      <c r="AB62" s="7" t="n">
        <v>16113.5</v>
      </c>
    </row>
    <row r="63">
      <c r="A63" s="4" t="inlineStr">
        <is>
          <t>能源费</t>
        </is>
      </c>
      <c r="D63" s="7" t="n">
        <v>306.3</v>
      </c>
      <c r="F63" s="7" t="n">
        <v>714.8</v>
      </c>
      <c r="H63" s="7" t="n">
        <v>529.1</v>
      </c>
      <c r="J63" s="7" t="n">
        <v>576.6</v>
      </c>
      <c r="L63" s="7" t="n">
        <v>600.5</v>
      </c>
      <c r="N63" s="7" t="n">
        <v>534.7</v>
      </c>
      <c r="P63" s="7" t="n">
        <v>616.1</v>
      </c>
      <c r="R63" s="7" t="n">
        <v>801</v>
      </c>
      <c r="T63" s="7" t="n">
        <v>796</v>
      </c>
      <c r="V63" s="7" t="n">
        <v>498.1</v>
      </c>
      <c r="X63" s="7" t="n">
        <v>482.6</v>
      </c>
      <c r="Z63" s="7" t="n">
        <v>213</v>
      </c>
      <c r="AB63" s="7" t="n">
        <v>6668.8</v>
      </c>
    </row>
    <row r="64">
      <c r="A64" s="4" t="inlineStr">
        <is>
          <t>水费</t>
        </is>
      </c>
      <c r="D64" s="7" t="n">
        <v>57.9</v>
      </c>
      <c r="F64" s="7" t="n">
        <v>106.7</v>
      </c>
      <c r="H64" s="7" t="n">
        <v>75.09999999999999</v>
      </c>
      <c r="J64" s="7" t="n">
        <v>90.7</v>
      </c>
      <c r="L64" s="7" t="n">
        <v>118.7</v>
      </c>
      <c r="N64" s="7" t="n">
        <v>86.90000000000001</v>
      </c>
      <c r="P64" s="7" t="n">
        <v>84.8</v>
      </c>
      <c r="R64" s="7" t="n">
        <v>155.2</v>
      </c>
      <c r="T64" s="7" t="n">
        <v>144.4</v>
      </c>
      <c r="V64" s="7" t="n">
        <v>86.7</v>
      </c>
      <c r="X64" s="7" t="n">
        <v>67.09999999999999</v>
      </c>
      <c r="Z64" s="7" t="n">
        <v>30.6</v>
      </c>
      <c r="AB64" s="7" t="n">
        <v>1104.8</v>
      </c>
    </row>
    <row r="65">
      <c r="A65" s="4" t="inlineStr">
        <is>
          <t>电费</t>
        </is>
      </c>
      <c r="D65" s="7" t="n">
        <v>74.8</v>
      </c>
      <c r="F65" s="7" t="n">
        <v>146.1</v>
      </c>
      <c r="H65" s="7" t="n">
        <v>181.5</v>
      </c>
      <c r="J65" s="7" t="n">
        <v>144.1</v>
      </c>
      <c r="L65" s="7" t="n">
        <v>154.8</v>
      </c>
      <c r="N65" s="7" t="n">
        <v>166.5</v>
      </c>
      <c r="P65" s="7" t="n">
        <v>168.1</v>
      </c>
      <c r="R65" s="7" t="n">
        <v>219.1</v>
      </c>
      <c r="T65" s="7" t="n">
        <v>243.3</v>
      </c>
      <c r="V65" s="7" t="n">
        <v>163.8</v>
      </c>
      <c r="X65" s="7" t="n">
        <v>105.1</v>
      </c>
      <c r="Z65" s="7" t="n">
        <v>63.4</v>
      </c>
      <c r="AB65" s="7" t="n">
        <v>1830.6</v>
      </c>
    </row>
    <row r="66">
      <c r="A66" s="4" t="inlineStr">
        <is>
          <t>燃气费</t>
        </is>
      </c>
      <c r="D66" s="7" t="n">
        <v>101.9</v>
      </c>
      <c r="F66" s="7" t="n">
        <v>221.7</v>
      </c>
      <c r="H66" s="7" t="n">
        <v>149.8</v>
      </c>
      <c r="J66" s="7" t="n">
        <v>185.6</v>
      </c>
      <c r="L66" s="7" t="n">
        <v>198.9</v>
      </c>
      <c r="N66" s="7" t="n">
        <v>136.9</v>
      </c>
      <c r="P66" s="7" t="n">
        <v>176</v>
      </c>
      <c r="R66" s="7" t="n">
        <v>191.2</v>
      </c>
      <c r="T66" s="7" t="n">
        <v>185</v>
      </c>
      <c r="V66" s="7" t="n">
        <v>115.4</v>
      </c>
      <c r="X66" s="7" t="n">
        <v>150.8</v>
      </c>
      <c r="Z66" s="7" t="n">
        <v>59.7</v>
      </c>
      <c r="AB66" s="7" t="n">
        <v>1872.9</v>
      </c>
    </row>
    <row r="67">
      <c r="A67" s="4" t="inlineStr">
        <is>
          <t>蒸汽费</t>
        </is>
      </c>
      <c r="D67" s="7" t="n">
        <v>71.7</v>
      </c>
      <c r="F67" s="7" t="n">
        <v>240.3</v>
      </c>
      <c r="H67" s="7" t="n">
        <v>122.7</v>
      </c>
      <c r="J67" s="7" t="n">
        <v>156.2</v>
      </c>
      <c r="L67" s="7" t="n">
        <v>128.1</v>
      </c>
      <c r="N67" s="7" t="n">
        <v>144.4</v>
      </c>
      <c r="P67" s="7" t="n">
        <v>187.2</v>
      </c>
      <c r="R67" s="7" t="n">
        <v>235.5</v>
      </c>
      <c r="T67" s="7" t="n">
        <v>223.3</v>
      </c>
      <c r="V67" s="7" t="n">
        <v>132.2</v>
      </c>
      <c r="X67" s="7" t="n">
        <v>159.6</v>
      </c>
      <c r="Z67" s="7" t="n">
        <v>59.3</v>
      </c>
      <c r="AB67" s="7" t="n">
        <v>1860.5</v>
      </c>
    </row>
    <row r="68">
      <c r="A68" s="4" t="inlineStr">
        <is>
          <t>物业费</t>
        </is>
      </c>
      <c r="D68" s="7" t="n">
        <v>107.9</v>
      </c>
      <c r="F68" s="7" t="n">
        <v>180.3</v>
      </c>
      <c r="H68" s="7" t="n">
        <v>175.9</v>
      </c>
      <c r="J68" s="7" t="n">
        <v>188.6</v>
      </c>
      <c r="L68" s="7" t="n">
        <v>183.7</v>
      </c>
      <c r="N68" s="7" t="n">
        <v>181.2</v>
      </c>
      <c r="P68" s="7" t="n">
        <v>148.1</v>
      </c>
      <c r="R68" s="7" t="n">
        <v>231.9</v>
      </c>
      <c r="T68" s="7" t="n">
        <v>298</v>
      </c>
      <c r="V68" s="7" t="n">
        <v>182.8</v>
      </c>
      <c r="X68" s="7" t="n">
        <v>172.9</v>
      </c>
      <c r="Z68" s="7" t="n">
        <v>72.5</v>
      </c>
      <c r="AB68" s="7" t="n">
        <v>2123.8</v>
      </c>
    </row>
    <row r="69">
      <c r="A69" s="4" t="inlineStr">
        <is>
          <t>劳动保护费</t>
        </is>
      </c>
      <c r="D69" s="7" t="n">
        <v>67.59999999999999</v>
      </c>
      <c r="F69" s="7" t="n">
        <v>149</v>
      </c>
      <c r="H69" s="7" t="n">
        <v>113.4</v>
      </c>
      <c r="J69" s="7" t="n">
        <v>134</v>
      </c>
      <c r="L69" s="7" t="n">
        <v>120.7</v>
      </c>
      <c r="N69" s="7" t="n">
        <v>166.1</v>
      </c>
      <c r="P69" s="7" t="n">
        <v>108.4</v>
      </c>
      <c r="R69" s="7" t="n">
        <v>149.2</v>
      </c>
      <c r="T69" s="7" t="n">
        <v>166.2</v>
      </c>
      <c r="V69" s="7" t="n">
        <v>126.8</v>
      </c>
      <c r="X69" s="7" t="n">
        <v>120.5</v>
      </c>
      <c r="Z69" s="7" t="n">
        <v>40.7</v>
      </c>
      <c r="AB69" s="7" t="n">
        <v>1462.6</v>
      </c>
    </row>
    <row r="70">
      <c r="A70" s="4" t="inlineStr">
        <is>
          <t>顾问费</t>
        </is>
      </c>
      <c r="D70" s="7" t="n">
        <v>66.3</v>
      </c>
      <c r="F70" s="7" t="n">
        <v>222.7</v>
      </c>
      <c r="H70" s="7" t="n">
        <v>109.6</v>
      </c>
      <c r="J70" s="7" t="n">
        <v>160.4</v>
      </c>
      <c r="L70" s="7" t="n">
        <v>145.8</v>
      </c>
      <c r="N70" s="7" t="n">
        <v>143.5</v>
      </c>
      <c r="P70" s="7" t="n">
        <v>173.4</v>
      </c>
      <c r="R70" s="7" t="n">
        <v>168</v>
      </c>
      <c r="T70" s="7" t="n">
        <v>187</v>
      </c>
      <c r="V70" s="7" t="n">
        <v>166</v>
      </c>
      <c r="X70" s="7" t="n">
        <v>148.6</v>
      </c>
      <c r="Z70" s="7" t="n">
        <v>50.8</v>
      </c>
      <c r="AB70" s="7" t="n">
        <v>1742.1</v>
      </c>
    </row>
    <row r="71">
      <c r="A71" s="4" t="inlineStr">
        <is>
          <t>快递费</t>
        </is>
      </c>
      <c r="D71" s="7" t="n">
        <v>79.59999999999999</v>
      </c>
      <c r="F71" s="7" t="n">
        <v>221.9</v>
      </c>
      <c r="H71" s="7" t="n">
        <v>114.2</v>
      </c>
      <c r="J71" s="7" t="n">
        <v>164.7</v>
      </c>
      <c r="L71" s="7" t="n">
        <v>151.6</v>
      </c>
      <c r="N71" s="7" t="n">
        <v>190</v>
      </c>
      <c r="P71" s="7" t="n">
        <v>112.1</v>
      </c>
      <c r="R71" s="7" t="n">
        <v>189.6</v>
      </c>
      <c r="T71" s="7" t="n">
        <v>154.4</v>
      </c>
      <c r="V71" s="7" t="n">
        <v>97.8</v>
      </c>
      <c r="X71" s="7" t="n">
        <v>136.5</v>
      </c>
      <c r="Z71" s="7" t="n">
        <v>49.9</v>
      </c>
      <c r="AB71" s="7" t="n">
        <v>1662.3</v>
      </c>
    </row>
    <row r="72">
      <c r="A72" s="4" t="inlineStr">
        <is>
          <t>诉讼费</t>
        </is>
      </c>
      <c r="D72" s="7" t="n">
        <v>16.9</v>
      </c>
      <c r="F72" s="7" t="n">
        <v>41.7</v>
      </c>
      <c r="H72" s="7" t="n">
        <v>43.8</v>
      </c>
      <c r="J72" s="7" t="n">
        <v>46.3</v>
      </c>
      <c r="L72" s="7" t="n">
        <v>34.7</v>
      </c>
      <c r="N72" s="7" t="n">
        <v>63.8</v>
      </c>
      <c r="P72" s="7" t="n">
        <v>37.1</v>
      </c>
      <c r="R72" s="7" t="n">
        <v>63.1</v>
      </c>
      <c r="T72" s="7" t="n">
        <v>51.5</v>
      </c>
      <c r="V72" s="7" t="n">
        <v>31.7</v>
      </c>
      <c r="X72" s="7" t="n">
        <v>42.9</v>
      </c>
      <c r="Z72" s="7" t="n">
        <v>19.6</v>
      </c>
      <c r="AB72" s="7" t="n">
        <v>493.1</v>
      </c>
    </row>
    <row r="73">
      <c r="A73" s="4" t="inlineStr">
        <is>
          <t>会员费</t>
        </is>
      </c>
      <c r="D73" s="7" t="n">
        <v>28.6</v>
      </c>
      <c r="F73" s="7" t="n">
        <v>67.3</v>
      </c>
      <c r="H73" s="7" t="n">
        <v>71.3</v>
      </c>
      <c r="J73" s="7" t="n">
        <v>76.2</v>
      </c>
      <c r="L73" s="7" t="n">
        <v>87.8</v>
      </c>
      <c r="N73" s="7" t="n">
        <v>97.3</v>
      </c>
      <c r="P73" s="7" t="n">
        <v>85.90000000000001</v>
      </c>
      <c r="R73" s="7" t="n">
        <v>118.1</v>
      </c>
      <c r="T73" s="7" t="n">
        <v>124</v>
      </c>
      <c r="V73" s="7" t="n">
        <v>89.7</v>
      </c>
      <c r="X73" s="7" t="n">
        <v>82.2</v>
      </c>
      <c r="Z73" s="7" t="n">
        <v>22.3</v>
      </c>
      <c r="AB73" s="7" t="n">
        <v>950.7</v>
      </c>
    </row>
    <row r="74">
      <c r="A74" s="4" t="inlineStr">
        <is>
          <t>广告宣传费</t>
        </is>
      </c>
      <c r="D74" s="7" t="n">
        <v>387.2</v>
      </c>
      <c r="F74" s="7" t="n">
        <v>1025.7</v>
      </c>
      <c r="H74" s="7" t="n">
        <v>933</v>
      </c>
      <c r="J74" s="7" t="n">
        <v>734.7</v>
      </c>
      <c r="L74" s="7" t="n">
        <v>1048.9</v>
      </c>
      <c r="N74" s="7" t="n">
        <v>1021.6</v>
      </c>
      <c r="P74" s="7" t="n">
        <v>594</v>
      </c>
      <c r="R74" s="7" t="n">
        <v>1078.4</v>
      </c>
      <c r="T74" s="7" t="n">
        <v>1256.7</v>
      </c>
      <c r="V74" s="7" t="n">
        <v>607.1</v>
      </c>
      <c r="X74" s="7" t="n">
        <v>610.4</v>
      </c>
      <c r="Z74" s="7" t="n">
        <v>250.4</v>
      </c>
      <c r="AB74" s="7" t="n">
        <v>9548.1</v>
      </c>
    </row>
    <row r="75">
      <c r="A75" s="4" t="inlineStr">
        <is>
          <t>会务费</t>
        </is>
      </c>
      <c r="D75" s="7" t="n">
        <v>85.40000000000001</v>
      </c>
      <c r="F75" s="7" t="n">
        <v>189.6</v>
      </c>
      <c r="H75" s="7" t="n">
        <v>175</v>
      </c>
      <c r="J75" s="7" t="n">
        <v>190.6</v>
      </c>
      <c r="L75" s="7" t="n">
        <v>184</v>
      </c>
      <c r="N75" s="7" t="n">
        <v>159.4</v>
      </c>
      <c r="P75" s="7" t="n">
        <v>120.8</v>
      </c>
      <c r="R75" s="7" t="n">
        <v>248.5</v>
      </c>
      <c r="T75" s="7" t="n">
        <v>189</v>
      </c>
      <c r="V75" s="7" t="n">
        <v>204.4</v>
      </c>
      <c r="X75" s="7" t="n">
        <v>140</v>
      </c>
      <c r="Z75" s="7" t="n">
        <v>45.4</v>
      </c>
      <c r="AB75" s="7" t="n">
        <v>1932.1</v>
      </c>
    </row>
    <row r="76">
      <c r="A76" s="4" t="inlineStr">
        <is>
          <t>装修费</t>
        </is>
      </c>
      <c r="D76" s="7" t="n">
        <v>59.6</v>
      </c>
      <c r="F76" s="7" t="n">
        <v>115.6</v>
      </c>
      <c r="H76" s="7" t="n">
        <v>120.1</v>
      </c>
      <c r="J76" s="7" t="n">
        <v>102.3</v>
      </c>
      <c r="L76" s="7" t="n">
        <v>124.7</v>
      </c>
      <c r="N76" s="7" t="n">
        <v>118.9</v>
      </c>
      <c r="P76" s="7" t="n">
        <v>137.7</v>
      </c>
      <c r="R76" s="7" t="n">
        <v>184.5</v>
      </c>
      <c r="T76" s="7" t="n">
        <v>237.5</v>
      </c>
      <c r="V76" s="7" t="n">
        <v>115.4</v>
      </c>
      <c r="X76" s="7" t="n">
        <v>80.09999999999999</v>
      </c>
      <c r="Z76" s="7" t="n">
        <v>29.9</v>
      </c>
      <c r="AB76" s="7" t="n">
        <v>1426.3</v>
      </c>
    </row>
    <row r="77">
      <c r="A77" s="4" t="inlineStr">
        <is>
          <t>推广费</t>
        </is>
      </c>
      <c r="D77" s="7" t="n">
        <v>85.7</v>
      </c>
      <c r="F77" s="7" t="n">
        <v>206.4</v>
      </c>
      <c r="H77" s="7" t="n">
        <v>160.4</v>
      </c>
      <c r="J77" s="7" t="n">
        <v>101.4</v>
      </c>
      <c r="L77" s="7" t="n">
        <v>140.5</v>
      </c>
      <c r="N77" s="7" t="n">
        <v>124.7</v>
      </c>
      <c r="P77" s="7" t="n">
        <v>121.5</v>
      </c>
      <c r="R77" s="7" t="n">
        <v>210.5</v>
      </c>
      <c r="T77" s="7" t="n">
        <v>265.9</v>
      </c>
      <c r="V77" s="7" t="n">
        <v>127.1</v>
      </c>
      <c r="X77" s="7" t="n">
        <v>133.9</v>
      </c>
      <c r="Z77" s="7" t="n">
        <v>54.4</v>
      </c>
      <c r="AB77" s="7" t="n">
        <v>1732.4</v>
      </c>
    </row>
    <row r="78">
      <c r="A78" s="4" t="inlineStr">
        <is>
          <t>展会费</t>
        </is>
      </c>
      <c r="D78" s="7" t="n">
        <v>26.5</v>
      </c>
      <c r="F78" s="7" t="n">
        <v>59.3</v>
      </c>
      <c r="H78" s="7" t="n">
        <v>74.90000000000001</v>
      </c>
      <c r="J78" s="7" t="n">
        <v>55.8</v>
      </c>
      <c r="L78" s="7" t="n">
        <v>68.3</v>
      </c>
      <c r="N78" s="7" t="n">
        <v>81</v>
      </c>
      <c r="P78" s="7" t="n">
        <v>70.40000000000001</v>
      </c>
      <c r="R78" s="7" t="n">
        <v>85.40000000000001</v>
      </c>
      <c r="T78" s="7" t="n">
        <v>77.3</v>
      </c>
      <c r="V78" s="7" t="n">
        <v>49.9</v>
      </c>
      <c r="X78" s="7" t="n">
        <v>65.59999999999999</v>
      </c>
      <c r="Z78" s="7" t="n">
        <v>26.4</v>
      </c>
      <c r="AB78" s="7" t="n">
        <v>740.8</v>
      </c>
    </row>
    <row r="79">
      <c r="A79" s="4" t="inlineStr">
        <is>
          <t>设计费</t>
        </is>
      </c>
      <c r="D79" s="7" t="n">
        <v>80.2</v>
      </c>
      <c r="F79" s="7" t="n">
        <v>228.9</v>
      </c>
      <c r="H79" s="7" t="n">
        <v>197.2</v>
      </c>
      <c r="J79" s="7" t="n">
        <v>131</v>
      </c>
      <c r="L79" s="7" t="n">
        <v>119.3</v>
      </c>
      <c r="N79" s="7" t="n">
        <v>238.4</v>
      </c>
      <c r="P79" s="7" t="n">
        <v>113.4</v>
      </c>
      <c r="R79" s="7" t="n">
        <v>148.6</v>
      </c>
      <c r="T79" s="7" t="n">
        <v>185.9</v>
      </c>
      <c r="V79" s="7" t="n">
        <v>190.7</v>
      </c>
      <c r="X79" s="7" t="n">
        <v>150.1</v>
      </c>
      <c r="Z79" s="7" t="n">
        <v>43.5</v>
      </c>
      <c r="AB79" s="7" t="n">
        <v>1827.2</v>
      </c>
    </row>
    <row r="80">
      <c r="A80" s="4" t="inlineStr">
        <is>
          <t>折旧费</t>
        </is>
      </c>
      <c r="D80" s="7" t="n">
        <v>559.6</v>
      </c>
      <c r="F80" s="7" t="n">
        <v>1046.1</v>
      </c>
      <c r="H80" s="7" t="n">
        <v>774.2</v>
      </c>
      <c r="J80" s="7" t="n">
        <v>1353.7</v>
      </c>
      <c r="L80" s="7" t="n">
        <v>1370.8</v>
      </c>
      <c r="N80" s="7" t="n">
        <v>1309.4</v>
      </c>
      <c r="P80" s="7" t="n">
        <v>752.9</v>
      </c>
      <c r="R80" s="7" t="n">
        <v>1401.6</v>
      </c>
      <c r="T80" s="7" t="n">
        <v>2197.6</v>
      </c>
      <c r="V80" s="7" t="n">
        <v>899.1</v>
      </c>
      <c r="X80" s="7" t="n">
        <v>1070.3</v>
      </c>
      <c r="Z80" s="7" t="n">
        <v>342.4</v>
      </c>
      <c r="AB80" s="7" t="n">
        <v>13077.7</v>
      </c>
    </row>
    <row r="81">
      <c r="A81" s="4" t="inlineStr">
        <is>
          <t>认证费</t>
        </is>
      </c>
      <c r="D81" s="7" t="n">
        <v>39.1</v>
      </c>
      <c r="F81" s="7" t="n">
        <v>79.3</v>
      </c>
      <c r="H81" s="7" t="n">
        <v>48.9</v>
      </c>
      <c r="J81" s="7" t="n">
        <v>65.3</v>
      </c>
      <c r="L81" s="7" t="n">
        <v>66.7</v>
      </c>
      <c r="N81" s="7" t="n">
        <v>59.2</v>
      </c>
      <c r="P81" s="7" t="n">
        <v>71.40000000000001</v>
      </c>
      <c r="R81" s="7" t="n">
        <v>85.2</v>
      </c>
      <c r="T81" s="7" t="n">
        <v>101.1</v>
      </c>
      <c r="V81" s="7" t="n">
        <v>56</v>
      </c>
      <c r="X81" s="7" t="n">
        <v>39.6</v>
      </c>
      <c r="Z81" s="7" t="n">
        <v>25.2</v>
      </c>
      <c r="AB81" s="7" t="n">
        <v>737</v>
      </c>
    </row>
    <row r="82">
      <c r="A82" s="4" t="inlineStr">
        <is>
          <t>样品费</t>
        </is>
      </c>
      <c r="D82" s="7" t="n">
        <v>271.2</v>
      </c>
      <c r="F82" s="7" t="n">
        <v>694.5</v>
      </c>
      <c r="H82" s="7" t="n">
        <v>598.5</v>
      </c>
      <c r="J82" s="7" t="n">
        <v>539.1</v>
      </c>
      <c r="L82" s="7" t="n">
        <v>670.9</v>
      </c>
      <c r="N82" s="7" t="n">
        <v>503.8</v>
      </c>
      <c r="P82" s="7" t="n">
        <v>405.1</v>
      </c>
      <c r="R82" s="7" t="n">
        <v>745.7</v>
      </c>
      <c r="T82" s="7" t="n">
        <v>862.3</v>
      </c>
      <c r="V82" s="7" t="n">
        <v>487.6</v>
      </c>
      <c r="X82" s="7" t="n">
        <v>616.9</v>
      </c>
      <c r="Z82" s="7" t="n">
        <v>228.4</v>
      </c>
      <c r="AB82" s="7" t="n">
        <v>6624</v>
      </c>
    </row>
    <row r="83">
      <c r="A83" s="4" t="inlineStr">
        <is>
          <t>劳务费</t>
        </is>
      </c>
      <c r="D83" s="7" t="n">
        <v>28.1</v>
      </c>
      <c r="F83" s="7" t="n">
        <v>75.7</v>
      </c>
      <c r="H83" s="7" t="n">
        <v>46.8</v>
      </c>
      <c r="J83" s="7" t="n">
        <v>51.9</v>
      </c>
      <c r="L83" s="7" t="n">
        <v>39.5</v>
      </c>
      <c r="N83" s="7" t="n">
        <v>58</v>
      </c>
      <c r="P83" s="7" t="n">
        <v>58.2</v>
      </c>
      <c r="R83" s="7" t="n">
        <v>51</v>
      </c>
      <c r="T83" s="7" t="n">
        <v>101.4</v>
      </c>
      <c r="V83" s="7" t="n">
        <v>69.2</v>
      </c>
      <c r="X83" s="7" t="n">
        <v>34.3</v>
      </c>
      <c r="Z83" s="7" t="n">
        <v>17.8</v>
      </c>
      <c r="AB83" s="7" t="n">
        <v>631.9</v>
      </c>
    </row>
    <row r="84">
      <c r="A84" s="4" t="inlineStr">
        <is>
          <t>销售佣金</t>
        </is>
      </c>
      <c r="D84" s="7" t="n">
        <v>43.1</v>
      </c>
      <c r="F84" s="7" t="n">
        <v>143</v>
      </c>
      <c r="H84" s="7" t="n">
        <v>83.90000000000001</v>
      </c>
      <c r="J84" s="7" t="n">
        <v>117.2</v>
      </c>
      <c r="L84" s="7" t="n">
        <v>97.59999999999999</v>
      </c>
      <c r="N84" s="7" t="n">
        <v>145.3</v>
      </c>
      <c r="P84" s="7" t="n">
        <v>99</v>
      </c>
      <c r="R84" s="7" t="n">
        <v>132.9</v>
      </c>
      <c r="T84" s="7" t="n">
        <v>134</v>
      </c>
      <c r="V84" s="7" t="n">
        <v>75.59999999999999</v>
      </c>
      <c r="X84" s="7" t="n">
        <v>88.90000000000001</v>
      </c>
      <c r="Z84" s="7" t="n">
        <v>45.9</v>
      </c>
      <c r="AB84" s="7" t="n">
        <v>1206.4</v>
      </c>
    </row>
    <row r="85">
      <c r="A85" s="4" t="inlineStr">
        <is>
          <t>检测费</t>
        </is>
      </c>
      <c r="D85" s="7" t="n">
        <v>55.6</v>
      </c>
      <c r="F85" s="7" t="n">
        <v>158.9</v>
      </c>
      <c r="H85" s="7" t="n">
        <v>113.4</v>
      </c>
      <c r="J85" s="7" t="n">
        <v>170.3</v>
      </c>
      <c r="L85" s="7" t="n">
        <v>157.9</v>
      </c>
      <c r="N85" s="7" t="n">
        <v>143.8</v>
      </c>
      <c r="P85" s="7" t="n">
        <v>91</v>
      </c>
      <c r="R85" s="7" t="n">
        <v>192.1</v>
      </c>
      <c r="T85" s="7" t="n">
        <v>196.9</v>
      </c>
      <c r="V85" s="7" t="n">
        <v>130.2</v>
      </c>
      <c r="X85" s="7" t="n">
        <v>115.6</v>
      </c>
      <c r="Z85" s="7" t="n">
        <v>59</v>
      </c>
      <c r="AB85" s="7" t="n">
        <v>1584.7</v>
      </c>
    </row>
    <row r="86">
      <c r="A86" s="4" t="inlineStr">
        <is>
          <t>质量赔偿</t>
        </is>
      </c>
      <c r="D86" s="7" t="n">
        <v>47.7</v>
      </c>
      <c r="F86" s="7" t="n">
        <v>138.8</v>
      </c>
      <c r="H86" s="7" t="n">
        <v>71.3</v>
      </c>
      <c r="J86" s="7" t="n">
        <v>91</v>
      </c>
      <c r="L86" s="7" t="n">
        <v>112</v>
      </c>
      <c r="N86" s="7" t="n">
        <v>89</v>
      </c>
      <c r="P86" s="7" t="n">
        <v>108.6</v>
      </c>
      <c r="R86" s="7" t="n">
        <v>110.5</v>
      </c>
      <c r="T86" s="7" t="n">
        <v>144.5</v>
      </c>
      <c r="V86" s="7" t="n">
        <v>98.3</v>
      </c>
      <c r="X86" s="7" t="n">
        <v>73</v>
      </c>
      <c r="Z86" s="7" t="n">
        <v>24.8</v>
      </c>
      <c r="AB86" s="7" t="n">
        <v>1109.5</v>
      </c>
    </row>
    <row r="87">
      <c r="A87" s="4" t="inlineStr">
        <is>
          <t>保险费</t>
        </is>
      </c>
      <c r="D87" s="7" t="n">
        <v>76.3</v>
      </c>
      <c r="F87" s="7" t="n">
        <v>170.9</v>
      </c>
      <c r="H87" s="7" t="n">
        <v>94.3</v>
      </c>
      <c r="J87" s="7" t="n">
        <v>144.2</v>
      </c>
      <c r="L87" s="7" t="n">
        <v>97.5</v>
      </c>
      <c r="N87" s="7" t="n">
        <v>109.7</v>
      </c>
      <c r="P87" s="7" t="n">
        <v>106.2</v>
      </c>
      <c r="R87" s="7" t="n">
        <v>142.3</v>
      </c>
      <c r="T87" s="7" t="n">
        <v>184.5</v>
      </c>
      <c r="V87" s="7" t="n">
        <v>128.3</v>
      </c>
      <c r="X87" s="7" t="n">
        <v>72.5</v>
      </c>
      <c r="Z87" s="7" t="n">
        <v>47.4</v>
      </c>
      <c r="AB87" s="7" t="n">
        <v>1374.1</v>
      </c>
    </row>
    <row r="88">
      <c r="A88" s="4" t="inlineStr">
        <is>
          <t>清洁费</t>
        </is>
      </c>
      <c r="D88" s="7" t="n">
        <v>20.1</v>
      </c>
      <c r="F88" s="7" t="n">
        <v>32.7</v>
      </c>
      <c r="H88" s="7" t="n">
        <v>33</v>
      </c>
      <c r="J88" s="7" t="n">
        <v>40.7</v>
      </c>
      <c r="L88" s="7" t="n">
        <v>28.9</v>
      </c>
      <c r="N88" s="7" t="n">
        <v>42.3</v>
      </c>
      <c r="P88" s="7" t="n">
        <v>35.9</v>
      </c>
      <c r="R88" s="7" t="n">
        <v>48.7</v>
      </c>
      <c r="T88" s="7" t="n">
        <v>61.4</v>
      </c>
      <c r="V88" s="7" t="n">
        <v>43.8</v>
      </c>
      <c r="X88" s="7" t="n">
        <v>21.4</v>
      </c>
      <c r="Z88" s="7" t="n">
        <v>11</v>
      </c>
      <c r="AB88" s="7" t="n">
        <v>419.9</v>
      </c>
    </row>
    <row r="89">
      <c r="A89" s="4" t="inlineStr">
        <is>
          <t>低值易耗品</t>
        </is>
      </c>
      <c r="D89" s="7" t="n">
        <v>65.7</v>
      </c>
      <c r="F89" s="7" t="n">
        <v>135.4</v>
      </c>
      <c r="H89" s="7" t="n">
        <v>80.59999999999999</v>
      </c>
      <c r="J89" s="7" t="n">
        <v>91.59999999999999</v>
      </c>
      <c r="L89" s="7" t="n">
        <v>116.2</v>
      </c>
      <c r="N89" s="7" t="n">
        <v>121.5</v>
      </c>
      <c r="P89" s="7" t="n">
        <v>78.40000000000001</v>
      </c>
      <c r="R89" s="7" t="n">
        <v>118</v>
      </c>
      <c r="T89" s="7" t="n">
        <v>173.2</v>
      </c>
      <c r="V89" s="7" t="n">
        <v>102.4</v>
      </c>
      <c r="X89" s="7" t="n">
        <v>80.3</v>
      </c>
      <c r="Z89" s="7" t="n">
        <v>38.9</v>
      </c>
      <c r="AB89" s="7" t="n">
        <v>1202.2</v>
      </c>
    </row>
    <row r="90">
      <c r="A90" s="4" t="inlineStr">
        <is>
          <t>物料消耗</t>
        </is>
      </c>
      <c r="D90" s="7" t="n">
        <v>18.5</v>
      </c>
      <c r="F90" s="7" t="n">
        <v>53.5</v>
      </c>
      <c r="H90" s="7" t="n">
        <v>34.6</v>
      </c>
      <c r="J90" s="7" t="n">
        <v>29.4</v>
      </c>
      <c r="L90" s="7" t="n">
        <v>43.7</v>
      </c>
      <c r="N90" s="7" t="n">
        <v>49.5</v>
      </c>
      <c r="P90" s="7" t="n">
        <v>40.4</v>
      </c>
      <c r="R90" s="7" t="n">
        <v>37.2</v>
      </c>
      <c r="T90" s="7" t="n">
        <v>61.1</v>
      </c>
      <c r="V90" s="7" t="n">
        <v>25.3</v>
      </c>
      <c r="X90" s="7" t="n">
        <v>37.4</v>
      </c>
      <c r="Z90" s="7" t="n">
        <v>11.3</v>
      </c>
      <c r="AB90" s="7" t="n">
        <v>441.9</v>
      </c>
    </row>
    <row r="91">
      <c r="A91" s="4" t="inlineStr">
        <is>
          <t>盘盈盘亏</t>
        </is>
      </c>
      <c r="D91" s="7" t="n">
        <v>48.1</v>
      </c>
      <c r="F91" s="7" t="n">
        <v>112.4</v>
      </c>
      <c r="H91" s="7" t="n">
        <v>111</v>
      </c>
      <c r="J91" s="7" t="n">
        <v>66.40000000000001</v>
      </c>
      <c r="L91" s="7" t="n">
        <v>114.1</v>
      </c>
      <c r="N91" s="7" t="n">
        <v>123.9</v>
      </c>
      <c r="P91" s="7" t="n">
        <v>100.1</v>
      </c>
      <c r="R91" s="7" t="n">
        <v>99.40000000000001</v>
      </c>
      <c r="T91" s="7" t="n">
        <v>101.9</v>
      </c>
      <c r="V91" s="7" t="n">
        <v>86.59999999999999</v>
      </c>
      <c r="X91" s="7" t="n">
        <v>56.6</v>
      </c>
      <c r="Z91" s="7" t="n">
        <v>24</v>
      </c>
      <c r="AB91" s="7" t="n">
        <v>1044.5</v>
      </c>
    </row>
    <row r="92">
      <c r="A92" s="4" t="inlineStr">
        <is>
          <t>平台服务费</t>
        </is>
      </c>
      <c r="D92" s="7" t="n">
        <v>94.2</v>
      </c>
      <c r="F92" s="7" t="n">
        <v>157.8</v>
      </c>
      <c r="H92" s="7" t="n">
        <v>216.1</v>
      </c>
      <c r="J92" s="7" t="n">
        <v>157.2</v>
      </c>
      <c r="L92" s="7" t="n">
        <v>131.5</v>
      </c>
      <c r="N92" s="7" t="n">
        <v>232.8</v>
      </c>
      <c r="P92" s="7" t="n">
        <v>134.4</v>
      </c>
      <c r="R92" s="7" t="n">
        <v>190.4</v>
      </c>
      <c r="T92" s="7" t="n">
        <v>306.4</v>
      </c>
      <c r="V92" s="7" t="n">
        <v>138.9</v>
      </c>
      <c r="X92" s="7" t="n">
        <v>194.3</v>
      </c>
      <c r="Z92" s="7" t="n">
        <v>65.59999999999999</v>
      </c>
      <c r="AB92" s="7" t="n">
        <v>2019.6</v>
      </c>
    </row>
    <row r="93">
      <c r="A93" s="4" t="inlineStr">
        <is>
          <t>无形资产摊销</t>
        </is>
      </c>
      <c r="D93" s="7" t="n">
        <v>76.8</v>
      </c>
      <c r="F93" s="7" t="n">
        <v>194</v>
      </c>
      <c r="H93" s="7" t="n">
        <v>117.3</v>
      </c>
      <c r="J93" s="7" t="n">
        <v>131</v>
      </c>
      <c r="L93" s="7" t="n">
        <v>117</v>
      </c>
      <c r="N93" s="7" t="n">
        <v>147</v>
      </c>
      <c r="P93" s="7" t="n">
        <v>123.4</v>
      </c>
      <c r="R93" s="7" t="n">
        <v>155.6</v>
      </c>
      <c r="T93" s="7" t="n">
        <v>282.8</v>
      </c>
      <c r="V93" s="7" t="n">
        <v>123.5</v>
      </c>
      <c r="X93" s="7" t="n">
        <v>150.5</v>
      </c>
      <c r="Z93" s="7" t="n">
        <v>42.5</v>
      </c>
      <c r="AB93" s="7" t="n">
        <v>1661.4</v>
      </c>
    </row>
    <row r="94">
      <c r="A94" s="4" t="inlineStr">
        <is>
          <t>研发材料</t>
        </is>
      </c>
      <c r="D94" s="7" t="n">
        <v>57.9</v>
      </c>
      <c r="F94" s="7" t="n">
        <v>81.7</v>
      </c>
      <c r="H94" s="7" t="n">
        <v>79.3</v>
      </c>
      <c r="J94" s="7" t="n">
        <v>92.8</v>
      </c>
      <c r="L94" s="7" t="n">
        <v>120.5</v>
      </c>
      <c r="N94" s="7" t="n">
        <v>100.5</v>
      </c>
      <c r="P94" s="7" t="n">
        <v>93.5</v>
      </c>
      <c r="R94" s="7" t="n">
        <v>104</v>
      </c>
      <c r="T94" s="7" t="n">
        <v>183.8</v>
      </c>
      <c r="V94" s="7" t="n">
        <v>71.09999999999999</v>
      </c>
      <c r="X94" s="7" t="n">
        <v>96.2</v>
      </c>
      <c r="Z94" s="7" t="n">
        <v>31</v>
      </c>
      <c r="AB94" s="7" t="n">
        <v>1112.3</v>
      </c>
    </row>
    <row r="95">
      <c r="A95" s="4" t="inlineStr">
        <is>
          <t>项目名称</t>
        </is>
      </c>
      <c r="D95" s="7" t="n">
        <v>15.4</v>
      </c>
      <c r="F95" s="7" t="n">
        <v>48.8</v>
      </c>
      <c r="H95" s="7" t="n">
        <v>35.5</v>
      </c>
      <c r="J95" s="7" t="n">
        <v>45.6</v>
      </c>
      <c r="L95" s="7" t="n">
        <v>27.7</v>
      </c>
      <c r="N95" s="7" t="n">
        <v>56.5</v>
      </c>
      <c r="P95" s="7" t="n">
        <v>38.8</v>
      </c>
      <c r="R95" s="7" t="n">
        <v>33.9</v>
      </c>
      <c r="T95" s="7" t="n">
        <v>46</v>
      </c>
      <c r="V95" s="7" t="n">
        <v>31.8</v>
      </c>
      <c r="X95" s="7" t="n">
        <v>26.6</v>
      </c>
      <c r="Z95" s="7" t="n">
        <v>12.7</v>
      </c>
      <c r="AB95" s="7" t="n">
        <v>419.3</v>
      </c>
    </row>
    <row r="96">
      <c r="A96" s="4" t="inlineStr">
        <is>
          <t>研发费</t>
        </is>
      </c>
      <c r="D96" s="7" t="n">
        <v>52.9</v>
      </c>
      <c r="F96" s="7" t="n">
        <v>177.8</v>
      </c>
      <c r="H96" s="7" t="n">
        <v>134.2</v>
      </c>
      <c r="J96" s="7" t="n">
        <v>114.5</v>
      </c>
      <c r="L96" s="7" t="n">
        <v>129.3</v>
      </c>
      <c r="N96" s="7" t="n">
        <v>176</v>
      </c>
      <c r="P96" s="7" t="n">
        <v>130.4</v>
      </c>
      <c r="R96" s="7" t="n">
        <v>208.3</v>
      </c>
      <c r="T96" s="7" t="n">
        <v>222</v>
      </c>
      <c r="V96" s="7" t="n">
        <v>111.9</v>
      </c>
      <c r="X96" s="7" t="n">
        <v>137</v>
      </c>
      <c r="Z96" s="7" t="n">
        <v>51.3</v>
      </c>
      <c r="AB96" s="7" t="n">
        <v>1645.6</v>
      </c>
    </row>
    <row r="97">
      <c r="A97" s="4" t="inlineStr">
        <is>
          <t>残保金</t>
        </is>
      </c>
      <c r="D97" s="7" t="n">
        <v>88.7</v>
      </c>
      <c r="F97" s="7" t="n">
        <v>159</v>
      </c>
      <c r="H97" s="7" t="n">
        <v>184.9</v>
      </c>
      <c r="J97" s="7" t="n">
        <v>180.8</v>
      </c>
      <c r="L97" s="7" t="n">
        <v>137.7</v>
      </c>
      <c r="N97" s="7" t="n">
        <v>160.6</v>
      </c>
      <c r="P97" s="7" t="n">
        <v>159.8</v>
      </c>
      <c r="R97" s="7" t="n">
        <v>182</v>
      </c>
      <c r="T97" s="7" t="n">
        <v>164.5</v>
      </c>
      <c r="V97" s="7" t="n">
        <v>131.7</v>
      </c>
      <c r="X97" s="7" t="n">
        <v>157</v>
      </c>
      <c r="Z97" s="7" t="n">
        <v>61.3</v>
      </c>
      <c r="AB97" s="7" t="n">
        <v>1768</v>
      </c>
    </row>
    <row r="98">
      <c r="A98" s="4" t="inlineStr">
        <is>
          <t>环保费</t>
        </is>
      </c>
      <c r="D98" s="7" t="n">
        <v>30.3</v>
      </c>
      <c r="F98" s="7" t="n">
        <v>102.1</v>
      </c>
      <c r="H98" s="7" t="n">
        <v>54.4</v>
      </c>
      <c r="J98" s="7" t="n">
        <v>57.1</v>
      </c>
      <c r="L98" s="7" t="n">
        <v>49.6</v>
      </c>
      <c r="N98" s="7" t="n">
        <v>70.8</v>
      </c>
      <c r="P98" s="7" t="n">
        <v>58.8</v>
      </c>
      <c r="R98" s="7" t="n">
        <v>84.2</v>
      </c>
      <c r="T98" s="7" t="n">
        <v>103.3</v>
      </c>
      <c r="V98" s="7" t="n">
        <v>75.90000000000001</v>
      </c>
      <c r="X98" s="7" t="n">
        <v>51.7</v>
      </c>
      <c r="Z98" s="7" t="n">
        <v>28.7</v>
      </c>
      <c r="AB98" s="7" t="n">
        <v>766.9</v>
      </c>
    </row>
    <row r="99">
      <c r="A99" s="4" t="inlineStr">
        <is>
          <t>报废损失</t>
        </is>
      </c>
      <c r="D99" s="7" t="n">
        <v>21.7</v>
      </c>
      <c r="F99" s="7" t="n">
        <v>38.2</v>
      </c>
      <c r="H99" s="7" t="n">
        <v>29.4</v>
      </c>
      <c r="J99" s="7" t="n">
        <v>30.6</v>
      </c>
      <c r="L99" s="7" t="n">
        <v>42.2</v>
      </c>
      <c r="N99" s="7" t="n">
        <v>35</v>
      </c>
      <c r="P99" s="7" t="n">
        <v>42.6</v>
      </c>
      <c r="R99" s="7" t="n">
        <v>41</v>
      </c>
      <c r="T99" s="7" t="n">
        <v>57.1</v>
      </c>
      <c r="V99" s="7" t="n">
        <v>33.4</v>
      </c>
      <c r="X99" s="7" t="n">
        <v>24.8</v>
      </c>
      <c r="Z99" s="7" t="n">
        <v>12.2</v>
      </c>
      <c r="AB99" s="7" t="n">
        <v>408.2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11826.5</v>
      </c>
      <c r="D100" s="7" t="n">
        <v>8143.7</v>
      </c>
      <c r="E100" s="7" t="n">
        <v>10571.6</v>
      </c>
      <c r="F100" s="7" t="n">
        <v>10035.3</v>
      </c>
      <c r="G100" s="7" t="n">
        <v>12390.6</v>
      </c>
      <c r="H100" s="7" t="n">
        <v>8485.1</v>
      </c>
      <c r="I100" s="7" t="n">
        <v>11969</v>
      </c>
      <c r="J100" s="7" t="n">
        <v>10476.7</v>
      </c>
      <c r="K100" s="7" t="n">
        <v>12384.8</v>
      </c>
      <c r="L100" s="7" t="n">
        <v>12685.9</v>
      </c>
      <c r="M100" s="7" t="n">
        <v>11830.4</v>
      </c>
      <c r="N100" s="7" t="n">
        <v>11357.8</v>
      </c>
      <c r="O100" s="7" t="n">
        <v>10484.8</v>
      </c>
      <c r="P100" s="7" t="n">
        <v>21034.7</v>
      </c>
      <c r="Q100" s="7" t="n">
        <v>12582.9</v>
      </c>
      <c r="R100" s="7" t="n">
        <v>15521.2</v>
      </c>
      <c r="S100" s="7" t="n">
        <v>10599.5</v>
      </c>
      <c r="T100" s="7" t="n">
        <v>11990.7</v>
      </c>
      <c r="U100" s="7" t="n">
        <v>10572.1</v>
      </c>
      <c r="V100" s="7" t="n">
        <v>15586.1</v>
      </c>
      <c r="W100" s="7" t="n">
        <v>13085.4</v>
      </c>
      <c r="X100" s="7" t="n">
        <v>5715.1</v>
      </c>
      <c r="Y100" s="7" t="n">
        <v>11213.8</v>
      </c>
      <c r="Z100" s="7" t="n">
        <v>6393.5</v>
      </c>
      <c r="AA100" s="8" t="n">
        <v>139511.4</v>
      </c>
      <c r="AB100" s="8" t="n">
        <v>137425.8</v>
      </c>
    </row>
    <row r="101">
      <c r="A101" s="4" t="inlineStr">
        <is>
          <t>职工薪酬</t>
        </is>
      </c>
      <c r="D101" s="7" t="n">
        <v>3981.8</v>
      </c>
      <c r="F101" s="7" t="n">
        <v>5522</v>
      </c>
      <c r="H101" s="7" t="n">
        <v>3610.7</v>
      </c>
      <c r="J101" s="7" t="n">
        <v>4859.1</v>
      </c>
      <c r="L101" s="7" t="n">
        <v>5774</v>
      </c>
      <c r="N101" s="7" t="n">
        <v>6959.4</v>
      </c>
      <c r="P101" s="7" t="n">
        <v>11300.1</v>
      </c>
      <c r="R101" s="7" t="n">
        <v>9345.200000000001</v>
      </c>
      <c r="T101" s="7" t="n">
        <v>5531.6</v>
      </c>
      <c r="V101" s="7" t="n">
        <v>8223</v>
      </c>
      <c r="X101" s="7" t="n">
        <v>2673.4</v>
      </c>
      <c r="Z101" s="7" t="n">
        <v>3619.3</v>
      </c>
      <c r="AB101" s="7" t="n">
        <v>71399.60000000001</v>
      </c>
    </row>
    <row r="102">
      <c r="A102" s="4" t="inlineStr">
        <is>
          <t>工资</t>
        </is>
      </c>
      <c r="D102" s="7" t="n">
        <v>2389.6</v>
      </c>
      <c r="F102" s="7" t="n">
        <v>3431.1</v>
      </c>
      <c r="H102" s="7" t="n">
        <v>1794.4</v>
      </c>
      <c r="J102" s="7" t="n">
        <v>3063.6</v>
      </c>
      <c r="L102" s="7" t="n">
        <v>3304.2</v>
      </c>
      <c r="N102" s="7" t="n">
        <v>4261.4</v>
      </c>
      <c r="P102" s="7" t="n">
        <v>7287.9</v>
      </c>
      <c r="R102" s="7" t="n">
        <v>5378.5</v>
      </c>
      <c r="T102" s="7" t="n">
        <v>3742.1</v>
      </c>
      <c r="V102" s="7" t="n">
        <v>5228.4</v>
      </c>
      <c r="X102" s="7" t="n">
        <v>1659.8</v>
      </c>
      <c r="Z102" s="7" t="n">
        <v>2395.3</v>
      </c>
      <c r="AB102" s="7" t="n">
        <v>43936.3</v>
      </c>
    </row>
    <row r="103">
      <c r="A103" s="4" t="inlineStr">
        <is>
          <t>奖金及提成</t>
        </is>
      </c>
      <c r="D103" s="7" t="n">
        <v>809.5</v>
      </c>
      <c r="F103" s="7" t="n">
        <v>787.9</v>
      </c>
      <c r="H103" s="7" t="n">
        <v>1088.9</v>
      </c>
      <c r="J103" s="7" t="n">
        <v>931.2</v>
      </c>
      <c r="L103" s="7" t="n">
        <v>1371.3</v>
      </c>
      <c r="N103" s="7" t="n">
        <v>1423.4</v>
      </c>
      <c r="P103" s="7" t="n">
        <v>2314.2</v>
      </c>
      <c r="R103" s="7" t="n">
        <v>1989.3</v>
      </c>
      <c r="T103" s="7" t="n">
        <v>842.8</v>
      </c>
      <c r="V103" s="7" t="n">
        <v>1616.8</v>
      </c>
      <c r="X103" s="7" t="n">
        <v>409.9</v>
      </c>
      <c r="Z103" s="7" t="n">
        <v>609.3</v>
      </c>
      <c r="AB103" s="7" t="n">
        <v>14194.5</v>
      </c>
    </row>
    <row r="104">
      <c r="A104" s="4" t="inlineStr">
        <is>
          <t>社保</t>
        </is>
      </c>
      <c r="D104" s="7" t="n">
        <v>587</v>
      </c>
      <c r="F104" s="7" t="n">
        <v>1040.2</v>
      </c>
      <c r="H104" s="7" t="n">
        <v>519.9</v>
      </c>
      <c r="J104" s="7" t="n">
        <v>606</v>
      </c>
      <c r="L104" s="7" t="n">
        <v>791.2</v>
      </c>
      <c r="N104" s="7" t="n">
        <v>1016.1</v>
      </c>
      <c r="P104" s="7" t="n">
        <v>1182.9</v>
      </c>
      <c r="R104" s="7" t="n">
        <v>1608.6</v>
      </c>
      <c r="T104" s="7" t="n">
        <v>684.8</v>
      </c>
      <c r="V104" s="7" t="n">
        <v>1011.2</v>
      </c>
      <c r="X104" s="7" t="n">
        <v>474.3</v>
      </c>
      <c r="Z104" s="7" t="n">
        <v>453.7</v>
      </c>
      <c r="AB104" s="7" t="n">
        <v>9975.9</v>
      </c>
    </row>
    <row r="105">
      <c r="A105" s="4" t="inlineStr">
        <is>
          <t>养老</t>
        </is>
      </c>
      <c r="D105" s="7" t="n">
        <v>22.6</v>
      </c>
      <c r="F105" s="7" t="n">
        <v>17.7</v>
      </c>
      <c r="H105" s="7" t="n">
        <v>18.7</v>
      </c>
      <c r="J105" s="7" t="n">
        <v>20.3</v>
      </c>
      <c r="L105" s="7" t="n">
        <v>31.7</v>
      </c>
      <c r="N105" s="7" t="n">
        <v>28.2</v>
      </c>
      <c r="P105" s="7" t="n">
        <v>39.8</v>
      </c>
      <c r="R105" s="7" t="n">
        <v>29.2</v>
      </c>
      <c r="T105" s="7" t="n">
        <v>26.9</v>
      </c>
      <c r="V105" s="7" t="n">
        <v>42.6</v>
      </c>
      <c r="X105" s="7" t="n">
        <v>14.9</v>
      </c>
      <c r="Z105" s="7" t="n">
        <v>11.7</v>
      </c>
      <c r="AB105" s="7" t="n">
        <v>304.3</v>
      </c>
    </row>
    <row r="106">
      <c r="A106" s="4" t="inlineStr">
        <is>
          <t>医疗</t>
        </is>
      </c>
      <c r="D106" s="7" t="n">
        <v>48.3</v>
      </c>
      <c r="F106" s="7" t="n">
        <v>39.9</v>
      </c>
      <c r="H106" s="7" t="n">
        <v>34.8</v>
      </c>
      <c r="J106" s="7" t="n">
        <v>59.9</v>
      </c>
      <c r="L106" s="7" t="n">
        <v>69.40000000000001</v>
      </c>
      <c r="N106" s="7" t="n">
        <v>51.4</v>
      </c>
      <c r="P106" s="7" t="n">
        <v>134.3</v>
      </c>
      <c r="R106" s="7" t="n">
        <v>76.40000000000001</v>
      </c>
      <c r="T106" s="7" t="n">
        <v>50.8</v>
      </c>
      <c r="V106" s="7" t="n">
        <v>79.59999999999999</v>
      </c>
      <c r="X106" s="7" t="n">
        <v>25.7</v>
      </c>
      <c r="Z106" s="7" t="n">
        <v>34.5</v>
      </c>
      <c r="AB106" s="7" t="n">
        <v>705</v>
      </c>
    </row>
    <row r="107">
      <c r="A107" s="4" t="inlineStr">
        <is>
          <t>工伤</t>
        </is>
      </c>
      <c r="D107" s="7" t="n">
        <v>41.7</v>
      </c>
      <c r="F107" s="7" t="n">
        <v>44.8</v>
      </c>
      <c r="H107" s="7" t="n">
        <v>51.5</v>
      </c>
      <c r="J107" s="7" t="n">
        <v>44.3</v>
      </c>
      <c r="L107" s="7" t="n">
        <v>51.1</v>
      </c>
      <c r="N107" s="7" t="n">
        <v>57.5</v>
      </c>
      <c r="P107" s="7" t="n">
        <v>96.7</v>
      </c>
      <c r="R107" s="7" t="n">
        <v>69.8</v>
      </c>
      <c r="T107" s="7" t="n">
        <v>74.59999999999999</v>
      </c>
      <c r="V107" s="7" t="n">
        <v>78.2</v>
      </c>
      <c r="X107" s="7" t="n">
        <v>27.6</v>
      </c>
      <c r="Z107" s="7" t="n">
        <v>44.8</v>
      </c>
      <c r="AB107" s="7" t="n">
        <v>682.6</v>
      </c>
    </row>
    <row r="108">
      <c r="A108" s="4" t="inlineStr">
        <is>
          <t>失业</t>
        </is>
      </c>
      <c r="D108" s="7" t="n">
        <v>16</v>
      </c>
      <c r="F108" s="7" t="n">
        <v>22</v>
      </c>
      <c r="H108" s="7" t="n">
        <v>17</v>
      </c>
      <c r="J108" s="7" t="n">
        <v>21.3</v>
      </c>
      <c r="L108" s="7" t="n">
        <v>23.2</v>
      </c>
      <c r="N108" s="7" t="n">
        <v>20.3</v>
      </c>
      <c r="P108" s="7" t="n">
        <v>32</v>
      </c>
      <c r="R108" s="7" t="n">
        <v>19.7</v>
      </c>
      <c r="T108" s="7" t="n">
        <v>22.4</v>
      </c>
      <c r="V108" s="7" t="n">
        <v>33.3</v>
      </c>
      <c r="X108" s="7" t="n">
        <v>8.800000000000001</v>
      </c>
      <c r="Z108" s="7" t="n">
        <v>10</v>
      </c>
      <c r="AB108" s="7" t="n">
        <v>246</v>
      </c>
    </row>
    <row r="109">
      <c r="A109" s="4" t="inlineStr">
        <is>
          <t>生育</t>
        </is>
      </c>
      <c r="D109" s="7" t="n">
        <v>33.6</v>
      </c>
      <c r="F109" s="7" t="n">
        <v>48.4</v>
      </c>
      <c r="H109" s="7" t="n">
        <v>30.2</v>
      </c>
      <c r="J109" s="7" t="n">
        <v>60.2</v>
      </c>
      <c r="L109" s="7" t="n">
        <v>49.1</v>
      </c>
      <c r="N109" s="7" t="n">
        <v>45.7</v>
      </c>
      <c r="P109" s="7" t="n">
        <v>125.8</v>
      </c>
      <c r="R109" s="7" t="n">
        <v>73</v>
      </c>
      <c r="T109" s="7" t="n">
        <v>48.7</v>
      </c>
      <c r="V109" s="7" t="n">
        <v>74.59999999999999</v>
      </c>
      <c r="X109" s="7" t="n">
        <v>26.4</v>
      </c>
      <c r="Z109" s="7" t="n">
        <v>41.1</v>
      </c>
      <c r="AB109" s="7" t="n">
        <v>656.8</v>
      </c>
    </row>
    <row r="110">
      <c r="A110" s="4" t="inlineStr">
        <is>
          <t>公积金</t>
        </is>
      </c>
      <c r="D110" s="7" t="n">
        <v>5.6</v>
      </c>
      <c r="F110" s="7" t="n">
        <v>8.199999999999999</v>
      </c>
      <c r="H110" s="7" t="n">
        <v>7.7</v>
      </c>
      <c r="J110" s="7" t="n">
        <v>12.3</v>
      </c>
      <c r="L110" s="7" t="n">
        <v>13.2</v>
      </c>
      <c r="N110" s="7" t="n">
        <v>12.1</v>
      </c>
      <c r="P110" s="7" t="n">
        <v>22.2</v>
      </c>
      <c r="R110" s="7" t="n">
        <v>16.5</v>
      </c>
      <c r="T110" s="7" t="n">
        <v>9.4</v>
      </c>
      <c r="V110" s="7" t="n">
        <v>10.9</v>
      </c>
      <c r="X110" s="7" t="n">
        <v>6.1</v>
      </c>
      <c r="Z110" s="7" t="n">
        <v>4.2</v>
      </c>
      <c r="AB110" s="7" t="n">
        <v>128.4</v>
      </c>
    </row>
    <row r="111">
      <c r="A111" s="4" t="inlineStr">
        <is>
          <t>工会经费</t>
        </is>
      </c>
      <c r="D111" s="7" t="n">
        <v>10.6</v>
      </c>
      <c r="F111" s="7" t="n">
        <v>21.8</v>
      </c>
      <c r="H111" s="7" t="n">
        <v>15.7</v>
      </c>
      <c r="J111" s="7" t="n">
        <v>16.5</v>
      </c>
      <c r="L111" s="7" t="n">
        <v>15.2</v>
      </c>
      <c r="N111" s="7" t="n">
        <v>20.6</v>
      </c>
      <c r="P111" s="7" t="n">
        <v>26.1</v>
      </c>
      <c r="R111" s="7" t="n">
        <v>27.3</v>
      </c>
      <c r="T111" s="7" t="n">
        <v>15.2</v>
      </c>
      <c r="V111" s="7" t="n">
        <v>31.6</v>
      </c>
      <c r="X111" s="7" t="n">
        <v>8.1</v>
      </c>
      <c r="Z111" s="7" t="n">
        <v>12.7</v>
      </c>
      <c r="AB111" s="7" t="n">
        <v>221.4</v>
      </c>
    </row>
    <row r="112">
      <c r="A112" s="4" t="inlineStr">
        <is>
          <t>职工教育经费</t>
        </is>
      </c>
      <c r="D112" s="7" t="n">
        <v>13.4</v>
      </c>
      <c r="F112" s="7" t="n">
        <v>13.9</v>
      </c>
      <c r="H112" s="7" t="n">
        <v>9.699999999999999</v>
      </c>
      <c r="J112" s="7" t="n">
        <v>18.5</v>
      </c>
      <c r="L112" s="7" t="n">
        <v>24.7</v>
      </c>
      <c r="N112" s="7" t="n">
        <v>15.5</v>
      </c>
      <c r="P112" s="7" t="n">
        <v>23.3</v>
      </c>
      <c r="R112" s="7" t="n">
        <v>21.5</v>
      </c>
      <c r="T112" s="7" t="n">
        <v>19.7</v>
      </c>
      <c r="V112" s="7" t="n">
        <v>25.3</v>
      </c>
      <c r="X112" s="7" t="n">
        <v>6.9</v>
      </c>
      <c r="Z112" s="7" t="n">
        <v>11.7</v>
      </c>
      <c r="AB112" s="7" t="n">
        <v>204.1</v>
      </c>
    </row>
    <row r="113">
      <c r="A113" s="4" t="inlineStr">
        <is>
          <t>福利费</t>
        </is>
      </c>
      <c r="D113" s="7" t="n">
        <v>166.1</v>
      </c>
      <c r="F113" s="7" t="n">
        <v>218.9</v>
      </c>
      <c r="H113" s="7" t="n">
        <v>174.4</v>
      </c>
      <c r="J113" s="7" t="n">
        <v>211</v>
      </c>
      <c r="L113" s="7" t="n">
        <v>254.2</v>
      </c>
      <c r="N113" s="7" t="n">
        <v>210.3</v>
      </c>
      <c r="P113" s="7" t="n">
        <v>443.5</v>
      </c>
      <c r="R113" s="7" t="n">
        <v>303.5</v>
      </c>
      <c r="T113" s="7" t="n">
        <v>217.6</v>
      </c>
      <c r="V113" s="7" t="n">
        <v>298.8</v>
      </c>
      <c r="X113" s="7" t="n">
        <v>108.3</v>
      </c>
      <c r="Z113" s="7" t="n">
        <v>132.4</v>
      </c>
      <c r="AB113" s="7" t="n">
        <v>2739</v>
      </c>
    </row>
    <row r="114">
      <c r="A114" s="4" t="inlineStr">
        <is>
          <t>职工房租</t>
        </is>
      </c>
      <c r="D114" s="7" t="n">
        <v>45.2</v>
      </c>
      <c r="F114" s="7" t="n">
        <v>57.1</v>
      </c>
      <c r="H114" s="7" t="n">
        <v>67.2</v>
      </c>
      <c r="J114" s="7" t="n">
        <v>72</v>
      </c>
      <c r="L114" s="7" t="n">
        <v>86.8</v>
      </c>
      <c r="N114" s="7" t="n">
        <v>52.4</v>
      </c>
      <c r="P114" s="7" t="n">
        <v>121.7</v>
      </c>
      <c r="R114" s="7" t="n">
        <v>115.9</v>
      </c>
      <c r="T114" s="7" t="n">
        <v>70.8</v>
      </c>
      <c r="V114" s="7" t="n">
        <v>90</v>
      </c>
      <c r="X114" s="7" t="n">
        <v>43.6</v>
      </c>
      <c r="Z114" s="7" t="n">
        <v>31.6</v>
      </c>
      <c r="AB114" s="7" t="n">
        <v>854.3</v>
      </c>
    </row>
    <row r="115">
      <c r="A115" s="4" t="inlineStr">
        <is>
          <t>水电物业费</t>
        </is>
      </c>
      <c r="D115" s="7" t="n">
        <v>10.6</v>
      </c>
      <c r="F115" s="7" t="n">
        <v>8.800000000000001</v>
      </c>
      <c r="H115" s="7" t="n">
        <v>8.300000000000001</v>
      </c>
      <c r="J115" s="7" t="n">
        <v>11.9</v>
      </c>
      <c r="L115" s="7" t="n">
        <v>17</v>
      </c>
      <c r="N115" s="7" t="n">
        <v>12.6</v>
      </c>
      <c r="P115" s="7" t="n">
        <v>23.7</v>
      </c>
      <c r="R115" s="7" t="n">
        <v>19</v>
      </c>
      <c r="T115" s="7" t="n">
        <v>10.2</v>
      </c>
      <c r="V115" s="7" t="n">
        <v>20.3</v>
      </c>
      <c r="X115" s="7" t="n">
        <v>5.8</v>
      </c>
      <c r="Z115" s="7" t="n">
        <v>5.3</v>
      </c>
      <c r="AB115" s="7" t="n">
        <v>153.5</v>
      </c>
    </row>
    <row r="116">
      <c r="A116" s="4" t="inlineStr">
        <is>
          <t>员工餐</t>
        </is>
      </c>
      <c r="D116" s="7" t="n">
        <v>13</v>
      </c>
      <c r="F116" s="7" t="n">
        <v>23.2</v>
      </c>
      <c r="H116" s="7" t="n">
        <v>16.1</v>
      </c>
      <c r="J116" s="7" t="n">
        <v>22</v>
      </c>
      <c r="L116" s="7" t="n">
        <v>25.8</v>
      </c>
      <c r="N116" s="7" t="n">
        <v>18</v>
      </c>
      <c r="P116" s="7" t="n">
        <v>48.4</v>
      </c>
      <c r="R116" s="7" t="n">
        <v>26.8</v>
      </c>
      <c r="T116" s="7" t="n">
        <v>28</v>
      </c>
      <c r="V116" s="7" t="n">
        <v>21.9</v>
      </c>
      <c r="X116" s="7" t="n">
        <v>7.7</v>
      </c>
      <c r="Z116" s="7" t="n">
        <v>13.1</v>
      </c>
      <c r="AB116" s="7" t="n">
        <v>264</v>
      </c>
    </row>
    <row r="117">
      <c r="A117" s="4" t="inlineStr">
        <is>
          <t>节日礼品</t>
        </is>
      </c>
      <c r="D117" s="7" t="n">
        <v>10.8</v>
      </c>
      <c r="F117" s="7" t="n">
        <v>10.2</v>
      </c>
      <c r="H117" s="7" t="n">
        <v>6.7</v>
      </c>
      <c r="J117" s="7" t="n">
        <v>11.7</v>
      </c>
      <c r="L117" s="7" t="n">
        <v>11.6</v>
      </c>
      <c r="N117" s="7" t="n">
        <v>11</v>
      </c>
      <c r="P117" s="7" t="n">
        <v>24</v>
      </c>
      <c r="R117" s="7" t="n">
        <v>12.3</v>
      </c>
      <c r="T117" s="7" t="n">
        <v>13.6</v>
      </c>
      <c r="V117" s="7" t="n">
        <v>15.7</v>
      </c>
      <c r="X117" s="7" t="n">
        <v>4.6</v>
      </c>
      <c r="Z117" s="7" t="n">
        <v>8.199999999999999</v>
      </c>
      <c r="AB117" s="7" t="n">
        <v>140.4</v>
      </c>
    </row>
    <row r="118">
      <c r="A118" s="4" t="inlineStr">
        <is>
          <t>生日礼品</t>
        </is>
      </c>
      <c r="D118" s="7" t="n">
        <v>60.8</v>
      </c>
      <c r="F118" s="7" t="n">
        <v>78.7</v>
      </c>
      <c r="H118" s="7" t="n">
        <v>44.2</v>
      </c>
      <c r="J118" s="7" t="n">
        <v>52.6</v>
      </c>
      <c r="L118" s="7" t="n">
        <v>61.2</v>
      </c>
      <c r="N118" s="7" t="n">
        <v>68.40000000000001</v>
      </c>
      <c r="P118" s="7" t="n">
        <v>147.1</v>
      </c>
      <c r="R118" s="7" t="n">
        <v>73.3</v>
      </c>
      <c r="T118" s="7" t="n">
        <v>55.3</v>
      </c>
      <c r="V118" s="7" t="n">
        <v>98.3</v>
      </c>
      <c r="X118" s="7" t="n">
        <v>30.1</v>
      </c>
      <c r="Z118" s="7" t="n">
        <v>43.1</v>
      </c>
      <c r="AB118" s="7" t="n">
        <v>813.1</v>
      </c>
    </row>
    <row r="119">
      <c r="A119" s="4" t="inlineStr">
        <is>
          <t>体检</t>
        </is>
      </c>
      <c r="D119" s="7" t="n">
        <v>8.800000000000001</v>
      </c>
      <c r="F119" s="7" t="n">
        <v>8.699999999999999</v>
      </c>
      <c r="H119" s="7" t="n">
        <v>9.1</v>
      </c>
      <c r="J119" s="7" t="n">
        <v>8</v>
      </c>
      <c r="L119" s="7" t="n">
        <v>11.6</v>
      </c>
      <c r="N119" s="7" t="n">
        <v>9.699999999999999</v>
      </c>
      <c r="P119" s="7" t="n">
        <v>21.1</v>
      </c>
      <c r="R119" s="7" t="n">
        <v>18.6</v>
      </c>
      <c r="T119" s="7" t="n">
        <v>9.5</v>
      </c>
      <c r="V119" s="7" t="n">
        <v>11.5</v>
      </c>
      <c r="X119" s="7" t="n">
        <v>4.6</v>
      </c>
      <c r="Z119" s="7" t="n">
        <v>6.6</v>
      </c>
      <c r="AB119" s="7" t="n">
        <v>127.8</v>
      </c>
    </row>
    <row r="120">
      <c r="A120" s="4" t="inlineStr">
        <is>
          <t>其他福利支出</t>
        </is>
      </c>
      <c r="D120" s="7" t="n">
        <v>16.9</v>
      </c>
      <c r="F120" s="7" t="n">
        <v>32.2</v>
      </c>
      <c r="H120" s="7" t="n">
        <v>22.8</v>
      </c>
      <c r="J120" s="7" t="n">
        <v>32.8</v>
      </c>
      <c r="L120" s="7" t="n">
        <v>40.2</v>
      </c>
      <c r="N120" s="7" t="n">
        <v>38.2</v>
      </c>
      <c r="P120" s="7" t="n">
        <v>57.5</v>
      </c>
      <c r="R120" s="7" t="n">
        <v>37.6</v>
      </c>
      <c r="T120" s="7" t="n">
        <v>30.2</v>
      </c>
      <c r="V120" s="7" t="n">
        <v>41.1</v>
      </c>
      <c r="X120" s="7" t="n">
        <v>11.9</v>
      </c>
      <c r="Z120" s="7" t="n">
        <v>24.5</v>
      </c>
      <c r="AB120" s="7" t="n">
        <v>385.9</v>
      </c>
    </row>
    <row r="121">
      <c r="A121" s="4" t="inlineStr">
        <is>
          <t>招聘费</t>
        </is>
      </c>
      <c r="D121" s="7" t="n">
        <v>0.4</v>
      </c>
      <c r="F121" s="7" t="n">
        <v>0.4</v>
      </c>
      <c r="H121" s="7" t="n">
        <v>0.4</v>
      </c>
      <c r="J121" s="7" t="n">
        <v>0.3</v>
      </c>
      <c r="L121" s="7" t="n">
        <v>0.5</v>
      </c>
      <c r="N121" s="7" t="n">
        <v>0.5</v>
      </c>
      <c r="P121" s="7" t="n">
        <v>1</v>
      </c>
      <c r="R121" s="7" t="n">
        <v>0.7</v>
      </c>
      <c r="T121" s="7" t="n">
        <v>0.4</v>
      </c>
      <c r="V121" s="7" t="n">
        <v>0.5</v>
      </c>
      <c r="X121" s="7" t="n">
        <v>0.2</v>
      </c>
      <c r="Z121" s="7" t="n">
        <v>0.3</v>
      </c>
      <c r="AB121" s="7" t="n">
        <v>5.6</v>
      </c>
    </row>
    <row r="122">
      <c r="A122" s="4" t="inlineStr">
        <is>
          <t>办公费</t>
        </is>
      </c>
      <c r="D122" s="7" t="n">
        <v>244.8</v>
      </c>
      <c r="F122" s="7" t="n">
        <v>292.5</v>
      </c>
      <c r="H122" s="7" t="n">
        <v>238.8</v>
      </c>
      <c r="J122" s="7" t="n">
        <v>264.8</v>
      </c>
      <c r="L122" s="7" t="n">
        <v>444.3</v>
      </c>
      <c r="N122" s="7" t="n">
        <v>294.2</v>
      </c>
      <c r="P122" s="7" t="n">
        <v>670.6</v>
      </c>
      <c r="R122" s="7" t="n">
        <v>526.8</v>
      </c>
      <c r="T122" s="7" t="n">
        <v>296.2</v>
      </c>
      <c r="V122" s="7" t="n">
        <v>441.8</v>
      </c>
      <c r="X122" s="7" t="n">
        <v>191</v>
      </c>
      <c r="Z122" s="7" t="n">
        <v>212.5</v>
      </c>
      <c r="AB122" s="7" t="n">
        <v>4118.3</v>
      </c>
    </row>
    <row r="123">
      <c r="A123" s="4" t="inlineStr">
        <is>
          <t>市内交通费</t>
        </is>
      </c>
      <c r="D123" s="7" t="n">
        <v>11.8</v>
      </c>
      <c r="F123" s="7" t="n">
        <v>22.1</v>
      </c>
      <c r="H123" s="7" t="n">
        <v>13</v>
      </c>
      <c r="J123" s="7" t="n">
        <v>24</v>
      </c>
      <c r="L123" s="7" t="n">
        <v>25.4</v>
      </c>
      <c r="N123" s="7" t="n">
        <v>16.8</v>
      </c>
      <c r="P123" s="7" t="n">
        <v>30.6</v>
      </c>
      <c r="R123" s="7" t="n">
        <v>25.6</v>
      </c>
      <c r="T123" s="7" t="n">
        <v>24.1</v>
      </c>
      <c r="V123" s="7" t="n">
        <v>23.7</v>
      </c>
      <c r="X123" s="7" t="n">
        <v>9</v>
      </c>
      <c r="Z123" s="7" t="n">
        <v>9.1</v>
      </c>
      <c r="AB123" s="7" t="n">
        <v>235.2</v>
      </c>
    </row>
    <row r="124">
      <c r="A124" s="4" t="inlineStr">
        <is>
          <t>差旅费</t>
        </is>
      </c>
      <c r="D124" s="7" t="n">
        <v>562</v>
      </c>
      <c r="F124" s="7" t="n">
        <v>457.7</v>
      </c>
      <c r="H124" s="7" t="n">
        <v>431.1</v>
      </c>
      <c r="J124" s="7" t="n">
        <v>581.6</v>
      </c>
      <c r="L124" s="7" t="n">
        <v>578.7</v>
      </c>
      <c r="N124" s="7" t="n">
        <v>604</v>
      </c>
      <c r="P124" s="7" t="n">
        <v>996.2</v>
      </c>
      <c r="R124" s="7" t="n">
        <v>707</v>
      </c>
      <c r="T124" s="7" t="n">
        <v>734.7</v>
      </c>
      <c r="V124" s="7" t="n">
        <v>961.5</v>
      </c>
      <c r="X124" s="7" t="n">
        <v>314.4</v>
      </c>
      <c r="Z124" s="7" t="n">
        <v>322.9</v>
      </c>
      <c r="AB124" s="7" t="n">
        <v>7251.8</v>
      </c>
    </row>
    <row r="125">
      <c r="A125" s="4" t="inlineStr">
        <is>
          <t>交通费</t>
        </is>
      </c>
      <c r="D125" s="7" t="n">
        <v>1.7</v>
      </c>
      <c r="F125" s="7" t="n">
        <v>1.7</v>
      </c>
      <c r="H125" s="7" t="n">
        <v>2</v>
      </c>
      <c r="J125" s="7" t="n">
        <v>2.7</v>
      </c>
      <c r="L125" s="7" t="n">
        <v>2.9</v>
      </c>
      <c r="N125" s="7" t="n">
        <v>2.4</v>
      </c>
      <c r="P125" s="7" t="n">
        <v>4.9</v>
      </c>
      <c r="R125" s="7" t="n">
        <v>3.5</v>
      </c>
      <c r="T125" s="7" t="n">
        <v>2.1</v>
      </c>
      <c r="V125" s="7" t="n">
        <v>3.9</v>
      </c>
      <c r="X125" s="7" t="n">
        <v>1</v>
      </c>
      <c r="Z125" s="7" t="n">
        <v>1.4</v>
      </c>
      <c r="AB125" s="7" t="n">
        <v>30.2</v>
      </c>
    </row>
    <row r="126">
      <c r="A126" s="4" t="inlineStr">
        <is>
          <t>住宿费</t>
        </is>
      </c>
      <c r="D126" s="7" t="n">
        <v>26.8</v>
      </c>
      <c r="F126" s="7" t="n">
        <v>55.5</v>
      </c>
      <c r="H126" s="7" t="n">
        <v>36.7</v>
      </c>
      <c r="J126" s="7" t="n">
        <v>38.9</v>
      </c>
      <c r="L126" s="7" t="n">
        <v>51.5</v>
      </c>
      <c r="N126" s="7" t="n">
        <v>35.2</v>
      </c>
      <c r="P126" s="7" t="n">
        <v>105.8</v>
      </c>
      <c r="R126" s="7" t="n">
        <v>71.7</v>
      </c>
      <c r="T126" s="7" t="n">
        <v>46.4</v>
      </c>
      <c r="V126" s="7" t="n">
        <v>67.7</v>
      </c>
      <c r="X126" s="7" t="n">
        <v>24.7</v>
      </c>
      <c r="Z126" s="7" t="n">
        <v>20.4</v>
      </c>
      <c r="AB126" s="7" t="n">
        <v>581.3</v>
      </c>
    </row>
    <row r="127">
      <c r="A127" s="4" t="inlineStr">
        <is>
          <t>餐补</t>
        </is>
      </c>
      <c r="D127" s="7" t="n">
        <v>1</v>
      </c>
      <c r="F127" s="7" t="n">
        <v>1.3</v>
      </c>
      <c r="H127" s="7" t="n">
        <v>1.5</v>
      </c>
      <c r="J127" s="7" t="n">
        <v>1.9</v>
      </c>
      <c r="L127" s="7" t="n">
        <v>2.5</v>
      </c>
      <c r="N127" s="7" t="n">
        <v>2.2</v>
      </c>
      <c r="P127" s="7" t="n">
        <v>3.1</v>
      </c>
      <c r="R127" s="7" t="n">
        <v>2.3</v>
      </c>
      <c r="T127" s="7" t="n">
        <v>1.6</v>
      </c>
      <c r="V127" s="7" t="n">
        <v>2.2</v>
      </c>
      <c r="X127" s="7" t="n">
        <v>1</v>
      </c>
      <c r="Z127" s="7" t="n">
        <v>1.1</v>
      </c>
      <c r="AB127" s="7" t="n">
        <v>21.7</v>
      </c>
    </row>
    <row r="128">
      <c r="A128" s="4" t="inlineStr">
        <is>
          <t>交通补助</t>
        </is>
      </c>
      <c r="D128" s="7" t="n">
        <v>43.1</v>
      </c>
      <c r="F128" s="7" t="n">
        <v>39.4</v>
      </c>
      <c r="H128" s="7" t="n">
        <v>30.2</v>
      </c>
      <c r="J128" s="7" t="n">
        <v>45</v>
      </c>
      <c r="L128" s="7" t="n">
        <v>56.8</v>
      </c>
      <c r="N128" s="7" t="n">
        <v>37.4</v>
      </c>
      <c r="P128" s="7" t="n">
        <v>70.90000000000001</v>
      </c>
      <c r="R128" s="7" t="n">
        <v>79.8</v>
      </c>
      <c r="T128" s="7" t="n">
        <v>60.8</v>
      </c>
      <c r="V128" s="7" t="n">
        <v>73.59999999999999</v>
      </c>
      <c r="X128" s="7" t="n">
        <v>29.7</v>
      </c>
      <c r="Z128" s="7" t="n">
        <v>24.8</v>
      </c>
      <c r="AB128" s="7" t="n">
        <v>591.5</v>
      </c>
    </row>
    <row r="129">
      <c r="A129" s="4" t="inlineStr">
        <is>
          <t>通讯补助</t>
        </is>
      </c>
      <c r="D129" s="7" t="n">
        <v>12.7</v>
      </c>
      <c r="F129" s="7" t="n">
        <v>18.2</v>
      </c>
      <c r="H129" s="7" t="n">
        <v>11.3</v>
      </c>
      <c r="J129" s="7" t="n">
        <v>16.7</v>
      </c>
      <c r="L129" s="7" t="n">
        <v>19.5</v>
      </c>
      <c r="N129" s="7" t="n">
        <v>23.1</v>
      </c>
      <c r="P129" s="7" t="n">
        <v>37.9</v>
      </c>
      <c r="R129" s="7" t="n">
        <v>25.7</v>
      </c>
      <c r="T129" s="7" t="n">
        <v>20.4</v>
      </c>
      <c r="V129" s="7" t="n">
        <v>22.3</v>
      </c>
      <c r="X129" s="7" t="n">
        <v>9.4</v>
      </c>
      <c r="Z129" s="7" t="n">
        <v>12.1</v>
      </c>
      <c r="AB129" s="7" t="n">
        <v>229.3</v>
      </c>
    </row>
    <row r="130">
      <c r="A130" s="4" t="inlineStr">
        <is>
          <t>招待费</t>
        </is>
      </c>
      <c r="D130" s="7" t="n">
        <v>250.8</v>
      </c>
      <c r="F130" s="7" t="n">
        <v>462.9</v>
      </c>
      <c r="H130" s="7" t="n">
        <v>339.6</v>
      </c>
      <c r="J130" s="7" t="n">
        <v>397.8</v>
      </c>
      <c r="L130" s="7" t="n">
        <v>398.2</v>
      </c>
      <c r="N130" s="7" t="n">
        <v>434</v>
      </c>
      <c r="P130" s="7" t="n">
        <v>884.1</v>
      </c>
      <c r="R130" s="7" t="n">
        <v>583.9</v>
      </c>
      <c r="T130" s="7" t="n">
        <v>374.4</v>
      </c>
      <c r="V130" s="7" t="n">
        <v>586.7</v>
      </c>
      <c r="X130" s="7" t="n">
        <v>273.8</v>
      </c>
      <c r="Z130" s="7" t="n">
        <v>320.7</v>
      </c>
      <c r="AB130" s="7" t="n">
        <v>5306.9</v>
      </c>
    </row>
    <row r="131">
      <c r="A131" s="4" t="inlineStr">
        <is>
          <t>通讯费</t>
        </is>
      </c>
      <c r="D131" s="7" t="n">
        <v>19.6</v>
      </c>
      <c r="F131" s="7" t="n">
        <v>20.7</v>
      </c>
      <c r="H131" s="7" t="n">
        <v>22.5</v>
      </c>
      <c r="J131" s="7" t="n">
        <v>25</v>
      </c>
      <c r="L131" s="7" t="n">
        <v>27.8</v>
      </c>
      <c r="N131" s="7" t="n">
        <v>33.7</v>
      </c>
      <c r="P131" s="7" t="n">
        <v>73.59999999999999</v>
      </c>
      <c r="R131" s="7" t="n">
        <v>44.2</v>
      </c>
      <c r="T131" s="7" t="n">
        <v>30.2</v>
      </c>
      <c r="V131" s="7" t="n">
        <v>58.3</v>
      </c>
      <c r="X131" s="7" t="n">
        <v>13.2</v>
      </c>
      <c r="Z131" s="7" t="n">
        <v>14.5</v>
      </c>
      <c r="AB131" s="7" t="n">
        <v>383.3</v>
      </c>
    </row>
    <row r="132">
      <c r="A132" s="4" t="inlineStr">
        <is>
          <t>网络费</t>
        </is>
      </c>
      <c r="D132" s="7" t="n">
        <v>46.1</v>
      </c>
      <c r="F132" s="7" t="n">
        <v>52.3</v>
      </c>
      <c r="H132" s="7" t="n">
        <v>33.4</v>
      </c>
      <c r="J132" s="7" t="n">
        <v>43.8</v>
      </c>
      <c r="L132" s="7" t="n">
        <v>42.4</v>
      </c>
      <c r="N132" s="7" t="n">
        <v>45</v>
      </c>
      <c r="P132" s="7" t="n">
        <v>88.59999999999999</v>
      </c>
      <c r="R132" s="7" t="n">
        <v>65</v>
      </c>
      <c r="T132" s="7" t="n">
        <v>53.9</v>
      </c>
      <c r="V132" s="7" t="n">
        <v>57.8</v>
      </c>
      <c r="X132" s="7" t="n">
        <v>21.4</v>
      </c>
      <c r="Z132" s="7" t="n">
        <v>25.3</v>
      </c>
      <c r="AB132" s="7" t="n">
        <v>575</v>
      </c>
    </row>
    <row r="133">
      <c r="A133" s="4" t="inlineStr">
        <is>
          <t>修理费</t>
        </is>
      </c>
      <c r="D133" s="7" t="n">
        <v>27</v>
      </c>
      <c r="F133" s="7" t="n">
        <v>43.6</v>
      </c>
      <c r="H133" s="7" t="n">
        <v>44.2</v>
      </c>
      <c r="J133" s="7" t="n">
        <v>51.9</v>
      </c>
      <c r="L133" s="7" t="n">
        <v>45.5</v>
      </c>
      <c r="N133" s="7" t="n">
        <v>55.8</v>
      </c>
      <c r="P133" s="7" t="n">
        <v>86.7</v>
      </c>
      <c r="R133" s="7" t="n">
        <v>60.7</v>
      </c>
      <c r="T133" s="7" t="n">
        <v>44.7</v>
      </c>
      <c r="V133" s="7" t="n">
        <v>73.7</v>
      </c>
      <c r="X133" s="7" t="n">
        <v>33</v>
      </c>
      <c r="Z133" s="7" t="n">
        <v>32.6</v>
      </c>
      <c r="AB133" s="7" t="n">
        <v>599.4</v>
      </c>
    </row>
    <row r="134">
      <c r="A134" s="4" t="inlineStr">
        <is>
          <t>车辆费</t>
        </is>
      </c>
      <c r="D134" s="7" t="n">
        <v>13.9</v>
      </c>
      <c r="F134" s="7" t="n">
        <v>11.7</v>
      </c>
      <c r="H134" s="7" t="n">
        <v>8.300000000000001</v>
      </c>
      <c r="J134" s="7" t="n">
        <v>12.1</v>
      </c>
      <c r="L134" s="7" t="n">
        <v>15.3</v>
      </c>
      <c r="N134" s="7" t="n">
        <v>15.8</v>
      </c>
      <c r="P134" s="7" t="n">
        <v>29.7</v>
      </c>
      <c r="R134" s="7" t="n">
        <v>22.3</v>
      </c>
      <c r="T134" s="7" t="n">
        <v>20.2</v>
      </c>
      <c r="V134" s="7" t="n">
        <v>26.6</v>
      </c>
      <c r="X134" s="7" t="n">
        <v>6.4</v>
      </c>
      <c r="Z134" s="7" t="n">
        <v>9</v>
      </c>
      <c r="AB134" s="7" t="n">
        <v>191.3</v>
      </c>
    </row>
    <row r="135">
      <c r="A135" s="4" t="inlineStr">
        <is>
          <t>租赁费</t>
        </is>
      </c>
      <c r="D135" s="7" t="n">
        <v>475.4</v>
      </c>
      <c r="F135" s="7" t="n">
        <v>420.9</v>
      </c>
      <c r="H135" s="7" t="n">
        <v>304.2</v>
      </c>
      <c r="J135" s="7" t="n">
        <v>536.8</v>
      </c>
      <c r="L135" s="7" t="n">
        <v>629.1</v>
      </c>
      <c r="N135" s="7" t="n">
        <v>603.1</v>
      </c>
      <c r="P135" s="7" t="n">
        <v>1140.5</v>
      </c>
      <c r="R135" s="7" t="n">
        <v>730.2</v>
      </c>
      <c r="T135" s="7" t="n">
        <v>501.3</v>
      </c>
      <c r="V135" s="7" t="n">
        <v>939.7</v>
      </c>
      <c r="X135" s="7" t="n">
        <v>331.3</v>
      </c>
      <c r="Z135" s="7" t="n">
        <v>334.4</v>
      </c>
      <c r="AB135" s="7" t="n">
        <v>6946.9</v>
      </c>
    </row>
    <row r="136">
      <c r="A136" s="4" t="inlineStr">
        <is>
          <t>能源费</t>
        </is>
      </c>
      <c r="D136" s="7" t="n">
        <v>104.3</v>
      </c>
      <c r="F136" s="7" t="n">
        <v>164.1</v>
      </c>
      <c r="H136" s="7" t="n">
        <v>128.2</v>
      </c>
      <c r="J136" s="7" t="n">
        <v>130.4</v>
      </c>
      <c r="L136" s="7" t="n">
        <v>170</v>
      </c>
      <c r="N136" s="7" t="n">
        <v>173</v>
      </c>
      <c r="P136" s="7" t="n">
        <v>254.4</v>
      </c>
      <c r="R136" s="7" t="n">
        <v>195.6</v>
      </c>
      <c r="T136" s="7" t="n">
        <v>174.4</v>
      </c>
      <c r="V136" s="7" t="n">
        <v>245.1</v>
      </c>
      <c r="X136" s="7" t="n">
        <v>80.5</v>
      </c>
      <c r="Z136" s="7" t="n">
        <v>104</v>
      </c>
      <c r="AB136" s="7" t="n">
        <v>1924</v>
      </c>
    </row>
    <row r="137">
      <c r="A137" s="4" t="inlineStr">
        <is>
          <t>水费</t>
        </is>
      </c>
      <c r="D137" s="7" t="n">
        <v>35.4</v>
      </c>
      <c r="F137" s="7" t="n">
        <v>68.40000000000001</v>
      </c>
      <c r="H137" s="7" t="n">
        <v>56.1</v>
      </c>
      <c r="J137" s="7" t="n">
        <v>65.3</v>
      </c>
      <c r="L137" s="7" t="n">
        <v>56.6</v>
      </c>
      <c r="N137" s="7" t="n">
        <v>65.7</v>
      </c>
      <c r="P137" s="7" t="n">
        <v>97.3</v>
      </c>
      <c r="R137" s="7" t="n">
        <v>73.40000000000001</v>
      </c>
      <c r="T137" s="7" t="n">
        <v>70.5</v>
      </c>
      <c r="V137" s="7" t="n">
        <v>93.8</v>
      </c>
      <c r="X137" s="7" t="n">
        <v>24.2</v>
      </c>
      <c r="Z137" s="7" t="n">
        <v>38.9</v>
      </c>
      <c r="AB137" s="7" t="n">
        <v>745.6</v>
      </c>
    </row>
    <row r="138">
      <c r="A138" s="4" t="inlineStr">
        <is>
          <t>电费</t>
        </is>
      </c>
      <c r="D138" s="7" t="n">
        <v>25</v>
      </c>
      <c r="F138" s="7" t="n">
        <v>38</v>
      </c>
      <c r="H138" s="7" t="n">
        <v>23.4</v>
      </c>
      <c r="J138" s="7" t="n">
        <v>22.4</v>
      </c>
      <c r="L138" s="7" t="n">
        <v>44.4</v>
      </c>
      <c r="N138" s="7" t="n">
        <v>29.9</v>
      </c>
      <c r="P138" s="7" t="n">
        <v>59.7</v>
      </c>
      <c r="R138" s="7" t="n">
        <v>48.5</v>
      </c>
      <c r="T138" s="7" t="n">
        <v>41.2</v>
      </c>
      <c r="V138" s="7" t="n">
        <v>51.8</v>
      </c>
      <c r="X138" s="7" t="n">
        <v>18.3</v>
      </c>
      <c r="Z138" s="7" t="n">
        <v>22.4</v>
      </c>
      <c r="AB138" s="7" t="n">
        <v>425</v>
      </c>
    </row>
    <row r="139">
      <c r="A139" s="4" t="inlineStr">
        <is>
          <t>燃气费</t>
        </is>
      </c>
      <c r="D139" s="7" t="n">
        <v>22.2</v>
      </c>
      <c r="F139" s="7" t="n">
        <v>33.5</v>
      </c>
      <c r="H139" s="7" t="n">
        <v>28.5</v>
      </c>
      <c r="J139" s="7" t="n">
        <v>24.1</v>
      </c>
      <c r="L139" s="7" t="n">
        <v>31.6</v>
      </c>
      <c r="N139" s="7" t="n">
        <v>43.4</v>
      </c>
      <c r="P139" s="7" t="n">
        <v>50.3</v>
      </c>
      <c r="R139" s="7" t="n">
        <v>37.6</v>
      </c>
      <c r="T139" s="7" t="n">
        <v>32.5</v>
      </c>
      <c r="V139" s="7" t="n">
        <v>59.1</v>
      </c>
      <c r="X139" s="7" t="n">
        <v>21</v>
      </c>
      <c r="Z139" s="7" t="n">
        <v>25.9</v>
      </c>
      <c r="AB139" s="7" t="n">
        <v>409.7</v>
      </c>
    </row>
    <row r="140">
      <c r="A140" s="4" t="inlineStr">
        <is>
          <t>蒸汽费</t>
        </is>
      </c>
      <c r="D140" s="7" t="n">
        <v>21.7</v>
      </c>
      <c r="F140" s="7" t="n">
        <v>24.2</v>
      </c>
      <c r="H140" s="7" t="n">
        <v>20.2</v>
      </c>
      <c r="J140" s="7" t="n">
        <v>18.6</v>
      </c>
      <c r="L140" s="7" t="n">
        <v>37.4</v>
      </c>
      <c r="N140" s="7" t="n">
        <v>34</v>
      </c>
      <c r="P140" s="7" t="n">
        <v>47.1</v>
      </c>
      <c r="R140" s="7" t="n">
        <v>36.1</v>
      </c>
      <c r="T140" s="7" t="n">
        <v>30.2</v>
      </c>
      <c r="V140" s="7" t="n">
        <v>40.4</v>
      </c>
      <c r="X140" s="7" t="n">
        <v>17</v>
      </c>
      <c r="Z140" s="7" t="n">
        <v>16.8</v>
      </c>
      <c r="AB140" s="7" t="n">
        <v>343.7</v>
      </c>
    </row>
    <row r="141">
      <c r="A141" s="4" t="inlineStr">
        <is>
          <t>物业费</t>
        </is>
      </c>
      <c r="D141" s="7" t="n">
        <v>18.4</v>
      </c>
      <c r="F141" s="7" t="n">
        <v>34.7</v>
      </c>
      <c r="H141" s="7" t="n">
        <v>18.5</v>
      </c>
      <c r="J141" s="7" t="n">
        <v>21.1</v>
      </c>
      <c r="L141" s="7" t="n">
        <v>35.8</v>
      </c>
      <c r="N141" s="7" t="n">
        <v>39</v>
      </c>
      <c r="P141" s="7" t="n">
        <v>51.6</v>
      </c>
      <c r="R141" s="7" t="n">
        <v>37.7</v>
      </c>
      <c r="T141" s="7" t="n">
        <v>38</v>
      </c>
      <c r="V141" s="7" t="n">
        <v>47.6</v>
      </c>
      <c r="X141" s="7" t="n">
        <v>17.5</v>
      </c>
      <c r="Z141" s="7" t="n">
        <v>13</v>
      </c>
      <c r="AB141" s="7" t="n">
        <v>372.9</v>
      </c>
    </row>
    <row r="142">
      <c r="A142" s="4" t="inlineStr">
        <is>
          <t>劳动保护费</t>
        </is>
      </c>
      <c r="D142" s="7" t="n">
        <v>33.9</v>
      </c>
      <c r="F142" s="7" t="n">
        <v>32.6</v>
      </c>
      <c r="H142" s="7" t="n">
        <v>41.4</v>
      </c>
      <c r="J142" s="7" t="n">
        <v>41.2</v>
      </c>
      <c r="L142" s="7" t="n">
        <v>37.4</v>
      </c>
      <c r="N142" s="7" t="n">
        <v>53.5</v>
      </c>
      <c r="P142" s="7" t="n">
        <v>68</v>
      </c>
      <c r="R142" s="7" t="n">
        <v>73.59999999999999</v>
      </c>
      <c r="T142" s="7" t="n">
        <v>52.8</v>
      </c>
      <c r="V142" s="7" t="n">
        <v>66.40000000000001</v>
      </c>
      <c r="X142" s="7" t="n">
        <v>27.6</v>
      </c>
      <c r="Z142" s="7" t="n">
        <v>18.3</v>
      </c>
      <c r="AB142" s="7" t="n">
        <v>546.7</v>
      </c>
    </row>
    <row r="143">
      <c r="A143" s="4" t="inlineStr">
        <is>
          <t>顾问费</t>
        </is>
      </c>
      <c r="D143" s="7" t="n">
        <v>35.9</v>
      </c>
      <c r="F143" s="7" t="n">
        <v>39</v>
      </c>
      <c r="H143" s="7" t="n">
        <v>22.7</v>
      </c>
      <c r="J143" s="7" t="n">
        <v>30</v>
      </c>
      <c r="L143" s="7" t="n">
        <v>52.7</v>
      </c>
      <c r="N143" s="7" t="n">
        <v>39.5</v>
      </c>
      <c r="P143" s="7" t="n">
        <v>69.90000000000001</v>
      </c>
      <c r="R143" s="7" t="n">
        <v>53.8</v>
      </c>
      <c r="T143" s="7" t="n">
        <v>33.9</v>
      </c>
      <c r="V143" s="7" t="n">
        <v>60.2</v>
      </c>
      <c r="X143" s="7" t="n">
        <v>16</v>
      </c>
      <c r="Z143" s="7" t="n">
        <v>20.8</v>
      </c>
      <c r="AB143" s="7" t="n">
        <v>474.4</v>
      </c>
    </row>
    <row r="144">
      <c r="A144" s="4" t="inlineStr">
        <is>
          <t>快递费</t>
        </is>
      </c>
      <c r="D144" s="7" t="n">
        <v>47.8</v>
      </c>
      <c r="F144" s="7" t="n">
        <v>50.3</v>
      </c>
      <c r="H144" s="7" t="n">
        <v>34.5</v>
      </c>
      <c r="J144" s="7" t="n">
        <v>66.3</v>
      </c>
      <c r="L144" s="7" t="n">
        <v>49.8</v>
      </c>
      <c r="N144" s="7" t="n">
        <v>63.9</v>
      </c>
      <c r="P144" s="7" t="n">
        <v>112.5</v>
      </c>
      <c r="R144" s="7" t="n">
        <v>70.3</v>
      </c>
      <c r="T144" s="7" t="n">
        <v>45.6</v>
      </c>
      <c r="V144" s="7" t="n">
        <v>99.09999999999999</v>
      </c>
      <c r="X144" s="7" t="n">
        <v>26.7</v>
      </c>
      <c r="Z144" s="7" t="n">
        <v>35.7</v>
      </c>
      <c r="AB144" s="7" t="n">
        <v>702.5</v>
      </c>
    </row>
    <row r="145">
      <c r="A145" s="4" t="inlineStr">
        <is>
          <t>诉讼费</t>
        </is>
      </c>
      <c r="D145" s="7" t="n">
        <v>3</v>
      </c>
      <c r="F145" s="7" t="n">
        <v>3</v>
      </c>
      <c r="H145" s="7" t="n">
        <v>2.9</v>
      </c>
      <c r="J145" s="7" t="n">
        <v>3.4</v>
      </c>
      <c r="L145" s="7" t="n">
        <v>4.7</v>
      </c>
      <c r="N145" s="7" t="n">
        <v>3.8</v>
      </c>
      <c r="P145" s="7" t="n">
        <v>6.5</v>
      </c>
      <c r="R145" s="7" t="n">
        <v>6.4</v>
      </c>
      <c r="T145" s="7" t="n">
        <v>5.5</v>
      </c>
      <c r="V145" s="7" t="n">
        <v>6.9</v>
      </c>
      <c r="X145" s="7" t="n">
        <v>1.8</v>
      </c>
      <c r="Z145" s="7" t="n">
        <v>2.5</v>
      </c>
      <c r="AB145" s="7" t="n">
        <v>50.4</v>
      </c>
    </row>
    <row r="146">
      <c r="A146" s="4" t="inlineStr">
        <is>
          <t>会员费</t>
        </is>
      </c>
      <c r="D146" s="7" t="n">
        <v>36.1</v>
      </c>
      <c r="F146" s="7" t="n">
        <v>29.9</v>
      </c>
      <c r="H146" s="7" t="n">
        <v>32.2</v>
      </c>
      <c r="J146" s="7" t="n">
        <v>34.9</v>
      </c>
      <c r="L146" s="7" t="n">
        <v>55.5</v>
      </c>
      <c r="N146" s="7" t="n">
        <v>46.4</v>
      </c>
      <c r="P146" s="7" t="n">
        <v>64.09999999999999</v>
      </c>
      <c r="R146" s="7" t="n">
        <v>74.3</v>
      </c>
      <c r="T146" s="7" t="n">
        <v>53.7</v>
      </c>
      <c r="V146" s="7" t="n">
        <v>74</v>
      </c>
      <c r="X146" s="7" t="n">
        <v>16.8</v>
      </c>
      <c r="Z146" s="7" t="n">
        <v>29.1</v>
      </c>
      <c r="AB146" s="7" t="n">
        <v>547</v>
      </c>
    </row>
    <row r="147">
      <c r="A147" s="4" t="inlineStr">
        <is>
          <t>广告宣传费</t>
        </is>
      </c>
      <c r="D147" s="7" t="n">
        <v>181.2</v>
      </c>
      <c r="F147" s="7" t="n">
        <v>319.2</v>
      </c>
      <c r="H147" s="7" t="n">
        <v>291.2</v>
      </c>
      <c r="J147" s="7" t="n">
        <v>280.9</v>
      </c>
      <c r="L147" s="7" t="n">
        <v>467.5</v>
      </c>
      <c r="N147" s="7" t="n">
        <v>252.2</v>
      </c>
      <c r="P147" s="7" t="n">
        <v>721.6</v>
      </c>
      <c r="R147" s="7" t="n">
        <v>600.1</v>
      </c>
      <c r="T147" s="7" t="n">
        <v>456.6</v>
      </c>
      <c r="V147" s="7" t="n">
        <v>398.6</v>
      </c>
      <c r="X147" s="7" t="n">
        <v>170.8</v>
      </c>
      <c r="Z147" s="7" t="n">
        <v>182.7</v>
      </c>
      <c r="AB147" s="7" t="n">
        <v>4322.6</v>
      </c>
    </row>
    <row r="148">
      <c r="A148" s="4" t="inlineStr">
        <is>
          <t>会务费</t>
        </is>
      </c>
      <c r="D148" s="7" t="n">
        <v>12.1</v>
      </c>
      <c r="F148" s="7" t="n">
        <v>14.1</v>
      </c>
      <c r="H148" s="7" t="n">
        <v>12.9</v>
      </c>
      <c r="J148" s="7" t="n">
        <v>13.9</v>
      </c>
      <c r="L148" s="7" t="n">
        <v>14.1</v>
      </c>
      <c r="N148" s="7" t="n">
        <v>9.699999999999999</v>
      </c>
      <c r="P148" s="7" t="n">
        <v>27.7</v>
      </c>
      <c r="R148" s="7" t="n">
        <v>17.1</v>
      </c>
      <c r="T148" s="7" t="n">
        <v>14.7</v>
      </c>
      <c r="V148" s="7" t="n">
        <v>15.7</v>
      </c>
      <c r="X148" s="7" t="n">
        <v>5.8</v>
      </c>
      <c r="Z148" s="7" t="n">
        <v>9</v>
      </c>
      <c r="AB148" s="7" t="n">
        <v>166.8</v>
      </c>
    </row>
    <row r="149">
      <c r="A149" s="4" t="inlineStr">
        <is>
          <t>装修费</t>
        </is>
      </c>
      <c r="D149" s="7" t="n">
        <v>39.9</v>
      </c>
      <c r="F149" s="7" t="n">
        <v>42.4</v>
      </c>
      <c r="H149" s="7" t="n">
        <v>30.4</v>
      </c>
      <c r="J149" s="7" t="n">
        <v>46.4</v>
      </c>
      <c r="L149" s="7" t="n">
        <v>70.09999999999999</v>
      </c>
      <c r="N149" s="7" t="n">
        <v>57.2</v>
      </c>
      <c r="P149" s="7" t="n">
        <v>70.40000000000001</v>
      </c>
      <c r="R149" s="7" t="n">
        <v>85.59999999999999</v>
      </c>
      <c r="T149" s="7" t="n">
        <v>55.9</v>
      </c>
      <c r="V149" s="7" t="n">
        <v>69.5</v>
      </c>
      <c r="X149" s="7" t="n">
        <v>29.7</v>
      </c>
      <c r="Z149" s="7" t="n">
        <v>27.4</v>
      </c>
      <c r="AB149" s="7" t="n">
        <v>624.9</v>
      </c>
    </row>
    <row r="150">
      <c r="A150" s="4" t="inlineStr">
        <is>
          <t>推广费</t>
        </is>
      </c>
      <c r="D150" s="7" t="n">
        <v>37.2</v>
      </c>
      <c r="F150" s="7" t="n">
        <v>66.3</v>
      </c>
      <c r="H150" s="7" t="n">
        <v>59.6</v>
      </c>
      <c r="J150" s="7" t="n">
        <v>58.1</v>
      </c>
      <c r="L150" s="7" t="n">
        <v>97.90000000000001</v>
      </c>
      <c r="N150" s="7" t="n">
        <v>74.7</v>
      </c>
      <c r="P150" s="7" t="n">
        <v>129.3</v>
      </c>
      <c r="R150" s="7" t="n">
        <v>105.1</v>
      </c>
      <c r="T150" s="7" t="n">
        <v>94.09999999999999</v>
      </c>
      <c r="V150" s="7" t="n">
        <v>70.40000000000001</v>
      </c>
      <c r="X150" s="7" t="n">
        <v>46.4</v>
      </c>
      <c r="Z150" s="7" t="n">
        <v>42.8</v>
      </c>
      <c r="AB150" s="7" t="n">
        <v>881.9</v>
      </c>
    </row>
    <row r="151">
      <c r="A151" s="4" t="inlineStr">
        <is>
          <t>展会费</t>
        </is>
      </c>
      <c r="D151" s="7" t="n">
        <v>51.9</v>
      </c>
      <c r="F151" s="7" t="n">
        <v>55.7</v>
      </c>
      <c r="H151" s="7" t="n">
        <v>52.1</v>
      </c>
      <c r="J151" s="7" t="n">
        <v>73.5</v>
      </c>
      <c r="L151" s="7" t="n">
        <v>64.59999999999999</v>
      </c>
      <c r="N151" s="7" t="n">
        <v>81.8</v>
      </c>
      <c r="P151" s="7" t="n">
        <v>150</v>
      </c>
      <c r="R151" s="7" t="n">
        <v>83.90000000000001</v>
      </c>
      <c r="T151" s="7" t="n">
        <v>68.40000000000001</v>
      </c>
      <c r="V151" s="7" t="n">
        <v>65.5</v>
      </c>
      <c r="X151" s="7" t="n">
        <v>26.7</v>
      </c>
      <c r="Z151" s="7" t="n">
        <v>46.4</v>
      </c>
      <c r="AB151" s="7" t="n">
        <v>820.5</v>
      </c>
    </row>
    <row r="152">
      <c r="A152" s="4" t="inlineStr">
        <is>
          <t>设计费</t>
        </is>
      </c>
      <c r="D152" s="7" t="n">
        <v>31.7</v>
      </c>
      <c r="F152" s="7" t="n">
        <v>30.1</v>
      </c>
      <c r="H152" s="7" t="n">
        <v>25.8</v>
      </c>
      <c r="J152" s="7" t="n">
        <v>25.3</v>
      </c>
      <c r="L152" s="7" t="n">
        <v>38.6</v>
      </c>
      <c r="N152" s="7" t="n">
        <v>29.3</v>
      </c>
      <c r="P152" s="7" t="n">
        <v>56.9</v>
      </c>
      <c r="R152" s="7" t="n">
        <v>33.8</v>
      </c>
      <c r="T152" s="7" t="n">
        <v>46.3</v>
      </c>
      <c r="V152" s="7" t="n">
        <v>42.5</v>
      </c>
      <c r="X152" s="7" t="n">
        <v>19.2</v>
      </c>
      <c r="Z152" s="7" t="n">
        <v>21.5</v>
      </c>
      <c r="AB152" s="7" t="n">
        <v>401</v>
      </c>
    </row>
    <row r="153">
      <c r="A153" s="4" t="inlineStr">
        <is>
          <t>折旧费</t>
        </is>
      </c>
      <c r="D153" s="7" t="n">
        <v>371.7</v>
      </c>
      <c r="F153" s="7" t="n">
        <v>508.6</v>
      </c>
      <c r="H153" s="7" t="n">
        <v>256.7</v>
      </c>
      <c r="J153" s="7" t="n">
        <v>448.4</v>
      </c>
      <c r="L153" s="7" t="n">
        <v>623</v>
      </c>
      <c r="N153" s="7" t="n">
        <v>546.9</v>
      </c>
      <c r="P153" s="7" t="n">
        <v>704.8</v>
      </c>
      <c r="R153" s="7" t="n">
        <v>736.1</v>
      </c>
      <c r="T153" s="7" t="n">
        <v>454.2</v>
      </c>
      <c r="V153" s="7" t="n">
        <v>777.7</v>
      </c>
      <c r="X153" s="7" t="n">
        <v>185.4</v>
      </c>
      <c r="Z153" s="7" t="n">
        <v>215</v>
      </c>
      <c r="AB153" s="7" t="n">
        <v>5828.5</v>
      </c>
    </row>
    <row r="154">
      <c r="A154" s="4" t="inlineStr">
        <is>
          <t>认证费</t>
        </is>
      </c>
      <c r="D154" s="7" t="n">
        <v>20.7</v>
      </c>
      <c r="F154" s="7" t="n">
        <v>15.6</v>
      </c>
      <c r="H154" s="7" t="n">
        <v>17.9</v>
      </c>
      <c r="J154" s="7" t="n">
        <v>23.4</v>
      </c>
      <c r="L154" s="7" t="n">
        <v>23</v>
      </c>
      <c r="N154" s="7" t="n">
        <v>20.1</v>
      </c>
      <c r="P154" s="7" t="n">
        <v>37.9</v>
      </c>
      <c r="R154" s="7" t="n">
        <v>40.8</v>
      </c>
      <c r="T154" s="7" t="n">
        <v>30.1</v>
      </c>
      <c r="V154" s="7" t="n">
        <v>27.6</v>
      </c>
      <c r="X154" s="7" t="n">
        <v>12.9</v>
      </c>
      <c r="Z154" s="7" t="n">
        <v>14.4</v>
      </c>
      <c r="AB154" s="7" t="n">
        <v>284.4</v>
      </c>
    </row>
    <row r="155">
      <c r="A155" s="4" t="inlineStr">
        <is>
          <t>样品费</t>
        </is>
      </c>
      <c r="D155" s="7" t="n">
        <v>129.4</v>
      </c>
      <c r="F155" s="7" t="n">
        <v>174.2</v>
      </c>
      <c r="H155" s="7" t="n">
        <v>201.1</v>
      </c>
      <c r="J155" s="7" t="n">
        <v>241.5</v>
      </c>
      <c r="L155" s="7" t="n">
        <v>178.7</v>
      </c>
      <c r="N155" s="7" t="n">
        <v>240.9</v>
      </c>
      <c r="P155" s="7" t="n">
        <v>405.4</v>
      </c>
      <c r="R155" s="7" t="n">
        <v>282.7</v>
      </c>
      <c r="T155" s="7" t="n">
        <v>296.6</v>
      </c>
      <c r="V155" s="7" t="n">
        <v>235.2</v>
      </c>
      <c r="X155" s="7" t="n">
        <v>125.8</v>
      </c>
      <c r="Z155" s="7" t="n">
        <v>129</v>
      </c>
      <c r="AB155" s="7" t="n">
        <v>2640.5</v>
      </c>
    </row>
    <row r="156">
      <c r="A156" s="4" t="inlineStr">
        <is>
          <t>劳务费</t>
        </is>
      </c>
      <c r="D156" s="7" t="n">
        <v>45.2</v>
      </c>
      <c r="F156" s="7" t="n">
        <v>41.1</v>
      </c>
      <c r="H156" s="7" t="n">
        <v>31.6</v>
      </c>
      <c r="J156" s="7" t="n">
        <v>48.2</v>
      </c>
      <c r="L156" s="7" t="n">
        <v>57.2</v>
      </c>
      <c r="N156" s="7" t="n">
        <v>37.3</v>
      </c>
      <c r="P156" s="7" t="n">
        <v>90.40000000000001</v>
      </c>
      <c r="R156" s="7" t="n">
        <v>54.6</v>
      </c>
      <c r="T156" s="7" t="n">
        <v>52.9</v>
      </c>
      <c r="V156" s="7" t="n">
        <v>75.5</v>
      </c>
      <c r="X156" s="7" t="n">
        <v>30.5</v>
      </c>
      <c r="Z156" s="7" t="n">
        <v>27</v>
      </c>
      <c r="AB156" s="7" t="n">
        <v>591.5</v>
      </c>
    </row>
    <row r="157">
      <c r="A157" s="4" t="inlineStr">
        <is>
          <t>销售佣金</t>
        </is>
      </c>
      <c r="D157" s="7" t="n">
        <v>20.5</v>
      </c>
      <c r="F157" s="7" t="n">
        <v>16.4</v>
      </c>
      <c r="H157" s="7" t="n">
        <v>21.4</v>
      </c>
      <c r="J157" s="7" t="n">
        <v>28.4</v>
      </c>
      <c r="L157" s="7" t="n">
        <v>29.6</v>
      </c>
      <c r="N157" s="7" t="n">
        <v>25.6</v>
      </c>
      <c r="P157" s="7" t="n">
        <v>44.4</v>
      </c>
      <c r="R157" s="7" t="n">
        <v>38.9</v>
      </c>
      <c r="T157" s="7" t="n">
        <v>23.4</v>
      </c>
      <c r="V157" s="7" t="n">
        <v>24.4</v>
      </c>
      <c r="X157" s="7" t="n">
        <v>14.9</v>
      </c>
      <c r="Z157" s="7" t="n">
        <v>15.7</v>
      </c>
      <c r="AB157" s="7" t="n">
        <v>303.6</v>
      </c>
    </row>
    <row r="158">
      <c r="A158" s="4" t="inlineStr">
        <is>
          <t>检测费</t>
        </is>
      </c>
      <c r="D158" s="7" t="n">
        <v>1.2</v>
      </c>
      <c r="F158" s="7" t="n">
        <v>1.7</v>
      </c>
      <c r="H158" s="7" t="n">
        <v>1.6</v>
      </c>
      <c r="J158" s="7" t="n">
        <v>1.5</v>
      </c>
      <c r="L158" s="7" t="n">
        <v>2.4</v>
      </c>
      <c r="N158" s="7" t="n">
        <v>2.6</v>
      </c>
      <c r="P158" s="7" t="n">
        <v>2.7</v>
      </c>
      <c r="R158" s="7" t="n">
        <v>3.5</v>
      </c>
      <c r="T158" s="7" t="n">
        <v>1.8</v>
      </c>
      <c r="V158" s="7" t="n">
        <v>2.6</v>
      </c>
      <c r="X158" s="7" t="n">
        <v>0.9</v>
      </c>
      <c r="Z158" s="7" t="n">
        <v>1.2</v>
      </c>
      <c r="AB158" s="7" t="n">
        <v>23.7</v>
      </c>
    </row>
    <row r="159">
      <c r="A159" s="4" t="inlineStr">
        <is>
          <t>质量赔偿</t>
        </is>
      </c>
      <c r="D159" s="7" t="n">
        <v>47.7</v>
      </c>
      <c r="F159" s="7" t="n">
        <v>49.5</v>
      </c>
      <c r="H159" s="7" t="n">
        <v>41.7</v>
      </c>
      <c r="J159" s="7" t="n">
        <v>58.4</v>
      </c>
      <c r="L159" s="7" t="n">
        <v>65.40000000000001</v>
      </c>
      <c r="N159" s="7" t="n">
        <v>64.90000000000001</v>
      </c>
      <c r="P159" s="7" t="n">
        <v>134.5</v>
      </c>
      <c r="R159" s="7" t="n">
        <v>72</v>
      </c>
      <c r="T159" s="7" t="n">
        <v>54.4</v>
      </c>
      <c r="V159" s="7" t="n">
        <v>114.3</v>
      </c>
      <c r="X159" s="7" t="n">
        <v>41</v>
      </c>
      <c r="Z159" s="7" t="n">
        <v>32</v>
      </c>
      <c r="AB159" s="7" t="n">
        <v>775.8</v>
      </c>
    </row>
    <row r="160">
      <c r="A160" s="4" t="inlineStr">
        <is>
          <t>保险费</t>
        </is>
      </c>
      <c r="D160" s="7" t="n">
        <v>43.4</v>
      </c>
      <c r="F160" s="7" t="n">
        <v>52.4</v>
      </c>
      <c r="H160" s="7" t="n">
        <v>44.1</v>
      </c>
      <c r="J160" s="7" t="n">
        <v>41.1</v>
      </c>
      <c r="L160" s="7" t="n">
        <v>48.9</v>
      </c>
      <c r="N160" s="7" t="n">
        <v>54.4</v>
      </c>
      <c r="P160" s="7" t="n">
        <v>73.7</v>
      </c>
      <c r="R160" s="7" t="n">
        <v>48.3</v>
      </c>
      <c r="T160" s="7" t="n">
        <v>50.8</v>
      </c>
      <c r="V160" s="7" t="n">
        <v>55.8</v>
      </c>
      <c r="X160" s="7" t="n">
        <v>29.1</v>
      </c>
      <c r="Z160" s="7" t="n">
        <v>24.5</v>
      </c>
      <c r="AB160" s="7" t="n">
        <v>566.5</v>
      </c>
    </row>
    <row r="161">
      <c r="A161" s="4" t="inlineStr">
        <is>
          <t>清洁费</t>
        </is>
      </c>
      <c r="D161" s="7" t="n">
        <v>12.1</v>
      </c>
      <c r="F161" s="7" t="n">
        <v>13.9</v>
      </c>
      <c r="H161" s="7" t="n">
        <v>10.9</v>
      </c>
      <c r="J161" s="7" t="n">
        <v>11</v>
      </c>
      <c r="L161" s="7" t="n">
        <v>13.4</v>
      </c>
      <c r="N161" s="7" t="n">
        <v>11.8</v>
      </c>
      <c r="P161" s="7" t="n">
        <v>24.3</v>
      </c>
      <c r="R161" s="7" t="n">
        <v>24.6</v>
      </c>
      <c r="T161" s="7" t="n">
        <v>17.2</v>
      </c>
      <c r="V161" s="7" t="n">
        <v>18.2</v>
      </c>
      <c r="X161" s="7" t="n">
        <v>8.9</v>
      </c>
      <c r="Z161" s="7" t="n">
        <v>6.8</v>
      </c>
      <c r="AB161" s="7" t="n">
        <v>173.1</v>
      </c>
    </row>
    <row r="162">
      <c r="A162" s="4" t="inlineStr">
        <is>
          <t>低值易耗品</t>
        </is>
      </c>
      <c r="D162" s="7" t="n">
        <v>1.9</v>
      </c>
      <c r="F162" s="7" t="n">
        <v>2.9</v>
      </c>
      <c r="H162" s="7" t="n">
        <v>2.5</v>
      </c>
      <c r="J162" s="7" t="n">
        <v>2.1</v>
      </c>
      <c r="L162" s="7" t="n">
        <v>2.6</v>
      </c>
      <c r="N162" s="7" t="n">
        <v>2.9</v>
      </c>
      <c r="P162" s="7" t="n">
        <v>4.8</v>
      </c>
      <c r="R162" s="7" t="n">
        <v>4.1</v>
      </c>
      <c r="T162" s="7" t="n">
        <v>2.3</v>
      </c>
      <c r="V162" s="7" t="n">
        <v>3.4</v>
      </c>
      <c r="X162" s="7" t="n">
        <v>1</v>
      </c>
      <c r="Z162" s="7" t="n">
        <v>1.3</v>
      </c>
      <c r="AB162" s="7" t="n">
        <v>31.8</v>
      </c>
    </row>
    <row r="163">
      <c r="A163" s="4" t="inlineStr">
        <is>
          <t>物料消耗</t>
        </is>
      </c>
      <c r="D163" s="7" t="n">
        <v>21.8</v>
      </c>
      <c r="F163" s="7" t="n">
        <v>23.4</v>
      </c>
      <c r="H163" s="7" t="n">
        <v>17.2</v>
      </c>
      <c r="J163" s="7" t="n">
        <v>30</v>
      </c>
      <c r="L163" s="7" t="n">
        <v>34.3</v>
      </c>
      <c r="N163" s="7" t="n">
        <v>27.4</v>
      </c>
      <c r="P163" s="7" t="n">
        <v>59.2</v>
      </c>
      <c r="R163" s="7" t="n">
        <v>41</v>
      </c>
      <c r="T163" s="7" t="n">
        <v>34.6</v>
      </c>
      <c r="V163" s="7" t="n">
        <v>37</v>
      </c>
      <c r="X163" s="7" t="n">
        <v>15.6</v>
      </c>
      <c r="Z163" s="7" t="n">
        <v>17.9</v>
      </c>
      <c r="AB163" s="7" t="n">
        <v>359.4</v>
      </c>
    </row>
    <row r="164">
      <c r="A164" s="4" t="inlineStr">
        <is>
          <t>盘盈盘亏</t>
        </is>
      </c>
      <c r="D164" s="7" t="n">
        <v>54.9</v>
      </c>
      <c r="F164" s="7" t="n">
        <v>47.1</v>
      </c>
      <c r="H164" s="7" t="n">
        <v>44.9</v>
      </c>
      <c r="J164" s="7" t="n">
        <v>72</v>
      </c>
      <c r="L164" s="7" t="n">
        <v>85.90000000000001</v>
      </c>
      <c r="N164" s="7" t="n">
        <v>59.9</v>
      </c>
      <c r="P164" s="7" t="n">
        <v>104.3</v>
      </c>
      <c r="R164" s="7" t="n">
        <v>76.7</v>
      </c>
      <c r="T164" s="7" t="n">
        <v>50.3</v>
      </c>
      <c r="V164" s="7" t="n">
        <v>104.9</v>
      </c>
      <c r="X164" s="7" t="n">
        <v>29.8</v>
      </c>
      <c r="Z164" s="7" t="n">
        <v>25.7</v>
      </c>
      <c r="AB164" s="7" t="n">
        <v>756.4</v>
      </c>
    </row>
    <row r="165">
      <c r="A165" s="4" t="inlineStr">
        <is>
          <t>平台服务费</t>
        </is>
      </c>
      <c r="D165" s="7" t="n">
        <v>28.9</v>
      </c>
      <c r="F165" s="7" t="n">
        <v>30.5</v>
      </c>
      <c r="H165" s="7" t="n">
        <v>17.9</v>
      </c>
      <c r="J165" s="7" t="n">
        <v>36.4</v>
      </c>
      <c r="L165" s="7" t="n">
        <v>44.9</v>
      </c>
      <c r="N165" s="7" t="n">
        <v>30.8</v>
      </c>
      <c r="P165" s="7" t="n">
        <v>49.4</v>
      </c>
      <c r="R165" s="7" t="n">
        <v>46.8</v>
      </c>
      <c r="T165" s="7" t="n">
        <v>35</v>
      </c>
      <c r="V165" s="7" t="n">
        <v>59</v>
      </c>
      <c r="X165" s="7" t="n">
        <v>22.2</v>
      </c>
      <c r="Z165" s="7" t="n">
        <v>22</v>
      </c>
      <c r="AB165" s="7" t="n">
        <v>423.8</v>
      </c>
    </row>
    <row r="166">
      <c r="A166" s="4" t="inlineStr">
        <is>
          <t>无形资产摊销</t>
        </is>
      </c>
      <c r="D166" s="7" t="n">
        <v>30.7</v>
      </c>
      <c r="F166" s="7" t="n">
        <v>37.2</v>
      </c>
      <c r="H166" s="7" t="n">
        <v>43.4</v>
      </c>
      <c r="J166" s="7" t="n">
        <v>40.2</v>
      </c>
      <c r="L166" s="7" t="n">
        <v>53.5</v>
      </c>
      <c r="N166" s="7" t="n">
        <v>48.5</v>
      </c>
      <c r="P166" s="7" t="n">
        <v>72</v>
      </c>
      <c r="R166" s="7" t="n">
        <v>44.1</v>
      </c>
      <c r="T166" s="7" t="n">
        <v>53.8</v>
      </c>
      <c r="V166" s="7" t="n">
        <v>60.8</v>
      </c>
      <c r="X166" s="7" t="n">
        <v>27.7</v>
      </c>
      <c r="Z166" s="7" t="n">
        <v>27.8</v>
      </c>
      <c r="AB166" s="7" t="n">
        <v>539.7</v>
      </c>
    </row>
    <row r="167">
      <c r="A167" s="4" t="inlineStr">
        <is>
          <t>研发材料</t>
        </is>
      </c>
      <c r="D167" s="7" t="n">
        <v>56.8</v>
      </c>
      <c r="F167" s="7" t="n">
        <v>55.1</v>
      </c>
      <c r="H167" s="7" t="n">
        <v>35.5</v>
      </c>
      <c r="J167" s="7" t="n">
        <v>72.40000000000001</v>
      </c>
      <c r="L167" s="7" t="n">
        <v>77.8</v>
      </c>
      <c r="N167" s="7" t="n">
        <v>80.90000000000001</v>
      </c>
      <c r="P167" s="7" t="n">
        <v>90</v>
      </c>
      <c r="R167" s="7" t="n">
        <v>113.4</v>
      </c>
      <c r="T167" s="7" t="n">
        <v>56.8</v>
      </c>
      <c r="V167" s="7" t="n">
        <v>90.40000000000001</v>
      </c>
      <c r="X167" s="7" t="n">
        <v>38.5</v>
      </c>
      <c r="Z167" s="7" t="n">
        <v>46.5</v>
      </c>
      <c r="AB167" s="7" t="n">
        <v>814.1</v>
      </c>
    </row>
    <row r="168">
      <c r="A168" s="4" t="inlineStr">
        <is>
          <t>项目名称</t>
        </is>
      </c>
      <c r="D168" s="7" t="n">
        <v>48.2</v>
      </c>
      <c r="F168" s="7" t="n">
        <v>55.3</v>
      </c>
      <c r="H168" s="7" t="n">
        <v>51.3</v>
      </c>
      <c r="J168" s="7" t="n">
        <v>58.6</v>
      </c>
      <c r="L168" s="7" t="n">
        <v>74.40000000000001</v>
      </c>
      <c r="N168" s="7" t="n">
        <v>62.2</v>
      </c>
      <c r="P168" s="7" t="n">
        <v>140.4</v>
      </c>
      <c r="R168" s="7" t="n">
        <v>70.8</v>
      </c>
      <c r="T168" s="7" t="n">
        <v>83.3</v>
      </c>
      <c r="V168" s="7" t="n">
        <v>90.90000000000001</v>
      </c>
      <c r="X168" s="7" t="n">
        <v>24.9</v>
      </c>
      <c r="Z168" s="7" t="n">
        <v>29.6</v>
      </c>
      <c r="AB168" s="7" t="n">
        <v>789.9</v>
      </c>
    </row>
    <row r="169">
      <c r="A169" s="4" t="inlineStr">
        <is>
          <t>研发费</t>
        </is>
      </c>
      <c r="D169" s="7" t="n">
        <v>23</v>
      </c>
      <c r="F169" s="7" t="n">
        <v>33.6</v>
      </c>
      <c r="H169" s="7" t="n">
        <v>31</v>
      </c>
      <c r="J169" s="7" t="n">
        <v>27.3</v>
      </c>
      <c r="L169" s="7" t="n">
        <v>35.6</v>
      </c>
      <c r="N169" s="7" t="n">
        <v>30.2</v>
      </c>
      <c r="P169" s="7" t="n">
        <v>86.7</v>
      </c>
      <c r="R169" s="7" t="n">
        <v>53.3</v>
      </c>
      <c r="T169" s="7" t="n">
        <v>41.9</v>
      </c>
      <c r="V169" s="7" t="n">
        <v>48.3</v>
      </c>
      <c r="X169" s="7" t="n">
        <v>18.6</v>
      </c>
      <c r="Z169" s="7" t="n">
        <v>14.7</v>
      </c>
      <c r="AB169" s="7" t="n">
        <v>444.2</v>
      </c>
    </row>
    <row r="170">
      <c r="A170" s="4" t="inlineStr">
        <is>
          <t>残保金</t>
        </is>
      </c>
      <c r="D170" s="7" t="n">
        <v>65.5</v>
      </c>
      <c r="F170" s="7" t="n">
        <v>57.5</v>
      </c>
      <c r="H170" s="7" t="n">
        <v>67.7</v>
      </c>
      <c r="J170" s="7" t="n">
        <v>72.90000000000001</v>
      </c>
      <c r="L170" s="7" t="n">
        <v>94.90000000000001</v>
      </c>
      <c r="N170" s="7" t="n">
        <v>68.7</v>
      </c>
      <c r="P170" s="7" t="n">
        <v>151.4</v>
      </c>
      <c r="R170" s="7" t="n">
        <v>116.7</v>
      </c>
      <c r="T170" s="7" t="n">
        <v>64.3</v>
      </c>
      <c r="V170" s="7" t="n">
        <v>90.40000000000001</v>
      </c>
      <c r="X170" s="7" t="n">
        <v>26.6</v>
      </c>
      <c r="Z170" s="7" t="n">
        <v>48.9</v>
      </c>
      <c r="AB170" s="7" t="n">
        <v>925.5</v>
      </c>
    </row>
    <row r="171">
      <c r="A171" s="4" t="inlineStr">
        <is>
          <t>环保费</t>
        </is>
      </c>
      <c r="D171" s="7" t="n">
        <v>34.4</v>
      </c>
      <c r="F171" s="7" t="n">
        <v>39.8</v>
      </c>
      <c r="H171" s="7" t="n">
        <v>43.2</v>
      </c>
      <c r="J171" s="7" t="n">
        <v>38.3</v>
      </c>
      <c r="L171" s="7" t="n">
        <v>74.7</v>
      </c>
      <c r="N171" s="7" t="n">
        <v>57.1</v>
      </c>
      <c r="P171" s="7" t="n">
        <v>82.8</v>
      </c>
      <c r="R171" s="7" t="n">
        <v>68.5</v>
      </c>
      <c r="T171" s="7" t="n">
        <v>57</v>
      </c>
      <c r="V171" s="7" t="n">
        <v>67.40000000000001</v>
      </c>
      <c r="X171" s="7" t="n">
        <v>20.2</v>
      </c>
      <c r="Z171" s="7" t="n">
        <v>24.4</v>
      </c>
      <c r="AB171" s="7" t="n">
        <v>607.8</v>
      </c>
    </row>
    <row r="172">
      <c r="A172" s="4" t="inlineStr">
        <is>
          <t>报废损失</t>
        </is>
      </c>
      <c r="D172" s="7" t="n">
        <v>3.6</v>
      </c>
      <c r="F172" s="7" t="n">
        <v>4.5</v>
      </c>
      <c r="H172" s="7" t="n">
        <v>3.2</v>
      </c>
      <c r="J172" s="7" t="n">
        <v>4.7</v>
      </c>
      <c r="L172" s="7" t="n">
        <v>6</v>
      </c>
      <c r="N172" s="7" t="n">
        <v>4</v>
      </c>
      <c r="P172" s="7" t="n">
        <v>6.2</v>
      </c>
      <c r="R172" s="7" t="n">
        <v>5.2</v>
      </c>
      <c r="T172" s="7" t="n">
        <v>5.2</v>
      </c>
      <c r="V172" s="7" t="n">
        <v>5.7</v>
      </c>
      <c r="X172" s="7" t="n">
        <v>2.4</v>
      </c>
      <c r="Z172" s="7" t="n">
        <v>2.5</v>
      </c>
      <c r="AB172" s="7" t="n">
        <v>53.2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5607.7</v>
      </c>
      <c r="D173" s="7" t="n">
        <v>4883.5</v>
      </c>
      <c r="E173" s="7" t="n">
        <v>4358.7</v>
      </c>
      <c r="F173" s="7" t="n">
        <v>3392.6</v>
      </c>
      <c r="G173" s="7" t="n">
        <v>4446.8</v>
      </c>
      <c r="H173" s="7" t="n">
        <v>5032.1</v>
      </c>
      <c r="I173" s="7" t="n">
        <v>5492.1</v>
      </c>
      <c r="J173" s="7" t="n">
        <v>6332.1</v>
      </c>
      <c r="K173" s="7" t="n">
        <v>4996.1</v>
      </c>
      <c r="L173" s="7" t="n">
        <v>9102.6</v>
      </c>
      <c r="M173" s="7" t="n">
        <v>5208.1</v>
      </c>
      <c r="N173" s="7" t="n">
        <v>6690.7</v>
      </c>
      <c r="O173" s="7" t="n">
        <v>5243.2</v>
      </c>
      <c r="P173" s="7" t="n">
        <v>7712.6</v>
      </c>
      <c r="Q173" s="7" t="n">
        <v>4453.8</v>
      </c>
      <c r="R173" s="7" t="n">
        <v>2541</v>
      </c>
      <c r="S173" s="7" t="n">
        <v>5556.8</v>
      </c>
      <c r="T173" s="7" t="n">
        <v>4819.9</v>
      </c>
      <c r="U173" s="7" t="n">
        <v>5315.6</v>
      </c>
      <c r="V173" s="7" t="n">
        <v>5458.8</v>
      </c>
      <c r="W173" s="7" t="n">
        <v>4327.8</v>
      </c>
      <c r="X173" s="7" t="n">
        <v>3880.3</v>
      </c>
      <c r="Y173" s="7" t="n">
        <v>4774.3</v>
      </c>
      <c r="Z173" s="7" t="n">
        <v>1219.8</v>
      </c>
      <c r="AA173" s="8" t="n">
        <v>59781</v>
      </c>
      <c r="AB173" s="8" t="n">
        <v>61066</v>
      </c>
    </row>
    <row r="174">
      <c r="A174" s="4" t="inlineStr">
        <is>
          <t>职工薪酬</t>
        </is>
      </c>
      <c r="D174" s="7" t="n">
        <v>2889.4</v>
      </c>
      <c r="F174" s="7" t="n">
        <v>1873.7</v>
      </c>
      <c r="H174" s="7" t="n">
        <v>2156.2</v>
      </c>
      <c r="J174" s="7" t="n">
        <v>2860.1</v>
      </c>
      <c r="L174" s="7" t="n">
        <v>4167</v>
      </c>
      <c r="N174" s="7" t="n">
        <v>3588.7</v>
      </c>
      <c r="P174" s="7" t="n">
        <v>3696.7</v>
      </c>
      <c r="R174" s="7" t="n">
        <v>1340.1</v>
      </c>
      <c r="T174" s="7" t="n">
        <v>2767.6</v>
      </c>
      <c r="V174" s="7" t="n">
        <v>2978.6</v>
      </c>
      <c r="X174" s="7" t="n">
        <v>2030.7</v>
      </c>
      <c r="Z174" s="7" t="n">
        <v>503.1</v>
      </c>
      <c r="AB174" s="7" t="n">
        <v>30851.9</v>
      </c>
    </row>
    <row r="175">
      <c r="A175" s="4" t="inlineStr">
        <is>
          <t>工资</t>
        </is>
      </c>
      <c r="D175" s="7" t="n">
        <v>1856.5</v>
      </c>
      <c r="F175" s="7" t="n">
        <v>1168.8</v>
      </c>
      <c r="H175" s="7" t="n">
        <v>1252.1</v>
      </c>
      <c r="J175" s="7" t="n">
        <v>1676.3</v>
      </c>
      <c r="L175" s="7" t="n">
        <v>2372.4</v>
      </c>
      <c r="N175" s="7" t="n">
        <v>2162.4</v>
      </c>
      <c r="P175" s="7" t="n">
        <v>1978</v>
      </c>
      <c r="R175" s="7" t="n">
        <v>766.3</v>
      </c>
      <c r="T175" s="7" t="n">
        <v>1530.8</v>
      </c>
      <c r="V175" s="7" t="n">
        <v>1880.5</v>
      </c>
      <c r="X175" s="7" t="n">
        <v>1316.9</v>
      </c>
      <c r="Z175" s="7" t="n">
        <v>307.2</v>
      </c>
      <c r="AB175" s="7" t="n">
        <v>18268.2</v>
      </c>
    </row>
    <row r="176">
      <c r="A176" s="4" t="inlineStr">
        <is>
          <t>奖金及提成</t>
        </is>
      </c>
      <c r="D176" s="7" t="n">
        <v>499.3</v>
      </c>
      <c r="F176" s="7" t="n">
        <v>374.7</v>
      </c>
      <c r="H176" s="7" t="n">
        <v>397.7</v>
      </c>
      <c r="J176" s="7" t="n">
        <v>527.7</v>
      </c>
      <c r="L176" s="7" t="n">
        <v>877.4</v>
      </c>
      <c r="N176" s="7" t="n">
        <v>637.6</v>
      </c>
      <c r="P176" s="7" t="n">
        <v>760.5</v>
      </c>
      <c r="R176" s="7" t="n">
        <v>306.3</v>
      </c>
      <c r="T176" s="7" t="n">
        <v>598.3</v>
      </c>
      <c r="V176" s="7" t="n">
        <v>529</v>
      </c>
      <c r="X176" s="7" t="n">
        <v>322.8</v>
      </c>
      <c r="Z176" s="7" t="n">
        <v>94.5</v>
      </c>
      <c r="AB176" s="7" t="n">
        <v>5925.8</v>
      </c>
    </row>
    <row r="177">
      <c r="A177" s="4" t="inlineStr">
        <is>
          <t>社保</t>
        </is>
      </c>
      <c r="D177" s="7" t="n">
        <v>378.1</v>
      </c>
      <c r="F177" s="7" t="n">
        <v>235.6</v>
      </c>
      <c r="H177" s="7" t="n">
        <v>368.1</v>
      </c>
      <c r="J177" s="7" t="n">
        <v>494.9</v>
      </c>
      <c r="L177" s="7" t="n">
        <v>696.8</v>
      </c>
      <c r="N177" s="7" t="n">
        <v>591.5</v>
      </c>
      <c r="P177" s="7" t="n">
        <v>761.5</v>
      </c>
      <c r="R177" s="7" t="n">
        <v>189.6</v>
      </c>
      <c r="T177" s="7" t="n">
        <v>488.1</v>
      </c>
      <c r="V177" s="7" t="n">
        <v>422.2</v>
      </c>
      <c r="X177" s="7" t="n">
        <v>275.6</v>
      </c>
      <c r="Z177" s="7" t="n">
        <v>70.7</v>
      </c>
      <c r="AB177" s="7" t="n">
        <v>4972.7</v>
      </c>
    </row>
    <row r="178">
      <c r="A178" s="4" t="inlineStr">
        <is>
          <t>养老</t>
        </is>
      </c>
      <c r="D178" s="7" t="n">
        <v>24.5</v>
      </c>
      <c r="F178" s="7" t="n">
        <v>17.1</v>
      </c>
      <c r="H178" s="7" t="n">
        <v>21.6</v>
      </c>
      <c r="J178" s="7" t="n">
        <v>30.3</v>
      </c>
      <c r="L178" s="7" t="n">
        <v>31.5</v>
      </c>
      <c r="N178" s="7" t="n">
        <v>26.9</v>
      </c>
      <c r="P178" s="7" t="n">
        <v>36.2</v>
      </c>
      <c r="R178" s="7" t="n">
        <v>9.5</v>
      </c>
      <c r="T178" s="7" t="n">
        <v>16.8</v>
      </c>
      <c r="V178" s="7" t="n">
        <v>19.2</v>
      </c>
      <c r="X178" s="7" t="n">
        <v>13.2</v>
      </c>
      <c r="Z178" s="7" t="n">
        <v>4.3</v>
      </c>
      <c r="AB178" s="7" t="n">
        <v>251.1</v>
      </c>
    </row>
    <row r="179">
      <c r="A179" s="4" t="inlineStr">
        <is>
          <t>医疗</t>
        </is>
      </c>
      <c r="D179" s="7" t="n">
        <v>14.5</v>
      </c>
      <c r="F179" s="7" t="n">
        <v>11.8</v>
      </c>
      <c r="H179" s="7" t="n">
        <v>20</v>
      </c>
      <c r="J179" s="7" t="n">
        <v>20.2</v>
      </c>
      <c r="L179" s="7" t="n">
        <v>29.3</v>
      </c>
      <c r="N179" s="7" t="n">
        <v>18.8</v>
      </c>
      <c r="P179" s="7" t="n">
        <v>30.4</v>
      </c>
      <c r="R179" s="7" t="n">
        <v>6</v>
      </c>
      <c r="T179" s="7" t="n">
        <v>18.3</v>
      </c>
      <c r="V179" s="7" t="n">
        <v>15.2</v>
      </c>
      <c r="X179" s="7" t="n">
        <v>11.9</v>
      </c>
      <c r="Z179" s="7" t="n">
        <v>3.8</v>
      </c>
      <c r="AB179" s="7" t="n">
        <v>200.2</v>
      </c>
    </row>
    <row r="180">
      <c r="A180" s="4" t="inlineStr">
        <is>
          <t>工伤</t>
        </is>
      </c>
      <c r="D180" s="7" t="n">
        <v>10.9</v>
      </c>
      <c r="F180" s="7" t="n">
        <v>12.9</v>
      </c>
      <c r="H180" s="7" t="n">
        <v>11.2</v>
      </c>
      <c r="J180" s="7" t="n">
        <v>24.1</v>
      </c>
      <c r="L180" s="7" t="n">
        <v>27</v>
      </c>
      <c r="N180" s="7" t="n">
        <v>19</v>
      </c>
      <c r="P180" s="7" t="n">
        <v>21.3</v>
      </c>
      <c r="R180" s="7" t="n">
        <v>7.7</v>
      </c>
      <c r="T180" s="7" t="n">
        <v>12.3</v>
      </c>
      <c r="V180" s="7" t="n">
        <v>12.8</v>
      </c>
      <c r="X180" s="7" t="n">
        <v>10.8</v>
      </c>
      <c r="Z180" s="7" t="n">
        <v>3.7</v>
      </c>
      <c r="AB180" s="7" t="n">
        <v>173.7</v>
      </c>
    </row>
    <row r="181">
      <c r="A181" s="4" t="inlineStr">
        <is>
          <t>失业</t>
        </is>
      </c>
      <c r="D181" s="7" t="n">
        <v>7.8</v>
      </c>
      <c r="F181" s="7" t="n">
        <v>3.4</v>
      </c>
      <c r="H181" s="7" t="n">
        <v>7.2</v>
      </c>
      <c r="J181" s="7" t="n">
        <v>10.1</v>
      </c>
      <c r="L181" s="7" t="n">
        <v>13.5</v>
      </c>
      <c r="N181" s="7" t="n">
        <v>6.6</v>
      </c>
      <c r="P181" s="7" t="n">
        <v>12.7</v>
      </c>
      <c r="R181" s="7" t="n">
        <v>4</v>
      </c>
      <c r="T181" s="7" t="n">
        <v>7.7</v>
      </c>
      <c r="V181" s="7" t="n">
        <v>6.9</v>
      </c>
      <c r="X181" s="7" t="n">
        <v>4.8</v>
      </c>
      <c r="Z181" s="7" t="n">
        <v>1.7</v>
      </c>
      <c r="AB181" s="7" t="n">
        <v>86.40000000000001</v>
      </c>
    </row>
    <row r="182">
      <c r="A182" s="4" t="inlineStr">
        <is>
          <t>生育</t>
        </is>
      </c>
      <c r="D182" s="7" t="n">
        <v>6.8</v>
      </c>
      <c r="F182" s="7" t="n">
        <v>4.6</v>
      </c>
      <c r="H182" s="7" t="n">
        <v>6.8</v>
      </c>
      <c r="J182" s="7" t="n">
        <v>13</v>
      </c>
      <c r="L182" s="7" t="n">
        <v>17.1</v>
      </c>
      <c r="N182" s="7" t="n">
        <v>11.6</v>
      </c>
      <c r="P182" s="7" t="n">
        <v>11.7</v>
      </c>
      <c r="R182" s="7" t="n">
        <v>3.4</v>
      </c>
      <c r="T182" s="7" t="n">
        <v>9.699999999999999</v>
      </c>
      <c r="V182" s="7" t="n">
        <v>10.8</v>
      </c>
      <c r="X182" s="7" t="n">
        <v>7.5</v>
      </c>
      <c r="Z182" s="7" t="n">
        <v>1.5</v>
      </c>
      <c r="AB182" s="7" t="n">
        <v>104.5</v>
      </c>
    </row>
    <row r="183">
      <c r="A183" s="4" t="inlineStr">
        <is>
          <t>公积金</t>
        </is>
      </c>
      <c r="D183" s="7" t="n">
        <v>17</v>
      </c>
      <c r="F183" s="7" t="n">
        <v>9.9</v>
      </c>
      <c r="H183" s="7" t="n">
        <v>17</v>
      </c>
      <c r="J183" s="7" t="n">
        <v>18.8</v>
      </c>
      <c r="L183" s="7" t="n">
        <v>17.4</v>
      </c>
      <c r="N183" s="7" t="n">
        <v>23</v>
      </c>
      <c r="P183" s="7" t="n">
        <v>17.8</v>
      </c>
      <c r="R183" s="7" t="n">
        <v>4.9</v>
      </c>
      <c r="T183" s="7" t="n">
        <v>16.9</v>
      </c>
      <c r="V183" s="7" t="n">
        <v>16.8</v>
      </c>
      <c r="X183" s="7" t="n">
        <v>7.8</v>
      </c>
      <c r="Z183" s="7" t="n">
        <v>3.8</v>
      </c>
      <c r="AB183" s="7" t="n">
        <v>171.1</v>
      </c>
    </row>
    <row r="184">
      <c r="A184" s="4" t="inlineStr">
        <is>
          <t>工会经费</t>
        </is>
      </c>
      <c r="D184" s="7" t="n">
        <v>27.4</v>
      </c>
      <c r="F184" s="7" t="n">
        <v>20.9</v>
      </c>
      <c r="H184" s="7" t="n">
        <v>24.7</v>
      </c>
      <c r="J184" s="7" t="n">
        <v>32.2</v>
      </c>
      <c r="L184" s="7" t="n">
        <v>36.3</v>
      </c>
      <c r="N184" s="7" t="n">
        <v>39.8</v>
      </c>
      <c r="P184" s="7" t="n">
        <v>43.6</v>
      </c>
      <c r="R184" s="7" t="n">
        <v>14.1</v>
      </c>
      <c r="T184" s="7" t="n">
        <v>29.4</v>
      </c>
      <c r="V184" s="7" t="n">
        <v>35</v>
      </c>
      <c r="X184" s="7" t="n">
        <v>26.9</v>
      </c>
      <c r="Z184" s="7" t="n">
        <v>4.9</v>
      </c>
      <c r="AB184" s="7" t="n">
        <v>335.2</v>
      </c>
    </row>
    <row r="185">
      <c r="A185" s="4" t="inlineStr">
        <is>
          <t>职工教育经费</t>
        </is>
      </c>
      <c r="D185" s="7" t="n">
        <v>4</v>
      </c>
      <c r="F185" s="7" t="n">
        <v>2.3</v>
      </c>
      <c r="H185" s="7" t="n">
        <v>3.9</v>
      </c>
      <c r="J185" s="7" t="n">
        <v>4.1</v>
      </c>
      <c r="L185" s="7" t="n">
        <v>7.6</v>
      </c>
      <c r="N185" s="7" t="n">
        <v>4.2</v>
      </c>
      <c r="P185" s="7" t="n">
        <v>3.8</v>
      </c>
      <c r="R185" s="7" t="n">
        <v>1.9</v>
      </c>
      <c r="T185" s="7" t="n">
        <v>3.2</v>
      </c>
      <c r="V185" s="7" t="n">
        <v>3.5</v>
      </c>
      <c r="X185" s="7" t="n">
        <v>2</v>
      </c>
      <c r="Z185" s="7" t="n">
        <v>0.9</v>
      </c>
      <c r="AB185" s="7" t="n">
        <v>41.4</v>
      </c>
    </row>
    <row r="186">
      <c r="A186" s="4" t="inlineStr">
        <is>
          <t>福利费</t>
        </is>
      </c>
      <c r="D186" s="7" t="n">
        <v>107.1</v>
      </c>
      <c r="F186" s="7" t="n">
        <v>61.5</v>
      </c>
      <c r="H186" s="7" t="n">
        <v>92.7</v>
      </c>
      <c r="J186" s="7" t="n">
        <v>106.1</v>
      </c>
      <c r="L186" s="7" t="n">
        <v>159.1</v>
      </c>
      <c r="N186" s="7" t="n">
        <v>130.2</v>
      </c>
      <c r="P186" s="7" t="n">
        <v>131.5</v>
      </c>
      <c r="R186" s="7" t="n">
        <v>57</v>
      </c>
      <c r="T186" s="7" t="n">
        <v>100.9</v>
      </c>
      <c r="V186" s="7" t="n">
        <v>91.59999999999999</v>
      </c>
      <c r="X186" s="7" t="n">
        <v>78.7</v>
      </c>
      <c r="Z186" s="7" t="n">
        <v>21.1</v>
      </c>
      <c r="AB186" s="7" t="n">
        <v>1137.5</v>
      </c>
    </row>
    <row r="187">
      <c r="A187" s="4" t="inlineStr">
        <is>
          <t>职工房租</t>
        </is>
      </c>
      <c r="D187" s="7" t="n">
        <v>0.5</v>
      </c>
      <c r="F187" s="7" t="n">
        <v>0.3</v>
      </c>
      <c r="H187" s="7" t="n">
        <v>0.5</v>
      </c>
      <c r="J187" s="7" t="n">
        <v>0.8</v>
      </c>
      <c r="L187" s="7" t="n">
        <v>1</v>
      </c>
      <c r="N187" s="7" t="n">
        <v>0.5</v>
      </c>
      <c r="P187" s="7" t="n">
        <v>0.9</v>
      </c>
      <c r="R187" s="7" t="n">
        <v>0.2</v>
      </c>
      <c r="T187" s="7" t="n">
        <v>0.6</v>
      </c>
      <c r="V187" s="7" t="n">
        <v>0.6</v>
      </c>
      <c r="X187" s="7" t="n">
        <v>0.4</v>
      </c>
      <c r="Z187" s="7" t="n">
        <v>0.1</v>
      </c>
      <c r="AB187" s="7" t="n">
        <v>6.4</v>
      </c>
    </row>
    <row r="188">
      <c r="A188" s="4" t="inlineStr">
        <is>
          <t>水电物业费</t>
        </is>
      </c>
      <c r="D188" s="7" t="n">
        <v>6.5</v>
      </c>
      <c r="F188" s="7" t="n">
        <v>4</v>
      </c>
      <c r="H188" s="7" t="n">
        <v>7.4</v>
      </c>
      <c r="J188" s="7" t="n">
        <v>9.1</v>
      </c>
      <c r="L188" s="7" t="n">
        <v>9.6</v>
      </c>
      <c r="N188" s="7" t="n">
        <v>9.5</v>
      </c>
      <c r="P188" s="7" t="n">
        <v>10.1</v>
      </c>
      <c r="R188" s="7" t="n">
        <v>3.2</v>
      </c>
      <c r="T188" s="7" t="n">
        <v>5.4</v>
      </c>
      <c r="V188" s="7" t="n">
        <v>8.1</v>
      </c>
      <c r="X188" s="7" t="n">
        <v>3.4</v>
      </c>
      <c r="Z188" s="7" t="n">
        <v>1.1</v>
      </c>
      <c r="AB188" s="7" t="n">
        <v>77.40000000000001</v>
      </c>
    </row>
    <row r="189">
      <c r="A189" s="4" t="inlineStr">
        <is>
          <t>员工餐</t>
        </is>
      </c>
      <c r="D189" s="7" t="n">
        <v>2.6</v>
      </c>
      <c r="F189" s="7" t="n">
        <v>1.5</v>
      </c>
      <c r="H189" s="7" t="n">
        <v>2.1</v>
      </c>
      <c r="J189" s="7" t="n">
        <v>2.5</v>
      </c>
      <c r="L189" s="7" t="n">
        <v>3.5</v>
      </c>
      <c r="N189" s="7" t="n">
        <v>3.6</v>
      </c>
      <c r="P189" s="7" t="n">
        <v>2.8</v>
      </c>
      <c r="R189" s="7" t="n">
        <v>1.2</v>
      </c>
      <c r="T189" s="7" t="n">
        <v>1.6</v>
      </c>
      <c r="V189" s="7" t="n">
        <v>2.3</v>
      </c>
      <c r="X189" s="7" t="n">
        <v>2</v>
      </c>
      <c r="Z189" s="7" t="n">
        <v>0.5</v>
      </c>
      <c r="AB189" s="7" t="n">
        <v>26.2</v>
      </c>
    </row>
    <row r="190">
      <c r="A190" s="4" t="inlineStr">
        <is>
          <t>节日礼品</t>
        </is>
      </c>
      <c r="D190" s="7" t="n">
        <v>7.4</v>
      </c>
      <c r="F190" s="7" t="n">
        <v>5.1</v>
      </c>
      <c r="H190" s="7" t="n">
        <v>6.7</v>
      </c>
      <c r="J190" s="7" t="n">
        <v>8.800000000000001</v>
      </c>
      <c r="L190" s="7" t="n">
        <v>16.6</v>
      </c>
      <c r="N190" s="7" t="n">
        <v>10</v>
      </c>
      <c r="P190" s="7" t="n">
        <v>9.4</v>
      </c>
      <c r="R190" s="7" t="n">
        <v>5.4</v>
      </c>
      <c r="T190" s="7" t="n">
        <v>10.1</v>
      </c>
      <c r="V190" s="7" t="n">
        <v>7.5</v>
      </c>
      <c r="X190" s="7" t="n">
        <v>7.5</v>
      </c>
      <c r="Z190" s="7" t="n">
        <v>2.4</v>
      </c>
      <c r="AB190" s="7" t="n">
        <v>96.90000000000001</v>
      </c>
    </row>
    <row r="191">
      <c r="A191" s="4" t="inlineStr">
        <is>
          <t>生日礼品</t>
        </is>
      </c>
      <c r="D191" s="7" t="n">
        <v>12.9</v>
      </c>
      <c r="F191" s="7" t="n">
        <v>9.800000000000001</v>
      </c>
      <c r="H191" s="7" t="n">
        <v>11.9</v>
      </c>
      <c r="J191" s="7" t="n">
        <v>24.9</v>
      </c>
      <c r="L191" s="7" t="n">
        <v>31.8</v>
      </c>
      <c r="N191" s="7" t="n">
        <v>24.3</v>
      </c>
      <c r="P191" s="7" t="n">
        <v>23</v>
      </c>
      <c r="R191" s="7" t="n">
        <v>7.1</v>
      </c>
      <c r="T191" s="7" t="n">
        <v>18.5</v>
      </c>
      <c r="V191" s="7" t="n">
        <v>17.2</v>
      </c>
      <c r="X191" s="7" t="n">
        <v>10.8</v>
      </c>
      <c r="Z191" s="7" t="n">
        <v>3.2</v>
      </c>
      <c r="AB191" s="7" t="n">
        <v>195.4</v>
      </c>
    </row>
    <row r="192">
      <c r="A192" s="4" t="inlineStr">
        <is>
          <t>体检</t>
        </is>
      </c>
      <c r="D192" s="7" t="n">
        <v>38.8</v>
      </c>
      <c r="F192" s="7" t="n">
        <v>16.1</v>
      </c>
      <c r="H192" s="7" t="n">
        <v>35.3</v>
      </c>
      <c r="J192" s="7" t="n">
        <v>28.4</v>
      </c>
      <c r="L192" s="7" t="n">
        <v>52.8</v>
      </c>
      <c r="N192" s="7" t="n">
        <v>39.3</v>
      </c>
      <c r="P192" s="7" t="n">
        <v>42.2</v>
      </c>
      <c r="R192" s="7" t="n">
        <v>20.5</v>
      </c>
      <c r="T192" s="7" t="n">
        <v>29.1</v>
      </c>
      <c r="V192" s="7" t="n">
        <v>30.9</v>
      </c>
      <c r="X192" s="7" t="n">
        <v>29.3</v>
      </c>
      <c r="Z192" s="7" t="n">
        <v>7.1</v>
      </c>
      <c r="AB192" s="7" t="n">
        <v>369.8</v>
      </c>
    </row>
    <row r="193">
      <c r="A193" s="4" t="inlineStr">
        <is>
          <t>其他福利支出</t>
        </is>
      </c>
      <c r="D193" s="7" t="n">
        <v>38.4</v>
      </c>
      <c r="F193" s="7" t="n">
        <v>24.7</v>
      </c>
      <c r="H193" s="7" t="n">
        <v>28.8</v>
      </c>
      <c r="J193" s="7" t="n">
        <v>31.6</v>
      </c>
      <c r="L193" s="7" t="n">
        <v>43.8</v>
      </c>
      <c r="N193" s="7" t="n">
        <v>43</v>
      </c>
      <c r="P193" s="7" t="n">
        <v>43.1</v>
      </c>
      <c r="R193" s="7" t="n">
        <v>19.4</v>
      </c>
      <c r="T193" s="7" t="n">
        <v>35.6</v>
      </c>
      <c r="V193" s="7" t="n">
        <v>25</v>
      </c>
      <c r="X193" s="7" t="n">
        <v>25.3</v>
      </c>
      <c r="Z193" s="7" t="n">
        <v>6.7</v>
      </c>
      <c r="AB193" s="7" t="n">
        <v>365.4</v>
      </c>
    </row>
    <row r="194">
      <c r="A194" s="4" t="inlineStr">
        <is>
          <t>招聘费</t>
        </is>
      </c>
      <c r="D194" s="7" t="n">
        <v>33.4</v>
      </c>
      <c r="F194" s="7" t="n">
        <v>14.7</v>
      </c>
      <c r="H194" s="7" t="n">
        <v>23.5</v>
      </c>
      <c r="J194" s="7" t="n">
        <v>47.8</v>
      </c>
      <c r="L194" s="7" t="n">
        <v>68.09999999999999</v>
      </c>
      <c r="N194" s="7" t="n">
        <v>34.9</v>
      </c>
      <c r="P194" s="7" t="n">
        <v>53.1</v>
      </c>
      <c r="R194" s="7" t="n">
        <v>17.8</v>
      </c>
      <c r="T194" s="7" t="n">
        <v>36</v>
      </c>
      <c r="V194" s="7" t="n">
        <v>24.3</v>
      </c>
      <c r="X194" s="7" t="n">
        <v>22</v>
      </c>
      <c r="Z194" s="7" t="n">
        <v>8.199999999999999</v>
      </c>
      <c r="AB194" s="7" t="n">
        <v>383.8</v>
      </c>
    </row>
    <row r="195">
      <c r="A195" s="4" t="inlineStr">
        <is>
          <t>办公费</t>
        </is>
      </c>
      <c r="D195" s="7" t="n">
        <v>118.2</v>
      </c>
      <c r="F195" s="7" t="n">
        <v>104.1</v>
      </c>
      <c r="H195" s="7" t="n">
        <v>191</v>
      </c>
      <c r="J195" s="7" t="n">
        <v>144</v>
      </c>
      <c r="L195" s="7" t="n">
        <v>227.3</v>
      </c>
      <c r="N195" s="7" t="n">
        <v>204.6</v>
      </c>
      <c r="P195" s="7" t="n">
        <v>294.5</v>
      </c>
      <c r="R195" s="7" t="n">
        <v>57.6</v>
      </c>
      <c r="T195" s="7" t="n">
        <v>178.6</v>
      </c>
      <c r="V195" s="7" t="n">
        <v>189.8</v>
      </c>
      <c r="X195" s="7" t="n">
        <v>132.6</v>
      </c>
      <c r="Z195" s="7" t="n">
        <v>47.4</v>
      </c>
      <c r="AB195" s="7" t="n">
        <v>1889.7</v>
      </c>
    </row>
    <row r="196">
      <c r="A196" s="4" t="inlineStr">
        <is>
          <t>市内交通费</t>
        </is>
      </c>
      <c r="D196" s="7" t="n">
        <v>22.7</v>
      </c>
      <c r="F196" s="7" t="n">
        <v>18.3</v>
      </c>
      <c r="H196" s="7" t="n">
        <v>29.5</v>
      </c>
      <c r="J196" s="7" t="n">
        <v>34.1</v>
      </c>
      <c r="L196" s="7" t="n">
        <v>64.3</v>
      </c>
      <c r="N196" s="7" t="n">
        <v>54.3</v>
      </c>
      <c r="P196" s="7" t="n">
        <v>39</v>
      </c>
      <c r="R196" s="7" t="n">
        <v>20</v>
      </c>
      <c r="T196" s="7" t="n">
        <v>23.1</v>
      </c>
      <c r="V196" s="7" t="n">
        <v>36.6</v>
      </c>
      <c r="X196" s="7" t="n">
        <v>22.5</v>
      </c>
      <c r="Z196" s="7" t="n">
        <v>7.5</v>
      </c>
      <c r="AB196" s="7" t="n">
        <v>371.9</v>
      </c>
    </row>
    <row r="197">
      <c r="A197" s="4" t="inlineStr">
        <is>
          <t>差旅费</t>
        </is>
      </c>
      <c r="D197" s="7" t="n">
        <v>353</v>
      </c>
      <c r="F197" s="7" t="n">
        <v>261.9</v>
      </c>
      <c r="H197" s="7" t="n">
        <v>364.8</v>
      </c>
      <c r="J197" s="7" t="n">
        <v>457.5</v>
      </c>
      <c r="L197" s="7" t="n">
        <v>623.3</v>
      </c>
      <c r="N197" s="7" t="n">
        <v>305.5</v>
      </c>
      <c r="P197" s="7" t="n">
        <v>341.5</v>
      </c>
      <c r="R197" s="7" t="n">
        <v>135.5</v>
      </c>
      <c r="T197" s="7" t="n">
        <v>284.4</v>
      </c>
      <c r="V197" s="7" t="n">
        <v>267.2</v>
      </c>
      <c r="X197" s="7" t="n">
        <v>175.6</v>
      </c>
      <c r="Z197" s="7" t="n">
        <v>55.1</v>
      </c>
      <c r="AB197" s="7" t="n">
        <v>3625.3</v>
      </c>
    </row>
    <row r="198">
      <c r="A198" s="4" t="inlineStr">
        <is>
          <t>交通费</t>
        </is>
      </c>
      <c r="D198" s="7" t="n">
        <v>17.4</v>
      </c>
      <c r="F198" s="7" t="n">
        <v>13.7</v>
      </c>
      <c r="H198" s="7" t="n">
        <v>21.5</v>
      </c>
      <c r="J198" s="7" t="n">
        <v>32.6</v>
      </c>
      <c r="L198" s="7" t="n">
        <v>39.6</v>
      </c>
      <c r="N198" s="7" t="n">
        <v>38.4</v>
      </c>
      <c r="P198" s="7" t="n">
        <v>46.5</v>
      </c>
      <c r="R198" s="7" t="n">
        <v>10.8</v>
      </c>
      <c r="T198" s="7" t="n">
        <v>16.5</v>
      </c>
      <c r="V198" s="7" t="n">
        <v>19</v>
      </c>
      <c r="X198" s="7" t="n">
        <v>16.3</v>
      </c>
      <c r="Z198" s="7" t="n">
        <v>4.1</v>
      </c>
      <c r="AB198" s="7" t="n">
        <v>276.4</v>
      </c>
    </row>
    <row r="199">
      <c r="A199" s="4" t="inlineStr">
        <is>
          <t>住宿费</t>
        </is>
      </c>
      <c r="D199" s="7" t="n">
        <v>10.6</v>
      </c>
      <c r="F199" s="7" t="n">
        <v>11.1</v>
      </c>
      <c r="H199" s="7" t="n">
        <v>18</v>
      </c>
      <c r="J199" s="7" t="n">
        <v>19.6</v>
      </c>
      <c r="L199" s="7" t="n">
        <v>32.4</v>
      </c>
      <c r="N199" s="7" t="n">
        <v>18.3</v>
      </c>
      <c r="P199" s="7" t="n">
        <v>23.8</v>
      </c>
      <c r="R199" s="7" t="n">
        <v>6.5</v>
      </c>
      <c r="T199" s="7" t="n">
        <v>16.2</v>
      </c>
      <c r="V199" s="7" t="n">
        <v>14.1</v>
      </c>
      <c r="X199" s="7" t="n">
        <v>10.6</v>
      </c>
      <c r="Z199" s="7" t="n">
        <v>4.2</v>
      </c>
      <c r="AB199" s="7" t="n">
        <v>185.4</v>
      </c>
    </row>
    <row r="200">
      <c r="A200" s="4" t="inlineStr">
        <is>
          <t>餐补</t>
        </is>
      </c>
      <c r="D200" s="7" t="n">
        <v>15.9</v>
      </c>
      <c r="F200" s="7" t="n">
        <v>8.5</v>
      </c>
      <c r="H200" s="7" t="n">
        <v>18.4</v>
      </c>
      <c r="J200" s="7" t="n">
        <v>15.8</v>
      </c>
      <c r="L200" s="7" t="n">
        <v>30.2</v>
      </c>
      <c r="N200" s="7" t="n">
        <v>21.7</v>
      </c>
      <c r="P200" s="7" t="n">
        <v>17.7</v>
      </c>
      <c r="R200" s="7" t="n">
        <v>7.6</v>
      </c>
      <c r="T200" s="7" t="n">
        <v>10.7</v>
      </c>
      <c r="V200" s="7" t="n">
        <v>19.5</v>
      </c>
      <c r="X200" s="7" t="n">
        <v>13.4</v>
      </c>
      <c r="Z200" s="7" t="n">
        <v>3.7</v>
      </c>
      <c r="AB200" s="7" t="n">
        <v>183.1</v>
      </c>
    </row>
    <row r="201">
      <c r="A201" s="4" t="inlineStr">
        <is>
          <t>交通补助</t>
        </is>
      </c>
      <c r="D201" s="7" t="n">
        <v>8</v>
      </c>
      <c r="F201" s="7" t="n">
        <v>6.7</v>
      </c>
      <c r="H201" s="7" t="n">
        <v>8.4</v>
      </c>
      <c r="J201" s="7" t="n">
        <v>15.2</v>
      </c>
      <c r="L201" s="7" t="n">
        <v>23.2</v>
      </c>
      <c r="N201" s="7" t="n">
        <v>11.4</v>
      </c>
      <c r="P201" s="7" t="n">
        <v>16.4</v>
      </c>
      <c r="R201" s="7" t="n">
        <v>4.3</v>
      </c>
      <c r="T201" s="7" t="n">
        <v>12</v>
      </c>
      <c r="V201" s="7" t="n">
        <v>11.4</v>
      </c>
      <c r="X201" s="7" t="n">
        <v>9.4</v>
      </c>
      <c r="Z201" s="7" t="n">
        <v>3</v>
      </c>
      <c r="AB201" s="7" t="n">
        <v>129.4</v>
      </c>
    </row>
    <row r="202">
      <c r="A202" s="4" t="inlineStr">
        <is>
          <t>通讯补助</t>
        </is>
      </c>
      <c r="D202" s="7" t="n">
        <v>2.2</v>
      </c>
      <c r="F202" s="7" t="n">
        <v>2.4</v>
      </c>
      <c r="H202" s="7" t="n">
        <v>3.7</v>
      </c>
      <c r="J202" s="7" t="n">
        <v>4.3</v>
      </c>
      <c r="L202" s="7" t="n">
        <v>5.7</v>
      </c>
      <c r="N202" s="7" t="n">
        <v>3.2</v>
      </c>
      <c r="P202" s="7" t="n">
        <v>5.2</v>
      </c>
      <c r="R202" s="7" t="n">
        <v>1.2</v>
      </c>
      <c r="T202" s="7" t="n">
        <v>3.4</v>
      </c>
      <c r="V202" s="7" t="n">
        <v>3.1</v>
      </c>
      <c r="X202" s="7" t="n">
        <v>1.9</v>
      </c>
      <c r="Z202" s="7" t="n">
        <v>0.9</v>
      </c>
      <c r="AB202" s="7" t="n">
        <v>37.2</v>
      </c>
    </row>
    <row r="203">
      <c r="A203" s="4" t="inlineStr">
        <is>
          <t>招待费</t>
        </is>
      </c>
      <c r="D203" s="7" t="n">
        <v>245.2</v>
      </c>
      <c r="F203" s="7" t="n">
        <v>107.4</v>
      </c>
      <c r="H203" s="7" t="n">
        <v>151</v>
      </c>
      <c r="J203" s="7" t="n">
        <v>300.5</v>
      </c>
      <c r="L203" s="7" t="n">
        <v>332.6</v>
      </c>
      <c r="N203" s="7" t="n">
        <v>289.8</v>
      </c>
      <c r="P203" s="7" t="n">
        <v>247.5</v>
      </c>
      <c r="R203" s="7" t="n">
        <v>118.8</v>
      </c>
      <c r="T203" s="7" t="n">
        <v>231.6</v>
      </c>
      <c r="V203" s="7" t="n">
        <v>227.3</v>
      </c>
      <c r="X203" s="7" t="n">
        <v>144.2</v>
      </c>
      <c r="Z203" s="7" t="n">
        <v>38.4</v>
      </c>
      <c r="AB203" s="7" t="n">
        <v>2434.3</v>
      </c>
    </row>
    <row r="204">
      <c r="A204" s="4" t="inlineStr">
        <is>
          <t>通讯费</t>
        </is>
      </c>
      <c r="D204" s="7" t="n">
        <v>18.3</v>
      </c>
      <c r="F204" s="7" t="n">
        <v>11.7</v>
      </c>
      <c r="H204" s="7" t="n">
        <v>20.6</v>
      </c>
      <c r="J204" s="7" t="n">
        <v>24.7</v>
      </c>
      <c r="L204" s="7" t="n">
        <v>36.2</v>
      </c>
      <c r="N204" s="7" t="n">
        <v>16.4</v>
      </c>
      <c r="P204" s="7" t="n">
        <v>27.9</v>
      </c>
      <c r="R204" s="7" t="n">
        <v>6.9</v>
      </c>
      <c r="T204" s="7" t="n">
        <v>19.7</v>
      </c>
      <c r="V204" s="7" t="n">
        <v>20.5</v>
      </c>
      <c r="X204" s="7" t="n">
        <v>17</v>
      </c>
      <c r="Z204" s="7" t="n">
        <v>4.6</v>
      </c>
      <c r="AB204" s="7" t="n">
        <v>224.5</v>
      </c>
    </row>
    <row r="205">
      <c r="A205" s="4" t="inlineStr">
        <is>
          <t>网络费</t>
        </is>
      </c>
      <c r="D205" s="7" t="n">
        <v>18.2</v>
      </c>
      <c r="F205" s="7" t="n">
        <v>11.3</v>
      </c>
      <c r="H205" s="7" t="n">
        <v>15.8</v>
      </c>
      <c r="J205" s="7" t="n">
        <v>22.9</v>
      </c>
      <c r="L205" s="7" t="n">
        <v>23.4</v>
      </c>
      <c r="N205" s="7" t="n">
        <v>15.5</v>
      </c>
      <c r="P205" s="7" t="n">
        <v>31.8</v>
      </c>
      <c r="R205" s="7" t="n">
        <v>9</v>
      </c>
      <c r="T205" s="7" t="n">
        <v>19.4</v>
      </c>
      <c r="V205" s="7" t="n">
        <v>15.2</v>
      </c>
      <c r="X205" s="7" t="n">
        <v>11.3</v>
      </c>
      <c r="Z205" s="7" t="n">
        <v>3.9</v>
      </c>
      <c r="AB205" s="7" t="n">
        <v>197.7</v>
      </c>
    </row>
    <row r="206">
      <c r="A206" s="4" t="inlineStr">
        <is>
          <t>修理费</t>
        </is>
      </c>
      <c r="D206" s="7" t="n">
        <v>4.9</v>
      </c>
      <c r="F206" s="7" t="n">
        <v>3</v>
      </c>
      <c r="H206" s="7" t="n">
        <v>5.4</v>
      </c>
      <c r="J206" s="7" t="n">
        <v>4.2</v>
      </c>
      <c r="L206" s="7" t="n">
        <v>7</v>
      </c>
      <c r="N206" s="7" t="n">
        <v>5</v>
      </c>
      <c r="P206" s="7" t="n">
        <v>5.3</v>
      </c>
      <c r="R206" s="7" t="n">
        <v>2.4</v>
      </c>
      <c r="T206" s="7" t="n">
        <v>3</v>
      </c>
      <c r="V206" s="7" t="n">
        <v>5.1</v>
      </c>
      <c r="X206" s="7" t="n">
        <v>3.3</v>
      </c>
      <c r="Z206" s="7" t="n">
        <v>1.3</v>
      </c>
      <c r="AB206" s="7" t="n">
        <v>49.9</v>
      </c>
    </row>
    <row r="207">
      <c r="A207" s="4" t="inlineStr">
        <is>
          <t>车辆费</t>
        </is>
      </c>
      <c r="D207" s="7" t="n">
        <v>23.1</v>
      </c>
      <c r="F207" s="7" t="n">
        <v>11.3</v>
      </c>
      <c r="H207" s="7" t="n">
        <v>22.9</v>
      </c>
      <c r="J207" s="7" t="n">
        <v>26.9</v>
      </c>
      <c r="L207" s="7" t="n">
        <v>27.2</v>
      </c>
      <c r="N207" s="7" t="n">
        <v>26.2</v>
      </c>
      <c r="P207" s="7" t="n">
        <v>28.4</v>
      </c>
      <c r="R207" s="7" t="n">
        <v>7.7</v>
      </c>
      <c r="T207" s="7" t="n">
        <v>23.9</v>
      </c>
      <c r="V207" s="7" t="n">
        <v>27.6</v>
      </c>
      <c r="X207" s="7" t="n">
        <v>14</v>
      </c>
      <c r="Z207" s="7" t="n">
        <v>4.9</v>
      </c>
      <c r="AB207" s="7" t="n">
        <v>244.1</v>
      </c>
    </row>
    <row r="208">
      <c r="A208" s="4" t="inlineStr">
        <is>
          <t>租赁费</t>
        </is>
      </c>
      <c r="D208" s="7" t="n">
        <v>223.5</v>
      </c>
      <c r="F208" s="7" t="n">
        <v>149.3</v>
      </c>
      <c r="H208" s="7" t="n">
        <v>248.1</v>
      </c>
      <c r="J208" s="7" t="n">
        <v>307.3</v>
      </c>
      <c r="L208" s="7" t="n">
        <v>538.3</v>
      </c>
      <c r="N208" s="7" t="n">
        <v>373.2</v>
      </c>
      <c r="P208" s="7" t="n">
        <v>410.4</v>
      </c>
      <c r="R208" s="7" t="n">
        <v>114.9</v>
      </c>
      <c r="T208" s="7" t="n">
        <v>272.5</v>
      </c>
      <c r="V208" s="7" t="n">
        <v>194.9</v>
      </c>
      <c r="X208" s="7" t="n">
        <v>237.2</v>
      </c>
      <c r="Z208" s="7" t="n">
        <v>65.90000000000001</v>
      </c>
      <c r="AB208" s="7" t="n">
        <v>3135.5</v>
      </c>
    </row>
    <row r="209">
      <c r="A209" s="4" t="inlineStr">
        <is>
          <t>能源费</t>
        </is>
      </c>
      <c r="D209" s="7" t="n">
        <v>77.09999999999999</v>
      </c>
      <c r="F209" s="7" t="n">
        <v>63</v>
      </c>
      <c r="H209" s="7" t="n">
        <v>91.8</v>
      </c>
      <c r="J209" s="7" t="n">
        <v>103.5</v>
      </c>
      <c r="L209" s="7" t="n">
        <v>122.3</v>
      </c>
      <c r="N209" s="7" t="n">
        <v>97.40000000000001</v>
      </c>
      <c r="P209" s="7" t="n">
        <v>133.9</v>
      </c>
      <c r="R209" s="7" t="n">
        <v>39.3</v>
      </c>
      <c r="T209" s="7" t="n">
        <v>86</v>
      </c>
      <c r="V209" s="7" t="n">
        <v>93.7</v>
      </c>
      <c r="X209" s="7" t="n">
        <v>65.7</v>
      </c>
      <c r="Z209" s="7" t="n">
        <v>20.6</v>
      </c>
      <c r="AB209" s="7" t="n">
        <v>994.3</v>
      </c>
    </row>
    <row r="210">
      <c r="A210" s="4" t="inlineStr">
        <is>
          <t>水费</t>
        </is>
      </c>
      <c r="D210" s="7" t="n">
        <v>18.2</v>
      </c>
      <c r="F210" s="7" t="n">
        <v>15.6</v>
      </c>
      <c r="H210" s="7" t="n">
        <v>17.8</v>
      </c>
      <c r="J210" s="7" t="n">
        <v>28.5</v>
      </c>
      <c r="L210" s="7" t="n">
        <v>30.3</v>
      </c>
      <c r="N210" s="7" t="n">
        <v>27.4</v>
      </c>
      <c r="P210" s="7" t="n">
        <v>35.2</v>
      </c>
      <c r="R210" s="7" t="n">
        <v>9.9</v>
      </c>
      <c r="T210" s="7" t="n">
        <v>21.2</v>
      </c>
      <c r="V210" s="7" t="n">
        <v>14.9</v>
      </c>
      <c r="X210" s="7" t="n">
        <v>13.3</v>
      </c>
      <c r="Z210" s="7" t="n">
        <v>5.7</v>
      </c>
      <c r="AB210" s="7" t="n">
        <v>238</v>
      </c>
    </row>
    <row r="211">
      <c r="A211" s="4" t="inlineStr">
        <is>
          <t>电费</t>
        </is>
      </c>
      <c r="D211" s="7" t="n">
        <v>10.4</v>
      </c>
      <c r="F211" s="7" t="n">
        <v>11.6</v>
      </c>
      <c r="H211" s="7" t="n">
        <v>16.6</v>
      </c>
      <c r="J211" s="7" t="n">
        <v>12.4</v>
      </c>
      <c r="L211" s="7" t="n">
        <v>18.7</v>
      </c>
      <c r="N211" s="7" t="n">
        <v>13.9</v>
      </c>
      <c r="P211" s="7" t="n">
        <v>23.9</v>
      </c>
      <c r="R211" s="7" t="n">
        <v>5.7</v>
      </c>
      <c r="T211" s="7" t="n">
        <v>12.2</v>
      </c>
      <c r="V211" s="7" t="n">
        <v>18.7</v>
      </c>
      <c r="X211" s="7" t="n">
        <v>10.5</v>
      </c>
      <c r="Z211" s="7" t="n">
        <v>3.5</v>
      </c>
      <c r="AB211" s="7" t="n">
        <v>158.1</v>
      </c>
    </row>
    <row r="212">
      <c r="A212" s="4" t="inlineStr">
        <is>
          <t>燃气费</t>
        </is>
      </c>
      <c r="D212" s="7" t="n">
        <v>20.6</v>
      </c>
      <c r="F212" s="7" t="n">
        <v>18.2</v>
      </c>
      <c r="H212" s="7" t="n">
        <v>25.3</v>
      </c>
      <c r="J212" s="7" t="n">
        <v>29.5</v>
      </c>
      <c r="L212" s="7" t="n">
        <v>32.9</v>
      </c>
      <c r="N212" s="7" t="n">
        <v>20.7</v>
      </c>
      <c r="P212" s="7" t="n">
        <v>30.2</v>
      </c>
      <c r="R212" s="7" t="n">
        <v>12.8</v>
      </c>
      <c r="T212" s="7" t="n">
        <v>23.9</v>
      </c>
      <c r="V212" s="7" t="n">
        <v>28.9</v>
      </c>
      <c r="X212" s="7" t="n">
        <v>17.1</v>
      </c>
      <c r="Z212" s="7" t="n">
        <v>6.3</v>
      </c>
      <c r="AB212" s="7" t="n">
        <v>266.4</v>
      </c>
    </row>
    <row r="213">
      <c r="A213" s="4" t="inlineStr">
        <is>
          <t>蒸汽费</t>
        </is>
      </c>
      <c r="D213" s="7" t="n">
        <v>27.9</v>
      </c>
      <c r="F213" s="7" t="n">
        <v>17.6</v>
      </c>
      <c r="H213" s="7" t="n">
        <v>32.1</v>
      </c>
      <c r="J213" s="7" t="n">
        <v>33.1</v>
      </c>
      <c r="L213" s="7" t="n">
        <v>40.4</v>
      </c>
      <c r="N213" s="7" t="n">
        <v>35.4</v>
      </c>
      <c r="P213" s="7" t="n">
        <v>44.6</v>
      </c>
      <c r="R213" s="7" t="n">
        <v>10.9</v>
      </c>
      <c r="T213" s="7" t="n">
        <v>28.7</v>
      </c>
      <c r="V213" s="7" t="n">
        <v>31.2</v>
      </c>
      <c r="X213" s="7" t="n">
        <v>24.8</v>
      </c>
      <c r="Z213" s="7" t="n">
        <v>5.1</v>
      </c>
      <c r="AB213" s="7" t="n">
        <v>331.8</v>
      </c>
    </row>
    <row r="214">
      <c r="A214" s="4" t="inlineStr">
        <is>
          <t>物业费</t>
        </is>
      </c>
      <c r="D214" s="7" t="n">
        <v>14.6</v>
      </c>
      <c r="F214" s="7" t="n">
        <v>10.3</v>
      </c>
      <c r="H214" s="7" t="n">
        <v>17.9</v>
      </c>
      <c r="J214" s="7" t="n">
        <v>23.3</v>
      </c>
      <c r="L214" s="7" t="n">
        <v>24.9</v>
      </c>
      <c r="N214" s="7" t="n">
        <v>16</v>
      </c>
      <c r="P214" s="7" t="n">
        <v>16.3</v>
      </c>
      <c r="R214" s="7" t="n">
        <v>7.6</v>
      </c>
      <c r="T214" s="7" t="n">
        <v>15.8</v>
      </c>
      <c r="V214" s="7" t="n">
        <v>12.2</v>
      </c>
      <c r="X214" s="7" t="n">
        <v>12.8</v>
      </c>
      <c r="Z214" s="7" t="n">
        <v>3.5</v>
      </c>
      <c r="AB214" s="7" t="n">
        <v>175.2</v>
      </c>
    </row>
    <row r="215">
      <c r="A215" s="4" t="inlineStr">
        <is>
          <t>劳动保护费</t>
        </is>
      </c>
      <c r="D215" s="7" t="n">
        <v>22.1</v>
      </c>
      <c r="F215" s="7" t="n">
        <v>18.1</v>
      </c>
      <c r="H215" s="7" t="n">
        <v>26.9</v>
      </c>
      <c r="J215" s="7" t="n">
        <v>39.9</v>
      </c>
      <c r="L215" s="7" t="n">
        <v>49</v>
      </c>
      <c r="N215" s="7" t="n">
        <v>41.2</v>
      </c>
      <c r="P215" s="7" t="n">
        <v>49.1</v>
      </c>
      <c r="R215" s="7" t="n">
        <v>12.1</v>
      </c>
      <c r="T215" s="7" t="n">
        <v>28.4</v>
      </c>
      <c r="V215" s="7" t="n">
        <v>22.8</v>
      </c>
      <c r="X215" s="7" t="n">
        <v>25.4</v>
      </c>
      <c r="Z215" s="7" t="n">
        <v>5.9</v>
      </c>
      <c r="AB215" s="7" t="n">
        <v>340.9</v>
      </c>
    </row>
    <row r="216">
      <c r="A216" s="4" t="inlineStr">
        <is>
          <t>顾问费</t>
        </is>
      </c>
      <c r="D216" s="7" t="n">
        <v>23.3</v>
      </c>
      <c r="F216" s="7" t="n">
        <v>16.2</v>
      </c>
      <c r="H216" s="7" t="n">
        <v>26.8</v>
      </c>
      <c r="J216" s="7" t="n">
        <v>21.9</v>
      </c>
      <c r="L216" s="7" t="n">
        <v>49.3</v>
      </c>
      <c r="N216" s="7" t="n">
        <v>32.9</v>
      </c>
      <c r="P216" s="7" t="n">
        <v>41.6</v>
      </c>
      <c r="R216" s="7" t="n">
        <v>12.8</v>
      </c>
      <c r="T216" s="7" t="n">
        <v>16.1</v>
      </c>
      <c r="V216" s="7" t="n">
        <v>19.7</v>
      </c>
      <c r="X216" s="7" t="n">
        <v>14.3</v>
      </c>
      <c r="Z216" s="7" t="n">
        <v>4.4</v>
      </c>
      <c r="AB216" s="7" t="n">
        <v>279.3</v>
      </c>
    </row>
    <row r="217">
      <c r="A217" s="4" t="inlineStr">
        <is>
          <t>快递费</t>
        </is>
      </c>
      <c r="D217" s="7" t="n">
        <v>14.1</v>
      </c>
      <c r="F217" s="7" t="n">
        <v>8.800000000000001</v>
      </c>
      <c r="H217" s="7" t="n">
        <v>14.7</v>
      </c>
      <c r="J217" s="7" t="n">
        <v>15.9</v>
      </c>
      <c r="L217" s="7" t="n">
        <v>33</v>
      </c>
      <c r="N217" s="7" t="n">
        <v>18.3</v>
      </c>
      <c r="P217" s="7" t="n">
        <v>27.5</v>
      </c>
      <c r="R217" s="7" t="n">
        <v>7.9</v>
      </c>
      <c r="T217" s="7" t="n">
        <v>13.8</v>
      </c>
      <c r="V217" s="7" t="n">
        <v>16.7</v>
      </c>
      <c r="X217" s="7" t="n">
        <v>10.4</v>
      </c>
      <c r="Z217" s="7" t="n">
        <v>3.1</v>
      </c>
      <c r="AB217" s="7" t="n">
        <v>184.2</v>
      </c>
    </row>
    <row r="218">
      <c r="A218" s="4" t="inlineStr">
        <is>
          <t>诉讼费</t>
        </is>
      </c>
      <c r="D218" s="7" t="n">
        <v>17.4</v>
      </c>
      <c r="F218" s="7" t="n">
        <v>10.6</v>
      </c>
      <c r="H218" s="7" t="n">
        <v>15.8</v>
      </c>
      <c r="J218" s="7" t="n">
        <v>20.5</v>
      </c>
      <c r="L218" s="7" t="n">
        <v>34.4</v>
      </c>
      <c r="N218" s="7" t="n">
        <v>21.8</v>
      </c>
      <c r="P218" s="7" t="n">
        <v>20.9</v>
      </c>
      <c r="R218" s="7" t="n">
        <v>8.4</v>
      </c>
      <c r="T218" s="7" t="n">
        <v>14.3</v>
      </c>
      <c r="V218" s="7" t="n">
        <v>24.9</v>
      </c>
      <c r="X218" s="7" t="n">
        <v>12.5</v>
      </c>
      <c r="Z218" s="7" t="n">
        <v>4</v>
      </c>
      <c r="AB218" s="7" t="n">
        <v>205.5</v>
      </c>
    </row>
    <row r="219">
      <c r="A219" s="4" t="inlineStr">
        <is>
          <t>会员费</t>
        </is>
      </c>
      <c r="D219" s="7" t="n">
        <v>22.6</v>
      </c>
      <c r="F219" s="7" t="n">
        <v>18.9</v>
      </c>
      <c r="H219" s="7" t="n">
        <v>32.6</v>
      </c>
      <c r="J219" s="7" t="n">
        <v>36.6</v>
      </c>
      <c r="L219" s="7" t="n">
        <v>46.7</v>
      </c>
      <c r="N219" s="7" t="n">
        <v>35.3</v>
      </c>
      <c r="P219" s="7" t="n">
        <v>38.8</v>
      </c>
      <c r="R219" s="7" t="n">
        <v>11.4</v>
      </c>
      <c r="T219" s="7" t="n">
        <v>31.9</v>
      </c>
      <c r="V219" s="7" t="n">
        <v>20.8</v>
      </c>
      <c r="X219" s="7" t="n">
        <v>21.7</v>
      </c>
      <c r="Z219" s="7" t="n">
        <v>8.1</v>
      </c>
      <c r="AB219" s="7" t="n">
        <v>325.4</v>
      </c>
    </row>
    <row r="220">
      <c r="A220" s="4" t="inlineStr">
        <is>
          <t>广告宣传费</t>
        </is>
      </c>
      <c r="D220" s="7" t="n">
        <v>136.5</v>
      </c>
      <c r="F220" s="7" t="n">
        <v>125.4</v>
      </c>
      <c r="H220" s="7" t="n">
        <v>189.8</v>
      </c>
      <c r="J220" s="7" t="n">
        <v>181.8</v>
      </c>
      <c r="L220" s="7" t="n">
        <v>244.1</v>
      </c>
      <c r="N220" s="7" t="n">
        <v>155</v>
      </c>
      <c r="P220" s="7" t="n">
        <v>265.8</v>
      </c>
      <c r="R220" s="7" t="n">
        <v>58.7</v>
      </c>
      <c r="T220" s="7" t="n">
        <v>154.8</v>
      </c>
      <c r="V220" s="7" t="n">
        <v>163.1</v>
      </c>
      <c r="X220" s="7" t="n">
        <v>99.40000000000001</v>
      </c>
      <c r="Z220" s="7" t="n">
        <v>30.5</v>
      </c>
      <c r="AB220" s="7" t="n">
        <v>1804.9</v>
      </c>
    </row>
    <row r="221">
      <c r="A221" s="4" t="inlineStr">
        <is>
          <t>会务费</t>
        </is>
      </c>
      <c r="D221" s="7" t="n">
        <v>17.9</v>
      </c>
      <c r="F221" s="7" t="n">
        <v>12.2</v>
      </c>
      <c r="H221" s="7" t="n">
        <v>23.5</v>
      </c>
      <c r="J221" s="7" t="n">
        <v>29.7</v>
      </c>
      <c r="L221" s="7" t="n">
        <v>35.2</v>
      </c>
      <c r="N221" s="7" t="n">
        <v>33.1</v>
      </c>
      <c r="P221" s="7" t="n">
        <v>33.1</v>
      </c>
      <c r="R221" s="7" t="n">
        <v>9.9</v>
      </c>
      <c r="T221" s="7" t="n">
        <v>20.5</v>
      </c>
      <c r="V221" s="7" t="n">
        <v>18.5</v>
      </c>
      <c r="X221" s="7" t="n">
        <v>17.7</v>
      </c>
      <c r="Z221" s="7" t="n">
        <v>6.1</v>
      </c>
      <c r="AB221" s="7" t="n">
        <v>257.4</v>
      </c>
    </row>
    <row r="222">
      <c r="A222" s="4" t="inlineStr">
        <is>
          <t>装修费</t>
        </is>
      </c>
      <c r="D222" s="7" t="n">
        <v>2</v>
      </c>
      <c r="F222" s="7" t="n">
        <v>1</v>
      </c>
      <c r="H222" s="7" t="n">
        <v>1.6</v>
      </c>
      <c r="J222" s="7" t="n">
        <v>1.7</v>
      </c>
      <c r="L222" s="7" t="n">
        <v>3.6</v>
      </c>
      <c r="N222" s="7" t="n">
        <v>2</v>
      </c>
      <c r="P222" s="7" t="n">
        <v>2.1</v>
      </c>
      <c r="R222" s="7" t="n">
        <v>0.6</v>
      </c>
      <c r="T222" s="7" t="n">
        <v>1.8</v>
      </c>
      <c r="V222" s="7" t="n">
        <v>1.6</v>
      </c>
      <c r="X222" s="7" t="n">
        <v>1.2</v>
      </c>
      <c r="Z222" s="7" t="n">
        <v>0.4</v>
      </c>
      <c r="AB222" s="7" t="n">
        <v>19.6</v>
      </c>
    </row>
    <row r="223">
      <c r="A223" s="4" t="inlineStr">
        <is>
          <t>推广费</t>
        </is>
      </c>
      <c r="D223" s="7" t="n">
        <v>4.8</v>
      </c>
      <c r="F223" s="7" t="n">
        <v>3</v>
      </c>
      <c r="H223" s="7" t="n">
        <v>4.9</v>
      </c>
      <c r="J223" s="7" t="n">
        <v>7.3</v>
      </c>
      <c r="L223" s="7" t="n">
        <v>11.8</v>
      </c>
      <c r="N223" s="7" t="n">
        <v>6.7</v>
      </c>
      <c r="P223" s="7" t="n">
        <v>9.6</v>
      </c>
      <c r="R223" s="7" t="n">
        <v>2.3</v>
      </c>
      <c r="T223" s="7" t="n">
        <v>5.1</v>
      </c>
      <c r="V223" s="7" t="n">
        <v>6.4</v>
      </c>
      <c r="X223" s="7" t="n">
        <v>4.6</v>
      </c>
      <c r="Z223" s="7" t="n">
        <v>1.4</v>
      </c>
      <c r="AB223" s="7" t="n">
        <v>67.90000000000001</v>
      </c>
    </row>
    <row r="224">
      <c r="A224" s="4" t="inlineStr">
        <is>
          <t>展会费</t>
        </is>
      </c>
      <c r="D224" s="7" t="n">
        <v>8.9</v>
      </c>
      <c r="F224" s="7" t="n">
        <v>4.1</v>
      </c>
      <c r="H224" s="7" t="n">
        <v>6.3</v>
      </c>
      <c r="J224" s="7" t="n">
        <v>11.4</v>
      </c>
      <c r="L224" s="7" t="n">
        <v>15.2</v>
      </c>
      <c r="N224" s="7" t="n">
        <v>8</v>
      </c>
      <c r="P224" s="7" t="n">
        <v>9.1</v>
      </c>
      <c r="R224" s="7" t="n">
        <v>3.5</v>
      </c>
      <c r="T224" s="7" t="n">
        <v>10</v>
      </c>
      <c r="V224" s="7" t="n">
        <v>9.4</v>
      </c>
      <c r="X224" s="7" t="n">
        <v>4.8</v>
      </c>
      <c r="Z224" s="7" t="n">
        <v>2.5</v>
      </c>
      <c r="AB224" s="7" t="n">
        <v>93.2</v>
      </c>
    </row>
    <row r="225">
      <c r="A225" s="4" t="inlineStr">
        <is>
          <t>设计费</t>
        </is>
      </c>
      <c r="D225" s="7" t="n">
        <v>26.8</v>
      </c>
      <c r="F225" s="7" t="n">
        <v>16.4</v>
      </c>
      <c r="H225" s="7" t="n">
        <v>33.8</v>
      </c>
      <c r="J225" s="7" t="n">
        <v>36.7</v>
      </c>
      <c r="L225" s="7" t="n">
        <v>48.8</v>
      </c>
      <c r="N225" s="7" t="n">
        <v>43.8</v>
      </c>
      <c r="P225" s="7" t="n">
        <v>33.6</v>
      </c>
      <c r="R225" s="7" t="n">
        <v>13.2</v>
      </c>
      <c r="T225" s="7" t="n">
        <v>23.6</v>
      </c>
      <c r="V225" s="7" t="n">
        <v>29.6</v>
      </c>
      <c r="X225" s="7" t="n">
        <v>15.7</v>
      </c>
      <c r="Z225" s="7" t="n">
        <v>5.9</v>
      </c>
      <c r="AB225" s="7" t="n">
        <v>327.9</v>
      </c>
    </row>
    <row r="226">
      <c r="A226" s="4" t="inlineStr">
        <is>
          <t>折旧费</t>
        </is>
      </c>
      <c r="D226" s="7" t="n">
        <v>154.8</v>
      </c>
      <c r="F226" s="7" t="n">
        <v>127</v>
      </c>
      <c r="H226" s="7" t="n">
        <v>215.2</v>
      </c>
      <c r="J226" s="7" t="n">
        <v>243.8</v>
      </c>
      <c r="L226" s="7" t="n">
        <v>441.8</v>
      </c>
      <c r="N226" s="7" t="n">
        <v>336.9</v>
      </c>
      <c r="P226" s="7" t="n">
        <v>368.6</v>
      </c>
      <c r="R226" s="7" t="n">
        <v>95.7</v>
      </c>
      <c r="T226" s="7" t="n">
        <v>216</v>
      </c>
      <c r="V226" s="7" t="n">
        <v>217.8</v>
      </c>
      <c r="X226" s="7" t="n">
        <v>113.1</v>
      </c>
      <c r="Z226" s="7" t="n">
        <v>43.9</v>
      </c>
      <c r="AB226" s="7" t="n">
        <v>2574.6</v>
      </c>
    </row>
    <row r="227">
      <c r="A227" s="4" t="inlineStr">
        <is>
          <t>认证费</t>
        </is>
      </c>
      <c r="D227" s="7" t="n">
        <v>8.300000000000001</v>
      </c>
      <c r="F227" s="7" t="n">
        <v>5.6</v>
      </c>
      <c r="H227" s="7" t="n">
        <v>6</v>
      </c>
      <c r="J227" s="7" t="n">
        <v>8.9</v>
      </c>
      <c r="L227" s="7" t="n">
        <v>9.4</v>
      </c>
      <c r="N227" s="7" t="n">
        <v>10.1</v>
      </c>
      <c r="P227" s="7" t="n">
        <v>11.7</v>
      </c>
      <c r="R227" s="7" t="n">
        <v>4.1</v>
      </c>
      <c r="T227" s="7" t="n">
        <v>5.9</v>
      </c>
      <c r="V227" s="7" t="n">
        <v>7.1</v>
      </c>
      <c r="X227" s="7" t="n">
        <v>5.6</v>
      </c>
      <c r="Z227" s="7" t="n">
        <v>1.8</v>
      </c>
      <c r="AB227" s="7" t="n">
        <v>84.5</v>
      </c>
    </row>
    <row r="228">
      <c r="A228" s="4" t="inlineStr">
        <is>
          <t>样品费</t>
        </is>
      </c>
      <c r="D228" s="7" t="n">
        <v>115.4</v>
      </c>
      <c r="F228" s="7" t="n">
        <v>62.3</v>
      </c>
      <c r="H228" s="7" t="n">
        <v>73</v>
      </c>
      <c r="J228" s="7" t="n">
        <v>163.2</v>
      </c>
      <c r="L228" s="7" t="n">
        <v>223.5</v>
      </c>
      <c r="N228" s="7" t="n">
        <v>169.9</v>
      </c>
      <c r="P228" s="7" t="n">
        <v>197.7</v>
      </c>
      <c r="R228" s="7" t="n">
        <v>57.6</v>
      </c>
      <c r="T228" s="7" t="n">
        <v>116.6</v>
      </c>
      <c r="V228" s="7" t="n">
        <v>118.9</v>
      </c>
      <c r="X228" s="7" t="n">
        <v>84.90000000000001</v>
      </c>
      <c r="Z228" s="7" t="n">
        <v>25.2</v>
      </c>
      <c r="AB228" s="7" t="n">
        <v>1408.2</v>
      </c>
    </row>
    <row r="229">
      <c r="A229" s="4" t="inlineStr">
        <is>
          <t>劳务费</t>
        </is>
      </c>
      <c r="D229" s="7" t="n">
        <v>30.4</v>
      </c>
      <c r="F229" s="7" t="n">
        <v>18.6</v>
      </c>
      <c r="H229" s="7" t="n">
        <v>34.8</v>
      </c>
      <c r="J229" s="7" t="n">
        <v>36.8</v>
      </c>
      <c r="L229" s="7" t="n">
        <v>38.7</v>
      </c>
      <c r="N229" s="7" t="n">
        <v>30</v>
      </c>
      <c r="P229" s="7" t="n">
        <v>35.2</v>
      </c>
      <c r="R229" s="7" t="n">
        <v>12.3</v>
      </c>
      <c r="T229" s="7" t="n">
        <v>34.4</v>
      </c>
      <c r="V229" s="7" t="n">
        <v>28.4</v>
      </c>
      <c r="X229" s="7" t="n">
        <v>21.6</v>
      </c>
      <c r="Z229" s="7" t="n">
        <v>6.9</v>
      </c>
      <c r="AB229" s="7" t="n">
        <v>328.1</v>
      </c>
    </row>
    <row r="230">
      <c r="A230" s="4" t="inlineStr">
        <is>
          <t>销售佣金</t>
        </is>
      </c>
      <c r="D230" s="7" t="n">
        <v>8.699999999999999</v>
      </c>
      <c r="F230" s="7" t="n">
        <v>6.2</v>
      </c>
      <c r="H230" s="7" t="n">
        <v>10.1</v>
      </c>
      <c r="J230" s="7" t="n">
        <v>14.4</v>
      </c>
      <c r="L230" s="7" t="n">
        <v>20.6</v>
      </c>
      <c r="N230" s="7" t="n">
        <v>15.2</v>
      </c>
      <c r="P230" s="7" t="n">
        <v>10.9</v>
      </c>
      <c r="R230" s="7" t="n">
        <v>5.6</v>
      </c>
      <c r="T230" s="7" t="n">
        <v>9.5</v>
      </c>
      <c r="V230" s="7" t="n">
        <v>10.8</v>
      </c>
      <c r="X230" s="7" t="n">
        <v>5.6</v>
      </c>
      <c r="Z230" s="7" t="n">
        <v>2.3</v>
      </c>
      <c r="AB230" s="7" t="n">
        <v>119.9</v>
      </c>
    </row>
    <row r="231">
      <c r="A231" s="4" t="inlineStr">
        <is>
          <t>检测费</t>
        </is>
      </c>
      <c r="D231" s="7" t="n">
        <v>13.5</v>
      </c>
      <c r="F231" s="7" t="n">
        <v>7.5</v>
      </c>
      <c r="H231" s="7" t="n">
        <v>15.7</v>
      </c>
      <c r="J231" s="7" t="n">
        <v>21.1</v>
      </c>
      <c r="L231" s="7" t="n">
        <v>23.9</v>
      </c>
      <c r="N231" s="7" t="n">
        <v>23.5</v>
      </c>
      <c r="P231" s="7" t="n">
        <v>24.5</v>
      </c>
      <c r="R231" s="7" t="n">
        <v>6.1</v>
      </c>
      <c r="T231" s="7" t="n">
        <v>11.9</v>
      </c>
      <c r="V231" s="7" t="n">
        <v>12.4</v>
      </c>
      <c r="X231" s="7" t="n">
        <v>14.5</v>
      </c>
      <c r="Z231" s="7" t="n">
        <v>3.9</v>
      </c>
      <c r="AB231" s="7" t="n">
        <v>178.5</v>
      </c>
    </row>
    <row r="232">
      <c r="A232" s="4" t="inlineStr">
        <is>
          <t>质量赔偿</t>
        </is>
      </c>
      <c r="D232" s="7" t="n">
        <v>6.6</v>
      </c>
      <c r="F232" s="7" t="n">
        <v>4.6</v>
      </c>
      <c r="H232" s="7" t="n">
        <v>5.9</v>
      </c>
      <c r="J232" s="7" t="n">
        <v>8</v>
      </c>
      <c r="L232" s="7" t="n">
        <v>11.7</v>
      </c>
      <c r="N232" s="7" t="n">
        <v>7.7</v>
      </c>
      <c r="P232" s="7" t="n">
        <v>8.699999999999999</v>
      </c>
      <c r="R232" s="7" t="n">
        <v>2.8</v>
      </c>
      <c r="T232" s="7" t="n">
        <v>5.2</v>
      </c>
      <c r="V232" s="7" t="n">
        <v>5.7</v>
      </c>
      <c r="X232" s="7" t="n">
        <v>5.6</v>
      </c>
      <c r="Z232" s="7" t="n">
        <v>1.4</v>
      </c>
      <c r="AB232" s="7" t="n">
        <v>73.90000000000001</v>
      </c>
    </row>
    <row r="233">
      <c r="A233" s="4" t="inlineStr">
        <is>
          <t>保险费</t>
        </is>
      </c>
      <c r="D233" s="7" t="n">
        <v>10.2</v>
      </c>
      <c r="F233" s="7" t="n">
        <v>8.6</v>
      </c>
      <c r="H233" s="7" t="n">
        <v>13</v>
      </c>
      <c r="J233" s="7" t="n">
        <v>16.9</v>
      </c>
      <c r="L233" s="7" t="n">
        <v>23.4</v>
      </c>
      <c r="N233" s="7" t="n">
        <v>14</v>
      </c>
      <c r="P233" s="7" t="n">
        <v>23.6</v>
      </c>
      <c r="R233" s="7" t="n">
        <v>5.8</v>
      </c>
      <c r="T233" s="7" t="n">
        <v>11.2</v>
      </c>
      <c r="V233" s="7" t="n">
        <v>12.9</v>
      </c>
      <c r="X233" s="7" t="n">
        <v>8.300000000000001</v>
      </c>
      <c r="Z233" s="7" t="n">
        <v>2.7</v>
      </c>
      <c r="AB233" s="7" t="n">
        <v>150.6</v>
      </c>
    </row>
    <row r="234">
      <c r="A234" s="4" t="inlineStr">
        <is>
          <t>清洁费</t>
        </is>
      </c>
      <c r="D234" s="7" t="n">
        <v>22.9</v>
      </c>
      <c r="F234" s="7" t="n">
        <v>14.2</v>
      </c>
      <c r="H234" s="7" t="n">
        <v>22.3</v>
      </c>
      <c r="J234" s="7" t="n">
        <v>20.1</v>
      </c>
      <c r="L234" s="7" t="n">
        <v>35.9</v>
      </c>
      <c r="N234" s="7" t="n">
        <v>30.6</v>
      </c>
      <c r="P234" s="7" t="n">
        <v>28.3</v>
      </c>
      <c r="R234" s="7" t="n">
        <v>11.9</v>
      </c>
      <c r="T234" s="7" t="n">
        <v>19.9</v>
      </c>
      <c r="V234" s="7" t="n">
        <v>17.7</v>
      </c>
      <c r="X234" s="7" t="n">
        <v>11</v>
      </c>
      <c r="Z234" s="7" t="n">
        <v>3.7</v>
      </c>
      <c r="AB234" s="7" t="n">
        <v>238.5</v>
      </c>
    </row>
    <row r="235">
      <c r="A235" s="4" t="inlineStr">
        <is>
          <t>低值易耗品</t>
        </is>
      </c>
      <c r="D235" s="7" t="n">
        <v>18.6</v>
      </c>
      <c r="F235" s="7" t="n">
        <v>17.1</v>
      </c>
      <c r="H235" s="7" t="n">
        <v>21.5</v>
      </c>
      <c r="J235" s="7" t="n">
        <v>18.9</v>
      </c>
      <c r="L235" s="7" t="n">
        <v>45</v>
      </c>
      <c r="N235" s="7" t="n">
        <v>28.3</v>
      </c>
      <c r="P235" s="7" t="n">
        <v>29.3</v>
      </c>
      <c r="R235" s="7" t="n">
        <v>12</v>
      </c>
      <c r="T235" s="7" t="n">
        <v>21.8</v>
      </c>
      <c r="V235" s="7" t="n">
        <v>22.7</v>
      </c>
      <c r="X235" s="7" t="n">
        <v>13</v>
      </c>
      <c r="Z235" s="7" t="n">
        <v>5.2</v>
      </c>
      <c r="AB235" s="7" t="n">
        <v>253.4</v>
      </c>
    </row>
    <row r="236">
      <c r="A236" s="4" t="inlineStr">
        <is>
          <t>物料消耗</t>
        </is>
      </c>
      <c r="D236" s="7" t="n">
        <v>28.7</v>
      </c>
      <c r="F236" s="7" t="n">
        <v>20.3</v>
      </c>
      <c r="H236" s="7" t="n">
        <v>26.7</v>
      </c>
      <c r="J236" s="7" t="n">
        <v>27.3</v>
      </c>
      <c r="L236" s="7" t="n">
        <v>61.8</v>
      </c>
      <c r="N236" s="7" t="n">
        <v>35.2</v>
      </c>
      <c r="P236" s="7" t="n">
        <v>41.4</v>
      </c>
      <c r="R236" s="7" t="n">
        <v>12.8</v>
      </c>
      <c r="T236" s="7" t="n">
        <v>19.7</v>
      </c>
      <c r="V236" s="7" t="n">
        <v>26.5</v>
      </c>
      <c r="X236" s="7" t="n">
        <v>22.7</v>
      </c>
      <c r="Z236" s="7" t="n">
        <v>7.5</v>
      </c>
      <c r="AB236" s="7" t="n">
        <v>330.6</v>
      </c>
    </row>
    <row r="237">
      <c r="A237" s="4" t="inlineStr">
        <is>
          <t>盘盈盘亏</t>
        </is>
      </c>
      <c r="D237" s="7" t="n">
        <v>11.8</v>
      </c>
      <c r="F237" s="7" t="n">
        <v>11.1</v>
      </c>
      <c r="H237" s="7" t="n">
        <v>19.7</v>
      </c>
      <c r="J237" s="7" t="n">
        <v>18.7</v>
      </c>
      <c r="L237" s="7" t="n">
        <v>24.1</v>
      </c>
      <c r="N237" s="7" t="n">
        <v>23.5</v>
      </c>
      <c r="P237" s="7" t="n">
        <v>19.5</v>
      </c>
      <c r="R237" s="7" t="n">
        <v>9.9</v>
      </c>
      <c r="T237" s="7" t="n">
        <v>15.8</v>
      </c>
      <c r="V237" s="7" t="n">
        <v>22.4</v>
      </c>
      <c r="X237" s="7" t="n">
        <v>11.3</v>
      </c>
      <c r="Z237" s="7" t="n">
        <v>2.8</v>
      </c>
      <c r="AB237" s="7" t="n">
        <v>190.6</v>
      </c>
    </row>
    <row r="238">
      <c r="A238" s="4" t="inlineStr">
        <is>
          <t>平台服务费</t>
        </is>
      </c>
      <c r="D238" s="7" t="n">
        <v>28.5</v>
      </c>
      <c r="F238" s="7" t="n">
        <v>20.2</v>
      </c>
      <c r="H238" s="7" t="n">
        <v>30.7</v>
      </c>
      <c r="J238" s="7" t="n">
        <v>31.9</v>
      </c>
      <c r="L238" s="7" t="n">
        <v>49</v>
      </c>
      <c r="N238" s="7" t="n">
        <v>40.8</v>
      </c>
      <c r="P238" s="7" t="n">
        <v>36</v>
      </c>
      <c r="R238" s="7" t="n">
        <v>12.9</v>
      </c>
      <c r="T238" s="7" t="n">
        <v>26.8</v>
      </c>
      <c r="V238" s="7" t="n">
        <v>26.1</v>
      </c>
      <c r="X238" s="7" t="n">
        <v>15.6</v>
      </c>
      <c r="Z238" s="7" t="n">
        <v>7.7</v>
      </c>
      <c r="AB238" s="7" t="n">
        <v>326.2</v>
      </c>
    </row>
    <row r="239">
      <c r="A239" s="4" t="inlineStr">
        <is>
          <t>无形资产摊销</t>
        </is>
      </c>
      <c r="D239" s="7" t="n">
        <v>21.2</v>
      </c>
      <c r="F239" s="7" t="n">
        <v>12.7</v>
      </c>
      <c r="H239" s="7" t="n">
        <v>13.5</v>
      </c>
      <c r="J239" s="7" t="n">
        <v>18</v>
      </c>
      <c r="L239" s="7" t="n">
        <v>25.4</v>
      </c>
      <c r="N239" s="7" t="n">
        <v>19.3</v>
      </c>
      <c r="P239" s="7" t="n">
        <v>30.7</v>
      </c>
      <c r="R239" s="7" t="n">
        <v>10.4</v>
      </c>
      <c r="T239" s="7" t="n">
        <v>18.2</v>
      </c>
      <c r="V239" s="7" t="n">
        <v>18.4</v>
      </c>
      <c r="X239" s="7" t="n">
        <v>11.9</v>
      </c>
      <c r="Z239" s="7" t="n">
        <v>4.2</v>
      </c>
      <c r="AB239" s="7" t="n">
        <v>203.9</v>
      </c>
    </row>
    <row r="240">
      <c r="A240" s="4" t="inlineStr">
        <is>
          <t>研发材料</t>
        </is>
      </c>
      <c r="D240" s="7" t="n">
        <v>9.5</v>
      </c>
      <c r="F240" s="7" t="n">
        <v>7.3</v>
      </c>
      <c r="H240" s="7" t="n">
        <v>8</v>
      </c>
      <c r="J240" s="7" t="n">
        <v>11.8</v>
      </c>
      <c r="L240" s="7" t="n">
        <v>12.8</v>
      </c>
      <c r="N240" s="7" t="n">
        <v>14.2</v>
      </c>
      <c r="P240" s="7" t="n">
        <v>14</v>
      </c>
      <c r="R240" s="7" t="n">
        <v>4.2</v>
      </c>
      <c r="T240" s="7" t="n">
        <v>9.4</v>
      </c>
      <c r="V240" s="7" t="n">
        <v>10.7</v>
      </c>
      <c r="X240" s="7" t="n">
        <v>5.4</v>
      </c>
      <c r="Z240" s="7" t="n">
        <v>1.8</v>
      </c>
      <c r="AB240" s="7" t="n">
        <v>109.1</v>
      </c>
    </row>
    <row r="241">
      <c r="A241" s="4" t="inlineStr">
        <is>
          <t>项目名称</t>
        </is>
      </c>
      <c r="D241" s="7" t="n">
        <v>20.1</v>
      </c>
      <c r="F241" s="7" t="n">
        <v>12.9</v>
      </c>
      <c r="H241" s="7" t="n">
        <v>23.8</v>
      </c>
      <c r="J241" s="7" t="n">
        <v>23.3</v>
      </c>
      <c r="L241" s="7" t="n">
        <v>27.5</v>
      </c>
      <c r="N241" s="7" t="n">
        <v>30.8</v>
      </c>
      <c r="P241" s="7" t="n">
        <v>26</v>
      </c>
      <c r="R241" s="7" t="n">
        <v>10.7</v>
      </c>
      <c r="T241" s="7" t="n">
        <v>12.7</v>
      </c>
      <c r="V241" s="7" t="n">
        <v>19.4</v>
      </c>
      <c r="X241" s="7" t="n">
        <v>11.5</v>
      </c>
      <c r="Z241" s="7" t="n">
        <v>5.3</v>
      </c>
      <c r="AB241" s="7" t="n">
        <v>224</v>
      </c>
    </row>
    <row r="242">
      <c r="A242" s="4" t="inlineStr">
        <is>
          <t>研发费</t>
        </is>
      </c>
      <c r="D242" s="7" t="n">
        <v>2.4</v>
      </c>
      <c r="F242" s="7" t="n">
        <v>2</v>
      </c>
      <c r="H242" s="7" t="n">
        <v>3.7</v>
      </c>
      <c r="J242" s="7" t="n">
        <v>4.6</v>
      </c>
      <c r="L242" s="7" t="n">
        <v>4.4</v>
      </c>
      <c r="N242" s="7" t="n">
        <v>3.4</v>
      </c>
      <c r="P242" s="7" t="n">
        <v>5.9</v>
      </c>
      <c r="R242" s="7" t="n">
        <v>2.1</v>
      </c>
      <c r="T242" s="7" t="n">
        <v>3.1</v>
      </c>
      <c r="V242" s="7" t="n">
        <v>4.2</v>
      </c>
      <c r="X242" s="7" t="n">
        <v>2.2</v>
      </c>
      <c r="Z242" s="7" t="n">
        <v>0.6</v>
      </c>
      <c r="AB242" s="7" t="n">
        <v>38.6</v>
      </c>
    </row>
    <row r="243">
      <c r="A243" s="4" t="inlineStr">
        <is>
          <t>残保金</t>
        </is>
      </c>
      <c r="D243" s="7" t="n">
        <v>19.5</v>
      </c>
      <c r="F243" s="7" t="n">
        <v>9.699999999999999</v>
      </c>
      <c r="H243" s="7" t="n">
        <v>18.2</v>
      </c>
      <c r="J243" s="7" t="n">
        <v>20</v>
      </c>
      <c r="L243" s="7" t="n">
        <v>24.6</v>
      </c>
      <c r="N243" s="7" t="n">
        <v>29.6</v>
      </c>
      <c r="P243" s="7" t="n">
        <v>21.8</v>
      </c>
      <c r="R243" s="7" t="n">
        <v>10.4</v>
      </c>
      <c r="T243" s="7" t="n">
        <v>15.8</v>
      </c>
      <c r="V243" s="7" t="n">
        <v>23.1</v>
      </c>
      <c r="X243" s="7" t="n">
        <v>11.6</v>
      </c>
      <c r="Z243" s="7" t="n">
        <v>4.5</v>
      </c>
      <c r="AB243" s="7" t="n">
        <v>208.8</v>
      </c>
    </row>
    <row r="244">
      <c r="A244" s="4" t="inlineStr">
        <is>
          <t>环保费</t>
        </is>
      </c>
      <c r="D244" s="7" t="n">
        <v>26.6</v>
      </c>
      <c r="F244" s="7" t="n">
        <v>17</v>
      </c>
      <c r="H244" s="7" t="n">
        <v>28.9</v>
      </c>
      <c r="J244" s="7" t="n">
        <v>30</v>
      </c>
      <c r="L244" s="7" t="n">
        <v>38.7</v>
      </c>
      <c r="N244" s="7" t="n">
        <v>33.2</v>
      </c>
      <c r="P244" s="7" t="n">
        <v>52</v>
      </c>
      <c r="R244" s="7" t="n">
        <v>12.1</v>
      </c>
      <c r="T244" s="7" t="n">
        <v>27.6</v>
      </c>
      <c r="V244" s="7" t="n">
        <v>25.9</v>
      </c>
      <c r="X244" s="7" t="n">
        <v>20.5</v>
      </c>
      <c r="Z244" s="7" t="n">
        <v>6</v>
      </c>
      <c r="AB244" s="7" t="n">
        <v>318.5</v>
      </c>
    </row>
    <row r="245">
      <c r="A245" s="4" t="inlineStr">
        <is>
          <t>报废损失</t>
        </is>
      </c>
      <c r="D245" s="7" t="n">
        <v>15.2</v>
      </c>
      <c r="F245" s="7" t="n">
        <v>8.5</v>
      </c>
      <c r="H245" s="7" t="n">
        <v>16.5</v>
      </c>
      <c r="J245" s="7" t="n">
        <v>17.5</v>
      </c>
      <c r="L245" s="7" t="n">
        <v>21.9</v>
      </c>
      <c r="N245" s="7" t="n">
        <v>17.8</v>
      </c>
      <c r="P245" s="7" t="n">
        <v>29.2</v>
      </c>
      <c r="R245" s="7" t="n">
        <v>9.699999999999999</v>
      </c>
      <c r="T245" s="7" t="n">
        <v>17.8</v>
      </c>
      <c r="V245" s="7" t="n">
        <v>18.7</v>
      </c>
      <c r="X245" s="7" t="n">
        <v>9.300000000000001</v>
      </c>
      <c r="Z245" s="7" t="n">
        <v>3.2</v>
      </c>
      <c r="AB245" s="7" t="n">
        <v>185.3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9742.700000000001</v>
      </c>
      <c r="D246" s="7" t="n">
        <v>10090</v>
      </c>
      <c r="E246" s="7" t="n">
        <v>10806.5</v>
      </c>
      <c r="F246" s="7" t="n">
        <v>17769.4</v>
      </c>
      <c r="G246" s="7" t="n">
        <v>11153.9</v>
      </c>
      <c r="H246" s="7" t="n">
        <v>2747.2</v>
      </c>
      <c r="I246" s="7" t="n">
        <v>11352.7</v>
      </c>
      <c r="J246" s="7" t="n">
        <v>7312.5</v>
      </c>
      <c r="K246" s="7" t="n">
        <v>9304.6</v>
      </c>
      <c r="L246" s="7" t="n">
        <v>2743.9</v>
      </c>
      <c r="M246" s="7" t="n">
        <v>11390.4</v>
      </c>
      <c r="N246" s="7" t="n">
        <v>10362.2</v>
      </c>
      <c r="O246" s="7" t="n">
        <v>9088.6</v>
      </c>
      <c r="P246" s="7" t="n">
        <v>5805.3</v>
      </c>
      <c r="Q246" s="7" t="n">
        <v>10803.5</v>
      </c>
      <c r="R246" s="7" t="n">
        <v>16276.6</v>
      </c>
      <c r="S246" s="7" t="n">
        <v>11420.8</v>
      </c>
      <c r="T246" s="7" t="n">
        <v>18072.1</v>
      </c>
      <c r="U246" s="7" t="n">
        <v>10503.3</v>
      </c>
      <c r="V246" s="7" t="n">
        <v>2841.2</v>
      </c>
      <c r="W246" s="7" t="n">
        <v>10493.2</v>
      </c>
      <c r="X246" s="7" t="n">
        <v>12806.7</v>
      </c>
      <c r="Y246" s="7" t="n">
        <v>11243.1</v>
      </c>
      <c r="Z246" s="7" t="n">
        <v>13179.5</v>
      </c>
      <c r="AA246" s="8" t="n">
        <v>127303.3</v>
      </c>
      <c r="AB246" s="8" t="n">
        <v>120006.6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1735.4</v>
      </c>
      <c r="E248" s="7" t="n">
        <v>0</v>
      </c>
      <c r="F248" s="7" t="n">
        <v>-2716.7</v>
      </c>
      <c r="G248" s="7" t="n">
        <v>0</v>
      </c>
      <c r="H248" s="7" t="n">
        <v>-1357.9</v>
      </c>
      <c r="I248" s="7" t="n">
        <v>0</v>
      </c>
      <c r="J248" s="7" t="n">
        <v>1288.9</v>
      </c>
      <c r="K248" s="7" t="n">
        <v>0</v>
      </c>
      <c r="L248" s="7" t="n">
        <v>3434.8</v>
      </c>
      <c r="M248" s="7" t="n">
        <v>0</v>
      </c>
      <c r="N248" s="7" t="n">
        <v>607.2</v>
      </c>
      <c r="O248" s="7" t="n">
        <v>0</v>
      </c>
      <c r="P248" s="7" t="n">
        <v>-3466.3</v>
      </c>
      <c r="Q248" s="7" t="n">
        <v>0</v>
      </c>
      <c r="R248" s="7" t="n">
        <v>3243.6</v>
      </c>
      <c r="S248" s="7" t="n">
        <v>0</v>
      </c>
      <c r="T248" s="7" t="n">
        <v>136.7</v>
      </c>
      <c r="U248" s="7" t="n">
        <v>0</v>
      </c>
      <c r="V248" s="7" t="n">
        <v>4743.1</v>
      </c>
      <c r="W248" s="7" t="n">
        <v>0</v>
      </c>
      <c r="X248" s="7" t="n">
        <v>-1572.9</v>
      </c>
      <c r="Y248" s="7" t="n">
        <v>0</v>
      </c>
      <c r="Z248" s="7" t="n">
        <v>4485.8</v>
      </c>
      <c r="AA248" s="7" t="n">
        <v>0</v>
      </c>
      <c r="AB248" s="7" t="n">
        <v>10561.7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16829.8</v>
      </c>
      <c r="D253" s="7" t="n">
        <v>20081.7</v>
      </c>
      <c r="E253" s="7" t="n">
        <v>20878.6</v>
      </c>
      <c r="F253" s="7" t="n">
        <v>7118.5</v>
      </c>
      <c r="G253" s="7" t="n">
        <v>20087.7</v>
      </c>
      <c r="H253" s="7" t="n">
        <v>21883.8</v>
      </c>
      <c r="I253" s="7" t="n">
        <v>21719</v>
      </c>
      <c r="J253" s="7" t="n">
        <v>24293.3</v>
      </c>
      <c r="K253" s="7" t="n">
        <v>20801.3</v>
      </c>
      <c r="L253" s="7" t="n">
        <v>28379.3</v>
      </c>
      <c r="M253" s="7" t="n">
        <v>17188.3</v>
      </c>
      <c r="N253" s="7" t="n">
        <v>21226.3</v>
      </c>
      <c r="O253" s="7" t="n">
        <v>17747.6</v>
      </c>
      <c r="P253" s="7" t="n">
        <v>23997.6</v>
      </c>
      <c r="Q253" s="7" t="n">
        <v>20004.3</v>
      </c>
      <c r="R253" s="7" t="n">
        <v>4244.7</v>
      </c>
      <c r="S253" s="7" t="n">
        <v>18082.4</v>
      </c>
      <c r="T253" s="7" t="n">
        <v>15197.4</v>
      </c>
      <c r="U253" s="7" t="n">
        <v>17147.2</v>
      </c>
      <c r="V253" s="7" t="n">
        <v>22907.6</v>
      </c>
      <c r="W253" s="7" t="n">
        <v>18399.5</v>
      </c>
      <c r="X253" s="7" t="n">
        <v>11710.2</v>
      </c>
      <c r="Y253" s="7" t="n">
        <v>21526.3</v>
      </c>
      <c r="Z253" s="7" t="n">
        <v>28169.2</v>
      </c>
      <c r="AA253" s="7" t="n">
        <v>230412</v>
      </c>
      <c r="AB253" s="7" t="n">
        <v>229209.6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14613.3</v>
      </c>
      <c r="D254" s="7" t="n">
        <v>9167.4</v>
      </c>
      <c r="E254" s="7" t="n">
        <v>13551.6</v>
      </c>
      <c r="F254" s="7" t="n">
        <v>15237.1</v>
      </c>
      <c r="G254" s="7" t="n">
        <v>13529.4</v>
      </c>
      <c r="H254" s="7" t="n">
        <v>9766.700000000001</v>
      </c>
      <c r="I254" s="7" t="n">
        <v>12864.6</v>
      </c>
      <c r="J254" s="7" t="n">
        <v>19324.3</v>
      </c>
      <c r="K254" s="7" t="n">
        <v>13539.9</v>
      </c>
      <c r="L254" s="7" t="n">
        <v>12109.6</v>
      </c>
      <c r="M254" s="7" t="n">
        <v>15414.6</v>
      </c>
      <c r="N254" s="7" t="n">
        <v>16252.7</v>
      </c>
      <c r="O254" s="7" t="n">
        <v>13140.6</v>
      </c>
      <c r="P254" s="7" t="n">
        <v>20259.9</v>
      </c>
      <c r="Q254" s="7" t="n">
        <v>15860.1</v>
      </c>
      <c r="R254" s="7" t="n">
        <v>11363.4</v>
      </c>
      <c r="S254" s="7" t="n">
        <v>12419.8</v>
      </c>
      <c r="T254" s="7" t="n">
        <v>17343</v>
      </c>
      <c r="U254" s="7" t="n">
        <v>12369.9</v>
      </c>
      <c r="V254" s="7" t="n">
        <v>21719.3</v>
      </c>
      <c r="W254" s="7" t="n">
        <v>15218.3</v>
      </c>
      <c r="X254" s="7" t="n">
        <v>10760.4</v>
      </c>
      <c r="Y254" s="7" t="n">
        <v>14204.8</v>
      </c>
      <c r="Z254" s="7" t="n">
        <v>5516.9</v>
      </c>
      <c r="AA254" s="8" t="n">
        <v>166726.9</v>
      </c>
      <c r="AB254" s="8" t="n">
        <v>168820.7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4250</v>
      </c>
      <c r="E255" s="7" t="n">
        <v>0</v>
      </c>
      <c r="F255" s="7" t="n">
        <v>4525.4</v>
      </c>
      <c r="G255" s="7" t="n">
        <v>0</v>
      </c>
      <c r="H255" s="7" t="n">
        <v>1713</v>
      </c>
      <c r="I255" s="7" t="n">
        <v>0</v>
      </c>
      <c r="J255" s="7" t="n">
        <v>1069.1</v>
      </c>
      <c r="K255" s="7" t="n">
        <v>0</v>
      </c>
      <c r="L255" s="7" t="n">
        <v>4606.8</v>
      </c>
      <c r="M255" s="7" t="n">
        <v>0</v>
      </c>
      <c r="N255" s="7" t="n">
        <v>937.9</v>
      </c>
      <c r="O255" s="7" t="n">
        <v>0</v>
      </c>
      <c r="P255" s="7" t="n">
        <v>4831.9</v>
      </c>
      <c r="Q255" s="7" t="n">
        <v>0</v>
      </c>
      <c r="R255" s="7" t="n">
        <v>3435.7</v>
      </c>
      <c r="S255" s="7" t="n">
        <v>0</v>
      </c>
      <c r="T255" s="7" t="n">
        <v>721.9</v>
      </c>
      <c r="U255" s="7" t="n">
        <v>0</v>
      </c>
      <c r="V255" s="7" t="n">
        <v>1030.4</v>
      </c>
      <c r="W255" s="7" t="n">
        <v>0</v>
      </c>
      <c r="X255" s="7" t="n">
        <v>4127.6</v>
      </c>
      <c r="Y255" s="7" t="n">
        <v>0</v>
      </c>
      <c r="Z255" s="7" t="n">
        <v>3217.3</v>
      </c>
      <c r="AA255" s="7" t="n">
        <v>0</v>
      </c>
      <c r="AB255" s="7" t="n">
        <v>34467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300.8</v>
      </c>
      <c r="E256" s="7" t="n">
        <v>0</v>
      </c>
      <c r="F256" s="7" t="n">
        <v>1779.3</v>
      </c>
      <c r="G256" s="7" t="n">
        <v>0</v>
      </c>
      <c r="H256" s="7" t="n">
        <v>1333.7</v>
      </c>
      <c r="I256" s="7" t="n">
        <v>0</v>
      </c>
      <c r="J256" s="7" t="n">
        <v>2853.7</v>
      </c>
      <c r="K256" s="7" t="n">
        <v>0</v>
      </c>
      <c r="L256" s="7" t="n">
        <v>1286.5</v>
      </c>
      <c r="M256" s="7" t="n">
        <v>0</v>
      </c>
      <c r="N256" s="7" t="n">
        <v>902.7</v>
      </c>
      <c r="O256" s="7" t="n">
        <v>0</v>
      </c>
      <c r="P256" s="7" t="n">
        <v>299.2</v>
      </c>
      <c r="Q256" s="7" t="n">
        <v>0</v>
      </c>
      <c r="R256" s="7" t="n">
        <v>2335.8</v>
      </c>
      <c r="S256" s="7" t="n">
        <v>0</v>
      </c>
      <c r="T256" s="7" t="n">
        <v>838.4</v>
      </c>
      <c r="U256" s="7" t="n">
        <v>0</v>
      </c>
      <c r="V256" s="7" t="n">
        <v>1490</v>
      </c>
      <c r="W256" s="7" t="n">
        <v>0</v>
      </c>
      <c r="X256" s="7" t="n">
        <v>240.8</v>
      </c>
      <c r="Y256" s="7" t="n">
        <v>0</v>
      </c>
      <c r="Z256" s="7" t="n">
        <v>1146</v>
      </c>
      <c r="AA256" s="7" t="n">
        <v>0</v>
      </c>
      <c r="AB256" s="7" t="n">
        <v>14806.9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12833.9</v>
      </c>
      <c r="D257" s="7" t="n">
        <v>8497.4</v>
      </c>
      <c r="E257" s="7" t="n">
        <v>12063</v>
      </c>
      <c r="F257" s="7" t="n">
        <v>13798.4</v>
      </c>
      <c r="G257" s="7" t="n">
        <v>13307.8</v>
      </c>
      <c r="H257" s="7" t="n">
        <v>8935.6</v>
      </c>
      <c r="I257" s="7" t="n">
        <v>14782.5</v>
      </c>
      <c r="J257" s="7" t="n">
        <v>19949.9</v>
      </c>
      <c r="K257" s="7" t="n">
        <v>12856.7</v>
      </c>
      <c r="L257" s="7" t="n">
        <v>11489.2</v>
      </c>
      <c r="M257" s="7" t="n">
        <v>12443.2</v>
      </c>
      <c r="N257" s="7" t="n">
        <v>15417.1</v>
      </c>
      <c r="O257" s="7" t="n">
        <v>14899.9</v>
      </c>
      <c r="P257" s="7" t="n">
        <v>19315.6</v>
      </c>
      <c r="Q257" s="7" t="n">
        <v>11468</v>
      </c>
      <c r="R257" s="7" t="n">
        <v>10362.7</v>
      </c>
      <c r="S257" s="7" t="n">
        <v>13566.1</v>
      </c>
      <c r="T257" s="7" t="n">
        <v>15946.7</v>
      </c>
      <c r="U257" s="7" t="n">
        <v>15232.3</v>
      </c>
      <c r="V257" s="7" t="n">
        <v>20349.2</v>
      </c>
      <c r="W257" s="7" t="n">
        <v>13918.1</v>
      </c>
      <c r="X257" s="7" t="n">
        <v>10048</v>
      </c>
      <c r="Y257" s="7" t="n">
        <v>13208.3</v>
      </c>
      <c r="Z257" s="7" t="n">
        <v>5193.7</v>
      </c>
      <c r="AA257" s="8" t="n">
        <v>160579.8</v>
      </c>
      <c r="AB257" s="8" t="n">
        <v>159303.5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2928.9</v>
      </c>
      <c r="D258" s="7" t="n">
        <v>2124.3</v>
      </c>
      <c r="E258" s="7" t="n">
        <v>3362.1</v>
      </c>
      <c r="F258" s="7" t="n">
        <v>3449.6</v>
      </c>
      <c r="G258" s="7" t="n">
        <v>3593.1</v>
      </c>
      <c r="H258" s="7" t="n">
        <v>2233.9</v>
      </c>
      <c r="I258" s="7" t="n">
        <v>3196.6</v>
      </c>
      <c r="J258" s="7" t="n">
        <v>4987.5</v>
      </c>
      <c r="K258" s="7" t="n">
        <v>3558.2</v>
      </c>
      <c r="L258" s="7" t="n">
        <v>2872.3</v>
      </c>
      <c r="M258" s="7" t="n">
        <v>3192.6</v>
      </c>
      <c r="N258" s="7" t="n">
        <v>3854.3</v>
      </c>
      <c r="O258" s="7" t="n">
        <v>3302.1</v>
      </c>
      <c r="P258" s="7" t="n">
        <v>4828.9</v>
      </c>
      <c r="Q258" s="7" t="n">
        <v>3472.4</v>
      </c>
      <c r="R258" s="7" t="n">
        <v>2590.7</v>
      </c>
      <c r="S258" s="7" t="n">
        <v>3507</v>
      </c>
      <c r="T258" s="7" t="n">
        <v>3986.7</v>
      </c>
      <c r="U258" s="7" t="n">
        <v>2886.4</v>
      </c>
      <c r="V258" s="7" t="n">
        <v>5087.3</v>
      </c>
      <c r="W258" s="7" t="n">
        <v>3235.2</v>
      </c>
      <c r="X258" s="7" t="n">
        <v>2512</v>
      </c>
      <c r="Y258" s="7" t="n">
        <v>3775.3</v>
      </c>
      <c r="Z258" s="7" t="n">
        <v>1298.4</v>
      </c>
      <c r="AA258" s="7" t="n">
        <v>40009.9</v>
      </c>
      <c r="AB258" s="7" t="n">
        <v>39825.9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16363.3</v>
      </c>
      <c r="D259" s="7" t="n">
        <v>6373.1</v>
      </c>
      <c r="E259" s="7" t="n">
        <v>14601.6</v>
      </c>
      <c r="F259" s="7" t="n">
        <v>10348.8</v>
      </c>
      <c r="G259" s="7" t="n">
        <v>10538</v>
      </c>
      <c r="H259" s="7" t="n">
        <v>6701.7</v>
      </c>
      <c r="I259" s="7" t="n">
        <v>10265.7</v>
      </c>
      <c r="J259" s="7" t="n">
        <v>14962.4</v>
      </c>
      <c r="K259" s="7" t="n">
        <v>11148</v>
      </c>
      <c r="L259" s="7" t="n">
        <v>8616.9</v>
      </c>
      <c r="M259" s="7" t="n">
        <v>15024.6</v>
      </c>
      <c r="N259" s="7" t="n">
        <v>11562.8</v>
      </c>
      <c r="O259" s="7" t="n">
        <v>15497.2</v>
      </c>
      <c r="P259" s="7" t="n">
        <v>14486.7</v>
      </c>
      <c r="Q259" s="7" t="n">
        <v>12113.7</v>
      </c>
      <c r="R259" s="7" t="n">
        <v>7772</v>
      </c>
      <c r="S259" s="7" t="n">
        <v>15395.9</v>
      </c>
      <c r="T259" s="7" t="n">
        <v>11960</v>
      </c>
      <c r="U259" s="7" t="n">
        <v>13911.7</v>
      </c>
      <c r="V259" s="7" t="n">
        <v>15261.9</v>
      </c>
      <c r="W259" s="7" t="n">
        <v>13544.5</v>
      </c>
      <c r="X259" s="7" t="n">
        <v>7536</v>
      </c>
      <c r="Y259" s="7" t="n">
        <v>12122.6</v>
      </c>
      <c r="Z259" s="7" t="n">
        <v>3895.3</v>
      </c>
      <c r="AA259" s="8" t="n">
        <v>160526.8</v>
      </c>
      <c r="AB259" s="8" t="n">
        <v>119477.6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954</v>
      </c>
      <c r="E260" s="7" t="n">
        <v>0</v>
      </c>
      <c r="F260" s="7" t="n">
        <v>129.8</v>
      </c>
      <c r="G260" s="7" t="n">
        <v>0</v>
      </c>
      <c r="H260" s="7" t="n">
        <v>1096.9</v>
      </c>
      <c r="I260" s="7" t="n">
        <v>0</v>
      </c>
      <c r="J260" s="7" t="n">
        <v>3795.5</v>
      </c>
      <c r="K260" s="7" t="n">
        <v>0</v>
      </c>
      <c r="L260" s="7" t="n">
        <v>1020.5</v>
      </c>
      <c r="M260" s="7" t="n">
        <v>0</v>
      </c>
      <c r="N260" s="7" t="n">
        <v>171.1</v>
      </c>
      <c r="O260" s="7" t="n">
        <v>0</v>
      </c>
      <c r="P260" s="7" t="n">
        <v>1303</v>
      </c>
      <c r="Q260" s="7" t="n">
        <v>0</v>
      </c>
      <c r="R260" s="7" t="n">
        <v>1168.1</v>
      </c>
      <c r="S260" s="7" t="n">
        <v>0</v>
      </c>
      <c r="T260" s="7" t="n">
        <v>2920.4</v>
      </c>
      <c r="U260" s="7" t="n">
        <v>0</v>
      </c>
      <c r="V260" s="7" t="n">
        <v>1018.1</v>
      </c>
      <c r="W260" s="7" t="n">
        <v>0</v>
      </c>
      <c r="X260" s="7" t="n">
        <v>511.4</v>
      </c>
      <c r="Y260" s="7" t="n">
        <v>0</v>
      </c>
      <c r="Z260" s="7" t="n">
        <v>966.6</v>
      </c>
      <c r="AA260" s="7" t="n">
        <v>0</v>
      </c>
      <c r="AB260" s="7" t="n">
        <v>15055.4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16363.3</v>
      </c>
      <c r="D261" s="7" t="n">
        <v>5419.1</v>
      </c>
      <c r="E261" s="7" t="n">
        <v>14601.6</v>
      </c>
      <c r="F261" s="7" t="n">
        <v>10219</v>
      </c>
      <c r="G261" s="7" t="n">
        <v>10538</v>
      </c>
      <c r="H261" s="7" t="n">
        <v>5604.8</v>
      </c>
      <c r="I261" s="7" t="n">
        <v>10265.7</v>
      </c>
      <c r="J261" s="7" t="n">
        <v>11166.9</v>
      </c>
      <c r="K261" s="7" t="n">
        <v>11148</v>
      </c>
      <c r="L261" s="7" t="n">
        <v>7596.4</v>
      </c>
      <c r="M261" s="7" t="n">
        <v>15024.6</v>
      </c>
      <c r="N261" s="7" t="n">
        <v>11391.7</v>
      </c>
      <c r="O261" s="7" t="n">
        <v>15497.2</v>
      </c>
      <c r="P261" s="7" t="n">
        <v>13183.7</v>
      </c>
      <c r="Q261" s="7" t="n">
        <v>12113.7</v>
      </c>
      <c r="R261" s="7" t="n">
        <v>6603.9</v>
      </c>
      <c r="S261" s="7" t="n">
        <v>15395.9</v>
      </c>
      <c r="T261" s="7" t="n">
        <v>9039.6</v>
      </c>
      <c r="U261" s="7" t="n">
        <v>13911.7</v>
      </c>
      <c r="V261" s="7" t="n">
        <v>14243.8</v>
      </c>
      <c r="W261" s="7" t="n">
        <v>13544.5</v>
      </c>
      <c r="X261" s="7" t="n">
        <v>7024.6</v>
      </c>
      <c r="Y261" s="7" t="n">
        <v>12122.6</v>
      </c>
      <c r="Z261" s="7" t="n">
        <v>2928.7</v>
      </c>
      <c r="AA261" s="8" t="n">
        <v>160526.8</v>
      </c>
      <c r="AB261" s="8" t="n">
        <v>104422.2</v>
      </c>
    </row>
    <row r="262">
      <c r="A262" s="4" t="inlineStr">
        <is>
          <t>净利率</t>
        </is>
      </c>
      <c r="D262" s="13" t="n">
        <v>4.3</v>
      </c>
      <c r="F262" s="13" t="n">
        <v>5.3</v>
      </c>
      <c r="H262" s="13" t="n">
        <v>3.9</v>
      </c>
      <c r="J262" s="13" t="n">
        <v>6.4</v>
      </c>
      <c r="L262" s="13" t="n">
        <v>3.1</v>
      </c>
      <c r="N262" s="13" t="n">
        <v>3.8</v>
      </c>
      <c r="P262" s="13" t="n">
        <v>5</v>
      </c>
      <c r="R262" s="13" t="n">
        <v>3.5</v>
      </c>
      <c r="T262" s="13" t="n">
        <v>5.4</v>
      </c>
      <c r="V262" s="13" t="n">
        <v>5.5</v>
      </c>
      <c r="X262" s="13" t="n">
        <v>4</v>
      </c>
      <c r="Z262" s="13" t="n">
        <v>3.4</v>
      </c>
    </row>
    <row r="263">
      <c r="A263" s="4" t="inlineStr">
        <is>
          <t>销售达成率</t>
        </is>
      </c>
      <c r="D263" s="13" t="n">
        <v>60.8</v>
      </c>
      <c r="F263" s="13" t="n">
        <v>84</v>
      </c>
      <c r="H263" s="13" t="n">
        <v>73.5</v>
      </c>
      <c r="J263" s="13" t="n">
        <v>121.5</v>
      </c>
      <c r="L263" s="13" t="n">
        <v>110.2</v>
      </c>
      <c r="N263" s="13" t="n">
        <v>122.7</v>
      </c>
      <c r="P263" s="13" t="n">
        <v>138.6</v>
      </c>
      <c r="R263" s="13" t="n">
        <v>108.9</v>
      </c>
      <c r="T263" s="13" t="n">
        <v>94.3</v>
      </c>
      <c r="V263" s="13" t="n">
        <v>131.6</v>
      </c>
      <c r="X263" s="13" t="n">
        <v>88.90000000000001</v>
      </c>
      <c r="Z263" s="13" t="n">
        <v>60.7</v>
      </c>
    </row>
    <row r="264">
      <c r="A264" s="4" t="inlineStr">
        <is>
          <t>净利达成率</t>
        </is>
      </c>
      <c r="D264" s="13" t="n">
        <v>38.9</v>
      </c>
      <c r="F264" s="13" t="n">
        <v>70.90000000000001</v>
      </c>
      <c r="H264" s="13" t="n">
        <v>63.6</v>
      </c>
      <c r="J264" s="13" t="n">
        <v>145.8</v>
      </c>
      <c r="L264" s="13" t="n">
        <v>77.3</v>
      </c>
      <c r="N264" s="13" t="n">
        <v>77</v>
      </c>
      <c r="P264" s="13" t="n">
        <v>93.5</v>
      </c>
      <c r="R264" s="13" t="n">
        <v>64.2</v>
      </c>
      <c r="T264" s="13" t="n">
        <v>77.7</v>
      </c>
      <c r="V264" s="13" t="n">
        <v>109.7</v>
      </c>
      <c r="X264" s="13" t="n">
        <v>55.6</v>
      </c>
      <c r="Z264" s="13" t="n">
        <v>32.1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4" customWidth="1" min="4" max="4"/>
    <col width="12" customWidth="1" min="5" max="5"/>
    <col width="10" customWidth="1" min="6" max="6"/>
  </cols>
  <sheetData>
    <row r="1">
      <c r="A1" s="2" t="inlineStr">
        <is>
          <t>日期</t>
        </is>
      </c>
      <c r="B1" s="2" t="inlineStr">
        <is>
          <t>月份</t>
        </is>
      </c>
      <c r="C1" s="2" t="inlineStr">
        <is>
          <t>摘要</t>
        </is>
      </c>
      <c r="D1" s="2" t="inlineStr">
        <is>
          <t>贷方金额</t>
        </is>
      </c>
      <c r="E1" s="2" t="inlineStr">
        <is>
          <t>区域</t>
        </is>
      </c>
      <c r="F1" s="2" t="inlineStr">
        <is>
          <t>业务员</t>
        </is>
      </c>
    </row>
    <row r="2">
      <c r="A2" s="14" t="n">
        <v>45307</v>
      </c>
      <c r="B2" s="4" t="inlineStr">
        <is>
          <t>2024-01</t>
        </is>
      </c>
      <c r="C2" s="4" t="inlineStr">
        <is>
          <t>冲减计提吴中食品有限公司经销商返点实现10341</t>
        </is>
      </c>
      <c r="D2" s="15" t="n">
        <v>10341.67</v>
      </c>
      <c r="E2" s="4" t="inlineStr">
        <is>
          <t>线上渠道</t>
        </is>
      </c>
      <c r="F2" s="4" t="inlineStr">
        <is>
          <t>何明秀</t>
        </is>
      </c>
    </row>
    <row r="3">
      <c r="A3" s="14" t="n">
        <v>45327</v>
      </c>
      <c r="B3" s="4" t="inlineStr">
        <is>
          <t>2024-02</t>
        </is>
      </c>
      <c r="C3" s="4" t="inlineStr">
        <is>
          <t>姑苏供应链管理有限公司经销商返点实现14296</t>
        </is>
      </c>
      <c r="D3" s="15" t="n">
        <v>-14296.93</v>
      </c>
      <c r="E3" s="4" t="inlineStr">
        <is>
          <t>江苏加盟</t>
        </is>
      </c>
      <c r="F3" s="4" t="inlineStr">
        <is>
          <t>杨娜英</t>
        </is>
      </c>
    </row>
    <row r="4">
      <c r="A4" s="14" t="n">
        <v>45335</v>
      </c>
      <c r="B4" s="4" t="inlineStr">
        <is>
          <t>2024-02</t>
        </is>
      </c>
      <c r="C4" s="4" t="inlineStr">
        <is>
          <t>钟楼商贸有限公司经销商返点实现11877</t>
        </is>
      </c>
      <c r="D4" s="15" t="n">
        <v>-11877.1</v>
      </c>
      <c r="E4" s="4" t="inlineStr">
        <is>
          <t>上海直营</t>
        </is>
      </c>
      <c r="F4" s="4" t="inlineStr">
        <is>
          <t>徐丽英</t>
        </is>
      </c>
    </row>
    <row r="5">
      <c r="A5" s="14" t="n">
        <v>45336</v>
      </c>
      <c r="B5" s="4" t="inlineStr">
        <is>
          <t>2024-02</t>
        </is>
      </c>
      <c r="C5" s="4" t="inlineStr">
        <is>
          <t>冲减计提海宁食品有限公司经销商返点实现596</t>
        </is>
      </c>
      <c r="D5" s="15" t="n">
        <v>596.12</v>
      </c>
      <c r="E5" s="4" t="inlineStr">
        <is>
          <t>上海直营</t>
        </is>
      </c>
      <c r="F5" s="4" t="inlineStr">
        <is>
          <t>黄静芳</t>
        </is>
      </c>
    </row>
    <row r="6">
      <c r="A6" s="14" t="n">
        <v>45344</v>
      </c>
      <c r="B6" s="4" t="inlineStr">
        <is>
          <t>2024-02</t>
        </is>
      </c>
      <c r="C6" s="4" t="inlineStr">
        <is>
          <t>钟楼供应链管理有限公司经销商返点实现8531</t>
        </is>
      </c>
      <c r="D6" s="15" t="n">
        <v>-8531.530000000001</v>
      </c>
      <c r="E6" s="4" t="inlineStr">
        <is>
          <t>上海直营</t>
        </is>
      </c>
      <c r="F6" s="4" t="inlineStr">
        <is>
          <t>王娟芳</t>
        </is>
      </c>
    </row>
    <row r="7">
      <c r="A7" s="14" t="n">
        <v>45364</v>
      </c>
      <c r="B7" s="4" t="inlineStr">
        <is>
          <t>2024-03</t>
        </is>
      </c>
      <c r="C7" s="4" t="inlineStr">
        <is>
          <t>吴中食品有限公司经销商返点实现4828</t>
        </is>
      </c>
      <c r="D7" s="15" t="n">
        <v>-4828.4</v>
      </c>
      <c r="E7" s="4" t="inlineStr">
        <is>
          <t>浙江加盟</t>
        </is>
      </c>
      <c r="F7" s="4" t="inlineStr">
        <is>
          <t>徐艳娜</t>
        </is>
      </c>
    </row>
    <row r="8">
      <c r="A8" s="14" t="n">
        <v>45364</v>
      </c>
      <c r="B8" s="4" t="inlineStr">
        <is>
          <t>2024-03</t>
        </is>
      </c>
      <c r="C8" s="4" t="inlineStr">
        <is>
          <t>海宁供应链管理有限公司经销商返点实现1945</t>
        </is>
      </c>
      <c r="D8" s="15" t="n">
        <v>-1945.98</v>
      </c>
      <c r="E8" s="4" t="inlineStr">
        <is>
          <t>线上渠道</t>
        </is>
      </c>
      <c r="F8" s="4" t="inlineStr">
        <is>
          <t>李强英</t>
        </is>
      </c>
    </row>
    <row r="9">
      <c r="A9" s="14" t="n">
        <v>45368</v>
      </c>
      <c r="B9" s="4" t="inlineStr">
        <is>
          <t>2024-03</t>
        </is>
      </c>
      <c r="C9" s="4" t="inlineStr">
        <is>
          <t>余杭实业有限公司经销商返点实现14574</t>
        </is>
      </c>
      <c r="D9" s="15" t="n">
        <v>-14574.03</v>
      </c>
      <c r="E9" s="4" t="inlineStr">
        <is>
          <t>上海直营</t>
        </is>
      </c>
      <c r="F9" s="4" t="inlineStr">
        <is>
          <t>徐丽秀</t>
        </is>
      </c>
    </row>
    <row r="10">
      <c r="A10" s="14" t="n">
        <v>45373</v>
      </c>
      <c r="B10" s="4" t="inlineStr">
        <is>
          <t>2024-03</t>
        </is>
      </c>
      <c r="C10" s="4" t="inlineStr">
        <is>
          <t>武进供应链管理有限公司经销商返点实现3861</t>
        </is>
      </c>
      <c r="D10" s="15" t="n">
        <v>-3861.51</v>
      </c>
      <c r="E10" s="4" t="inlineStr">
        <is>
          <t>上海直营</t>
        </is>
      </c>
      <c r="F10" s="4" t="inlineStr">
        <is>
          <t>朱超芳</t>
        </is>
      </c>
    </row>
    <row r="11">
      <c r="A11" s="14" t="n">
        <v>45373</v>
      </c>
      <c r="B11" s="4" t="inlineStr">
        <is>
          <t>2024-03</t>
        </is>
      </c>
      <c r="C11" s="4" t="inlineStr">
        <is>
          <t>冲减计提姑苏供应链管理有限公司经销商返点实现14233</t>
        </is>
      </c>
      <c r="D11" s="15" t="n">
        <v>14233.17</v>
      </c>
      <c r="E11" s="4" t="inlineStr">
        <is>
          <t>江苏加盟</t>
        </is>
      </c>
      <c r="F11" s="4" t="inlineStr">
        <is>
          <t>张娜秀</t>
        </is>
      </c>
    </row>
    <row r="12">
      <c r="A12" s="14" t="n">
        <v>45378</v>
      </c>
      <c r="B12" s="4" t="inlineStr">
        <is>
          <t>2024-03</t>
        </is>
      </c>
      <c r="C12" s="4" t="inlineStr">
        <is>
          <t>海宁实业有限公司经销商返点实现4739</t>
        </is>
      </c>
      <c r="D12" s="15" t="n">
        <v>-4739.14</v>
      </c>
      <c r="E12" s="4" t="inlineStr">
        <is>
          <t>上海直营</t>
        </is>
      </c>
      <c r="F12" s="4" t="inlineStr">
        <is>
          <t>黄艳伟</t>
        </is>
      </c>
    </row>
    <row r="13">
      <c r="A13" s="14" t="n">
        <v>45384</v>
      </c>
      <c r="B13" s="4" t="inlineStr">
        <is>
          <t>2024-04</t>
        </is>
      </c>
      <c r="C13" s="4" t="inlineStr">
        <is>
          <t>姑苏市优鲜食品商行经销商返点实现5996</t>
        </is>
      </c>
      <c r="D13" s="15" t="n">
        <v>-5996.74</v>
      </c>
      <c r="E13" s="4" t="inlineStr">
        <is>
          <t>江苏加盟</t>
        </is>
      </c>
      <c r="F13" s="4" t="inlineStr">
        <is>
          <t>杨兰英</t>
        </is>
      </c>
    </row>
    <row r="14">
      <c r="A14" s="14" t="n">
        <v>45385</v>
      </c>
      <c r="B14" s="4" t="inlineStr">
        <is>
          <t>2024-04</t>
        </is>
      </c>
      <c r="C14" s="4" t="inlineStr">
        <is>
          <t>冲减计提吴中市京功食品商行经销商返点实现2538</t>
        </is>
      </c>
      <c r="D14" s="15" t="n">
        <v>2538.64</v>
      </c>
      <c r="E14" s="4" t="inlineStr">
        <is>
          <t>江苏加盟</t>
        </is>
      </c>
      <c r="F14" s="4" t="inlineStr">
        <is>
          <t>马英娜</t>
        </is>
      </c>
    </row>
    <row r="15">
      <c r="A15" s="14" t="n">
        <v>45389</v>
      </c>
      <c r="B15" s="4" t="inlineStr">
        <is>
          <t>2024-04</t>
        </is>
      </c>
      <c r="C15" s="4" t="inlineStr">
        <is>
          <t>武进实业有限公司经销商返点实现10487</t>
        </is>
      </c>
      <c r="D15" s="15" t="n">
        <v>-10487.52</v>
      </c>
      <c r="E15" s="4" t="inlineStr">
        <is>
          <t>上海直营</t>
        </is>
      </c>
      <c r="F15" s="4" t="inlineStr">
        <is>
          <t>高勇英</t>
        </is>
      </c>
    </row>
    <row r="16">
      <c r="A16" s="14" t="n">
        <v>45393</v>
      </c>
      <c r="B16" s="4" t="inlineStr">
        <is>
          <t>2024-04</t>
        </is>
      </c>
      <c r="C16" s="4" t="inlineStr">
        <is>
          <t>海宁市优鲜食品商行经销商返点实现1809</t>
        </is>
      </c>
      <c r="D16" s="15" t="n">
        <v>-1809.99</v>
      </c>
      <c r="E16" s="4" t="inlineStr">
        <is>
          <t>线上渠道</t>
        </is>
      </c>
      <c r="F16" s="4" t="inlineStr">
        <is>
          <t>何艳娜</t>
        </is>
      </c>
    </row>
    <row r="17">
      <c r="A17" s="14" t="n">
        <v>45398</v>
      </c>
      <c r="B17" s="4" t="inlineStr">
        <is>
          <t>2024-04</t>
        </is>
      </c>
      <c r="C17" s="4" t="inlineStr">
        <is>
          <t>海宁供应链管理有限公司经销商返点实现5376</t>
        </is>
      </c>
      <c r="D17" s="15" t="n">
        <v>-5376.81</v>
      </c>
      <c r="E17" s="4" t="inlineStr">
        <is>
          <t>上海直营</t>
        </is>
      </c>
      <c r="F17" s="4" t="inlineStr">
        <is>
          <t>王艳娜</t>
        </is>
      </c>
    </row>
    <row r="18">
      <c r="A18" s="14" t="n">
        <v>45415</v>
      </c>
      <c r="B18" s="4" t="inlineStr">
        <is>
          <t>2024-05</t>
        </is>
      </c>
      <c r="C18" s="4" t="inlineStr">
        <is>
          <t>钟楼供应链管理有限公司经销商返点实现4173</t>
        </is>
      </c>
      <c r="D18" s="15" t="n">
        <v>-4173.87</v>
      </c>
      <c r="E18" s="4" t="inlineStr">
        <is>
          <t>江苏加盟</t>
        </is>
      </c>
      <c r="F18" s="4" t="inlineStr">
        <is>
          <t>周艳伟</t>
        </is>
      </c>
    </row>
    <row r="19">
      <c r="A19" s="14" t="n">
        <v>45429</v>
      </c>
      <c r="B19" s="4" t="inlineStr">
        <is>
          <t>2024-05</t>
        </is>
      </c>
      <c r="C19" s="4" t="inlineStr">
        <is>
          <t>冲减计提余杭区优鲜冷冻食品批发部经销商返点实现6383</t>
        </is>
      </c>
      <c r="D19" s="15" t="n">
        <v>6383.97</v>
      </c>
      <c r="E19" s="4" t="inlineStr">
        <is>
          <t>线上渠道</t>
        </is>
      </c>
      <c r="F19" s="4" t="inlineStr">
        <is>
          <t>罗英伟</t>
        </is>
      </c>
    </row>
    <row r="20">
      <c r="A20" s="14" t="n">
        <v>45431</v>
      </c>
      <c r="B20" s="4" t="inlineStr">
        <is>
          <t>2024-05</t>
        </is>
      </c>
      <c r="C20" s="4" t="inlineStr">
        <is>
          <t>吴中区淼沃冷冻食品批发部经销商返点实现8872</t>
        </is>
      </c>
      <c r="D20" s="15" t="n">
        <v>-8872.84</v>
      </c>
      <c r="E20" s="4" t="inlineStr">
        <is>
          <t>浙江加盟</t>
        </is>
      </c>
      <c r="F20" s="4" t="inlineStr">
        <is>
          <t>朱敏英</t>
        </is>
      </c>
    </row>
    <row r="21">
      <c r="A21" s="14" t="n">
        <v>45446</v>
      </c>
      <c r="B21" s="4" t="inlineStr">
        <is>
          <t>2024-06</t>
        </is>
      </c>
      <c r="C21" s="4" t="inlineStr">
        <is>
          <t>姑苏供应链管理有限公司经销商返点实现1649</t>
        </is>
      </c>
      <c r="D21" s="15" t="n">
        <v>-1649.68</v>
      </c>
      <c r="E21" s="4" t="inlineStr">
        <is>
          <t>上海直营</t>
        </is>
      </c>
      <c r="F21" s="4" t="inlineStr">
        <is>
          <t>刘明秀</t>
        </is>
      </c>
    </row>
    <row r="22">
      <c r="A22" s="14" t="n">
        <v>45451</v>
      </c>
      <c r="B22" s="4" t="inlineStr">
        <is>
          <t>2024-06</t>
        </is>
      </c>
      <c r="C22" s="4" t="inlineStr">
        <is>
          <t>姑苏区大匠冷冻食品批发部经销商返点实现5750</t>
        </is>
      </c>
      <c r="D22" s="15" t="n">
        <v>-5750.59</v>
      </c>
      <c r="E22" s="4" t="inlineStr">
        <is>
          <t>上海直营</t>
        </is>
      </c>
      <c r="F22" s="4" t="inlineStr">
        <is>
          <t>赵秀英</t>
        </is>
      </c>
    </row>
    <row r="23">
      <c r="A23" s="14" t="n">
        <v>45452</v>
      </c>
      <c r="B23" s="4" t="inlineStr">
        <is>
          <t>2024-06</t>
        </is>
      </c>
      <c r="C23" s="4" t="inlineStr">
        <is>
          <t>钟楼区大匠冷冻食品批发部经销商返点实现11148</t>
        </is>
      </c>
      <c r="D23" s="15" t="n">
        <v>-11148.87</v>
      </c>
      <c r="E23" s="4" t="inlineStr">
        <is>
          <t>线上渠道</t>
        </is>
      </c>
      <c r="F23" s="4" t="inlineStr">
        <is>
          <t>高静娜</t>
        </is>
      </c>
    </row>
    <row r="24">
      <c r="A24" s="14" t="n">
        <v>45456</v>
      </c>
      <c r="B24" s="4" t="inlineStr">
        <is>
          <t>2024-06</t>
        </is>
      </c>
      <c r="C24" s="4" t="inlineStr">
        <is>
          <t>钟楼实业有限公司经销商返点实现9118</t>
        </is>
      </c>
      <c r="D24" s="15" t="n">
        <v>-9118.1</v>
      </c>
      <c r="E24" s="4" t="inlineStr">
        <is>
          <t>上海直营</t>
        </is>
      </c>
      <c r="F24" s="4" t="inlineStr">
        <is>
          <t>徐磊芳</t>
        </is>
      </c>
    </row>
    <row r="25">
      <c r="A25" s="14" t="n">
        <v>45470</v>
      </c>
      <c r="B25" s="4" t="inlineStr">
        <is>
          <t>2024-06</t>
        </is>
      </c>
      <c r="C25" s="4" t="inlineStr">
        <is>
          <t>钟楼区京功冷冻食品批发部经销商返点实现7519</t>
        </is>
      </c>
      <c r="D25" s="15" t="n">
        <v>-7519.69</v>
      </c>
      <c r="E25" s="4" t="inlineStr">
        <is>
          <t>浙江加盟</t>
        </is>
      </c>
      <c r="F25" s="4" t="inlineStr">
        <is>
          <t>林杰伟</t>
        </is>
      </c>
    </row>
    <row r="26">
      <c r="A26" s="14" t="n">
        <v>45478</v>
      </c>
      <c r="B26" s="4" t="inlineStr">
        <is>
          <t>2024-07</t>
        </is>
      </c>
      <c r="C26" s="4" t="inlineStr">
        <is>
          <t>武进食品有限公司经销商返点实现12214</t>
        </is>
      </c>
      <c r="D26" s="15" t="n">
        <v>-12214.51</v>
      </c>
      <c r="E26" s="4" t="inlineStr">
        <is>
          <t>线上渠道</t>
        </is>
      </c>
      <c r="F26" s="4" t="inlineStr">
        <is>
          <t>黄涛秀</t>
        </is>
      </c>
    </row>
    <row r="27">
      <c r="A27" s="14" t="n">
        <v>45488</v>
      </c>
      <c r="B27" s="4" t="inlineStr">
        <is>
          <t>2024-07</t>
        </is>
      </c>
      <c r="C27" s="4" t="inlineStr">
        <is>
          <t>姑苏实业有限公司经销商返点实现4997</t>
        </is>
      </c>
      <c r="D27" s="15" t="n">
        <v>-4997.38</v>
      </c>
      <c r="E27" s="4" t="inlineStr">
        <is>
          <t>线上渠道</t>
        </is>
      </c>
      <c r="F27" s="4" t="inlineStr">
        <is>
          <t>朱芳伟</t>
        </is>
      </c>
    </row>
    <row r="28">
      <c r="A28" s="14" t="n">
        <v>45491</v>
      </c>
      <c r="B28" s="4" t="inlineStr">
        <is>
          <t>2024-07</t>
        </is>
      </c>
      <c r="C28" s="4" t="inlineStr">
        <is>
          <t>吴中区优鲜冷冻食品批发部经销商返点实现3039</t>
        </is>
      </c>
      <c r="D28" s="15" t="n">
        <v>-3039.7</v>
      </c>
      <c r="E28" s="4" t="inlineStr">
        <is>
          <t>江苏加盟</t>
        </is>
      </c>
      <c r="F28" s="4" t="inlineStr">
        <is>
          <t>高艳秀</t>
        </is>
      </c>
    </row>
    <row r="29">
      <c r="A29" s="14" t="n">
        <v>45497</v>
      </c>
      <c r="B29" s="4" t="inlineStr">
        <is>
          <t>2024-07</t>
        </is>
      </c>
      <c r="C29" s="4" t="inlineStr">
        <is>
          <t>钟楼供应链管理有限公司经销商返点实现4881</t>
        </is>
      </c>
      <c r="D29" s="15" t="n">
        <v>-4881.82</v>
      </c>
      <c r="E29" s="4" t="inlineStr">
        <is>
          <t>线上渠道</t>
        </is>
      </c>
      <c r="F29" s="4" t="inlineStr">
        <is>
          <t>徐涛娜</t>
        </is>
      </c>
    </row>
    <row r="30">
      <c r="A30" s="14" t="n">
        <v>45515</v>
      </c>
      <c r="B30" s="4" t="inlineStr">
        <is>
          <t>2024-08</t>
        </is>
      </c>
      <c r="C30" s="4" t="inlineStr">
        <is>
          <t>衢州实业有限公司经销商返点实现8781</t>
        </is>
      </c>
      <c r="D30" s="15" t="n">
        <v>-8781.709999999999</v>
      </c>
      <c r="E30" s="4" t="inlineStr">
        <is>
          <t>上海直营</t>
        </is>
      </c>
      <c r="F30" s="4" t="inlineStr">
        <is>
          <t>赵勇芳</t>
        </is>
      </c>
    </row>
    <row r="31">
      <c r="A31" s="14" t="n">
        <v>45517</v>
      </c>
      <c r="B31" s="4" t="inlineStr">
        <is>
          <t>2024-08</t>
        </is>
      </c>
      <c r="C31" s="4" t="inlineStr">
        <is>
          <t>衢州商贸有限公司经销商返点实现6565</t>
        </is>
      </c>
      <c r="D31" s="15" t="n">
        <v>-6565.75</v>
      </c>
      <c r="E31" s="4" t="inlineStr">
        <is>
          <t>浙江加盟</t>
        </is>
      </c>
      <c r="F31" s="4" t="inlineStr">
        <is>
          <t>胡勇娜</t>
        </is>
      </c>
    </row>
    <row r="32">
      <c r="A32" s="14" t="n">
        <v>45519</v>
      </c>
      <c r="B32" s="4" t="inlineStr">
        <is>
          <t>2024-08</t>
        </is>
      </c>
      <c r="C32" s="4" t="inlineStr">
        <is>
          <t>钟楼实业有限公司经销商返点实现3474</t>
        </is>
      </c>
      <c r="D32" s="15" t="n">
        <v>-3474.25</v>
      </c>
      <c r="E32" s="4" t="inlineStr">
        <is>
          <t>线上渠道</t>
        </is>
      </c>
      <c r="F32" s="4" t="inlineStr">
        <is>
          <t>胡兰娜</t>
        </is>
      </c>
    </row>
    <row r="33">
      <c r="A33" s="14" t="n">
        <v>45523</v>
      </c>
      <c r="B33" s="4" t="inlineStr">
        <is>
          <t>2024-08</t>
        </is>
      </c>
      <c r="C33" s="4" t="inlineStr">
        <is>
          <t>冲减计提钟楼实业有限公司经销商返点实现13969</t>
        </is>
      </c>
      <c r="D33" s="15" t="n">
        <v>13969.73</v>
      </c>
      <c r="E33" s="4" t="inlineStr">
        <is>
          <t>上海直营</t>
        </is>
      </c>
      <c r="F33" s="4" t="inlineStr">
        <is>
          <t>黄洋英</t>
        </is>
      </c>
    </row>
    <row r="34">
      <c r="A34" s="14" t="n">
        <v>45527</v>
      </c>
      <c r="B34" s="4" t="inlineStr">
        <is>
          <t>2024-08</t>
        </is>
      </c>
      <c r="C34" s="4" t="inlineStr">
        <is>
          <t>海宁实业有限公司经销商返点实现13659</t>
        </is>
      </c>
      <c r="D34" s="15" t="n">
        <v>-13659.54</v>
      </c>
      <c r="E34" s="4" t="inlineStr">
        <is>
          <t>上海直营</t>
        </is>
      </c>
      <c r="F34" s="4" t="inlineStr">
        <is>
          <t>杨芳娜</t>
        </is>
      </c>
    </row>
    <row r="35">
      <c r="A35" s="14" t="n">
        <v>45554</v>
      </c>
      <c r="B35" s="4" t="inlineStr">
        <is>
          <t>2024-09</t>
        </is>
      </c>
      <c r="C35" s="4" t="inlineStr">
        <is>
          <t>海宁商贸有限公司经销商返点实现4792</t>
        </is>
      </c>
      <c r="D35" s="15" t="n">
        <v>-4792.63</v>
      </c>
      <c r="E35" s="4" t="inlineStr">
        <is>
          <t>线上渠道</t>
        </is>
      </c>
      <c r="F35" s="4" t="inlineStr">
        <is>
          <t>陈敏秀</t>
        </is>
      </c>
    </row>
    <row r="36">
      <c r="A36" s="14" t="n">
        <v>45558</v>
      </c>
      <c r="B36" s="4" t="inlineStr">
        <is>
          <t>2024-09</t>
        </is>
      </c>
      <c r="C36" s="4" t="inlineStr">
        <is>
          <t>姑苏供应链管理有限公司经销商返点实现14678</t>
        </is>
      </c>
      <c r="D36" s="15" t="n">
        <v>-14678.44</v>
      </c>
      <c r="E36" s="4" t="inlineStr">
        <is>
          <t>上海直营</t>
        </is>
      </c>
      <c r="F36" s="4" t="inlineStr">
        <is>
          <t>朱芳伟</t>
        </is>
      </c>
    </row>
    <row r="37">
      <c r="A37" s="14" t="n">
        <v>45560</v>
      </c>
      <c r="B37" s="4" t="inlineStr">
        <is>
          <t>2024-09</t>
        </is>
      </c>
      <c r="C37" s="4" t="inlineStr">
        <is>
          <t>余杭市淼沃食品商行经销商返点实现1606</t>
        </is>
      </c>
      <c r="D37" s="15" t="n">
        <v>-1606.19</v>
      </c>
      <c r="E37" s="4" t="inlineStr">
        <is>
          <t>线上渠道</t>
        </is>
      </c>
      <c r="F37" s="4" t="inlineStr">
        <is>
          <t>刘明秀</t>
        </is>
      </c>
    </row>
    <row r="38">
      <c r="A38" s="14" t="n">
        <v>45563</v>
      </c>
      <c r="B38" s="4" t="inlineStr">
        <is>
          <t>2024-09</t>
        </is>
      </c>
      <c r="C38" s="4" t="inlineStr">
        <is>
          <t>余杭商贸有限公司经销商返点实现12733</t>
        </is>
      </c>
      <c r="D38" s="15" t="n">
        <v>-12733.61</v>
      </c>
      <c r="E38" s="4" t="inlineStr">
        <is>
          <t>上海直营</t>
        </is>
      </c>
      <c r="F38" s="4" t="inlineStr">
        <is>
          <t>高磊秀</t>
        </is>
      </c>
    </row>
    <row r="39">
      <c r="A39" s="14" t="n">
        <v>45567</v>
      </c>
      <c r="B39" s="4" t="inlineStr">
        <is>
          <t>2024-10</t>
        </is>
      </c>
      <c r="C39" s="4" t="inlineStr">
        <is>
          <t>姑苏市淼沃食品商行经销商返点实现14971</t>
        </is>
      </c>
      <c r="D39" s="15" t="n">
        <v>-14971.71</v>
      </c>
      <c r="E39" s="4" t="inlineStr">
        <is>
          <t>线上渠道</t>
        </is>
      </c>
      <c r="F39" s="4" t="inlineStr">
        <is>
          <t>张丽娜</t>
        </is>
      </c>
    </row>
    <row r="40">
      <c r="A40" s="14" t="n">
        <v>45573</v>
      </c>
      <c r="B40" s="4" t="inlineStr">
        <is>
          <t>2024-10</t>
        </is>
      </c>
      <c r="C40" s="4" t="inlineStr">
        <is>
          <t>余杭食品有限公司经销商返点实现3285</t>
        </is>
      </c>
      <c r="D40" s="15" t="n">
        <v>-3285.8</v>
      </c>
      <c r="E40" s="4" t="inlineStr">
        <is>
          <t>江苏加盟</t>
        </is>
      </c>
      <c r="F40" s="4" t="inlineStr">
        <is>
          <t>孙超芳</t>
        </is>
      </c>
    </row>
    <row r="41">
      <c r="A41" s="14" t="n">
        <v>45580</v>
      </c>
      <c r="B41" s="4" t="inlineStr">
        <is>
          <t>2024-10</t>
        </is>
      </c>
      <c r="C41" s="4" t="inlineStr">
        <is>
          <t>冲减计提余杭商贸有限公司经销商返点实现8600</t>
        </is>
      </c>
      <c r="D41" s="15" t="n">
        <v>8600.469999999999</v>
      </c>
      <c r="E41" s="4" t="inlineStr">
        <is>
          <t>上海直营</t>
        </is>
      </c>
      <c r="F41" s="4" t="inlineStr">
        <is>
          <t>赵超伟</t>
        </is>
      </c>
    </row>
    <row r="42">
      <c r="A42" s="14" t="n">
        <v>45589</v>
      </c>
      <c r="B42" s="4" t="inlineStr">
        <is>
          <t>2024-10</t>
        </is>
      </c>
      <c r="C42" s="4" t="inlineStr">
        <is>
          <t>冲减计提余杭供应链管理有限公司经销商返点实现7958</t>
        </is>
      </c>
      <c r="D42" s="15" t="n">
        <v>7958.79</v>
      </c>
      <c r="E42" s="4" t="inlineStr">
        <is>
          <t>上海直营</t>
        </is>
      </c>
      <c r="F42" s="4" t="inlineStr">
        <is>
          <t>何明秀</t>
        </is>
      </c>
    </row>
    <row r="43">
      <c r="A43" s="14" t="n">
        <v>45597</v>
      </c>
      <c r="B43" s="4" t="inlineStr">
        <is>
          <t>2024-11</t>
        </is>
      </c>
      <c r="C43" s="4" t="inlineStr">
        <is>
          <t>姑苏食品有限公司经销商返点实现6013</t>
        </is>
      </c>
      <c r="D43" s="15" t="n">
        <v>-6013.27</v>
      </c>
      <c r="E43" s="4" t="inlineStr">
        <is>
          <t>江苏加盟</t>
        </is>
      </c>
      <c r="F43" s="4" t="inlineStr">
        <is>
          <t>高伟英</t>
        </is>
      </c>
    </row>
    <row r="44">
      <c r="A44" s="14" t="n">
        <v>45599</v>
      </c>
      <c r="B44" s="4" t="inlineStr">
        <is>
          <t>2024-11</t>
        </is>
      </c>
      <c r="C44" s="4" t="inlineStr">
        <is>
          <t>余杭市优鲜食品商行经销商返点实现12843</t>
        </is>
      </c>
      <c r="D44" s="15" t="n">
        <v>-12843.6</v>
      </c>
      <c r="E44" s="4" t="inlineStr">
        <is>
          <t>上海直营</t>
        </is>
      </c>
      <c r="F44" s="4" t="inlineStr">
        <is>
          <t>朱勇秀</t>
        </is>
      </c>
    </row>
    <row r="45">
      <c r="A45" s="14" t="n">
        <v>45617</v>
      </c>
      <c r="B45" s="4" t="inlineStr">
        <is>
          <t>2024-11</t>
        </is>
      </c>
      <c r="C45" s="4" t="inlineStr">
        <is>
          <t>海宁实业有限公司经销商返点实现2171</t>
        </is>
      </c>
      <c r="D45" s="15" t="n">
        <v>-2171.9</v>
      </c>
      <c r="E45" s="4" t="inlineStr">
        <is>
          <t>浙江加盟</t>
        </is>
      </c>
      <c r="F45" s="4" t="inlineStr">
        <is>
          <t>杨丽秀</t>
        </is>
      </c>
    </row>
    <row r="46">
      <c r="A46" s="14" t="n">
        <v>45623</v>
      </c>
      <c r="B46" s="4" t="inlineStr">
        <is>
          <t>2024-11</t>
        </is>
      </c>
      <c r="C46" s="4" t="inlineStr">
        <is>
          <t>钟楼市大匠食品商行经销商返点实现3774</t>
        </is>
      </c>
      <c r="D46" s="15" t="n">
        <v>-3774.08</v>
      </c>
      <c r="E46" s="4" t="inlineStr">
        <is>
          <t>线上渠道</t>
        </is>
      </c>
      <c r="F46" s="4" t="inlineStr">
        <is>
          <t>黄娜秀</t>
        </is>
      </c>
    </row>
    <row r="47">
      <c r="A47" s="14" t="n">
        <v>45627</v>
      </c>
      <c r="B47" s="4" t="inlineStr">
        <is>
          <t>2024-12</t>
        </is>
      </c>
      <c r="C47" s="4" t="inlineStr">
        <is>
          <t>钟楼商贸有限公司经销商返点实现9373</t>
        </is>
      </c>
      <c r="D47" s="15" t="n">
        <v>-9373.59</v>
      </c>
      <c r="E47" s="4" t="inlineStr">
        <is>
          <t>线上渠道</t>
        </is>
      </c>
      <c r="F47" s="4" t="inlineStr">
        <is>
          <t>高强芳</t>
        </is>
      </c>
    </row>
    <row r="48">
      <c r="A48" s="14" t="n">
        <v>45637</v>
      </c>
      <c r="B48" s="4" t="inlineStr">
        <is>
          <t>2024-12</t>
        </is>
      </c>
      <c r="C48" s="4" t="inlineStr">
        <is>
          <t>衢州食品有限公司经销商返点实现8329</t>
        </is>
      </c>
      <c r="D48" s="15" t="n">
        <v>-8329.209999999999</v>
      </c>
      <c r="E48" s="4" t="inlineStr">
        <is>
          <t>线上渠道</t>
        </is>
      </c>
      <c r="F48" s="4" t="inlineStr">
        <is>
          <t>朱静英</t>
        </is>
      </c>
    </row>
    <row r="49">
      <c r="A49" s="14" t="n">
        <v>45640</v>
      </c>
      <c r="B49" s="4" t="inlineStr">
        <is>
          <t>2024-12</t>
        </is>
      </c>
      <c r="C49" s="4" t="inlineStr">
        <is>
          <t>海宁商贸有限公司经销商返点实现13871</t>
        </is>
      </c>
      <c r="D49" s="15" t="n">
        <v>-13871.45</v>
      </c>
      <c r="E49" s="4" t="inlineStr">
        <is>
          <t>上海直营</t>
        </is>
      </c>
      <c r="F49" s="4" t="inlineStr">
        <is>
          <t>朱艳英</t>
        </is>
      </c>
    </row>
    <row r="50">
      <c r="A50" s="14" t="n">
        <v>45645</v>
      </c>
      <c r="B50" s="4" t="inlineStr">
        <is>
          <t>2024-12</t>
        </is>
      </c>
      <c r="C50" s="4" t="inlineStr">
        <is>
          <t>冲减计提吴中区京功冷冻食品批发部经销商返点实现13578</t>
        </is>
      </c>
      <c r="D50" s="15" t="n">
        <v>13578.48</v>
      </c>
      <c r="E50" s="4" t="inlineStr">
        <is>
          <t>江苏加盟</t>
        </is>
      </c>
      <c r="F50" s="4" t="inlineStr">
        <is>
          <t>刘秀芳</t>
        </is>
      </c>
    </row>
    <row r="51">
      <c r="A51" s="14" t="n">
        <v>45654</v>
      </c>
      <c r="B51" s="4" t="inlineStr">
        <is>
          <t>2024-12</t>
        </is>
      </c>
      <c r="C51" s="4" t="inlineStr">
        <is>
          <t>吴中市食佳食品商行经销商返点实现7407</t>
        </is>
      </c>
      <c r="D51" s="15" t="n">
        <v>-7407.19</v>
      </c>
      <c r="E51" s="4" t="inlineStr">
        <is>
          <t>线上渠道</t>
        </is>
      </c>
      <c r="F51" s="4" t="inlineStr">
        <is>
          <t>李静英</t>
        </is>
      </c>
    </row>
    <row r="52">
      <c r="C52" s="6" t="inlineStr">
        <is>
          <t>合计</t>
        </is>
      </c>
      <c r="D52" s="16" t="n">
        <v>-231825.61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6" customWidth="1" min="3" max="3"/>
    <col width="16" customWidth="1" min="4" max="4"/>
    <col width="22" customWidth="1" min="5" max="5"/>
    <col width="6" customWidth="1" min="6" max="6"/>
    <col width="16" customWidth="1" min="7" max="7"/>
    <col width="16" customWidth="1" min="8" max="8"/>
  </cols>
  <sheetData>
    <row r="1">
      <c r="A1" s="1" t="inlineStr">
        <is>
          <t>上海鲜优生活连锁有限公司资产负债表</t>
        </is>
      </c>
    </row>
    <row r="2">
      <c r="A2" s="17" t="inlineStr">
        <is>
          <t>编制日期：2025年12月31日</t>
        </is>
      </c>
      <c r="H2" t="inlineStr">
        <is>
          <t>单位：元</t>
        </is>
      </c>
    </row>
    <row r="3">
      <c r="A3" s="2" t="inlineStr">
        <is>
          <t>资产</t>
        </is>
      </c>
      <c r="B3" s="2" t="inlineStr">
        <is>
          <t>行次</t>
        </is>
      </c>
      <c r="C3" s="2" t="inlineStr">
        <is>
          <t>期末余额</t>
        </is>
      </c>
      <c r="D3" s="2" t="inlineStr">
        <is>
          <t>年初余额</t>
        </is>
      </c>
      <c r="E3" s="2" t="inlineStr">
        <is>
          <t>负债和所有者权益</t>
        </is>
      </c>
      <c r="F3" s="2" t="inlineStr">
        <is>
          <t>行次</t>
        </is>
      </c>
      <c r="G3" s="2" t="inlineStr">
        <is>
          <t>期末余额</t>
        </is>
      </c>
      <c r="H3" s="2" t="inlineStr">
        <is>
          <t>年初余额</t>
        </is>
      </c>
    </row>
    <row r="4">
      <c r="A4" s="6" t="inlineStr">
        <is>
          <t>流动资产：</t>
        </is>
      </c>
      <c r="E4" s="6" t="inlineStr">
        <is>
          <t>流动负债：</t>
        </is>
      </c>
    </row>
    <row r="5">
      <c r="A5" s="4" t="inlineStr">
        <is>
          <t>货币资金</t>
        </is>
      </c>
      <c r="B5" s="3" t="n">
        <v>1</v>
      </c>
      <c r="C5" s="15" t="n">
        <v>2169765.55</v>
      </c>
      <c r="D5" s="15" t="n">
        <v>582944.65</v>
      </c>
      <c r="E5" s="4" t="inlineStr">
        <is>
          <t>短期借款</t>
        </is>
      </c>
      <c r="F5" s="3" t="n">
        <v>21</v>
      </c>
      <c r="G5" s="15" t="n">
        <v>316545.04</v>
      </c>
      <c r="H5" s="15" t="n">
        <v>853318.66</v>
      </c>
    </row>
    <row r="6">
      <c r="A6" s="4" t="inlineStr">
        <is>
          <t>交易性金融资产</t>
        </is>
      </c>
      <c r="B6" s="3" t="n">
        <v>2</v>
      </c>
      <c r="C6" s="15" t="n">
        <v>1761389.53</v>
      </c>
      <c r="D6" s="15" t="n">
        <v>1704922.84</v>
      </c>
      <c r="E6" s="4" t="inlineStr">
        <is>
          <t>应付票据</t>
        </is>
      </c>
      <c r="F6" s="3" t="n">
        <v>22</v>
      </c>
      <c r="G6" s="15" t="n">
        <v>1160467.52</v>
      </c>
      <c r="H6" s="15" t="n">
        <v>597344.84</v>
      </c>
    </row>
    <row r="7">
      <c r="A7" s="4" t="inlineStr">
        <is>
          <t>应收票据</t>
        </is>
      </c>
      <c r="B7" s="3" t="n">
        <v>3</v>
      </c>
      <c r="C7" s="15" t="n">
        <v>1581387.09</v>
      </c>
      <c r="D7" s="15" t="n">
        <v>1672917.66</v>
      </c>
      <c r="E7" s="4" t="inlineStr">
        <is>
          <t>应付账款</t>
        </is>
      </c>
      <c r="F7" s="3" t="n">
        <v>23</v>
      </c>
      <c r="G7" s="15" t="n">
        <v>1766310.83</v>
      </c>
      <c r="H7" s="15" t="n">
        <v>1363251.93</v>
      </c>
    </row>
    <row r="8">
      <c r="A8" s="4" t="inlineStr">
        <is>
          <t>应收账款</t>
        </is>
      </c>
      <c r="B8" s="3" t="n">
        <v>4</v>
      </c>
      <c r="C8" s="15" t="n">
        <v>2843620.33</v>
      </c>
      <c r="D8" s="15" t="n">
        <v>2106227.34</v>
      </c>
      <c r="E8" s="4" t="inlineStr">
        <is>
          <t>预收款项</t>
        </is>
      </c>
      <c r="F8" s="3" t="n">
        <v>24</v>
      </c>
      <c r="G8" s="15" t="n">
        <v>1653044.55</v>
      </c>
      <c r="H8" s="15" t="n">
        <v>1173595.93</v>
      </c>
    </row>
    <row r="9">
      <c r="A9" s="4" t="inlineStr">
        <is>
          <t>预付款项</t>
        </is>
      </c>
      <c r="B9" s="3" t="n">
        <v>5</v>
      </c>
      <c r="C9" s="15" t="n">
        <v>2828559.58</v>
      </c>
      <c r="D9" s="15" t="n">
        <v>601095.55</v>
      </c>
      <c r="E9" s="4" t="inlineStr">
        <is>
          <t>合同负债</t>
        </is>
      </c>
      <c r="F9" s="3" t="n">
        <v>25</v>
      </c>
      <c r="G9" s="15" t="n">
        <v>940805.3199999999</v>
      </c>
      <c r="H9" s="15" t="n">
        <v>708256.8199999999</v>
      </c>
    </row>
    <row r="10">
      <c r="A10" s="4" t="inlineStr">
        <is>
          <t>其他应收款</t>
        </is>
      </c>
      <c r="B10" s="3" t="n">
        <v>6</v>
      </c>
      <c r="C10" s="15" t="n">
        <v>2031642.84</v>
      </c>
      <c r="D10" s="15" t="n">
        <v>855561.92</v>
      </c>
      <c r="E10" s="4" t="inlineStr">
        <is>
          <t>应付职工薪酬</t>
        </is>
      </c>
      <c r="F10" s="3" t="n">
        <v>26</v>
      </c>
      <c r="G10" s="15" t="n">
        <v>1533281.03</v>
      </c>
      <c r="H10" s="15" t="n">
        <v>1060670.21</v>
      </c>
    </row>
    <row r="11">
      <c r="A11" s="4" t="inlineStr">
        <is>
          <t>存货</t>
        </is>
      </c>
      <c r="B11" s="3" t="n">
        <v>7</v>
      </c>
      <c r="C11" s="15" t="n">
        <v>361385.23</v>
      </c>
      <c r="D11" s="15" t="n">
        <v>659490.84</v>
      </c>
      <c r="E11" s="4" t="inlineStr">
        <is>
          <t>应交税费</t>
        </is>
      </c>
      <c r="F11" s="3" t="n">
        <v>27</v>
      </c>
      <c r="G11" s="15" t="n">
        <v>929154.12</v>
      </c>
      <c r="H11" s="15" t="n">
        <v>1006807.97</v>
      </c>
    </row>
    <row r="12">
      <c r="A12" s="4" t="inlineStr">
        <is>
          <t>其中：原材料</t>
        </is>
      </c>
      <c r="C12" s="15" t="n">
        <v>64695.61</v>
      </c>
      <c r="D12" s="15" t="n">
        <v>163829.19</v>
      </c>
      <c r="E12" s="4" t="inlineStr">
        <is>
          <t>其他应付款</t>
        </is>
      </c>
      <c r="F12" s="3" t="n">
        <v>28</v>
      </c>
      <c r="G12" s="15" t="n">
        <v>1314266.36</v>
      </c>
      <c r="H12" s="15" t="n">
        <v>926416.1899999999</v>
      </c>
    </row>
    <row r="13">
      <c r="A13" s="4" t="inlineStr">
        <is>
          <t>在制品</t>
        </is>
      </c>
      <c r="C13" s="15" t="n">
        <v>160444.63</v>
      </c>
      <c r="D13" s="15" t="n">
        <v>126143.09</v>
      </c>
      <c r="E13" s="4" t="inlineStr">
        <is>
          <t>一年内到期的非流动负债</t>
        </is>
      </c>
      <c r="F13" s="3" t="n">
        <v>29</v>
      </c>
      <c r="G13" s="15" t="n">
        <v>361191.05</v>
      </c>
      <c r="H13" s="15" t="n">
        <v>386916.37</v>
      </c>
    </row>
    <row r="14">
      <c r="A14" s="4" t="inlineStr">
        <is>
          <t>库存商品</t>
        </is>
      </c>
      <c r="C14" s="15" t="n">
        <v>102986.09</v>
      </c>
      <c r="D14" s="15" t="n">
        <v>107751.69</v>
      </c>
      <c r="E14" s="4" t="inlineStr">
        <is>
          <t>其他流动负债</t>
        </is>
      </c>
      <c r="F14" s="3" t="n">
        <v>30</v>
      </c>
      <c r="G14" s="15" t="n">
        <v>1470143.09</v>
      </c>
      <c r="H14" s="15" t="n">
        <v>2102027.4</v>
      </c>
    </row>
    <row r="15">
      <c r="A15" s="4" t="inlineStr">
        <is>
          <t>合同资产</t>
        </is>
      </c>
      <c r="B15" s="3" t="n">
        <v>8</v>
      </c>
      <c r="C15" s="15" t="n">
        <v>625402.78</v>
      </c>
      <c r="D15" s="15" t="n">
        <v>1711887.14</v>
      </c>
      <c r="E15" s="6" t="inlineStr">
        <is>
          <t>流动负债合计</t>
        </is>
      </c>
      <c r="F15" s="3" t="n">
        <v>31</v>
      </c>
      <c r="G15" s="16" t="n">
        <v>11445208.91</v>
      </c>
      <c r="H15" s="16" t="n">
        <v>10178606.32</v>
      </c>
    </row>
    <row r="16">
      <c r="A16" s="4" t="inlineStr">
        <is>
          <t>一年内到期的非流动资产</t>
        </is>
      </c>
      <c r="B16" s="3" t="n">
        <v>9</v>
      </c>
      <c r="C16" s="15" t="n">
        <v>480888.62</v>
      </c>
      <c r="D16" s="15" t="n">
        <v>2412312.17</v>
      </c>
      <c r="E16" s="6" t="inlineStr">
        <is>
          <t>非流动负债：</t>
        </is>
      </c>
    </row>
    <row r="17">
      <c r="A17" s="4" t="inlineStr">
        <is>
          <t>其他流动资产</t>
        </is>
      </c>
      <c r="B17" s="3" t="n">
        <v>10</v>
      </c>
      <c r="C17" s="15" t="n">
        <v>629487.9300000001</v>
      </c>
      <c r="D17" s="15" t="n">
        <v>2385891.41</v>
      </c>
      <c r="E17" s="4" t="inlineStr">
        <is>
          <t>长期借款</t>
        </is>
      </c>
      <c r="F17" s="3" t="n">
        <v>32</v>
      </c>
      <c r="G17" s="15" t="n">
        <v>1051215.77</v>
      </c>
      <c r="H17" s="15" t="n">
        <v>1515024.77</v>
      </c>
    </row>
    <row r="18">
      <c r="A18" s="6" t="inlineStr">
        <is>
          <t>流动资产合计</t>
        </is>
      </c>
      <c r="B18" s="3" t="n">
        <v>11</v>
      </c>
      <c r="C18" s="16" t="n">
        <v>15313529.48</v>
      </c>
      <c r="D18" s="16" t="n">
        <v>14693251.52</v>
      </c>
      <c r="E18" s="4" t="inlineStr">
        <is>
          <t>长期应付款</t>
        </is>
      </c>
      <c r="F18" s="3" t="n">
        <v>33</v>
      </c>
      <c r="G18" s="15" t="n">
        <v>546033.16</v>
      </c>
      <c r="H18" s="15" t="n">
        <v>1257369.9</v>
      </c>
    </row>
    <row r="19">
      <c r="A19" s="6" t="inlineStr">
        <is>
          <t>非流动资产：</t>
        </is>
      </c>
      <c r="E19" s="4" t="inlineStr">
        <is>
          <t>递延收益</t>
        </is>
      </c>
      <c r="F19" s="3" t="n">
        <v>34</v>
      </c>
      <c r="G19" s="15" t="n">
        <v>1239989.61</v>
      </c>
      <c r="H19" s="15" t="n">
        <v>809064.98</v>
      </c>
    </row>
    <row r="20">
      <c r="A20" s="4" t="inlineStr">
        <is>
          <t>长期股权投资</t>
        </is>
      </c>
      <c r="B20" s="3" t="n">
        <v>12</v>
      </c>
      <c r="C20" s="15" t="n">
        <v>1476749.39</v>
      </c>
      <c r="D20" s="15" t="n">
        <v>1091255.35</v>
      </c>
      <c r="E20" s="4" t="inlineStr">
        <is>
          <t>递延所得税负债</t>
        </is>
      </c>
      <c r="F20" s="3" t="n">
        <v>35</v>
      </c>
      <c r="G20" s="15" t="n">
        <v>2067850.99</v>
      </c>
      <c r="H20" s="15" t="n">
        <v>780800.21</v>
      </c>
    </row>
    <row r="21">
      <c r="A21" s="4" t="inlineStr">
        <is>
          <t>固定资产</t>
        </is>
      </c>
      <c r="B21" s="3" t="n">
        <v>13</v>
      </c>
      <c r="C21" s="15" t="n">
        <v>2069736.88</v>
      </c>
      <c r="D21" s="15" t="n">
        <v>1770309.66</v>
      </c>
      <c r="E21" s="6" t="inlineStr">
        <is>
          <t>非流动负债合计</t>
        </is>
      </c>
      <c r="F21" s="3" t="n">
        <v>36</v>
      </c>
      <c r="G21" s="16" t="n">
        <v>4905089.53</v>
      </c>
      <c r="H21" s="16" t="n">
        <v>4362259.86</v>
      </c>
    </row>
    <row r="22">
      <c r="A22" s="4" t="inlineStr">
        <is>
          <t>在建工程</t>
        </is>
      </c>
      <c r="B22" s="3" t="n">
        <v>14</v>
      </c>
      <c r="C22" s="15" t="n">
        <v>1860966.85</v>
      </c>
      <c r="D22" s="15" t="n">
        <v>1720771.79</v>
      </c>
      <c r="E22" s="6" t="inlineStr">
        <is>
          <t>负债合计</t>
        </is>
      </c>
      <c r="F22" s="3" t="n">
        <v>37</v>
      </c>
      <c r="G22" s="16" t="n">
        <v>16350298.43</v>
      </c>
      <c r="H22" s="16" t="n">
        <v>14540866.18</v>
      </c>
    </row>
    <row r="23">
      <c r="A23" s="4" t="inlineStr">
        <is>
          <t>无形资产</t>
        </is>
      </c>
      <c r="B23" s="3" t="n">
        <v>15</v>
      </c>
      <c r="C23" s="15" t="n">
        <v>1498566.25</v>
      </c>
      <c r="D23" s="15" t="n">
        <v>1730781.38</v>
      </c>
      <c r="E23" s="6" t="inlineStr">
        <is>
          <t>所有者权益：</t>
        </is>
      </c>
    </row>
    <row r="24">
      <c r="A24" s="4" t="inlineStr">
        <is>
          <t>长期待摊费用</t>
        </is>
      </c>
      <c r="B24" s="3" t="n">
        <v>16</v>
      </c>
      <c r="C24" s="15" t="n">
        <v>1326531.19</v>
      </c>
      <c r="D24" s="15" t="n">
        <v>1555388.16</v>
      </c>
      <c r="E24" s="4" t="inlineStr">
        <is>
          <t>实收资本</t>
        </is>
      </c>
      <c r="F24" s="3" t="n">
        <v>38</v>
      </c>
      <c r="G24" s="15" t="n">
        <v>2645488.25</v>
      </c>
      <c r="H24" s="15" t="n">
        <v>1223744.58</v>
      </c>
    </row>
    <row r="25">
      <c r="A25" s="4" t="inlineStr">
        <is>
          <t>递延所得税资产</t>
        </is>
      </c>
      <c r="B25" s="3" t="n">
        <v>17</v>
      </c>
      <c r="C25" s="15" t="n">
        <v>1515559.47</v>
      </c>
      <c r="D25" s="15" t="n">
        <v>318002.47</v>
      </c>
      <c r="E25" s="4" t="inlineStr">
        <is>
          <t>资本公积</t>
        </is>
      </c>
      <c r="F25" s="3" t="n">
        <v>39</v>
      </c>
      <c r="G25" s="15" t="n">
        <v>2299289.71</v>
      </c>
      <c r="H25" s="15" t="n">
        <v>3730572.64</v>
      </c>
    </row>
    <row r="26">
      <c r="A26" s="4" t="inlineStr">
        <is>
          <t>其他非流动资产</t>
        </is>
      </c>
      <c r="B26" s="3" t="n">
        <v>18</v>
      </c>
      <c r="C26" s="15" t="n">
        <v>460909.62</v>
      </c>
      <c r="D26" s="15" t="n">
        <v>1608992.2</v>
      </c>
      <c r="E26" s="4" t="inlineStr">
        <is>
          <t>盈余公积</t>
        </is>
      </c>
      <c r="F26" s="3" t="n">
        <v>40</v>
      </c>
      <c r="G26" s="15" t="n">
        <v>2489205.28</v>
      </c>
      <c r="H26" s="15" t="n">
        <v>1765273.73</v>
      </c>
    </row>
    <row r="27">
      <c r="A27" s="6" t="inlineStr">
        <is>
          <t>非流动资产合计</t>
        </is>
      </c>
      <c r="B27" s="3" t="n">
        <v>19</v>
      </c>
      <c r="C27" s="16" t="n">
        <v>10209019.65</v>
      </c>
      <c r="D27" s="16" t="n">
        <v>9795501.01</v>
      </c>
      <c r="E27" s="4" t="inlineStr">
        <is>
          <t>未分配利润</t>
        </is>
      </c>
      <c r="F27" s="3" t="n">
        <v>41</v>
      </c>
      <c r="G27" s="15" t="n">
        <v>1738267.46</v>
      </c>
      <c r="H27" s="15" t="n">
        <v>3228295.41</v>
      </c>
    </row>
    <row r="28">
      <c r="A28" s="6" t="inlineStr">
        <is>
          <t>资产总计</t>
        </is>
      </c>
      <c r="B28" s="3" t="n">
        <v>20</v>
      </c>
      <c r="C28" s="16" t="n">
        <v>25522549.13</v>
      </c>
      <c r="D28" s="16" t="n">
        <v>24488752.53</v>
      </c>
      <c r="E28" s="6" t="inlineStr">
        <is>
          <t>所有者权益合计</t>
        </is>
      </c>
      <c r="F28" s="3" t="n">
        <v>42</v>
      </c>
      <c r="G28" s="16" t="n">
        <v>9172250.699999999</v>
      </c>
      <c r="H28" s="16" t="n">
        <v>9947886.35</v>
      </c>
    </row>
    <row r="29">
      <c r="E29" s="6" t="inlineStr">
        <is>
          <t>负债和所有者权益总计</t>
        </is>
      </c>
      <c r="F29" s="3" t="n">
        <v>43</v>
      </c>
      <c r="G29" s="16" t="n">
        <v>25522549.13</v>
      </c>
      <c r="H29" s="16" t="n">
        <v>24488752.53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10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上海鲜优生活连锁有限公司2025年销售明细表</t>
        </is>
      </c>
    </row>
    <row r="2">
      <c r="A2" s="2" t="inlineStr">
        <is>
          <t>日期</t>
        </is>
      </c>
      <c r="B2" s="2" t="inlineStr">
        <is>
          <t>订单号</t>
        </is>
      </c>
      <c r="C2" s="2" t="inlineStr">
        <is>
          <t>客户名称</t>
        </is>
      </c>
      <c r="D2" s="2" t="inlineStr">
        <is>
          <t>产品</t>
        </is>
      </c>
      <c r="E2" s="2" t="inlineStr">
        <is>
          <t>规格型号</t>
        </is>
      </c>
      <c r="F2" s="2" t="inlineStr">
        <is>
          <t>数量</t>
        </is>
      </c>
      <c r="G2" s="2" t="inlineStr">
        <is>
          <t>单价(元)</t>
        </is>
      </c>
      <c r="H2" s="2" t="inlineStr">
        <is>
          <t>金额(元)</t>
        </is>
      </c>
      <c r="I2" s="2" t="inlineStr">
        <is>
          <t>区域</t>
        </is>
      </c>
      <c r="J2" s="2" t="inlineStr">
        <is>
          <t>业务员</t>
        </is>
      </c>
    </row>
    <row r="3">
      <c r="A3" s="14" t="n">
        <v>45658</v>
      </c>
      <c r="B3" s="4" t="inlineStr">
        <is>
          <t>SO202510137</t>
        </is>
      </c>
      <c r="C3" s="4" t="inlineStr">
        <is>
          <t>合肥淼沃酒店管理集团</t>
        </is>
      </c>
      <c r="D3" s="4" t="inlineStr">
        <is>
          <t>休闲零食</t>
        </is>
      </c>
      <c r="E3" s="4" t="inlineStr">
        <is>
          <t>1kg</t>
        </is>
      </c>
      <c r="F3" s="18" t="n">
        <v>1010</v>
      </c>
      <c r="G3" s="15" t="n">
        <v>29.05</v>
      </c>
      <c r="H3" s="15" t="n">
        <v>29340.5</v>
      </c>
      <c r="I3" s="4" t="inlineStr">
        <is>
          <t>江苏加盟</t>
        </is>
      </c>
      <c r="J3" s="4" t="inlineStr">
        <is>
          <t>李英敏</t>
        </is>
      </c>
    </row>
    <row r="4">
      <c r="A4" s="14" t="n">
        <v>45658</v>
      </c>
      <c r="B4" s="4" t="inlineStr">
        <is>
          <t>SO202510162</t>
        </is>
      </c>
      <c r="C4" s="4" t="inlineStr">
        <is>
          <t>杭州食佳餐饮管理有限公司</t>
        </is>
      </c>
      <c r="D4" s="4" t="inlineStr">
        <is>
          <t>休闲零食</t>
        </is>
      </c>
      <c r="E4" s="4" t="inlineStr">
        <is>
          <t>2.5kg</t>
        </is>
      </c>
      <c r="F4" s="18" t="n">
        <v>920</v>
      </c>
      <c r="G4" s="15" t="n">
        <v>70.19</v>
      </c>
      <c r="H4" s="15" t="n">
        <v>64574.8</v>
      </c>
      <c r="I4" s="4" t="inlineStr">
        <is>
          <t>上海直营</t>
        </is>
      </c>
      <c r="J4" s="4" t="inlineStr">
        <is>
          <t>马英秀</t>
        </is>
      </c>
    </row>
    <row r="5">
      <c r="A5" s="14" t="n">
        <v>45658</v>
      </c>
      <c r="B5" s="4" t="inlineStr">
        <is>
          <t>SO202510178</t>
        </is>
      </c>
      <c r="C5" s="4" t="inlineStr">
        <is>
          <t>苏州食佳酒店管理集团</t>
        </is>
      </c>
      <c r="D5" s="4" t="inlineStr">
        <is>
          <t>粮油调味</t>
        </is>
      </c>
      <c r="E5" s="4" t="inlineStr">
        <is>
          <t>简装</t>
        </is>
      </c>
      <c r="F5" s="18" t="n">
        <v>1010</v>
      </c>
      <c r="G5" s="15" t="n">
        <v>86.90000000000001</v>
      </c>
      <c r="H5" s="15" t="n">
        <v>87769</v>
      </c>
      <c r="I5" s="4" t="inlineStr">
        <is>
          <t>线上渠道</t>
        </is>
      </c>
      <c r="J5" s="4" t="inlineStr">
        <is>
          <t>朱芳娜</t>
        </is>
      </c>
    </row>
    <row r="6">
      <c r="A6" s="14" t="n">
        <v>45659</v>
      </c>
      <c r="B6" s="4" t="inlineStr">
        <is>
          <t>SO202510075</t>
        </is>
      </c>
      <c r="C6" s="4" t="inlineStr">
        <is>
          <t>苏州优鲜超市</t>
        </is>
      </c>
      <c r="D6" s="4" t="inlineStr">
        <is>
          <t>粮油调味</t>
        </is>
      </c>
      <c r="E6" s="4" t="inlineStr">
        <is>
          <t>精装</t>
        </is>
      </c>
      <c r="F6" s="18" t="n">
        <v>3160</v>
      </c>
      <c r="G6" s="15" t="n">
        <v>4.8</v>
      </c>
      <c r="H6" s="15" t="n">
        <v>15168</v>
      </c>
      <c r="I6" s="4" t="inlineStr">
        <is>
          <t>线上渠道</t>
        </is>
      </c>
      <c r="J6" s="4" t="inlineStr">
        <is>
          <t>吴娜娜</t>
        </is>
      </c>
    </row>
    <row r="7">
      <c r="A7" s="14" t="n">
        <v>45660</v>
      </c>
      <c r="B7" s="4" t="inlineStr">
        <is>
          <t>SO202510294</t>
        </is>
      </c>
      <c r="C7" s="4" t="inlineStr">
        <is>
          <t>苏州淼沃商贸有限公司</t>
        </is>
      </c>
      <c r="D7" s="4" t="inlineStr">
        <is>
          <t>酒水饮料</t>
        </is>
      </c>
      <c r="E7" s="4" t="inlineStr">
        <is>
          <t>5kg</t>
        </is>
      </c>
      <c r="F7" s="18" t="n">
        <v>70</v>
      </c>
      <c r="G7" s="15" t="n">
        <v>47.85</v>
      </c>
      <c r="H7" s="15" t="n">
        <v>3349.5</v>
      </c>
      <c r="I7" s="4" t="inlineStr">
        <is>
          <t>浙江加盟</t>
        </is>
      </c>
      <c r="J7" s="4" t="inlineStr">
        <is>
          <t>罗磊敏</t>
        </is>
      </c>
    </row>
    <row r="8">
      <c r="A8" s="14" t="n">
        <v>45661</v>
      </c>
      <c r="B8" s="4" t="inlineStr">
        <is>
          <t>SO202510291</t>
        </is>
      </c>
      <c r="C8" s="4" t="inlineStr">
        <is>
          <t>镇江京功电商平台</t>
        </is>
      </c>
      <c r="D8" s="4" t="inlineStr">
        <is>
          <t>酒水饮料</t>
        </is>
      </c>
      <c r="E8" s="4" t="inlineStr">
        <is>
          <t>标准</t>
        </is>
      </c>
      <c r="F8" s="18" t="n">
        <v>4960</v>
      </c>
      <c r="G8" s="15" t="n">
        <v>93.2</v>
      </c>
      <c r="H8" s="15" t="n">
        <v>462272</v>
      </c>
      <c r="I8" s="4" t="inlineStr">
        <is>
          <t>线上渠道</t>
        </is>
      </c>
      <c r="J8" s="4" t="inlineStr">
        <is>
          <t>胡静娜</t>
        </is>
      </c>
    </row>
    <row r="9">
      <c r="A9" s="14" t="n">
        <v>45662</v>
      </c>
      <c r="B9" s="4" t="inlineStr">
        <is>
          <t>SO202510051</t>
        </is>
      </c>
      <c r="C9" s="4" t="inlineStr">
        <is>
          <t>南京百味超市</t>
        </is>
      </c>
      <c r="D9" s="4" t="inlineStr">
        <is>
          <t>肉禽蛋奶</t>
        </is>
      </c>
      <c r="E9" s="4" t="inlineStr">
        <is>
          <t>C级</t>
        </is>
      </c>
      <c r="F9" s="18" t="n">
        <v>4600</v>
      </c>
      <c r="G9" s="15" t="n">
        <v>95.51000000000001</v>
      </c>
      <c r="H9" s="15" t="n">
        <v>439346</v>
      </c>
      <c r="I9" s="4" t="inlineStr">
        <is>
          <t>浙江加盟</t>
        </is>
      </c>
      <c r="J9" s="4" t="inlineStr">
        <is>
          <t>胡娟伟</t>
        </is>
      </c>
    </row>
    <row r="10">
      <c r="A10" s="14" t="n">
        <v>45662</v>
      </c>
      <c r="B10" s="4" t="inlineStr">
        <is>
          <t>SO202510118</t>
        </is>
      </c>
      <c r="C10" s="4" t="inlineStr">
        <is>
          <t>南京大匠酒店管理集团</t>
        </is>
      </c>
      <c r="D10" s="4" t="inlineStr">
        <is>
          <t>日用百货</t>
        </is>
      </c>
      <c r="E10" s="4" t="inlineStr">
        <is>
          <t>标准</t>
        </is>
      </c>
      <c r="F10" s="18" t="n">
        <v>3350</v>
      </c>
      <c r="G10" s="15" t="n">
        <v>54.07</v>
      </c>
      <c r="H10" s="15" t="n">
        <v>181134.5</v>
      </c>
      <c r="I10" s="4" t="inlineStr">
        <is>
          <t>江苏加盟</t>
        </is>
      </c>
      <c r="J10" s="4" t="inlineStr">
        <is>
          <t>周英敏</t>
        </is>
      </c>
    </row>
    <row r="11">
      <c r="A11" s="14" t="n">
        <v>45662</v>
      </c>
      <c r="B11" s="4" t="inlineStr">
        <is>
          <t>SO202510155</t>
        </is>
      </c>
      <c r="C11" s="4" t="inlineStr">
        <is>
          <t>南昌京功超市</t>
        </is>
      </c>
      <c r="D11" s="4" t="inlineStr">
        <is>
          <t>生鲜蔬果</t>
        </is>
      </c>
      <c r="E11" s="4" t="inlineStr">
        <is>
          <t>标准</t>
        </is>
      </c>
      <c r="F11" s="18" t="n">
        <v>210</v>
      </c>
      <c r="G11" s="15" t="n">
        <v>42.58</v>
      </c>
      <c r="H11" s="15" t="n">
        <v>8941.799999999999</v>
      </c>
      <c r="I11" s="4" t="inlineStr">
        <is>
          <t>浙江加盟</t>
        </is>
      </c>
      <c r="J11" s="4" t="inlineStr">
        <is>
          <t>杨杰娜</t>
        </is>
      </c>
    </row>
    <row r="12">
      <c r="A12" s="14" t="n">
        <v>45662</v>
      </c>
      <c r="B12" s="4" t="inlineStr">
        <is>
          <t>SO202510160</t>
        </is>
      </c>
      <c r="C12" s="4" t="inlineStr">
        <is>
          <t>合肥百味食品有限公司</t>
        </is>
      </c>
      <c r="D12" s="4" t="inlineStr">
        <is>
          <t>酒水饮料</t>
        </is>
      </c>
      <c r="E12" s="4" t="inlineStr">
        <is>
          <t>2.5kg</t>
        </is>
      </c>
      <c r="F12" s="18" t="n">
        <v>1090</v>
      </c>
      <c r="G12" s="15" t="n">
        <v>71.31</v>
      </c>
      <c r="H12" s="15" t="n">
        <v>77727.89999999999</v>
      </c>
      <c r="I12" s="4" t="inlineStr">
        <is>
          <t>浙江加盟</t>
        </is>
      </c>
      <c r="J12" s="4" t="inlineStr">
        <is>
          <t>林涛英</t>
        </is>
      </c>
    </row>
    <row r="13">
      <c r="A13" s="14" t="n">
        <v>45664</v>
      </c>
      <c r="B13" s="4" t="inlineStr">
        <is>
          <t>SO202510264</t>
        </is>
      </c>
      <c r="C13" s="4" t="inlineStr">
        <is>
          <t>杭州百味食品有限公司</t>
        </is>
      </c>
      <c r="D13" s="4" t="inlineStr">
        <is>
          <t>休闲零食</t>
        </is>
      </c>
      <c r="E13" s="4" t="inlineStr">
        <is>
          <t>A级</t>
        </is>
      </c>
      <c r="F13" s="18" t="n">
        <v>3140</v>
      </c>
      <c r="G13" s="15" t="n">
        <v>39.46</v>
      </c>
      <c r="H13" s="15" t="n">
        <v>123904.4</v>
      </c>
      <c r="I13" s="4" t="inlineStr">
        <is>
          <t>浙江加盟</t>
        </is>
      </c>
      <c r="J13" s="4" t="inlineStr">
        <is>
          <t>马娟伟</t>
        </is>
      </c>
    </row>
    <row r="14">
      <c r="A14" s="14" t="n">
        <v>45664</v>
      </c>
      <c r="B14" s="4" t="inlineStr">
        <is>
          <t>SO202510281</t>
        </is>
      </c>
      <c r="C14" s="4" t="inlineStr">
        <is>
          <t>宁波淼沃酒店管理集团</t>
        </is>
      </c>
      <c r="D14" s="4" t="inlineStr">
        <is>
          <t>粮油调味</t>
        </is>
      </c>
      <c r="E14" s="4" t="inlineStr">
        <is>
          <t>2.5kg</t>
        </is>
      </c>
      <c r="F14" s="18" t="n">
        <v>4500</v>
      </c>
      <c r="G14" s="15" t="n">
        <v>80.43000000000001</v>
      </c>
      <c r="H14" s="15" t="n">
        <v>361935</v>
      </c>
      <c r="I14" s="4" t="inlineStr">
        <is>
          <t>浙江加盟</t>
        </is>
      </c>
      <c r="J14" s="4" t="inlineStr">
        <is>
          <t>徐强娜</t>
        </is>
      </c>
    </row>
    <row r="15">
      <c r="A15" s="14" t="n">
        <v>45664</v>
      </c>
      <c r="B15" s="4" t="inlineStr">
        <is>
          <t>SO202510308</t>
        </is>
      </c>
      <c r="C15" s="4" t="inlineStr">
        <is>
          <t>镇江京功供应链有限公司</t>
        </is>
      </c>
      <c r="D15" s="4" t="inlineStr">
        <is>
          <t>日用百货</t>
        </is>
      </c>
      <c r="E15" s="4" t="inlineStr">
        <is>
          <t>500g</t>
        </is>
      </c>
      <c r="F15" s="18" t="n">
        <v>3820</v>
      </c>
      <c r="G15" s="15" t="n">
        <v>48.56</v>
      </c>
      <c r="H15" s="15" t="n">
        <v>185499.2</v>
      </c>
      <c r="I15" s="4" t="inlineStr">
        <is>
          <t>上海直营</t>
        </is>
      </c>
      <c r="J15" s="4" t="inlineStr">
        <is>
          <t>胡芳芳</t>
        </is>
      </c>
    </row>
    <row r="16">
      <c r="A16" s="14" t="n">
        <v>45665</v>
      </c>
      <c r="B16" s="4" t="inlineStr">
        <is>
          <t>SO202510020</t>
        </is>
      </c>
      <c r="C16" s="4" t="inlineStr">
        <is>
          <t>苏州京功餐饮管理有限公司</t>
        </is>
      </c>
      <c r="D16" s="4" t="inlineStr">
        <is>
          <t>肉禽蛋奶</t>
        </is>
      </c>
      <c r="E16" s="4" t="inlineStr">
        <is>
          <t>精装</t>
        </is>
      </c>
      <c r="F16" s="18" t="n">
        <v>1780</v>
      </c>
      <c r="G16" s="15" t="n">
        <v>6.87</v>
      </c>
      <c r="H16" s="15" t="n">
        <v>12228.6</v>
      </c>
      <c r="I16" s="4" t="inlineStr">
        <is>
          <t>上海直营</t>
        </is>
      </c>
      <c r="J16" s="4" t="inlineStr">
        <is>
          <t>陈丽芳</t>
        </is>
      </c>
    </row>
    <row r="17">
      <c r="A17" s="14" t="n">
        <v>45665</v>
      </c>
      <c r="B17" s="4" t="inlineStr">
        <is>
          <t>SO202510121</t>
        </is>
      </c>
      <c r="C17" s="4" t="inlineStr">
        <is>
          <t>上海优鲜超市</t>
        </is>
      </c>
      <c r="D17" s="4" t="inlineStr">
        <is>
          <t>肉禽蛋奶</t>
        </is>
      </c>
      <c r="E17" s="4" t="inlineStr">
        <is>
          <t>B级</t>
        </is>
      </c>
      <c r="F17" s="18" t="n">
        <v>4400</v>
      </c>
      <c r="G17" s="15" t="n">
        <v>2.64</v>
      </c>
      <c r="H17" s="15" t="n">
        <v>11616</v>
      </c>
      <c r="I17" s="4" t="inlineStr">
        <is>
          <t>线上渠道</t>
        </is>
      </c>
      <c r="J17" s="4" t="inlineStr">
        <is>
          <t>李伟秀</t>
        </is>
      </c>
    </row>
    <row r="18">
      <c r="A18" s="14" t="n">
        <v>45665</v>
      </c>
      <c r="B18" s="4" t="inlineStr">
        <is>
          <t>SO202510130</t>
        </is>
      </c>
      <c r="C18" s="4" t="inlineStr">
        <is>
          <t>常州大匠食品有限公司</t>
        </is>
      </c>
      <c r="D18" s="4" t="inlineStr">
        <is>
          <t>生鲜蔬果</t>
        </is>
      </c>
      <c r="E18" s="4" t="inlineStr">
        <is>
          <t>25kg</t>
        </is>
      </c>
      <c r="F18" s="18" t="n">
        <v>2280</v>
      </c>
      <c r="G18" s="15" t="n">
        <v>29.45</v>
      </c>
      <c r="H18" s="15" t="n">
        <v>67146</v>
      </c>
      <c r="I18" s="4" t="inlineStr">
        <is>
          <t>上海直营</t>
        </is>
      </c>
      <c r="J18" s="4" t="inlineStr">
        <is>
          <t>张强娜</t>
        </is>
      </c>
    </row>
    <row r="19">
      <c r="A19" s="14" t="n">
        <v>45665</v>
      </c>
      <c r="B19" s="4" t="inlineStr">
        <is>
          <t>SO202510287</t>
        </is>
      </c>
      <c r="C19" s="4" t="inlineStr">
        <is>
          <t>宁波优鲜供应链有限公司</t>
        </is>
      </c>
      <c r="D19" s="4" t="inlineStr">
        <is>
          <t>粮油调味</t>
        </is>
      </c>
      <c r="E19" s="4" t="inlineStr">
        <is>
          <t>A级</t>
        </is>
      </c>
      <c r="F19" s="18" t="n">
        <v>4180</v>
      </c>
      <c r="G19" s="15" t="n">
        <v>53.95</v>
      </c>
      <c r="H19" s="15" t="n">
        <v>225511</v>
      </c>
      <c r="I19" s="4" t="inlineStr">
        <is>
          <t>上海直营</t>
        </is>
      </c>
      <c r="J19" s="4" t="inlineStr">
        <is>
          <t>杨涛秀</t>
        </is>
      </c>
    </row>
    <row r="20">
      <c r="A20" s="14" t="n">
        <v>45666</v>
      </c>
      <c r="B20" s="4" t="inlineStr">
        <is>
          <t>SO202510273</t>
        </is>
      </c>
      <c r="C20" s="4" t="inlineStr">
        <is>
          <t>南昌食佳超市</t>
        </is>
      </c>
      <c r="D20" s="4" t="inlineStr">
        <is>
          <t>日用百货</t>
        </is>
      </c>
      <c r="E20" s="4" t="inlineStr">
        <is>
          <t>25kg</t>
        </is>
      </c>
      <c r="F20" s="18" t="n">
        <v>1210</v>
      </c>
      <c r="G20" s="15" t="n">
        <v>42.59</v>
      </c>
      <c r="H20" s="15" t="n">
        <v>51533.9</v>
      </c>
      <c r="I20" s="4" t="inlineStr">
        <is>
          <t>浙江加盟</t>
        </is>
      </c>
      <c r="J20" s="4" t="inlineStr">
        <is>
          <t>吴杰秀</t>
        </is>
      </c>
    </row>
    <row r="21">
      <c r="A21" s="14" t="n">
        <v>45667</v>
      </c>
      <c r="B21" s="4" t="inlineStr">
        <is>
          <t>SO202510191</t>
        </is>
      </c>
      <c r="C21" s="4" t="inlineStr">
        <is>
          <t>上海淼沃电商平台</t>
        </is>
      </c>
      <c r="D21" s="4" t="inlineStr">
        <is>
          <t>生鲜蔬果</t>
        </is>
      </c>
      <c r="E21" s="4" t="inlineStr">
        <is>
          <t>A级</t>
        </is>
      </c>
      <c r="F21" s="18" t="n">
        <v>2080</v>
      </c>
      <c r="G21" s="15" t="n">
        <v>30.21</v>
      </c>
      <c r="H21" s="15" t="n">
        <v>62836.8</v>
      </c>
      <c r="I21" s="4" t="inlineStr">
        <is>
          <t>浙江加盟</t>
        </is>
      </c>
      <c r="J21" s="4" t="inlineStr">
        <is>
          <t>杨娟娜</t>
        </is>
      </c>
    </row>
    <row r="22">
      <c r="A22" s="14" t="n">
        <v>45669</v>
      </c>
      <c r="B22" s="4" t="inlineStr">
        <is>
          <t>SO202510083</t>
        </is>
      </c>
      <c r="C22" s="4" t="inlineStr">
        <is>
          <t>南昌大匠电商平台</t>
        </is>
      </c>
      <c r="D22" s="4" t="inlineStr">
        <is>
          <t>粮油调味</t>
        </is>
      </c>
      <c r="E22" s="4" t="inlineStr">
        <is>
          <t>C级</t>
        </is>
      </c>
      <c r="F22" s="18" t="n">
        <v>2870</v>
      </c>
      <c r="G22" s="15" t="n">
        <v>65.01000000000001</v>
      </c>
      <c r="H22" s="15" t="n">
        <v>186578.7</v>
      </c>
      <c r="I22" s="4" t="inlineStr">
        <is>
          <t>上海直营</t>
        </is>
      </c>
      <c r="J22" s="4" t="inlineStr">
        <is>
          <t>徐娟英</t>
        </is>
      </c>
    </row>
    <row r="23">
      <c r="A23" s="14" t="n">
        <v>45669</v>
      </c>
      <c r="B23" s="4" t="inlineStr">
        <is>
          <t>SO202510116</t>
        </is>
      </c>
      <c r="C23" s="4" t="inlineStr">
        <is>
          <t>常州淼沃超市</t>
        </is>
      </c>
      <c r="D23" s="4" t="inlineStr">
        <is>
          <t>生鲜蔬果</t>
        </is>
      </c>
      <c r="E23" s="4" t="inlineStr">
        <is>
          <t>C级</t>
        </is>
      </c>
      <c r="F23" s="18" t="n">
        <v>170</v>
      </c>
      <c r="G23" s="15" t="n">
        <v>52.54</v>
      </c>
      <c r="H23" s="15" t="n">
        <v>8931.799999999999</v>
      </c>
      <c r="I23" s="4" t="inlineStr">
        <is>
          <t>江苏加盟</t>
        </is>
      </c>
      <c r="J23" s="4" t="inlineStr">
        <is>
          <t>何强敏</t>
        </is>
      </c>
    </row>
    <row r="24">
      <c r="A24" s="14" t="n">
        <v>45670</v>
      </c>
      <c r="B24" s="4" t="inlineStr">
        <is>
          <t>SO202510059</t>
        </is>
      </c>
      <c r="C24" s="4" t="inlineStr">
        <is>
          <t>苏州食佳电商平台</t>
        </is>
      </c>
      <c r="D24" s="4" t="inlineStr">
        <is>
          <t>生鲜蔬果</t>
        </is>
      </c>
      <c r="E24" s="4" t="inlineStr">
        <is>
          <t>2.5kg</t>
        </is>
      </c>
      <c r="F24" s="18" t="n">
        <v>130</v>
      </c>
      <c r="G24" s="15" t="n">
        <v>28.21</v>
      </c>
      <c r="H24" s="15" t="n">
        <v>3667.3</v>
      </c>
      <c r="I24" s="4" t="inlineStr">
        <is>
          <t>江苏加盟</t>
        </is>
      </c>
      <c r="J24" s="4" t="inlineStr">
        <is>
          <t>高秀伟</t>
        </is>
      </c>
    </row>
    <row r="25">
      <c r="A25" s="14" t="n">
        <v>45672</v>
      </c>
      <c r="B25" s="4" t="inlineStr">
        <is>
          <t>SO202510028</t>
        </is>
      </c>
      <c r="C25" s="4" t="inlineStr">
        <is>
          <t>南京大匠超市</t>
        </is>
      </c>
      <c r="D25" s="4" t="inlineStr">
        <is>
          <t>酒水饮料</t>
        </is>
      </c>
      <c r="E25" s="4" t="inlineStr">
        <is>
          <t>1kg</t>
        </is>
      </c>
      <c r="F25" s="18" t="n">
        <v>4820</v>
      </c>
      <c r="G25" s="15" t="n">
        <v>9.630000000000001</v>
      </c>
      <c r="H25" s="15" t="n">
        <v>46416.6</v>
      </c>
      <c r="I25" s="4" t="inlineStr">
        <is>
          <t>线上渠道</t>
        </is>
      </c>
      <c r="J25" s="4" t="inlineStr">
        <is>
          <t>王洋英</t>
        </is>
      </c>
    </row>
    <row r="26">
      <c r="A26" s="14" t="n">
        <v>45672</v>
      </c>
      <c r="B26" s="4" t="inlineStr">
        <is>
          <t>SO202510175</t>
        </is>
      </c>
      <c r="C26" s="4" t="inlineStr">
        <is>
          <t>常州百味超市</t>
        </is>
      </c>
      <c r="D26" s="4" t="inlineStr">
        <is>
          <t>生鲜蔬果</t>
        </is>
      </c>
      <c r="E26" s="4" t="inlineStr">
        <is>
          <t>500g</t>
        </is>
      </c>
      <c r="F26" s="18" t="n">
        <v>4150</v>
      </c>
      <c r="G26" s="15" t="n">
        <v>70.45</v>
      </c>
      <c r="H26" s="15" t="n">
        <v>292367.5</v>
      </c>
      <c r="I26" s="4" t="inlineStr">
        <is>
          <t>上海直营</t>
        </is>
      </c>
      <c r="J26" s="4" t="inlineStr">
        <is>
          <t>徐涛秀</t>
        </is>
      </c>
    </row>
    <row r="27">
      <c r="A27" s="14" t="n">
        <v>45673</v>
      </c>
      <c r="B27" s="4" t="inlineStr">
        <is>
          <t>SO202510021</t>
        </is>
      </c>
      <c r="C27" s="4" t="inlineStr">
        <is>
          <t>上海食佳超市</t>
        </is>
      </c>
      <c r="D27" s="4" t="inlineStr">
        <is>
          <t>日用百货</t>
        </is>
      </c>
      <c r="E27" s="4" t="inlineStr">
        <is>
          <t>标准</t>
        </is>
      </c>
      <c r="F27" s="18" t="n">
        <v>460</v>
      </c>
      <c r="G27" s="15" t="n">
        <v>38.15</v>
      </c>
      <c r="H27" s="15" t="n">
        <v>17549</v>
      </c>
      <c r="I27" s="4" t="inlineStr">
        <is>
          <t>上海直营</t>
        </is>
      </c>
      <c r="J27" s="4" t="inlineStr">
        <is>
          <t>林芳英</t>
        </is>
      </c>
    </row>
    <row r="28">
      <c r="A28" s="14" t="n">
        <v>45673</v>
      </c>
      <c r="B28" s="4" t="inlineStr">
        <is>
          <t>SO202510112</t>
        </is>
      </c>
      <c r="C28" s="4" t="inlineStr">
        <is>
          <t>杭州大匠食品有限公司</t>
        </is>
      </c>
      <c r="D28" s="4" t="inlineStr">
        <is>
          <t>日用百货</t>
        </is>
      </c>
      <c r="E28" s="4" t="inlineStr">
        <is>
          <t>简装</t>
        </is>
      </c>
      <c r="F28" s="18" t="n">
        <v>3670</v>
      </c>
      <c r="G28" s="15" t="n">
        <v>53.37</v>
      </c>
      <c r="H28" s="15" t="n">
        <v>195867.9</v>
      </c>
      <c r="I28" s="4" t="inlineStr">
        <is>
          <t>浙江加盟</t>
        </is>
      </c>
      <c r="J28" s="4" t="inlineStr">
        <is>
          <t>胡丽敏</t>
        </is>
      </c>
    </row>
    <row r="29">
      <c r="A29" s="14" t="n">
        <v>45677</v>
      </c>
      <c r="B29" s="4" t="inlineStr">
        <is>
          <t>SO202510067</t>
        </is>
      </c>
      <c r="C29" s="4" t="inlineStr">
        <is>
          <t>镇江百味商贸有限公司</t>
        </is>
      </c>
      <c r="D29" s="4" t="inlineStr">
        <is>
          <t>肉禽蛋奶</t>
        </is>
      </c>
      <c r="E29" s="4" t="inlineStr">
        <is>
          <t>C级</t>
        </is>
      </c>
      <c r="F29" s="18" t="n">
        <v>1270</v>
      </c>
      <c r="G29" s="15" t="n">
        <v>61.82</v>
      </c>
      <c r="H29" s="15" t="n">
        <v>78511.39999999999</v>
      </c>
      <c r="I29" s="4" t="inlineStr">
        <is>
          <t>线上渠道</t>
        </is>
      </c>
      <c r="J29" s="4" t="inlineStr">
        <is>
          <t>罗磊伟</t>
        </is>
      </c>
    </row>
    <row r="30">
      <c r="A30" s="14" t="n">
        <v>45678</v>
      </c>
      <c r="B30" s="4" t="inlineStr">
        <is>
          <t>SO202510008</t>
        </is>
      </c>
      <c r="C30" s="4" t="inlineStr">
        <is>
          <t>常州大匠电商平台</t>
        </is>
      </c>
      <c r="D30" s="4" t="inlineStr">
        <is>
          <t>生鲜蔬果</t>
        </is>
      </c>
      <c r="E30" s="4" t="inlineStr">
        <is>
          <t>1kg</t>
        </is>
      </c>
      <c r="F30" s="18" t="n">
        <v>2680</v>
      </c>
      <c r="G30" s="15" t="n">
        <v>28.42</v>
      </c>
      <c r="H30" s="15" t="n">
        <v>76165.60000000001</v>
      </c>
      <c r="I30" s="4" t="inlineStr">
        <is>
          <t>浙江加盟</t>
        </is>
      </c>
      <c r="J30" s="4" t="inlineStr">
        <is>
          <t>杨洋英</t>
        </is>
      </c>
    </row>
    <row r="31">
      <c r="A31" s="14" t="n">
        <v>45679</v>
      </c>
      <c r="B31" s="4" t="inlineStr">
        <is>
          <t>SO202510045</t>
        </is>
      </c>
      <c r="C31" s="4" t="inlineStr">
        <is>
          <t>南京淼沃供应链有限公司</t>
        </is>
      </c>
      <c r="D31" s="4" t="inlineStr">
        <is>
          <t>生鲜蔬果</t>
        </is>
      </c>
      <c r="E31" s="4" t="inlineStr">
        <is>
          <t>1kg</t>
        </is>
      </c>
      <c r="F31" s="18" t="n">
        <v>1760</v>
      </c>
      <c r="G31" s="15" t="n">
        <v>31.34</v>
      </c>
      <c r="H31" s="15" t="n">
        <v>55158.4</v>
      </c>
      <c r="I31" s="4" t="inlineStr">
        <is>
          <t>江苏加盟</t>
        </is>
      </c>
      <c r="J31" s="4" t="inlineStr">
        <is>
          <t>王秀英</t>
        </is>
      </c>
    </row>
    <row r="32">
      <c r="A32" s="14" t="n">
        <v>45679</v>
      </c>
      <c r="B32" s="4" t="inlineStr">
        <is>
          <t>SO202510138</t>
        </is>
      </c>
      <c r="C32" s="4" t="inlineStr">
        <is>
          <t>苏州京功酒店管理集团</t>
        </is>
      </c>
      <c r="D32" s="4" t="inlineStr">
        <is>
          <t>酒水饮料</t>
        </is>
      </c>
      <c r="E32" s="4" t="inlineStr">
        <is>
          <t>25kg</t>
        </is>
      </c>
      <c r="F32" s="18" t="n">
        <v>1440</v>
      </c>
      <c r="G32" s="15" t="n">
        <v>40.57</v>
      </c>
      <c r="H32" s="15" t="n">
        <v>58420.8</v>
      </c>
      <c r="I32" s="4" t="inlineStr">
        <is>
          <t>线上渠道</t>
        </is>
      </c>
      <c r="J32" s="4" t="inlineStr">
        <is>
          <t>黄秀英</t>
        </is>
      </c>
    </row>
    <row r="33">
      <c r="A33" s="14" t="n">
        <v>45679</v>
      </c>
      <c r="B33" s="4" t="inlineStr">
        <is>
          <t>SO202510188</t>
        </is>
      </c>
      <c r="C33" s="4" t="inlineStr">
        <is>
          <t>南昌食佳超市</t>
        </is>
      </c>
      <c r="D33" s="4" t="inlineStr">
        <is>
          <t>肉禽蛋奶</t>
        </is>
      </c>
      <c r="E33" s="4" t="inlineStr">
        <is>
          <t>5kg</t>
        </is>
      </c>
      <c r="F33" s="18" t="n">
        <v>3180</v>
      </c>
      <c r="G33" s="15" t="n">
        <v>90.37</v>
      </c>
      <c r="H33" s="15" t="n">
        <v>287376.6</v>
      </c>
      <c r="I33" s="4" t="inlineStr">
        <is>
          <t>线上渠道</t>
        </is>
      </c>
      <c r="J33" s="4" t="inlineStr">
        <is>
          <t>罗涛娜</t>
        </is>
      </c>
    </row>
    <row r="34">
      <c r="A34" s="14" t="n">
        <v>45682</v>
      </c>
      <c r="B34" s="4" t="inlineStr">
        <is>
          <t>SO202510073</t>
        </is>
      </c>
      <c r="C34" s="4" t="inlineStr">
        <is>
          <t>杭州百味酒店管理集团</t>
        </is>
      </c>
      <c r="D34" s="4" t="inlineStr">
        <is>
          <t>生鲜蔬果</t>
        </is>
      </c>
      <c r="E34" s="4" t="inlineStr">
        <is>
          <t>2.5kg</t>
        </is>
      </c>
      <c r="F34" s="18" t="n">
        <v>2280</v>
      </c>
      <c r="G34" s="15" t="n">
        <v>49.91</v>
      </c>
      <c r="H34" s="15" t="n">
        <v>113794.8</v>
      </c>
      <c r="I34" s="4" t="inlineStr">
        <is>
          <t>江苏加盟</t>
        </is>
      </c>
      <c r="J34" s="4" t="inlineStr">
        <is>
          <t>徐秀娜</t>
        </is>
      </c>
    </row>
    <row r="35">
      <c r="A35" s="14" t="n">
        <v>45683</v>
      </c>
      <c r="B35" s="4" t="inlineStr">
        <is>
          <t>SO202510136</t>
        </is>
      </c>
      <c r="C35" s="4" t="inlineStr">
        <is>
          <t>无锡京功商贸有限公司</t>
        </is>
      </c>
      <c r="D35" s="4" t="inlineStr">
        <is>
          <t>生鲜蔬果</t>
        </is>
      </c>
      <c r="E35" s="4" t="inlineStr">
        <is>
          <t>10kg</t>
        </is>
      </c>
      <c r="F35" s="18" t="n">
        <v>4500</v>
      </c>
      <c r="G35" s="15" t="n">
        <v>36.49</v>
      </c>
      <c r="H35" s="15" t="n">
        <v>164205</v>
      </c>
      <c r="I35" s="4" t="inlineStr">
        <is>
          <t>线上渠道</t>
        </is>
      </c>
      <c r="J35" s="4" t="inlineStr">
        <is>
          <t>杨静秀</t>
        </is>
      </c>
    </row>
    <row r="36">
      <c r="A36" s="14" t="n">
        <v>45683</v>
      </c>
      <c r="B36" s="4" t="inlineStr">
        <is>
          <t>SO202510268</t>
        </is>
      </c>
      <c r="C36" s="4" t="inlineStr">
        <is>
          <t>南昌优鲜超市</t>
        </is>
      </c>
      <c r="D36" s="4" t="inlineStr">
        <is>
          <t>酒水饮料</t>
        </is>
      </c>
      <c r="E36" s="4" t="inlineStr">
        <is>
          <t>特级</t>
        </is>
      </c>
      <c r="F36" s="18" t="n">
        <v>1730</v>
      </c>
      <c r="G36" s="15" t="n">
        <v>89.23</v>
      </c>
      <c r="H36" s="15" t="n">
        <v>154367.9</v>
      </c>
      <c r="I36" s="4" t="inlineStr">
        <is>
          <t>江苏加盟</t>
        </is>
      </c>
      <c r="J36" s="4" t="inlineStr">
        <is>
          <t>何明英</t>
        </is>
      </c>
    </row>
    <row r="37">
      <c r="A37" s="14" t="n">
        <v>45684</v>
      </c>
      <c r="B37" s="4" t="inlineStr">
        <is>
          <t>SO202510186</t>
        </is>
      </c>
      <c r="C37" s="4" t="inlineStr">
        <is>
          <t>上海淼沃食品有限公司</t>
        </is>
      </c>
      <c r="D37" s="4" t="inlineStr">
        <is>
          <t>生鲜蔬果</t>
        </is>
      </c>
      <c r="E37" s="4" t="inlineStr">
        <is>
          <t>A级</t>
        </is>
      </c>
      <c r="F37" s="18" t="n">
        <v>2550</v>
      </c>
      <c r="G37" s="15" t="n">
        <v>56.64</v>
      </c>
      <c r="H37" s="15" t="n">
        <v>144432</v>
      </c>
      <c r="I37" s="4" t="inlineStr">
        <is>
          <t>江苏加盟</t>
        </is>
      </c>
      <c r="J37" s="4" t="inlineStr">
        <is>
          <t>刘伟娜</t>
        </is>
      </c>
    </row>
    <row r="38">
      <c r="A38" s="14" t="n">
        <v>45685</v>
      </c>
      <c r="B38" s="4" t="inlineStr">
        <is>
          <t>SO202510314</t>
        </is>
      </c>
      <c r="C38" s="4" t="inlineStr">
        <is>
          <t>无锡大匠电商平台</t>
        </is>
      </c>
      <c r="D38" s="4" t="inlineStr">
        <is>
          <t>生鲜蔬果</t>
        </is>
      </c>
      <c r="E38" s="4" t="inlineStr">
        <is>
          <t>C级</t>
        </is>
      </c>
      <c r="F38" s="18" t="n">
        <v>1000</v>
      </c>
      <c r="G38" s="15" t="n">
        <v>32.46</v>
      </c>
      <c r="H38" s="15" t="n">
        <v>32460</v>
      </c>
      <c r="I38" s="4" t="inlineStr">
        <is>
          <t>线上渠道</t>
        </is>
      </c>
      <c r="J38" s="4" t="inlineStr">
        <is>
          <t>王敏秀</t>
        </is>
      </c>
    </row>
    <row r="39">
      <c r="A39" s="14" t="n">
        <v>45690</v>
      </c>
      <c r="B39" s="4" t="inlineStr">
        <is>
          <t>SO202510321</t>
        </is>
      </c>
      <c r="C39" s="4" t="inlineStr">
        <is>
          <t>南昌淼沃电商平台</t>
        </is>
      </c>
      <c r="D39" s="4" t="inlineStr">
        <is>
          <t>肉禽蛋奶</t>
        </is>
      </c>
      <c r="E39" s="4" t="inlineStr">
        <is>
          <t>10kg</t>
        </is>
      </c>
      <c r="F39" s="18" t="n">
        <v>4150</v>
      </c>
      <c r="G39" s="15" t="n">
        <v>24.87</v>
      </c>
      <c r="H39" s="15" t="n">
        <v>103210.5</v>
      </c>
      <c r="I39" s="4" t="inlineStr">
        <is>
          <t>浙江加盟</t>
        </is>
      </c>
      <c r="J39" s="4" t="inlineStr">
        <is>
          <t>王伟英</t>
        </is>
      </c>
    </row>
    <row r="40">
      <c r="A40" s="14" t="n">
        <v>45691</v>
      </c>
      <c r="B40" s="4" t="inlineStr">
        <is>
          <t>SO202510101</t>
        </is>
      </c>
      <c r="C40" s="4" t="inlineStr">
        <is>
          <t>杭州百味食品有限公司</t>
        </is>
      </c>
      <c r="D40" s="4" t="inlineStr">
        <is>
          <t>粮油调味</t>
        </is>
      </c>
      <c r="E40" s="4" t="inlineStr">
        <is>
          <t>10kg</t>
        </is>
      </c>
      <c r="F40" s="18" t="n">
        <v>4010</v>
      </c>
      <c r="G40" s="15" t="n">
        <v>97.18000000000001</v>
      </c>
      <c r="H40" s="15" t="n">
        <v>389691.8</v>
      </c>
      <c r="I40" s="4" t="inlineStr">
        <is>
          <t>上海直营</t>
        </is>
      </c>
      <c r="J40" s="4" t="inlineStr">
        <is>
          <t>周伟英</t>
        </is>
      </c>
    </row>
    <row r="41">
      <c r="A41" s="14" t="n">
        <v>45693</v>
      </c>
      <c r="B41" s="4" t="inlineStr">
        <is>
          <t>SO202510158</t>
        </is>
      </c>
      <c r="C41" s="4" t="inlineStr">
        <is>
          <t>温州大匠酒店管理集团</t>
        </is>
      </c>
      <c r="D41" s="4" t="inlineStr">
        <is>
          <t>肉禽蛋奶</t>
        </is>
      </c>
      <c r="E41" s="4" t="inlineStr">
        <is>
          <t>标准</t>
        </is>
      </c>
      <c r="F41" s="18" t="n">
        <v>4460</v>
      </c>
      <c r="G41" s="15" t="n">
        <v>17.07</v>
      </c>
      <c r="H41" s="15" t="n">
        <v>76132.2</v>
      </c>
      <c r="I41" s="4" t="inlineStr">
        <is>
          <t>浙江加盟</t>
        </is>
      </c>
      <c r="J41" s="4" t="inlineStr">
        <is>
          <t>张勇秀</t>
        </is>
      </c>
    </row>
    <row r="42">
      <c r="A42" s="14" t="n">
        <v>45694</v>
      </c>
      <c r="B42" s="4" t="inlineStr">
        <is>
          <t>SO202510218</t>
        </is>
      </c>
      <c r="C42" s="4" t="inlineStr">
        <is>
          <t>合肥食佳餐饮管理有限公司</t>
        </is>
      </c>
      <c r="D42" s="4" t="inlineStr">
        <is>
          <t>日用百货</t>
        </is>
      </c>
      <c r="E42" s="4" t="inlineStr">
        <is>
          <t>标准</t>
        </is>
      </c>
      <c r="F42" s="18" t="n">
        <v>2680</v>
      </c>
      <c r="G42" s="15" t="n">
        <v>71.23</v>
      </c>
      <c r="H42" s="15" t="n">
        <v>190896.4</v>
      </c>
      <c r="I42" s="4" t="inlineStr">
        <is>
          <t>线上渠道</t>
        </is>
      </c>
      <c r="J42" s="4" t="inlineStr">
        <is>
          <t>王洋英</t>
        </is>
      </c>
    </row>
    <row r="43">
      <c r="A43" s="14" t="n">
        <v>45694</v>
      </c>
      <c r="B43" s="4" t="inlineStr">
        <is>
          <t>SO202510253</t>
        </is>
      </c>
      <c r="C43" s="4" t="inlineStr">
        <is>
          <t>无锡京功食品有限公司</t>
        </is>
      </c>
      <c r="D43" s="4" t="inlineStr">
        <is>
          <t>酒水饮料</t>
        </is>
      </c>
      <c r="E43" s="4" t="inlineStr">
        <is>
          <t>2.5kg</t>
        </is>
      </c>
      <c r="F43" s="18" t="n">
        <v>1230</v>
      </c>
      <c r="G43" s="15" t="n">
        <v>30.81</v>
      </c>
      <c r="H43" s="15" t="n">
        <v>37896.3</v>
      </c>
      <c r="I43" s="4" t="inlineStr">
        <is>
          <t>上海直营</t>
        </is>
      </c>
      <c r="J43" s="4" t="inlineStr">
        <is>
          <t>陈伟芳</t>
        </is>
      </c>
    </row>
    <row r="44">
      <c r="A44" s="14" t="n">
        <v>45695</v>
      </c>
      <c r="B44" s="4" t="inlineStr">
        <is>
          <t>SO202510192</t>
        </is>
      </c>
      <c r="C44" s="4" t="inlineStr">
        <is>
          <t>常州大匠电商平台</t>
        </is>
      </c>
      <c r="D44" s="4" t="inlineStr">
        <is>
          <t>肉禽蛋奶</t>
        </is>
      </c>
      <c r="E44" s="4" t="inlineStr">
        <is>
          <t>10kg</t>
        </is>
      </c>
      <c r="F44" s="18" t="n">
        <v>2350</v>
      </c>
      <c r="G44" s="15" t="n">
        <v>93.90000000000001</v>
      </c>
      <c r="H44" s="15" t="n">
        <v>220665</v>
      </c>
      <c r="I44" s="4" t="inlineStr">
        <is>
          <t>线上渠道</t>
        </is>
      </c>
      <c r="J44" s="4" t="inlineStr">
        <is>
          <t>胡杰秀</t>
        </is>
      </c>
    </row>
    <row r="45">
      <c r="A45" s="14" t="n">
        <v>45697</v>
      </c>
      <c r="B45" s="4" t="inlineStr">
        <is>
          <t>SO202510261</t>
        </is>
      </c>
      <c r="C45" s="4" t="inlineStr">
        <is>
          <t>上海淼沃食品有限公司</t>
        </is>
      </c>
      <c r="D45" s="4" t="inlineStr">
        <is>
          <t>休闲零食</t>
        </is>
      </c>
      <c r="E45" s="4" t="inlineStr">
        <is>
          <t>25kg</t>
        </is>
      </c>
      <c r="F45" s="18" t="n">
        <v>2440</v>
      </c>
      <c r="G45" s="15" t="n">
        <v>77.56999999999999</v>
      </c>
      <c r="H45" s="15" t="n">
        <v>189270.8</v>
      </c>
      <c r="I45" s="4" t="inlineStr">
        <is>
          <t>江苏加盟</t>
        </is>
      </c>
      <c r="J45" s="4" t="inlineStr">
        <is>
          <t>林娟娜</t>
        </is>
      </c>
    </row>
    <row r="46">
      <c r="A46" s="14" t="n">
        <v>45698</v>
      </c>
      <c r="B46" s="4" t="inlineStr">
        <is>
          <t>SO202510278</t>
        </is>
      </c>
      <c r="C46" s="4" t="inlineStr">
        <is>
          <t>杭州京功餐饮管理有限公司</t>
        </is>
      </c>
      <c r="D46" s="4" t="inlineStr">
        <is>
          <t>酒水饮料</t>
        </is>
      </c>
      <c r="E46" s="4" t="inlineStr">
        <is>
          <t>C级</t>
        </is>
      </c>
      <c r="F46" s="18" t="n">
        <v>4700</v>
      </c>
      <c r="G46" s="15" t="n">
        <v>5.53</v>
      </c>
      <c r="H46" s="15" t="n">
        <v>25991</v>
      </c>
      <c r="I46" s="4" t="inlineStr">
        <is>
          <t>线上渠道</t>
        </is>
      </c>
      <c r="J46" s="4" t="inlineStr">
        <is>
          <t>李明英</t>
        </is>
      </c>
    </row>
    <row r="47">
      <c r="A47" s="14" t="n">
        <v>45700</v>
      </c>
      <c r="B47" s="4" t="inlineStr">
        <is>
          <t>SO202510327</t>
        </is>
      </c>
      <c r="C47" s="4" t="inlineStr">
        <is>
          <t>杭州食佳餐饮管理有限公司</t>
        </is>
      </c>
      <c r="D47" s="4" t="inlineStr">
        <is>
          <t>酒水饮料</t>
        </is>
      </c>
      <c r="E47" s="4" t="inlineStr">
        <is>
          <t>A级</t>
        </is>
      </c>
      <c r="F47" s="18" t="n">
        <v>3410</v>
      </c>
      <c r="G47" s="15" t="n">
        <v>70.43000000000001</v>
      </c>
      <c r="H47" s="15" t="n">
        <v>240166.3</v>
      </c>
      <c r="I47" s="4" t="inlineStr">
        <is>
          <t>浙江加盟</t>
        </is>
      </c>
      <c r="J47" s="4" t="inlineStr">
        <is>
          <t>刘杰娜</t>
        </is>
      </c>
    </row>
    <row r="48">
      <c r="A48" s="14" t="n">
        <v>45707</v>
      </c>
      <c r="B48" s="4" t="inlineStr">
        <is>
          <t>SO202510325</t>
        </is>
      </c>
      <c r="C48" s="4" t="inlineStr">
        <is>
          <t>嘉兴淼沃超市</t>
        </is>
      </c>
      <c r="D48" s="4" t="inlineStr">
        <is>
          <t>休闲零食</t>
        </is>
      </c>
      <c r="E48" s="4" t="inlineStr">
        <is>
          <t>2.5kg</t>
        </is>
      </c>
      <c r="F48" s="18" t="n">
        <v>4110</v>
      </c>
      <c r="G48" s="15" t="n">
        <v>71.81</v>
      </c>
      <c r="H48" s="15" t="n">
        <v>295139.1</v>
      </c>
      <c r="I48" s="4" t="inlineStr">
        <is>
          <t>线上渠道</t>
        </is>
      </c>
      <c r="J48" s="4" t="inlineStr">
        <is>
          <t>赵涛秀</t>
        </is>
      </c>
    </row>
    <row r="49">
      <c r="A49" s="14" t="n">
        <v>45710</v>
      </c>
      <c r="B49" s="4" t="inlineStr">
        <is>
          <t>SO202510052</t>
        </is>
      </c>
      <c r="C49" s="4" t="inlineStr">
        <is>
          <t>南京优鲜电商平台</t>
        </is>
      </c>
      <c r="D49" s="4" t="inlineStr">
        <is>
          <t>粮油调味</t>
        </is>
      </c>
      <c r="E49" s="4" t="inlineStr">
        <is>
          <t>C级</t>
        </is>
      </c>
      <c r="F49" s="18" t="n">
        <v>2660</v>
      </c>
      <c r="G49" s="15" t="n">
        <v>57.48</v>
      </c>
      <c r="H49" s="15" t="n">
        <v>152896.8</v>
      </c>
      <c r="I49" s="4" t="inlineStr">
        <is>
          <t>上海直营</t>
        </is>
      </c>
      <c r="J49" s="4" t="inlineStr">
        <is>
          <t>赵明敏</t>
        </is>
      </c>
    </row>
    <row r="50">
      <c r="A50" s="14" t="n">
        <v>45710</v>
      </c>
      <c r="B50" s="4" t="inlineStr">
        <is>
          <t>SO202510257</t>
        </is>
      </c>
      <c r="C50" s="4" t="inlineStr">
        <is>
          <t>温州淼沃酒店管理集团</t>
        </is>
      </c>
      <c r="D50" s="4" t="inlineStr">
        <is>
          <t>肉禽蛋奶</t>
        </is>
      </c>
      <c r="E50" s="4" t="inlineStr">
        <is>
          <t>C级</t>
        </is>
      </c>
      <c r="F50" s="18" t="n">
        <v>990</v>
      </c>
      <c r="G50" s="15" t="n">
        <v>33.79</v>
      </c>
      <c r="H50" s="15" t="n">
        <v>33452.1</v>
      </c>
      <c r="I50" s="4" t="inlineStr">
        <is>
          <t>江苏加盟</t>
        </is>
      </c>
      <c r="J50" s="4" t="inlineStr">
        <is>
          <t>杨秀秀</t>
        </is>
      </c>
    </row>
    <row r="51">
      <c r="A51" s="14" t="n">
        <v>45712</v>
      </c>
      <c r="B51" s="4" t="inlineStr">
        <is>
          <t>SO202510125</t>
        </is>
      </c>
      <c r="C51" s="4" t="inlineStr">
        <is>
          <t>上海大匠电商平台</t>
        </is>
      </c>
      <c r="D51" s="4" t="inlineStr">
        <is>
          <t>日用百货</t>
        </is>
      </c>
      <c r="E51" s="4" t="inlineStr">
        <is>
          <t>10kg</t>
        </is>
      </c>
      <c r="F51" s="18" t="n">
        <v>3960</v>
      </c>
      <c r="G51" s="15" t="n">
        <v>21.53</v>
      </c>
      <c r="H51" s="15" t="n">
        <v>85258.8</v>
      </c>
      <c r="I51" s="4" t="inlineStr">
        <is>
          <t>江苏加盟</t>
        </is>
      </c>
      <c r="J51" s="4" t="inlineStr">
        <is>
          <t>徐勇芳</t>
        </is>
      </c>
    </row>
    <row r="52">
      <c r="A52" s="14" t="n">
        <v>45712</v>
      </c>
      <c r="B52" s="4" t="inlineStr">
        <is>
          <t>SO202510300</t>
        </is>
      </c>
      <c r="C52" s="4" t="inlineStr">
        <is>
          <t>苏州百味食品有限公司</t>
        </is>
      </c>
      <c r="D52" s="4" t="inlineStr">
        <is>
          <t>生鲜蔬果</t>
        </is>
      </c>
      <c r="E52" s="4" t="inlineStr">
        <is>
          <t>简装</t>
        </is>
      </c>
      <c r="F52" s="18" t="n">
        <v>2500</v>
      </c>
      <c r="G52" s="15" t="n">
        <v>73.45</v>
      </c>
      <c r="H52" s="15" t="n">
        <v>183625</v>
      </c>
      <c r="I52" s="4" t="inlineStr">
        <is>
          <t>浙江加盟</t>
        </is>
      </c>
      <c r="J52" s="4" t="inlineStr">
        <is>
          <t>赵娜娜</t>
        </is>
      </c>
    </row>
    <row r="53">
      <c r="A53" s="14" t="n">
        <v>45713</v>
      </c>
      <c r="B53" s="4" t="inlineStr">
        <is>
          <t>SO202510094</t>
        </is>
      </c>
      <c r="C53" s="4" t="inlineStr">
        <is>
          <t>无锡百味食品有限公司</t>
        </is>
      </c>
      <c r="D53" s="4" t="inlineStr">
        <is>
          <t>休闲零食</t>
        </is>
      </c>
      <c r="E53" s="4" t="inlineStr">
        <is>
          <t>10kg</t>
        </is>
      </c>
      <c r="F53" s="18" t="n">
        <v>2810</v>
      </c>
      <c r="G53" s="15" t="n">
        <v>15.78</v>
      </c>
      <c r="H53" s="15" t="n">
        <v>44341.8</v>
      </c>
      <c r="I53" s="4" t="inlineStr">
        <is>
          <t>线上渠道</t>
        </is>
      </c>
      <c r="J53" s="4" t="inlineStr">
        <is>
          <t>杨娜英</t>
        </is>
      </c>
    </row>
    <row r="54">
      <c r="A54" s="14" t="n">
        <v>45713</v>
      </c>
      <c r="B54" s="4" t="inlineStr">
        <is>
          <t>SO202510313</t>
        </is>
      </c>
      <c r="C54" s="4" t="inlineStr">
        <is>
          <t>苏州食佳餐饮管理有限公司</t>
        </is>
      </c>
      <c r="D54" s="4" t="inlineStr">
        <is>
          <t>休闲零食</t>
        </is>
      </c>
      <c r="E54" s="4" t="inlineStr">
        <is>
          <t>2.5kg</t>
        </is>
      </c>
      <c r="F54" s="18" t="n">
        <v>2620</v>
      </c>
      <c r="G54" s="15" t="n">
        <v>18.12</v>
      </c>
      <c r="H54" s="15" t="n">
        <v>47474.4</v>
      </c>
      <c r="I54" s="4" t="inlineStr">
        <is>
          <t>浙江加盟</t>
        </is>
      </c>
      <c r="J54" s="4" t="inlineStr">
        <is>
          <t>周涛秀</t>
        </is>
      </c>
    </row>
    <row r="55">
      <c r="A55" s="14" t="n">
        <v>45714</v>
      </c>
      <c r="B55" s="4" t="inlineStr">
        <is>
          <t>SO202510221</t>
        </is>
      </c>
      <c r="C55" s="4" t="inlineStr">
        <is>
          <t>杭州大匠酒店管理集团</t>
        </is>
      </c>
      <c r="D55" s="4" t="inlineStr">
        <is>
          <t>日用百货</t>
        </is>
      </c>
      <c r="E55" s="4" t="inlineStr">
        <is>
          <t>简装</t>
        </is>
      </c>
      <c r="F55" s="18" t="n">
        <v>3870</v>
      </c>
      <c r="G55" s="15" t="n">
        <v>86.83</v>
      </c>
      <c r="H55" s="15" t="n">
        <v>336032.1</v>
      </c>
      <c r="I55" s="4" t="inlineStr">
        <is>
          <t>线上渠道</t>
        </is>
      </c>
      <c r="J55" s="4" t="inlineStr">
        <is>
          <t>张静秀</t>
        </is>
      </c>
    </row>
    <row r="56">
      <c r="A56" s="14" t="n">
        <v>45715</v>
      </c>
      <c r="B56" s="4" t="inlineStr">
        <is>
          <t>SO202510089</t>
        </is>
      </c>
      <c r="C56" s="4" t="inlineStr">
        <is>
          <t>苏州食佳电商平台</t>
        </is>
      </c>
      <c r="D56" s="4" t="inlineStr">
        <is>
          <t>粮油调味</t>
        </is>
      </c>
      <c r="E56" s="4" t="inlineStr">
        <is>
          <t>标准</t>
        </is>
      </c>
      <c r="F56" s="18" t="n">
        <v>2180</v>
      </c>
      <c r="G56" s="15" t="n">
        <v>9.699999999999999</v>
      </c>
      <c r="H56" s="15" t="n">
        <v>21146</v>
      </c>
      <c r="I56" s="4" t="inlineStr">
        <is>
          <t>浙江加盟</t>
        </is>
      </c>
      <c r="J56" s="4" t="inlineStr">
        <is>
          <t>胡静英</t>
        </is>
      </c>
    </row>
    <row r="57">
      <c r="A57" s="14" t="n">
        <v>45721</v>
      </c>
      <c r="B57" s="4" t="inlineStr">
        <is>
          <t>SO202510050</t>
        </is>
      </c>
      <c r="C57" s="4" t="inlineStr">
        <is>
          <t>上海百味酒店管理集团</t>
        </is>
      </c>
      <c r="D57" s="4" t="inlineStr">
        <is>
          <t>粮油调味</t>
        </is>
      </c>
      <c r="E57" s="4" t="inlineStr">
        <is>
          <t>C级</t>
        </is>
      </c>
      <c r="F57" s="18" t="n">
        <v>800</v>
      </c>
      <c r="G57" s="15" t="n">
        <v>46.6</v>
      </c>
      <c r="H57" s="15" t="n">
        <v>37280</v>
      </c>
      <c r="I57" s="4" t="inlineStr">
        <is>
          <t>江苏加盟</t>
        </is>
      </c>
      <c r="J57" s="4" t="inlineStr">
        <is>
          <t>王伟芳</t>
        </is>
      </c>
    </row>
    <row r="58">
      <c r="A58" s="14" t="n">
        <v>45722</v>
      </c>
      <c r="B58" s="4" t="inlineStr">
        <is>
          <t>SO202510056</t>
        </is>
      </c>
      <c r="C58" s="4" t="inlineStr">
        <is>
          <t>宁波食佳供应链有限公司</t>
        </is>
      </c>
      <c r="D58" s="4" t="inlineStr">
        <is>
          <t>粮油调味</t>
        </is>
      </c>
      <c r="E58" s="4" t="inlineStr">
        <is>
          <t>B级</t>
        </is>
      </c>
      <c r="F58" s="18" t="n">
        <v>3560</v>
      </c>
      <c r="G58" s="15" t="n">
        <v>56.64</v>
      </c>
      <c r="H58" s="15" t="n">
        <v>201638.4</v>
      </c>
      <c r="I58" s="4" t="inlineStr">
        <is>
          <t>江苏加盟</t>
        </is>
      </c>
      <c r="J58" s="4" t="inlineStr">
        <is>
          <t>马静敏</t>
        </is>
      </c>
    </row>
    <row r="59">
      <c r="A59" s="14" t="n">
        <v>45724</v>
      </c>
      <c r="B59" s="4" t="inlineStr">
        <is>
          <t>SO202510077</t>
        </is>
      </c>
      <c r="C59" s="4" t="inlineStr">
        <is>
          <t>嘉兴大匠食品有限公司</t>
        </is>
      </c>
      <c r="D59" s="4" t="inlineStr">
        <is>
          <t>休闲零食</t>
        </is>
      </c>
      <c r="E59" s="4" t="inlineStr">
        <is>
          <t>A级</t>
        </is>
      </c>
      <c r="F59" s="18" t="n">
        <v>560</v>
      </c>
      <c r="G59" s="15" t="n">
        <v>49.3</v>
      </c>
      <c r="H59" s="15" t="n">
        <v>27608</v>
      </c>
      <c r="I59" s="4" t="inlineStr">
        <is>
          <t>上海直营</t>
        </is>
      </c>
      <c r="J59" s="4" t="inlineStr">
        <is>
          <t>黄勇芳</t>
        </is>
      </c>
    </row>
    <row r="60">
      <c r="A60" s="14" t="n">
        <v>45724</v>
      </c>
      <c r="B60" s="4" t="inlineStr">
        <is>
          <t>SO202510234</t>
        </is>
      </c>
      <c r="C60" s="4" t="inlineStr">
        <is>
          <t>上海食佳供应链有限公司</t>
        </is>
      </c>
      <c r="D60" s="4" t="inlineStr">
        <is>
          <t>日用百货</t>
        </is>
      </c>
      <c r="E60" s="4" t="inlineStr">
        <is>
          <t>标准</t>
        </is>
      </c>
      <c r="F60" s="18" t="n">
        <v>3150</v>
      </c>
      <c r="G60" s="15" t="n">
        <v>28.02</v>
      </c>
      <c r="H60" s="15" t="n">
        <v>88263</v>
      </c>
      <c r="I60" s="4" t="inlineStr">
        <is>
          <t>上海直营</t>
        </is>
      </c>
      <c r="J60" s="4" t="inlineStr">
        <is>
          <t>周敏秀</t>
        </is>
      </c>
    </row>
    <row r="61">
      <c r="A61" s="14" t="n">
        <v>45725</v>
      </c>
      <c r="B61" s="4" t="inlineStr">
        <is>
          <t>SO202510153</t>
        </is>
      </c>
      <c r="C61" s="4" t="inlineStr">
        <is>
          <t>无锡大匠商贸有限公司</t>
        </is>
      </c>
      <c r="D61" s="4" t="inlineStr">
        <is>
          <t>休闲零食</t>
        </is>
      </c>
      <c r="E61" s="4" t="inlineStr">
        <is>
          <t>B级</t>
        </is>
      </c>
      <c r="F61" s="18" t="n">
        <v>3540</v>
      </c>
      <c r="G61" s="15" t="n">
        <v>7.73</v>
      </c>
      <c r="H61" s="15" t="n">
        <v>27364.2</v>
      </c>
      <c r="I61" s="4" t="inlineStr">
        <is>
          <t>浙江加盟</t>
        </is>
      </c>
      <c r="J61" s="4" t="inlineStr">
        <is>
          <t>周涛秀</t>
        </is>
      </c>
    </row>
    <row r="62">
      <c r="A62" s="14" t="n">
        <v>45726</v>
      </c>
      <c r="B62" s="4" t="inlineStr">
        <is>
          <t>SO202510019</t>
        </is>
      </c>
      <c r="C62" s="4" t="inlineStr">
        <is>
          <t>嘉兴食佳供应链有限公司</t>
        </is>
      </c>
      <c r="D62" s="4" t="inlineStr">
        <is>
          <t>酒水饮料</t>
        </is>
      </c>
      <c r="E62" s="4" t="inlineStr">
        <is>
          <t>500g</t>
        </is>
      </c>
      <c r="F62" s="18" t="n">
        <v>4780</v>
      </c>
      <c r="G62" s="15" t="n">
        <v>27.22</v>
      </c>
      <c r="H62" s="15" t="n">
        <v>130111.6</v>
      </c>
      <c r="I62" s="4" t="inlineStr">
        <is>
          <t>江苏加盟</t>
        </is>
      </c>
      <c r="J62" s="4" t="inlineStr">
        <is>
          <t>孙静敏</t>
        </is>
      </c>
    </row>
    <row r="63">
      <c r="A63" s="14" t="n">
        <v>45728</v>
      </c>
      <c r="B63" s="4" t="inlineStr">
        <is>
          <t>SO202510005</t>
        </is>
      </c>
      <c r="C63" s="4" t="inlineStr">
        <is>
          <t>南京百味商贸有限公司</t>
        </is>
      </c>
      <c r="D63" s="4" t="inlineStr">
        <is>
          <t>粮油调味</t>
        </is>
      </c>
      <c r="E63" s="4" t="inlineStr">
        <is>
          <t>2.5kg</t>
        </is>
      </c>
      <c r="F63" s="18" t="n">
        <v>3050</v>
      </c>
      <c r="G63" s="15" t="n">
        <v>17.49</v>
      </c>
      <c r="H63" s="15" t="n">
        <v>53344.5</v>
      </c>
      <c r="I63" s="4" t="inlineStr">
        <is>
          <t>上海直营</t>
        </is>
      </c>
      <c r="J63" s="4" t="inlineStr">
        <is>
          <t>罗丽伟</t>
        </is>
      </c>
    </row>
    <row r="64">
      <c r="A64" s="14" t="n">
        <v>45728</v>
      </c>
      <c r="B64" s="4" t="inlineStr">
        <is>
          <t>SO202510109</t>
        </is>
      </c>
      <c r="C64" s="4" t="inlineStr">
        <is>
          <t>合肥京功食品有限公司</t>
        </is>
      </c>
      <c r="D64" s="4" t="inlineStr">
        <is>
          <t>酒水饮料</t>
        </is>
      </c>
      <c r="E64" s="4" t="inlineStr">
        <is>
          <t>标准</t>
        </is>
      </c>
      <c r="F64" s="18" t="n">
        <v>4910</v>
      </c>
      <c r="G64" s="15" t="n">
        <v>66.16</v>
      </c>
      <c r="H64" s="15" t="n">
        <v>324845.6</v>
      </c>
      <c r="I64" s="4" t="inlineStr">
        <is>
          <t>江苏加盟</t>
        </is>
      </c>
      <c r="J64" s="4" t="inlineStr">
        <is>
          <t>刘勇英</t>
        </is>
      </c>
    </row>
    <row r="65">
      <c r="A65" s="14" t="n">
        <v>45728</v>
      </c>
      <c r="B65" s="4" t="inlineStr">
        <is>
          <t>SO202510201</t>
        </is>
      </c>
      <c r="C65" s="4" t="inlineStr">
        <is>
          <t>嘉兴京功商贸有限公司</t>
        </is>
      </c>
      <c r="D65" s="4" t="inlineStr">
        <is>
          <t>休闲零食</t>
        </is>
      </c>
      <c r="E65" s="4" t="inlineStr">
        <is>
          <t>1kg</t>
        </is>
      </c>
      <c r="F65" s="18" t="n">
        <v>4960</v>
      </c>
      <c r="G65" s="15" t="n">
        <v>94.95999999999999</v>
      </c>
      <c r="H65" s="15" t="n">
        <v>471001.6</v>
      </c>
      <c r="I65" s="4" t="inlineStr">
        <is>
          <t>江苏加盟</t>
        </is>
      </c>
      <c r="J65" s="4" t="inlineStr">
        <is>
          <t>徐洋娜</t>
        </is>
      </c>
    </row>
    <row r="66">
      <c r="A66" s="14" t="n">
        <v>45731</v>
      </c>
      <c r="B66" s="4" t="inlineStr">
        <is>
          <t>SO202510013</t>
        </is>
      </c>
      <c r="C66" s="4" t="inlineStr">
        <is>
          <t>镇江优鲜酒店管理集团</t>
        </is>
      </c>
      <c r="D66" s="4" t="inlineStr">
        <is>
          <t>休闲零食</t>
        </is>
      </c>
      <c r="E66" s="4" t="inlineStr">
        <is>
          <t>A级</t>
        </is>
      </c>
      <c r="F66" s="18" t="n">
        <v>2510</v>
      </c>
      <c r="G66" s="15" t="n">
        <v>26.82</v>
      </c>
      <c r="H66" s="15" t="n">
        <v>67318.2</v>
      </c>
      <c r="I66" s="4" t="inlineStr">
        <is>
          <t>浙江加盟</t>
        </is>
      </c>
      <c r="J66" s="4" t="inlineStr">
        <is>
          <t>徐强敏</t>
        </is>
      </c>
    </row>
    <row r="67">
      <c r="A67" s="14" t="n">
        <v>45732</v>
      </c>
      <c r="B67" s="4" t="inlineStr">
        <is>
          <t>SO202510205</t>
        </is>
      </c>
      <c r="C67" s="4" t="inlineStr">
        <is>
          <t>宁波大匠超市</t>
        </is>
      </c>
      <c r="D67" s="4" t="inlineStr">
        <is>
          <t>粮油调味</t>
        </is>
      </c>
      <c r="E67" s="4" t="inlineStr">
        <is>
          <t>500g</t>
        </is>
      </c>
      <c r="F67" s="18" t="n">
        <v>2750</v>
      </c>
      <c r="G67" s="15" t="n">
        <v>7.12</v>
      </c>
      <c r="H67" s="15" t="n">
        <v>19580</v>
      </c>
      <c r="I67" s="4" t="inlineStr">
        <is>
          <t>线上渠道</t>
        </is>
      </c>
      <c r="J67" s="4" t="inlineStr">
        <is>
          <t>罗敏秀</t>
        </is>
      </c>
    </row>
    <row r="68">
      <c r="A68" s="14" t="n">
        <v>45732</v>
      </c>
      <c r="B68" s="4" t="inlineStr">
        <is>
          <t>SO202510223</t>
        </is>
      </c>
      <c r="C68" s="4" t="inlineStr">
        <is>
          <t>合肥淼沃食品有限公司</t>
        </is>
      </c>
      <c r="D68" s="4" t="inlineStr">
        <is>
          <t>肉禽蛋奶</t>
        </is>
      </c>
      <c r="E68" s="4" t="inlineStr">
        <is>
          <t>1kg</t>
        </is>
      </c>
      <c r="F68" s="18" t="n">
        <v>2710</v>
      </c>
      <c r="G68" s="15" t="n">
        <v>47.62</v>
      </c>
      <c r="H68" s="15" t="n">
        <v>129050.2</v>
      </c>
      <c r="I68" s="4" t="inlineStr">
        <is>
          <t>线上渠道</t>
        </is>
      </c>
      <c r="J68" s="4" t="inlineStr">
        <is>
          <t>黄英伟</t>
        </is>
      </c>
    </row>
    <row r="69">
      <c r="A69" s="14" t="n">
        <v>45732</v>
      </c>
      <c r="B69" s="4" t="inlineStr">
        <is>
          <t>SO202510283</t>
        </is>
      </c>
      <c r="C69" s="4" t="inlineStr">
        <is>
          <t>温州食佳餐饮管理有限公司</t>
        </is>
      </c>
      <c r="D69" s="4" t="inlineStr">
        <is>
          <t>肉禽蛋奶</t>
        </is>
      </c>
      <c r="E69" s="4" t="inlineStr">
        <is>
          <t>C级</t>
        </is>
      </c>
      <c r="F69" s="18" t="n">
        <v>4900</v>
      </c>
      <c r="G69" s="15" t="n">
        <v>24</v>
      </c>
      <c r="H69" s="15" t="n">
        <v>117600</v>
      </c>
      <c r="I69" s="4" t="inlineStr">
        <is>
          <t>上海直营</t>
        </is>
      </c>
      <c r="J69" s="4" t="inlineStr">
        <is>
          <t>林强敏</t>
        </is>
      </c>
    </row>
    <row r="70">
      <c r="A70" s="14" t="n">
        <v>45734</v>
      </c>
      <c r="B70" s="4" t="inlineStr">
        <is>
          <t>SO202510114</t>
        </is>
      </c>
      <c r="C70" s="4" t="inlineStr">
        <is>
          <t>苏州淼沃餐饮管理有限公司</t>
        </is>
      </c>
      <c r="D70" s="4" t="inlineStr">
        <is>
          <t>酒水饮料</t>
        </is>
      </c>
      <c r="E70" s="4" t="inlineStr">
        <is>
          <t>10kg</t>
        </is>
      </c>
      <c r="F70" s="18" t="n">
        <v>1300</v>
      </c>
      <c r="G70" s="15" t="n">
        <v>83.39</v>
      </c>
      <c r="H70" s="15" t="n">
        <v>108407</v>
      </c>
      <c r="I70" s="4" t="inlineStr">
        <is>
          <t>线上渠道</t>
        </is>
      </c>
      <c r="J70" s="4" t="inlineStr">
        <is>
          <t>刘涛英</t>
        </is>
      </c>
    </row>
    <row r="71">
      <c r="A71" s="14" t="n">
        <v>45734</v>
      </c>
      <c r="B71" s="4" t="inlineStr">
        <is>
          <t>SO202510228</t>
        </is>
      </c>
      <c r="C71" s="4" t="inlineStr">
        <is>
          <t>南昌优鲜食品有限公司</t>
        </is>
      </c>
      <c r="D71" s="4" t="inlineStr">
        <is>
          <t>粮油调味</t>
        </is>
      </c>
      <c r="E71" s="4" t="inlineStr">
        <is>
          <t>25kg</t>
        </is>
      </c>
      <c r="F71" s="18" t="n">
        <v>4180</v>
      </c>
      <c r="G71" s="15" t="n">
        <v>92.64</v>
      </c>
      <c r="H71" s="15" t="n">
        <v>387235.2</v>
      </c>
      <c r="I71" s="4" t="inlineStr">
        <is>
          <t>江苏加盟</t>
        </is>
      </c>
      <c r="J71" s="4" t="inlineStr">
        <is>
          <t>刘强伟</t>
        </is>
      </c>
    </row>
    <row r="72">
      <c r="A72" s="14" t="n">
        <v>45736</v>
      </c>
      <c r="B72" s="4" t="inlineStr">
        <is>
          <t>SO202510002</t>
        </is>
      </c>
      <c r="C72" s="4" t="inlineStr">
        <is>
          <t>杭州食佳超市</t>
        </is>
      </c>
      <c r="D72" s="4" t="inlineStr">
        <is>
          <t>休闲零食</t>
        </is>
      </c>
      <c r="E72" s="4" t="inlineStr">
        <is>
          <t>标准</t>
        </is>
      </c>
      <c r="F72" s="18" t="n">
        <v>250</v>
      </c>
      <c r="G72" s="15" t="n">
        <v>76.88</v>
      </c>
      <c r="H72" s="15" t="n">
        <v>19220</v>
      </c>
      <c r="I72" s="4" t="inlineStr">
        <is>
          <t>线上渠道</t>
        </is>
      </c>
      <c r="J72" s="4" t="inlineStr">
        <is>
          <t>张磊芳</t>
        </is>
      </c>
    </row>
    <row r="73">
      <c r="A73" s="14" t="n">
        <v>45736</v>
      </c>
      <c r="B73" s="4" t="inlineStr">
        <is>
          <t>SO202510255</t>
        </is>
      </c>
      <c r="C73" s="4" t="inlineStr">
        <is>
          <t>温州淼沃供应链有限公司</t>
        </is>
      </c>
      <c r="D73" s="4" t="inlineStr">
        <is>
          <t>休闲零食</t>
        </is>
      </c>
      <c r="E73" s="4" t="inlineStr">
        <is>
          <t>简装</t>
        </is>
      </c>
      <c r="F73" s="18" t="n">
        <v>4870</v>
      </c>
      <c r="G73" s="15" t="n">
        <v>61.23</v>
      </c>
      <c r="H73" s="15" t="n">
        <v>298190.1</v>
      </c>
      <c r="I73" s="4" t="inlineStr">
        <is>
          <t>线上渠道</t>
        </is>
      </c>
      <c r="J73" s="4" t="inlineStr">
        <is>
          <t>郭娜英</t>
        </is>
      </c>
    </row>
    <row r="74">
      <c r="A74" s="14" t="n">
        <v>45736</v>
      </c>
      <c r="B74" s="4" t="inlineStr">
        <is>
          <t>SO202510289</t>
        </is>
      </c>
      <c r="C74" s="4" t="inlineStr">
        <is>
          <t>镇江百味餐饮管理有限公司</t>
        </is>
      </c>
      <c r="D74" s="4" t="inlineStr">
        <is>
          <t>粮油调味</t>
        </is>
      </c>
      <c r="E74" s="4" t="inlineStr">
        <is>
          <t>C级</t>
        </is>
      </c>
      <c r="F74" s="18" t="n">
        <v>1310</v>
      </c>
      <c r="G74" s="15" t="n">
        <v>30.3</v>
      </c>
      <c r="H74" s="15" t="n">
        <v>39693</v>
      </c>
      <c r="I74" s="4" t="inlineStr">
        <is>
          <t>上海直营</t>
        </is>
      </c>
      <c r="J74" s="4" t="inlineStr">
        <is>
          <t>高洋娜</t>
        </is>
      </c>
    </row>
    <row r="75">
      <c r="A75" s="14" t="n">
        <v>45737</v>
      </c>
      <c r="B75" s="4" t="inlineStr">
        <is>
          <t>SO202510014</t>
        </is>
      </c>
      <c r="C75" s="4" t="inlineStr">
        <is>
          <t>南昌大匠供应链有限公司</t>
        </is>
      </c>
      <c r="D75" s="4" t="inlineStr">
        <is>
          <t>肉禽蛋奶</t>
        </is>
      </c>
      <c r="E75" s="4" t="inlineStr">
        <is>
          <t>精装</t>
        </is>
      </c>
      <c r="F75" s="18" t="n">
        <v>640</v>
      </c>
      <c r="G75" s="15" t="n">
        <v>41.55</v>
      </c>
      <c r="H75" s="15" t="n">
        <v>26592</v>
      </c>
      <c r="I75" s="4" t="inlineStr">
        <is>
          <t>浙江加盟</t>
        </is>
      </c>
      <c r="J75" s="4" t="inlineStr">
        <is>
          <t>王杰秀</t>
        </is>
      </c>
    </row>
    <row r="76">
      <c r="A76" s="14" t="n">
        <v>45737</v>
      </c>
      <c r="B76" s="4" t="inlineStr">
        <is>
          <t>SO202510322</t>
        </is>
      </c>
      <c r="C76" s="4" t="inlineStr">
        <is>
          <t>南京淼沃商贸有限公司</t>
        </is>
      </c>
      <c r="D76" s="4" t="inlineStr">
        <is>
          <t>肉禽蛋奶</t>
        </is>
      </c>
      <c r="E76" s="4" t="inlineStr">
        <is>
          <t>特级</t>
        </is>
      </c>
      <c r="F76" s="18" t="n">
        <v>1290</v>
      </c>
      <c r="G76" s="15" t="n">
        <v>93.72</v>
      </c>
      <c r="H76" s="15" t="n">
        <v>120898.8</v>
      </c>
      <c r="I76" s="4" t="inlineStr">
        <is>
          <t>江苏加盟</t>
        </is>
      </c>
      <c r="J76" s="4" t="inlineStr">
        <is>
          <t>胡伟娜</t>
        </is>
      </c>
    </row>
    <row r="77">
      <c r="A77" s="14" t="n">
        <v>45738</v>
      </c>
      <c r="B77" s="4" t="inlineStr">
        <is>
          <t>SO202510163</t>
        </is>
      </c>
      <c r="C77" s="4" t="inlineStr">
        <is>
          <t>南昌优鲜超市</t>
        </is>
      </c>
      <c r="D77" s="4" t="inlineStr">
        <is>
          <t>肉禽蛋奶</t>
        </is>
      </c>
      <c r="E77" s="4" t="inlineStr">
        <is>
          <t>500g</t>
        </is>
      </c>
      <c r="F77" s="18" t="n">
        <v>770</v>
      </c>
      <c r="G77" s="15" t="n">
        <v>8.550000000000001</v>
      </c>
      <c r="H77" s="15" t="n">
        <v>6583.5</v>
      </c>
      <c r="I77" s="4" t="inlineStr">
        <is>
          <t>上海直营</t>
        </is>
      </c>
      <c r="J77" s="4" t="inlineStr">
        <is>
          <t>张艳伟</t>
        </is>
      </c>
    </row>
    <row r="78">
      <c r="A78" s="14" t="n">
        <v>45740</v>
      </c>
      <c r="B78" s="4" t="inlineStr">
        <is>
          <t>SO202510166</t>
        </is>
      </c>
      <c r="C78" s="4" t="inlineStr">
        <is>
          <t>嘉兴淼沃商贸有限公司</t>
        </is>
      </c>
      <c r="D78" s="4" t="inlineStr">
        <is>
          <t>生鲜蔬果</t>
        </is>
      </c>
      <c r="E78" s="4" t="inlineStr">
        <is>
          <t>5kg</t>
        </is>
      </c>
      <c r="F78" s="18" t="n">
        <v>2830</v>
      </c>
      <c r="G78" s="15" t="n">
        <v>65.78</v>
      </c>
      <c r="H78" s="15" t="n">
        <v>186157.4</v>
      </c>
      <c r="I78" s="4" t="inlineStr">
        <is>
          <t>上海直营</t>
        </is>
      </c>
      <c r="J78" s="4" t="inlineStr">
        <is>
          <t>黄秀敏</t>
        </is>
      </c>
    </row>
    <row r="79">
      <c r="A79" s="14" t="n">
        <v>45740</v>
      </c>
      <c r="B79" s="4" t="inlineStr">
        <is>
          <t>SO202510243</t>
        </is>
      </c>
      <c r="C79" s="4" t="inlineStr">
        <is>
          <t>南京淼沃餐饮管理有限公司</t>
        </is>
      </c>
      <c r="D79" s="4" t="inlineStr">
        <is>
          <t>日用百货</t>
        </is>
      </c>
      <c r="E79" s="4" t="inlineStr">
        <is>
          <t>25kg</t>
        </is>
      </c>
      <c r="F79" s="18" t="n">
        <v>4600</v>
      </c>
      <c r="G79" s="15" t="n">
        <v>38.28</v>
      </c>
      <c r="H79" s="15" t="n">
        <v>176088</v>
      </c>
      <c r="I79" s="4" t="inlineStr">
        <is>
          <t>上海直营</t>
        </is>
      </c>
      <c r="J79" s="4" t="inlineStr">
        <is>
          <t>郭明芳</t>
        </is>
      </c>
    </row>
    <row r="80">
      <c r="A80" s="14" t="n">
        <v>45740</v>
      </c>
      <c r="B80" s="4" t="inlineStr">
        <is>
          <t>SO202510247</t>
        </is>
      </c>
      <c r="C80" s="4" t="inlineStr">
        <is>
          <t>宁波京功超市</t>
        </is>
      </c>
      <c r="D80" s="4" t="inlineStr">
        <is>
          <t>生鲜蔬果</t>
        </is>
      </c>
      <c r="E80" s="4" t="inlineStr">
        <is>
          <t>25kg</t>
        </is>
      </c>
      <c r="F80" s="18" t="n">
        <v>4030</v>
      </c>
      <c r="G80" s="15" t="n">
        <v>18.93</v>
      </c>
      <c r="H80" s="15" t="n">
        <v>76287.89999999999</v>
      </c>
      <c r="I80" s="4" t="inlineStr">
        <is>
          <t>线上渠道</t>
        </is>
      </c>
      <c r="J80" s="4" t="inlineStr">
        <is>
          <t>刘秀芳</t>
        </is>
      </c>
    </row>
    <row r="81">
      <c r="A81" s="14" t="n">
        <v>45741</v>
      </c>
      <c r="B81" s="4" t="inlineStr">
        <is>
          <t>SO202510320</t>
        </is>
      </c>
      <c r="C81" s="4" t="inlineStr">
        <is>
          <t>杭州淼沃餐饮管理有限公司</t>
        </is>
      </c>
      <c r="D81" s="4" t="inlineStr">
        <is>
          <t>休闲零食</t>
        </is>
      </c>
      <c r="E81" s="4" t="inlineStr">
        <is>
          <t>25kg</t>
        </is>
      </c>
      <c r="F81" s="18" t="n">
        <v>1190</v>
      </c>
      <c r="G81" s="15" t="n">
        <v>47.87</v>
      </c>
      <c r="H81" s="15" t="n">
        <v>56965.3</v>
      </c>
      <c r="I81" s="4" t="inlineStr">
        <is>
          <t>江苏加盟</t>
        </is>
      </c>
      <c r="J81" s="4" t="inlineStr">
        <is>
          <t>刘敏娜</t>
        </is>
      </c>
    </row>
    <row r="82">
      <c r="A82" s="14" t="n">
        <v>45744</v>
      </c>
      <c r="B82" s="4" t="inlineStr">
        <is>
          <t>SO202510027</t>
        </is>
      </c>
      <c r="C82" s="4" t="inlineStr">
        <is>
          <t>温州优鲜酒店管理集团</t>
        </is>
      </c>
      <c r="D82" s="4" t="inlineStr">
        <is>
          <t>生鲜蔬果</t>
        </is>
      </c>
      <c r="E82" s="4" t="inlineStr">
        <is>
          <t>C级</t>
        </is>
      </c>
      <c r="F82" s="18" t="n">
        <v>3440</v>
      </c>
      <c r="G82" s="15" t="n">
        <v>67.79000000000001</v>
      </c>
      <c r="H82" s="15" t="n">
        <v>233197.6</v>
      </c>
      <c r="I82" s="4" t="inlineStr">
        <is>
          <t>上海直营</t>
        </is>
      </c>
      <c r="J82" s="4" t="inlineStr">
        <is>
          <t>朱丽娜</t>
        </is>
      </c>
    </row>
    <row r="83">
      <c r="A83" s="14" t="n">
        <v>45753</v>
      </c>
      <c r="B83" s="4" t="inlineStr">
        <is>
          <t>SO202510026</t>
        </is>
      </c>
      <c r="C83" s="4" t="inlineStr">
        <is>
          <t>宁波大匠餐饮管理有限公司</t>
        </is>
      </c>
      <c r="D83" s="4" t="inlineStr">
        <is>
          <t>休闲零食</t>
        </is>
      </c>
      <c r="E83" s="4" t="inlineStr">
        <is>
          <t>10kg</t>
        </is>
      </c>
      <c r="F83" s="18" t="n">
        <v>3240</v>
      </c>
      <c r="G83" s="15" t="n">
        <v>65.84</v>
      </c>
      <c r="H83" s="15" t="n">
        <v>213321.6</v>
      </c>
      <c r="I83" s="4" t="inlineStr">
        <is>
          <t>线上渠道</t>
        </is>
      </c>
      <c r="J83" s="4" t="inlineStr">
        <is>
          <t>张杰伟</t>
        </is>
      </c>
    </row>
    <row r="84">
      <c r="A84" s="14" t="n">
        <v>45754</v>
      </c>
      <c r="B84" s="4" t="inlineStr">
        <is>
          <t>SO202510110</t>
        </is>
      </c>
      <c r="C84" s="4" t="inlineStr">
        <is>
          <t>南京百味超市</t>
        </is>
      </c>
      <c r="D84" s="4" t="inlineStr">
        <is>
          <t>生鲜蔬果</t>
        </is>
      </c>
      <c r="E84" s="4" t="inlineStr">
        <is>
          <t>1kg</t>
        </is>
      </c>
      <c r="F84" s="18" t="n">
        <v>4080</v>
      </c>
      <c r="G84" s="15" t="n">
        <v>3.91</v>
      </c>
      <c r="H84" s="15" t="n">
        <v>15952.8</v>
      </c>
      <c r="I84" s="4" t="inlineStr">
        <is>
          <t>江苏加盟</t>
        </is>
      </c>
      <c r="J84" s="4" t="inlineStr">
        <is>
          <t>黄芳敏</t>
        </is>
      </c>
    </row>
    <row r="85">
      <c r="A85" s="14" t="n">
        <v>45755</v>
      </c>
      <c r="B85" s="4" t="inlineStr">
        <is>
          <t>SO202510161</t>
        </is>
      </c>
      <c r="C85" s="4" t="inlineStr">
        <is>
          <t>杭州淼沃供应链有限公司</t>
        </is>
      </c>
      <c r="D85" s="4" t="inlineStr">
        <is>
          <t>日用百货</t>
        </is>
      </c>
      <c r="E85" s="4" t="inlineStr">
        <is>
          <t>5kg</t>
        </is>
      </c>
      <c r="F85" s="18" t="n">
        <v>710</v>
      </c>
      <c r="G85" s="15" t="n">
        <v>50.1</v>
      </c>
      <c r="H85" s="15" t="n">
        <v>35571</v>
      </c>
      <c r="I85" s="4" t="inlineStr">
        <is>
          <t>线上渠道</t>
        </is>
      </c>
      <c r="J85" s="4" t="inlineStr">
        <is>
          <t>罗芳娜</t>
        </is>
      </c>
    </row>
    <row r="86">
      <c r="A86" s="14" t="n">
        <v>45755</v>
      </c>
      <c r="B86" s="4" t="inlineStr">
        <is>
          <t>SO202510316</t>
        </is>
      </c>
      <c r="C86" s="4" t="inlineStr">
        <is>
          <t>南京优鲜餐饮管理有限公司</t>
        </is>
      </c>
      <c r="D86" s="4" t="inlineStr">
        <is>
          <t>生鲜蔬果</t>
        </is>
      </c>
      <c r="E86" s="4" t="inlineStr">
        <is>
          <t>精装</t>
        </is>
      </c>
      <c r="F86" s="18" t="n">
        <v>3140</v>
      </c>
      <c r="G86" s="15" t="n">
        <v>91.28</v>
      </c>
      <c r="H86" s="15" t="n">
        <v>286619.2</v>
      </c>
      <c r="I86" s="4" t="inlineStr">
        <is>
          <t>上海直营</t>
        </is>
      </c>
      <c r="J86" s="4" t="inlineStr">
        <is>
          <t>王艳芳</t>
        </is>
      </c>
    </row>
    <row r="87">
      <c r="A87" s="14" t="n">
        <v>45756</v>
      </c>
      <c r="B87" s="4" t="inlineStr">
        <is>
          <t>SO202510225</t>
        </is>
      </c>
      <c r="C87" s="4" t="inlineStr">
        <is>
          <t>嘉兴优鲜酒店管理集团</t>
        </is>
      </c>
      <c r="D87" s="4" t="inlineStr">
        <is>
          <t>日用百货</t>
        </is>
      </c>
      <c r="E87" s="4" t="inlineStr">
        <is>
          <t>简装</t>
        </is>
      </c>
      <c r="F87" s="18" t="n">
        <v>3250</v>
      </c>
      <c r="G87" s="15" t="n">
        <v>36.33</v>
      </c>
      <c r="H87" s="15" t="n">
        <v>118072.5</v>
      </c>
      <c r="I87" s="4" t="inlineStr">
        <is>
          <t>江苏加盟</t>
        </is>
      </c>
      <c r="J87" s="4" t="inlineStr">
        <is>
          <t>林丽娜</t>
        </is>
      </c>
    </row>
    <row r="88">
      <c r="A88" s="14" t="n">
        <v>45757</v>
      </c>
      <c r="B88" s="4" t="inlineStr">
        <is>
          <t>SO202510148</t>
        </is>
      </c>
      <c r="C88" s="4" t="inlineStr">
        <is>
          <t>镇江京功商贸有限公司</t>
        </is>
      </c>
      <c r="D88" s="4" t="inlineStr">
        <is>
          <t>日用百货</t>
        </is>
      </c>
      <c r="E88" s="4" t="inlineStr">
        <is>
          <t>500g</t>
        </is>
      </c>
      <c r="F88" s="18" t="n">
        <v>200</v>
      </c>
      <c r="G88" s="15" t="n">
        <v>50.16</v>
      </c>
      <c r="H88" s="15" t="n">
        <v>10032</v>
      </c>
      <c r="I88" s="4" t="inlineStr">
        <is>
          <t>线上渠道</t>
        </is>
      </c>
      <c r="J88" s="4" t="inlineStr">
        <is>
          <t>胡秀敏</t>
        </is>
      </c>
    </row>
    <row r="89">
      <c r="A89" s="14" t="n">
        <v>45757</v>
      </c>
      <c r="B89" s="4" t="inlineStr">
        <is>
          <t>SO202510248</t>
        </is>
      </c>
      <c r="C89" s="4" t="inlineStr">
        <is>
          <t>南京优鲜供应链有限公司</t>
        </is>
      </c>
      <c r="D89" s="4" t="inlineStr">
        <is>
          <t>日用百货</t>
        </is>
      </c>
      <c r="E89" s="4" t="inlineStr">
        <is>
          <t>B级</t>
        </is>
      </c>
      <c r="F89" s="18" t="n">
        <v>4280</v>
      </c>
      <c r="G89" s="15" t="n">
        <v>79.94</v>
      </c>
      <c r="H89" s="15" t="n">
        <v>342143.2</v>
      </c>
      <c r="I89" s="4" t="inlineStr">
        <is>
          <t>上海直营</t>
        </is>
      </c>
      <c r="J89" s="4" t="inlineStr">
        <is>
          <t>李敏敏</t>
        </is>
      </c>
    </row>
    <row r="90">
      <c r="A90" s="14" t="n">
        <v>45759</v>
      </c>
      <c r="B90" s="4" t="inlineStr">
        <is>
          <t>SO202510181</t>
        </is>
      </c>
      <c r="C90" s="4" t="inlineStr">
        <is>
          <t>合肥京功电商平台</t>
        </is>
      </c>
      <c r="D90" s="4" t="inlineStr">
        <is>
          <t>日用百货</t>
        </is>
      </c>
      <c r="E90" s="4" t="inlineStr">
        <is>
          <t>B级</t>
        </is>
      </c>
      <c r="F90" s="18" t="n">
        <v>3520</v>
      </c>
      <c r="G90" s="15" t="n">
        <v>28.83</v>
      </c>
      <c r="H90" s="15" t="n">
        <v>101481.6</v>
      </c>
      <c r="I90" s="4" t="inlineStr">
        <is>
          <t>浙江加盟</t>
        </is>
      </c>
      <c r="J90" s="4" t="inlineStr">
        <is>
          <t>李秀英</t>
        </is>
      </c>
    </row>
    <row r="91">
      <c r="A91" s="14" t="n">
        <v>45759</v>
      </c>
      <c r="B91" s="4" t="inlineStr">
        <is>
          <t>SO202510237</t>
        </is>
      </c>
      <c r="C91" s="4" t="inlineStr">
        <is>
          <t>上海京功供应链有限公司</t>
        </is>
      </c>
      <c r="D91" s="4" t="inlineStr">
        <is>
          <t>酒水饮料</t>
        </is>
      </c>
      <c r="E91" s="4" t="inlineStr">
        <is>
          <t>A级</t>
        </is>
      </c>
      <c r="F91" s="18" t="n">
        <v>2820</v>
      </c>
      <c r="G91" s="15" t="n">
        <v>63.39</v>
      </c>
      <c r="H91" s="15" t="n">
        <v>178759.8</v>
      </c>
      <c r="I91" s="4" t="inlineStr">
        <is>
          <t>上海直营</t>
        </is>
      </c>
      <c r="J91" s="4" t="inlineStr">
        <is>
          <t>王超敏</t>
        </is>
      </c>
    </row>
    <row r="92">
      <c r="A92" s="14" t="n">
        <v>45762</v>
      </c>
      <c r="B92" s="4" t="inlineStr">
        <is>
          <t>SO202510269</t>
        </is>
      </c>
      <c r="C92" s="4" t="inlineStr">
        <is>
          <t>常州大匠餐饮管理有限公司</t>
        </is>
      </c>
      <c r="D92" s="4" t="inlineStr">
        <is>
          <t>粮油调味</t>
        </is>
      </c>
      <c r="E92" s="4" t="inlineStr">
        <is>
          <t>1kg</t>
        </is>
      </c>
      <c r="F92" s="18" t="n">
        <v>3080</v>
      </c>
      <c r="G92" s="15" t="n">
        <v>73.89</v>
      </c>
      <c r="H92" s="15" t="n">
        <v>227581.2</v>
      </c>
      <c r="I92" s="4" t="inlineStr">
        <is>
          <t>江苏加盟</t>
        </is>
      </c>
      <c r="J92" s="4" t="inlineStr">
        <is>
          <t>陈明娜</t>
        </is>
      </c>
    </row>
    <row r="93">
      <c r="A93" s="14" t="n">
        <v>45765</v>
      </c>
      <c r="B93" s="4" t="inlineStr">
        <is>
          <t>SO202510215</t>
        </is>
      </c>
      <c r="C93" s="4" t="inlineStr">
        <is>
          <t>无锡百味供应链有限公司</t>
        </is>
      </c>
      <c r="D93" s="4" t="inlineStr">
        <is>
          <t>日用百货</t>
        </is>
      </c>
      <c r="E93" s="4" t="inlineStr">
        <is>
          <t>简装</t>
        </is>
      </c>
      <c r="F93" s="18" t="n">
        <v>80</v>
      </c>
      <c r="G93" s="15" t="n">
        <v>50.43</v>
      </c>
      <c r="H93" s="15" t="n">
        <v>4034.4</v>
      </c>
      <c r="I93" s="4" t="inlineStr">
        <is>
          <t>上海直营</t>
        </is>
      </c>
      <c r="J93" s="4" t="inlineStr">
        <is>
          <t>何芳秀</t>
        </is>
      </c>
    </row>
    <row r="94">
      <c r="A94" s="14" t="n">
        <v>45766</v>
      </c>
      <c r="B94" s="4" t="inlineStr">
        <is>
          <t>SO202510236</t>
        </is>
      </c>
      <c r="C94" s="4" t="inlineStr">
        <is>
          <t>杭州食佳酒店管理集团</t>
        </is>
      </c>
      <c r="D94" s="4" t="inlineStr">
        <is>
          <t>休闲零食</t>
        </is>
      </c>
      <c r="E94" s="4" t="inlineStr">
        <is>
          <t>C级</t>
        </is>
      </c>
      <c r="F94" s="18" t="n">
        <v>150</v>
      </c>
      <c r="G94" s="15" t="n">
        <v>70.15000000000001</v>
      </c>
      <c r="H94" s="15" t="n">
        <v>10522.5</v>
      </c>
      <c r="I94" s="4" t="inlineStr">
        <is>
          <t>江苏加盟</t>
        </is>
      </c>
      <c r="J94" s="4" t="inlineStr">
        <is>
          <t>林娜秀</t>
        </is>
      </c>
    </row>
    <row r="95">
      <c r="A95" s="14" t="n">
        <v>45768</v>
      </c>
      <c r="B95" s="4" t="inlineStr">
        <is>
          <t>SO202510115</t>
        </is>
      </c>
      <c r="C95" s="4" t="inlineStr">
        <is>
          <t>常州淼沃酒店管理集团</t>
        </is>
      </c>
      <c r="D95" s="4" t="inlineStr">
        <is>
          <t>酒水饮料</t>
        </is>
      </c>
      <c r="E95" s="4" t="inlineStr">
        <is>
          <t>B级</t>
        </is>
      </c>
      <c r="F95" s="18" t="n">
        <v>1680</v>
      </c>
      <c r="G95" s="15" t="n">
        <v>8.960000000000001</v>
      </c>
      <c r="H95" s="15" t="n">
        <v>15052.8</v>
      </c>
      <c r="I95" s="4" t="inlineStr">
        <is>
          <t>上海直营</t>
        </is>
      </c>
      <c r="J95" s="4" t="inlineStr">
        <is>
          <t>徐勇娜</t>
        </is>
      </c>
    </row>
    <row r="96">
      <c r="A96" s="14" t="n">
        <v>45768</v>
      </c>
      <c r="B96" s="4" t="inlineStr">
        <is>
          <t>SO202510226</t>
        </is>
      </c>
      <c r="C96" s="4" t="inlineStr">
        <is>
          <t>南昌淼沃餐饮管理有限公司</t>
        </is>
      </c>
      <c r="D96" s="4" t="inlineStr">
        <is>
          <t>肉禽蛋奶</t>
        </is>
      </c>
      <c r="E96" s="4" t="inlineStr">
        <is>
          <t>精装</t>
        </is>
      </c>
      <c r="F96" s="18" t="n">
        <v>4400</v>
      </c>
      <c r="G96" s="15" t="n">
        <v>80.91</v>
      </c>
      <c r="H96" s="15" t="n">
        <v>356004</v>
      </c>
      <c r="I96" s="4" t="inlineStr">
        <is>
          <t>江苏加盟</t>
        </is>
      </c>
      <c r="J96" s="4" t="inlineStr">
        <is>
          <t>王芳娜</t>
        </is>
      </c>
    </row>
    <row r="97">
      <c r="A97" s="14" t="n">
        <v>45770</v>
      </c>
      <c r="B97" s="4" t="inlineStr">
        <is>
          <t>SO202510266</t>
        </is>
      </c>
      <c r="C97" s="4" t="inlineStr">
        <is>
          <t>苏州淼沃酒店管理集团</t>
        </is>
      </c>
      <c r="D97" s="4" t="inlineStr">
        <is>
          <t>酒水饮料</t>
        </is>
      </c>
      <c r="E97" s="4" t="inlineStr">
        <is>
          <t>25kg</t>
        </is>
      </c>
      <c r="F97" s="18" t="n">
        <v>310</v>
      </c>
      <c r="G97" s="15" t="n">
        <v>5.35</v>
      </c>
      <c r="H97" s="15" t="n">
        <v>1658.5</v>
      </c>
      <c r="I97" s="4" t="inlineStr">
        <is>
          <t>上海直营</t>
        </is>
      </c>
      <c r="J97" s="4" t="inlineStr">
        <is>
          <t>徐明伟</t>
        </is>
      </c>
    </row>
    <row r="98">
      <c r="A98" s="14" t="n">
        <v>45770</v>
      </c>
      <c r="B98" s="4" t="inlineStr">
        <is>
          <t>SO202510328</t>
        </is>
      </c>
      <c r="C98" s="4" t="inlineStr">
        <is>
          <t>杭州食佳酒店管理集团</t>
        </is>
      </c>
      <c r="D98" s="4" t="inlineStr">
        <is>
          <t>肉禽蛋奶</t>
        </is>
      </c>
      <c r="E98" s="4" t="inlineStr">
        <is>
          <t>精装</t>
        </is>
      </c>
      <c r="F98" s="18" t="n">
        <v>3230</v>
      </c>
      <c r="G98" s="15" t="n">
        <v>82.83</v>
      </c>
      <c r="H98" s="15" t="n">
        <v>267540.9</v>
      </c>
      <c r="I98" s="4" t="inlineStr">
        <is>
          <t>江苏加盟</t>
        </is>
      </c>
      <c r="J98" s="4" t="inlineStr">
        <is>
          <t>朱明英</t>
        </is>
      </c>
    </row>
    <row r="99">
      <c r="A99" s="14" t="n">
        <v>45771</v>
      </c>
      <c r="B99" s="4" t="inlineStr">
        <is>
          <t>SO202510016</t>
        </is>
      </c>
      <c r="C99" s="4" t="inlineStr">
        <is>
          <t>镇江大匠超市</t>
        </is>
      </c>
      <c r="D99" s="4" t="inlineStr">
        <is>
          <t>日用百货</t>
        </is>
      </c>
      <c r="E99" s="4" t="inlineStr">
        <is>
          <t>10kg</t>
        </is>
      </c>
      <c r="F99" s="18" t="n">
        <v>3030</v>
      </c>
      <c r="G99" s="15" t="n">
        <v>86.84999999999999</v>
      </c>
      <c r="H99" s="15" t="n">
        <v>263155.5</v>
      </c>
      <c r="I99" s="4" t="inlineStr">
        <is>
          <t>江苏加盟</t>
        </is>
      </c>
      <c r="J99" s="4" t="inlineStr">
        <is>
          <t>郭涛英</t>
        </is>
      </c>
    </row>
    <row r="100">
      <c r="A100" s="14" t="n">
        <v>45771</v>
      </c>
      <c r="B100" s="4" t="inlineStr">
        <is>
          <t>SO202510260</t>
        </is>
      </c>
      <c r="C100" s="4" t="inlineStr">
        <is>
          <t>杭州优鲜超市</t>
        </is>
      </c>
      <c r="D100" s="4" t="inlineStr">
        <is>
          <t>肉禽蛋奶</t>
        </is>
      </c>
      <c r="E100" s="4" t="inlineStr">
        <is>
          <t>A级</t>
        </is>
      </c>
      <c r="F100" s="18" t="n">
        <v>4010</v>
      </c>
      <c r="G100" s="15" t="n">
        <v>17.99</v>
      </c>
      <c r="H100" s="15" t="n">
        <v>72139.89999999999</v>
      </c>
      <c r="I100" s="4" t="inlineStr">
        <is>
          <t>线上渠道</t>
        </is>
      </c>
      <c r="J100" s="4" t="inlineStr">
        <is>
          <t>高勇秀</t>
        </is>
      </c>
    </row>
    <row r="101">
      <c r="A101" s="14" t="n">
        <v>45772</v>
      </c>
      <c r="B101" s="4" t="inlineStr">
        <is>
          <t>SO202510323</t>
        </is>
      </c>
      <c r="C101" s="4" t="inlineStr">
        <is>
          <t>嘉兴食佳供应链有限公司</t>
        </is>
      </c>
      <c r="D101" s="4" t="inlineStr">
        <is>
          <t>肉禽蛋奶</t>
        </is>
      </c>
      <c r="E101" s="4" t="inlineStr">
        <is>
          <t>精装</t>
        </is>
      </c>
      <c r="F101" s="18" t="n">
        <v>3500</v>
      </c>
      <c r="G101" s="15" t="n">
        <v>14.57</v>
      </c>
      <c r="H101" s="15" t="n">
        <v>50995</v>
      </c>
      <c r="I101" s="4" t="inlineStr">
        <is>
          <t>线上渠道</t>
        </is>
      </c>
      <c r="J101" s="4" t="inlineStr">
        <is>
          <t>杨超娜</t>
        </is>
      </c>
    </row>
    <row r="102">
      <c r="A102" s="14" t="n">
        <v>45774</v>
      </c>
      <c r="B102" s="4" t="inlineStr">
        <is>
          <t>SO202510074</t>
        </is>
      </c>
      <c r="C102" s="4" t="inlineStr">
        <is>
          <t>苏州百味食品有限公司</t>
        </is>
      </c>
      <c r="D102" s="4" t="inlineStr">
        <is>
          <t>生鲜蔬果</t>
        </is>
      </c>
      <c r="E102" s="4" t="inlineStr">
        <is>
          <t>25kg</t>
        </is>
      </c>
      <c r="F102" s="18" t="n">
        <v>2280</v>
      </c>
      <c r="G102" s="15" t="n">
        <v>53.96</v>
      </c>
      <c r="H102" s="15" t="n">
        <v>123028.8</v>
      </c>
      <c r="I102" s="4" t="inlineStr">
        <is>
          <t>线上渠道</t>
        </is>
      </c>
      <c r="J102" s="4" t="inlineStr">
        <is>
          <t>赵秀敏</t>
        </is>
      </c>
    </row>
    <row r="103">
      <c r="A103" s="14" t="n">
        <v>45778</v>
      </c>
      <c r="B103" s="4" t="inlineStr">
        <is>
          <t>SO202510062</t>
        </is>
      </c>
      <c r="C103" s="4" t="inlineStr">
        <is>
          <t>镇江大匠商贸有限公司</t>
        </is>
      </c>
      <c r="D103" s="4" t="inlineStr">
        <is>
          <t>粮油调味</t>
        </is>
      </c>
      <c r="E103" s="4" t="inlineStr">
        <is>
          <t>2.5kg</t>
        </is>
      </c>
      <c r="F103" s="18" t="n">
        <v>4720</v>
      </c>
      <c r="G103" s="15" t="n">
        <v>10.88</v>
      </c>
      <c r="H103" s="15" t="n">
        <v>51353.6</v>
      </c>
      <c r="I103" s="4" t="inlineStr">
        <is>
          <t>上海直营</t>
        </is>
      </c>
      <c r="J103" s="4" t="inlineStr">
        <is>
          <t>徐秀秀</t>
        </is>
      </c>
    </row>
    <row r="104">
      <c r="A104" s="14" t="n">
        <v>45780</v>
      </c>
      <c r="B104" s="4" t="inlineStr">
        <is>
          <t>SO202510061</t>
        </is>
      </c>
      <c r="C104" s="4" t="inlineStr">
        <is>
          <t>宁波大匠食品有限公司</t>
        </is>
      </c>
      <c r="D104" s="4" t="inlineStr">
        <is>
          <t>生鲜蔬果</t>
        </is>
      </c>
      <c r="E104" s="4" t="inlineStr">
        <is>
          <t>B级</t>
        </is>
      </c>
      <c r="F104" s="18" t="n">
        <v>1130</v>
      </c>
      <c r="G104" s="15" t="n">
        <v>28.03</v>
      </c>
      <c r="H104" s="15" t="n">
        <v>31673.9</v>
      </c>
      <c r="I104" s="4" t="inlineStr">
        <is>
          <t>上海直营</t>
        </is>
      </c>
      <c r="J104" s="4" t="inlineStr">
        <is>
          <t>李明伟</t>
        </is>
      </c>
    </row>
    <row r="105">
      <c r="A105" s="14" t="n">
        <v>45780</v>
      </c>
      <c r="B105" s="4" t="inlineStr">
        <is>
          <t>SO202510068</t>
        </is>
      </c>
      <c r="C105" s="4" t="inlineStr">
        <is>
          <t>杭州百味商贸有限公司</t>
        </is>
      </c>
      <c r="D105" s="4" t="inlineStr">
        <is>
          <t>生鲜蔬果</t>
        </is>
      </c>
      <c r="E105" s="4" t="inlineStr">
        <is>
          <t>B级</t>
        </is>
      </c>
      <c r="F105" s="18" t="n">
        <v>4270</v>
      </c>
      <c r="G105" s="15" t="n">
        <v>40.07</v>
      </c>
      <c r="H105" s="15" t="n">
        <v>171098.9</v>
      </c>
      <c r="I105" s="4" t="inlineStr">
        <is>
          <t>上海直营</t>
        </is>
      </c>
      <c r="J105" s="4" t="inlineStr">
        <is>
          <t>胡勇芳</t>
        </is>
      </c>
    </row>
    <row r="106">
      <c r="A106" s="14" t="n">
        <v>45781</v>
      </c>
      <c r="B106" s="4" t="inlineStr">
        <is>
          <t>SO202510095</t>
        </is>
      </c>
      <c r="C106" s="4" t="inlineStr">
        <is>
          <t>嘉兴淼沃酒店管理集团</t>
        </is>
      </c>
      <c r="D106" s="4" t="inlineStr">
        <is>
          <t>酒水饮料</t>
        </is>
      </c>
      <c r="E106" s="4" t="inlineStr">
        <is>
          <t>特级</t>
        </is>
      </c>
      <c r="F106" s="18" t="n">
        <v>1970</v>
      </c>
      <c r="G106" s="15" t="n">
        <v>8.66</v>
      </c>
      <c r="H106" s="15" t="n">
        <v>17060.2</v>
      </c>
      <c r="I106" s="4" t="inlineStr">
        <is>
          <t>线上渠道</t>
        </is>
      </c>
      <c r="J106" s="4" t="inlineStr">
        <is>
          <t>黄伟芳</t>
        </is>
      </c>
    </row>
    <row r="107">
      <c r="A107" s="14" t="n">
        <v>45781</v>
      </c>
      <c r="B107" s="4" t="inlineStr">
        <is>
          <t>SO202510124</t>
        </is>
      </c>
      <c r="C107" s="4" t="inlineStr">
        <is>
          <t>南京食佳酒店管理集团</t>
        </is>
      </c>
      <c r="D107" s="4" t="inlineStr">
        <is>
          <t>生鲜蔬果</t>
        </is>
      </c>
      <c r="E107" s="4" t="inlineStr">
        <is>
          <t>10kg</t>
        </is>
      </c>
      <c r="F107" s="18" t="n">
        <v>1840</v>
      </c>
      <c r="G107" s="15" t="n">
        <v>3.09</v>
      </c>
      <c r="H107" s="15" t="n">
        <v>5685.6</v>
      </c>
      <c r="I107" s="4" t="inlineStr">
        <is>
          <t>线上渠道</t>
        </is>
      </c>
      <c r="J107" s="4" t="inlineStr">
        <is>
          <t>朱兰英</t>
        </is>
      </c>
    </row>
    <row r="108">
      <c r="A108" s="14" t="n">
        <v>45781</v>
      </c>
      <c r="B108" s="4" t="inlineStr">
        <is>
          <t>SO202510230</t>
        </is>
      </c>
      <c r="C108" s="4" t="inlineStr">
        <is>
          <t>温州京功供应链有限公司</t>
        </is>
      </c>
      <c r="D108" s="4" t="inlineStr">
        <is>
          <t>生鲜蔬果</t>
        </is>
      </c>
      <c r="E108" s="4" t="inlineStr">
        <is>
          <t>5kg</t>
        </is>
      </c>
      <c r="F108" s="18" t="n">
        <v>2130</v>
      </c>
      <c r="G108" s="15" t="n">
        <v>48.98</v>
      </c>
      <c r="H108" s="15" t="n">
        <v>104327.4</v>
      </c>
      <c r="I108" s="4" t="inlineStr">
        <is>
          <t>浙江加盟</t>
        </is>
      </c>
      <c r="J108" s="4" t="inlineStr">
        <is>
          <t>孙秀秀</t>
        </is>
      </c>
    </row>
    <row r="109">
      <c r="A109" s="14" t="n">
        <v>45782</v>
      </c>
      <c r="B109" s="4" t="inlineStr">
        <is>
          <t>SO202510022</t>
        </is>
      </c>
      <c r="C109" s="4" t="inlineStr">
        <is>
          <t>嘉兴优鲜酒店管理集团</t>
        </is>
      </c>
      <c r="D109" s="4" t="inlineStr">
        <is>
          <t>肉禽蛋奶</t>
        </is>
      </c>
      <c r="E109" s="4" t="inlineStr">
        <is>
          <t>B级</t>
        </is>
      </c>
      <c r="F109" s="18" t="n">
        <v>4590</v>
      </c>
      <c r="G109" s="15" t="n">
        <v>65.64</v>
      </c>
      <c r="H109" s="15" t="n">
        <v>301287.6</v>
      </c>
      <c r="I109" s="4" t="inlineStr">
        <is>
          <t>上海直营</t>
        </is>
      </c>
      <c r="J109" s="4" t="inlineStr">
        <is>
          <t>徐艳娜</t>
        </is>
      </c>
    </row>
    <row r="110">
      <c r="A110" s="14" t="n">
        <v>45782</v>
      </c>
      <c r="B110" s="4" t="inlineStr">
        <is>
          <t>SO202510222</t>
        </is>
      </c>
      <c r="C110" s="4" t="inlineStr">
        <is>
          <t>南昌百味供应链有限公司</t>
        </is>
      </c>
      <c r="D110" s="4" t="inlineStr">
        <is>
          <t>酒水饮料</t>
        </is>
      </c>
      <c r="E110" s="4" t="inlineStr">
        <is>
          <t>10kg</t>
        </is>
      </c>
      <c r="F110" s="18" t="n">
        <v>4760</v>
      </c>
      <c r="G110" s="15" t="n">
        <v>87.59</v>
      </c>
      <c r="H110" s="15" t="n">
        <v>416928.4</v>
      </c>
      <c r="I110" s="4" t="inlineStr">
        <is>
          <t>浙江加盟</t>
        </is>
      </c>
      <c r="J110" s="4" t="inlineStr">
        <is>
          <t>陈杰英</t>
        </is>
      </c>
    </row>
    <row r="111">
      <c r="A111" s="14" t="n">
        <v>45783</v>
      </c>
      <c r="B111" s="4" t="inlineStr">
        <is>
          <t>SO202510302</t>
        </is>
      </c>
      <c r="C111" s="4" t="inlineStr">
        <is>
          <t>南昌淼沃商贸有限公司</t>
        </is>
      </c>
      <c r="D111" s="4" t="inlineStr">
        <is>
          <t>日用百货</t>
        </is>
      </c>
      <c r="E111" s="4" t="inlineStr">
        <is>
          <t>25kg</t>
        </is>
      </c>
      <c r="F111" s="18" t="n">
        <v>3930</v>
      </c>
      <c r="G111" s="15" t="n">
        <v>31.94</v>
      </c>
      <c r="H111" s="15" t="n">
        <v>125524.2</v>
      </c>
      <c r="I111" s="4" t="inlineStr">
        <is>
          <t>浙江加盟</t>
        </is>
      </c>
      <c r="J111" s="4" t="inlineStr">
        <is>
          <t>郭超敏</t>
        </is>
      </c>
    </row>
    <row r="112">
      <c r="A112" s="14" t="n">
        <v>45785</v>
      </c>
      <c r="B112" s="4" t="inlineStr">
        <is>
          <t>SO202510048</t>
        </is>
      </c>
      <c r="C112" s="4" t="inlineStr">
        <is>
          <t>常州京功商贸有限公司</t>
        </is>
      </c>
      <c r="D112" s="4" t="inlineStr">
        <is>
          <t>粮油调味</t>
        </is>
      </c>
      <c r="E112" s="4" t="inlineStr">
        <is>
          <t>500g</t>
        </is>
      </c>
      <c r="F112" s="18" t="n">
        <v>810</v>
      </c>
      <c r="G112" s="15" t="n">
        <v>62.47</v>
      </c>
      <c r="H112" s="15" t="n">
        <v>50600.7</v>
      </c>
      <c r="I112" s="4" t="inlineStr">
        <is>
          <t>线上渠道</t>
        </is>
      </c>
      <c r="J112" s="4" t="inlineStr">
        <is>
          <t>林强伟</t>
        </is>
      </c>
    </row>
    <row r="113">
      <c r="A113" s="14" t="n">
        <v>45785</v>
      </c>
      <c r="B113" s="4" t="inlineStr">
        <is>
          <t>SO202510184</t>
        </is>
      </c>
      <c r="C113" s="4" t="inlineStr">
        <is>
          <t>常州淼沃超市</t>
        </is>
      </c>
      <c r="D113" s="4" t="inlineStr">
        <is>
          <t>肉禽蛋奶</t>
        </is>
      </c>
      <c r="E113" s="4" t="inlineStr">
        <is>
          <t>500g</t>
        </is>
      </c>
      <c r="F113" s="18" t="n">
        <v>2180</v>
      </c>
      <c r="G113" s="15" t="n">
        <v>97.56999999999999</v>
      </c>
      <c r="H113" s="15" t="n">
        <v>212702.6</v>
      </c>
      <c r="I113" s="4" t="inlineStr">
        <is>
          <t>江苏加盟</t>
        </is>
      </c>
      <c r="J113" s="4" t="inlineStr">
        <is>
          <t>胡兰秀</t>
        </is>
      </c>
    </row>
    <row r="114">
      <c r="A114" s="14" t="n">
        <v>45786</v>
      </c>
      <c r="B114" s="4" t="inlineStr">
        <is>
          <t>SO202510100</t>
        </is>
      </c>
      <c r="C114" s="4" t="inlineStr">
        <is>
          <t>杭州淼沃电商平台</t>
        </is>
      </c>
      <c r="D114" s="4" t="inlineStr">
        <is>
          <t>粮油调味</t>
        </is>
      </c>
      <c r="E114" s="4" t="inlineStr">
        <is>
          <t>1kg</t>
        </is>
      </c>
      <c r="F114" s="18" t="n">
        <v>3510</v>
      </c>
      <c r="G114" s="15" t="n">
        <v>53.22</v>
      </c>
      <c r="H114" s="15" t="n">
        <v>186802.2</v>
      </c>
      <c r="I114" s="4" t="inlineStr">
        <is>
          <t>上海直营</t>
        </is>
      </c>
      <c r="J114" s="4" t="inlineStr">
        <is>
          <t>朱超秀</t>
        </is>
      </c>
    </row>
    <row r="115">
      <c r="A115" s="14" t="n">
        <v>45786</v>
      </c>
      <c r="B115" s="4" t="inlineStr">
        <is>
          <t>SO202510172</t>
        </is>
      </c>
      <c r="C115" s="4" t="inlineStr">
        <is>
          <t>温州优鲜供应链有限公司</t>
        </is>
      </c>
      <c r="D115" s="4" t="inlineStr">
        <is>
          <t>酒水饮料</t>
        </is>
      </c>
      <c r="E115" s="4" t="inlineStr">
        <is>
          <t>简装</t>
        </is>
      </c>
      <c r="F115" s="18" t="n">
        <v>3610</v>
      </c>
      <c r="G115" s="15" t="n">
        <v>43.36</v>
      </c>
      <c r="H115" s="15" t="n">
        <v>156529.6</v>
      </c>
      <c r="I115" s="4" t="inlineStr">
        <is>
          <t>上海直营</t>
        </is>
      </c>
      <c r="J115" s="4" t="inlineStr">
        <is>
          <t>陈强秀</t>
        </is>
      </c>
    </row>
    <row r="116">
      <c r="A116" s="14" t="n">
        <v>45786</v>
      </c>
      <c r="B116" s="4" t="inlineStr">
        <is>
          <t>SO202510195</t>
        </is>
      </c>
      <c r="C116" s="4" t="inlineStr">
        <is>
          <t>南京优鲜商贸有限公司</t>
        </is>
      </c>
      <c r="D116" s="4" t="inlineStr">
        <is>
          <t>休闲零食</t>
        </is>
      </c>
      <c r="E116" s="4" t="inlineStr">
        <is>
          <t>标准</t>
        </is>
      </c>
      <c r="F116" s="18" t="n">
        <v>3140</v>
      </c>
      <c r="G116" s="15" t="n">
        <v>5.9</v>
      </c>
      <c r="H116" s="15" t="n">
        <v>18526</v>
      </c>
      <c r="I116" s="4" t="inlineStr">
        <is>
          <t>上海直营</t>
        </is>
      </c>
      <c r="J116" s="4" t="inlineStr">
        <is>
          <t>郭艳芳</t>
        </is>
      </c>
    </row>
    <row r="117">
      <c r="A117" s="14" t="n">
        <v>45787</v>
      </c>
      <c r="B117" s="4" t="inlineStr">
        <is>
          <t>SO202510063</t>
        </is>
      </c>
      <c r="C117" s="4" t="inlineStr">
        <is>
          <t>合肥食佳食品有限公司</t>
        </is>
      </c>
      <c r="D117" s="4" t="inlineStr">
        <is>
          <t>酒水饮料</t>
        </is>
      </c>
      <c r="E117" s="4" t="inlineStr">
        <is>
          <t>500g</t>
        </is>
      </c>
      <c r="F117" s="18" t="n">
        <v>200</v>
      </c>
      <c r="G117" s="15" t="n">
        <v>51.48</v>
      </c>
      <c r="H117" s="15" t="n">
        <v>10296</v>
      </c>
      <c r="I117" s="4" t="inlineStr">
        <is>
          <t>上海直营</t>
        </is>
      </c>
      <c r="J117" s="4" t="inlineStr">
        <is>
          <t>周芳秀</t>
        </is>
      </c>
    </row>
    <row r="118">
      <c r="A118" s="14" t="n">
        <v>45788</v>
      </c>
      <c r="B118" s="4" t="inlineStr">
        <is>
          <t>SO202510065</t>
        </is>
      </c>
      <c r="C118" s="4" t="inlineStr">
        <is>
          <t>无锡优鲜餐饮管理有限公司</t>
        </is>
      </c>
      <c r="D118" s="4" t="inlineStr">
        <is>
          <t>酒水饮料</t>
        </is>
      </c>
      <c r="E118" s="4" t="inlineStr">
        <is>
          <t>25kg</t>
        </is>
      </c>
      <c r="F118" s="18" t="n">
        <v>650</v>
      </c>
      <c r="G118" s="15" t="n">
        <v>94.77</v>
      </c>
      <c r="H118" s="15" t="n">
        <v>61600.5</v>
      </c>
      <c r="I118" s="4" t="inlineStr">
        <is>
          <t>上海直营</t>
        </is>
      </c>
      <c r="J118" s="4" t="inlineStr">
        <is>
          <t>林兰娜</t>
        </is>
      </c>
    </row>
    <row r="119">
      <c r="A119" s="14" t="n">
        <v>45789</v>
      </c>
      <c r="B119" s="4" t="inlineStr">
        <is>
          <t>SO202510197</t>
        </is>
      </c>
      <c r="C119" s="4" t="inlineStr">
        <is>
          <t>南昌食佳酒店管理集团</t>
        </is>
      </c>
      <c r="D119" s="4" t="inlineStr">
        <is>
          <t>肉禽蛋奶</t>
        </is>
      </c>
      <c r="E119" s="4" t="inlineStr">
        <is>
          <t>B级</t>
        </is>
      </c>
      <c r="F119" s="18" t="n">
        <v>1630</v>
      </c>
      <c r="G119" s="15" t="n">
        <v>16.67</v>
      </c>
      <c r="H119" s="15" t="n">
        <v>27172.1</v>
      </c>
      <c r="I119" s="4" t="inlineStr">
        <is>
          <t>上海直营</t>
        </is>
      </c>
      <c r="J119" s="4" t="inlineStr">
        <is>
          <t>赵秀伟</t>
        </is>
      </c>
    </row>
    <row r="120">
      <c r="A120" s="14" t="n">
        <v>45790</v>
      </c>
      <c r="B120" s="4" t="inlineStr">
        <is>
          <t>SO202510301</t>
        </is>
      </c>
      <c r="C120" s="4" t="inlineStr">
        <is>
          <t>苏州食佳供应链有限公司</t>
        </is>
      </c>
      <c r="D120" s="4" t="inlineStr">
        <is>
          <t>日用百货</t>
        </is>
      </c>
      <c r="E120" s="4" t="inlineStr">
        <is>
          <t>500g</t>
        </is>
      </c>
      <c r="F120" s="18" t="n">
        <v>3330</v>
      </c>
      <c r="G120" s="15" t="n">
        <v>10.47</v>
      </c>
      <c r="H120" s="15" t="n">
        <v>34865.1</v>
      </c>
      <c r="I120" s="4" t="inlineStr">
        <is>
          <t>浙江加盟</t>
        </is>
      </c>
      <c r="J120" s="4" t="inlineStr">
        <is>
          <t>黄芳英</t>
        </is>
      </c>
    </row>
    <row r="121">
      <c r="A121" s="14" t="n">
        <v>45791</v>
      </c>
      <c r="B121" s="4" t="inlineStr">
        <is>
          <t>SO202510070</t>
        </is>
      </c>
      <c r="C121" s="4" t="inlineStr">
        <is>
          <t>合肥百味食品有限公司</t>
        </is>
      </c>
      <c r="D121" s="4" t="inlineStr">
        <is>
          <t>生鲜蔬果</t>
        </is>
      </c>
      <c r="E121" s="4" t="inlineStr">
        <is>
          <t>标准</t>
        </is>
      </c>
      <c r="F121" s="18" t="n">
        <v>850</v>
      </c>
      <c r="G121" s="15" t="n">
        <v>33.91</v>
      </c>
      <c r="H121" s="15" t="n">
        <v>28823.5</v>
      </c>
      <c r="I121" s="4" t="inlineStr">
        <is>
          <t>线上渠道</t>
        </is>
      </c>
      <c r="J121" s="4" t="inlineStr">
        <is>
          <t>吴伟伟</t>
        </is>
      </c>
    </row>
    <row r="122">
      <c r="A122" s="14" t="n">
        <v>45794</v>
      </c>
      <c r="B122" s="4" t="inlineStr">
        <is>
          <t>SO202510071</t>
        </is>
      </c>
      <c r="C122" s="4" t="inlineStr">
        <is>
          <t>温州淼沃餐饮管理有限公司</t>
        </is>
      </c>
      <c r="D122" s="4" t="inlineStr">
        <is>
          <t>酒水饮料</t>
        </is>
      </c>
      <c r="E122" s="4" t="inlineStr">
        <is>
          <t>标准</t>
        </is>
      </c>
      <c r="F122" s="18" t="n">
        <v>2380</v>
      </c>
      <c r="G122" s="15" t="n">
        <v>60.95</v>
      </c>
      <c r="H122" s="15" t="n">
        <v>145061</v>
      </c>
      <c r="I122" s="4" t="inlineStr">
        <is>
          <t>浙江加盟</t>
        </is>
      </c>
      <c r="J122" s="4" t="inlineStr">
        <is>
          <t>高明英</t>
        </is>
      </c>
    </row>
    <row r="123">
      <c r="A123" s="14" t="n">
        <v>45795</v>
      </c>
      <c r="B123" s="4" t="inlineStr">
        <is>
          <t>SO202510113</t>
        </is>
      </c>
      <c r="C123" s="4" t="inlineStr">
        <is>
          <t>南昌京功商贸有限公司</t>
        </is>
      </c>
      <c r="D123" s="4" t="inlineStr">
        <is>
          <t>粮油调味</t>
        </is>
      </c>
      <c r="E123" s="4" t="inlineStr">
        <is>
          <t>A级</t>
        </is>
      </c>
      <c r="F123" s="18" t="n">
        <v>770</v>
      </c>
      <c r="G123" s="15" t="n">
        <v>20.43</v>
      </c>
      <c r="H123" s="15" t="n">
        <v>15731.1</v>
      </c>
      <c r="I123" s="4" t="inlineStr">
        <is>
          <t>浙江加盟</t>
        </is>
      </c>
      <c r="J123" s="4" t="inlineStr">
        <is>
          <t>李兰秀</t>
        </is>
      </c>
    </row>
    <row r="124">
      <c r="A124" s="14" t="n">
        <v>45797</v>
      </c>
      <c r="B124" s="4" t="inlineStr">
        <is>
          <t>SO202510078</t>
        </is>
      </c>
      <c r="C124" s="4" t="inlineStr">
        <is>
          <t>无锡淼沃餐饮管理有限公司</t>
        </is>
      </c>
      <c r="D124" s="4" t="inlineStr">
        <is>
          <t>日用百货</t>
        </is>
      </c>
      <c r="E124" s="4" t="inlineStr">
        <is>
          <t>10kg</t>
        </is>
      </c>
      <c r="F124" s="18" t="n">
        <v>4090</v>
      </c>
      <c r="G124" s="15" t="n">
        <v>59.6</v>
      </c>
      <c r="H124" s="15" t="n">
        <v>243764</v>
      </c>
      <c r="I124" s="4" t="inlineStr">
        <is>
          <t>线上渠道</t>
        </is>
      </c>
      <c r="J124" s="4" t="inlineStr">
        <is>
          <t>马勇芳</t>
        </is>
      </c>
    </row>
    <row r="125">
      <c r="A125" s="14" t="n">
        <v>45799</v>
      </c>
      <c r="B125" s="4" t="inlineStr">
        <is>
          <t>SO202510064</t>
        </is>
      </c>
      <c r="C125" s="4" t="inlineStr">
        <is>
          <t>苏州大匠食品有限公司</t>
        </is>
      </c>
      <c r="D125" s="4" t="inlineStr">
        <is>
          <t>休闲零食</t>
        </is>
      </c>
      <c r="E125" s="4" t="inlineStr">
        <is>
          <t>25kg</t>
        </is>
      </c>
      <c r="F125" s="18" t="n">
        <v>2350</v>
      </c>
      <c r="G125" s="15" t="n">
        <v>53.84</v>
      </c>
      <c r="H125" s="15" t="n">
        <v>126524</v>
      </c>
      <c r="I125" s="4" t="inlineStr">
        <is>
          <t>线上渠道</t>
        </is>
      </c>
      <c r="J125" s="4" t="inlineStr">
        <is>
          <t>赵强娜</t>
        </is>
      </c>
    </row>
    <row r="126">
      <c r="A126" s="14" t="n">
        <v>45799</v>
      </c>
      <c r="B126" s="4" t="inlineStr">
        <is>
          <t>SO202510312</t>
        </is>
      </c>
      <c r="C126" s="4" t="inlineStr">
        <is>
          <t>上海大匠餐饮管理有限公司</t>
        </is>
      </c>
      <c r="D126" s="4" t="inlineStr">
        <is>
          <t>粮油调味</t>
        </is>
      </c>
      <c r="E126" s="4" t="inlineStr">
        <is>
          <t>精装</t>
        </is>
      </c>
      <c r="F126" s="18" t="n">
        <v>4160</v>
      </c>
      <c r="G126" s="15" t="n">
        <v>35.68</v>
      </c>
      <c r="H126" s="15" t="n">
        <v>148428.8</v>
      </c>
      <c r="I126" s="4" t="inlineStr">
        <is>
          <t>浙江加盟</t>
        </is>
      </c>
      <c r="J126" s="4" t="inlineStr">
        <is>
          <t>朱涛秀</t>
        </is>
      </c>
    </row>
    <row r="127">
      <c r="A127" s="14" t="n">
        <v>45800</v>
      </c>
      <c r="B127" s="4" t="inlineStr">
        <is>
          <t>SO202510245</t>
        </is>
      </c>
      <c r="C127" s="4" t="inlineStr">
        <is>
          <t>杭州淼沃食品有限公司</t>
        </is>
      </c>
      <c r="D127" s="4" t="inlineStr">
        <is>
          <t>粮油调味</t>
        </is>
      </c>
      <c r="E127" s="4" t="inlineStr">
        <is>
          <t>简装</t>
        </is>
      </c>
      <c r="F127" s="18" t="n">
        <v>1640</v>
      </c>
      <c r="G127" s="15" t="n">
        <v>17.02</v>
      </c>
      <c r="H127" s="15" t="n">
        <v>27912.8</v>
      </c>
      <c r="I127" s="4" t="inlineStr">
        <is>
          <t>浙江加盟</t>
        </is>
      </c>
      <c r="J127" s="4" t="inlineStr">
        <is>
          <t>陈涛敏</t>
        </is>
      </c>
    </row>
    <row r="128">
      <c r="A128" s="14" t="n">
        <v>45802</v>
      </c>
      <c r="B128" s="4" t="inlineStr">
        <is>
          <t>SO202510096</t>
        </is>
      </c>
      <c r="C128" s="4" t="inlineStr">
        <is>
          <t>常州百味商贸有限公司</t>
        </is>
      </c>
      <c r="D128" s="4" t="inlineStr">
        <is>
          <t>生鲜蔬果</t>
        </is>
      </c>
      <c r="E128" s="4" t="inlineStr">
        <is>
          <t>5kg</t>
        </is>
      </c>
      <c r="F128" s="18" t="n">
        <v>3540</v>
      </c>
      <c r="G128" s="15" t="n">
        <v>63.71</v>
      </c>
      <c r="H128" s="15" t="n">
        <v>225533.4</v>
      </c>
      <c r="I128" s="4" t="inlineStr">
        <is>
          <t>上海直营</t>
        </is>
      </c>
      <c r="J128" s="4" t="inlineStr">
        <is>
          <t>郭静娜</t>
        </is>
      </c>
    </row>
    <row r="129">
      <c r="A129" s="14" t="n">
        <v>45803</v>
      </c>
      <c r="B129" s="4" t="inlineStr">
        <is>
          <t>SO202510256</t>
        </is>
      </c>
      <c r="C129" s="4" t="inlineStr">
        <is>
          <t>常州淼沃食品有限公司</t>
        </is>
      </c>
      <c r="D129" s="4" t="inlineStr">
        <is>
          <t>粮油调味</t>
        </is>
      </c>
      <c r="E129" s="4" t="inlineStr">
        <is>
          <t>1kg</t>
        </is>
      </c>
      <c r="F129" s="18" t="n">
        <v>810</v>
      </c>
      <c r="G129" s="15" t="n">
        <v>20.85</v>
      </c>
      <c r="H129" s="15" t="n">
        <v>16888.5</v>
      </c>
      <c r="I129" s="4" t="inlineStr">
        <is>
          <t>江苏加盟</t>
        </is>
      </c>
      <c r="J129" s="4" t="inlineStr">
        <is>
          <t>高秀伟</t>
        </is>
      </c>
    </row>
    <row r="130">
      <c r="A130" s="14" t="n">
        <v>45804</v>
      </c>
      <c r="B130" s="4" t="inlineStr">
        <is>
          <t>SO202510210</t>
        </is>
      </c>
      <c r="C130" s="4" t="inlineStr">
        <is>
          <t>南昌大匠供应链有限公司</t>
        </is>
      </c>
      <c r="D130" s="4" t="inlineStr">
        <is>
          <t>休闲零食</t>
        </is>
      </c>
      <c r="E130" s="4" t="inlineStr">
        <is>
          <t>B级</t>
        </is>
      </c>
      <c r="F130" s="18" t="n">
        <v>1470</v>
      </c>
      <c r="G130" s="15" t="n">
        <v>79.29000000000001</v>
      </c>
      <c r="H130" s="15" t="n">
        <v>116556.3</v>
      </c>
      <c r="I130" s="4" t="inlineStr">
        <is>
          <t>上海直营</t>
        </is>
      </c>
      <c r="J130" s="4" t="inlineStr">
        <is>
          <t>朱勇秀</t>
        </is>
      </c>
    </row>
    <row r="131">
      <c r="A131" s="14" t="n">
        <v>45809</v>
      </c>
      <c r="B131" s="4" t="inlineStr">
        <is>
          <t>SO202510088</t>
        </is>
      </c>
      <c r="C131" s="4" t="inlineStr">
        <is>
          <t>南京京功食品有限公司</t>
        </is>
      </c>
      <c r="D131" s="4" t="inlineStr">
        <is>
          <t>休闲零食</t>
        </is>
      </c>
      <c r="E131" s="4" t="inlineStr">
        <is>
          <t>25kg</t>
        </is>
      </c>
      <c r="F131" s="18" t="n">
        <v>4740</v>
      </c>
      <c r="G131" s="15" t="n">
        <v>19.43</v>
      </c>
      <c r="H131" s="15" t="n">
        <v>92098.2</v>
      </c>
      <c r="I131" s="4" t="inlineStr">
        <is>
          <t>上海直营</t>
        </is>
      </c>
      <c r="J131" s="4" t="inlineStr">
        <is>
          <t>李秀敏</t>
        </is>
      </c>
    </row>
    <row r="132">
      <c r="A132" s="14" t="n">
        <v>45809</v>
      </c>
      <c r="B132" s="4" t="inlineStr">
        <is>
          <t>SO202510241</t>
        </is>
      </c>
      <c r="C132" s="4" t="inlineStr">
        <is>
          <t>杭州淼沃酒店管理集团</t>
        </is>
      </c>
      <c r="D132" s="4" t="inlineStr">
        <is>
          <t>粮油调味</t>
        </is>
      </c>
      <c r="E132" s="4" t="inlineStr">
        <is>
          <t>10kg</t>
        </is>
      </c>
      <c r="F132" s="18" t="n">
        <v>1660</v>
      </c>
      <c r="G132" s="15" t="n">
        <v>89.91</v>
      </c>
      <c r="H132" s="15" t="n">
        <v>149250.6</v>
      </c>
      <c r="I132" s="4" t="inlineStr">
        <is>
          <t>上海直营</t>
        </is>
      </c>
      <c r="J132" s="4" t="inlineStr">
        <is>
          <t>马英英</t>
        </is>
      </c>
    </row>
    <row r="133">
      <c r="A133" s="14" t="n">
        <v>45811</v>
      </c>
      <c r="B133" s="4" t="inlineStr">
        <is>
          <t>SO202510053</t>
        </is>
      </c>
      <c r="C133" s="4" t="inlineStr">
        <is>
          <t>镇江京功供应链有限公司</t>
        </is>
      </c>
      <c r="D133" s="4" t="inlineStr">
        <is>
          <t>酒水饮料</t>
        </is>
      </c>
      <c r="E133" s="4" t="inlineStr">
        <is>
          <t>C级</t>
        </is>
      </c>
      <c r="F133" s="18" t="n">
        <v>2070</v>
      </c>
      <c r="G133" s="15" t="n">
        <v>44.56</v>
      </c>
      <c r="H133" s="15" t="n">
        <v>92239.2</v>
      </c>
      <c r="I133" s="4" t="inlineStr">
        <is>
          <t>线上渠道</t>
        </is>
      </c>
      <c r="J133" s="4" t="inlineStr">
        <is>
          <t>刘静英</t>
        </is>
      </c>
    </row>
    <row r="134">
      <c r="A134" s="14" t="n">
        <v>45813</v>
      </c>
      <c r="B134" s="4" t="inlineStr">
        <is>
          <t>SO202510220</t>
        </is>
      </c>
      <c r="C134" s="4" t="inlineStr">
        <is>
          <t>杭州淼沃电商平台</t>
        </is>
      </c>
      <c r="D134" s="4" t="inlineStr">
        <is>
          <t>生鲜蔬果</t>
        </is>
      </c>
      <c r="E134" s="4" t="inlineStr">
        <is>
          <t>1kg</t>
        </is>
      </c>
      <c r="F134" s="18" t="n">
        <v>1250</v>
      </c>
      <c r="G134" s="15" t="n">
        <v>10.23</v>
      </c>
      <c r="H134" s="15" t="n">
        <v>12787.5</v>
      </c>
      <c r="I134" s="4" t="inlineStr">
        <is>
          <t>线上渠道</t>
        </is>
      </c>
      <c r="J134" s="4" t="inlineStr">
        <is>
          <t>刘兰英</t>
        </is>
      </c>
    </row>
    <row r="135">
      <c r="A135" s="14" t="n">
        <v>45814</v>
      </c>
      <c r="B135" s="4" t="inlineStr">
        <is>
          <t>SO202510174</t>
        </is>
      </c>
      <c r="C135" s="4" t="inlineStr">
        <is>
          <t>温州淼沃餐饮管理有限公司</t>
        </is>
      </c>
      <c r="D135" s="4" t="inlineStr">
        <is>
          <t>粮油调味</t>
        </is>
      </c>
      <c r="E135" s="4" t="inlineStr">
        <is>
          <t>1kg</t>
        </is>
      </c>
      <c r="F135" s="18" t="n">
        <v>2370</v>
      </c>
      <c r="G135" s="15" t="n">
        <v>23.71</v>
      </c>
      <c r="H135" s="15" t="n">
        <v>56192.7</v>
      </c>
      <c r="I135" s="4" t="inlineStr">
        <is>
          <t>浙江加盟</t>
        </is>
      </c>
      <c r="J135" s="4" t="inlineStr">
        <is>
          <t>周涛秀</t>
        </is>
      </c>
    </row>
    <row r="136">
      <c r="A136" s="14" t="n">
        <v>45816</v>
      </c>
      <c r="B136" s="4" t="inlineStr">
        <is>
          <t>SO202510018</t>
        </is>
      </c>
      <c r="C136" s="4" t="inlineStr">
        <is>
          <t>杭州大匠食品有限公司</t>
        </is>
      </c>
      <c r="D136" s="4" t="inlineStr">
        <is>
          <t>日用百货</t>
        </is>
      </c>
      <c r="E136" s="4" t="inlineStr">
        <is>
          <t>B级</t>
        </is>
      </c>
      <c r="F136" s="18" t="n">
        <v>4600</v>
      </c>
      <c r="G136" s="15" t="n">
        <v>84.23</v>
      </c>
      <c r="H136" s="15" t="n">
        <v>387458</v>
      </c>
      <c r="I136" s="4" t="inlineStr">
        <is>
          <t>江苏加盟</t>
        </is>
      </c>
      <c r="J136" s="4" t="inlineStr">
        <is>
          <t>黄杰娜</t>
        </is>
      </c>
    </row>
    <row r="137">
      <c r="A137" s="14" t="n">
        <v>45817</v>
      </c>
      <c r="B137" s="4" t="inlineStr">
        <is>
          <t>SO202510049</t>
        </is>
      </c>
      <c r="C137" s="4" t="inlineStr">
        <is>
          <t>温州百味供应链有限公司</t>
        </is>
      </c>
      <c r="D137" s="4" t="inlineStr">
        <is>
          <t>酒水饮料</t>
        </is>
      </c>
      <c r="E137" s="4" t="inlineStr">
        <is>
          <t>1kg</t>
        </is>
      </c>
      <c r="F137" s="18" t="n">
        <v>3870</v>
      </c>
      <c r="G137" s="15" t="n">
        <v>40.28</v>
      </c>
      <c r="H137" s="15" t="n">
        <v>155883.6</v>
      </c>
      <c r="I137" s="4" t="inlineStr">
        <is>
          <t>线上渠道</t>
        </is>
      </c>
      <c r="J137" s="4" t="inlineStr">
        <is>
          <t>杨勇伟</t>
        </is>
      </c>
    </row>
    <row r="138">
      <c r="A138" s="14" t="n">
        <v>45818</v>
      </c>
      <c r="B138" s="4" t="inlineStr">
        <is>
          <t>SO202510038</t>
        </is>
      </c>
      <c r="C138" s="4" t="inlineStr">
        <is>
          <t>南昌优鲜食品有限公司</t>
        </is>
      </c>
      <c r="D138" s="4" t="inlineStr">
        <is>
          <t>休闲零食</t>
        </is>
      </c>
      <c r="E138" s="4" t="inlineStr">
        <is>
          <t>2.5kg</t>
        </is>
      </c>
      <c r="F138" s="18" t="n">
        <v>2810</v>
      </c>
      <c r="G138" s="15" t="n">
        <v>22.43</v>
      </c>
      <c r="H138" s="15" t="n">
        <v>63028.3</v>
      </c>
      <c r="I138" s="4" t="inlineStr">
        <is>
          <t>上海直营</t>
        </is>
      </c>
      <c r="J138" s="4" t="inlineStr">
        <is>
          <t>马涛娜</t>
        </is>
      </c>
    </row>
    <row r="139">
      <c r="A139" s="14" t="n">
        <v>45819</v>
      </c>
      <c r="B139" s="4" t="inlineStr">
        <is>
          <t>SO202510129</t>
        </is>
      </c>
      <c r="C139" s="4" t="inlineStr">
        <is>
          <t>无锡百味餐饮管理有限公司</t>
        </is>
      </c>
      <c r="D139" s="4" t="inlineStr">
        <is>
          <t>休闲零食</t>
        </is>
      </c>
      <c r="E139" s="4" t="inlineStr">
        <is>
          <t>C级</t>
        </is>
      </c>
      <c r="F139" s="18" t="n">
        <v>3520</v>
      </c>
      <c r="G139" s="15" t="n">
        <v>44.95</v>
      </c>
      <c r="H139" s="15" t="n">
        <v>158224</v>
      </c>
      <c r="I139" s="4" t="inlineStr">
        <is>
          <t>线上渠道</t>
        </is>
      </c>
      <c r="J139" s="4" t="inlineStr">
        <is>
          <t>何超英</t>
        </is>
      </c>
    </row>
    <row r="140">
      <c r="A140" s="14" t="n">
        <v>45819</v>
      </c>
      <c r="B140" s="4" t="inlineStr">
        <is>
          <t>SO202510229</t>
        </is>
      </c>
      <c r="C140" s="4" t="inlineStr">
        <is>
          <t>温州淼沃供应链有限公司</t>
        </is>
      </c>
      <c r="D140" s="4" t="inlineStr">
        <is>
          <t>粮油调味</t>
        </is>
      </c>
      <c r="E140" s="4" t="inlineStr">
        <is>
          <t>500g</t>
        </is>
      </c>
      <c r="F140" s="18" t="n">
        <v>1490</v>
      </c>
      <c r="G140" s="15" t="n">
        <v>91.05</v>
      </c>
      <c r="H140" s="15" t="n">
        <v>135664.5</v>
      </c>
      <c r="I140" s="4" t="inlineStr">
        <is>
          <t>上海直营</t>
        </is>
      </c>
      <c r="J140" s="4" t="inlineStr">
        <is>
          <t>黄秀秀</t>
        </is>
      </c>
    </row>
    <row r="141">
      <c r="A141" s="14" t="n">
        <v>45822</v>
      </c>
      <c r="B141" s="4" t="inlineStr">
        <is>
          <t>SO202510211</t>
        </is>
      </c>
      <c r="C141" s="4" t="inlineStr">
        <is>
          <t>镇江淼沃商贸有限公司</t>
        </is>
      </c>
      <c r="D141" s="4" t="inlineStr">
        <is>
          <t>休闲零食</t>
        </is>
      </c>
      <c r="E141" s="4" t="inlineStr">
        <is>
          <t>A级</t>
        </is>
      </c>
      <c r="F141" s="18" t="n">
        <v>4120</v>
      </c>
      <c r="G141" s="15" t="n">
        <v>41.7</v>
      </c>
      <c r="H141" s="15" t="n">
        <v>171804</v>
      </c>
      <c r="I141" s="4" t="inlineStr">
        <is>
          <t>线上渠道</t>
        </is>
      </c>
      <c r="J141" s="4" t="inlineStr">
        <is>
          <t>黄芳秀</t>
        </is>
      </c>
    </row>
    <row r="142">
      <c r="A142" s="14" t="n">
        <v>45823</v>
      </c>
      <c r="B142" s="4" t="inlineStr">
        <is>
          <t>SO202510017</t>
        </is>
      </c>
      <c r="C142" s="4" t="inlineStr">
        <is>
          <t>温州大匠食品有限公司</t>
        </is>
      </c>
      <c r="D142" s="4" t="inlineStr">
        <is>
          <t>肉禽蛋奶</t>
        </is>
      </c>
      <c r="E142" s="4" t="inlineStr">
        <is>
          <t>特级</t>
        </is>
      </c>
      <c r="F142" s="18" t="n">
        <v>1280</v>
      </c>
      <c r="G142" s="15" t="n">
        <v>83.16</v>
      </c>
      <c r="H142" s="15" t="n">
        <v>106444.8</v>
      </c>
      <c r="I142" s="4" t="inlineStr">
        <is>
          <t>浙江加盟</t>
        </is>
      </c>
      <c r="J142" s="4" t="inlineStr">
        <is>
          <t>黄伟秀</t>
        </is>
      </c>
    </row>
    <row r="143">
      <c r="A143" s="14" t="n">
        <v>45824</v>
      </c>
      <c r="B143" s="4" t="inlineStr">
        <is>
          <t>SO202510001</t>
        </is>
      </c>
      <c r="C143" s="4" t="inlineStr">
        <is>
          <t>镇江优鲜电商平台</t>
        </is>
      </c>
      <c r="D143" s="4" t="inlineStr">
        <is>
          <t>生鲜蔬果</t>
        </is>
      </c>
      <c r="E143" s="4" t="inlineStr">
        <is>
          <t>5kg</t>
        </is>
      </c>
      <c r="F143" s="18" t="n">
        <v>1730</v>
      </c>
      <c r="G143" s="15" t="n">
        <v>90.64</v>
      </c>
      <c r="H143" s="15" t="n">
        <v>156807.2</v>
      </c>
      <c r="I143" s="4" t="inlineStr">
        <is>
          <t>上海直营</t>
        </is>
      </c>
      <c r="J143" s="4" t="inlineStr">
        <is>
          <t>黄明敏</t>
        </is>
      </c>
    </row>
    <row r="144">
      <c r="A144" s="14" t="n">
        <v>45824</v>
      </c>
      <c r="B144" s="4" t="inlineStr">
        <is>
          <t>SO202510069</t>
        </is>
      </c>
      <c r="C144" s="4" t="inlineStr">
        <is>
          <t>南京京功食品有限公司</t>
        </is>
      </c>
      <c r="D144" s="4" t="inlineStr">
        <is>
          <t>酒水饮料</t>
        </is>
      </c>
      <c r="E144" s="4" t="inlineStr">
        <is>
          <t>5kg</t>
        </is>
      </c>
      <c r="F144" s="18" t="n">
        <v>1240</v>
      </c>
      <c r="G144" s="15" t="n">
        <v>11.04</v>
      </c>
      <c r="H144" s="15" t="n">
        <v>13689.6</v>
      </c>
      <c r="I144" s="4" t="inlineStr">
        <is>
          <t>浙江加盟</t>
        </is>
      </c>
      <c r="J144" s="4" t="inlineStr">
        <is>
          <t>何兰秀</t>
        </is>
      </c>
    </row>
    <row r="145">
      <c r="A145" s="14" t="n">
        <v>45824</v>
      </c>
      <c r="B145" s="4" t="inlineStr">
        <is>
          <t>SO202510086</t>
        </is>
      </c>
      <c r="C145" s="4" t="inlineStr">
        <is>
          <t>常州大匠酒店管理集团</t>
        </is>
      </c>
      <c r="D145" s="4" t="inlineStr">
        <is>
          <t>生鲜蔬果</t>
        </is>
      </c>
      <c r="E145" s="4" t="inlineStr">
        <is>
          <t>10kg</t>
        </is>
      </c>
      <c r="F145" s="18" t="n">
        <v>4340</v>
      </c>
      <c r="G145" s="15" t="n">
        <v>87.70999999999999</v>
      </c>
      <c r="H145" s="15" t="n">
        <v>380661.4</v>
      </c>
      <c r="I145" s="4" t="inlineStr">
        <is>
          <t>上海直营</t>
        </is>
      </c>
      <c r="J145" s="4" t="inlineStr">
        <is>
          <t>周英秀</t>
        </is>
      </c>
    </row>
    <row r="146">
      <c r="A146" s="14" t="n">
        <v>45825</v>
      </c>
      <c r="B146" s="4" t="inlineStr">
        <is>
          <t>SO202510207</t>
        </is>
      </c>
      <c r="C146" s="4" t="inlineStr">
        <is>
          <t>宁波大匠食品有限公司</t>
        </is>
      </c>
      <c r="D146" s="4" t="inlineStr">
        <is>
          <t>粮油调味</t>
        </is>
      </c>
      <c r="E146" s="4" t="inlineStr">
        <is>
          <t>2.5kg</t>
        </is>
      </c>
      <c r="F146" s="18" t="n">
        <v>4530</v>
      </c>
      <c r="G146" s="15" t="n">
        <v>46.56</v>
      </c>
      <c r="H146" s="15" t="n">
        <v>210916.8</v>
      </c>
      <c r="I146" s="4" t="inlineStr">
        <is>
          <t>江苏加盟</t>
        </is>
      </c>
      <c r="J146" s="4" t="inlineStr">
        <is>
          <t>周伟伟</t>
        </is>
      </c>
    </row>
    <row r="147">
      <c r="A147" s="14" t="n">
        <v>45825</v>
      </c>
      <c r="B147" s="4" t="inlineStr">
        <is>
          <t>SO202510227</t>
        </is>
      </c>
      <c r="C147" s="4" t="inlineStr">
        <is>
          <t>杭州大匠食品有限公司</t>
        </is>
      </c>
      <c r="D147" s="4" t="inlineStr">
        <is>
          <t>粮油调味</t>
        </is>
      </c>
      <c r="E147" s="4" t="inlineStr">
        <is>
          <t>5kg</t>
        </is>
      </c>
      <c r="F147" s="18" t="n">
        <v>3620</v>
      </c>
      <c r="G147" s="15" t="n">
        <v>59.44</v>
      </c>
      <c r="H147" s="15" t="n">
        <v>215172.8</v>
      </c>
      <c r="I147" s="4" t="inlineStr">
        <is>
          <t>江苏加盟</t>
        </is>
      </c>
      <c r="J147" s="4" t="inlineStr">
        <is>
          <t>胡丽敏</t>
        </is>
      </c>
    </row>
    <row r="148">
      <c r="A148" s="14" t="n">
        <v>45825</v>
      </c>
      <c r="B148" s="4" t="inlineStr">
        <is>
          <t>SO202510276</t>
        </is>
      </c>
      <c r="C148" s="4" t="inlineStr">
        <is>
          <t>苏州优鲜酒店管理集团</t>
        </is>
      </c>
      <c r="D148" s="4" t="inlineStr">
        <is>
          <t>粮油调味</t>
        </is>
      </c>
      <c r="E148" s="4" t="inlineStr">
        <is>
          <t>500g</t>
        </is>
      </c>
      <c r="F148" s="18" t="n">
        <v>30</v>
      </c>
      <c r="G148" s="15" t="n">
        <v>52.5</v>
      </c>
      <c r="H148" s="15" t="n">
        <v>1575</v>
      </c>
      <c r="I148" s="4" t="inlineStr">
        <is>
          <t>江苏加盟</t>
        </is>
      </c>
      <c r="J148" s="4" t="inlineStr">
        <is>
          <t>周娜娜</t>
        </is>
      </c>
    </row>
    <row r="149">
      <c r="A149" s="14" t="n">
        <v>45826</v>
      </c>
      <c r="B149" s="4" t="inlineStr">
        <is>
          <t>SO202510102</t>
        </is>
      </c>
      <c r="C149" s="4" t="inlineStr">
        <is>
          <t>上海淼沃超市</t>
        </is>
      </c>
      <c r="D149" s="4" t="inlineStr">
        <is>
          <t>酒水饮料</t>
        </is>
      </c>
      <c r="E149" s="4" t="inlineStr">
        <is>
          <t>5kg</t>
        </is>
      </c>
      <c r="F149" s="18" t="n">
        <v>2460</v>
      </c>
      <c r="G149" s="15" t="n">
        <v>10.8</v>
      </c>
      <c r="H149" s="15" t="n">
        <v>26568</v>
      </c>
      <c r="I149" s="4" t="inlineStr">
        <is>
          <t>上海直营</t>
        </is>
      </c>
      <c r="J149" s="4" t="inlineStr">
        <is>
          <t>孙兰敏</t>
        </is>
      </c>
    </row>
    <row r="150">
      <c r="A150" s="14" t="n">
        <v>45828</v>
      </c>
      <c r="B150" s="4" t="inlineStr">
        <is>
          <t>SO202510212</t>
        </is>
      </c>
      <c r="C150" s="4" t="inlineStr">
        <is>
          <t>上海京功商贸有限公司</t>
        </is>
      </c>
      <c r="D150" s="4" t="inlineStr">
        <is>
          <t>粮油调味</t>
        </is>
      </c>
      <c r="E150" s="4" t="inlineStr">
        <is>
          <t>10kg</t>
        </is>
      </c>
      <c r="F150" s="18" t="n">
        <v>2660</v>
      </c>
      <c r="G150" s="15" t="n">
        <v>5.45</v>
      </c>
      <c r="H150" s="15" t="n">
        <v>14497</v>
      </c>
      <c r="I150" s="4" t="inlineStr">
        <is>
          <t>江苏加盟</t>
        </is>
      </c>
      <c r="J150" s="4" t="inlineStr">
        <is>
          <t>马芳芳</t>
        </is>
      </c>
    </row>
    <row r="151">
      <c r="A151" s="14" t="n">
        <v>45830</v>
      </c>
      <c r="B151" s="4" t="inlineStr">
        <is>
          <t>SO202510106</t>
        </is>
      </c>
      <c r="C151" s="4" t="inlineStr">
        <is>
          <t>南昌大匠餐饮管理有限公司</t>
        </is>
      </c>
      <c r="D151" s="4" t="inlineStr">
        <is>
          <t>休闲零食</t>
        </is>
      </c>
      <c r="E151" s="4" t="inlineStr">
        <is>
          <t>2.5kg</t>
        </is>
      </c>
      <c r="F151" s="18" t="n">
        <v>3020</v>
      </c>
      <c r="G151" s="15" t="n">
        <v>57.86</v>
      </c>
      <c r="H151" s="15" t="n">
        <v>174737.2</v>
      </c>
      <c r="I151" s="4" t="inlineStr">
        <is>
          <t>浙江加盟</t>
        </is>
      </c>
      <c r="J151" s="4" t="inlineStr">
        <is>
          <t>胡秀芳</t>
        </is>
      </c>
    </row>
    <row r="152">
      <c r="A152" s="14" t="n">
        <v>45830</v>
      </c>
      <c r="B152" s="4" t="inlineStr">
        <is>
          <t>SO202510187</t>
        </is>
      </c>
      <c r="C152" s="4" t="inlineStr">
        <is>
          <t>嘉兴淼沃电商平台</t>
        </is>
      </c>
      <c r="D152" s="4" t="inlineStr">
        <is>
          <t>粮油调味</t>
        </is>
      </c>
      <c r="E152" s="4" t="inlineStr">
        <is>
          <t>A级</t>
        </is>
      </c>
      <c r="F152" s="18" t="n">
        <v>2900</v>
      </c>
      <c r="G152" s="15" t="n">
        <v>48.67</v>
      </c>
      <c r="H152" s="15" t="n">
        <v>141143</v>
      </c>
      <c r="I152" s="4" t="inlineStr">
        <is>
          <t>上海直营</t>
        </is>
      </c>
      <c r="J152" s="4" t="inlineStr">
        <is>
          <t>黄兰芳</t>
        </is>
      </c>
    </row>
    <row r="153">
      <c r="A153" s="14" t="n">
        <v>45830</v>
      </c>
      <c r="B153" s="4" t="inlineStr">
        <is>
          <t>SO202510209</t>
        </is>
      </c>
      <c r="C153" s="4" t="inlineStr">
        <is>
          <t>宁波大匠餐饮管理有限公司</t>
        </is>
      </c>
      <c r="D153" s="4" t="inlineStr">
        <is>
          <t>生鲜蔬果</t>
        </is>
      </c>
      <c r="E153" s="4" t="inlineStr">
        <is>
          <t>B级</t>
        </is>
      </c>
      <c r="F153" s="18" t="n">
        <v>3580</v>
      </c>
      <c r="G153" s="15" t="n">
        <v>59.19</v>
      </c>
      <c r="H153" s="15" t="n">
        <v>211900.2</v>
      </c>
      <c r="I153" s="4" t="inlineStr">
        <is>
          <t>江苏加盟</t>
        </is>
      </c>
      <c r="J153" s="4" t="inlineStr">
        <is>
          <t>郭兰伟</t>
        </is>
      </c>
    </row>
    <row r="154">
      <c r="A154" s="14" t="n">
        <v>45831</v>
      </c>
      <c r="B154" s="4" t="inlineStr">
        <is>
          <t>SO202510132</t>
        </is>
      </c>
      <c r="C154" s="4" t="inlineStr">
        <is>
          <t>宁波淼沃酒店管理集团</t>
        </is>
      </c>
      <c r="D154" s="4" t="inlineStr">
        <is>
          <t>粮油调味</t>
        </is>
      </c>
      <c r="E154" s="4" t="inlineStr">
        <is>
          <t>A级</t>
        </is>
      </c>
      <c r="F154" s="18" t="n">
        <v>4920</v>
      </c>
      <c r="G154" s="15" t="n">
        <v>69.98</v>
      </c>
      <c r="H154" s="15" t="n">
        <v>344301.6</v>
      </c>
      <c r="I154" s="4" t="inlineStr">
        <is>
          <t>浙江加盟</t>
        </is>
      </c>
      <c r="J154" s="4" t="inlineStr">
        <is>
          <t>孙兰芳</t>
        </is>
      </c>
    </row>
    <row r="155">
      <c r="A155" s="14" t="n">
        <v>45831</v>
      </c>
      <c r="B155" s="4" t="inlineStr">
        <is>
          <t>SO202510216</t>
        </is>
      </c>
      <c r="C155" s="4" t="inlineStr">
        <is>
          <t>温州食佳超市</t>
        </is>
      </c>
      <c r="D155" s="4" t="inlineStr">
        <is>
          <t>粮油调味</t>
        </is>
      </c>
      <c r="E155" s="4" t="inlineStr">
        <is>
          <t>精装</t>
        </is>
      </c>
      <c r="F155" s="18" t="n">
        <v>1780</v>
      </c>
      <c r="G155" s="15" t="n">
        <v>63.2</v>
      </c>
      <c r="H155" s="15" t="n">
        <v>112496</v>
      </c>
      <c r="I155" s="4" t="inlineStr">
        <is>
          <t>线上渠道</t>
        </is>
      </c>
      <c r="J155" s="4" t="inlineStr">
        <is>
          <t>马艳芳</t>
        </is>
      </c>
    </row>
    <row r="156">
      <c r="A156" s="14" t="n">
        <v>45831</v>
      </c>
      <c r="B156" s="4" t="inlineStr">
        <is>
          <t>SO202510217</t>
        </is>
      </c>
      <c r="C156" s="4" t="inlineStr">
        <is>
          <t>南京淼沃商贸有限公司</t>
        </is>
      </c>
      <c r="D156" s="4" t="inlineStr">
        <is>
          <t>粮油调味</t>
        </is>
      </c>
      <c r="E156" s="4" t="inlineStr">
        <is>
          <t>精装</t>
        </is>
      </c>
      <c r="F156" s="18" t="n">
        <v>410</v>
      </c>
      <c r="G156" s="15" t="n">
        <v>53.48</v>
      </c>
      <c r="H156" s="15" t="n">
        <v>21926.8</v>
      </c>
      <c r="I156" s="4" t="inlineStr">
        <is>
          <t>江苏加盟</t>
        </is>
      </c>
      <c r="J156" s="4" t="inlineStr">
        <is>
          <t>何明芳</t>
        </is>
      </c>
    </row>
    <row r="157">
      <c r="A157" s="14" t="n">
        <v>45831</v>
      </c>
      <c r="B157" s="4" t="inlineStr">
        <is>
          <t>SO202510249</t>
        </is>
      </c>
      <c r="C157" s="4" t="inlineStr">
        <is>
          <t>常州食佳超市</t>
        </is>
      </c>
      <c r="D157" s="4" t="inlineStr">
        <is>
          <t>日用百货</t>
        </is>
      </c>
      <c r="E157" s="4" t="inlineStr">
        <is>
          <t>A级</t>
        </is>
      </c>
      <c r="F157" s="18" t="n">
        <v>850</v>
      </c>
      <c r="G157" s="15" t="n">
        <v>36.97</v>
      </c>
      <c r="H157" s="15" t="n">
        <v>31424.5</v>
      </c>
      <c r="I157" s="4" t="inlineStr">
        <is>
          <t>浙江加盟</t>
        </is>
      </c>
      <c r="J157" s="4" t="inlineStr">
        <is>
          <t>高芳敏</t>
        </is>
      </c>
    </row>
    <row r="158">
      <c r="A158" s="14" t="n">
        <v>45831</v>
      </c>
      <c r="B158" s="4" t="inlineStr">
        <is>
          <t>SO202510262</t>
        </is>
      </c>
      <c r="C158" s="4" t="inlineStr">
        <is>
          <t>苏州百味电商平台</t>
        </is>
      </c>
      <c r="D158" s="4" t="inlineStr">
        <is>
          <t>日用百货</t>
        </is>
      </c>
      <c r="E158" s="4" t="inlineStr">
        <is>
          <t>A级</t>
        </is>
      </c>
      <c r="F158" s="18" t="n">
        <v>2360</v>
      </c>
      <c r="G158" s="15" t="n">
        <v>17.32</v>
      </c>
      <c r="H158" s="15" t="n">
        <v>40875.2</v>
      </c>
      <c r="I158" s="4" t="inlineStr">
        <is>
          <t>江苏加盟</t>
        </is>
      </c>
      <c r="J158" s="4" t="inlineStr">
        <is>
          <t>杨秀秀</t>
        </is>
      </c>
    </row>
    <row r="159">
      <c r="A159" s="14" t="n">
        <v>45832</v>
      </c>
      <c r="B159" s="4" t="inlineStr">
        <is>
          <t>SO202510123</t>
        </is>
      </c>
      <c r="C159" s="4" t="inlineStr">
        <is>
          <t>宁波食佳商贸有限公司</t>
        </is>
      </c>
      <c r="D159" s="4" t="inlineStr">
        <is>
          <t>日用百货</t>
        </is>
      </c>
      <c r="E159" s="4" t="inlineStr">
        <is>
          <t>A级</t>
        </is>
      </c>
      <c r="F159" s="18" t="n">
        <v>490</v>
      </c>
      <c r="G159" s="15" t="n">
        <v>50.26</v>
      </c>
      <c r="H159" s="15" t="n">
        <v>24627.4</v>
      </c>
      <c r="I159" s="4" t="inlineStr">
        <is>
          <t>江苏加盟</t>
        </is>
      </c>
      <c r="J159" s="4" t="inlineStr">
        <is>
          <t>朱敏英</t>
        </is>
      </c>
    </row>
    <row r="160">
      <c r="A160" s="14" t="n">
        <v>45833</v>
      </c>
      <c r="B160" s="4" t="inlineStr">
        <is>
          <t>SO202510135</t>
        </is>
      </c>
      <c r="C160" s="4" t="inlineStr">
        <is>
          <t>合肥食佳食品有限公司</t>
        </is>
      </c>
      <c r="D160" s="4" t="inlineStr">
        <is>
          <t>日用百货</t>
        </is>
      </c>
      <c r="E160" s="4" t="inlineStr">
        <is>
          <t>2.5kg</t>
        </is>
      </c>
      <c r="F160" s="18" t="n">
        <v>540</v>
      </c>
      <c r="G160" s="15" t="n">
        <v>11.06</v>
      </c>
      <c r="H160" s="15" t="n">
        <v>5972.4</v>
      </c>
      <c r="I160" s="4" t="inlineStr">
        <is>
          <t>线上渠道</t>
        </is>
      </c>
      <c r="J160" s="4" t="inlineStr">
        <is>
          <t>高勇英</t>
        </is>
      </c>
    </row>
    <row r="161">
      <c r="A161" s="14" t="n">
        <v>45835</v>
      </c>
      <c r="B161" s="4" t="inlineStr">
        <is>
          <t>SO202510238</t>
        </is>
      </c>
      <c r="C161" s="4" t="inlineStr">
        <is>
          <t>杭州百味超市</t>
        </is>
      </c>
      <c r="D161" s="4" t="inlineStr">
        <is>
          <t>肉禽蛋奶</t>
        </is>
      </c>
      <c r="E161" s="4" t="inlineStr">
        <is>
          <t>5kg</t>
        </is>
      </c>
      <c r="F161" s="18" t="n">
        <v>1060</v>
      </c>
      <c r="G161" s="15" t="n">
        <v>47.06</v>
      </c>
      <c r="H161" s="15" t="n">
        <v>49883.6</v>
      </c>
      <c r="I161" s="4" t="inlineStr">
        <is>
          <t>线上渠道</t>
        </is>
      </c>
      <c r="J161" s="4" t="inlineStr">
        <is>
          <t>胡伟芳</t>
        </is>
      </c>
    </row>
    <row r="162">
      <c r="A162" s="14" t="n">
        <v>45841</v>
      </c>
      <c r="B162" s="4" t="inlineStr">
        <is>
          <t>SO202510055</t>
        </is>
      </c>
      <c r="C162" s="4" t="inlineStr">
        <is>
          <t>常州食佳超市</t>
        </is>
      </c>
      <c r="D162" s="4" t="inlineStr">
        <is>
          <t>粮油调味</t>
        </is>
      </c>
      <c r="E162" s="4" t="inlineStr">
        <is>
          <t>C级</t>
        </is>
      </c>
      <c r="F162" s="18" t="n">
        <v>720</v>
      </c>
      <c r="G162" s="15" t="n">
        <v>48.68</v>
      </c>
      <c r="H162" s="15" t="n">
        <v>35049.6</v>
      </c>
      <c r="I162" s="4" t="inlineStr">
        <is>
          <t>上海直营</t>
        </is>
      </c>
      <c r="J162" s="4" t="inlineStr">
        <is>
          <t>吴磊娜</t>
        </is>
      </c>
    </row>
    <row r="163">
      <c r="A163" s="14" t="n">
        <v>45841</v>
      </c>
      <c r="B163" s="4" t="inlineStr">
        <is>
          <t>SO202510176</t>
        </is>
      </c>
      <c r="C163" s="4" t="inlineStr">
        <is>
          <t>温州百味供应链有限公司</t>
        </is>
      </c>
      <c r="D163" s="4" t="inlineStr">
        <is>
          <t>肉禽蛋奶</t>
        </is>
      </c>
      <c r="E163" s="4" t="inlineStr">
        <is>
          <t>C级</t>
        </is>
      </c>
      <c r="F163" s="18" t="n">
        <v>4640</v>
      </c>
      <c r="G163" s="15" t="n">
        <v>62.45</v>
      </c>
      <c r="H163" s="15" t="n">
        <v>289768</v>
      </c>
      <c r="I163" s="4" t="inlineStr">
        <is>
          <t>线上渠道</t>
        </is>
      </c>
      <c r="J163" s="4" t="inlineStr">
        <is>
          <t>陈超娜</t>
        </is>
      </c>
    </row>
    <row r="164">
      <c r="A164" s="14" t="n">
        <v>45842</v>
      </c>
      <c r="B164" s="4" t="inlineStr">
        <is>
          <t>SO202510149</t>
        </is>
      </c>
      <c r="C164" s="4" t="inlineStr">
        <is>
          <t>上海京功酒店管理集团</t>
        </is>
      </c>
      <c r="D164" s="4" t="inlineStr">
        <is>
          <t>日用百货</t>
        </is>
      </c>
      <c r="E164" s="4" t="inlineStr">
        <is>
          <t>1kg</t>
        </is>
      </c>
      <c r="F164" s="18" t="n">
        <v>3270</v>
      </c>
      <c r="G164" s="15" t="n">
        <v>86.34</v>
      </c>
      <c r="H164" s="15" t="n">
        <v>282331.8</v>
      </c>
      <c r="I164" s="4" t="inlineStr">
        <is>
          <t>江苏加盟</t>
        </is>
      </c>
      <c r="J164" s="4" t="inlineStr">
        <is>
          <t>张涛英</t>
        </is>
      </c>
    </row>
    <row r="165">
      <c r="A165" s="14" t="n">
        <v>45844</v>
      </c>
      <c r="B165" s="4" t="inlineStr">
        <is>
          <t>SO202510117</t>
        </is>
      </c>
      <c r="C165" s="4" t="inlineStr">
        <is>
          <t>杭州京功餐饮管理有限公司</t>
        </is>
      </c>
      <c r="D165" s="4" t="inlineStr">
        <is>
          <t>肉禽蛋奶</t>
        </is>
      </c>
      <c r="E165" s="4" t="inlineStr">
        <is>
          <t>特级</t>
        </is>
      </c>
      <c r="F165" s="18" t="n">
        <v>3540</v>
      </c>
      <c r="G165" s="15" t="n">
        <v>7.15</v>
      </c>
      <c r="H165" s="15" t="n">
        <v>25311</v>
      </c>
      <c r="I165" s="4" t="inlineStr">
        <is>
          <t>浙江加盟</t>
        </is>
      </c>
      <c r="J165" s="4" t="inlineStr">
        <is>
          <t>胡英芳</t>
        </is>
      </c>
    </row>
    <row r="166">
      <c r="A166" s="14" t="n">
        <v>45845</v>
      </c>
      <c r="B166" s="4" t="inlineStr">
        <is>
          <t>SO202510047</t>
        </is>
      </c>
      <c r="C166" s="4" t="inlineStr">
        <is>
          <t>宁波食佳商贸有限公司</t>
        </is>
      </c>
      <c r="D166" s="4" t="inlineStr">
        <is>
          <t>生鲜蔬果</t>
        </is>
      </c>
      <c r="E166" s="4" t="inlineStr">
        <is>
          <t>A级</t>
        </is>
      </c>
      <c r="F166" s="18" t="n">
        <v>1040</v>
      </c>
      <c r="G166" s="15" t="n">
        <v>80.34</v>
      </c>
      <c r="H166" s="15" t="n">
        <v>83553.60000000001</v>
      </c>
      <c r="I166" s="4" t="inlineStr">
        <is>
          <t>上海直营</t>
        </is>
      </c>
      <c r="J166" s="4" t="inlineStr">
        <is>
          <t>黄芳伟</t>
        </is>
      </c>
    </row>
    <row r="167">
      <c r="A167" s="14" t="n">
        <v>45846</v>
      </c>
      <c r="B167" s="4" t="inlineStr">
        <is>
          <t>SO202510275</t>
        </is>
      </c>
      <c r="C167" s="4" t="inlineStr">
        <is>
          <t>无锡百味供应链有限公司</t>
        </is>
      </c>
      <c r="D167" s="4" t="inlineStr">
        <is>
          <t>生鲜蔬果</t>
        </is>
      </c>
      <c r="E167" s="4" t="inlineStr">
        <is>
          <t>B级</t>
        </is>
      </c>
      <c r="F167" s="18" t="n">
        <v>2350</v>
      </c>
      <c r="G167" s="15" t="n">
        <v>34.96</v>
      </c>
      <c r="H167" s="15" t="n">
        <v>82156</v>
      </c>
      <c r="I167" s="4" t="inlineStr">
        <is>
          <t>浙江加盟</t>
        </is>
      </c>
      <c r="J167" s="4" t="inlineStr">
        <is>
          <t>林艳伟</t>
        </is>
      </c>
    </row>
    <row r="168">
      <c r="A168" s="14" t="n">
        <v>45847</v>
      </c>
      <c r="B168" s="4" t="inlineStr">
        <is>
          <t>SO202510122</t>
        </is>
      </c>
      <c r="C168" s="4" t="inlineStr">
        <is>
          <t>嘉兴优鲜供应链有限公司</t>
        </is>
      </c>
      <c r="D168" s="4" t="inlineStr">
        <is>
          <t>休闲零食</t>
        </is>
      </c>
      <c r="E168" s="4" t="inlineStr">
        <is>
          <t>A级</t>
        </is>
      </c>
      <c r="F168" s="18" t="n">
        <v>2380</v>
      </c>
      <c r="G168" s="15" t="n">
        <v>2.92</v>
      </c>
      <c r="H168" s="15" t="n">
        <v>6949.6</v>
      </c>
      <c r="I168" s="4" t="inlineStr">
        <is>
          <t>上海直营</t>
        </is>
      </c>
      <c r="J168" s="4" t="inlineStr">
        <is>
          <t>吴洋英</t>
        </is>
      </c>
    </row>
    <row r="169">
      <c r="A169" s="14" t="n">
        <v>45848</v>
      </c>
      <c r="B169" s="4" t="inlineStr">
        <is>
          <t>SO202510040</t>
        </is>
      </c>
      <c r="C169" s="4" t="inlineStr">
        <is>
          <t>嘉兴优鲜供应链有限公司</t>
        </is>
      </c>
      <c r="D169" s="4" t="inlineStr">
        <is>
          <t>粮油调味</t>
        </is>
      </c>
      <c r="E169" s="4" t="inlineStr">
        <is>
          <t>特级</t>
        </is>
      </c>
      <c r="F169" s="18" t="n">
        <v>2210</v>
      </c>
      <c r="G169" s="15" t="n">
        <v>6.93</v>
      </c>
      <c r="H169" s="15" t="n">
        <v>15315.3</v>
      </c>
      <c r="I169" s="4" t="inlineStr">
        <is>
          <t>上海直营</t>
        </is>
      </c>
      <c r="J169" s="4" t="inlineStr">
        <is>
          <t>马静娜</t>
        </is>
      </c>
    </row>
    <row r="170">
      <c r="A170" s="14" t="n">
        <v>45848</v>
      </c>
      <c r="B170" s="4" t="inlineStr">
        <is>
          <t>SO202510085</t>
        </is>
      </c>
      <c r="C170" s="4" t="inlineStr">
        <is>
          <t>温州食佳酒店管理集团</t>
        </is>
      </c>
      <c r="D170" s="4" t="inlineStr">
        <is>
          <t>酒水饮料</t>
        </is>
      </c>
      <c r="E170" s="4" t="inlineStr">
        <is>
          <t>标准</t>
        </is>
      </c>
      <c r="F170" s="18" t="n">
        <v>1070</v>
      </c>
      <c r="G170" s="15" t="n">
        <v>82.41</v>
      </c>
      <c r="H170" s="15" t="n">
        <v>88178.7</v>
      </c>
      <c r="I170" s="4" t="inlineStr">
        <is>
          <t>浙江加盟</t>
        </is>
      </c>
      <c r="J170" s="4" t="inlineStr">
        <is>
          <t>胡伟伟</t>
        </is>
      </c>
    </row>
    <row r="171">
      <c r="A171" s="14" t="n">
        <v>45849</v>
      </c>
      <c r="B171" s="4" t="inlineStr">
        <is>
          <t>SO202510042</t>
        </is>
      </c>
      <c r="C171" s="4" t="inlineStr">
        <is>
          <t>镇江百味餐饮管理有限公司</t>
        </is>
      </c>
      <c r="D171" s="4" t="inlineStr">
        <is>
          <t>肉禽蛋奶</t>
        </is>
      </c>
      <c r="E171" s="4" t="inlineStr">
        <is>
          <t>特级</t>
        </is>
      </c>
      <c r="F171" s="18" t="n">
        <v>1230</v>
      </c>
      <c r="G171" s="15" t="n">
        <v>77.63</v>
      </c>
      <c r="H171" s="15" t="n">
        <v>95484.89999999999</v>
      </c>
      <c r="I171" s="4" t="inlineStr">
        <is>
          <t>上海直营</t>
        </is>
      </c>
      <c r="J171" s="4" t="inlineStr">
        <is>
          <t>黄伟敏</t>
        </is>
      </c>
    </row>
    <row r="172">
      <c r="A172" s="14" t="n">
        <v>45851</v>
      </c>
      <c r="B172" s="4" t="inlineStr">
        <is>
          <t>SO202510039</t>
        </is>
      </c>
      <c r="C172" s="4" t="inlineStr">
        <is>
          <t>南昌京功超市</t>
        </is>
      </c>
      <c r="D172" s="4" t="inlineStr">
        <is>
          <t>休闲零食</t>
        </is>
      </c>
      <c r="E172" s="4" t="inlineStr">
        <is>
          <t>B级</t>
        </is>
      </c>
      <c r="F172" s="18" t="n">
        <v>2640</v>
      </c>
      <c r="G172" s="15" t="n">
        <v>73.01000000000001</v>
      </c>
      <c r="H172" s="15" t="n">
        <v>192746.4</v>
      </c>
      <c r="I172" s="4" t="inlineStr">
        <is>
          <t>上海直营</t>
        </is>
      </c>
      <c r="J172" s="4" t="inlineStr">
        <is>
          <t>何洋秀</t>
        </is>
      </c>
    </row>
    <row r="173">
      <c r="A173" s="14" t="n">
        <v>45854</v>
      </c>
      <c r="B173" s="4" t="inlineStr">
        <is>
          <t>SO202510043</t>
        </is>
      </c>
      <c r="C173" s="4" t="inlineStr">
        <is>
          <t>常州大匠电商平台</t>
        </is>
      </c>
      <c r="D173" s="4" t="inlineStr">
        <is>
          <t>日用百货</t>
        </is>
      </c>
      <c r="E173" s="4" t="inlineStr">
        <is>
          <t>标准</t>
        </is>
      </c>
      <c r="F173" s="18" t="n">
        <v>2860</v>
      </c>
      <c r="G173" s="15" t="n">
        <v>49.4</v>
      </c>
      <c r="H173" s="15" t="n">
        <v>141284</v>
      </c>
      <c r="I173" s="4" t="inlineStr">
        <is>
          <t>线上渠道</t>
        </is>
      </c>
      <c r="J173" s="4" t="inlineStr">
        <is>
          <t>朱秀娜</t>
        </is>
      </c>
    </row>
    <row r="174">
      <c r="A174" s="14" t="n">
        <v>45855</v>
      </c>
      <c r="B174" s="4" t="inlineStr">
        <is>
          <t>SO202510033</t>
        </is>
      </c>
      <c r="C174" s="4" t="inlineStr">
        <is>
          <t>上海食佳食品有限公司</t>
        </is>
      </c>
      <c r="D174" s="4" t="inlineStr">
        <is>
          <t>酒水饮料</t>
        </is>
      </c>
      <c r="E174" s="4" t="inlineStr">
        <is>
          <t>A级</t>
        </is>
      </c>
      <c r="F174" s="18" t="n">
        <v>3630</v>
      </c>
      <c r="G174" s="15" t="n">
        <v>54.73</v>
      </c>
      <c r="H174" s="15" t="n">
        <v>198669.9</v>
      </c>
      <c r="I174" s="4" t="inlineStr">
        <is>
          <t>浙江加盟</t>
        </is>
      </c>
      <c r="J174" s="4" t="inlineStr">
        <is>
          <t>孙杰英</t>
        </is>
      </c>
    </row>
    <row r="175">
      <c r="A175" s="14" t="n">
        <v>45855</v>
      </c>
      <c r="B175" s="4" t="inlineStr">
        <is>
          <t>SO202510317</t>
        </is>
      </c>
      <c r="C175" s="4" t="inlineStr">
        <is>
          <t>宁波百味餐饮管理有限公司</t>
        </is>
      </c>
      <c r="D175" s="4" t="inlineStr">
        <is>
          <t>粮油调味</t>
        </is>
      </c>
      <c r="E175" s="4" t="inlineStr">
        <is>
          <t>C级</t>
        </is>
      </c>
      <c r="F175" s="18" t="n">
        <v>760</v>
      </c>
      <c r="G175" s="15" t="n">
        <v>65.61</v>
      </c>
      <c r="H175" s="15" t="n">
        <v>49863.6</v>
      </c>
      <c r="I175" s="4" t="inlineStr">
        <is>
          <t>浙江加盟</t>
        </is>
      </c>
      <c r="J175" s="4" t="inlineStr">
        <is>
          <t>林勇伟</t>
        </is>
      </c>
    </row>
    <row r="176">
      <c r="A176" s="14" t="n">
        <v>45856</v>
      </c>
      <c r="B176" s="4" t="inlineStr">
        <is>
          <t>SO202510159</t>
        </is>
      </c>
      <c r="C176" s="4" t="inlineStr">
        <is>
          <t>南京优鲜超市</t>
        </is>
      </c>
      <c r="D176" s="4" t="inlineStr">
        <is>
          <t>日用百货</t>
        </is>
      </c>
      <c r="E176" s="4" t="inlineStr">
        <is>
          <t>2.5kg</t>
        </is>
      </c>
      <c r="F176" s="18" t="n">
        <v>1810</v>
      </c>
      <c r="G176" s="15" t="n">
        <v>26.71</v>
      </c>
      <c r="H176" s="15" t="n">
        <v>48345.1</v>
      </c>
      <c r="I176" s="4" t="inlineStr">
        <is>
          <t>浙江加盟</t>
        </is>
      </c>
      <c r="J176" s="4" t="inlineStr">
        <is>
          <t>孙洋娜</t>
        </is>
      </c>
    </row>
    <row r="177">
      <c r="A177" s="14" t="n">
        <v>45856</v>
      </c>
      <c r="B177" s="4" t="inlineStr">
        <is>
          <t>SO202510193</t>
        </is>
      </c>
      <c r="C177" s="4" t="inlineStr">
        <is>
          <t>合肥京功电商平台</t>
        </is>
      </c>
      <c r="D177" s="4" t="inlineStr">
        <is>
          <t>生鲜蔬果</t>
        </is>
      </c>
      <c r="E177" s="4" t="inlineStr">
        <is>
          <t>500g</t>
        </is>
      </c>
      <c r="F177" s="18" t="n">
        <v>3810</v>
      </c>
      <c r="G177" s="15" t="n">
        <v>68.42</v>
      </c>
      <c r="H177" s="15" t="n">
        <v>260680.2</v>
      </c>
      <c r="I177" s="4" t="inlineStr">
        <is>
          <t>上海直营</t>
        </is>
      </c>
      <c r="J177" s="4" t="inlineStr">
        <is>
          <t>郭洋娜</t>
        </is>
      </c>
    </row>
    <row r="178">
      <c r="A178" s="14" t="n">
        <v>45857</v>
      </c>
      <c r="B178" s="4" t="inlineStr">
        <is>
          <t>SO202510150</t>
        </is>
      </c>
      <c r="C178" s="4" t="inlineStr">
        <is>
          <t>镇江食佳酒店管理集团</t>
        </is>
      </c>
      <c r="D178" s="4" t="inlineStr">
        <is>
          <t>肉禽蛋奶</t>
        </is>
      </c>
      <c r="E178" s="4" t="inlineStr">
        <is>
          <t>特级</t>
        </is>
      </c>
      <c r="F178" s="18" t="n">
        <v>770</v>
      </c>
      <c r="G178" s="15" t="n">
        <v>21.1</v>
      </c>
      <c r="H178" s="15" t="n">
        <v>16247</v>
      </c>
      <c r="I178" s="4" t="inlineStr">
        <is>
          <t>江苏加盟</t>
        </is>
      </c>
      <c r="J178" s="4" t="inlineStr">
        <is>
          <t>徐磊伟</t>
        </is>
      </c>
    </row>
    <row r="179">
      <c r="A179" s="14" t="n">
        <v>45857</v>
      </c>
      <c r="B179" s="4" t="inlineStr">
        <is>
          <t>SO202510151</t>
        </is>
      </c>
      <c r="C179" s="4" t="inlineStr">
        <is>
          <t>温州淼沃超市</t>
        </is>
      </c>
      <c r="D179" s="4" t="inlineStr">
        <is>
          <t>休闲零食</t>
        </is>
      </c>
      <c r="E179" s="4" t="inlineStr">
        <is>
          <t>B级</t>
        </is>
      </c>
      <c r="F179" s="18" t="n">
        <v>3100</v>
      </c>
      <c r="G179" s="15" t="n">
        <v>35.66</v>
      </c>
      <c r="H179" s="15" t="n">
        <v>110546</v>
      </c>
      <c r="I179" s="4" t="inlineStr">
        <is>
          <t>江苏加盟</t>
        </is>
      </c>
      <c r="J179" s="4" t="inlineStr">
        <is>
          <t>王敏芳</t>
        </is>
      </c>
    </row>
    <row r="180">
      <c r="A180" s="14" t="n">
        <v>45859</v>
      </c>
      <c r="B180" s="4" t="inlineStr">
        <is>
          <t>SO202510164</t>
        </is>
      </c>
      <c r="C180" s="4" t="inlineStr">
        <is>
          <t>苏州淼沃超市</t>
        </is>
      </c>
      <c r="D180" s="4" t="inlineStr">
        <is>
          <t>酒水饮料</t>
        </is>
      </c>
      <c r="E180" s="4" t="inlineStr">
        <is>
          <t>A级</t>
        </is>
      </c>
      <c r="F180" s="18" t="n">
        <v>130</v>
      </c>
      <c r="G180" s="15" t="n">
        <v>91.97</v>
      </c>
      <c r="H180" s="15" t="n">
        <v>11956.1</v>
      </c>
      <c r="I180" s="4" t="inlineStr">
        <is>
          <t>江苏加盟</t>
        </is>
      </c>
      <c r="J180" s="4" t="inlineStr">
        <is>
          <t>赵敏伟</t>
        </is>
      </c>
    </row>
    <row r="181">
      <c r="A181" s="14" t="n">
        <v>45859</v>
      </c>
      <c r="B181" s="4" t="inlineStr">
        <is>
          <t>SO202510244</t>
        </is>
      </c>
      <c r="C181" s="4" t="inlineStr">
        <is>
          <t>常州淼沃酒店管理集团</t>
        </is>
      </c>
      <c r="D181" s="4" t="inlineStr">
        <is>
          <t>粮油调味</t>
        </is>
      </c>
      <c r="E181" s="4" t="inlineStr">
        <is>
          <t>精装</t>
        </is>
      </c>
      <c r="F181" s="18" t="n">
        <v>500</v>
      </c>
      <c r="G181" s="15" t="n">
        <v>87.68000000000001</v>
      </c>
      <c r="H181" s="15" t="n">
        <v>43840</v>
      </c>
      <c r="I181" s="4" t="inlineStr">
        <is>
          <t>线上渠道</t>
        </is>
      </c>
      <c r="J181" s="4" t="inlineStr">
        <is>
          <t>刘娜娜</t>
        </is>
      </c>
    </row>
    <row r="182">
      <c r="A182" s="14" t="n">
        <v>45860</v>
      </c>
      <c r="B182" s="4" t="inlineStr">
        <is>
          <t>SO202510058</t>
        </is>
      </c>
      <c r="C182" s="4" t="inlineStr">
        <is>
          <t>苏州京功超市</t>
        </is>
      </c>
      <c r="D182" s="4" t="inlineStr">
        <is>
          <t>酒水饮料</t>
        </is>
      </c>
      <c r="E182" s="4" t="inlineStr">
        <is>
          <t>2.5kg</t>
        </is>
      </c>
      <c r="F182" s="18" t="n">
        <v>3240</v>
      </c>
      <c r="G182" s="15" t="n">
        <v>59.75</v>
      </c>
      <c r="H182" s="15" t="n">
        <v>193590</v>
      </c>
      <c r="I182" s="4" t="inlineStr">
        <is>
          <t>线上渠道</t>
        </is>
      </c>
      <c r="J182" s="4" t="inlineStr">
        <is>
          <t>罗丽敏</t>
        </is>
      </c>
    </row>
    <row r="183">
      <c r="A183" s="14" t="n">
        <v>45861</v>
      </c>
      <c r="B183" s="4" t="inlineStr">
        <is>
          <t>SO202510004</t>
        </is>
      </c>
      <c r="C183" s="4" t="inlineStr">
        <is>
          <t>合肥优鲜商贸有限公司</t>
        </is>
      </c>
      <c r="D183" s="4" t="inlineStr">
        <is>
          <t>粮油调味</t>
        </is>
      </c>
      <c r="E183" s="4" t="inlineStr">
        <is>
          <t>10kg</t>
        </is>
      </c>
      <c r="F183" s="18" t="n">
        <v>2480</v>
      </c>
      <c r="G183" s="15" t="n">
        <v>24.74</v>
      </c>
      <c r="H183" s="15" t="n">
        <v>61355.2</v>
      </c>
      <c r="I183" s="4" t="inlineStr">
        <is>
          <t>江苏加盟</t>
        </is>
      </c>
      <c r="J183" s="4" t="inlineStr">
        <is>
          <t>刘艳秀</t>
        </is>
      </c>
    </row>
    <row r="184">
      <c r="A184" s="14" t="n">
        <v>45861</v>
      </c>
      <c r="B184" s="4" t="inlineStr">
        <is>
          <t>SO202510120</t>
        </is>
      </c>
      <c r="C184" s="4" t="inlineStr">
        <is>
          <t>合肥百味供应链有限公司</t>
        </is>
      </c>
      <c r="D184" s="4" t="inlineStr">
        <is>
          <t>酒水饮料</t>
        </is>
      </c>
      <c r="E184" s="4" t="inlineStr">
        <is>
          <t>5kg</t>
        </is>
      </c>
      <c r="F184" s="18" t="n">
        <v>1140</v>
      </c>
      <c r="G184" s="15" t="n">
        <v>14.59</v>
      </c>
      <c r="H184" s="15" t="n">
        <v>16632.6</v>
      </c>
      <c r="I184" s="4" t="inlineStr">
        <is>
          <t>浙江加盟</t>
        </is>
      </c>
      <c r="J184" s="4" t="inlineStr">
        <is>
          <t>何涛敏</t>
        </is>
      </c>
    </row>
    <row r="185">
      <c r="A185" s="14" t="n">
        <v>45862</v>
      </c>
      <c r="B185" s="4" t="inlineStr">
        <is>
          <t>SO202510031</t>
        </is>
      </c>
      <c r="C185" s="4" t="inlineStr">
        <is>
          <t>杭州大匠供应链有限公司</t>
        </is>
      </c>
      <c r="D185" s="4" t="inlineStr">
        <is>
          <t>生鲜蔬果</t>
        </is>
      </c>
      <c r="E185" s="4" t="inlineStr">
        <is>
          <t>1kg</t>
        </is>
      </c>
      <c r="F185" s="18" t="n">
        <v>4350</v>
      </c>
      <c r="G185" s="15" t="n">
        <v>7.38</v>
      </c>
      <c r="H185" s="15" t="n">
        <v>32103</v>
      </c>
      <c r="I185" s="4" t="inlineStr">
        <is>
          <t>上海直营</t>
        </is>
      </c>
      <c r="J185" s="4" t="inlineStr">
        <is>
          <t>林明英</t>
        </is>
      </c>
    </row>
    <row r="186">
      <c r="A186" s="14" t="n">
        <v>45862</v>
      </c>
      <c r="B186" s="4" t="inlineStr">
        <is>
          <t>SO202510105</t>
        </is>
      </c>
      <c r="C186" s="4" t="inlineStr">
        <is>
          <t>上海优鲜供应链有限公司</t>
        </is>
      </c>
      <c r="D186" s="4" t="inlineStr">
        <is>
          <t>生鲜蔬果</t>
        </is>
      </c>
      <c r="E186" s="4" t="inlineStr">
        <is>
          <t>C级</t>
        </is>
      </c>
      <c r="F186" s="18" t="n">
        <v>1110</v>
      </c>
      <c r="G186" s="15" t="n">
        <v>16.71</v>
      </c>
      <c r="H186" s="15" t="n">
        <v>18548.1</v>
      </c>
      <c r="I186" s="4" t="inlineStr">
        <is>
          <t>浙江加盟</t>
        </is>
      </c>
      <c r="J186" s="4" t="inlineStr">
        <is>
          <t>李超伟</t>
        </is>
      </c>
    </row>
    <row r="187">
      <c r="A187" s="14" t="n">
        <v>45864</v>
      </c>
      <c r="B187" s="4" t="inlineStr">
        <is>
          <t>SO202510154</t>
        </is>
      </c>
      <c r="C187" s="4" t="inlineStr">
        <is>
          <t>常州淼沃商贸有限公司</t>
        </is>
      </c>
      <c r="D187" s="4" t="inlineStr">
        <is>
          <t>休闲零食</t>
        </is>
      </c>
      <c r="E187" s="4" t="inlineStr">
        <is>
          <t>精装</t>
        </is>
      </c>
      <c r="F187" s="18" t="n">
        <v>1690</v>
      </c>
      <c r="G187" s="15" t="n">
        <v>88.91</v>
      </c>
      <c r="H187" s="15" t="n">
        <v>150257.9</v>
      </c>
      <c r="I187" s="4" t="inlineStr">
        <is>
          <t>线上渠道</t>
        </is>
      </c>
      <c r="J187" s="4" t="inlineStr">
        <is>
          <t>孙洋娜</t>
        </is>
      </c>
    </row>
    <row r="188">
      <c r="A188" s="14" t="n">
        <v>45866</v>
      </c>
      <c r="B188" s="4" t="inlineStr">
        <is>
          <t>SO202510097</t>
        </is>
      </c>
      <c r="C188" s="4" t="inlineStr">
        <is>
          <t>杭州大匠商贸有限公司</t>
        </is>
      </c>
      <c r="D188" s="4" t="inlineStr">
        <is>
          <t>酒水饮料</t>
        </is>
      </c>
      <c r="E188" s="4" t="inlineStr">
        <is>
          <t>2.5kg</t>
        </is>
      </c>
      <c r="F188" s="18" t="n">
        <v>2230</v>
      </c>
      <c r="G188" s="15" t="n">
        <v>29.21</v>
      </c>
      <c r="H188" s="15" t="n">
        <v>65138.3</v>
      </c>
      <c r="I188" s="4" t="inlineStr">
        <is>
          <t>江苏加盟</t>
        </is>
      </c>
      <c r="J188" s="4" t="inlineStr">
        <is>
          <t>高娜敏</t>
        </is>
      </c>
    </row>
    <row r="189">
      <c r="A189" s="14" t="n">
        <v>45866</v>
      </c>
      <c r="B189" s="4" t="inlineStr">
        <is>
          <t>SO202510231</t>
        </is>
      </c>
      <c r="C189" s="4" t="inlineStr">
        <is>
          <t>合肥优鲜电商平台</t>
        </is>
      </c>
      <c r="D189" s="4" t="inlineStr">
        <is>
          <t>日用百货</t>
        </is>
      </c>
      <c r="E189" s="4" t="inlineStr">
        <is>
          <t>标准</t>
        </is>
      </c>
      <c r="F189" s="18" t="n">
        <v>2360</v>
      </c>
      <c r="G189" s="15" t="n">
        <v>25.2</v>
      </c>
      <c r="H189" s="15" t="n">
        <v>59472</v>
      </c>
      <c r="I189" s="4" t="inlineStr">
        <is>
          <t>浙江加盟</t>
        </is>
      </c>
      <c r="J189" s="4" t="inlineStr">
        <is>
          <t>马兰伟</t>
        </is>
      </c>
    </row>
    <row r="190">
      <c r="A190" s="14" t="n">
        <v>45866</v>
      </c>
      <c r="B190" s="4" t="inlineStr">
        <is>
          <t>SO202510258</t>
        </is>
      </c>
      <c r="C190" s="4" t="inlineStr">
        <is>
          <t>宁波淼沃酒店管理集团</t>
        </is>
      </c>
      <c r="D190" s="4" t="inlineStr">
        <is>
          <t>日用百货</t>
        </is>
      </c>
      <c r="E190" s="4" t="inlineStr">
        <is>
          <t>A级</t>
        </is>
      </c>
      <c r="F190" s="18" t="n">
        <v>2050</v>
      </c>
      <c r="G190" s="15" t="n">
        <v>50.18</v>
      </c>
      <c r="H190" s="15" t="n">
        <v>102869</v>
      </c>
      <c r="I190" s="4" t="inlineStr">
        <is>
          <t>江苏加盟</t>
        </is>
      </c>
      <c r="J190" s="4" t="inlineStr">
        <is>
          <t>李涛伟</t>
        </is>
      </c>
    </row>
    <row r="191">
      <c r="A191" s="14" t="n">
        <v>45872</v>
      </c>
      <c r="B191" s="4" t="inlineStr">
        <is>
          <t>SO202510168</t>
        </is>
      </c>
      <c r="C191" s="4" t="inlineStr">
        <is>
          <t>南京京功电商平台</t>
        </is>
      </c>
      <c r="D191" s="4" t="inlineStr">
        <is>
          <t>肉禽蛋奶</t>
        </is>
      </c>
      <c r="E191" s="4" t="inlineStr">
        <is>
          <t>1kg</t>
        </is>
      </c>
      <c r="F191" s="18" t="n">
        <v>890</v>
      </c>
      <c r="G191" s="15" t="n">
        <v>92.17</v>
      </c>
      <c r="H191" s="15" t="n">
        <v>82031.3</v>
      </c>
      <c r="I191" s="4" t="inlineStr">
        <is>
          <t>江苏加盟</t>
        </is>
      </c>
      <c r="J191" s="4" t="inlineStr">
        <is>
          <t>何英芳</t>
        </is>
      </c>
    </row>
    <row r="192">
      <c r="A192" s="14" t="n">
        <v>45872</v>
      </c>
      <c r="B192" s="4" t="inlineStr">
        <is>
          <t>SO202510252</t>
        </is>
      </c>
      <c r="C192" s="4" t="inlineStr">
        <is>
          <t>嘉兴百味供应链有限公司</t>
        </is>
      </c>
      <c r="D192" s="4" t="inlineStr">
        <is>
          <t>肉禽蛋奶</t>
        </is>
      </c>
      <c r="E192" s="4" t="inlineStr">
        <is>
          <t>1kg</t>
        </is>
      </c>
      <c r="F192" s="18" t="n">
        <v>1100</v>
      </c>
      <c r="G192" s="15" t="n">
        <v>61.08</v>
      </c>
      <c r="H192" s="15" t="n">
        <v>67188</v>
      </c>
      <c r="I192" s="4" t="inlineStr">
        <is>
          <t>线上渠道</t>
        </is>
      </c>
      <c r="J192" s="4" t="inlineStr">
        <is>
          <t>刘娟秀</t>
        </is>
      </c>
    </row>
    <row r="193">
      <c r="A193" s="14" t="n">
        <v>45873</v>
      </c>
      <c r="B193" s="4" t="inlineStr">
        <is>
          <t>SO202510242</t>
        </is>
      </c>
      <c r="C193" s="4" t="inlineStr">
        <is>
          <t>宁波食佳食品有限公司</t>
        </is>
      </c>
      <c r="D193" s="4" t="inlineStr">
        <is>
          <t>粮油调味</t>
        </is>
      </c>
      <c r="E193" s="4" t="inlineStr">
        <is>
          <t>C级</t>
        </is>
      </c>
      <c r="F193" s="18" t="n">
        <v>2640</v>
      </c>
      <c r="G193" s="15" t="n">
        <v>38.04</v>
      </c>
      <c r="H193" s="15" t="n">
        <v>100425.6</v>
      </c>
      <c r="I193" s="4" t="inlineStr">
        <is>
          <t>浙江加盟</t>
        </is>
      </c>
      <c r="J193" s="4" t="inlineStr">
        <is>
          <t>黄兰娜</t>
        </is>
      </c>
    </row>
    <row r="194">
      <c r="A194" s="14" t="n">
        <v>45874</v>
      </c>
      <c r="B194" s="4" t="inlineStr">
        <is>
          <t>SO202510036</t>
        </is>
      </c>
      <c r="C194" s="4" t="inlineStr">
        <is>
          <t>上海优鲜餐饮管理有限公司</t>
        </is>
      </c>
      <c r="D194" s="4" t="inlineStr">
        <is>
          <t>日用百货</t>
        </is>
      </c>
      <c r="E194" s="4" t="inlineStr">
        <is>
          <t>特级</t>
        </is>
      </c>
      <c r="F194" s="18" t="n">
        <v>990</v>
      </c>
      <c r="G194" s="15" t="n">
        <v>47.16</v>
      </c>
      <c r="H194" s="15" t="n">
        <v>46688.4</v>
      </c>
      <c r="I194" s="4" t="inlineStr">
        <is>
          <t>上海直营</t>
        </is>
      </c>
      <c r="J194" s="4" t="inlineStr">
        <is>
          <t>张娟英</t>
        </is>
      </c>
    </row>
    <row r="195">
      <c r="A195" s="14" t="n">
        <v>45874</v>
      </c>
      <c r="B195" s="4" t="inlineStr">
        <is>
          <t>SO202510092</t>
        </is>
      </c>
      <c r="C195" s="4" t="inlineStr">
        <is>
          <t>苏州优鲜食品有限公司</t>
        </is>
      </c>
      <c r="D195" s="4" t="inlineStr">
        <is>
          <t>肉禽蛋奶</t>
        </is>
      </c>
      <c r="E195" s="4" t="inlineStr">
        <is>
          <t>500g</t>
        </is>
      </c>
      <c r="F195" s="18" t="n">
        <v>3460</v>
      </c>
      <c r="G195" s="15" t="n">
        <v>93.39</v>
      </c>
      <c r="H195" s="15" t="n">
        <v>323129.4</v>
      </c>
      <c r="I195" s="4" t="inlineStr">
        <is>
          <t>线上渠道</t>
        </is>
      </c>
      <c r="J195" s="4" t="inlineStr">
        <is>
          <t>周明伟</t>
        </is>
      </c>
    </row>
    <row r="196">
      <c r="A196" s="14" t="n">
        <v>45875</v>
      </c>
      <c r="B196" s="4" t="inlineStr">
        <is>
          <t>SO202510007</t>
        </is>
      </c>
      <c r="C196" s="4" t="inlineStr">
        <is>
          <t>苏州百味超市</t>
        </is>
      </c>
      <c r="D196" s="4" t="inlineStr">
        <is>
          <t>肉禽蛋奶</t>
        </is>
      </c>
      <c r="E196" s="4" t="inlineStr">
        <is>
          <t>25kg</t>
        </is>
      </c>
      <c r="F196" s="18" t="n">
        <v>2030</v>
      </c>
      <c r="G196" s="15" t="n">
        <v>32.8</v>
      </c>
      <c r="H196" s="15" t="n">
        <v>66584</v>
      </c>
      <c r="I196" s="4" t="inlineStr">
        <is>
          <t>上海直营</t>
        </is>
      </c>
      <c r="J196" s="4" t="inlineStr">
        <is>
          <t>徐杰英</t>
        </is>
      </c>
    </row>
    <row r="197">
      <c r="A197" s="14" t="n">
        <v>45875</v>
      </c>
      <c r="B197" s="4" t="inlineStr">
        <is>
          <t>SO202510239</t>
        </is>
      </c>
      <c r="C197" s="4" t="inlineStr">
        <is>
          <t>上海优鲜餐饮管理有限公司</t>
        </is>
      </c>
      <c r="D197" s="4" t="inlineStr">
        <is>
          <t>休闲零食</t>
        </is>
      </c>
      <c r="E197" s="4" t="inlineStr">
        <is>
          <t>2.5kg</t>
        </is>
      </c>
      <c r="F197" s="18" t="n">
        <v>3930</v>
      </c>
      <c r="G197" s="15" t="n">
        <v>47.43</v>
      </c>
      <c r="H197" s="15" t="n">
        <v>186399.9</v>
      </c>
      <c r="I197" s="4" t="inlineStr">
        <is>
          <t>浙江加盟</t>
        </is>
      </c>
      <c r="J197" s="4" t="inlineStr">
        <is>
          <t>罗杰敏</t>
        </is>
      </c>
    </row>
    <row r="198">
      <c r="A198" s="14" t="n">
        <v>45876</v>
      </c>
      <c r="B198" s="4" t="inlineStr">
        <is>
          <t>SO202510246</t>
        </is>
      </c>
      <c r="C198" s="4" t="inlineStr">
        <is>
          <t>温州优鲜商贸有限公司</t>
        </is>
      </c>
      <c r="D198" s="4" t="inlineStr">
        <is>
          <t>生鲜蔬果</t>
        </is>
      </c>
      <c r="E198" s="4" t="inlineStr">
        <is>
          <t>精装</t>
        </is>
      </c>
      <c r="F198" s="18" t="n">
        <v>2630</v>
      </c>
      <c r="G198" s="15" t="n">
        <v>73.73999999999999</v>
      </c>
      <c r="H198" s="15" t="n">
        <v>193936.2</v>
      </c>
      <c r="I198" s="4" t="inlineStr">
        <is>
          <t>江苏加盟</t>
        </is>
      </c>
      <c r="J198" s="4" t="inlineStr">
        <is>
          <t>王静敏</t>
        </is>
      </c>
    </row>
    <row r="199">
      <c r="A199" s="14" t="n">
        <v>45877</v>
      </c>
      <c r="B199" s="4" t="inlineStr">
        <is>
          <t>SO202510057</t>
        </is>
      </c>
      <c r="C199" s="4" t="inlineStr">
        <is>
          <t>南京京功商贸有限公司</t>
        </is>
      </c>
      <c r="D199" s="4" t="inlineStr">
        <is>
          <t>酒水饮料</t>
        </is>
      </c>
      <c r="E199" s="4" t="inlineStr">
        <is>
          <t>10kg</t>
        </is>
      </c>
      <c r="F199" s="18" t="n">
        <v>400</v>
      </c>
      <c r="G199" s="15" t="n">
        <v>31.77</v>
      </c>
      <c r="H199" s="15" t="n">
        <v>12708</v>
      </c>
      <c r="I199" s="4" t="inlineStr">
        <is>
          <t>江苏加盟</t>
        </is>
      </c>
      <c r="J199" s="4" t="inlineStr">
        <is>
          <t>赵超伟</t>
        </is>
      </c>
    </row>
    <row r="200">
      <c r="A200" s="14" t="n">
        <v>45878</v>
      </c>
      <c r="B200" s="4" t="inlineStr">
        <is>
          <t>SO202510076</t>
        </is>
      </c>
      <c r="C200" s="4" t="inlineStr">
        <is>
          <t>嘉兴优鲜供应链有限公司</t>
        </is>
      </c>
      <c r="D200" s="4" t="inlineStr">
        <is>
          <t>肉禽蛋奶</t>
        </is>
      </c>
      <c r="E200" s="4" t="inlineStr">
        <is>
          <t>精装</t>
        </is>
      </c>
      <c r="F200" s="18" t="n">
        <v>1190</v>
      </c>
      <c r="G200" s="15" t="n">
        <v>25.25</v>
      </c>
      <c r="H200" s="15" t="n">
        <v>30047.5</v>
      </c>
      <c r="I200" s="4" t="inlineStr">
        <is>
          <t>浙江加盟</t>
        </is>
      </c>
      <c r="J200" s="4" t="inlineStr">
        <is>
          <t>高杰敏</t>
        </is>
      </c>
    </row>
    <row r="201">
      <c r="A201" s="14" t="n">
        <v>45879</v>
      </c>
      <c r="B201" s="4" t="inlineStr">
        <is>
          <t>SO202510194</t>
        </is>
      </c>
      <c r="C201" s="4" t="inlineStr">
        <is>
          <t>上海优鲜供应链有限公司</t>
        </is>
      </c>
      <c r="D201" s="4" t="inlineStr">
        <is>
          <t>休闲零食</t>
        </is>
      </c>
      <c r="E201" s="4" t="inlineStr">
        <is>
          <t>1kg</t>
        </is>
      </c>
      <c r="F201" s="18" t="n">
        <v>3370</v>
      </c>
      <c r="G201" s="15" t="n">
        <v>7.03</v>
      </c>
      <c r="H201" s="15" t="n">
        <v>23691.1</v>
      </c>
      <c r="I201" s="4" t="inlineStr">
        <is>
          <t>上海直营</t>
        </is>
      </c>
      <c r="J201" s="4" t="inlineStr">
        <is>
          <t>罗艳英</t>
        </is>
      </c>
    </row>
    <row r="202">
      <c r="A202" s="14" t="n">
        <v>45880</v>
      </c>
      <c r="B202" s="4" t="inlineStr">
        <is>
          <t>SO202510119</t>
        </is>
      </c>
      <c r="C202" s="4" t="inlineStr">
        <is>
          <t>合肥食佳电商平台</t>
        </is>
      </c>
      <c r="D202" s="4" t="inlineStr">
        <is>
          <t>肉禽蛋奶</t>
        </is>
      </c>
      <c r="E202" s="4" t="inlineStr">
        <is>
          <t>2.5kg</t>
        </is>
      </c>
      <c r="F202" s="18" t="n">
        <v>2950</v>
      </c>
      <c r="G202" s="15" t="n">
        <v>13.69</v>
      </c>
      <c r="H202" s="15" t="n">
        <v>40385.5</v>
      </c>
      <c r="I202" s="4" t="inlineStr">
        <is>
          <t>上海直营</t>
        </is>
      </c>
      <c r="J202" s="4" t="inlineStr">
        <is>
          <t>陈超伟</t>
        </is>
      </c>
    </row>
    <row r="203">
      <c r="A203" s="14" t="n">
        <v>45882</v>
      </c>
      <c r="B203" s="4" t="inlineStr">
        <is>
          <t>SO202510295</t>
        </is>
      </c>
      <c r="C203" s="4" t="inlineStr">
        <is>
          <t>南京优鲜电商平台</t>
        </is>
      </c>
      <c r="D203" s="4" t="inlineStr">
        <is>
          <t>生鲜蔬果</t>
        </is>
      </c>
      <c r="E203" s="4" t="inlineStr">
        <is>
          <t>标准</t>
        </is>
      </c>
      <c r="F203" s="18" t="n">
        <v>3780</v>
      </c>
      <c r="G203" s="15" t="n">
        <v>74.5</v>
      </c>
      <c r="H203" s="15" t="n">
        <v>281610</v>
      </c>
      <c r="I203" s="4" t="inlineStr">
        <is>
          <t>上海直营</t>
        </is>
      </c>
      <c r="J203" s="4" t="inlineStr">
        <is>
          <t>高磊英</t>
        </is>
      </c>
    </row>
    <row r="204">
      <c r="A204" s="14" t="n">
        <v>45883</v>
      </c>
      <c r="B204" s="4" t="inlineStr">
        <is>
          <t>SO202510235</t>
        </is>
      </c>
      <c r="C204" s="4" t="inlineStr">
        <is>
          <t>上海京功商贸有限公司</t>
        </is>
      </c>
      <c r="D204" s="4" t="inlineStr">
        <is>
          <t>生鲜蔬果</t>
        </is>
      </c>
      <c r="E204" s="4" t="inlineStr">
        <is>
          <t>A级</t>
        </is>
      </c>
      <c r="F204" s="18" t="n">
        <v>3260</v>
      </c>
      <c r="G204" s="15" t="n">
        <v>56.63</v>
      </c>
      <c r="H204" s="15" t="n">
        <v>184613.8</v>
      </c>
      <c r="I204" s="4" t="inlineStr">
        <is>
          <t>江苏加盟</t>
        </is>
      </c>
      <c r="J204" s="4" t="inlineStr">
        <is>
          <t>李英敏</t>
        </is>
      </c>
    </row>
    <row r="205">
      <c r="A205" s="14" t="n">
        <v>45886</v>
      </c>
      <c r="B205" s="4" t="inlineStr">
        <is>
          <t>SO202510147</t>
        </is>
      </c>
      <c r="C205" s="4" t="inlineStr">
        <is>
          <t>上海淼沃餐饮管理有限公司</t>
        </is>
      </c>
      <c r="D205" s="4" t="inlineStr">
        <is>
          <t>肉禽蛋奶</t>
        </is>
      </c>
      <c r="E205" s="4" t="inlineStr">
        <is>
          <t>500g</t>
        </is>
      </c>
      <c r="F205" s="18" t="n">
        <v>4730</v>
      </c>
      <c r="G205" s="15" t="n">
        <v>68.01000000000001</v>
      </c>
      <c r="H205" s="15" t="n">
        <v>321687.3</v>
      </c>
      <c r="I205" s="4" t="inlineStr">
        <is>
          <t>浙江加盟</t>
        </is>
      </c>
      <c r="J205" s="4" t="inlineStr">
        <is>
          <t>何娜秀</t>
        </is>
      </c>
    </row>
    <row r="206">
      <c r="A206" s="14" t="n">
        <v>45887</v>
      </c>
      <c r="B206" s="4" t="inlineStr">
        <is>
          <t>SO202510224</t>
        </is>
      </c>
      <c r="C206" s="4" t="inlineStr">
        <is>
          <t>苏州京功酒店管理集团</t>
        </is>
      </c>
      <c r="D206" s="4" t="inlineStr">
        <is>
          <t>肉禽蛋奶</t>
        </is>
      </c>
      <c r="E206" s="4" t="inlineStr">
        <is>
          <t>1kg</t>
        </is>
      </c>
      <c r="F206" s="18" t="n">
        <v>4260</v>
      </c>
      <c r="G206" s="15" t="n">
        <v>28.69</v>
      </c>
      <c r="H206" s="15" t="n">
        <v>122219.4</v>
      </c>
      <c r="I206" s="4" t="inlineStr">
        <is>
          <t>江苏加盟</t>
        </is>
      </c>
      <c r="J206" s="4" t="inlineStr">
        <is>
          <t>朱敏敏</t>
        </is>
      </c>
    </row>
    <row r="207">
      <c r="A207" s="14" t="n">
        <v>45887</v>
      </c>
      <c r="B207" s="4" t="inlineStr">
        <is>
          <t>SO202510304</t>
        </is>
      </c>
      <c r="C207" s="4" t="inlineStr">
        <is>
          <t>无锡大匠超市</t>
        </is>
      </c>
      <c r="D207" s="4" t="inlineStr">
        <is>
          <t>休闲零食</t>
        </is>
      </c>
      <c r="E207" s="4" t="inlineStr">
        <is>
          <t>C级</t>
        </is>
      </c>
      <c r="F207" s="18" t="n">
        <v>4550</v>
      </c>
      <c r="G207" s="15" t="n">
        <v>14.3</v>
      </c>
      <c r="H207" s="15" t="n">
        <v>65065</v>
      </c>
      <c r="I207" s="4" t="inlineStr">
        <is>
          <t>上海直营</t>
        </is>
      </c>
      <c r="J207" s="4" t="inlineStr">
        <is>
          <t>刘洋伟</t>
        </is>
      </c>
    </row>
    <row r="208">
      <c r="A208" s="14" t="n">
        <v>45888</v>
      </c>
      <c r="B208" s="4" t="inlineStr">
        <is>
          <t>SO202510134</t>
        </is>
      </c>
      <c r="C208" s="4" t="inlineStr">
        <is>
          <t>宁波优鲜电商平台</t>
        </is>
      </c>
      <c r="D208" s="4" t="inlineStr">
        <is>
          <t>休闲零食</t>
        </is>
      </c>
      <c r="E208" s="4" t="inlineStr">
        <is>
          <t>500g</t>
        </is>
      </c>
      <c r="F208" s="18" t="n">
        <v>1150</v>
      </c>
      <c r="G208" s="15" t="n">
        <v>4.29</v>
      </c>
      <c r="H208" s="15" t="n">
        <v>4933.5</v>
      </c>
      <c r="I208" s="4" t="inlineStr">
        <is>
          <t>浙江加盟</t>
        </is>
      </c>
      <c r="J208" s="4" t="inlineStr">
        <is>
          <t>胡杰芳</t>
        </is>
      </c>
    </row>
    <row r="209">
      <c r="A209" s="14" t="n">
        <v>45889</v>
      </c>
      <c r="B209" s="4" t="inlineStr">
        <is>
          <t>SO202510250</t>
        </is>
      </c>
      <c r="C209" s="4" t="inlineStr">
        <is>
          <t>嘉兴大匠商贸有限公司</t>
        </is>
      </c>
      <c r="D209" s="4" t="inlineStr">
        <is>
          <t>粮油调味</t>
        </is>
      </c>
      <c r="E209" s="4" t="inlineStr">
        <is>
          <t>A级</t>
        </is>
      </c>
      <c r="F209" s="18" t="n">
        <v>460</v>
      </c>
      <c r="G209" s="15" t="n">
        <v>15.79</v>
      </c>
      <c r="H209" s="15" t="n">
        <v>7263.4</v>
      </c>
      <c r="I209" s="4" t="inlineStr">
        <is>
          <t>上海直营</t>
        </is>
      </c>
      <c r="J209" s="4" t="inlineStr">
        <is>
          <t>徐磊秀</t>
        </is>
      </c>
    </row>
    <row r="210">
      <c r="A210" s="14" t="n">
        <v>45890</v>
      </c>
      <c r="B210" s="4" t="inlineStr">
        <is>
          <t>SO202510213</t>
        </is>
      </c>
      <c r="C210" s="4" t="inlineStr">
        <is>
          <t>杭州百味电商平台</t>
        </is>
      </c>
      <c r="D210" s="4" t="inlineStr">
        <is>
          <t>粮油调味</t>
        </is>
      </c>
      <c r="E210" s="4" t="inlineStr">
        <is>
          <t>1kg</t>
        </is>
      </c>
      <c r="F210" s="18" t="n">
        <v>1240</v>
      </c>
      <c r="G210" s="15" t="n">
        <v>26.69</v>
      </c>
      <c r="H210" s="15" t="n">
        <v>33095.6</v>
      </c>
      <c r="I210" s="4" t="inlineStr">
        <is>
          <t>线上渠道</t>
        </is>
      </c>
      <c r="J210" s="4" t="inlineStr">
        <is>
          <t>刘涛伟</t>
        </is>
      </c>
    </row>
    <row r="211">
      <c r="A211" s="14" t="n">
        <v>45892</v>
      </c>
      <c r="B211" s="4" t="inlineStr">
        <is>
          <t>SO202510240</t>
        </is>
      </c>
      <c r="C211" s="4" t="inlineStr">
        <is>
          <t>上海优鲜餐饮管理有限公司</t>
        </is>
      </c>
      <c r="D211" s="4" t="inlineStr">
        <is>
          <t>休闲零食</t>
        </is>
      </c>
      <c r="E211" s="4" t="inlineStr">
        <is>
          <t>2.5kg</t>
        </is>
      </c>
      <c r="F211" s="18" t="n">
        <v>3420</v>
      </c>
      <c r="G211" s="15" t="n">
        <v>90.05</v>
      </c>
      <c r="H211" s="15" t="n">
        <v>307971</v>
      </c>
      <c r="I211" s="4" t="inlineStr">
        <is>
          <t>浙江加盟</t>
        </is>
      </c>
      <c r="J211" s="4" t="inlineStr">
        <is>
          <t>高洋英</t>
        </is>
      </c>
    </row>
    <row r="212">
      <c r="A212" s="14" t="n">
        <v>45893</v>
      </c>
      <c r="B212" s="4" t="inlineStr">
        <is>
          <t>SO202510066</t>
        </is>
      </c>
      <c r="C212" s="4" t="inlineStr">
        <is>
          <t>南昌优鲜超市</t>
        </is>
      </c>
      <c r="D212" s="4" t="inlineStr">
        <is>
          <t>粮油调味</t>
        </is>
      </c>
      <c r="E212" s="4" t="inlineStr">
        <is>
          <t>1kg</t>
        </is>
      </c>
      <c r="F212" s="18" t="n">
        <v>140</v>
      </c>
      <c r="G212" s="15" t="n">
        <v>24.19</v>
      </c>
      <c r="H212" s="15" t="n">
        <v>3386.6</v>
      </c>
      <c r="I212" s="4" t="inlineStr">
        <is>
          <t>线上渠道</t>
        </is>
      </c>
      <c r="J212" s="4" t="inlineStr">
        <is>
          <t>罗秀英</t>
        </is>
      </c>
    </row>
    <row r="213">
      <c r="A213" s="14" t="n">
        <v>45893</v>
      </c>
      <c r="B213" s="4" t="inlineStr">
        <is>
          <t>SO202510170</t>
        </is>
      </c>
      <c r="C213" s="4" t="inlineStr">
        <is>
          <t>无锡大匠供应链有限公司</t>
        </is>
      </c>
      <c r="D213" s="4" t="inlineStr">
        <is>
          <t>休闲零食</t>
        </is>
      </c>
      <c r="E213" s="4" t="inlineStr">
        <is>
          <t>C级</t>
        </is>
      </c>
      <c r="F213" s="18" t="n">
        <v>2750</v>
      </c>
      <c r="G213" s="15" t="n">
        <v>89.19</v>
      </c>
      <c r="H213" s="15" t="n">
        <v>245272.5</v>
      </c>
      <c r="I213" s="4" t="inlineStr">
        <is>
          <t>江苏加盟</t>
        </is>
      </c>
      <c r="J213" s="4" t="inlineStr">
        <is>
          <t>王艳芳</t>
        </is>
      </c>
    </row>
    <row r="214">
      <c r="A214" s="14" t="n">
        <v>45893</v>
      </c>
      <c r="B214" s="4" t="inlineStr">
        <is>
          <t>SO202510204</t>
        </is>
      </c>
      <c r="C214" s="4" t="inlineStr">
        <is>
          <t>南昌大匠电商平台</t>
        </is>
      </c>
      <c r="D214" s="4" t="inlineStr">
        <is>
          <t>休闲零食</t>
        </is>
      </c>
      <c r="E214" s="4" t="inlineStr">
        <is>
          <t>B级</t>
        </is>
      </c>
      <c r="F214" s="18" t="n">
        <v>4710</v>
      </c>
      <c r="G214" s="15" t="n">
        <v>27.08</v>
      </c>
      <c r="H214" s="15" t="n">
        <v>127546.8</v>
      </c>
      <c r="I214" s="4" t="inlineStr">
        <is>
          <t>线上渠道</t>
        </is>
      </c>
      <c r="J214" s="4" t="inlineStr">
        <is>
          <t>李强秀</t>
        </is>
      </c>
    </row>
    <row r="215">
      <c r="A215" s="14" t="n">
        <v>45893</v>
      </c>
      <c r="B215" s="4" t="inlineStr">
        <is>
          <t>SO202510311</t>
        </is>
      </c>
      <c r="C215" s="4" t="inlineStr">
        <is>
          <t>合肥大匠酒店管理集团</t>
        </is>
      </c>
      <c r="D215" s="4" t="inlineStr">
        <is>
          <t>粮油调味</t>
        </is>
      </c>
      <c r="E215" s="4" t="inlineStr">
        <is>
          <t>A级</t>
        </is>
      </c>
      <c r="F215" s="18" t="n">
        <v>2770</v>
      </c>
      <c r="G215" s="15" t="n">
        <v>45.43</v>
      </c>
      <c r="H215" s="15" t="n">
        <v>125841.1</v>
      </c>
      <c r="I215" s="4" t="inlineStr">
        <is>
          <t>线上渠道</t>
        </is>
      </c>
      <c r="J215" s="4" t="inlineStr">
        <is>
          <t>罗杰娜</t>
        </is>
      </c>
    </row>
    <row r="216">
      <c r="A216" s="14" t="n">
        <v>45895</v>
      </c>
      <c r="B216" s="4" t="inlineStr">
        <is>
          <t>SO202510009</t>
        </is>
      </c>
      <c r="C216" s="4" t="inlineStr">
        <is>
          <t>温州大匠酒店管理集团</t>
        </is>
      </c>
      <c r="D216" s="4" t="inlineStr">
        <is>
          <t>粮油调味</t>
        </is>
      </c>
      <c r="E216" s="4" t="inlineStr">
        <is>
          <t>5kg</t>
        </is>
      </c>
      <c r="F216" s="18" t="n">
        <v>840</v>
      </c>
      <c r="G216" s="15" t="n">
        <v>17.9</v>
      </c>
      <c r="H216" s="15" t="n">
        <v>15036</v>
      </c>
      <c r="I216" s="4" t="inlineStr">
        <is>
          <t>线上渠道</t>
        </is>
      </c>
      <c r="J216" s="4" t="inlineStr">
        <is>
          <t>徐兰秀</t>
        </is>
      </c>
    </row>
    <row r="217">
      <c r="A217" s="14" t="n">
        <v>45897</v>
      </c>
      <c r="B217" s="4" t="inlineStr">
        <is>
          <t>SO202510107</t>
        </is>
      </c>
      <c r="C217" s="4" t="inlineStr">
        <is>
          <t>苏州淼沃供应链有限公司</t>
        </is>
      </c>
      <c r="D217" s="4" t="inlineStr">
        <is>
          <t>休闲零食</t>
        </is>
      </c>
      <c r="E217" s="4" t="inlineStr">
        <is>
          <t>500g</t>
        </is>
      </c>
      <c r="F217" s="18" t="n">
        <v>1620</v>
      </c>
      <c r="G217" s="15" t="n">
        <v>76.95</v>
      </c>
      <c r="H217" s="15" t="n">
        <v>124659</v>
      </c>
      <c r="I217" s="4" t="inlineStr">
        <is>
          <t>浙江加盟</t>
        </is>
      </c>
      <c r="J217" s="4" t="inlineStr">
        <is>
          <t>陈强敏</t>
        </is>
      </c>
    </row>
    <row r="218">
      <c r="A218" s="14" t="n">
        <v>45897</v>
      </c>
      <c r="B218" s="4" t="inlineStr">
        <is>
          <t>SO202510183</t>
        </is>
      </c>
      <c r="C218" s="4" t="inlineStr">
        <is>
          <t>南昌淼沃餐饮管理有限公司</t>
        </is>
      </c>
      <c r="D218" s="4" t="inlineStr">
        <is>
          <t>生鲜蔬果</t>
        </is>
      </c>
      <c r="E218" s="4" t="inlineStr">
        <is>
          <t>标准</t>
        </is>
      </c>
      <c r="F218" s="18" t="n">
        <v>1880</v>
      </c>
      <c r="G218" s="15" t="n">
        <v>19.13</v>
      </c>
      <c r="H218" s="15" t="n">
        <v>35964.4</v>
      </c>
      <c r="I218" s="4" t="inlineStr">
        <is>
          <t>上海直营</t>
        </is>
      </c>
      <c r="J218" s="4" t="inlineStr">
        <is>
          <t>赵芳秀</t>
        </is>
      </c>
    </row>
    <row r="219">
      <c r="A219" s="14" t="n">
        <v>45901</v>
      </c>
      <c r="B219" s="4" t="inlineStr">
        <is>
          <t>SO202510182</t>
        </is>
      </c>
      <c r="C219" s="4" t="inlineStr">
        <is>
          <t>镇江百味食品有限公司</t>
        </is>
      </c>
      <c r="D219" s="4" t="inlineStr">
        <is>
          <t>休闲零食</t>
        </is>
      </c>
      <c r="E219" s="4" t="inlineStr">
        <is>
          <t>5kg</t>
        </is>
      </c>
      <c r="F219" s="18" t="n">
        <v>2260</v>
      </c>
      <c r="G219" s="15" t="n">
        <v>2.77</v>
      </c>
      <c r="H219" s="15" t="n">
        <v>6260.2</v>
      </c>
      <c r="I219" s="4" t="inlineStr">
        <is>
          <t>线上渠道</t>
        </is>
      </c>
      <c r="J219" s="4" t="inlineStr">
        <is>
          <t>张明敏</t>
        </is>
      </c>
    </row>
    <row r="220">
      <c r="A220" s="14" t="n">
        <v>45901</v>
      </c>
      <c r="B220" s="4" t="inlineStr">
        <is>
          <t>SO202510326</t>
        </is>
      </c>
      <c r="C220" s="4" t="inlineStr">
        <is>
          <t>上海淼沃电商平台</t>
        </is>
      </c>
      <c r="D220" s="4" t="inlineStr">
        <is>
          <t>日用百货</t>
        </is>
      </c>
      <c r="E220" s="4" t="inlineStr">
        <is>
          <t>10kg</t>
        </is>
      </c>
      <c r="F220" s="18" t="n">
        <v>3220</v>
      </c>
      <c r="G220" s="15" t="n">
        <v>40.15</v>
      </c>
      <c r="H220" s="15" t="n">
        <v>129283</v>
      </c>
      <c r="I220" s="4" t="inlineStr">
        <is>
          <t>江苏加盟</t>
        </is>
      </c>
      <c r="J220" s="4" t="inlineStr">
        <is>
          <t>孙磊娜</t>
        </is>
      </c>
    </row>
    <row r="221">
      <c r="A221" s="14" t="n">
        <v>45902</v>
      </c>
      <c r="B221" s="4" t="inlineStr">
        <is>
          <t>SO202510035</t>
        </is>
      </c>
      <c r="C221" s="4" t="inlineStr">
        <is>
          <t>镇江大匠餐饮管理有限公司</t>
        </is>
      </c>
      <c r="D221" s="4" t="inlineStr">
        <is>
          <t>生鲜蔬果</t>
        </is>
      </c>
      <c r="E221" s="4" t="inlineStr">
        <is>
          <t>5kg</t>
        </is>
      </c>
      <c r="F221" s="18" t="n">
        <v>2460</v>
      </c>
      <c r="G221" s="15" t="n">
        <v>95.05</v>
      </c>
      <c r="H221" s="15" t="n">
        <v>233823</v>
      </c>
      <c r="I221" s="4" t="inlineStr">
        <is>
          <t>浙江加盟</t>
        </is>
      </c>
      <c r="J221" s="4" t="inlineStr">
        <is>
          <t>张超伟</t>
        </is>
      </c>
    </row>
    <row r="222">
      <c r="A222" s="14" t="n">
        <v>45902</v>
      </c>
      <c r="B222" s="4" t="inlineStr">
        <is>
          <t>SO202510041</t>
        </is>
      </c>
      <c r="C222" s="4" t="inlineStr">
        <is>
          <t>常州京功商贸有限公司</t>
        </is>
      </c>
      <c r="D222" s="4" t="inlineStr">
        <is>
          <t>日用百货</t>
        </is>
      </c>
      <c r="E222" s="4" t="inlineStr">
        <is>
          <t>1kg</t>
        </is>
      </c>
      <c r="F222" s="18" t="n">
        <v>3360</v>
      </c>
      <c r="G222" s="15" t="n">
        <v>45.29</v>
      </c>
      <c r="H222" s="15" t="n">
        <v>152174.4</v>
      </c>
      <c r="I222" s="4" t="inlineStr">
        <is>
          <t>浙江加盟</t>
        </is>
      </c>
      <c r="J222" s="4" t="inlineStr">
        <is>
          <t>王英娜</t>
        </is>
      </c>
    </row>
    <row r="223">
      <c r="A223" s="14" t="n">
        <v>45902</v>
      </c>
      <c r="B223" s="4" t="inlineStr">
        <is>
          <t>SO202510177</t>
        </is>
      </c>
      <c r="C223" s="4" t="inlineStr">
        <is>
          <t>无锡淼沃餐饮管理有限公司</t>
        </is>
      </c>
      <c r="D223" s="4" t="inlineStr">
        <is>
          <t>休闲零食</t>
        </is>
      </c>
      <c r="E223" s="4" t="inlineStr">
        <is>
          <t>B级</t>
        </is>
      </c>
      <c r="F223" s="18" t="n">
        <v>700</v>
      </c>
      <c r="G223" s="15" t="n">
        <v>52.48</v>
      </c>
      <c r="H223" s="15" t="n">
        <v>36736</v>
      </c>
      <c r="I223" s="4" t="inlineStr">
        <is>
          <t>线上渠道</t>
        </is>
      </c>
      <c r="J223" s="4" t="inlineStr">
        <is>
          <t>李艳娜</t>
        </is>
      </c>
    </row>
    <row r="224">
      <c r="A224" s="14" t="n">
        <v>45903</v>
      </c>
      <c r="B224" s="4" t="inlineStr">
        <is>
          <t>SO202510072</t>
        </is>
      </c>
      <c r="C224" s="4" t="inlineStr">
        <is>
          <t>杭州京功餐饮管理有限公司</t>
        </is>
      </c>
      <c r="D224" s="4" t="inlineStr">
        <is>
          <t>酒水饮料</t>
        </is>
      </c>
      <c r="E224" s="4" t="inlineStr">
        <is>
          <t>25kg</t>
        </is>
      </c>
      <c r="F224" s="18" t="n">
        <v>70</v>
      </c>
      <c r="G224" s="15" t="n">
        <v>90.06999999999999</v>
      </c>
      <c r="H224" s="15" t="n">
        <v>6304.9</v>
      </c>
      <c r="I224" s="4" t="inlineStr">
        <is>
          <t>线上渠道</t>
        </is>
      </c>
      <c r="J224" s="4" t="inlineStr">
        <is>
          <t>张芳秀</t>
        </is>
      </c>
    </row>
    <row r="225">
      <c r="A225" s="14" t="n">
        <v>45904</v>
      </c>
      <c r="B225" s="4" t="inlineStr">
        <is>
          <t>SO202510277</t>
        </is>
      </c>
      <c r="C225" s="4" t="inlineStr">
        <is>
          <t>镇江京功餐饮管理有限公司</t>
        </is>
      </c>
      <c r="D225" s="4" t="inlineStr">
        <is>
          <t>日用百货</t>
        </is>
      </c>
      <c r="E225" s="4" t="inlineStr">
        <is>
          <t>简装</t>
        </is>
      </c>
      <c r="F225" s="18" t="n">
        <v>1600</v>
      </c>
      <c r="G225" s="15" t="n">
        <v>71.86</v>
      </c>
      <c r="H225" s="15" t="n">
        <v>114976</v>
      </c>
      <c r="I225" s="4" t="inlineStr">
        <is>
          <t>上海直营</t>
        </is>
      </c>
      <c r="J225" s="4" t="inlineStr">
        <is>
          <t>李杰英</t>
        </is>
      </c>
    </row>
    <row r="226">
      <c r="A226" s="14" t="n">
        <v>45908</v>
      </c>
      <c r="B226" s="4" t="inlineStr">
        <is>
          <t>SO202510037</t>
        </is>
      </c>
      <c r="C226" s="4" t="inlineStr">
        <is>
          <t>南昌食佳供应链有限公司</t>
        </is>
      </c>
      <c r="D226" s="4" t="inlineStr">
        <is>
          <t>生鲜蔬果</t>
        </is>
      </c>
      <c r="E226" s="4" t="inlineStr">
        <is>
          <t>B级</t>
        </is>
      </c>
      <c r="F226" s="18" t="n">
        <v>3940</v>
      </c>
      <c r="G226" s="15" t="n">
        <v>41.53</v>
      </c>
      <c r="H226" s="15" t="n">
        <v>163628.2</v>
      </c>
      <c r="I226" s="4" t="inlineStr">
        <is>
          <t>浙江加盟</t>
        </is>
      </c>
      <c r="J226" s="4" t="inlineStr">
        <is>
          <t>高秀娜</t>
        </is>
      </c>
    </row>
    <row r="227">
      <c r="A227" s="14" t="n">
        <v>45908</v>
      </c>
      <c r="B227" s="4" t="inlineStr">
        <is>
          <t>SO202510293</t>
        </is>
      </c>
      <c r="C227" s="4" t="inlineStr">
        <is>
          <t>镇江食佳供应链有限公司</t>
        </is>
      </c>
      <c r="D227" s="4" t="inlineStr">
        <is>
          <t>肉禽蛋奶</t>
        </is>
      </c>
      <c r="E227" s="4" t="inlineStr">
        <is>
          <t>5kg</t>
        </is>
      </c>
      <c r="F227" s="18" t="n">
        <v>2170</v>
      </c>
      <c r="G227" s="15" t="n">
        <v>29.65</v>
      </c>
      <c r="H227" s="15" t="n">
        <v>64340.5</v>
      </c>
      <c r="I227" s="4" t="inlineStr">
        <is>
          <t>上海直营</t>
        </is>
      </c>
      <c r="J227" s="4" t="inlineStr">
        <is>
          <t>林娜敏</t>
        </is>
      </c>
    </row>
    <row r="228">
      <c r="A228" s="14" t="n">
        <v>45914</v>
      </c>
      <c r="B228" s="4" t="inlineStr">
        <is>
          <t>SO202510274</t>
        </is>
      </c>
      <c r="C228" s="4" t="inlineStr">
        <is>
          <t>宁波百味食品有限公司</t>
        </is>
      </c>
      <c r="D228" s="4" t="inlineStr">
        <is>
          <t>日用百货</t>
        </is>
      </c>
      <c r="E228" s="4" t="inlineStr">
        <is>
          <t>C级</t>
        </is>
      </c>
      <c r="F228" s="18" t="n">
        <v>2460</v>
      </c>
      <c r="G228" s="15" t="n">
        <v>94.51000000000001</v>
      </c>
      <c r="H228" s="15" t="n">
        <v>232494.6</v>
      </c>
      <c r="I228" s="4" t="inlineStr">
        <is>
          <t>上海直营</t>
        </is>
      </c>
      <c r="J228" s="4" t="inlineStr">
        <is>
          <t>黄涛伟</t>
        </is>
      </c>
    </row>
    <row r="229">
      <c r="A229" s="14" t="n">
        <v>45917</v>
      </c>
      <c r="B229" s="4" t="inlineStr">
        <is>
          <t>SO202510179</t>
        </is>
      </c>
      <c r="C229" s="4" t="inlineStr">
        <is>
          <t>镇江淼沃电商平台</t>
        </is>
      </c>
      <c r="D229" s="4" t="inlineStr">
        <is>
          <t>生鲜蔬果</t>
        </is>
      </c>
      <c r="E229" s="4" t="inlineStr">
        <is>
          <t>500g</t>
        </is>
      </c>
      <c r="F229" s="18" t="n">
        <v>4070</v>
      </c>
      <c r="G229" s="15" t="n">
        <v>22.12</v>
      </c>
      <c r="H229" s="15" t="n">
        <v>90028.39999999999</v>
      </c>
      <c r="I229" s="4" t="inlineStr">
        <is>
          <t>浙江加盟</t>
        </is>
      </c>
      <c r="J229" s="4" t="inlineStr">
        <is>
          <t>马艳娜</t>
        </is>
      </c>
    </row>
    <row r="230">
      <c r="A230" s="14" t="n">
        <v>45918</v>
      </c>
      <c r="B230" s="4" t="inlineStr">
        <is>
          <t>SO202510054</t>
        </is>
      </c>
      <c r="C230" s="4" t="inlineStr">
        <is>
          <t>嘉兴京功供应链有限公司</t>
        </is>
      </c>
      <c r="D230" s="4" t="inlineStr">
        <is>
          <t>粮油调味</t>
        </is>
      </c>
      <c r="E230" s="4" t="inlineStr">
        <is>
          <t>25kg</t>
        </is>
      </c>
      <c r="F230" s="18" t="n">
        <v>3950</v>
      </c>
      <c r="G230" s="15" t="n">
        <v>29.35</v>
      </c>
      <c r="H230" s="15" t="n">
        <v>115932.5</v>
      </c>
      <c r="I230" s="4" t="inlineStr">
        <is>
          <t>江苏加盟</t>
        </is>
      </c>
      <c r="J230" s="4" t="inlineStr">
        <is>
          <t>高超秀</t>
        </is>
      </c>
    </row>
    <row r="231">
      <c r="A231" s="14" t="n">
        <v>45918</v>
      </c>
      <c r="B231" s="4" t="inlineStr">
        <is>
          <t>SO202510299</t>
        </is>
      </c>
      <c r="C231" s="4" t="inlineStr">
        <is>
          <t>苏州食佳电商平台</t>
        </is>
      </c>
      <c r="D231" s="4" t="inlineStr">
        <is>
          <t>肉禽蛋奶</t>
        </is>
      </c>
      <c r="E231" s="4" t="inlineStr">
        <is>
          <t>1kg</t>
        </is>
      </c>
      <c r="F231" s="18" t="n">
        <v>4530</v>
      </c>
      <c r="G231" s="15" t="n">
        <v>73.55</v>
      </c>
      <c r="H231" s="15" t="n">
        <v>333181.5</v>
      </c>
      <c r="I231" s="4" t="inlineStr">
        <is>
          <t>浙江加盟</t>
        </is>
      </c>
      <c r="J231" s="4" t="inlineStr">
        <is>
          <t>胡芳敏</t>
        </is>
      </c>
    </row>
    <row r="232">
      <c r="A232" s="14" t="n">
        <v>45920</v>
      </c>
      <c r="B232" s="4" t="inlineStr">
        <is>
          <t>SO202510032</t>
        </is>
      </c>
      <c r="C232" s="4" t="inlineStr">
        <is>
          <t>合肥京功酒店管理集团</t>
        </is>
      </c>
      <c r="D232" s="4" t="inlineStr">
        <is>
          <t>肉禽蛋奶</t>
        </is>
      </c>
      <c r="E232" s="4" t="inlineStr">
        <is>
          <t>1kg</t>
        </is>
      </c>
      <c r="F232" s="18" t="n">
        <v>200</v>
      </c>
      <c r="G232" s="15" t="n">
        <v>29.9</v>
      </c>
      <c r="H232" s="15" t="n">
        <v>5980</v>
      </c>
      <c r="I232" s="4" t="inlineStr">
        <is>
          <t>上海直营</t>
        </is>
      </c>
      <c r="J232" s="4" t="inlineStr">
        <is>
          <t>马丽英</t>
        </is>
      </c>
    </row>
    <row r="233">
      <c r="A233" s="14" t="n">
        <v>45920</v>
      </c>
      <c r="B233" s="4" t="inlineStr">
        <is>
          <t>SO202510251</t>
        </is>
      </c>
      <c r="C233" s="4" t="inlineStr">
        <is>
          <t>苏州优鲜商贸有限公司</t>
        </is>
      </c>
      <c r="D233" s="4" t="inlineStr">
        <is>
          <t>生鲜蔬果</t>
        </is>
      </c>
      <c r="E233" s="4" t="inlineStr">
        <is>
          <t>10kg</t>
        </is>
      </c>
      <c r="F233" s="18" t="n">
        <v>4890</v>
      </c>
      <c r="G233" s="15" t="n">
        <v>96.73999999999999</v>
      </c>
      <c r="H233" s="15" t="n">
        <v>473058.6</v>
      </c>
      <c r="I233" s="4" t="inlineStr">
        <is>
          <t>浙江加盟</t>
        </is>
      </c>
      <c r="J233" s="4" t="inlineStr">
        <is>
          <t>黄强英</t>
        </is>
      </c>
    </row>
    <row r="234">
      <c r="A234" s="14" t="n">
        <v>45921</v>
      </c>
      <c r="B234" s="4" t="inlineStr">
        <is>
          <t>SO202510309</t>
        </is>
      </c>
      <c r="C234" s="4" t="inlineStr">
        <is>
          <t>镇江百味酒店管理集团</t>
        </is>
      </c>
      <c r="D234" s="4" t="inlineStr">
        <is>
          <t>休闲零食</t>
        </is>
      </c>
      <c r="E234" s="4" t="inlineStr">
        <is>
          <t>A级</t>
        </is>
      </c>
      <c r="F234" s="18" t="n">
        <v>3850</v>
      </c>
      <c r="G234" s="15" t="n">
        <v>73.98</v>
      </c>
      <c r="H234" s="15" t="n">
        <v>284823</v>
      </c>
      <c r="I234" s="4" t="inlineStr">
        <is>
          <t>线上渠道</t>
        </is>
      </c>
      <c r="J234" s="4" t="inlineStr">
        <is>
          <t>高丽芳</t>
        </is>
      </c>
    </row>
    <row r="235">
      <c r="A235" s="14" t="n">
        <v>45922</v>
      </c>
      <c r="B235" s="4" t="inlineStr">
        <is>
          <t>SO202510232</t>
        </is>
      </c>
      <c r="C235" s="4" t="inlineStr">
        <is>
          <t>南昌大匠酒店管理集团</t>
        </is>
      </c>
      <c r="D235" s="4" t="inlineStr">
        <is>
          <t>粮油调味</t>
        </is>
      </c>
      <c r="E235" s="4" t="inlineStr">
        <is>
          <t>C级</t>
        </is>
      </c>
      <c r="F235" s="18" t="n">
        <v>3830</v>
      </c>
      <c r="G235" s="15" t="n">
        <v>67.94</v>
      </c>
      <c r="H235" s="15" t="n">
        <v>260210.2</v>
      </c>
      <c r="I235" s="4" t="inlineStr">
        <is>
          <t>上海直营</t>
        </is>
      </c>
      <c r="J235" s="4" t="inlineStr">
        <is>
          <t>杨敏敏</t>
        </is>
      </c>
    </row>
    <row r="236">
      <c r="A236" s="14" t="n">
        <v>45923</v>
      </c>
      <c r="B236" s="4" t="inlineStr">
        <is>
          <t>SO202510272</t>
        </is>
      </c>
      <c r="C236" s="4" t="inlineStr">
        <is>
          <t>常州淼沃电商平台</t>
        </is>
      </c>
      <c r="D236" s="4" t="inlineStr">
        <is>
          <t>酒水饮料</t>
        </is>
      </c>
      <c r="E236" s="4" t="inlineStr">
        <is>
          <t>1kg</t>
        </is>
      </c>
      <c r="F236" s="18" t="n">
        <v>1010</v>
      </c>
      <c r="G236" s="15" t="n">
        <v>41.15</v>
      </c>
      <c r="H236" s="15" t="n">
        <v>41561.5</v>
      </c>
      <c r="I236" s="4" t="inlineStr">
        <is>
          <t>上海直营</t>
        </is>
      </c>
      <c r="J236" s="4" t="inlineStr">
        <is>
          <t>杨英芳</t>
        </is>
      </c>
    </row>
    <row r="237">
      <c r="A237" s="14" t="n">
        <v>45925</v>
      </c>
      <c r="B237" s="4" t="inlineStr">
        <is>
          <t>SO202510141</t>
        </is>
      </c>
      <c r="C237" s="4" t="inlineStr">
        <is>
          <t>常州百味餐饮管理有限公司</t>
        </is>
      </c>
      <c r="D237" s="4" t="inlineStr">
        <is>
          <t>粮油调味</t>
        </is>
      </c>
      <c r="E237" s="4" t="inlineStr">
        <is>
          <t>2.5kg</t>
        </is>
      </c>
      <c r="F237" s="18" t="n">
        <v>3980</v>
      </c>
      <c r="G237" s="15" t="n">
        <v>25.4</v>
      </c>
      <c r="H237" s="15" t="n">
        <v>101092</v>
      </c>
      <c r="I237" s="4" t="inlineStr">
        <is>
          <t>上海直营</t>
        </is>
      </c>
      <c r="J237" s="4" t="inlineStr">
        <is>
          <t>黄芳敏</t>
        </is>
      </c>
    </row>
    <row r="238">
      <c r="A238" s="14" t="n">
        <v>45926</v>
      </c>
      <c r="B238" s="4" t="inlineStr">
        <is>
          <t>SO202510029</t>
        </is>
      </c>
      <c r="C238" s="4" t="inlineStr">
        <is>
          <t>常州百味餐饮管理有限公司</t>
        </is>
      </c>
      <c r="D238" s="4" t="inlineStr">
        <is>
          <t>粮油调味</t>
        </is>
      </c>
      <c r="E238" s="4" t="inlineStr">
        <is>
          <t>5kg</t>
        </is>
      </c>
      <c r="F238" s="18" t="n">
        <v>3420</v>
      </c>
      <c r="G238" s="15" t="n">
        <v>66.08</v>
      </c>
      <c r="H238" s="15" t="n">
        <v>225993.6</v>
      </c>
      <c r="I238" s="4" t="inlineStr">
        <is>
          <t>江苏加盟</t>
        </is>
      </c>
      <c r="J238" s="4" t="inlineStr">
        <is>
          <t>李磊芳</t>
        </is>
      </c>
    </row>
    <row r="239">
      <c r="A239" s="14" t="n">
        <v>45932</v>
      </c>
      <c r="B239" s="4" t="inlineStr">
        <is>
          <t>SO202510012</t>
        </is>
      </c>
      <c r="C239" s="4" t="inlineStr">
        <is>
          <t>合肥百味超市</t>
        </is>
      </c>
      <c r="D239" s="4" t="inlineStr">
        <is>
          <t>日用百货</t>
        </is>
      </c>
      <c r="E239" s="4" t="inlineStr">
        <is>
          <t>标准</t>
        </is>
      </c>
      <c r="F239" s="18" t="n">
        <v>4980</v>
      </c>
      <c r="G239" s="15" t="n">
        <v>64.53</v>
      </c>
      <c r="H239" s="15" t="n">
        <v>321359.4</v>
      </c>
      <c r="I239" s="4" t="inlineStr">
        <is>
          <t>浙江加盟</t>
        </is>
      </c>
      <c r="J239" s="4" t="inlineStr">
        <is>
          <t>朱娜敏</t>
        </is>
      </c>
    </row>
    <row r="240">
      <c r="A240" s="14" t="n">
        <v>45933</v>
      </c>
      <c r="B240" s="4" t="inlineStr">
        <is>
          <t>SO202510024</t>
        </is>
      </c>
      <c r="C240" s="4" t="inlineStr">
        <is>
          <t>上海优鲜食品有限公司</t>
        </is>
      </c>
      <c r="D240" s="4" t="inlineStr">
        <is>
          <t>肉禽蛋奶</t>
        </is>
      </c>
      <c r="E240" s="4" t="inlineStr">
        <is>
          <t>标准</t>
        </is>
      </c>
      <c r="F240" s="18" t="n">
        <v>4220</v>
      </c>
      <c r="G240" s="15" t="n">
        <v>97.78</v>
      </c>
      <c r="H240" s="15" t="n">
        <v>412631.6</v>
      </c>
      <c r="I240" s="4" t="inlineStr">
        <is>
          <t>上海直营</t>
        </is>
      </c>
      <c r="J240" s="4" t="inlineStr">
        <is>
          <t>黄磊英</t>
        </is>
      </c>
    </row>
    <row r="241">
      <c r="A241" s="14" t="n">
        <v>45936</v>
      </c>
      <c r="B241" s="4" t="inlineStr">
        <is>
          <t>SO202510111</t>
        </is>
      </c>
      <c r="C241" s="4" t="inlineStr">
        <is>
          <t>温州食佳商贸有限公司</t>
        </is>
      </c>
      <c r="D241" s="4" t="inlineStr">
        <is>
          <t>日用百货</t>
        </is>
      </c>
      <c r="E241" s="4" t="inlineStr">
        <is>
          <t>25kg</t>
        </is>
      </c>
      <c r="F241" s="18" t="n">
        <v>1300</v>
      </c>
      <c r="G241" s="15" t="n">
        <v>99.44</v>
      </c>
      <c r="H241" s="15" t="n">
        <v>129272</v>
      </c>
      <c r="I241" s="4" t="inlineStr">
        <is>
          <t>上海直营</t>
        </is>
      </c>
      <c r="J241" s="4" t="inlineStr">
        <is>
          <t>胡丽芳</t>
        </is>
      </c>
    </row>
    <row r="242">
      <c r="A242" s="14" t="n">
        <v>45937</v>
      </c>
      <c r="B242" s="4" t="inlineStr">
        <is>
          <t>SO202510319</t>
        </is>
      </c>
      <c r="C242" s="4" t="inlineStr">
        <is>
          <t>杭州优鲜商贸有限公司</t>
        </is>
      </c>
      <c r="D242" s="4" t="inlineStr">
        <is>
          <t>肉禽蛋奶</t>
        </is>
      </c>
      <c r="E242" s="4" t="inlineStr">
        <is>
          <t>精装</t>
        </is>
      </c>
      <c r="F242" s="18" t="n">
        <v>700</v>
      </c>
      <c r="G242" s="15" t="n">
        <v>50.53</v>
      </c>
      <c r="H242" s="15" t="n">
        <v>35371</v>
      </c>
      <c r="I242" s="4" t="inlineStr">
        <is>
          <t>线上渠道</t>
        </is>
      </c>
      <c r="J242" s="4" t="inlineStr">
        <is>
          <t>陈英英</t>
        </is>
      </c>
    </row>
    <row r="243">
      <c r="A243" s="14" t="n">
        <v>45938</v>
      </c>
      <c r="B243" s="4" t="inlineStr">
        <is>
          <t>SO202510015</t>
        </is>
      </c>
      <c r="C243" s="4" t="inlineStr">
        <is>
          <t>杭州食佳酒店管理集团</t>
        </is>
      </c>
      <c r="D243" s="4" t="inlineStr">
        <is>
          <t>休闲零食</t>
        </is>
      </c>
      <c r="E243" s="4" t="inlineStr">
        <is>
          <t>标准</t>
        </is>
      </c>
      <c r="F243" s="18" t="n">
        <v>1010</v>
      </c>
      <c r="G243" s="15" t="n">
        <v>32.31</v>
      </c>
      <c r="H243" s="15" t="n">
        <v>32633.1</v>
      </c>
      <c r="I243" s="4" t="inlineStr">
        <is>
          <t>浙江加盟</t>
        </is>
      </c>
      <c r="J243" s="4" t="inlineStr">
        <is>
          <t>马秀伟</t>
        </is>
      </c>
    </row>
    <row r="244">
      <c r="A244" s="14" t="n">
        <v>45938</v>
      </c>
      <c r="B244" s="4" t="inlineStr">
        <is>
          <t>SO202510099</t>
        </is>
      </c>
      <c r="C244" s="4" t="inlineStr">
        <is>
          <t>常州优鲜供应链有限公司</t>
        </is>
      </c>
      <c r="D244" s="4" t="inlineStr">
        <is>
          <t>酒水饮料</t>
        </is>
      </c>
      <c r="E244" s="4" t="inlineStr">
        <is>
          <t>C级</t>
        </is>
      </c>
      <c r="F244" s="18" t="n">
        <v>2990</v>
      </c>
      <c r="G244" s="15" t="n">
        <v>27.85</v>
      </c>
      <c r="H244" s="15" t="n">
        <v>83271.5</v>
      </c>
      <c r="I244" s="4" t="inlineStr">
        <is>
          <t>线上渠道</t>
        </is>
      </c>
      <c r="J244" s="4" t="inlineStr">
        <is>
          <t>刘敏娜</t>
        </is>
      </c>
    </row>
    <row r="245">
      <c r="A245" s="14" t="n">
        <v>45938</v>
      </c>
      <c r="B245" s="4" t="inlineStr">
        <is>
          <t>SO202510199</t>
        </is>
      </c>
      <c r="C245" s="4" t="inlineStr">
        <is>
          <t>常州京功餐饮管理有限公司</t>
        </is>
      </c>
      <c r="D245" s="4" t="inlineStr">
        <is>
          <t>肉禽蛋奶</t>
        </is>
      </c>
      <c r="E245" s="4" t="inlineStr">
        <is>
          <t>5kg</t>
        </is>
      </c>
      <c r="F245" s="18" t="n">
        <v>400</v>
      </c>
      <c r="G245" s="15" t="n">
        <v>26.17</v>
      </c>
      <c r="H245" s="15" t="n">
        <v>10468</v>
      </c>
      <c r="I245" s="4" t="inlineStr">
        <is>
          <t>线上渠道</t>
        </is>
      </c>
      <c r="J245" s="4" t="inlineStr">
        <is>
          <t>郭静伟</t>
        </is>
      </c>
    </row>
    <row r="246">
      <c r="A246" s="14" t="n">
        <v>45938</v>
      </c>
      <c r="B246" s="4" t="inlineStr">
        <is>
          <t>SO202510315</t>
        </is>
      </c>
      <c r="C246" s="4" t="inlineStr">
        <is>
          <t>镇江淼沃餐饮管理有限公司</t>
        </is>
      </c>
      <c r="D246" s="4" t="inlineStr">
        <is>
          <t>生鲜蔬果</t>
        </is>
      </c>
      <c r="E246" s="4" t="inlineStr">
        <is>
          <t>精装</t>
        </is>
      </c>
      <c r="F246" s="18" t="n">
        <v>1110</v>
      </c>
      <c r="G246" s="15" t="n">
        <v>14.69</v>
      </c>
      <c r="H246" s="15" t="n">
        <v>16305.9</v>
      </c>
      <c r="I246" s="4" t="inlineStr">
        <is>
          <t>线上渠道</t>
        </is>
      </c>
      <c r="J246" s="4" t="inlineStr">
        <is>
          <t>周勇芳</t>
        </is>
      </c>
    </row>
    <row r="247">
      <c r="A247" s="14" t="n">
        <v>45939</v>
      </c>
      <c r="B247" s="4" t="inlineStr">
        <is>
          <t>SO202510156</t>
        </is>
      </c>
      <c r="C247" s="4" t="inlineStr">
        <is>
          <t>无锡食佳食品有限公司</t>
        </is>
      </c>
      <c r="D247" s="4" t="inlineStr">
        <is>
          <t>酒水饮料</t>
        </is>
      </c>
      <c r="E247" s="4" t="inlineStr">
        <is>
          <t>2.5kg</t>
        </is>
      </c>
      <c r="F247" s="18" t="n">
        <v>4100</v>
      </c>
      <c r="G247" s="15" t="n">
        <v>40.68</v>
      </c>
      <c r="H247" s="15" t="n">
        <v>166788</v>
      </c>
      <c r="I247" s="4" t="inlineStr">
        <is>
          <t>上海直营</t>
        </is>
      </c>
      <c r="J247" s="4" t="inlineStr">
        <is>
          <t>高丽敏</t>
        </is>
      </c>
    </row>
    <row r="248">
      <c r="A248" s="14" t="n">
        <v>45944</v>
      </c>
      <c r="B248" s="4" t="inlineStr">
        <is>
          <t>SO202510173</t>
        </is>
      </c>
      <c r="C248" s="4" t="inlineStr">
        <is>
          <t>合肥优鲜电商平台</t>
        </is>
      </c>
      <c r="D248" s="4" t="inlineStr">
        <is>
          <t>日用百货</t>
        </is>
      </c>
      <c r="E248" s="4" t="inlineStr">
        <is>
          <t>5kg</t>
        </is>
      </c>
      <c r="F248" s="18" t="n">
        <v>4210</v>
      </c>
      <c r="G248" s="15" t="n">
        <v>4.4</v>
      </c>
      <c r="H248" s="15" t="n">
        <v>18524</v>
      </c>
      <c r="I248" s="4" t="inlineStr">
        <is>
          <t>浙江加盟</t>
        </is>
      </c>
      <c r="J248" s="4" t="inlineStr">
        <is>
          <t>胡英敏</t>
        </is>
      </c>
    </row>
    <row r="249">
      <c r="A249" s="14" t="n">
        <v>45944</v>
      </c>
      <c r="B249" s="4" t="inlineStr">
        <is>
          <t>SO202510271</t>
        </is>
      </c>
      <c r="C249" s="4" t="inlineStr">
        <is>
          <t>宁波大匠供应链有限公司</t>
        </is>
      </c>
      <c r="D249" s="4" t="inlineStr">
        <is>
          <t>生鲜蔬果</t>
        </is>
      </c>
      <c r="E249" s="4" t="inlineStr">
        <is>
          <t>1kg</t>
        </is>
      </c>
      <c r="F249" s="18" t="n">
        <v>4940</v>
      </c>
      <c r="G249" s="15" t="n">
        <v>23.44</v>
      </c>
      <c r="H249" s="15" t="n">
        <v>115793.6</v>
      </c>
      <c r="I249" s="4" t="inlineStr">
        <is>
          <t>江苏加盟</t>
        </is>
      </c>
      <c r="J249" s="4" t="inlineStr">
        <is>
          <t>黄杰秀</t>
        </is>
      </c>
    </row>
    <row r="250">
      <c r="A250" s="14" t="n">
        <v>45944</v>
      </c>
      <c r="B250" s="4" t="inlineStr">
        <is>
          <t>SO202510306</t>
        </is>
      </c>
      <c r="C250" s="4" t="inlineStr">
        <is>
          <t>南京食佳商贸有限公司</t>
        </is>
      </c>
      <c r="D250" s="4" t="inlineStr">
        <is>
          <t>日用百货</t>
        </is>
      </c>
      <c r="E250" s="4" t="inlineStr">
        <is>
          <t>特级</t>
        </is>
      </c>
      <c r="F250" s="18" t="n">
        <v>2080</v>
      </c>
      <c r="G250" s="15" t="n">
        <v>42.66</v>
      </c>
      <c r="H250" s="15" t="n">
        <v>88732.8</v>
      </c>
      <c r="I250" s="4" t="inlineStr">
        <is>
          <t>江苏加盟</t>
        </is>
      </c>
      <c r="J250" s="4" t="inlineStr">
        <is>
          <t>朱勇敏</t>
        </is>
      </c>
    </row>
    <row r="251">
      <c r="A251" s="14" t="n">
        <v>45946</v>
      </c>
      <c r="B251" s="4" t="inlineStr">
        <is>
          <t>SO202510267</t>
        </is>
      </c>
      <c r="C251" s="4" t="inlineStr">
        <is>
          <t>温州大匠餐饮管理有限公司</t>
        </is>
      </c>
      <c r="D251" s="4" t="inlineStr">
        <is>
          <t>生鲜蔬果</t>
        </is>
      </c>
      <c r="E251" s="4" t="inlineStr">
        <is>
          <t>标准</t>
        </is>
      </c>
      <c r="F251" s="18" t="n">
        <v>1410</v>
      </c>
      <c r="G251" s="15" t="n">
        <v>66.45999999999999</v>
      </c>
      <c r="H251" s="15" t="n">
        <v>93708.60000000001</v>
      </c>
      <c r="I251" s="4" t="inlineStr">
        <is>
          <t>江苏加盟</t>
        </is>
      </c>
      <c r="J251" s="4" t="inlineStr">
        <is>
          <t>黄敏芳</t>
        </is>
      </c>
    </row>
    <row r="252">
      <c r="A252" s="14" t="n">
        <v>45947</v>
      </c>
      <c r="B252" s="4" t="inlineStr">
        <is>
          <t>SO202510202</t>
        </is>
      </c>
      <c r="C252" s="4" t="inlineStr">
        <is>
          <t>苏州食佳酒店管理集团</t>
        </is>
      </c>
      <c r="D252" s="4" t="inlineStr">
        <is>
          <t>酒水饮料</t>
        </is>
      </c>
      <c r="E252" s="4" t="inlineStr">
        <is>
          <t>500g</t>
        </is>
      </c>
      <c r="F252" s="18" t="n">
        <v>4720</v>
      </c>
      <c r="G252" s="15" t="n">
        <v>79.69</v>
      </c>
      <c r="H252" s="15" t="n">
        <v>376136.8</v>
      </c>
      <c r="I252" s="4" t="inlineStr">
        <is>
          <t>浙江加盟</t>
        </is>
      </c>
      <c r="J252" s="4" t="inlineStr">
        <is>
          <t>陈娜娜</t>
        </is>
      </c>
    </row>
    <row r="253">
      <c r="A253" s="14" t="n">
        <v>45947</v>
      </c>
      <c r="B253" s="4" t="inlineStr">
        <is>
          <t>SO202510206</t>
        </is>
      </c>
      <c r="C253" s="4" t="inlineStr">
        <is>
          <t>常州食佳供应链有限公司</t>
        </is>
      </c>
      <c r="D253" s="4" t="inlineStr">
        <is>
          <t>休闲零食</t>
        </is>
      </c>
      <c r="E253" s="4" t="inlineStr">
        <is>
          <t>标准</t>
        </is>
      </c>
      <c r="F253" s="18" t="n">
        <v>3330</v>
      </c>
      <c r="G253" s="15" t="n">
        <v>62.82</v>
      </c>
      <c r="H253" s="15" t="n">
        <v>209190.6</v>
      </c>
      <c r="I253" s="4" t="inlineStr">
        <is>
          <t>浙江加盟</t>
        </is>
      </c>
      <c r="J253" s="4" t="inlineStr">
        <is>
          <t>胡涛娜</t>
        </is>
      </c>
    </row>
    <row r="254">
      <c r="A254" s="14" t="n">
        <v>45950</v>
      </c>
      <c r="B254" s="4" t="inlineStr">
        <is>
          <t>SO202510023</t>
        </is>
      </c>
      <c r="C254" s="4" t="inlineStr">
        <is>
          <t>苏州优鲜商贸有限公司</t>
        </is>
      </c>
      <c r="D254" s="4" t="inlineStr">
        <is>
          <t>肉禽蛋奶</t>
        </is>
      </c>
      <c r="E254" s="4" t="inlineStr">
        <is>
          <t>500g</t>
        </is>
      </c>
      <c r="F254" s="18" t="n">
        <v>1910</v>
      </c>
      <c r="G254" s="15" t="n">
        <v>81.77</v>
      </c>
      <c r="H254" s="15" t="n">
        <v>156180.7</v>
      </c>
      <c r="I254" s="4" t="inlineStr">
        <is>
          <t>上海直营</t>
        </is>
      </c>
      <c r="J254" s="4" t="inlineStr">
        <is>
          <t>黄明伟</t>
        </is>
      </c>
    </row>
    <row r="255">
      <c r="A255" s="14" t="n">
        <v>45950</v>
      </c>
      <c r="B255" s="4" t="inlineStr">
        <is>
          <t>SO202510265</t>
        </is>
      </c>
      <c r="C255" s="4" t="inlineStr">
        <is>
          <t>合肥淼沃餐饮管理有限公司</t>
        </is>
      </c>
      <c r="D255" s="4" t="inlineStr">
        <is>
          <t>粮油调味</t>
        </is>
      </c>
      <c r="E255" s="4" t="inlineStr">
        <is>
          <t>C级</t>
        </is>
      </c>
      <c r="F255" s="18" t="n">
        <v>2070</v>
      </c>
      <c r="G255" s="15" t="n">
        <v>91.61</v>
      </c>
      <c r="H255" s="15" t="n">
        <v>189632.7</v>
      </c>
      <c r="I255" s="4" t="inlineStr">
        <is>
          <t>江苏加盟</t>
        </is>
      </c>
      <c r="J255" s="4" t="inlineStr">
        <is>
          <t>罗丽敏</t>
        </is>
      </c>
    </row>
    <row r="256">
      <c r="A256" s="14" t="n">
        <v>45951</v>
      </c>
      <c r="B256" s="4" t="inlineStr">
        <is>
          <t>SO202510307</t>
        </is>
      </c>
      <c r="C256" s="4" t="inlineStr">
        <is>
          <t>宁波淼沃餐饮管理有限公司</t>
        </is>
      </c>
      <c r="D256" s="4" t="inlineStr">
        <is>
          <t>粮油调味</t>
        </is>
      </c>
      <c r="E256" s="4" t="inlineStr">
        <is>
          <t>25kg</t>
        </is>
      </c>
      <c r="F256" s="18" t="n">
        <v>2360</v>
      </c>
      <c r="G256" s="15" t="n">
        <v>8.66</v>
      </c>
      <c r="H256" s="15" t="n">
        <v>20437.6</v>
      </c>
      <c r="I256" s="4" t="inlineStr">
        <is>
          <t>上海直营</t>
        </is>
      </c>
      <c r="J256" s="4" t="inlineStr">
        <is>
          <t>郭英伟</t>
        </is>
      </c>
    </row>
    <row r="257">
      <c r="A257" s="14" t="n">
        <v>45952</v>
      </c>
      <c r="B257" s="4" t="inlineStr">
        <is>
          <t>SO202510292</t>
        </is>
      </c>
      <c r="C257" s="4" t="inlineStr">
        <is>
          <t>常州大匠商贸有限公司</t>
        </is>
      </c>
      <c r="D257" s="4" t="inlineStr">
        <is>
          <t>粮油调味</t>
        </is>
      </c>
      <c r="E257" s="4" t="inlineStr">
        <is>
          <t>10kg</t>
        </is>
      </c>
      <c r="F257" s="18" t="n">
        <v>3570</v>
      </c>
      <c r="G257" s="15" t="n">
        <v>75.75</v>
      </c>
      <c r="H257" s="15" t="n">
        <v>270427.5</v>
      </c>
      <c r="I257" s="4" t="inlineStr">
        <is>
          <t>江苏加盟</t>
        </is>
      </c>
      <c r="J257" s="4" t="inlineStr">
        <is>
          <t>徐秀秀</t>
        </is>
      </c>
    </row>
    <row r="258">
      <c r="A258" s="14" t="n">
        <v>45953</v>
      </c>
      <c r="B258" s="4" t="inlineStr">
        <is>
          <t>SO202510025</t>
        </is>
      </c>
      <c r="C258" s="4" t="inlineStr">
        <is>
          <t>南昌优鲜电商平台</t>
        </is>
      </c>
      <c r="D258" s="4" t="inlineStr">
        <is>
          <t>酒水饮料</t>
        </is>
      </c>
      <c r="E258" s="4" t="inlineStr">
        <is>
          <t>简装</t>
        </is>
      </c>
      <c r="F258" s="18" t="n">
        <v>570</v>
      </c>
      <c r="G258" s="15" t="n">
        <v>34.99</v>
      </c>
      <c r="H258" s="15" t="n">
        <v>19944.3</v>
      </c>
      <c r="I258" s="4" t="inlineStr">
        <is>
          <t>线上渠道</t>
        </is>
      </c>
      <c r="J258" s="4" t="inlineStr">
        <is>
          <t>孙涛伟</t>
        </is>
      </c>
    </row>
    <row r="259">
      <c r="A259" s="14" t="n">
        <v>45953</v>
      </c>
      <c r="B259" s="4" t="inlineStr">
        <is>
          <t>SO202510219</t>
        </is>
      </c>
      <c r="C259" s="4" t="inlineStr">
        <is>
          <t>无锡食佳供应链有限公司</t>
        </is>
      </c>
      <c r="D259" s="4" t="inlineStr">
        <is>
          <t>休闲零食</t>
        </is>
      </c>
      <c r="E259" s="4" t="inlineStr">
        <is>
          <t>500g</t>
        </is>
      </c>
      <c r="F259" s="18" t="n">
        <v>2700</v>
      </c>
      <c r="G259" s="15" t="n">
        <v>76.72</v>
      </c>
      <c r="H259" s="15" t="n">
        <v>207144</v>
      </c>
      <c r="I259" s="4" t="inlineStr">
        <is>
          <t>上海直营</t>
        </is>
      </c>
      <c r="J259" s="4" t="inlineStr">
        <is>
          <t>刘超娜</t>
        </is>
      </c>
    </row>
    <row r="260">
      <c r="A260" s="14" t="n">
        <v>45954</v>
      </c>
      <c r="B260" s="4" t="inlineStr">
        <is>
          <t>SO202510203</t>
        </is>
      </c>
      <c r="C260" s="4" t="inlineStr">
        <is>
          <t>合肥优鲜食品有限公司</t>
        </is>
      </c>
      <c r="D260" s="4" t="inlineStr">
        <is>
          <t>休闲零食</t>
        </is>
      </c>
      <c r="E260" s="4" t="inlineStr">
        <is>
          <t>500g</t>
        </is>
      </c>
      <c r="F260" s="18" t="n">
        <v>1440</v>
      </c>
      <c r="G260" s="15" t="n">
        <v>46.07</v>
      </c>
      <c r="H260" s="15" t="n">
        <v>66340.8</v>
      </c>
      <c r="I260" s="4" t="inlineStr">
        <is>
          <t>上海直营</t>
        </is>
      </c>
      <c r="J260" s="4" t="inlineStr">
        <is>
          <t>刘秀芳</t>
        </is>
      </c>
    </row>
    <row r="261">
      <c r="A261" s="14" t="n">
        <v>45958</v>
      </c>
      <c r="B261" s="4" t="inlineStr">
        <is>
          <t>SO202510003</t>
        </is>
      </c>
      <c r="C261" s="4" t="inlineStr">
        <is>
          <t>南京京功酒店管理集团</t>
        </is>
      </c>
      <c r="D261" s="4" t="inlineStr">
        <is>
          <t>酒水饮料</t>
        </is>
      </c>
      <c r="E261" s="4" t="inlineStr">
        <is>
          <t>2.5kg</t>
        </is>
      </c>
      <c r="F261" s="18" t="n">
        <v>4930</v>
      </c>
      <c r="G261" s="15" t="n">
        <v>7.43</v>
      </c>
      <c r="H261" s="15" t="n">
        <v>36629.9</v>
      </c>
      <c r="I261" s="4" t="inlineStr">
        <is>
          <t>上海直营</t>
        </is>
      </c>
      <c r="J261" s="4" t="inlineStr">
        <is>
          <t>高磊伟</t>
        </is>
      </c>
    </row>
    <row r="262">
      <c r="A262" s="14" t="n">
        <v>45958</v>
      </c>
      <c r="B262" s="4" t="inlineStr">
        <is>
          <t>SO202510046</t>
        </is>
      </c>
      <c r="C262" s="4" t="inlineStr">
        <is>
          <t>杭州食佳供应链有限公司</t>
        </is>
      </c>
      <c r="D262" s="4" t="inlineStr">
        <is>
          <t>酒水饮料</t>
        </is>
      </c>
      <c r="E262" s="4" t="inlineStr">
        <is>
          <t>简装</t>
        </is>
      </c>
      <c r="F262" s="18" t="n">
        <v>2060</v>
      </c>
      <c r="G262" s="15" t="n">
        <v>64.03</v>
      </c>
      <c r="H262" s="15" t="n">
        <v>131901.8</v>
      </c>
      <c r="I262" s="4" t="inlineStr">
        <is>
          <t>上海直营</t>
        </is>
      </c>
      <c r="J262" s="4" t="inlineStr">
        <is>
          <t>林英娜</t>
        </is>
      </c>
    </row>
    <row r="263">
      <c r="A263" s="14" t="n">
        <v>45958</v>
      </c>
      <c r="B263" s="4" t="inlineStr">
        <is>
          <t>SO202510139</t>
        </is>
      </c>
      <c r="C263" s="4" t="inlineStr">
        <is>
          <t>嘉兴淼沃超市</t>
        </is>
      </c>
      <c r="D263" s="4" t="inlineStr">
        <is>
          <t>休闲零食</t>
        </is>
      </c>
      <c r="E263" s="4" t="inlineStr">
        <is>
          <t>特级</t>
        </is>
      </c>
      <c r="F263" s="18" t="n">
        <v>650</v>
      </c>
      <c r="G263" s="15" t="n">
        <v>47.99</v>
      </c>
      <c r="H263" s="15" t="n">
        <v>31193.5</v>
      </c>
      <c r="I263" s="4" t="inlineStr">
        <is>
          <t>线上渠道</t>
        </is>
      </c>
      <c r="J263" s="4" t="inlineStr">
        <is>
          <t>马芳芳</t>
        </is>
      </c>
    </row>
    <row r="264">
      <c r="A264" s="14" t="n">
        <v>45958</v>
      </c>
      <c r="B264" s="4" t="inlineStr">
        <is>
          <t>SO202510165</t>
        </is>
      </c>
      <c r="C264" s="4" t="inlineStr">
        <is>
          <t>南京百味餐饮管理有限公司</t>
        </is>
      </c>
      <c r="D264" s="4" t="inlineStr">
        <is>
          <t>肉禽蛋奶</t>
        </is>
      </c>
      <c r="E264" s="4" t="inlineStr">
        <is>
          <t>B级</t>
        </is>
      </c>
      <c r="F264" s="18" t="n">
        <v>1300</v>
      </c>
      <c r="G264" s="15" t="n">
        <v>32.66</v>
      </c>
      <c r="H264" s="15" t="n">
        <v>42458</v>
      </c>
      <c r="I264" s="4" t="inlineStr">
        <is>
          <t>线上渠道</t>
        </is>
      </c>
      <c r="J264" s="4" t="inlineStr">
        <is>
          <t>罗涛芳</t>
        </is>
      </c>
    </row>
    <row r="265">
      <c r="A265" s="14" t="n">
        <v>45962</v>
      </c>
      <c r="B265" s="4" t="inlineStr">
        <is>
          <t>SO202510142</t>
        </is>
      </c>
      <c r="C265" s="4" t="inlineStr">
        <is>
          <t>宁波食佳供应链有限公司</t>
        </is>
      </c>
      <c r="D265" s="4" t="inlineStr">
        <is>
          <t>酒水饮料</t>
        </is>
      </c>
      <c r="E265" s="4" t="inlineStr">
        <is>
          <t>精装</t>
        </is>
      </c>
      <c r="F265" s="18" t="n">
        <v>1220</v>
      </c>
      <c r="G265" s="15" t="n">
        <v>50.9</v>
      </c>
      <c r="H265" s="15" t="n">
        <v>62098</v>
      </c>
      <c r="I265" s="4" t="inlineStr">
        <is>
          <t>线上渠道</t>
        </is>
      </c>
      <c r="J265" s="4" t="inlineStr">
        <is>
          <t>罗磊娜</t>
        </is>
      </c>
    </row>
    <row r="266">
      <c r="A266" s="14" t="n">
        <v>45963</v>
      </c>
      <c r="B266" s="4" t="inlineStr">
        <is>
          <t>SO202510034</t>
        </is>
      </c>
      <c r="C266" s="4" t="inlineStr">
        <is>
          <t>合肥食佳电商平台</t>
        </is>
      </c>
      <c r="D266" s="4" t="inlineStr">
        <is>
          <t>日用百货</t>
        </is>
      </c>
      <c r="E266" s="4" t="inlineStr">
        <is>
          <t>500g</t>
        </is>
      </c>
      <c r="F266" s="18" t="n">
        <v>3030</v>
      </c>
      <c r="G266" s="15" t="n">
        <v>39.73</v>
      </c>
      <c r="H266" s="15" t="n">
        <v>120381.9</v>
      </c>
      <c r="I266" s="4" t="inlineStr">
        <is>
          <t>江苏加盟</t>
        </is>
      </c>
      <c r="J266" s="4" t="inlineStr">
        <is>
          <t>何敏秀</t>
        </is>
      </c>
    </row>
    <row r="267">
      <c r="A267" s="14" t="n">
        <v>45964</v>
      </c>
      <c r="B267" s="4" t="inlineStr">
        <is>
          <t>SO202510108</t>
        </is>
      </c>
      <c r="C267" s="4" t="inlineStr">
        <is>
          <t>杭州百味餐饮管理有限公司</t>
        </is>
      </c>
      <c r="D267" s="4" t="inlineStr">
        <is>
          <t>生鲜蔬果</t>
        </is>
      </c>
      <c r="E267" s="4" t="inlineStr">
        <is>
          <t>1kg</t>
        </is>
      </c>
      <c r="F267" s="18" t="n">
        <v>330</v>
      </c>
      <c r="G267" s="15" t="n">
        <v>49.25</v>
      </c>
      <c r="H267" s="15" t="n">
        <v>16252.5</v>
      </c>
      <c r="I267" s="4" t="inlineStr">
        <is>
          <t>线上渠道</t>
        </is>
      </c>
      <c r="J267" s="4" t="inlineStr">
        <is>
          <t>张静敏</t>
        </is>
      </c>
    </row>
    <row r="268">
      <c r="A268" s="14" t="n">
        <v>45964</v>
      </c>
      <c r="B268" s="4" t="inlineStr">
        <is>
          <t>SO202510180</t>
        </is>
      </c>
      <c r="C268" s="4" t="inlineStr">
        <is>
          <t>杭州大匠食品有限公司</t>
        </is>
      </c>
      <c r="D268" s="4" t="inlineStr">
        <is>
          <t>肉禽蛋奶</t>
        </is>
      </c>
      <c r="E268" s="4" t="inlineStr">
        <is>
          <t>5kg</t>
        </is>
      </c>
      <c r="F268" s="18" t="n">
        <v>2390</v>
      </c>
      <c r="G268" s="15" t="n">
        <v>59.31</v>
      </c>
      <c r="H268" s="15" t="n">
        <v>141750.9</v>
      </c>
      <c r="I268" s="4" t="inlineStr">
        <is>
          <t>浙江加盟</t>
        </is>
      </c>
      <c r="J268" s="4" t="inlineStr">
        <is>
          <t>周英英</t>
        </is>
      </c>
    </row>
    <row r="269">
      <c r="A269" s="14" t="n">
        <v>45966</v>
      </c>
      <c r="B269" s="4" t="inlineStr">
        <is>
          <t>SO202510044</t>
        </is>
      </c>
      <c r="C269" s="4" t="inlineStr">
        <is>
          <t>宁波京功酒店管理集团</t>
        </is>
      </c>
      <c r="D269" s="4" t="inlineStr">
        <is>
          <t>生鲜蔬果</t>
        </is>
      </c>
      <c r="E269" s="4" t="inlineStr">
        <is>
          <t>精装</t>
        </is>
      </c>
      <c r="F269" s="18" t="n">
        <v>4370</v>
      </c>
      <c r="G269" s="15" t="n">
        <v>12.59</v>
      </c>
      <c r="H269" s="15" t="n">
        <v>55018.3</v>
      </c>
      <c r="I269" s="4" t="inlineStr">
        <is>
          <t>浙江加盟</t>
        </is>
      </c>
      <c r="J269" s="4" t="inlineStr">
        <is>
          <t>陈勇娜</t>
        </is>
      </c>
    </row>
    <row r="270">
      <c r="A270" s="14" t="n">
        <v>45966</v>
      </c>
      <c r="B270" s="4" t="inlineStr">
        <is>
          <t>SO202510157</t>
        </is>
      </c>
      <c r="C270" s="4" t="inlineStr">
        <is>
          <t>南京百味电商平台</t>
        </is>
      </c>
      <c r="D270" s="4" t="inlineStr">
        <is>
          <t>酒水饮料</t>
        </is>
      </c>
      <c r="E270" s="4" t="inlineStr">
        <is>
          <t>10kg</t>
        </is>
      </c>
      <c r="F270" s="18" t="n">
        <v>3470</v>
      </c>
      <c r="G270" s="15" t="n">
        <v>73.91</v>
      </c>
      <c r="H270" s="15" t="n">
        <v>256467.7</v>
      </c>
      <c r="I270" s="4" t="inlineStr">
        <is>
          <t>线上渠道</t>
        </is>
      </c>
      <c r="J270" s="4" t="inlineStr">
        <is>
          <t>徐伟秀</t>
        </is>
      </c>
    </row>
    <row r="271">
      <c r="A271" s="14" t="n">
        <v>45967</v>
      </c>
      <c r="B271" s="4" t="inlineStr">
        <is>
          <t>SO202510098</t>
        </is>
      </c>
      <c r="C271" s="4" t="inlineStr">
        <is>
          <t>温州淼沃商贸有限公司</t>
        </is>
      </c>
      <c r="D271" s="4" t="inlineStr">
        <is>
          <t>粮油调味</t>
        </is>
      </c>
      <c r="E271" s="4" t="inlineStr">
        <is>
          <t>C级</t>
        </is>
      </c>
      <c r="F271" s="18" t="n">
        <v>720</v>
      </c>
      <c r="G271" s="15" t="n">
        <v>79.37</v>
      </c>
      <c r="H271" s="15" t="n">
        <v>57146.4</v>
      </c>
      <c r="I271" s="4" t="inlineStr">
        <is>
          <t>线上渠道</t>
        </is>
      </c>
      <c r="J271" s="4" t="inlineStr">
        <is>
          <t>马娟伟</t>
        </is>
      </c>
    </row>
    <row r="272">
      <c r="A272" s="14" t="n">
        <v>45968</v>
      </c>
      <c r="B272" s="4" t="inlineStr">
        <is>
          <t>SO202510297</t>
        </is>
      </c>
      <c r="C272" s="4" t="inlineStr">
        <is>
          <t>南昌优鲜酒店管理集团</t>
        </is>
      </c>
      <c r="D272" s="4" t="inlineStr">
        <is>
          <t>酒水饮料</t>
        </is>
      </c>
      <c r="E272" s="4" t="inlineStr">
        <is>
          <t>1kg</t>
        </is>
      </c>
      <c r="F272" s="18" t="n">
        <v>870</v>
      </c>
      <c r="G272" s="15" t="n">
        <v>68.26000000000001</v>
      </c>
      <c r="H272" s="15" t="n">
        <v>59386.2</v>
      </c>
      <c r="I272" s="4" t="inlineStr">
        <is>
          <t>上海直营</t>
        </is>
      </c>
      <c r="J272" s="4" t="inlineStr">
        <is>
          <t>马涛英</t>
        </is>
      </c>
    </row>
    <row r="273">
      <c r="A273" s="14" t="n">
        <v>45968</v>
      </c>
      <c r="B273" s="4" t="inlineStr">
        <is>
          <t>SO202510298</t>
        </is>
      </c>
      <c r="C273" s="4" t="inlineStr">
        <is>
          <t>上海优鲜餐饮管理有限公司</t>
        </is>
      </c>
      <c r="D273" s="4" t="inlineStr">
        <is>
          <t>生鲜蔬果</t>
        </is>
      </c>
      <c r="E273" s="4" t="inlineStr">
        <is>
          <t>B级</t>
        </is>
      </c>
      <c r="F273" s="18" t="n">
        <v>4710</v>
      </c>
      <c r="G273" s="15" t="n">
        <v>16.01</v>
      </c>
      <c r="H273" s="15" t="n">
        <v>75407.10000000001</v>
      </c>
      <c r="I273" s="4" t="inlineStr">
        <is>
          <t>浙江加盟</t>
        </is>
      </c>
      <c r="J273" s="4" t="inlineStr">
        <is>
          <t>胡涛伟</t>
        </is>
      </c>
    </row>
    <row r="274">
      <c r="A274" s="14" t="n">
        <v>45969</v>
      </c>
      <c r="B274" s="4" t="inlineStr">
        <is>
          <t>SO202510081</t>
        </is>
      </c>
      <c r="C274" s="4" t="inlineStr">
        <is>
          <t>嘉兴百味电商平台</t>
        </is>
      </c>
      <c r="D274" s="4" t="inlineStr">
        <is>
          <t>休闲零食</t>
        </is>
      </c>
      <c r="E274" s="4" t="inlineStr">
        <is>
          <t>B级</t>
        </is>
      </c>
      <c r="F274" s="18" t="n">
        <v>790</v>
      </c>
      <c r="G274" s="15" t="n">
        <v>86.91</v>
      </c>
      <c r="H274" s="15" t="n">
        <v>68658.89999999999</v>
      </c>
      <c r="I274" s="4" t="inlineStr">
        <is>
          <t>浙江加盟</t>
        </is>
      </c>
      <c r="J274" s="4" t="inlineStr">
        <is>
          <t>何娟敏</t>
        </is>
      </c>
    </row>
    <row r="275">
      <c r="A275" s="14" t="n">
        <v>45969</v>
      </c>
      <c r="B275" s="4" t="inlineStr">
        <is>
          <t>SO202510093</t>
        </is>
      </c>
      <c r="C275" s="4" t="inlineStr">
        <is>
          <t>上海淼沃超市</t>
        </is>
      </c>
      <c r="D275" s="4" t="inlineStr">
        <is>
          <t>日用百货</t>
        </is>
      </c>
      <c r="E275" s="4" t="inlineStr">
        <is>
          <t>C级</t>
        </is>
      </c>
      <c r="F275" s="18" t="n">
        <v>2120</v>
      </c>
      <c r="G275" s="15" t="n">
        <v>85.97</v>
      </c>
      <c r="H275" s="15" t="n">
        <v>182256.4</v>
      </c>
      <c r="I275" s="4" t="inlineStr">
        <is>
          <t>江苏加盟</t>
        </is>
      </c>
      <c r="J275" s="4" t="inlineStr">
        <is>
          <t>朱娜英</t>
        </is>
      </c>
    </row>
    <row r="276">
      <c r="A276" s="14" t="n">
        <v>45971</v>
      </c>
      <c r="B276" s="4" t="inlineStr">
        <is>
          <t>SO202510127</t>
        </is>
      </c>
      <c r="C276" s="4" t="inlineStr">
        <is>
          <t>镇江淼沃食品有限公司</t>
        </is>
      </c>
      <c r="D276" s="4" t="inlineStr">
        <is>
          <t>肉禽蛋奶</t>
        </is>
      </c>
      <c r="E276" s="4" t="inlineStr">
        <is>
          <t>C级</t>
        </is>
      </c>
      <c r="F276" s="18" t="n">
        <v>1800</v>
      </c>
      <c r="G276" s="15" t="n">
        <v>92.31999999999999</v>
      </c>
      <c r="H276" s="15" t="n">
        <v>166176</v>
      </c>
      <c r="I276" s="4" t="inlineStr">
        <is>
          <t>浙江加盟</t>
        </is>
      </c>
      <c r="J276" s="4" t="inlineStr">
        <is>
          <t>吴涛秀</t>
        </is>
      </c>
    </row>
    <row r="277">
      <c r="A277" s="14" t="n">
        <v>45971</v>
      </c>
      <c r="B277" s="4" t="inlineStr">
        <is>
          <t>SO202510185</t>
        </is>
      </c>
      <c r="C277" s="4" t="inlineStr">
        <is>
          <t>上海京功食品有限公司</t>
        </is>
      </c>
      <c r="D277" s="4" t="inlineStr">
        <is>
          <t>酒水饮料</t>
        </is>
      </c>
      <c r="E277" s="4" t="inlineStr">
        <is>
          <t>A级</t>
        </is>
      </c>
      <c r="F277" s="18" t="n">
        <v>430</v>
      </c>
      <c r="G277" s="15" t="n">
        <v>67.79000000000001</v>
      </c>
      <c r="H277" s="15" t="n">
        <v>29149.7</v>
      </c>
      <c r="I277" s="4" t="inlineStr">
        <is>
          <t>线上渠道</t>
        </is>
      </c>
      <c r="J277" s="4" t="inlineStr">
        <is>
          <t>王秀伟</t>
        </is>
      </c>
    </row>
    <row r="278">
      <c r="A278" s="14" t="n">
        <v>45973</v>
      </c>
      <c r="B278" s="4" t="inlineStr">
        <is>
          <t>SO202510196</t>
        </is>
      </c>
      <c r="C278" s="4" t="inlineStr">
        <is>
          <t>南京食佳供应链有限公司</t>
        </is>
      </c>
      <c r="D278" s="4" t="inlineStr">
        <is>
          <t>酒水饮料</t>
        </is>
      </c>
      <c r="E278" s="4" t="inlineStr">
        <is>
          <t>特级</t>
        </is>
      </c>
      <c r="F278" s="18" t="n">
        <v>1310</v>
      </c>
      <c r="G278" s="15" t="n">
        <v>28.39</v>
      </c>
      <c r="H278" s="15" t="n">
        <v>37190.9</v>
      </c>
      <c r="I278" s="4" t="inlineStr">
        <is>
          <t>江苏加盟</t>
        </is>
      </c>
      <c r="J278" s="4" t="inlineStr">
        <is>
          <t>高超秀</t>
        </is>
      </c>
    </row>
    <row r="279">
      <c r="A279" s="14" t="n">
        <v>45973</v>
      </c>
      <c r="B279" s="4" t="inlineStr">
        <is>
          <t>SO202510270</t>
        </is>
      </c>
      <c r="C279" s="4" t="inlineStr">
        <is>
          <t>宁波优鲜超市</t>
        </is>
      </c>
      <c r="D279" s="4" t="inlineStr">
        <is>
          <t>休闲零食</t>
        </is>
      </c>
      <c r="E279" s="4" t="inlineStr">
        <is>
          <t>25kg</t>
        </is>
      </c>
      <c r="F279" s="18" t="n">
        <v>4850</v>
      </c>
      <c r="G279" s="15" t="n">
        <v>35.42</v>
      </c>
      <c r="H279" s="15" t="n">
        <v>171787</v>
      </c>
      <c r="I279" s="4" t="inlineStr">
        <is>
          <t>上海直营</t>
        </is>
      </c>
      <c r="J279" s="4" t="inlineStr">
        <is>
          <t>赵静英</t>
        </is>
      </c>
    </row>
    <row r="280">
      <c r="A280" s="14" t="n">
        <v>45974</v>
      </c>
      <c r="B280" s="4" t="inlineStr">
        <is>
          <t>SO202510103</t>
        </is>
      </c>
      <c r="C280" s="4" t="inlineStr">
        <is>
          <t>南昌百味供应链有限公司</t>
        </is>
      </c>
      <c r="D280" s="4" t="inlineStr">
        <is>
          <t>日用百货</t>
        </is>
      </c>
      <c r="E280" s="4" t="inlineStr">
        <is>
          <t>精装</t>
        </is>
      </c>
      <c r="F280" s="18" t="n">
        <v>4560</v>
      </c>
      <c r="G280" s="15" t="n">
        <v>18.77</v>
      </c>
      <c r="H280" s="15" t="n">
        <v>85591.2</v>
      </c>
      <c r="I280" s="4" t="inlineStr">
        <is>
          <t>上海直营</t>
        </is>
      </c>
      <c r="J280" s="4" t="inlineStr">
        <is>
          <t>罗芳芳</t>
        </is>
      </c>
    </row>
    <row r="281">
      <c r="A281" s="14" t="n">
        <v>45975</v>
      </c>
      <c r="B281" s="4" t="inlineStr">
        <is>
          <t>SO202510282</t>
        </is>
      </c>
      <c r="C281" s="4" t="inlineStr">
        <is>
          <t>南京京功电商平台</t>
        </is>
      </c>
      <c r="D281" s="4" t="inlineStr">
        <is>
          <t>酒水饮料</t>
        </is>
      </c>
      <c r="E281" s="4" t="inlineStr">
        <is>
          <t>5kg</t>
        </is>
      </c>
      <c r="F281" s="18" t="n">
        <v>150</v>
      </c>
      <c r="G281" s="15" t="n">
        <v>3.36</v>
      </c>
      <c r="H281" s="15" t="n">
        <v>504</v>
      </c>
      <c r="I281" s="4" t="inlineStr">
        <is>
          <t>江苏加盟</t>
        </is>
      </c>
      <c r="J281" s="4" t="inlineStr">
        <is>
          <t>李兰秀</t>
        </is>
      </c>
    </row>
    <row r="282">
      <c r="A282" s="14" t="n">
        <v>45976</v>
      </c>
      <c r="B282" s="4" t="inlineStr">
        <is>
          <t>SO202510169</t>
        </is>
      </c>
      <c r="C282" s="4" t="inlineStr">
        <is>
          <t>南昌京功电商平台</t>
        </is>
      </c>
      <c r="D282" s="4" t="inlineStr">
        <is>
          <t>酒水饮料</t>
        </is>
      </c>
      <c r="E282" s="4" t="inlineStr">
        <is>
          <t>1kg</t>
        </is>
      </c>
      <c r="F282" s="18" t="n">
        <v>3840</v>
      </c>
      <c r="G282" s="15" t="n">
        <v>29.77</v>
      </c>
      <c r="H282" s="15" t="n">
        <v>114316.8</v>
      </c>
      <c r="I282" s="4" t="inlineStr">
        <is>
          <t>浙江加盟</t>
        </is>
      </c>
      <c r="J282" s="4" t="inlineStr">
        <is>
          <t>徐磊英</t>
        </is>
      </c>
    </row>
    <row r="283">
      <c r="A283" s="14" t="n">
        <v>45977</v>
      </c>
      <c r="B283" s="4" t="inlineStr">
        <is>
          <t>SO202510263</t>
        </is>
      </c>
      <c r="C283" s="4" t="inlineStr">
        <is>
          <t>苏州淼沃酒店管理集团</t>
        </is>
      </c>
      <c r="D283" s="4" t="inlineStr">
        <is>
          <t>日用百货</t>
        </is>
      </c>
      <c r="E283" s="4" t="inlineStr">
        <is>
          <t>25kg</t>
        </is>
      </c>
      <c r="F283" s="18" t="n">
        <v>2580</v>
      </c>
      <c r="G283" s="15" t="n">
        <v>73.48999999999999</v>
      </c>
      <c r="H283" s="15" t="n">
        <v>189604.2</v>
      </c>
      <c r="I283" s="4" t="inlineStr">
        <is>
          <t>线上渠道</t>
        </is>
      </c>
      <c r="J283" s="4" t="inlineStr">
        <is>
          <t>王洋敏</t>
        </is>
      </c>
    </row>
    <row r="284">
      <c r="A284" s="14" t="n">
        <v>45982</v>
      </c>
      <c r="B284" s="4" t="inlineStr">
        <is>
          <t>SO202510143</t>
        </is>
      </c>
      <c r="C284" s="4" t="inlineStr">
        <is>
          <t>宁波京功超市</t>
        </is>
      </c>
      <c r="D284" s="4" t="inlineStr">
        <is>
          <t>日用百货</t>
        </is>
      </c>
      <c r="E284" s="4" t="inlineStr">
        <is>
          <t>2.5kg</t>
        </is>
      </c>
      <c r="F284" s="18" t="n">
        <v>1300</v>
      </c>
      <c r="G284" s="15" t="n">
        <v>87.28</v>
      </c>
      <c r="H284" s="15" t="n">
        <v>113464</v>
      </c>
      <c r="I284" s="4" t="inlineStr">
        <is>
          <t>江苏加盟</t>
        </is>
      </c>
      <c r="J284" s="4" t="inlineStr">
        <is>
          <t>王娟秀</t>
        </is>
      </c>
    </row>
    <row r="285">
      <c r="A285" s="14" t="n">
        <v>45982</v>
      </c>
      <c r="B285" s="4" t="inlineStr">
        <is>
          <t>SO202510146</t>
        </is>
      </c>
      <c r="C285" s="4" t="inlineStr">
        <is>
          <t>南京食佳餐饮管理有限公司</t>
        </is>
      </c>
      <c r="D285" s="4" t="inlineStr">
        <is>
          <t>日用百货</t>
        </is>
      </c>
      <c r="E285" s="4" t="inlineStr">
        <is>
          <t>1kg</t>
        </is>
      </c>
      <c r="F285" s="18" t="n">
        <v>4420</v>
      </c>
      <c r="G285" s="15" t="n">
        <v>57.85</v>
      </c>
      <c r="H285" s="15" t="n">
        <v>255697</v>
      </c>
      <c r="I285" s="4" t="inlineStr">
        <is>
          <t>浙江加盟</t>
        </is>
      </c>
      <c r="J285" s="4" t="inlineStr">
        <is>
          <t>高杰娜</t>
        </is>
      </c>
    </row>
    <row r="286">
      <c r="A286" s="14" t="n">
        <v>45982</v>
      </c>
      <c r="B286" s="4" t="inlineStr">
        <is>
          <t>SO202510214</t>
        </is>
      </c>
      <c r="C286" s="4" t="inlineStr">
        <is>
          <t>上海大匠餐饮管理有限公司</t>
        </is>
      </c>
      <c r="D286" s="4" t="inlineStr">
        <is>
          <t>肉禽蛋奶</t>
        </is>
      </c>
      <c r="E286" s="4" t="inlineStr">
        <is>
          <t>5kg</t>
        </is>
      </c>
      <c r="F286" s="18" t="n">
        <v>1460</v>
      </c>
      <c r="G286" s="15" t="n">
        <v>31.58</v>
      </c>
      <c r="H286" s="15" t="n">
        <v>46106.8</v>
      </c>
      <c r="I286" s="4" t="inlineStr">
        <is>
          <t>上海直营</t>
        </is>
      </c>
      <c r="J286" s="4" t="inlineStr">
        <is>
          <t>李秀芳</t>
        </is>
      </c>
    </row>
    <row r="287">
      <c r="A287" s="14" t="n">
        <v>45984</v>
      </c>
      <c r="B287" s="4" t="inlineStr">
        <is>
          <t>SO202510189</t>
        </is>
      </c>
      <c r="C287" s="4" t="inlineStr">
        <is>
          <t>上海大匠酒店管理集团</t>
        </is>
      </c>
      <c r="D287" s="4" t="inlineStr">
        <is>
          <t>日用百货</t>
        </is>
      </c>
      <c r="E287" s="4" t="inlineStr">
        <is>
          <t>2.5kg</t>
        </is>
      </c>
      <c r="F287" s="18" t="n">
        <v>3400</v>
      </c>
      <c r="G287" s="15" t="n">
        <v>86.36</v>
      </c>
      <c r="H287" s="15" t="n">
        <v>293624</v>
      </c>
      <c r="I287" s="4" t="inlineStr">
        <is>
          <t>线上渠道</t>
        </is>
      </c>
      <c r="J287" s="4" t="inlineStr">
        <is>
          <t>罗杰娜</t>
        </is>
      </c>
    </row>
    <row r="288">
      <c r="A288" s="14" t="n">
        <v>45985</v>
      </c>
      <c r="B288" s="4" t="inlineStr">
        <is>
          <t>SO202510305</t>
        </is>
      </c>
      <c r="C288" s="4" t="inlineStr">
        <is>
          <t>无锡大匠电商平台</t>
        </is>
      </c>
      <c r="D288" s="4" t="inlineStr">
        <is>
          <t>休闲零食</t>
        </is>
      </c>
      <c r="E288" s="4" t="inlineStr">
        <is>
          <t>2.5kg</t>
        </is>
      </c>
      <c r="F288" s="18" t="n">
        <v>4250</v>
      </c>
      <c r="G288" s="15" t="n">
        <v>5.5</v>
      </c>
      <c r="H288" s="15" t="n">
        <v>23375</v>
      </c>
      <c r="I288" s="4" t="inlineStr">
        <is>
          <t>上海直营</t>
        </is>
      </c>
      <c r="J288" s="4" t="inlineStr">
        <is>
          <t>马涛英</t>
        </is>
      </c>
    </row>
    <row r="289">
      <c r="A289" s="14" t="n">
        <v>45986</v>
      </c>
      <c r="B289" s="4" t="inlineStr">
        <is>
          <t>SO202510091</t>
        </is>
      </c>
      <c r="C289" s="4" t="inlineStr">
        <is>
          <t>嘉兴食佳餐饮管理有限公司</t>
        </is>
      </c>
      <c r="D289" s="4" t="inlineStr">
        <is>
          <t>肉禽蛋奶</t>
        </is>
      </c>
      <c r="E289" s="4" t="inlineStr">
        <is>
          <t>5kg</t>
        </is>
      </c>
      <c r="F289" s="18" t="n">
        <v>2720</v>
      </c>
      <c r="G289" s="15" t="n">
        <v>85.73999999999999</v>
      </c>
      <c r="H289" s="15" t="n">
        <v>233212.8</v>
      </c>
      <c r="I289" s="4" t="inlineStr">
        <is>
          <t>线上渠道</t>
        </is>
      </c>
      <c r="J289" s="4" t="inlineStr">
        <is>
          <t>罗芳敏</t>
        </is>
      </c>
    </row>
    <row r="290">
      <c r="A290" s="14" t="n">
        <v>45986</v>
      </c>
      <c r="B290" s="4" t="inlineStr">
        <is>
          <t>SO202510324</t>
        </is>
      </c>
      <c r="C290" s="4" t="inlineStr">
        <is>
          <t>南昌淼沃供应链有限公司</t>
        </is>
      </c>
      <c r="D290" s="4" t="inlineStr">
        <is>
          <t>生鲜蔬果</t>
        </is>
      </c>
      <c r="E290" s="4" t="inlineStr">
        <is>
          <t>特级</t>
        </is>
      </c>
      <c r="F290" s="18" t="n">
        <v>660</v>
      </c>
      <c r="G290" s="15" t="n">
        <v>37.6</v>
      </c>
      <c r="H290" s="15" t="n">
        <v>24816</v>
      </c>
      <c r="I290" s="4" t="inlineStr">
        <is>
          <t>线上渠道</t>
        </is>
      </c>
      <c r="J290" s="4" t="inlineStr">
        <is>
          <t>张强秀</t>
        </is>
      </c>
    </row>
    <row r="291">
      <c r="A291" s="14" t="n">
        <v>45987</v>
      </c>
      <c r="B291" s="4" t="inlineStr">
        <is>
          <t>SO202510152</t>
        </is>
      </c>
      <c r="C291" s="4" t="inlineStr">
        <is>
          <t>南昌优鲜商贸有限公司</t>
        </is>
      </c>
      <c r="D291" s="4" t="inlineStr">
        <is>
          <t>酒水饮料</t>
        </is>
      </c>
      <c r="E291" s="4" t="inlineStr">
        <is>
          <t>2.5kg</t>
        </is>
      </c>
      <c r="F291" s="18" t="n">
        <v>1620</v>
      </c>
      <c r="G291" s="15" t="n">
        <v>21.57</v>
      </c>
      <c r="H291" s="15" t="n">
        <v>34943.4</v>
      </c>
      <c r="I291" s="4" t="inlineStr">
        <is>
          <t>线上渠道</t>
        </is>
      </c>
      <c r="J291" s="4" t="inlineStr">
        <is>
          <t>徐秀娜</t>
        </is>
      </c>
    </row>
    <row r="292">
      <c r="A292" s="14" t="n">
        <v>45987</v>
      </c>
      <c r="B292" s="4" t="inlineStr">
        <is>
          <t>SO202510285</t>
        </is>
      </c>
      <c r="C292" s="4" t="inlineStr">
        <is>
          <t>嘉兴百味酒店管理集团</t>
        </is>
      </c>
      <c r="D292" s="4" t="inlineStr">
        <is>
          <t>生鲜蔬果</t>
        </is>
      </c>
      <c r="E292" s="4" t="inlineStr">
        <is>
          <t>标准</t>
        </is>
      </c>
      <c r="F292" s="18" t="n">
        <v>4830</v>
      </c>
      <c r="G292" s="15" t="n">
        <v>59.14</v>
      </c>
      <c r="H292" s="15" t="n">
        <v>285646.2</v>
      </c>
      <c r="I292" s="4" t="inlineStr">
        <is>
          <t>上海直营</t>
        </is>
      </c>
      <c r="J292" s="4" t="inlineStr">
        <is>
          <t>张秀芳</t>
        </is>
      </c>
    </row>
    <row r="293">
      <c r="A293" s="14" t="n">
        <v>45989</v>
      </c>
      <c r="B293" s="4" t="inlineStr">
        <is>
          <t>SO202510284</t>
        </is>
      </c>
      <c r="C293" s="4" t="inlineStr">
        <is>
          <t>镇江大匠电商平台</t>
        </is>
      </c>
      <c r="D293" s="4" t="inlineStr">
        <is>
          <t>日用百货</t>
        </is>
      </c>
      <c r="E293" s="4" t="inlineStr">
        <is>
          <t>1kg</t>
        </is>
      </c>
      <c r="F293" s="18" t="n">
        <v>4950</v>
      </c>
      <c r="G293" s="15" t="n">
        <v>77.18000000000001</v>
      </c>
      <c r="H293" s="15" t="n">
        <v>382041</v>
      </c>
      <c r="I293" s="4" t="inlineStr">
        <is>
          <t>浙江加盟</t>
        </is>
      </c>
      <c r="J293" s="4" t="inlineStr">
        <is>
          <t>马明芳</t>
        </is>
      </c>
    </row>
    <row r="294">
      <c r="A294" s="14" t="n">
        <v>45993</v>
      </c>
      <c r="B294" s="4" t="inlineStr">
        <is>
          <t>SO202510310</t>
        </is>
      </c>
      <c r="C294" s="4" t="inlineStr">
        <is>
          <t>温州优鲜商贸有限公司</t>
        </is>
      </c>
      <c r="D294" s="4" t="inlineStr">
        <is>
          <t>休闲零食</t>
        </is>
      </c>
      <c r="E294" s="4" t="inlineStr">
        <is>
          <t>C级</t>
        </is>
      </c>
      <c r="F294" s="18" t="n">
        <v>4940</v>
      </c>
      <c r="G294" s="15" t="n">
        <v>89.20999999999999</v>
      </c>
      <c r="H294" s="15" t="n">
        <v>440697.4</v>
      </c>
      <c r="I294" s="4" t="inlineStr">
        <is>
          <t>线上渠道</t>
        </is>
      </c>
      <c r="J294" s="4" t="inlineStr">
        <is>
          <t>郭强英</t>
        </is>
      </c>
    </row>
    <row r="295">
      <c r="A295" s="14" t="n">
        <v>45994</v>
      </c>
      <c r="B295" s="4" t="inlineStr">
        <is>
          <t>SO202510082</t>
        </is>
      </c>
      <c r="C295" s="4" t="inlineStr">
        <is>
          <t>苏州百味电商平台</t>
        </is>
      </c>
      <c r="D295" s="4" t="inlineStr">
        <is>
          <t>肉禽蛋奶</t>
        </is>
      </c>
      <c r="E295" s="4" t="inlineStr">
        <is>
          <t>A级</t>
        </is>
      </c>
      <c r="F295" s="18" t="n">
        <v>1410</v>
      </c>
      <c r="G295" s="15" t="n">
        <v>58.71</v>
      </c>
      <c r="H295" s="15" t="n">
        <v>82781.10000000001</v>
      </c>
      <c r="I295" s="4" t="inlineStr">
        <is>
          <t>线上渠道</t>
        </is>
      </c>
      <c r="J295" s="4" t="inlineStr">
        <is>
          <t>罗艳秀</t>
        </is>
      </c>
    </row>
    <row r="296">
      <c r="A296" s="14" t="n">
        <v>45995</v>
      </c>
      <c r="B296" s="4" t="inlineStr">
        <is>
          <t>SO202510079</t>
        </is>
      </c>
      <c r="C296" s="4" t="inlineStr">
        <is>
          <t>南昌京功商贸有限公司</t>
        </is>
      </c>
      <c r="D296" s="4" t="inlineStr">
        <is>
          <t>日用百货</t>
        </is>
      </c>
      <c r="E296" s="4" t="inlineStr">
        <is>
          <t>标准</t>
        </is>
      </c>
      <c r="F296" s="18" t="n">
        <v>3150</v>
      </c>
      <c r="G296" s="15" t="n">
        <v>49.07</v>
      </c>
      <c r="H296" s="15" t="n">
        <v>154570.5</v>
      </c>
      <c r="I296" s="4" t="inlineStr">
        <is>
          <t>线上渠道</t>
        </is>
      </c>
      <c r="J296" s="4" t="inlineStr">
        <is>
          <t>胡静英</t>
        </is>
      </c>
    </row>
    <row r="297">
      <c r="A297" s="14" t="n">
        <v>45995</v>
      </c>
      <c r="B297" s="4" t="inlineStr">
        <is>
          <t>SO202510084</t>
        </is>
      </c>
      <c r="C297" s="4" t="inlineStr">
        <is>
          <t>合肥食佳酒店管理集团</t>
        </is>
      </c>
      <c r="D297" s="4" t="inlineStr">
        <is>
          <t>酒水饮料</t>
        </is>
      </c>
      <c r="E297" s="4" t="inlineStr">
        <is>
          <t>精装</t>
        </is>
      </c>
      <c r="F297" s="18" t="n">
        <v>700</v>
      </c>
      <c r="G297" s="15" t="n">
        <v>35.55</v>
      </c>
      <c r="H297" s="15" t="n">
        <v>24885</v>
      </c>
      <c r="I297" s="4" t="inlineStr">
        <is>
          <t>浙江加盟</t>
        </is>
      </c>
      <c r="J297" s="4" t="inlineStr">
        <is>
          <t>何兰芳</t>
        </is>
      </c>
    </row>
    <row r="298">
      <c r="A298" s="14" t="n">
        <v>45996</v>
      </c>
      <c r="B298" s="4" t="inlineStr">
        <is>
          <t>SO202510080</t>
        </is>
      </c>
      <c r="C298" s="4" t="inlineStr">
        <is>
          <t>镇江大匠商贸有限公司</t>
        </is>
      </c>
      <c r="D298" s="4" t="inlineStr">
        <is>
          <t>粮油调味</t>
        </is>
      </c>
      <c r="E298" s="4" t="inlineStr">
        <is>
          <t>简装</t>
        </is>
      </c>
      <c r="F298" s="18" t="n">
        <v>2600</v>
      </c>
      <c r="G298" s="15" t="n">
        <v>50.79</v>
      </c>
      <c r="H298" s="15" t="n">
        <v>132054</v>
      </c>
      <c r="I298" s="4" t="inlineStr">
        <is>
          <t>浙江加盟</t>
        </is>
      </c>
      <c r="J298" s="4" t="inlineStr">
        <is>
          <t>何勇英</t>
        </is>
      </c>
    </row>
    <row r="299">
      <c r="A299" s="14" t="n">
        <v>45996</v>
      </c>
      <c r="B299" s="4" t="inlineStr">
        <is>
          <t>SO202510104</t>
        </is>
      </c>
      <c r="C299" s="4" t="inlineStr">
        <is>
          <t>合肥百味商贸有限公司</t>
        </is>
      </c>
      <c r="D299" s="4" t="inlineStr">
        <is>
          <t>生鲜蔬果</t>
        </is>
      </c>
      <c r="E299" s="4" t="inlineStr">
        <is>
          <t>C级</t>
        </is>
      </c>
      <c r="F299" s="18" t="n">
        <v>3660</v>
      </c>
      <c r="G299" s="15" t="n">
        <v>73.65000000000001</v>
      </c>
      <c r="H299" s="15" t="n">
        <v>269559</v>
      </c>
      <c r="I299" s="4" t="inlineStr">
        <is>
          <t>线上渠道</t>
        </is>
      </c>
      <c r="J299" s="4" t="inlineStr">
        <is>
          <t>刘秀秀</t>
        </is>
      </c>
    </row>
    <row r="300">
      <c r="A300" s="14" t="n">
        <v>45997</v>
      </c>
      <c r="B300" s="4" t="inlineStr">
        <is>
          <t>SO202510126</t>
        </is>
      </c>
      <c r="C300" s="4" t="inlineStr">
        <is>
          <t>温州优鲜食品有限公司</t>
        </is>
      </c>
      <c r="D300" s="4" t="inlineStr">
        <is>
          <t>肉禽蛋奶</t>
        </is>
      </c>
      <c r="E300" s="4" t="inlineStr">
        <is>
          <t>500g</t>
        </is>
      </c>
      <c r="F300" s="18" t="n">
        <v>3390</v>
      </c>
      <c r="G300" s="15" t="n">
        <v>79.84</v>
      </c>
      <c r="H300" s="15" t="n">
        <v>270657.6</v>
      </c>
      <c r="I300" s="4" t="inlineStr">
        <is>
          <t>线上渠道</t>
        </is>
      </c>
      <c r="J300" s="4" t="inlineStr">
        <is>
          <t>郭超芳</t>
        </is>
      </c>
    </row>
    <row r="301">
      <c r="A301" s="14" t="n">
        <v>45997</v>
      </c>
      <c r="B301" s="4" t="inlineStr">
        <is>
          <t>SO202510233</t>
        </is>
      </c>
      <c r="C301" s="4" t="inlineStr">
        <is>
          <t>上海百味供应链有限公司</t>
        </is>
      </c>
      <c r="D301" s="4" t="inlineStr">
        <is>
          <t>粮油调味</t>
        </is>
      </c>
      <c r="E301" s="4" t="inlineStr">
        <is>
          <t>5kg</t>
        </is>
      </c>
      <c r="F301" s="18" t="n">
        <v>2790</v>
      </c>
      <c r="G301" s="15" t="n">
        <v>61.22</v>
      </c>
      <c r="H301" s="15" t="n">
        <v>170803.8</v>
      </c>
      <c r="I301" s="4" t="inlineStr">
        <is>
          <t>线上渠道</t>
        </is>
      </c>
      <c r="J301" s="4" t="inlineStr">
        <is>
          <t>胡伟伟</t>
        </is>
      </c>
    </row>
    <row r="302">
      <c r="A302" s="14" t="n">
        <v>45997</v>
      </c>
      <c r="B302" s="4" t="inlineStr">
        <is>
          <t>SO202510303</t>
        </is>
      </c>
      <c r="C302" s="4" t="inlineStr">
        <is>
          <t>嘉兴优鲜餐饮管理有限公司</t>
        </is>
      </c>
      <c r="D302" s="4" t="inlineStr">
        <is>
          <t>肉禽蛋奶</t>
        </is>
      </c>
      <c r="E302" s="4" t="inlineStr">
        <is>
          <t>A级</t>
        </is>
      </c>
      <c r="F302" s="18" t="n">
        <v>2550</v>
      </c>
      <c r="G302" s="15" t="n">
        <v>100</v>
      </c>
      <c r="H302" s="15" t="n">
        <v>255000</v>
      </c>
      <c r="I302" s="4" t="inlineStr">
        <is>
          <t>上海直营</t>
        </is>
      </c>
      <c r="J302" s="4" t="inlineStr">
        <is>
          <t>何涛秀</t>
        </is>
      </c>
    </row>
    <row r="303">
      <c r="A303" s="14" t="n">
        <v>46000</v>
      </c>
      <c r="B303" s="4" t="inlineStr">
        <is>
          <t>SO202510006</t>
        </is>
      </c>
      <c r="C303" s="4" t="inlineStr">
        <is>
          <t>苏州优鲜酒店管理集团</t>
        </is>
      </c>
      <c r="D303" s="4" t="inlineStr">
        <is>
          <t>日用百货</t>
        </is>
      </c>
      <c r="E303" s="4" t="inlineStr">
        <is>
          <t>B级</t>
        </is>
      </c>
      <c r="F303" s="18" t="n">
        <v>4990</v>
      </c>
      <c r="G303" s="15" t="n">
        <v>8.220000000000001</v>
      </c>
      <c r="H303" s="15" t="n">
        <v>41017.8</v>
      </c>
      <c r="I303" s="4" t="inlineStr">
        <is>
          <t>上海直营</t>
        </is>
      </c>
      <c r="J303" s="4" t="inlineStr">
        <is>
          <t>陈娟芳</t>
        </is>
      </c>
    </row>
    <row r="304">
      <c r="A304" s="14" t="n">
        <v>46001</v>
      </c>
      <c r="B304" s="4" t="inlineStr">
        <is>
          <t>SO202510011</t>
        </is>
      </c>
      <c r="C304" s="4" t="inlineStr">
        <is>
          <t>合肥京功超市</t>
        </is>
      </c>
      <c r="D304" s="4" t="inlineStr">
        <is>
          <t>酒水饮料</t>
        </is>
      </c>
      <c r="E304" s="4" t="inlineStr">
        <is>
          <t>2.5kg</t>
        </is>
      </c>
      <c r="F304" s="18" t="n">
        <v>3740</v>
      </c>
      <c r="G304" s="15" t="n">
        <v>78.48999999999999</v>
      </c>
      <c r="H304" s="15" t="n">
        <v>293552.6</v>
      </c>
      <c r="I304" s="4" t="inlineStr">
        <is>
          <t>上海直营</t>
        </is>
      </c>
      <c r="J304" s="4" t="inlineStr">
        <is>
          <t>王静芳</t>
        </is>
      </c>
    </row>
    <row r="305">
      <c r="A305" s="14" t="n">
        <v>46001</v>
      </c>
      <c r="B305" s="4" t="inlineStr">
        <is>
          <t>SO202510190</t>
        </is>
      </c>
      <c r="C305" s="4" t="inlineStr">
        <is>
          <t>上海百味商贸有限公司</t>
        </is>
      </c>
      <c r="D305" s="4" t="inlineStr">
        <is>
          <t>粮油调味</t>
        </is>
      </c>
      <c r="E305" s="4" t="inlineStr">
        <is>
          <t>5kg</t>
        </is>
      </c>
      <c r="F305" s="18" t="n">
        <v>4260</v>
      </c>
      <c r="G305" s="15" t="n">
        <v>76.61</v>
      </c>
      <c r="H305" s="15" t="n">
        <v>326358.6</v>
      </c>
      <c r="I305" s="4" t="inlineStr">
        <is>
          <t>江苏加盟</t>
        </is>
      </c>
      <c r="J305" s="4" t="inlineStr">
        <is>
          <t>罗强敏</t>
        </is>
      </c>
    </row>
    <row r="306">
      <c r="A306" s="14" t="n">
        <v>46002</v>
      </c>
      <c r="B306" s="4" t="inlineStr">
        <is>
          <t>SO202510060</t>
        </is>
      </c>
      <c r="C306" s="4" t="inlineStr">
        <is>
          <t>常州优鲜商贸有限公司</t>
        </is>
      </c>
      <c r="D306" s="4" t="inlineStr">
        <is>
          <t>酒水饮料</t>
        </is>
      </c>
      <c r="E306" s="4" t="inlineStr">
        <is>
          <t>1kg</t>
        </is>
      </c>
      <c r="F306" s="18" t="n">
        <v>4900</v>
      </c>
      <c r="G306" s="15" t="n">
        <v>66.63</v>
      </c>
      <c r="H306" s="15" t="n">
        <v>326487</v>
      </c>
      <c r="I306" s="4" t="inlineStr">
        <is>
          <t>江苏加盟</t>
        </is>
      </c>
      <c r="J306" s="4" t="inlineStr">
        <is>
          <t>林杰英</t>
        </is>
      </c>
    </row>
    <row r="307">
      <c r="A307" s="14" t="n">
        <v>46004</v>
      </c>
      <c r="B307" s="4" t="inlineStr">
        <is>
          <t>SO202510145</t>
        </is>
      </c>
      <c r="C307" s="4" t="inlineStr">
        <is>
          <t>宁波优鲜商贸有限公司</t>
        </is>
      </c>
      <c r="D307" s="4" t="inlineStr">
        <is>
          <t>生鲜蔬果</t>
        </is>
      </c>
      <c r="E307" s="4" t="inlineStr">
        <is>
          <t>2.5kg</t>
        </is>
      </c>
      <c r="F307" s="18" t="n">
        <v>4800</v>
      </c>
      <c r="G307" s="15" t="n">
        <v>80.53</v>
      </c>
      <c r="H307" s="15" t="n">
        <v>386544</v>
      </c>
      <c r="I307" s="4" t="inlineStr">
        <is>
          <t>浙江加盟</t>
        </is>
      </c>
      <c r="J307" s="4" t="inlineStr">
        <is>
          <t>高明芳</t>
        </is>
      </c>
    </row>
    <row r="308">
      <c r="A308" s="14" t="n">
        <v>46004</v>
      </c>
      <c r="B308" s="4" t="inlineStr">
        <is>
          <t>SO202510280</t>
        </is>
      </c>
      <c r="C308" s="4" t="inlineStr">
        <is>
          <t>温州优鲜电商平台</t>
        </is>
      </c>
      <c r="D308" s="4" t="inlineStr">
        <is>
          <t>休闲零食</t>
        </is>
      </c>
      <c r="E308" s="4" t="inlineStr">
        <is>
          <t>B级</t>
        </is>
      </c>
      <c r="F308" s="18" t="n">
        <v>4970</v>
      </c>
      <c r="G308" s="15" t="n">
        <v>26.56</v>
      </c>
      <c r="H308" s="15" t="n">
        <v>132003.2</v>
      </c>
      <c r="I308" s="4" t="inlineStr">
        <is>
          <t>浙江加盟</t>
        </is>
      </c>
      <c r="J308" s="4" t="inlineStr">
        <is>
          <t>黄涛秀</t>
        </is>
      </c>
    </row>
    <row r="309">
      <c r="A309" s="14" t="n">
        <v>46005</v>
      </c>
      <c r="B309" s="4" t="inlineStr">
        <is>
          <t>SO202510030</t>
        </is>
      </c>
      <c r="C309" s="4" t="inlineStr">
        <is>
          <t>南京食佳酒店管理集团</t>
        </is>
      </c>
      <c r="D309" s="4" t="inlineStr">
        <is>
          <t>生鲜蔬果</t>
        </is>
      </c>
      <c r="E309" s="4" t="inlineStr">
        <is>
          <t>B级</t>
        </is>
      </c>
      <c r="F309" s="18" t="n">
        <v>4680</v>
      </c>
      <c r="G309" s="15" t="n">
        <v>93.48999999999999</v>
      </c>
      <c r="H309" s="15" t="n">
        <v>437533.2</v>
      </c>
      <c r="I309" s="4" t="inlineStr">
        <is>
          <t>浙江加盟</t>
        </is>
      </c>
      <c r="J309" s="4" t="inlineStr">
        <is>
          <t>王秀伟</t>
        </is>
      </c>
    </row>
    <row r="310">
      <c r="A310" s="14" t="n">
        <v>46005</v>
      </c>
      <c r="B310" s="4" t="inlineStr">
        <is>
          <t>SO202510144</t>
        </is>
      </c>
      <c r="C310" s="4" t="inlineStr">
        <is>
          <t>上海淼沃超市</t>
        </is>
      </c>
      <c r="D310" s="4" t="inlineStr">
        <is>
          <t>肉禽蛋奶</t>
        </is>
      </c>
      <c r="E310" s="4" t="inlineStr">
        <is>
          <t>精装</t>
        </is>
      </c>
      <c r="F310" s="18" t="n">
        <v>1980</v>
      </c>
      <c r="G310" s="15" t="n">
        <v>64.92</v>
      </c>
      <c r="H310" s="15" t="n">
        <v>128541.6</v>
      </c>
      <c r="I310" s="4" t="inlineStr">
        <is>
          <t>上海直营</t>
        </is>
      </c>
      <c r="J310" s="4" t="inlineStr">
        <is>
          <t>黄磊秀</t>
        </is>
      </c>
    </row>
    <row r="311">
      <c r="A311" s="14" t="n">
        <v>46005</v>
      </c>
      <c r="B311" s="4" t="inlineStr">
        <is>
          <t>SO202510288</t>
        </is>
      </c>
      <c r="C311" s="4" t="inlineStr">
        <is>
          <t>常州淼沃超市</t>
        </is>
      </c>
      <c r="D311" s="4" t="inlineStr">
        <is>
          <t>肉禽蛋奶</t>
        </is>
      </c>
      <c r="E311" s="4" t="inlineStr">
        <is>
          <t>B级</t>
        </is>
      </c>
      <c r="F311" s="18" t="n">
        <v>4150</v>
      </c>
      <c r="G311" s="15" t="n">
        <v>49.98</v>
      </c>
      <c r="H311" s="15" t="n">
        <v>207417</v>
      </c>
      <c r="I311" s="4" t="inlineStr">
        <is>
          <t>浙江加盟</t>
        </is>
      </c>
      <c r="J311" s="4" t="inlineStr">
        <is>
          <t>高洋敏</t>
        </is>
      </c>
    </row>
    <row r="312">
      <c r="A312" s="14" t="n">
        <v>46007</v>
      </c>
      <c r="B312" s="4" t="inlineStr">
        <is>
          <t>SO202510010</t>
        </is>
      </c>
      <c r="C312" s="4" t="inlineStr">
        <is>
          <t>上海食佳商贸有限公司</t>
        </is>
      </c>
      <c r="D312" s="4" t="inlineStr">
        <is>
          <t>酒水饮料</t>
        </is>
      </c>
      <c r="E312" s="4" t="inlineStr">
        <is>
          <t>简装</t>
        </is>
      </c>
      <c r="F312" s="18" t="n">
        <v>4090</v>
      </c>
      <c r="G312" s="15" t="n">
        <v>93.59</v>
      </c>
      <c r="H312" s="15" t="n">
        <v>382783.1</v>
      </c>
      <c r="I312" s="4" t="inlineStr">
        <is>
          <t>江苏加盟</t>
        </is>
      </c>
      <c r="J312" s="4" t="inlineStr">
        <is>
          <t>张敏芳</t>
        </is>
      </c>
    </row>
    <row r="313">
      <c r="A313" s="14" t="n">
        <v>46008</v>
      </c>
      <c r="B313" s="4" t="inlineStr">
        <is>
          <t>SO202510198</t>
        </is>
      </c>
      <c r="C313" s="4" t="inlineStr">
        <is>
          <t>苏州优鲜供应链有限公司</t>
        </is>
      </c>
      <c r="D313" s="4" t="inlineStr">
        <is>
          <t>粮油调味</t>
        </is>
      </c>
      <c r="E313" s="4" t="inlineStr">
        <is>
          <t>2.5kg</t>
        </is>
      </c>
      <c r="F313" s="18" t="n">
        <v>4100</v>
      </c>
      <c r="G313" s="15" t="n">
        <v>70.06999999999999</v>
      </c>
      <c r="H313" s="15" t="n">
        <v>287287</v>
      </c>
      <c r="I313" s="4" t="inlineStr">
        <is>
          <t>浙江加盟</t>
        </is>
      </c>
      <c r="J313" s="4" t="inlineStr">
        <is>
          <t>朱杰英</t>
        </is>
      </c>
    </row>
    <row r="314">
      <c r="A314" s="14" t="n">
        <v>46009</v>
      </c>
      <c r="B314" s="4" t="inlineStr">
        <is>
          <t>SO202510087</t>
        </is>
      </c>
      <c r="C314" s="4" t="inlineStr">
        <is>
          <t>常州优鲜商贸有限公司</t>
        </is>
      </c>
      <c r="D314" s="4" t="inlineStr">
        <is>
          <t>酒水饮料</t>
        </is>
      </c>
      <c r="E314" s="4" t="inlineStr">
        <is>
          <t>5kg</t>
        </is>
      </c>
      <c r="F314" s="18" t="n">
        <v>2040</v>
      </c>
      <c r="G314" s="15" t="n">
        <v>95.48999999999999</v>
      </c>
      <c r="H314" s="15" t="n">
        <v>194799.6</v>
      </c>
      <c r="I314" s="4" t="inlineStr">
        <is>
          <t>上海直营</t>
        </is>
      </c>
      <c r="J314" s="4" t="inlineStr">
        <is>
          <t>徐英英</t>
        </is>
      </c>
    </row>
    <row r="315">
      <c r="A315" s="14" t="n">
        <v>46009</v>
      </c>
      <c r="B315" s="4" t="inlineStr">
        <is>
          <t>SO202510140</t>
        </is>
      </c>
      <c r="C315" s="4" t="inlineStr">
        <is>
          <t>无锡优鲜供应链有限公司</t>
        </is>
      </c>
      <c r="D315" s="4" t="inlineStr">
        <is>
          <t>休闲零食</t>
        </is>
      </c>
      <c r="E315" s="4" t="inlineStr">
        <is>
          <t>简装</t>
        </is>
      </c>
      <c r="F315" s="18" t="n">
        <v>3470</v>
      </c>
      <c r="G315" s="15" t="n">
        <v>36.89</v>
      </c>
      <c r="H315" s="15" t="n">
        <v>128008.3</v>
      </c>
      <c r="I315" s="4" t="inlineStr">
        <is>
          <t>上海直营</t>
        </is>
      </c>
      <c r="J315" s="4" t="inlineStr">
        <is>
          <t>何兰英</t>
        </is>
      </c>
    </row>
    <row r="316">
      <c r="A316" s="14" t="n">
        <v>46009</v>
      </c>
      <c r="B316" s="4" t="inlineStr">
        <is>
          <t>SO202510259</t>
        </is>
      </c>
      <c r="C316" s="4" t="inlineStr">
        <is>
          <t>温州百味电商平台</t>
        </is>
      </c>
      <c r="D316" s="4" t="inlineStr">
        <is>
          <t>休闲零食</t>
        </is>
      </c>
      <c r="E316" s="4" t="inlineStr">
        <is>
          <t>A级</t>
        </is>
      </c>
      <c r="F316" s="18" t="n">
        <v>480</v>
      </c>
      <c r="G316" s="15" t="n">
        <v>62.79</v>
      </c>
      <c r="H316" s="15" t="n">
        <v>30139.2</v>
      </c>
      <c r="I316" s="4" t="inlineStr">
        <is>
          <t>上海直营</t>
        </is>
      </c>
      <c r="J316" s="4" t="inlineStr">
        <is>
          <t>吴芳娜</t>
        </is>
      </c>
    </row>
    <row r="317">
      <c r="A317" s="14" t="n">
        <v>46009</v>
      </c>
      <c r="B317" s="4" t="inlineStr">
        <is>
          <t>SO202510318</t>
        </is>
      </c>
      <c r="C317" s="4" t="inlineStr">
        <is>
          <t>常州京功供应链有限公司</t>
        </is>
      </c>
      <c r="D317" s="4" t="inlineStr">
        <is>
          <t>肉禽蛋奶</t>
        </is>
      </c>
      <c r="E317" s="4" t="inlineStr">
        <is>
          <t>简装</t>
        </is>
      </c>
      <c r="F317" s="18" t="n">
        <v>2470</v>
      </c>
      <c r="G317" s="15" t="n">
        <v>76.61</v>
      </c>
      <c r="H317" s="15" t="n">
        <v>189226.7</v>
      </c>
      <c r="I317" s="4" t="inlineStr">
        <is>
          <t>线上渠道</t>
        </is>
      </c>
      <c r="J317" s="4" t="inlineStr">
        <is>
          <t>王勇芳</t>
        </is>
      </c>
    </row>
    <row r="318">
      <c r="A318" s="14" t="n">
        <v>46010</v>
      </c>
      <c r="B318" s="4" t="inlineStr">
        <is>
          <t>SO202510208</t>
        </is>
      </c>
      <c r="C318" s="4" t="inlineStr">
        <is>
          <t>南京优鲜酒店管理集团</t>
        </is>
      </c>
      <c r="D318" s="4" t="inlineStr">
        <is>
          <t>日用百货</t>
        </is>
      </c>
      <c r="E318" s="4" t="inlineStr">
        <is>
          <t>10kg</t>
        </is>
      </c>
      <c r="F318" s="18" t="n">
        <v>1100</v>
      </c>
      <c r="G318" s="15" t="n">
        <v>43.06</v>
      </c>
      <c r="H318" s="15" t="n">
        <v>47366</v>
      </c>
      <c r="I318" s="4" t="inlineStr">
        <is>
          <t>线上渠道</t>
        </is>
      </c>
      <c r="J318" s="4" t="inlineStr">
        <is>
          <t>罗杰芳</t>
        </is>
      </c>
    </row>
    <row r="319">
      <c r="A319" s="14" t="n">
        <v>46011</v>
      </c>
      <c r="B319" s="4" t="inlineStr">
        <is>
          <t>SO202510090</t>
        </is>
      </c>
      <c r="C319" s="4" t="inlineStr">
        <is>
          <t>苏州大匠电商平台</t>
        </is>
      </c>
      <c r="D319" s="4" t="inlineStr">
        <is>
          <t>日用百货</t>
        </is>
      </c>
      <c r="E319" s="4" t="inlineStr">
        <is>
          <t>10kg</t>
        </is>
      </c>
      <c r="F319" s="18" t="n">
        <v>2640</v>
      </c>
      <c r="G319" s="15" t="n">
        <v>10.49</v>
      </c>
      <c r="H319" s="15" t="n">
        <v>27693.6</v>
      </c>
      <c r="I319" s="4" t="inlineStr">
        <is>
          <t>江苏加盟</t>
        </is>
      </c>
      <c r="J319" s="4" t="inlineStr">
        <is>
          <t>张芳敏</t>
        </is>
      </c>
    </row>
    <row r="320">
      <c r="A320" s="14" t="n">
        <v>46011</v>
      </c>
      <c r="B320" s="4" t="inlineStr">
        <is>
          <t>SO202510167</t>
        </is>
      </c>
      <c r="C320" s="4" t="inlineStr">
        <is>
          <t>嘉兴大匠供应链有限公司</t>
        </is>
      </c>
      <c r="D320" s="4" t="inlineStr">
        <is>
          <t>肉禽蛋奶</t>
        </is>
      </c>
      <c r="E320" s="4" t="inlineStr">
        <is>
          <t>特级</t>
        </is>
      </c>
      <c r="F320" s="18" t="n">
        <v>2960</v>
      </c>
      <c r="G320" s="15" t="n">
        <v>92.19</v>
      </c>
      <c r="H320" s="15" t="n">
        <v>272882.4</v>
      </c>
      <c r="I320" s="4" t="inlineStr">
        <is>
          <t>上海直营</t>
        </is>
      </c>
      <c r="J320" s="4" t="inlineStr">
        <is>
          <t>赵伟娜</t>
        </is>
      </c>
    </row>
    <row r="321">
      <c r="A321" s="14" t="n">
        <v>46011</v>
      </c>
      <c r="B321" s="4" t="inlineStr">
        <is>
          <t>SO202510286</t>
        </is>
      </c>
      <c r="C321" s="4" t="inlineStr">
        <is>
          <t>上海食佳食品有限公司</t>
        </is>
      </c>
      <c r="D321" s="4" t="inlineStr">
        <is>
          <t>休闲零食</t>
        </is>
      </c>
      <c r="E321" s="4" t="inlineStr">
        <is>
          <t>简装</t>
        </is>
      </c>
      <c r="F321" s="18" t="n">
        <v>440</v>
      </c>
      <c r="G321" s="15" t="n">
        <v>42.12</v>
      </c>
      <c r="H321" s="15" t="n">
        <v>18532.8</v>
      </c>
      <c r="I321" s="4" t="inlineStr">
        <is>
          <t>浙江加盟</t>
        </is>
      </c>
      <c r="J321" s="4" t="inlineStr">
        <is>
          <t>赵娜芳</t>
        </is>
      </c>
    </row>
    <row r="322">
      <c r="A322" s="14" t="n">
        <v>46013</v>
      </c>
      <c r="B322" s="4" t="inlineStr">
        <is>
          <t>SO202510171</t>
        </is>
      </c>
      <c r="C322" s="4" t="inlineStr">
        <is>
          <t>镇江京功食品有限公司</t>
        </is>
      </c>
      <c r="D322" s="4" t="inlineStr">
        <is>
          <t>休闲零食</t>
        </is>
      </c>
      <c r="E322" s="4" t="inlineStr">
        <is>
          <t>1kg</t>
        </is>
      </c>
      <c r="F322" s="18" t="n">
        <v>4260</v>
      </c>
      <c r="G322" s="15" t="n">
        <v>70.14</v>
      </c>
      <c r="H322" s="15" t="n">
        <v>298796.4</v>
      </c>
      <c r="I322" s="4" t="inlineStr">
        <is>
          <t>上海直营</t>
        </is>
      </c>
      <c r="J322" s="4" t="inlineStr">
        <is>
          <t>刘杰英</t>
        </is>
      </c>
    </row>
    <row r="323">
      <c r="A323" s="14" t="n">
        <v>46014</v>
      </c>
      <c r="B323" s="4" t="inlineStr">
        <is>
          <t>SO202510200</t>
        </is>
      </c>
      <c r="C323" s="4" t="inlineStr">
        <is>
          <t>温州京功食品有限公司</t>
        </is>
      </c>
      <c r="D323" s="4" t="inlineStr">
        <is>
          <t>肉禽蛋奶</t>
        </is>
      </c>
      <c r="E323" s="4" t="inlineStr">
        <is>
          <t>简装</t>
        </is>
      </c>
      <c r="F323" s="18" t="n">
        <v>3340</v>
      </c>
      <c r="G323" s="15" t="n">
        <v>29.31</v>
      </c>
      <c r="H323" s="15" t="n">
        <v>97895.39999999999</v>
      </c>
      <c r="I323" s="4" t="inlineStr">
        <is>
          <t>浙江加盟</t>
        </is>
      </c>
      <c r="J323" s="4" t="inlineStr">
        <is>
          <t>陈英敏</t>
        </is>
      </c>
    </row>
    <row r="324">
      <c r="A324" s="14" t="n">
        <v>46014</v>
      </c>
      <c r="B324" s="4" t="inlineStr">
        <is>
          <t>SO202510254</t>
        </is>
      </c>
      <c r="C324" s="4" t="inlineStr">
        <is>
          <t>杭州京功食品有限公司</t>
        </is>
      </c>
      <c r="D324" s="4" t="inlineStr">
        <is>
          <t>肉禽蛋奶</t>
        </is>
      </c>
      <c r="E324" s="4" t="inlineStr">
        <is>
          <t>1kg</t>
        </is>
      </c>
      <c r="F324" s="18" t="n">
        <v>2580</v>
      </c>
      <c r="G324" s="15" t="n">
        <v>10.65</v>
      </c>
      <c r="H324" s="15" t="n">
        <v>27477</v>
      </c>
      <c r="I324" s="4" t="inlineStr">
        <is>
          <t>上海直营</t>
        </is>
      </c>
      <c r="J324" s="4" t="inlineStr">
        <is>
          <t>吴秀娜</t>
        </is>
      </c>
    </row>
    <row r="325">
      <c r="A325" s="14" t="n">
        <v>46015</v>
      </c>
      <c r="B325" s="4" t="inlineStr">
        <is>
          <t>SO202510279</t>
        </is>
      </c>
      <c r="C325" s="4" t="inlineStr">
        <is>
          <t>上海淼沃酒店管理集团</t>
        </is>
      </c>
      <c r="D325" s="4" t="inlineStr">
        <is>
          <t>生鲜蔬果</t>
        </is>
      </c>
      <c r="E325" s="4" t="inlineStr">
        <is>
          <t>标准</t>
        </is>
      </c>
      <c r="F325" s="18" t="n">
        <v>4010</v>
      </c>
      <c r="G325" s="15" t="n">
        <v>34.95</v>
      </c>
      <c r="H325" s="15" t="n">
        <v>140149.5</v>
      </c>
      <c r="I325" s="4" t="inlineStr">
        <is>
          <t>江苏加盟</t>
        </is>
      </c>
      <c r="J325" s="4" t="inlineStr">
        <is>
          <t>周艳娜</t>
        </is>
      </c>
    </row>
    <row r="326">
      <c r="A326" s="14" t="n">
        <v>46016</v>
      </c>
      <c r="B326" s="4" t="inlineStr">
        <is>
          <t>SO202510131</t>
        </is>
      </c>
      <c r="C326" s="4" t="inlineStr">
        <is>
          <t>温州京功餐饮管理有限公司</t>
        </is>
      </c>
      <c r="D326" s="4" t="inlineStr">
        <is>
          <t>休闲零食</t>
        </is>
      </c>
      <c r="E326" s="4" t="inlineStr">
        <is>
          <t>2.5kg</t>
        </is>
      </c>
      <c r="F326" s="18" t="n">
        <v>2420</v>
      </c>
      <c r="G326" s="15" t="n">
        <v>13.98</v>
      </c>
      <c r="H326" s="15" t="n">
        <v>33831.6</v>
      </c>
      <c r="I326" s="4" t="inlineStr">
        <is>
          <t>江苏加盟</t>
        </is>
      </c>
      <c r="J326" s="4" t="inlineStr">
        <is>
          <t>吴英芳</t>
        </is>
      </c>
    </row>
    <row r="327">
      <c r="A327" s="14" t="n">
        <v>46016</v>
      </c>
      <c r="B327" s="4" t="inlineStr">
        <is>
          <t>SO202510290</t>
        </is>
      </c>
      <c r="C327" s="4" t="inlineStr">
        <is>
          <t>镇江百味超市</t>
        </is>
      </c>
      <c r="D327" s="4" t="inlineStr">
        <is>
          <t>日用百货</t>
        </is>
      </c>
      <c r="E327" s="4" t="inlineStr">
        <is>
          <t>C级</t>
        </is>
      </c>
      <c r="F327" s="18" t="n">
        <v>2440</v>
      </c>
      <c r="G327" s="15" t="n">
        <v>84.65000000000001</v>
      </c>
      <c r="H327" s="15" t="n">
        <v>206546</v>
      </c>
      <c r="I327" s="4" t="inlineStr">
        <is>
          <t>上海直营</t>
        </is>
      </c>
      <c r="J327" s="4" t="inlineStr">
        <is>
          <t>陈涛娜</t>
        </is>
      </c>
    </row>
    <row r="328">
      <c r="A328" s="14" t="n">
        <v>46017</v>
      </c>
      <c r="B328" s="4" t="inlineStr">
        <is>
          <t>SO202510133</t>
        </is>
      </c>
      <c r="C328" s="4" t="inlineStr">
        <is>
          <t>上海百味餐饮管理有限公司</t>
        </is>
      </c>
      <c r="D328" s="4" t="inlineStr">
        <is>
          <t>粮油调味</t>
        </is>
      </c>
      <c r="E328" s="4" t="inlineStr">
        <is>
          <t>B级</t>
        </is>
      </c>
      <c r="F328" s="18" t="n">
        <v>2890</v>
      </c>
      <c r="G328" s="15" t="n">
        <v>42.16</v>
      </c>
      <c r="H328" s="15" t="n">
        <v>121842.4</v>
      </c>
      <c r="I328" s="4" t="inlineStr">
        <is>
          <t>江苏加盟</t>
        </is>
      </c>
      <c r="J328" s="4" t="inlineStr">
        <is>
          <t>罗兰伟</t>
        </is>
      </c>
    </row>
    <row r="329">
      <c r="A329" s="14" t="n">
        <v>46019</v>
      </c>
      <c r="B329" s="4" t="inlineStr">
        <is>
          <t>SO202510128</t>
        </is>
      </c>
      <c r="C329" s="4" t="inlineStr">
        <is>
          <t>南京京功电商平台</t>
        </is>
      </c>
      <c r="D329" s="4" t="inlineStr">
        <is>
          <t>日用百货</t>
        </is>
      </c>
      <c r="E329" s="4" t="inlineStr">
        <is>
          <t>25kg</t>
        </is>
      </c>
      <c r="F329" s="18" t="n">
        <v>1020</v>
      </c>
      <c r="G329" s="15" t="n">
        <v>60.59</v>
      </c>
      <c r="H329" s="15" t="n">
        <v>61801.8</v>
      </c>
      <c r="I329" s="4" t="inlineStr">
        <is>
          <t>江苏加盟</t>
        </is>
      </c>
      <c r="J329" s="4" t="inlineStr">
        <is>
          <t>李秀娜</t>
        </is>
      </c>
    </row>
    <row r="330">
      <c r="A330" s="14" t="n">
        <v>46019</v>
      </c>
      <c r="B330" s="4" t="inlineStr">
        <is>
          <t>SO202510296</t>
        </is>
      </c>
      <c r="C330" s="4" t="inlineStr">
        <is>
          <t>嘉兴大匠电商平台</t>
        </is>
      </c>
      <c r="D330" s="4" t="inlineStr">
        <is>
          <t>粮油调味</t>
        </is>
      </c>
      <c r="E330" s="4" t="inlineStr">
        <is>
          <t>25kg</t>
        </is>
      </c>
      <c r="F330" s="18" t="n">
        <v>890</v>
      </c>
      <c r="G330" s="15" t="n">
        <v>63.49</v>
      </c>
      <c r="H330" s="15" t="n">
        <v>56506.1</v>
      </c>
      <c r="I330" s="4" t="inlineStr">
        <is>
          <t>江苏加盟</t>
        </is>
      </c>
      <c r="J330" s="4" t="inlineStr">
        <is>
          <t>徐勇芳</t>
        </is>
      </c>
    </row>
    <row r="331">
      <c r="A331" s="6" t="inlineStr">
        <is>
          <t>合计</t>
        </is>
      </c>
      <c r="F331" s="19" t="n">
        <v>847920</v>
      </c>
      <c r="H331" s="16" t="n">
        <v>42623171.6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上海鲜优生活连锁有限公司应收账款账龄分析表</t>
        </is>
      </c>
    </row>
    <row r="2">
      <c r="A2" t="inlineStr">
        <is>
          <t>截止日期：2025年12月31日</t>
        </is>
      </c>
      <c r="H2" t="inlineStr">
        <is>
          <t>单位：元</t>
        </is>
      </c>
    </row>
    <row r="3">
      <c r="A3" s="2" t="inlineStr">
        <is>
          <t>客户名称</t>
        </is>
      </c>
      <c r="B3" s="2" t="inlineStr">
        <is>
          <t>应收余额</t>
        </is>
      </c>
      <c r="C3" s="2" t="inlineStr">
        <is>
          <t>账龄分布</t>
        </is>
      </c>
      <c r="H3" s="2" t="inlineStr">
        <is>
          <t>信用额度</t>
        </is>
      </c>
    </row>
    <row r="4">
      <c r="A4" s="12" t="n"/>
      <c r="B4" s="12" t="n"/>
      <c r="C4" s="2" t="inlineStr">
        <is>
          <t>0-30天</t>
        </is>
      </c>
      <c r="D4" s="2" t="inlineStr">
        <is>
          <t>31-60天</t>
        </is>
      </c>
      <c r="E4" s="2" t="inlineStr">
        <is>
          <t>61-90天</t>
        </is>
      </c>
      <c r="F4" s="2" t="inlineStr">
        <is>
          <t>91-180天</t>
        </is>
      </c>
      <c r="G4" s="2" t="inlineStr">
        <is>
          <t>180天以上</t>
        </is>
      </c>
      <c r="H4" s="12" t="n"/>
    </row>
    <row r="5">
      <c r="A5" s="4" t="inlineStr">
        <is>
          <t>宁波百味食品有限公司</t>
        </is>
      </c>
      <c r="B5" s="15" t="n">
        <v>354169.39</v>
      </c>
      <c r="C5" s="15" t="n">
        <v>176252.27</v>
      </c>
      <c r="D5" s="15" t="n">
        <v>120435.72</v>
      </c>
      <c r="E5" s="15" t="n">
        <v>14583</v>
      </c>
      <c r="F5" s="15" t="n">
        <v>37606.14</v>
      </c>
      <c r="G5" s="15" t="n">
        <v>5292.26</v>
      </c>
      <c r="H5" s="15" t="n">
        <v>857306.12</v>
      </c>
    </row>
    <row r="6">
      <c r="A6" s="4" t="inlineStr">
        <is>
          <t>深圳永利电子商务有限公司</t>
        </is>
      </c>
      <c r="B6" s="15" t="n">
        <v>208482.57</v>
      </c>
      <c r="C6" s="15" t="n">
        <v>131601.1</v>
      </c>
      <c r="D6" s="15" t="n">
        <v>40847.66</v>
      </c>
      <c r="E6" s="15" t="n">
        <v>19566.23</v>
      </c>
      <c r="F6" s="15" t="n">
        <v>15561.71</v>
      </c>
      <c r="G6" s="15" t="n">
        <v>905.87</v>
      </c>
      <c r="H6" s="15" t="n">
        <v>417235.68</v>
      </c>
    </row>
    <row r="7">
      <c r="A7" s="4" t="inlineStr">
        <is>
          <t>昆明百味连锁超市</t>
        </is>
      </c>
      <c r="B7" s="15" t="n">
        <v>10062.96</v>
      </c>
      <c r="C7" s="15" t="n">
        <v>5055.58</v>
      </c>
      <c r="D7" s="15" t="n">
        <v>1992.38</v>
      </c>
      <c r="E7" s="15" t="n">
        <v>1752.53</v>
      </c>
      <c r="F7" s="15" t="n">
        <v>658.85</v>
      </c>
      <c r="G7" s="15" t="n">
        <v>603.62</v>
      </c>
      <c r="H7" s="15" t="n">
        <v>16045.35</v>
      </c>
    </row>
    <row r="8">
      <c r="A8" s="4" t="inlineStr">
        <is>
          <t>无锡汇通食品有限公司</t>
        </is>
      </c>
      <c r="B8" s="15" t="n">
        <v>970335.46</v>
      </c>
      <c r="C8" s="15" t="n">
        <v>341737</v>
      </c>
      <c r="D8" s="15" t="n">
        <v>255337.23</v>
      </c>
      <c r="E8" s="15" t="n">
        <v>214216.11</v>
      </c>
      <c r="F8" s="15" t="n">
        <v>122761.7</v>
      </c>
      <c r="G8" s="15" t="n">
        <v>36283.42</v>
      </c>
      <c r="H8" s="15" t="n">
        <v>1413109.42</v>
      </c>
    </row>
    <row r="9">
      <c r="A9" s="4" t="inlineStr">
        <is>
          <t>深圳优鲜商贸有限公司</t>
        </is>
      </c>
      <c r="B9" s="15" t="n">
        <v>756677.53</v>
      </c>
      <c r="C9" s="15" t="n">
        <v>424200.55</v>
      </c>
      <c r="D9" s="15" t="n">
        <v>165094.79</v>
      </c>
      <c r="E9" s="15" t="n">
        <v>70540.42</v>
      </c>
      <c r="F9" s="15" t="n">
        <v>64007.71</v>
      </c>
      <c r="G9" s="15" t="n">
        <v>32834.06</v>
      </c>
      <c r="H9" s="15" t="n">
        <v>1340187.18</v>
      </c>
    </row>
    <row r="10">
      <c r="A10" s="4" t="inlineStr">
        <is>
          <t>天津汇通进出口有限公司</t>
        </is>
      </c>
      <c r="B10" s="15" t="n">
        <v>615967.52</v>
      </c>
      <c r="C10" s="15" t="n">
        <v>392587.2</v>
      </c>
      <c r="D10" s="15" t="n">
        <v>117331.14</v>
      </c>
      <c r="E10" s="15" t="n">
        <v>61831.41</v>
      </c>
      <c r="F10" s="15" t="n">
        <v>41241.78</v>
      </c>
      <c r="G10" s="15" t="n">
        <v>2975.99</v>
      </c>
      <c r="H10" s="15" t="n">
        <v>1369995.44</v>
      </c>
    </row>
    <row r="11">
      <c r="A11" s="4" t="inlineStr">
        <is>
          <t>长沙汇通商贸有限公司</t>
        </is>
      </c>
      <c r="B11" s="15" t="n">
        <v>672540.8199999999</v>
      </c>
      <c r="C11" s="15" t="n">
        <v>350421.06</v>
      </c>
      <c r="D11" s="15" t="n">
        <v>145310.57</v>
      </c>
      <c r="E11" s="15" t="n">
        <v>107329.64</v>
      </c>
      <c r="F11" s="15" t="n">
        <v>25647.75</v>
      </c>
      <c r="G11" s="15" t="n">
        <v>43831.8</v>
      </c>
      <c r="H11" s="15" t="n">
        <v>1386030.52</v>
      </c>
    </row>
    <row r="12">
      <c r="A12" s="4" t="inlineStr">
        <is>
          <t>南京优鲜实业有限公司</t>
        </is>
      </c>
      <c r="B12" s="15" t="n">
        <v>663546.53</v>
      </c>
      <c r="C12" s="15" t="n">
        <v>418564.45</v>
      </c>
      <c r="D12" s="15" t="n">
        <v>180990.18</v>
      </c>
      <c r="E12" s="15" t="n">
        <v>1957.33</v>
      </c>
      <c r="F12" s="15" t="n">
        <v>35492.91</v>
      </c>
      <c r="G12" s="15" t="n">
        <v>26541.66</v>
      </c>
      <c r="H12" s="15" t="n">
        <v>909315.6800000001</v>
      </c>
    </row>
    <row r="13">
      <c r="A13" s="4" t="inlineStr">
        <is>
          <t>南京荣泰进出口有限公司</t>
        </is>
      </c>
      <c r="B13" s="15" t="n">
        <v>275540.66</v>
      </c>
      <c r="C13" s="15" t="n">
        <v>135763.2</v>
      </c>
      <c r="D13" s="15" t="n">
        <v>71438.45</v>
      </c>
      <c r="E13" s="15" t="n">
        <v>15743.37</v>
      </c>
      <c r="F13" s="15" t="n">
        <v>35962.53</v>
      </c>
      <c r="G13" s="15" t="n">
        <v>16633.11</v>
      </c>
      <c r="H13" s="15" t="n">
        <v>560173.95</v>
      </c>
    </row>
    <row r="14">
      <c r="A14" s="4" t="inlineStr">
        <is>
          <t>青岛荣泰食品有限公司</t>
        </is>
      </c>
      <c r="B14" s="15" t="n">
        <v>968687.64</v>
      </c>
      <c r="C14" s="15" t="n">
        <v>441131.15</v>
      </c>
      <c r="D14" s="15" t="n">
        <v>255825.95</v>
      </c>
      <c r="E14" s="15" t="n">
        <v>136599.32</v>
      </c>
      <c r="F14" s="15" t="n">
        <v>86425.3</v>
      </c>
      <c r="G14" s="15" t="n">
        <v>48705.92</v>
      </c>
      <c r="H14" s="15" t="n">
        <v>2341452.87</v>
      </c>
    </row>
    <row r="15">
      <c r="A15" s="4" t="inlineStr">
        <is>
          <t>济南永利连锁超市</t>
        </is>
      </c>
      <c r="B15" s="15" t="n">
        <v>328954</v>
      </c>
      <c r="C15" s="15" t="n">
        <v>174129.34</v>
      </c>
      <c r="D15" s="15" t="n">
        <v>85953.53</v>
      </c>
      <c r="E15" s="15" t="n">
        <v>41694.7</v>
      </c>
      <c r="F15" s="15" t="n">
        <v>18453.43</v>
      </c>
      <c r="G15" s="15" t="n">
        <v>8723</v>
      </c>
      <c r="H15" s="15" t="n">
        <v>816151.05</v>
      </c>
    </row>
    <row r="16">
      <c r="A16" s="4" t="inlineStr">
        <is>
          <t>成都永利进出口有限公司</t>
        </is>
      </c>
      <c r="B16" s="15" t="n">
        <v>555360.1800000001</v>
      </c>
      <c r="C16" s="15" t="n">
        <v>290602.76</v>
      </c>
      <c r="D16" s="15" t="n">
        <v>189360.72</v>
      </c>
      <c r="E16" s="15" t="n">
        <v>33778.75</v>
      </c>
      <c r="F16" s="15" t="n">
        <v>37578.41</v>
      </c>
      <c r="G16" s="15" t="n">
        <v>4039.54</v>
      </c>
      <c r="H16" s="15" t="n">
        <v>995759.54</v>
      </c>
    </row>
    <row r="17">
      <c r="A17" s="4" t="inlineStr">
        <is>
          <t>福州大匠供应链有限公司</t>
        </is>
      </c>
      <c r="B17" s="15" t="n">
        <v>754883.33</v>
      </c>
      <c r="C17" s="15" t="n">
        <v>361966.7</v>
      </c>
      <c r="D17" s="15" t="n">
        <v>258064.83</v>
      </c>
      <c r="E17" s="15" t="n">
        <v>35910.99</v>
      </c>
      <c r="F17" s="15" t="n">
        <v>80304.42</v>
      </c>
      <c r="G17" s="15" t="n">
        <v>18636.39</v>
      </c>
      <c r="H17" s="15" t="n">
        <v>1441332.91</v>
      </c>
    </row>
    <row r="18">
      <c r="A18" s="4" t="inlineStr">
        <is>
          <t>重庆荣泰连锁超市</t>
        </is>
      </c>
      <c r="B18" s="15" t="n">
        <v>406260.3</v>
      </c>
      <c r="C18" s="15" t="n">
        <v>273934.53</v>
      </c>
      <c r="D18" s="15" t="n">
        <v>97956.12</v>
      </c>
      <c r="E18" s="15" t="n">
        <v>4838.5</v>
      </c>
      <c r="F18" s="15" t="n">
        <v>14107.29</v>
      </c>
      <c r="G18" s="15" t="n">
        <v>15423.86</v>
      </c>
      <c r="H18" s="15" t="n">
        <v>497545.15</v>
      </c>
    </row>
    <row r="19">
      <c r="A19" s="4" t="inlineStr">
        <is>
          <t>宁波汇通商贸有限公司</t>
        </is>
      </c>
      <c r="B19" s="15" t="n">
        <v>49853.42</v>
      </c>
      <c r="C19" s="15" t="n">
        <v>28455.28</v>
      </c>
      <c r="D19" s="15" t="n">
        <v>11435.21</v>
      </c>
      <c r="E19" s="15" t="n">
        <v>6457.97</v>
      </c>
      <c r="F19" s="15" t="n">
        <v>2279.04</v>
      </c>
      <c r="G19" s="15" t="n">
        <v>1225.92</v>
      </c>
      <c r="H19" s="15" t="n">
        <v>95339.17</v>
      </c>
    </row>
    <row r="20">
      <c r="A20" s="4" t="inlineStr">
        <is>
          <t>南京百味实业有限公司</t>
        </is>
      </c>
      <c r="B20" s="15" t="n">
        <v>641581.1800000001</v>
      </c>
      <c r="C20" s="15" t="n">
        <v>343030.75</v>
      </c>
      <c r="D20" s="15" t="n">
        <v>132172.29</v>
      </c>
      <c r="E20" s="15" t="n">
        <v>122830.16</v>
      </c>
      <c r="F20" s="15" t="n">
        <v>27617.26</v>
      </c>
      <c r="G20" s="15" t="n">
        <v>15930.72</v>
      </c>
      <c r="H20" s="15" t="n">
        <v>1032015.77</v>
      </c>
    </row>
    <row r="21">
      <c r="A21" s="4" t="inlineStr">
        <is>
          <t>上海鑫达餐饮集团</t>
        </is>
      </c>
      <c r="B21" s="15" t="n">
        <v>333326.75</v>
      </c>
      <c r="C21" s="15" t="n">
        <v>258186.83</v>
      </c>
      <c r="D21" s="15" t="n">
        <v>50448.84</v>
      </c>
      <c r="E21" s="15" t="n">
        <v>6605.13</v>
      </c>
      <c r="F21" s="15" t="n">
        <v>17253.05</v>
      </c>
      <c r="G21" s="15" t="n">
        <v>832.9</v>
      </c>
      <c r="H21" s="15" t="n">
        <v>450891.68</v>
      </c>
    </row>
    <row r="22">
      <c r="A22" s="4" t="inlineStr">
        <is>
          <t>福州荣泰餐饮集团</t>
        </is>
      </c>
      <c r="B22" s="15" t="n">
        <v>454614.05</v>
      </c>
      <c r="C22" s="15" t="n">
        <v>178173.28</v>
      </c>
      <c r="D22" s="15" t="n">
        <v>155333.5</v>
      </c>
      <c r="E22" s="15" t="n">
        <v>24683.82</v>
      </c>
      <c r="F22" s="15" t="n">
        <v>76655.00999999999</v>
      </c>
      <c r="G22" s="15" t="n">
        <v>19768.44</v>
      </c>
      <c r="H22" s="15" t="n">
        <v>652874.01</v>
      </c>
    </row>
    <row r="23">
      <c r="A23" s="4" t="inlineStr">
        <is>
          <t>宁波大匠实业有限公司</t>
        </is>
      </c>
      <c r="B23" s="15" t="n">
        <v>430030.74</v>
      </c>
      <c r="C23" s="15" t="n">
        <v>285657.16</v>
      </c>
      <c r="D23" s="15" t="n">
        <v>104876.92</v>
      </c>
      <c r="E23" s="15" t="n">
        <v>4449.76</v>
      </c>
      <c r="F23" s="15" t="n">
        <v>27162.93</v>
      </c>
      <c r="G23" s="15" t="n">
        <v>7883.97</v>
      </c>
      <c r="H23" s="15" t="n">
        <v>608195.48</v>
      </c>
    </row>
    <row r="24">
      <c r="A24" s="4" t="inlineStr">
        <is>
          <t>长沙荣泰连锁超市</t>
        </is>
      </c>
      <c r="B24" s="15" t="n">
        <v>433161.05</v>
      </c>
      <c r="C24" s="15" t="n">
        <v>309090.18</v>
      </c>
      <c r="D24" s="15" t="n">
        <v>55839.22</v>
      </c>
      <c r="E24" s="15" t="n">
        <v>60566.53</v>
      </c>
      <c r="F24" s="15" t="n">
        <v>5017.2</v>
      </c>
      <c r="G24" s="15" t="n">
        <v>2647.92</v>
      </c>
      <c r="H24" s="15" t="n">
        <v>548437.75</v>
      </c>
    </row>
    <row r="25">
      <c r="A25" s="4" t="inlineStr">
        <is>
          <t>厦门鑫达连锁超市</t>
        </is>
      </c>
      <c r="B25" s="15" t="n">
        <v>813427.23</v>
      </c>
      <c r="C25" s="15" t="n">
        <v>276195.27</v>
      </c>
      <c r="D25" s="15" t="n">
        <v>279820.05</v>
      </c>
      <c r="E25" s="15" t="n">
        <v>124666.81</v>
      </c>
      <c r="F25" s="15" t="n">
        <v>104961.95</v>
      </c>
      <c r="G25" s="15" t="n">
        <v>27783.15</v>
      </c>
      <c r="H25" s="15" t="n">
        <v>1195343.14</v>
      </c>
    </row>
    <row r="26">
      <c r="A26" s="4" t="inlineStr">
        <is>
          <t>重庆荣泰连锁超市</t>
        </is>
      </c>
      <c r="B26" s="15" t="n">
        <v>354392.1</v>
      </c>
      <c r="C26" s="15" t="n">
        <v>188420.22</v>
      </c>
      <c r="D26" s="15" t="n">
        <v>84952.36</v>
      </c>
      <c r="E26" s="15" t="n">
        <v>38586.7</v>
      </c>
      <c r="F26" s="15" t="n">
        <v>28571.74</v>
      </c>
      <c r="G26" s="15" t="n">
        <v>13861.08</v>
      </c>
      <c r="H26" s="15" t="n">
        <v>834384.74</v>
      </c>
    </row>
    <row r="27">
      <c r="A27" s="4" t="inlineStr">
        <is>
          <t>天津鑫达实业有限公司</t>
        </is>
      </c>
      <c r="B27" s="15" t="n">
        <v>49192.39</v>
      </c>
      <c r="C27" s="15" t="n">
        <v>32355.43</v>
      </c>
      <c r="D27" s="15" t="n">
        <v>8896.950000000001</v>
      </c>
      <c r="E27" s="15" t="n">
        <v>2926.86</v>
      </c>
      <c r="F27" s="15" t="n">
        <v>4211.7</v>
      </c>
      <c r="G27" s="15" t="n">
        <v>801.45</v>
      </c>
      <c r="H27" s="15" t="n">
        <v>76701.28</v>
      </c>
    </row>
    <row r="28">
      <c r="A28" s="4" t="inlineStr">
        <is>
          <t>天津鑫达食品有限公司</t>
        </is>
      </c>
      <c r="B28" s="15" t="n">
        <v>845866.97</v>
      </c>
      <c r="C28" s="15" t="n">
        <v>459229.48</v>
      </c>
      <c r="D28" s="15" t="n">
        <v>284344.23</v>
      </c>
      <c r="E28" s="15" t="n">
        <v>72518.31</v>
      </c>
      <c r="F28" s="15" t="n">
        <v>13616.71</v>
      </c>
      <c r="G28" s="15" t="n">
        <v>16158.24</v>
      </c>
      <c r="H28" s="15" t="n">
        <v>1244010.64</v>
      </c>
    </row>
    <row r="29">
      <c r="A29" s="4" t="inlineStr">
        <is>
          <t>合肥汇通实业有限公司</t>
        </is>
      </c>
      <c r="B29" s="15" t="n">
        <v>750462.12</v>
      </c>
      <c r="C29" s="15" t="n">
        <v>481623.78</v>
      </c>
      <c r="D29" s="15" t="n">
        <v>75974.21000000001</v>
      </c>
      <c r="E29" s="15" t="n">
        <v>82636.31</v>
      </c>
      <c r="F29" s="15" t="n">
        <v>83049.73</v>
      </c>
      <c r="G29" s="15" t="n">
        <v>27178.09</v>
      </c>
      <c r="H29" s="15" t="n">
        <v>1639555.35</v>
      </c>
    </row>
    <row r="30">
      <c r="A30" s="4" t="inlineStr">
        <is>
          <t>成都荣泰实业有限公司</t>
        </is>
      </c>
      <c r="B30" s="15" t="n">
        <v>16503.91</v>
      </c>
      <c r="C30" s="15" t="n">
        <v>9600.629999999999</v>
      </c>
      <c r="D30" s="15" t="n">
        <v>4407.05</v>
      </c>
      <c r="E30" s="15" t="n">
        <v>165.48</v>
      </c>
      <c r="F30" s="15" t="n">
        <v>1548.33</v>
      </c>
      <c r="G30" s="15" t="n">
        <v>782.42</v>
      </c>
      <c r="H30" s="15" t="n">
        <v>37698.66</v>
      </c>
    </row>
    <row r="31">
      <c r="A31" s="4" t="inlineStr">
        <is>
          <t>青岛汇通连锁超市</t>
        </is>
      </c>
      <c r="B31" s="15" t="n">
        <v>99203.50999999999</v>
      </c>
      <c r="C31" s="15" t="n">
        <v>47720.22</v>
      </c>
      <c r="D31" s="15" t="n">
        <v>31203.98</v>
      </c>
      <c r="E31" s="15" t="n">
        <v>9342.59</v>
      </c>
      <c r="F31" s="15" t="n">
        <v>4823.52</v>
      </c>
      <c r="G31" s="15" t="n">
        <v>6113.2</v>
      </c>
      <c r="H31" s="15" t="n">
        <v>219500.59</v>
      </c>
    </row>
    <row r="32">
      <c r="A32" s="4" t="inlineStr">
        <is>
          <t>无锡永利食品有限公司</t>
        </is>
      </c>
      <c r="B32" s="15" t="n">
        <v>599748.73</v>
      </c>
      <c r="C32" s="15" t="n">
        <v>316199.89</v>
      </c>
      <c r="D32" s="15" t="n">
        <v>173455.16</v>
      </c>
      <c r="E32" s="15" t="n">
        <v>12142.87</v>
      </c>
      <c r="F32" s="15" t="n">
        <v>71746.55</v>
      </c>
      <c r="G32" s="15" t="n">
        <v>26204.26</v>
      </c>
      <c r="H32" s="15" t="n">
        <v>1251096.87</v>
      </c>
    </row>
    <row r="33">
      <c r="A33" s="4" t="inlineStr">
        <is>
          <t>昆明永利连锁超市</t>
        </is>
      </c>
      <c r="B33" s="15" t="n">
        <v>41001.13</v>
      </c>
      <c r="C33" s="15" t="n">
        <v>23902.78</v>
      </c>
      <c r="D33" s="15" t="n">
        <v>6811.28</v>
      </c>
      <c r="E33" s="15" t="n">
        <v>948.76</v>
      </c>
      <c r="F33" s="15" t="n">
        <v>6096.51</v>
      </c>
      <c r="G33" s="15" t="n">
        <v>3241.8</v>
      </c>
      <c r="H33" s="15" t="n">
        <v>54692.1</v>
      </c>
    </row>
    <row r="34">
      <c r="A34" s="4" t="inlineStr">
        <is>
          <t>苏州京功餐饮集团</t>
        </is>
      </c>
      <c r="B34" s="15" t="n">
        <v>929058.4</v>
      </c>
      <c r="C34" s="15" t="n">
        <v>471762.3</v>
      </c>
      <c r="D34" s="15" t="n">
        <v>215794.9</v>
      </c>
      <c r="E34" s="15" t="n">
        <v>93564.32000000001</v>
      </c>
      <c r="F34" s="15" t="n">
        <v>111198.33</v>
      </c>
      <c r="G34" s="15" t="n">
        <v>36738.55</v>
      </c>
      <c r="H34" s="15" t="n">
        <v>1602199.07</v>
      </c>
    </row>
    <row r="35">
      <c r="A35" s="4" t="inlineStr">
        <is>
          <t>无锡京功餐饮集团</t>
        </is>
      </c>
      <c r="B35" s="15" t="n">
        <v>538586.6</v>
      </c>
      <c r="C35" s="15" t="n">
        <v>299218.34</v>
      </c>
      <c r="D35" s="15" t="n">
        <v>136403.83</v>
      </c>
      <c r="E35" s="15" t="n">
        <v>14223.9</v>
      </c>
      <c r="F35" s="15" t="n">
        <v>61483.06</v>
      </c>
      <c r="G35" s="15" t="n">
        <v>27257.47</v>
      </c>
      <c r="H35" s="15" t="n">
        <v>1145476.95</v>
      </c>
    </row>
    <row r="36">
      <c r="A36" s="4" t="inlineStr">
        <is>
          <t>厦门百味进出口有限公司</t>
        </is>
      </c>
      <c r="B36" s="15" t="n">
        <v>947986.4</v>
      </c>
      <c r="C36" s="15" t="n">
        <v>459891.35</v>
      </c>
      <c r="D36" s="15" t="n">
        <v>236131.53</v>
      </c>
      <c r="E36" s="15" t="n">
        <v>121091.35</v>
      </c>
      <c r="F36" s="15" t="n">
        <v>80658.64999999999</v>
      </c>
      <c r="G36" s="15" t="n">
        <v>50213.52</v>
      </c>
      <c r="H36" s="15" t="n">
        <v>972547.67</v>
      </c>
    </row>
    <row r="37">
      <c r="A37" s="4" t="inlineStr">
        <is>
          <t>济南百味餐饮集团</t>
        </is>
      </c>
      <c r="B37" s="15" t="n">
        <v>918817.02</v>
      </c>
      <c r="C37" s="15" t="n">
        <v>538959.9</v>
      </c>
      <c r="D37" s="15" t="n">
        <v>231852.03</v>
      </c>
      <c r="E37" s="15" t="n">
        <v>13863.89</v>
      </c>
      <c r="F37" s="15" t="n">
        <v>119569.97</v>
      </c>
      <c r="G37" s="15" t="n">
        <v>14571.23</v>
      </c>
      <c r="H37" s="15" t="n">
        <v>2039011.74</v>
      </c>
    </row>
    <row r="38">
      <c r="A38" s="6" t="inlineStr">
        <is>
          <t>合计</t>
        </is>
      </c>
      <c r="B38" s="16" t="n">
        <v>16788282.59</v>
      </c>
      <c r="C38" s="16" t="n">
        <v>8925619.960000001</v>
      </c>
      <c r="D38" s="16" t="n">
        <v>4266092.81</v>
      </c>
      <c r="E38" s="16" t="n">
        <v>1572613.82</v>
      </c>
      <c r="F38" s="16" t="n">
        <v>1463331.17</v>
      </c>
      <c r="G38" s="16" t="n">
        <v>560624.83</v>
      </c>
      <c r="H38" s="16" t="n">
        <v>30061613.52</v>
      </c>
    </row>
    <row r="39">
      <c r="A39" s="6" t="inlineStr">
        <is>
          <t>占比</t>
        </is>
      </c>
      <c r="B39" s="20" t="n">
        <v>1</v>
      </c>
      <c r="C39" s="20" t="n">
        <v>0.5317</v>
      </c>
      <c r="D39" s="20" t="n">
        <v>0.2541</v>
      </c>
      <c r="E39" s="20" t="n">
        <v>0.09370000000000001</v>
      </c>
      <c r="F39" s="20" t="n">
        <v>0.0872</v>
      </c>
      <c r="G39" s="20" t="n">
        <v>0.0334</v>
      </c>
    </row>
  </sheetData>
  <mergeCells count="5">
    <mergeCell ref="B3:B4"/>
    <mergeCell ref="A3:A4"/>
    <mergeCell ref="H3:H4"/>
    <mergeCell ref="A1:H1"/>
    <mergeCell ref="C3:G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上海鲜优生活连锁有限公司2025年12月库存台账</t>
        </is>
      </c>
    </row>
    <row r="2">
      <c r="A2" s="2" t="inlineStr">
        <is>
          <t>产品名称</t>
        </is>
      </c>
      <c r="B2" s="2" t="inlineStr">
        <is>
          <t>规格</t>
        </is>
      </c>
      <c r="C2" s="2" t="inlineStr">
        <is>
          <t>成品仓</t>
        </is>
      </c>
      <c r="G2" s="2" t="inlineStr">
        <is>
          <t>原材料仓</t>
        </is>
      </c>
      <c r="K2" s="2" t="inlineStr">
        <is>
          <t>半成品仓</t>
        </is>
      </c>
      <c r="O2" s="2" t="inlineStr">
        <is>
          <t>冷链仓</t>
        </is>
      </c>
      <c r="S2" s="2" t="inlineStr">
        <is>
          <t>合计</t>
        </is>
      </c>
    </row>
    <row r="3">
      <c r="A3" s="12" t="n"/>
      <c r="B3" s="12" t="n"/>
      <c r="C3" s="2" t="inlineStr">
        <is>
          <t>期初</t>
        </is>
      </c>
      <c r="D3" s="2" t="inlineStr">
        <is>
          <t>入库</t>
        </is>
      </c>
      <c r="E3" s="2" t="inlineStr">
        <is>
          <t>出库</t>
        </is>
      </c>
      <c r="F3" s="2" t="inlineStr">
        <is>
          <t>期末</t>
        </is>
      </c>
      <c r="G3" s="2" t="inlineStr">
        <is>
          <t>期初</t>
        </is>
      </c>
      <c r="H3" s="2" t="inlineStr">
        <is>
          <t>入库</t>
        </is>
      </c>
      <c r="I3" s="2" t="inlineStr">
        <is>
          <t>出库</t>
        </is>
      </c>
      <c r="J3" s="2" t="inlineStr">
        <is>
          <t>期末</t>
        </is>
      </c>
      <c r="K3" s="2" t="inlineStr">
        <is>
          <t>期初</t>
        </is>
      </c>
      <c r="L3" s="2" t="inlineStr">
        <is>
          <t>入库</t>
        </is>
      </c>
      <c r="M3" s="2" t="inlineStr">
        <is>
          <t>出库</t>
        </is>
      </c>
      <c r="N3" s="2" t="inlineStr">
        <is>
          <t>期末</t>
        </is>
      </c>
      <c r="O3" s="2" t="inlineStr">
        <is>
          <t>期初</t>
        </is>
      </c>
      <c r="P3" s="2" t="inlineStr">
        <is>
          <t>入库</t>
        </is>
      </c>
      <c r="Q3" s="2" t="inlineStr">
        <is>
          <t>出库</t>
        </is>
      </c>
      <c r="R3" s="2" t="inlineStr">
        <is>
          <t>期末</t>
        </is>
      </c>
      <c r="S3" s="2" t="inlineStr">
        <is>
          <t>期初</t>
        </is>
      </c>
      <c r="T3" s="2" t="inlineStr">
        <is>
          <t>入库</t>
        </is>
      </c>
      <c r="U3" s="2" t="inlineStr">
        <is>
          <t>出库</t>
        </is>
      </c>
      <c r="V3" s="2" t="inlineStr">
        <is>
          <t>期末</t>
        </is>
      </c>
    </row>
    <row r="4">
      <c r="A4" s="4" t="inlineStr">
        <is>
          <t>生鲜蔬果</t>
        </is>
      </c>
      <c r="B4" s="4" t="inlineStr">
        <is>
          <t>500g/袋</t>
        </is>
      </c>
      <c r="C4" s="18" t="n">
        <v>1645</v>
      </c>
      <c r="D4" s="18" t="n">
        <v>2389</v>
      </c>
      <c r="E4" s="18" t="n">
        <v>2441</v>
      </c>
      <c r="F4" s="18" t="n">
        <v>1593</v>
      </c>
      <c r="G4" s="18" t="n">
        <v>2941</v>
      </c>
      <c r="H4" s="18" t="n">
        <v>1436</v>
      </c>
      <c r="I4" s="18" t="n">
        <v>1184</v>
      </c>
      <c r="J4" s="18" t="n">
        <v>3193</v>
      </c>
      <c r="K4" s="18" t="n">
        <v>394</v>
      </c>
      <c r="L4" s="18" t="n">
        <v>4708</v>
      </c>
      <c r="M4" s="18" t="n">
        <v>2252</v>
      </c>
      <c r="N4" s="18" t="n">
        <v>2850</v>
      </c>
      <c r="O4" s="18" t="n">
        <v>388</v>
      </c>
      <c r="P4" s="18" t="n">
        <v>5553</v>
      </c>
      <c r="Q4" s="18" t="n">
        <v>507</v>
      </c>
      <c r="R4" s="18" t="n">
        <v>5434</v>
      </c>
      <c r="S4" s="18" t="n">
        <v>5368</v>
      </c>
      <c r="T4" s="18" t="n">
        <v>14086</v>
      </c>
      <c r="U4" s="18" t="n">
        <v>6384</v>
      </c>
      <c r="V4" s="18" t="n">
        <v>13070</v>
      </c>
    </row>
    <row r="5">
      <c r="A5" s="4" t="inlineStr">
        <is>
          <t>肉禽蛋奶</t>
        </is>
      </c>
      <c r="B5" s="4" t="inlineStr">
        <is>
          <t>1kg/箱</t>
        </is>
      </c>
      <c r="C5" s="18" t="n">
        <v>3965</v>
      </c>
      <c r="D5" s="18" t="n">
        <v>7249</v>
      </c>
      <c r="E5" s="18" t="n">
        <v>5619</v>
      </c>
      <c r="F5" s="18" t="n">
        <v>5595</v>
      </c>
      <c r="G5" s="18" t="n">
        <v>648</v>
      </c>
      <c r="H5" s="18" t="n">
        <v>7764</v>
      </c>
      <c r="I5" s="18" t="n">
        <v>3939</v>
      </c>
      <c r="J5" s="18" t="n">
        <v>4473</v>
      </c>
      <c r="K5" s="18" t="n">
        <v>4113</v>
      </c>
      <c r="L5" s="18" t="n">
        <v>3075</v>
      </c>
      <c r="M5" s="18" t="n">
        <v>4357</v>
      </c>
      <c r="N5" s="18" t="n">
        <v>2831</v>
      </c>
      <c r="O5" s="18" t="n">
        <v>4602</v>
      </c>
      <c r="P5" s="18" t="n">
        <v>2957</v>
      </c>
      <c r="Q5" s="18" t="n">
        <v>3236</v>
      </c>
      <c r="R5" s="18" t="n">
        <v>4323</v>
      </c>
      <c r="S5" s="18" t="n">
        <v>13328</v>
      </c>
      <c r="T5" s="18" t="n">
        <v>21045</v>
      </c>
      <c r="U5" s="18" t="n">
        <v>17151</v>
      </c>
      <c r="V5" s="18" t="n">
        <v>17222</v>
      </c>
    </row>
    <row r="6">
      <c r="A6" s="4" t="inlineStr">
        <is>
          <t>粮油调味</t>
        </is>
      </c>
      <c r="B6" s="4" t="inlineStr">
        <is>
          <t>1kg/箱</t>
        </is>
      </c>
      <c r="C6" s="18" t="n">
        <v>3727</v>
      </c>
      <c r="D6" s="18" t="n">
        <v>2188</v>
      </c>
      <c r="E6" s="18" t="n">
        <v>4511</v>
      </c>
      <c r="F6" s="18" t="n">
        <v>1404</v>
      </c>
      <c r="G6" s="18" t="n">
        <v>106</v>
      </c>
      <c r="H6" s="18" t="n">
        <v>3283</v>
      </c>
      <c r="I6" s="18" t="n">
        <v>1716</v>
      </c>
      <c r="J6" s="18" t="n">
        <v>1673</v>
      </c>
      <c r="K6" s="18" t="n">
        <v>920</v>
      </c>
      <c r="L6" s="18" t="n">
        <v>659</v>
      </c>
      <c r="M6" s="18" t="n">
        <v>1494</v>
      </c>
      <c r="N6" s="18" t="n">
        <v>85</v>
      </c>
      <c r="O6" s="18" t="n">
        <v>1535</v>
      </c>
      <c r="P6" s="18" t="n">
        <v>7514</v>
      </c>
      <c r="Q6" s="18" t="n">
        <v>3475</v>
      </c>
      <c r="R6" s="18" t="n">
        <v>5574</v>
      </c>
      <c r="S6" s="18" t="n">
        <v>6288</v>
      </c>
      <c r="T6" s="18" t="n">
        <v>13644</v>
      </c>
      <c r="U6" s="18" t="n">
        <v>11196</v>
      </c>
      <c r="V6" s="18" t="n">
        <v>8736</v>
      </c>
    </row>
    <row r="7">
      <c r="A7" s="4" t="inlineStr">
        <is>
          <t>酒水饮料</t>
        </is>
      </c>
      <c r="B7" s="4" t="inlineStr">
        <is>
          <t>25kg/袋</t>
        </is>
      </c>
      <c r="C7" s="18" t="n">
        <v>1125</v>
      </c>
      <c r="D7" s="18" t="n">
        <v>6004</v>
      </c>
      <c r="E7" s="18" t="n">
        <v>348</v>
      </c>
      <c r="F7" s="18" t="n">
        <v>6781</v>
      </c>
      <c r="G7" s="18" t="n">
        <v>1930</v>
      </c>
      <c r="H7" s="18" t="n">
        <v>7610</v>
      </c>
      <c r="I7" s="18" t="n">
        <v>567</v>
      </c>
      <c r="J7" s="18" t="n">
        <v>8973</v>
      </c>
      <c r="K7" s="18" t="n">
        <v>3231</v>
      </c>
      <c r="L7" s="18" t="n">
        <v>4948</v>
      </c>
      <c r="M7" s="18" t="n">
        <v>6880</v>
      </c>
      <c r="N7" s="18" t="n">
        <v>1299</v>
      </c>
      <c r="O7" s="18" t="n">
        <v>3085</v>
      </c>
      <c r="P7" s="18" t="n">
        <v>7826</v>
      </c>
      <c r="Q7" s="18" t="n">
        <v>681</v>
      </c>
      <c r="R7" s="18" t="n">
        <v>10230</v>
      </c>
      <c r="S7" s="18" t="n">
        <v>9371</v>
      </c>
      <c r="T7" s="18" t="n">
        <v>26388</v>
      </c>
      <c r="U7" s="18" t="n">
        <v>8476</v>
      </c>
      <c r="V7" s="18" t="n">
        <v>27283</v>
      </c>
    </row>
    <row r="8">
      <c r="A8" s="4" t="inlineStr">
        <is>
          <t>休闲零食</t>
        </is>
      </c>
      <c r="B8" s="4" t="inlineStr">
        <is>
          <t>5kg/箱</t>
        </is>
      </c>
      <c r="C8" s="18" t="n">
        <v>2655</v>
      </c>
      <c r="D8" s="18" t="n">
        <v>4117</v>
      </c>
      <c r="E8" s="18" t="n">
        <v>5599</v>
      </c>
      <c r="F8" s="18" t="n">
        <v>1173</v>
      </c>
      <c r="G8" s="18" t="n">
        <v>814</v>
      </c>
      <c r="H8" s="18" t="n">
        <v>1476</v>
      </c>
      <c r="I8" s="18" t="n">
        <v>531</v>
      </c>
      <c r="J8" s="18" t="n">
        <v>1759</v>
      </c>
      <c r="K8" s="18" t="n">
        <v>1015</v>
      </c>
      <c r="L8" s="18" t="n">
        <v>4641</v>
      </c>
      <c r="M8" s="18" t="n">
        <v>3615</v>
      </c>
      <c r="N8" s="18" t="n">
        <v>2041</v>
      </c>
      <c r="O8" s="18" t="n">
        <v>443</v>
      </c>
      <c r="P8" s="18" t="n">
        <v>6911</v>
      </c>
      <c r="Q8" s="18" t="n">
        <v>5349</v>
      </c>
      <c r="R8" s="18" t="n">
        <v>2005</v>
      </c>
      <c r="S8" s="18" t="n">
        <v>4927</v>
      </c>
      <c r="T8" s="18" t="n">
        <v>17145</v>
      </c>
      <c r="U8" s="18" t="n">
        <v>15094</v>
      </c>
      <c r="V8" s="18" t="n">
        <v>6978</v>
      </c>
    </row>
    <row r="9">
      <c r="A9" s="4" t="inlineStr">
        <is>
          <t>日用百货</t>
        </is>
      </c>
      <c r="B9" s="4" t="inlineStr">
        <is>
          <t>500g/袋</t>
        </is>
      </c>
      <c r="C9" s="18" t="n">
        <v>4490</v>
      </c>
      <c r="D9" s="18" t="n">
        <v>770</v>
      </c>
      <c r="E9" s="18" t="n">
        <v>1074</v>
      </c>
      <c r="F9" s="18" t="n">
        <v>4186</v>
      </c>
      <c r="G9" s="18" t="n">
        <v>1129</v>
      </c>
      <c r="H9" s="18" t="n">
        <v>7173</v>
      </c>
      <c r="I9" s="18" t="n">
        <v>5553</v>
      </c>
      <c r="J9" s="18" t="n">
        <v>2749</v>
      </c>
      <c r="K9" s="18" t="n">
        <v>1934</v>
      </c>
      <c r="L9" s="18" t="n">
        <v>7266</v>
      </c>
      <c r="M9" s="18" t="n">
        <v>5646</v>
      </c>
      <c r="N9" s="18" t="n">
        <v>3554</v>
      </c>
      <c r="O9" s="18" t="n">
        <v>1865</v>
      </c>
      <c r="P9" s="18" t="n">
        <v>1702</v>
      </c>
      <c r="Q9" s="18" t="n">
        <v>322</v>
      </c>
      <c r="R9" s="18" t="n">
        <v>3245</v>
      </c>
      <c r="S9" s="18" t="n">
        <v>9418</v>
      </c>
      <c r="T9" s="18" t="n">
        <v>16911</v>
      </c>
      <c r="U9" s="18" t="n">
        <v>12595</v>
      </c>
      <c r="V9" s="18" t="n">
        <v>13734</v>
      </c>
    </row>
    <row r="10">
      <c r="A10" s="6" t="inlineStr">
        <is>
          <t>合计</t>
        </is>
      </c>
      <c r="C10" s="19" t="n">
        <v>17607</v>
      </c>
      <c r="D10" s="19" t="n">
        <v>22717</v>
      </c>
      <c r="E10" s="19" t="n">
        <v>19592</v>
      </c>
      <c r="F10" s="19" t="n">
        <v>20732</v>
      </c>
      <c r="G10" s="19" t="n">
        <v>7568</v>
      </c>
      <c r="H10" s="19" t="n">
        <v>28742</v>
      </c>
      <c r="I10" s="19" t="n">
        <v>13490</v>
      </c>
      <c r="J10" s="19" t="n">
        <v>22820</v>
      </c>
      <c r="K10" s="19" t="n">
        <v>11607</v>
      </c>
      <c r="L10" s="19" t="n">
        <v>25297</v>
      </c>
      <c r="M10" s="19" t="n">
        <v>24244</v>
      </c>
      <c r="N10" s="19" t="n">
        <v>12660</v>
      </c>
      <c r="O10" s="19" t="n">
        <v>11918</v>
      </c>
      <c r="P10" s="19" t="n">
        <v>32463</v>
      </c>
      <c r="Q10" s="19" t="n">
        <v>13570</v>
      </c>
      <c r="R10" s="19" t="n">
        <v>30811</v>
      </c>
      <c r="S10" s="19" t="n">
        <v>48700</v>
      </c>
      <c r="T10" s="19" t="n">
        <v>109219</v>
      </c>
      <c r="U10" s="19" t="n">
        <v>70896</v>
      </c>
      <c r="V10" s="19" t="n">
        <v>87023</v>
      </c>
    </row>
  </sheetData>
  <mergeCells count="8">
    <mergeCell ref="S2:V2"/>
    <mergeCell ref="G2:J2"/>
    <mergeCell ref="B2:B3"/>
    <mergeCell ref="A2:A3"/>
    <mergeCell ref="A1:R1"/>
    <mergeCell ref="K2:N2"/>
    <mergeCell ref="C2:F2"/>
    <mergeCell ref="O2:R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上海鲜优生活连锁有限公司2025年度经营KPI</t>
        </is>
      </c>
    </row>
    <row r="2">
      <c r="A2" s="2" t="inlineStr">
        <is>
          <t>指标</t>
        </is>
      </c>
      <c r="B2" s="2" t="inlineStr">
        <is>
          <t>年度目标</t>
        </is>
      </c>
      <c r="C2" s="2" t="inlineStr">
        <is>
          <t>年度实际</t>
        </is>
      </c>
      <c r="D2" s="2" t="inlineStr">
        <is>
          <t>达成率</t>
        </is>
      </c>
      <c r="E2" s="2" t="inlineStr">
        <is>
          <t>去年同期</t>
        </is>
      </c>
      <c r="F2" s="2" t="inlineStr">
        <is>
          <t>同比增长</t>
        </is>
      </c>
    </row>
    <row r="3">
      <c r="A3" s="6" t="inlineStr">
        <is>
          <t>营业收入(万元)</t>
        </is>
      </c>
      <c r="B3" s="3" t="n">
        <v>8657.5</v>
      </c>
      <c r="C3" s="3" t="n">
        <v>8666.299999999999</v>
      </c>
      <c r="D3" s="21" t="n">
        <v>1.001</v>
      </c>
      <c r="E3" s="3" t="n">
        <v>6815.4</v>
      </c>
      <c r="F3" s="21" t="n">
        <v>0.2716</v>
      </c>
    </row>
    <row r="4">
      <c r="A4" s="6" t="inlineStr">
        <is>
          <t>净利润(万元)</t>
        </is>
      </c>
      <c r="B4" s="3" t="n">
        <v>572</v>
      </c>
      <c r="C4" s="3" t="n">
        <v>476.7</v>
      </c>
      <c r="D4" s="21" t="n">
        <v>0.8333</v>
      </c>
      <c r="E4" s="3" t="n">
        <v>381.3</v>
      </c>
      <c r="F4" s="21" t="n">
        <v>0.25</v>
      </c>
    </row>
    <row r="5">
      <c r="A5" s="6" t="inlineStr">
        <is>
          <t>毛利率</t>
        </is>
      </c>
      <c r="B5" s="21" t="n">
        <v>0.3</v>
      </c>
      <c r="C5" s="21" t="n">
        <v>0.3375</v>
      </c>
      <c r="D5" s="3" t="inlineStr">
        <is>
          <t>-</t>
        </is>
      </c>
      <c r="E5" s="21" t="n">
        <v>0.3008</v>
      </c>
      <c r="F5" s="3" t="inlineStr">
        <is>
          <t>-</t>
        </is>
      </c>
    </row>
    <row r="6">
      <c r="A6" s="6" t="inlineStr">
        <is>
          <t>净利率</t>
        </is>
      </c>
      <c r="B6" s="21" t="n">
        <v>0.05</v>
      </c>
      <c r="C6" s="21" t="n">
        <v>0.055</v>
      </c>
      <c r="D6" s="3" t="inlineStr">
        <is>
          <t>-</t>
        </is>
      </c>
      <c r="E6" s="21" t="n">
        <v>0.0548</v>
      </c>
      <c r="F6" s="3" t="inlineStr">
        <is>
          <t>-</t>
        </is>
      </c>
    </row>
    <row r="7">
      <c r="A7" s="6" t="inlineStr">
        <is>
          <t>客户数(家)</t>
        </is>
      </c>
      <c r="B7" s="3" t="n">
        <v>484</v>
      </c>
      <c r="C7" s="3" t="n">
        <v>484</v>
      </c>
      <c r="D7" s="3" t="inlineStr">
        <is>
          <t>-</t>
        </is>
      </c>
      <c r="E7" s="3" t="n">
        <v>234</v>
      </c>
      <c r="F7" s="3" t="inlineStr">
        <is>
          <t>-</t>
        </is>
      </c>
    </row>
    <row r="10">
      <c r="A10" s="2" t="inlineStr">
        <is>
          <t>产品销售排名</t>
        </is>
      </c>
      <c r="H10" s="2" t="inlineStr">
        <is>
          <t>区域经营对比</t>
        </is>
      </c>
    </row>
    <row r="11">
      <c r="A11" s="2" t="inlineStr">
        <is>
          <t>排名</t>
        </is>
      </c>
      <c r="B11" s="2" t="inlineStr">
        <is>
          <t>产品</t>
        </is>
      </c>
      <c r="C11" s="2" t="inlineStr">
        <is>
          <t>销售额(万元)</t>
        </is>
      </c>
      <c r="D11" s="2" t="inlineStr">
        <is>
          <t>占比</t>
        </is>
      </c>
      <c r="E11" s="2" t="inlineStr">
        <is>
          <t>同比</t>
        </is>
      </c>
      <c r="F11" s="2" t="inlineStr">
        <is>
          <t>毛利率</t>
        </is>
      </c>
      <c r="H11" s="2" t="inlineStr">
        <is>
          <t>区域</t>
        </is>
      </c>
      <c r="I11" s="2" t="inlineStr">
        <is>
          <t>收入(万元)</t>
        </is>
      </c>
      <c r="J11" s="2" t="inlineStr">
        <is>
          <t>净利(万元)</t>
        </is>
      </c>
      <c r="K11" s="2" t="inlineStr">
        <is>
          <t>净利率</t>
        </is>
      </c>
      <c r="L11" s="2" t="inlineStr">
        <is>
          <t>达成率</t>
        </is>
      </c>
    </row>
    <row r="12">
      <c r="A12" s="3" t="n">
        <v>1</v>
      </c>
      <c r="B12" s="4" t="inlineStr">
        <is>
          <t>休闲零食</t>
        </is>
      </c>
      <c r="C12" s="7" t="n">
        <v>2100.5</v>
      </c>
      <c r="D12" s="21" t="n">
        <v>0.2424</v>
      </c>
      <c r="E12" s="22" t="n">
        <v>-0.1232</v>
      </c>
      <c r="F12" s="21" t="n">
        <v>0.397</v>
      </c>
      <c r="H12" s="4" t="inlineStr">
        <is>
          <t>上海直营</t>
        </is>
      </c>
      <c r="I12" s="7" t="n">
        <v>2576.8</v>
      </c>
      <c r="J12" s="7" t="n">
        <v>166.4</v>
      </c>
      <c r="K12" s="21" t="n">
        <v>0.0646</v>
      </c>
      <c r="L12" s="21" t="n">
        <v>1.0276</v>
      </c>
    </row>
    <row r="13">
      <c r="A13" s="3" t="n">
        <v>2</v>
      </c>
      <c r="B13" s="4" t="inlineStr">
        <is>
          <t>酒水饮料</t>
        </is>
      </c>
      <c r="C13" s="7" t="n">
        <v>1550.9</v>
      </c>
      <c r="D13" s="21" t="n">
        <v>0.179</v>
      </c>
      <c r="E13" s="22" t="n">
        <v>-0.0505</v>
      </c>
      <c r="F13" s="21" t="n">
        <v>0.3977</v>
      </c>
      <c r="H13" s="4" t="inlineStr">
        <is>
          <t>江苏加盟</t>
        </is>
      </c>
      <c r="I13" s="7" t="n">
        <v>2577.8</v>
      </c>
      <c r="J13" s="7" t="n">
        <v>138.8</v>
      </c>
      <c r="K13" s="21" t="n">
        <v>0.0538</v>
      </c>
      <c r="L13" s="21" t="n">
        <v>0.9868</v>
      </c>
    </row>
    <row r="14">
      <c r="A14" s="3" t="n">
        <v>3</v>
      </c>
      <c r="B14" s="4" t="inlineStr">
        <is>
          <t>日用百货</t>
        </is>
      </c>
      <c r="C14" s="7" t="n">
        <v>1462.1</v>
      </c>
      <c r="D14" s="21" t="n">
        <v>0.1687</v>
      </c>
      <c r="E14" s="22" t="n">
        <v>0.2172</v>
      </c>
      <c r="F14" s="21" t="n">
        <v>0.2852</v>
      </c>
      <c r="H14" s="4" t="inlineStr">
        <is>
          <t>浙江加盟</t>
        </is>
      </c>
      <c r="I14" s="7" t="n">
        <v>830.9</v>
      </c>
      <c r="J14" s="7" t="n">
        <v>50.3</v>
      </c>
      <c r="K14" s="21" t="n">
        <v>0.0605</v>
      </c>
      <c r="L14" s="21" t="n">
        <v>0.9949</v>
      </c>
    </row>
    <row r="15">
      <c r="A15" s="3" t="n">
        <v>4</v>
      </c>
      <c r="B15" s="4" t="inlineStr">
        <is>
          <t>粮油调味</t>
        </is>
      </c>
      <c r="C15" s="7" t="n">
        <v>1401.3</v>
      </c>
      <c r="D15" s="21" t="n">
        <v>0.1617</v>
      </c>
      <c r="E15" s="22" t="n">
        <v>0.0437</v>
      </c>
      <c r="F15" s="21" t="n">
        <v>0.3645</v>
      </c>
      <c r="H15" s="4" t="inlineStr">
        <is>
          <t>线上渠道</t>
        </is>
      </c>
      <c r="I15" s="7" t="n">
        <v>2025.6</v>
      </c>
      <c r="J15" s="7" t="n">
        <v>109.7</v>
      </c>
      <c r="K15" s="21" t="n">
        <v>0.0542</v>
      </c>
      <c r="L15" s="21" t="n">
        <v>0.9898</v>
      </c>
    </row>
    <row r="16">
      <c r="A16" s="3" t="n">
        <v>5</v>
      </c>
      <c r="B16" s="4" t="inlineStr">
        <is>
          <t>肉禽蛋奶</t>
        </is>
      </c>
      <c r="C16" s="7" t="n">
        <v>1130.5</v>
      </c>
      <c r="D16" s="21" t="n">
        <v>0.1304</v>
      </c>
      <c r="E16" s="22" t="n">
        <v>0.0772</v>
      </c>
      <c r="F16" s="21" t="n">
        <v>0.3513</v>
      </c>
      <c r="H16" s="4" t="inlineStr">
        <is>
          <t>天猫旗舰</t>
        </is>
      </c>
      <c r="I16" s="7" t="n">
        <v>387.2</v>
      </c>
      <c r="J16" s="7" t="n">
        <v>19.6</v>
      </c>
      <c r="K16" s="21" t="n">
        <v>0.0507</v>
      </c>
      <c r="L16" s="21" t="n">
        <v>0.9923999999999999</v>
      </c>
    </row>
    <row r="17">
      <c r="A17" s="3" t="n">
        <v>6</v>
      </c>
      <c r="B17" s="4" t="inlineStr">
        <is>
          <t>生鲜蔬果</t>
        </is>
      </c>
      <c r="C17" s="7" t="n">
        <v>1021</v>
      </c>
      <c r="D17" s="21" t="n">
        <v>0.1178</v>
      </c>
      <c r="E17" s="22" t="n">
        <v>0.2308</v>
      </c>
      <c r="F17" s="21" t="n">
        <v>0.2264</v>
      </c>
      <c r="H17" s="4" t="inlineStr">
        <is>
          <t>京东自营</t>
        </is>
      </c>
      <c r="I17" s="7" t="n">
        <v>268</v>
      </c>
      <c r="J17" s="7" t="n">
        <v>11.9</v>
      </c>
      <c r="K17" s="21" t="n">
        <v>0.0446</v>
      </c>
      <c r="L17" s="21" t="n">
        <v>1.0084</v>
      </c>
    </row>
  </sheetData>
  <mergeCells count="3">
    <mergeCell ref="H10:L10"/>
    <mergeCell ref="A10:F10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上海鲜优生活连锁有限公司2025年费用预算执行表</t>
        </is>
      </c>
    </row>
    <row r="2">
      <c r="A2" s="2" t="inlineStr">
        <is>
          <t>部门</t>
        </is>
      </c>
      <c r="B2" s="2" t="inlineStr">
        <is>
          <t>费用类别</t>
        </is>
      </c>
      <c r="C2" s="2" t="inlineStr">
        <is>
          <t>1月</t>
        </is>
      </c>
      <c r="F2" s="2" t="inlineStr">
        <is>
          <t>2月</t>
        </is>
      </c>
      <c r="I2" s="2" t="inlineStr">
        <is>
          <t>3月</t>
        </is>
      </c>
      <c r="L2" s="2" t="inlineStr">
        <is>
          <t>4月</t>
        </is>
      </c>
      <c r="O2" s="2" t="inlineStr">
        <is>
          <t>5月</t>
        </is>
      </c>
      <c r="R2" s="2" t="inlineStr">
        <is>
          <t>6月</t>
        </is>
      </c>
      <c r="U2" s="2" t="inlineStr">
        <is>
          <t>7月</t>
        </is>
      </c>
      <c r="X2" s="2" t="inlineStr">
        <is>
          <t>8月</t>
        </is>
      </c>
      <c r="AA2" s="2" t="inlineStr">
        <is>
          <t>9月</t>
        </is>
      </c>
      <c r="AD2" s="2" t="inlineStr">
        <is>
          <t>10月</t>
        </is>
      </c>
      <c r="AG2" s="2" t="inlineStr">
        <is>
          <t>11月</t>
        </is>
      </c>
      <c r="AJ2" s="2" t="inlineStr">
        <is>
          <t>12月</t>
        </is>
      </c>
    </row>
    <row r="3">
      <c r="A3" s="12" t="n"/>
      <c r="B3" s="12" t="n"/>
      <c r="C3" s="2" t="inlineStr">
        <is>
          <t>预算</t>
        </is>
      </c>
      <c r="D3" s="2" t="inlineStr">
        <is>
          <t>实际</t>
        </is>
      </c>
      <c r="E3" s="2" t="inlineStr">
        <is>
          <t>差异</t>
        </is>
      </c>
      <c r="F3" s="2" t="inlineStr">
        <is>
          <t>预算</t>
        </is>
      </c>
      <c r="G3" s="2" t="inlineStr">
        <is>
          <t>实际</t>
        </is>
      </c>
      <c r="H3" s="2" t="inlineStr">
        <is>
          <t>差异</t>
        </is>
      </c>
      <c r="I3" s="2" t="inlineStr">
        <is>
          <t>预算</t>
        </is>
      </c>
      <c r="J3" s="2" t="inlineStr">
        <is>
          <t>实际</t>
        </is>
      </c>
      <c r="K3" s="2" t="inlineStr">
        <is>
          <t>差异</t>
        </is>
      </c>
      <c r="L3" s="2" t="inlineStr">
        <is>
          <t>预算</t>
        </is>
      </c>
      <c r="M3" s="2" t="inlineStr">
        <is>
          <t>实际</t>
        </is>
      </c>
      <c r="N3" s="2" t="inlineStr">
        <is>
          <t>差异</t>
        </is>
      </c>
      <c r="O3" s="2" t="inlineStr">
        <is>
          <t>预算</t>
        </is>
      </c>
      <c r="P3" s="2" t="inlineStr">
        <is>
          <t>实际</t>
        </is>
      </c>
      <c r="Q3" s="2" t="inlineStr">
        <is>
          <t>差异</t>
        </is>
      </c>
      <c r="R3" s="2" t="inlineStr">
        <is>
          <t>预算</t>
        </is>
      </c>
      <c r="S3" s="2" t="inlineStr">
        <is>
          <t>实际</t>
        </is>
      </c>
      <c r="T3" s="2" t="inlineStr">
        <is>
          <t>差异</t>
        </is>
      </c>
      <c r="U3" s="2" t="inlineStr">
        <is>
          <t>预算</t>
        </is>
      </c>
      <c r="V3" s="2" t="inlineStr">
        <is>
          <t>实际</t>
        </is>
      </c>
      <c r="W3" s="2" t="inlineStr">
        <is>
          <t>差异</t>
        </is>
      </c>
      <c r="X3" s="2" t="inlineStr">
        <is>
          <t>预算</t>
        </is>
      </c>
      <c r="Y3" s="2" t="inlineStr">
        <is>
          <t>实际</t>
        </is>
      </c>
      <c r="Z3" s="2" t="inlineStr">
        <is>
          <t>差异</t>
        </is>
      </c>
      <c r="AA3" s="2" t="inlineStr">
        <is>
          <t>预算</t>
        </is>
      </c>
      <c r="AB3" s="2" t="inlineStr">
        <is>
          <t>实际</t>
        </is>
      </c>
      <c r="AC3" s="2" t="inlineStr">
        <is>
          <t>差异</t>
        </is>
      </c>
      <c r="AD3" s="2" t="inlineStr">
        <is>
          <t>预算</t>
        </is>
      </c>
      <c r="AE3" s="2" t="inlineStr">
        <is>
          <t>实际</t>
        </is>
      </c>
      <c r="AF3" s="2" t="inlineStr">
        <is>
          <t>差异</t>
        </is>
      </c>
      <c r="AG3" s="2" t="inlineStr">
        <is>
          <t>预算</t>
        </is>
      </c>
      <c r="AH3" s="2" t="inlineStr">
        <is>
          <t>实际</t>
        </is>
      </c>
      <c r="AI3" s="2" t="inlineStr">
        <is>
          <t>差异</t>
        </is>
      </c>
      <c r="AJ3" s="2" t="inlineStr">
        <is>
          <t>预算</t>
        </is>
      </c>
      <c r="AK3" s="2" t="inlineStr">
        <is>
          <t>实际</t>
        </is>
      </c>
      <c r="AL3" s="2" t="inlineStr">
        <is>
          <t>差异</t>
        </is>
      </c>
    </row>
    <row r="4">
      <c r="A4" s="23" t="inlineStr">
        <is>
          <t>销售部</t>
        </is>
      </c>
      <c r="B4" s="4" t="inlineStr">
        <is>
          <t>人工费用</t>
        </is>
      </c>
      <c r="C4" s="18" t="n">
        <v>10071</v>
      </c>
      <c r="D4" s="18" t="n">
        <v>9388</v>
      </c>
      <c r="E4" s="18" t="n">
        <v>-683</v>
      </c>
      <c r="F4" s="18" t="n">
        <v>7989</v>
      </c>
      <c r="G4" s="18" t="n">
        <v>9249</v>
      </c>
      <c r="H4" s="24" t="n">
        <v>1260</v>
      </c>
      <c r="I4" s="18" t="n">
        <v>11949</v>
      </c>
      <c r="J4" s="18" t="n">
        <v>8711</v>
      </c>
      <c r="K4" s="18" t="n">
        <v>-3238</v>
      </c>
      <c r="L4" s="18" t="n">
        <v>11860</v>
      </c>
      <c r="M4" s="18" t="n">
        <v>8521</v>
      </c>
      <c r="N4" s="18" t="n">
        <v>-3339</v>
      </c>
      <c r="O4" s="18" t="n">
        <v>11550</v>
      </c>
      <c r="P4" s="18" t="n">
        <v>8536</v>
      </c>
      <c r="Q4" s="18" t="n">
        <v>-3014</v>
      </c>
      <c r="R4" s="18" t="n">
        <v>14316</v>
      </c>
      <c r="S4" s="18" t="n">
        <v>17258</v>
      </c>
      <c r="T4" s="24" t="n">
        <v>2942</v>
      </c>
      <c r="U4" s="18" t="n">
        <v>15731</v>
      </c>
      <c r="V4" s="18" t="n">
        <v>11067</v>
      </c>
      <c r="W4" s="18" t="n">
        <v>-4664</v>
      </c>
      <c r="X4" s="18" t="n">
        <v>11449</v>
      </c>
      <c r="Y4" s="18" t="n">
        <v>13414</v>
      </c>
      <c r="Z4" s="24" t="n">
        <v>1965</v>
      </c>
      <c r="AA4" s="18" t="n">
        <v>11761</v>
      </c>
      <c r="AB4" s="18" t="n">
        <v>14876</v>
      </c>
      <c r="AC4" s="24" t="n">
        <v>3115</v>
      </c>
      <c r="AD4" s="18" t="n">
        <v>14685</v>
      </c>
      <c r="AE4" s="18" t="n">
        <v>17052</v>
      </c>
      <c r="AF4" s="24" t="n">
        <v>2367</v>
      </c>
      <c r="AG4" s="18" t="n">
        <v>11773</v>
      </c>
      <c r="AH4" s="18" t="n">
        <v>13519</v>
      </c>
      <c r="AI4" s="24" t="n">
        <v>1746</v>
      </c>
      <c r="AJ4" s="18" t="n">
        <v>17089</v>
      </c>
      <c r="AK4" s="18" t="n">
        <v>20573</v>
      </c>
      <c r="AL4" s="24" t="n">
        <v>3484</v>
      </c>
    </row>
    <row r="5">
      <c r="B5" s="4" t="inlineStr">
        <is>
          <t>差旅费</t>
        </is>
      </c>
      <c r="C5" s="18" t="n">
        <v>3551</v>
      </c>
      <c r="D5" s="18" t="n">
        <v>3980</v>
      </c>
      <c r="E5" s="24" t="n">
        <v>429</v>
      </c>
      <c r="F5" s="18" t="n">
        <v>3000</v>
      </c>
      <c r="G5" s="18" t="n">
        <v>2999</v>
      </c>
      <c r="H5" s="18" t="n">
        <v>-1</v>
      </c>
      <c r="I5" s="18" t="n">
        <v>3420</v>
      </c>
      <c r="J5" s="18" t="n">
        <v>2472</v>
      </c>
      <c r="K5" s="18" t="n">
        <v>-948</v>
      </c>
      <c r="L5" s="18" t="n">
        <v>4355</v>
      </c>
      <c r="M5" s="18" t="n">
        <v>5245</v>
      </c>
      <c r="N5" s="24" t="n">
        <v>890</v>
      </c>
      <c r="O5" s="18" t="n">
        <v>3941</v>
      </c>
      <c r="P5" s="18" t="n">
        <v>4092</v>
      </c>
      <c r="Q5" s="24" t="n">
        <v>151</v>
      </c>
      <c r="R5" s="18" t="n">
        <v>4326</v>
      </c>
      <c r="S5" s="18" t="n">
        <v>4497</v>
      </c>
      <c r="T5" s="24" t="n">
        <v>171</v>
      </c>
      <c r="U5" s="18" t="n">
        <v>4807</v>
      </c>
      <c r="V5" s="18" t="n">
        <v>5731</v>
      </c>
      <c r="W5" s="24" t="n">
        <v>924</v>
      </c>
      <c r="X5" s="18" t="n">
        <v>3725</v>
      </c>
      <c r="Y5" s="18" t="n">
        <v>4128</v>
      </c>
      <c r="Z5" s="24" t="n">
        <v>403</v>
      </c>
      <c r="AA5" s="18" t="n">
        <v>3975</v>
      </c>
      <c r="AB5" s="18" t="n">
        <v>3575</v>
      </c>
      <c r="AC5" s="18" t="n">
        <v>-400</v>
      </c>
      <c r="AD5" s="18" t="n">
        <v>4912</v>
      </c>
      <c r="AE5" s="18" t="n">
        <v>4916</v>
      </c>
      <c r="AF5" s="24" t="n">
        <v>4</v>
      </c>
      <c r="AG5" s="18" t="n">
        <v>4057</v>
      </c>
      <c r="AH5" s="18" t="n">
        <v>3160</v>
      </c>
      <c r="AI5" s="18" t="n">
        <v>-897</v>
      </c>
      <c r="AJ5" s="18" t="n">
        <v>5844</v>
      </c>
      <c r="AK5" s="18" t="n">
        <v>5010</v>
      </c>
      <c r="AL5" s="18" t="n">
        <v>-834</v>
      </c>
    </row>
    <row r="6">
      <c r="B6" s="4" t="inlineStr">
        <is>
          <t>业务招待费</t>
        </is>
      </c>
      <c r="C6" s="18" t="n">
        <v>2588</v>
      </c>
      <c r="D6" s="18" t="n">
        <v>2734</v>
      </c>
      <c r="E6" s="24" t="n">
        <v>146</v>
      </c>
      <c r="F6" s="18" t="n">
        <v>2182</v>
      </c>
      <c r="G6" s="18" t="n">
        <v>2337</v>
      </c>
      <c r="H6" s="24" t="n">
        <v>155</v>
      </c>
      <c r="I6" s="18" t="n">
        <v>3000</v>
      </c>
      <c r="J6" s="18" t="n">
        <v>3600</v>
      </c>
      <c r="K6" s="24" t="n">
        <v>600</v>
      </c>
      <c r="L6" s="18" t="n">
        <v>3350</v>
      </c>
      <c r="M6" s="18" t="n">
        <v>2427</v>
      </c>
      <c r="N6" s="18" t="n">
        <v>-923</v>
      </c>
      <c r="O6" s="18" t="n">
        <v>3143</v>
      </c>
      <c r="P6" s="18" t="n">
        <v>3347</v>
      </c>
      <c r="Q6" s="24" t="n">
        <v>204</v>
      </c>
      <c r="R6" s="18" t="n">
        <v>3469</v>
      </c>
      <c r="S6" s="18" t="n">
        <v>3063</v>
      </c>
      <c r="T6" s="18" t="n">
        <v>-406</v>
      </c>
      <c r="U6" s="18" t="n">
        <v>4094</v>
      </c>
      <c r="V6" s="18" t="n">
        <v>4482</v>
      </c>
      <c r="W6" s="24" t="n">
        <v>388</v>
      </c>
      <c r="X6" s="18" t="n">
        <v>3164</v>
      </c>
      <c r="Y6" s="18" t="n">
        <v>2896</v>
      </c>
      <c r="Z6" s="18" t="n">
        <v>-268</v>
      </c>
      <c r="AA6" s="18" t="n">
        <v>3228</v>
      </c>
      <c r="AB6" s="18" t="n">
        <v>4190</v>
      </c>
      <c r="AC6" s="24" t="n">
        <v>962</v>
      </c>
      <c r="AD6" s="18" t="n">
        <v>3591</v>
      </c>
      <c r="AE6" s="18" t="n">
        <v>3443</v>
      </c>
      <c r="AF6" s="18" t="n">
        <v>-148</v>
      </c>
      <c r="AG6" s="18" t="n">
        <v>3181</v>
      </c>
      <c r="AH6" s="18" t="n">
        <v>2590</v>
      </c>
      <c r="AI6" s="18" t="n">
        <v>-591</v>
      </c>
      <c r="AJ6" s="18" t="n">
        <v>4517</v>
      </c>
      <c r="AK6" s="18" t="n">
        <v>4608</v>
      </c>
      <c r="AL6" s="24" t="n">
        <v>91</v>
      </c>
    </row>
    <row r="7">
      <c r="B7" s="4" t="inlineStr">
        <is>
          <t>办公费</t>
        </is>
      </c>
      <c r="C7" s="18" t="n">
        <v>2181</v>
      </c>
      <c r="D7" s="18" t="n">
        <v>2512</v>
      </c>
      <c r="E7" s="24" t="n">
        <v>331</v>
      </c>
      <c r="F7" s="18" t="n">
        <v>1967</v>
      </c>
      <c r="G7" s="18" t="n">
        <v>2413</v>
      </c>
      <c r="H7" s="24" t="n">
        <v>446</v>
      </c>
      <c r="I7" s="18" t="n">
        <v>2629</v>
      </c>
      <c r="J7" s="18" t="n">
        <v>2148</v>
      </c>
      <c r="K7" s="18" t="n">
        <v>-481</v>
      </c>
      <c r="L7" s="18" t="n">
        <v>2530</v>
      </c>
      <c r="M7" s="18" t="n">
        <v>3195</v>
      </c>
      <c r="N7" s="24" t="n">
        <v>665</v>
      </c>
      <c r="O7" s="18" t="n">
        <v>3009</v>
      </c>
      <c r="P7" s="18" t="n">
        <v>3001</v>
      </c>
      <c r="Q7" s="18" t="n">
        <v>-8</v>
      </c>
      <c r="R7" s="18" t="n">
        <v>3042</v>
      </c>
      <c r="S7" s="18" t="n">
        <v>3279</v>
      </c>
      <c r="T7" s="24" t="n">
        <v>237</v>
      </c>
      <c r="U7" s="18" t="n">
        <v>3054</v>
      </c>
      <c r="V7" s="18" t="n">
        <v>3950</v>
      </c>
      <c r="W7" s="24" t="n">
        <v>896</v>
      </c>
      <c r="X7" s="18" t="n">
        <v>2847</v>
      </c>
      <c r="Y7" s="18" t="n">
        <v>2634</v>
      </c>
      <c r="Z7" s="18" t="n">
        <v>-213</v>
      </c>
      <c r="AA7" s="18" t="n">
        <v>2486</v>
      </c>
      <c r="AB7" s="18" t="n">
        <v>2609</v>
      </c>
      <c r="AC7" s="24" t="n">
        <v>123</v>
      </c>
      <c r="AD7" s="18" t="n">
        <v>2733</v>
      </c>
      <c r="AE7" s="18" t="n">
        <v>3497</v>
      </c>
      <c r="AF7" s="24" t="n">
        <v>764</v>
      </c>
      <c r="AG7" s="18" t="n">
        <v>3006</v>
      </c>
      <c r="AH7" s="18" t="n">
        <v>2803</v>
      </c>
      <c r="AI7" s="18" t="n">
        <v>-203</v>
      </c>
      <c r="AJ7" s="18" t="n">
        <v>3655</v>
      </c>
      <c r="AK7" s="18" t="n">
        <v>3537</v>
      </c>
      <c r="AL7" s="18" t="n">
        <v>-118</v>
      </c>
    </row>
    <row r="8">
      <c r="B8" s="4" t="inlineStr">
        <is>
          <t>折旧费</t>
        </is>
      </c>
      <c r="C8" s="18" t="n">
        <v>1722</v>
      </c>
      <c r="D8" s="18" t="n">
        <v>1330</v>
      </c>
      <c r="E8" s="18" t="n">
        <v>-392</v>
      </c>
      <c r="F8" s="18" t="n">
        <v>1507</v>
      </c>
      <c r="G8" s="18" t="n">
        <v>1179</v>
      </c>
      <c r="H8" s="18" t="n">
        <v>-328</v>
      </c>
      <c r="I8" s="18" t="n">
        <v>2068</v>
      </c>
      <c r="J8" s="18" t="n">
        <v>1943</v>
      </c>
      <c r="K8" s="18" t="n">
        <v>-125</v>
      </c>
      <c r="L8" s="18" t="n">
        <v>1985</v>
      </c>
      <c r="M8" s="18" t="n">
        <v>1615</v>
      </c>
      <c r="N8" s="18" t="n">
        <v>-370</v>
      </c>
      <c r="O8" s="18" t="n">
        <v>2244</v>
      </c>
      <c r="P8" s="18" t="n">
        <v>1742</v>
      </c>
      <c r="Q8" s="18" t="n">
        <v>-502</v>
      </c>
      <c r="R8" s="18" t="n">
        <v>2571</v>
      </c>
      <c r="S8" s="18" t="n">
        <v>2417</v>
      </c>
      <c r="T8" s="18" t="n">
        <v>-154</v>
      </c>
      <c r="U8" s="18" t="n">
        <v>2668</v>
      </c>
      <c r="V8" s="18" t="n">
        <v>3336</v>
      </c>
      <c r="W8" s="24" t="n">
        <v>668</v>
      </c>
      <c r="X8" s="18" t="n">
        <v>2421</v>
      </c>
      <c r="Y8" s="18" t="n">
        <v>2675</v>
      </c>
      <c r="Z8" s="24" t="n">
        <v>254</v>
      </c>
      <c r="AA8" s="18" t="n">
        <v>1975</v>
      </c>
      <c r="AB8" s="18" t="n">
        <v>1437</v>
      </c>
      <c r="AC8" s="18" t="n">
        <v>-538</v>
      </c>
      <c r="AD8" s="18" t="n">
        <v>2371</v>
      </c>
      <c r="AE8" s="18" t="n">
        <v>2198</v>
      </c>
      <c r="AF8" s="18" t="n">
        <v>-173</v>
      </c>
      <c r="AG8" s="18" t="n">
        <v>2351</v>
      </c>
      <c r="AH8" s="18" t="n">
        <v>2698</v>
      </c>
      <c r="AI8" s="24" t="n">
        <v>347</v>
      </c>
      <c r="AJ8" s="18" t="n">
        <v>3046</v>
      </c>
      <c r="AK8" s="18" t="n">
        <v>2672</v>
      </c>
      <c r="AL8" s="18" t="n">
        <v>-374</v>
      </c>
    </row>
    <row r="9">
      <c r="B9" s="6" t="inlineStr">
        <is>
          <t>小计</t>
        </is>
      </c>
      <c r="C9" s="19" t="n">
        <v>20113</v>
      </c>
      <c r="D9" s="19" t="n">
        <v>19944</v>
      </c>
      <c r="E9" s="19" t="n">
        <v>-169</v>
      </c>
      <c r="F9" s="19" t="n">
        <v>16645</v>
      </c>
      <c r="G9" s="19" t="n">
        <v>18177</v>
      </c>
      <c r="H9" s="19" t="n">
        <v>1532</v>
      </c>
      <c r="I9" s="19" t="n">
        <v>23066</v>
      </c>
      <c r="J9" s="19" t="n">
        <v>18874</v>
      </c>
      <c r="K9" s="19" t="n">
        <v>-4192</v>
      </c>
      <c r="L9" s="19" t="n">
        <v>24080</v>
      </c>
      <c r="M9" s="19" t="n">
        <v>21003</v>
      </c>
      <c r="N9" s="19" t="n">
        <v>-3077</v>
      </c>
      <c r="O9" s="19" t="n">
        <v>23887</v>
      </c>
      <c r="P9" s="19" t="n">
        <v>20718</v>
      </c>
      <c r="Q9" s="19" t="n">
        <v>-3169</v>
      </c>
      <c r="R9" s="19" t="n">
        <v>27724</v>
      </c>
      <c r="S9" s="19" t="n">
        <v>30514</v>
      </c>
      <c r="T9" s="19" t="n">
        <v>2790</v>
      </c>
      <c r="U9" s="19" t="n">
        <v>30354</v>
      </c>
      <c r="V9" s="19" t="n">
        <v>28566</v>
      </c>
      <c r="W9" s="19" t="n">
        <v>-1788</v>
      </c>
      <c r="X9" s="19" t="n">
        <v>23606</v>
      </c>
      <c r="Y9" s="19" t="n">
        <v>25747</v>
      </c>
      <c r="Z9" s="19" t="n">
        <v>2141</v>
      </c>
      <c r="AA9" s="19" t="n">
        <v>23425</v>
      </c>
      <c r="AB9" s="19" t="n">
        <v>26687</v>
      </c>
      <c r="AC9" s="19" t="n">
        <v>3262</v>
      </c>
      <c r="AD9" s="19" t="n">
        <v>28292</v>
      </c>
      <c r="AE9" s="19" t="n">
        <v>31106</v>
      </c>
      <c r="AF9" s="19" t="n">
        <v>2814</v>
      </c>
      <c r="AG9" s="19" t="n">
        <v>24368</v>
      </c>
      <c r="AH9" s="19" t="n">
        <v>24770</v>
      </c>
      <c r="AI9" s="19" t="n">
        <v>402</v>
      </c>
      <c r="AJ9" s="19" t="n">
        <v>34151</v>
      </c>
      <c r="AK9" s="19" t="n">
        <v>36400</v>
      </c>
      <c r="AL9" s="19" t="n">
        <v>2249</v>
      </c>
    </row>
    <row r="10">
      <c r="A10" s="23" t="inlineStr">
        <is>
          <t>市场部</t>
        </is>
      </c>
      <c r="B10" s="4" t="inlineStr">
        <is>
          <t>人工费用</t>
        </is>
      </c>
      <c r="C10" s="18" t="n">
        <v>17395</v>
      </c>
      <c r="D10" s="18" t="n">
        <v>20754</v>
      </c>
      <c r="E10" s="24" t="n">
        <v>3359</v>
      </c>
      <c r="F10" s="18" t="n">
        <v>14094</v>
      </c>
      <c r="G10" s="18" t="n">
        <v>10983</v>
      </c>
      <c r="H10" s="18" t="n">
        <v>-3111</v>
      </c>
      <c r="I10" s="18" t="n">
        <v>16632</v>
      </c>
      <c r="J10" s="18" t="n">
        <v>21001</v>
      </c>
      <c r="K10" s="24" t="n">
        <v>4369</v>
      </c>
      <c r="L10" s="18" t="n">
        <v>19429</v>
      </c>
      <c r="M10" s="18" t="n">
        <v>16789</v>
      </c>
      <c r="N10" s="18" t="n">
        <v>-2640</v>
      </c>
      <c r="O10" s="18" t="n">
        <v>22003</v>
      </c>
      <c r="P10" s="18" t="n">
        <v>19893</v>
      </c>
      <c r="Q10" s="18" t="n">
        <v>-2110</v>
      </c>
      <c r="R10" s="18" t="n">
        <v>21458</v>
      </c>
      <c r="S10" s="18" t="n">
        <v>24584</v>
      </c>
      <c r="T10" s="24" t="n">
        <v>3126</v>
      </c>
      <c r="U10" s="18" t="n">
        <v>25775</v>
      </c>
      <c r="V10" s="18" t="n">
        <v>18053</v>
      </c>
      <c r="W10" s="18" t="n">
        <v>-7722</v>
      </c>
      <c r="X10" s="18" t="n">
        <v>19424</v>
      </c>
      <c r="Y10" s="18" t="n">
        <v>23351</v>
      </c>
      <c r="Z10" s="24" t="n">
        <v>3927</v>
      </c>
      <c r="AA10" s="18" t="n">
        <v>19355</v>
      </c>
      <c r="AB10" s="18" t="n">
        <v>17136</v>
      </c>
      <c r="AC10" s="18" t="n">
        <v>-2219</v>
      </c>
      <c r="AD10" s="18" t="n">
        <v>21674</v>
      </c>
      <c r="AE10" s="18" t="n">
        <v>15985</v>
      </c>
      <c r="AF10" s="18" t="n">
        <v>-5689</v>
      </c>
      <c r="AG10" s="18" t="n">
        <v>18855</v>
      </c>
      <c r="AH10" s="18" t="n">
        <v>17293</v>
      </c>
      <c r="AI10" s="18" t="n">
        <v>-1562</v>
      </c>
      <c r="AJ10" s="18" t="n">
        <v>28018</v>
      </c>
      <c r="AK10" s="18" t="n">
        <v>25320</v>
      </c>
      <c r="AL10" s="18" t="n">
        <v>-2698</v>
      </c>
    </row>
    <row r="11">
      <c r="B11" s="4" t="inlineStr">
        <is>
          <t>差旅费</t>
        </is>
      </c>
      <c r="C11" s="18" t="n">
        <v>4996</v>
      </c>
      <c r="D11" s="18" t="n">
        <v>5374</v>
      </c>
      <c r="E11" s="24" t="n">
        <v>378</v>
      </c>
      <c r="F11" s="18" t="n">
        <v>5084</v>
      </c>
      <c r="G11" s="18" t="n">
        <v>6295</v>
      </c>
      <c r="H11" s="24" t="n">
        <v>1211</v>
      </c>
      <c r="I11" s="18" t="n">
        <v>5839</v>
      </c>
      <c r="J11" s="18" t="n">
        <v>6776</v>
      </c>
      <c r="K11" s="24" t="n">
        <v>937</v>
      </c>
      <c r="L11" s="18" t="n">
        <v>6297</v>
      </c>
      <c r="M11" s="18" t="n">
        <v>4858</v>
      </c>
      <c r="N11" s="18" t="n">
        <v>-1439</v>
      </c>
      <c r="O11" s="18" t="n">
        <v>6409</v>
      </c>
      <c r="P11" s="18" t="n">
        <v>8018</v>
      </c>
      <c r="Q11" s="24" t="n">
        <v>1609</v>
      </c>
      <c r="R11" s="18" t="n">
        <v>6673</v>
      </c>
      <c r="S11" s="18" t="n">
        <v>7124</v>
      </c>
      <c r="T11" s="24" t="n">
        <v>451</v>
      </c>
      <c r="U11" s="18" t="n">
        <v>8589</v>
      </c>
      <c r="V11" s="18" t="n">
        <v>7197</v>
      </c>
      <c r="W11" s="18" t="n">
        <v>-1392</v>
      </c>
      <c r="X11" s="18" t="n">
        <v>6935</v>
      </c>
      <c r="Y11" s="18" t="n">
        <v>5862</v>
      </c>
      <c r="Z11" s="18" t="n">
        <v>-1073</v>
      </c>
      <c r="AA11" s="18" t="n">
        <v>5593</v>
      </c>
      <c r="AB11" s="18" t="n">
        <v>6324</v>
      </c>
      <c r="AC11" s="24" t="n">
        <v>731</v>
      </c>
      <c r="AD11" s="18" t="n">
        <v>6830</v>
      </c>
      <c r="AE11" s="18" t="n">
        <v>7258</v>
      </c>
      <c r="AF11" s="24" t="n">
        <v>428</v>
      </c>
      <c r="AG11" s="18" t="n">
        <v>7230</v>
      </c>
      <c r="AH11" s="18" t="n">
        <v>9058</v>
      </c>
      <c r="AI11" s="24" t="n">
        <v>1828</v>
      </c>
      <c r="AJ11" s="18" t="n">
        <v>8867</v>
      </c>
      <c r="AK11" s="18" t="n">
        <v>11082</v>
      </c>
      <c r="AL11" s="24" t="n">
        <v>2215</v>
      </c>
    </row>
    <row r="12">
      <c r="B12" s="4" t="inlineStr">
        <is>
          <t>业务招待费</t>
        </is>
      </c>
      <c r="C12" s="18" t="n">
        <v>4632</v>
      </c>
      <c r="D12" s="18" t="n">
        <v>3871</v>
      </c>
      <c r="E12" s="18" t="n">
        <v>-761</v>
      </c>
      <c r="F12" s="18" t="n">
        <v>3466</v>
      </c>
      <c r="G12" s="18" t="n">
        <v>4120</v>
      </c>
      <c r="H12" s="24" t="n">
        <v>654</v>
      </c>
      <c r="I12" s="18" t="n">
        <v>5230</v>
      </c>
      <c r="J12" s="18" t="n">
        <v>5671</v>
      </c>
      <c r="K12" s="24" t="n">
        <v>441</v>
      </c>
      <c r="L12" s="18" t="n">
        <v>4916</v>
      </c>
      <c r="M12" s="18" t="n">
        <v>5984</v>
      </c>
      <c r="N12" s="24" t="n">
        <v>1068</v>
      </c>
      <c r="O12" s="18" t="n">
        <v>5702</v>
      </c>
      <c r="P12" s="18" t="n">
        <v>5833</v>
      </c>
      <c r="Q12" s="24" t="n">
        <v>131</v>
      </c>
      <c r="R12" s="18" t="n">
        <v>6252</v>
      </c>
      <c r="S12" s="18" t="n">
        <v>6297</v>
      </c>
      <c r="T12" s="24" t="n">
        <v>45</v>
      </c>
      <c r="U12" s="18" t="n">
        <v>6144</v>
      </c>
      <c r="V12" s="18" t="n">
        <v>7644</v>
      </c>
      <c r="W12" s="24" t="n">
        <v>1500</v>
      </c>
      <c r="X12" s="18" t="n">
        <v>5757</v>
      </c>
      <c r="Y12" s="18" t="n">
        <v>6382</v>
      </c>
      <c r="Z12" s="24" t="n">
        <v>625</v>
      </c>
      <c r="AA12" s="18" t="n">
        <v>4966</v>
      </c>
      <c r="AB12" s="18" t="n">
        <v>6086</v>
      </c>
      <c r="AC12" s="24" t="n">
        <v>1120</v>
      </c>
      <c r="AD12" s="18" t="n">
        <v>5888</v>
      </c>
      <c r="AE12" s="18" t="n">
        <v>6814</v>
      </c>
      <c r="AF12" s="24" t="n">
        <v>926</v>
      </c>
      <c r="AG12" s="18" t="n">
        <v>4997</v>
      </c>
      <c r="AH12" s="18" t="n">
        <v>6118</v>
      </c>
      <c r="AI12" s="24" t="n">
        <v>1121</v>
      </c>
      <c r="AJ12" s="18" t="n">
        <v>6348</v>
      </c>
      <c r="AK12" s="18" t="n">
        <v>5010</v>
      </c>
      <c r="AL12" s="18" t="n">
        <v>-1338</v>
      </c>
    </row>
    <row r="13">
      <c r="B13" s="4" t="inlineStr">
        <is>
          <t>办公费</t>
        </is>
      </c>
      <c r="C13" s="18" t="n">
        <v>3888</v>
      </c>
      <c r="D13" s="18" t="n">
        <v>3718</v>
      </c>
      <c r="E13" s="18" t="n">
        <v>-170</v>
      </c>
      <c r="F13" s="18" t="n">
        <v>3153</v>
      </c>
      <c r="G13" s="18" t="n">
        <v>2639</v>
      </c>
      <c r="H13" s="18" t="n">
        <v>-514</v>
      </c>
      <c r="I13" s="18" t="n">
        <v>3801</v>
      </c>
      <c r="J13" s="18" t="n">
        <v>4081</v>
      </c>
      <c r="K13" s="24" t="n">
        <v>280</v>
      </c>
      <c r="L13" s="18" t="n">
        <v>4536</v>
      </c>
      <c r="M13" s="18" t="n">
        <v>5030</v>
      </c>
      <c r="N13" s="24" t="n">
        <v>494</v>
      </c>
      <c r="O13" s="18" t="n">
        <v>4697</v>
      </c>
      <c r="P13" s="18" t="n">
        <v>3516</v>
      </c>
      <c r="Q13" s="18" t="n">
        <v>-1181</v>
      </c>
      <c r="R13" s="18" t="n">
        <v>4539</v>
      </c>
      <c r="S13" s="18" t="n">
        <v>3219</v>
      </c>
      <c r="T13" s="18" t="n">
        <v>-1320</v>
      </c>
      <c r="U13" s="18" t="n">
        <v>4881</v>
      </c>
      <c r="V13" s="18" t="n">
        <v>5411</v>
      </c>
      <c r="W13" s="24" t="n">
        <v>530</v>
      </c>
      <c r="X13" s="18" t="n">
        <v>4372</v>
      </c>
      <c r="Y13" s="18" t="n">
        <v>5320</v>
      </c>
      <c r="Z13" s="24" t="n">
        <v>948</v>
      </c>
      <c r="AA13" s="18" t="n">
        <v>3757</v>
      </c>
      <c r="AB13" s="18" t="n">
        <v>3551</v>
      </c>
      <c r="AC13" s="18" t="n">
        <v>-206</v>
      </c>
      <c r="AD13" s="18" t="n">
        <v>5410</v>
      </c>
      <c r="AE13" s="18" t="n">
        <v>5473</v>
      </c>
      <c r="AF13" s="24" t="n">
        <v>63</v>
      </c>
      <c r="AG13" s="18" t="n">
        <v>4581</v>
      </c>
      <c r="AH13" s="18" t="n">
        <v>5421</v>
      </c>
      <c r="AI13" s="24" t="n">
        <v>840</v>
      </c>
      <c r="AJ13" s="18" t="n">
        <v>6181</v>
      </c>
      <c r="AK13" s="18" t="n">
        <v>6846</v>
      </c>
      <c r="AL13" s="24" t="n">
        <v>665</v>
      </c>
    </row>
    <row r="14">
      <c r="B14" s="4" t="inlineStr">
        <is>
          <t>折旧费</t>
        </is>
      </c>
      <c r="C14" s="18" t="n">
        <v>2786</v>
      </c>
      <c r="D14" s="18" t="n">
        <v>2742</v>
      </c>
      <c r="E14" s="18" t="n">
        <v>-44</v>
      </c>
      <c r="F14" s="18" t="n">
        <v>2744</v>
      </c>
      <c r="G14" s="18" t="n">
        <v>3199</v>
      </c>
      <c r="H14" s="24" t="n">
        <v>455</v>
      </c>
      <c r="I14" s="18" t="n">
        <v>3462</v>
      </c>
      <c r="J14" s="18" t="n">
        <v>4224</v>
      </c>
      <c r="K14" s="24" t="n">
        <v>762</v>
      </c>
      <c r="L14" s="18" t="n">
        <v>3522</v>
      </c>
      <c r="M14" s="18" t="n">
        <v>4087</v>
      </c>
      <c r="N14" s="24" t="n">
        <v>565</v>
      </c>
      <c r="O14" s="18" t="n">
        <v>3438</v>
      </c>
      <c r="P14" s="18" t="n">
        <v>3485</v>
      </c>
      <c r="Q14" s="24" t="n">
        <v>47</v>
      </c>
      <c r="R14" s="18" t="n">
        <v>3966</v>
      </c>
      <c r="S14" s="18" t="n">
        <v>3241</v>
      </c>
      <c r="T14" s="18" t="n">
        <v>-725</v>
      </c>
      <c r="U14" s="18" t="n">
        <v>4519</v>
      </c>
      <c r="V14" s="18" t="n">
        <v>4503</v>
      </c>
      <c r="W14" s="18" t="n">
        <v>-16</v>
      </c>
      <c r="X14" s="18" t="n">
        <v>3672</v>
      </c>
      <c r="Y14" s="18" t="n">
        <v>3263</v>
      </c>
      <c r="Z14" s="18" t="n">
        <v>-409</v>
      </c>
      <c r="AA14" s="18" t="n">
        <v>3091</v>
      </c>
      <c r="AB14" s="18" t="n">
        <v>2508</v>
      </c>
      <c r="AC14" s="18" t="n">
        <v>-583</v>
      </c>
      <c r="AD14" s="18" t="n">
        <v>4049</v>
      </c>
      <c r="AE14" s="18" t="n">
        <v>3326</v>
      </c>
      <c r="AF14" s="18" t="n">
        <v>-723</v>
      </c>
      <c r="AG14" s="18" t="n">
        <v>3307</v>
      </c>
      <c r="AH14" s="18" t="n">
        <v>4099</v>
      </c>
      <c r="AI14" s="24" t="n">
        <v>792</v>
      </c>
      <c r="AJ14" s="18" t="n">
        <v>5093</v>
      </c>
      <c r="AK14" s="18" t="n">
        <v>5642</v>
      </c>
      <c r="AL14" s="24" t="n">
        <v>549</v>
      </c>
    </row>
    <row r="15">
      <c r="B15" s="6" t="inlineStr">
        <is>
          <t>小计</t>
        </is>
      </c>
      <c r="C15" s="19" t="n">
        <v>33697</v>
      </c>
      <c r="D15" s="19" t="n">
        <v>36459</v>
      </c>
      <c r="E15" s="19" t="n">
        <v>2762</v>
      </c>
      <c r="F15" s="19" t="n">
        <v>28541</v>
      </c>
      <c r="G15" s="19" t="n">
        <v>27236</v>
      </c>
      <c r="H15" s="19" t="n">
        <v>-1305</v>
      </c>
      <c r="I15" s="19" t="n">
        <v>34964</v>
      </c>
      <c r="J15" s="19" t="n">
        <v>41753</v>
      </c>
      <c r="K15" s="19" t="n">
        <v>6789</v>
      </c>
      <c r="L15" s="19" t="n">
        <v>38700</v>
      </c>
      <c r="M15" s="19" t="n">
        <v>36748</v>
      </c>
      <c r="N15" s="19" t="n">
        <v>-1952</v>
      </c>
      <c r="O15" s="19" t="n">
        <v>42249</v>
      </c>
      <c r="P15" s="19" t="n">
        <v>40745</v>
      </c>
      <c r="Q15" s="19" t="n">
        <v>-1504</v>
      </c>
      <c r="R15" s="19" t="n">
        <v>42888</v>
      </c>
      <c r="S15" s="19" t="n">
        <v>44465</v>
      </c>
      <c r="T15" s="19" t="n">
        <v>1577</v>
      </c>
      <c r="U15" s="19" t="n">
        <v>49908</v>
      </c>
      <c r="V15" s="19" t="n">
        <v>42808</v>
      </c>
      <c r="W15" s="19" t="n">
        <v>-7100</v>
      </c>
      <c r="X15" s="19" t="n">
        <v>40160</v>
      </c>
      <c r="Y15" s="19" t="n">
        <v>44178</v>
      </c>
      <c r="Z15" s="19" t="n">
        <v>4018</v>
      </c>
      <c r="AA15" s="19" t="n">
        <v>36762</v>
      </c>
      <c r="AB15" s="19" t="n">
        <v>35605</v>
      </c>
      <c r="AC15" s="19" t="n">
        <v>-1157</v>
      </c>
      <c r="AD15" s="19" t="n">
        <v>43851</v>
      </c>
      <c r="AE15" s="19" t="n">
        <v>38856</v>
      </c>
      <c r="AF15" s="19" t="n">
        <v>-4995</v>
      </c>
      <c r="AG15" s="19" t="n">
        <v>38970</v>
      </c>
      <c r="AH15" s="19" t="n">
        <v>41989</v>
      </c>
      <c r="AI15" s="19" t="n">
        <v>3019</v>
      </c>
      <c r="AJ15" s="19" t="n">
        <v>54507</v>
      </c>
      <c r="AK15" s="19" t="n">
        <v>53900</v>
      </c>
      <c r="AL15" s="19" t="n">
        <v>-607</v>
      </c>
    </row>
    <row r="16">
      <c r="A16" s="23" t="inlineStr">
        <is>
          <t>研发部</t>
        </is>
      </c>
      <c r="B16" s="4" t="inlineStr">
        <is>
          <t>人工费用</t>
        </is>
      </c>
      <c r="C16" s="18" t="n">
        <v>43536</v>
      </c>
      <c r="D16" s="18" t="n">
        <v>39125</v>
      </c>
      <c r="E16" s="18" t="n">
        <v>-4411</v>
      </c>
      <c r="F16" s="18" t="n">
        <v>41346</v>
      </c>
      <c r="G16" s="18" t="n">
        <v>35188</v>
      </c>
      <c r="H16" s="18" t="n">
        <v>-6158</v>
      </c>
      <c r="I16" s="18" t="n">
        <v>47156</v>
      </c>
      <c r="J16" s="18" t="n">
        <v>48684</v>
      </c>
      <c r="K16" s="24" t="n">
        <v>1528</v>
      </c>
      <c r="L16" s="18" t="n">
        <v>54138</v>
      </c>
      <c r="M16" s="18" t="n">
        <v>54488</v>
      </c>
      <c r="N16" s="24" t="n">
        <v>350</v>
      </c>
      <c r="O16" s="18" t="n">
        <v>53540</v>
      </c>
      <c r="P16" s="18" t="n">
        <v>37707</v>
      </c>
      <c r="Q16" s="18" t="n">
        <v>-15833</v>
      </c>
      <c r="R16" s="18" t="n">
        <v>56409</v>
      </c>
      <c r="S16" s="18" t="n">
        <v>52913</v>
      </c>
      <c r="T16" s="18" t="n">
        <v>-3496</v>
      </c>
      <c r="U16" s="18" t="n">
        <v>63775</v>
      </c>
      <c r="V16" s="18" t="n">
        <v>79658</v>
      </c>
      <c r="W16" s="24" t="n">
        <v>15883</v>
      </c>
      <c r="X16" s="18" t="n">
        <v>56090</v>
      </c>
      <c r="Y16" s="18" t="n">
        <v>57176</v>
      </c>
      <c r="Z16" s="24" t="n">
        <v>1086</v>
      </c>
      <c r="AA16" s="18" t="n">
        <v>48851</v>
      </c>
      <c r="AB16" s="18" t="n">
        <v>62623</v>
      </c>
      <c r="AC16" s="24" t="n">
        <v>13772</v>
      </c>
      <c r="AD16" s="18" t="n">
        <v>56850</v>
      </c>
      <c r="AE16" s="18" t="n">
        <v>63903</v>
      </c>
      <c r="AF16" s="24" t="n">
        <v>7053</v>
      </c>
      <c r="AG16" s="18" t="n">
        <v>57374</v>
      </c>
      <c r="AH16" s="18" t="n">
        <v>55541</v>
      </c>
      <c r="AI16" s="18" t="n">
        <v>-1833</v>
      </c>
      <c r="AJ16" s="18" t="n">
        <v>73119</v>
      </c>
      <c r="AK16" s="18" t="n">
        <v>56859</v>
      </c>
      <c r="AL16" s="18" t="n">
        <v>-16260</v>
      </c>
    </row>
    <row r="17">
      <c r="B17" s="4" t="inlineStr">
        <is>
          <t>差旅费</t>
        </is>
      </c>
      <c r="C17" s="18" t="n">
        <v>14720</v>
      </c>
      <c r="D17" s="18" t="n">
        <v>13072</v>
      </c>
      <c r="E17" s="18" t="n">
        <v>-1648</v>
      </c>
      <c r="F17" s="18" t="n">
        <v>11489</v>
      </c>
      <c r="G17" s="18" t="n">
        <v>13847</v>
      </c>
      <c r="H17" s="24" t="n">
        <v>2358</v>
      </c>
      <c r="I17" s="18" t="n">
        <v>15233</v>
      </c>
      <c r="J17" s="18" t="n">
        <v>18992</v>
      </c>
      <c r="K17" s="24" t="n">
        <v>3759</v>
      </c>
      <c r="L17" s="18" t="n">
        <v>18147</v>
      </c>
      <c r="M17" s="18" t="n">
        <v>19281</v>
      </c>
      <c r="N17" s="24" t="n">
        <v>1134</v>
      </c>
      <c r="O17" s="18" t="n">
        <v>16522</v>
      </c>
      <c r="P17" s="18" t="n">
        <v>19269</v>
      </c>
      <c r="Q17" s="24" t="n">
        <v>2747</v>
      </c>
      <c r="R17" s="18" t="n">
        <v>20569</v>
      </c>
      <c r="S17" s="18" t="n">
        <v>19287</v>
      </c>
      <c r="T17" s="18" t="n">
        <v>-1282</v>
      </c>
      <c r="U17" s="18" t="n">
        <v>19794</v>
      </c>
      <c r="V17" s="18" t="n">
        <v>21633</v>
      </c>
      <c r="W17" s="24" t="n">
        <v>1839</v>
      </c>
      <c r="X17" s="18" t="n">
        <v>17879</v>
      </c>
      <c r="Y17" s="18" t="n">
        <v>15686</v>
      </c>
      <c r="Z17" s="18" t="n">
        <v>-2193</v>
      </c>
      <c r="AA17" s="18" t="n">
        <v>17441</v>
      </c>
      <c r="AB17" s="18" t="n">
        <v>13069</v>
      </c>
      <c r="AC17" s="18" t="n">
        <v>-4372</v>
      </c>
      <c r="AD17" s="18" t="n">
        <v>20889</v>
      </c>
      <c r="AE17" s="18" t="n">
        <v>17923</v>
      </c>
      <c r="AF17" s="18" t="n">
        <v>-2966</v>
      </c>
      <c r="AG17" s="18" t="n">
        <v>16167</v>
      </c>
      <c r="AH17" s="18" t="n">
        <v>19262</v>
      </c>
      <c r="AI17" s="24" t="n">
        <v>3095</v>
      </c>
      <c r="AJ17" s="18" t="n">
        <v>21070</v>
      </c>
      <c r="AK17" s="18" t="n">
        <v>19650</v>
      </c>
      <c r="AL17" s="18" t="n">
        <v>-1420</v>
      </c>
    </row>
    <row r="18">
      <c r="B18" s="4" t="inlineStr">
        <is>
          <t>业务招待费</t>
        </is>
      </c>
      <c r="C18" s="18" t="n">
        <v>10975</v>
      </c>
      <c r="D18" s="18" t="n">
        <v>9567</v>
      </c>
      <c r="E18" s="18" t="n">
        <v>-1408</v>
      </c>
      <c r="F18" s="18" t="n">
        <v>9332</v>
      </c>
      <c r="G18" s="18" t="n">
        <v>10947</v>
      </c>
      <c r="H18" s="24" t="n">
        <v>1615</v>
      </c>
      <c r="I18" s="18" t="n">
        <v>13175</v>
      </c>
      <c r="J18" s="18" t="n">
        <v>16585</v>
      </c>
      <c r="K18" s="24" t="n">
        <v>3410</v>
      </c>
      <c r="L18" s="18" t="n">
        <v>13935</v>
      </c>
      <c r="M18" s="18" t="n">
        <v>13612</v>
      </c>
      <c r="N18" s="18" t="n">
        <v>-323</v>
      </c>
      <c r="O18" s="18" t="n">
        <v>13701</v>
      </c>
      <c r="P18" s="18" t="n">
        <v>11274</v>
      </c>
      <c r="Q18" s="18" t="n">
        <v>-2427</v>
      </c>
      <c r="R18" s="18" t="n">
        <v>14433</v>
      </c>
      <c r="S18" s="18" t="n">
        <v>16994</v>
      </c>
      <c r="T18" s="24" t="n">
        <v>2561</v>
      </c>
      <c r="U18" s="18" t="n">
        <v>18437</v>
      </c>
      <c r="V18" s="18" t="n">
        <v>13975</v>
      </c>
      <c r="W18" s="18" t="n">
        <v>-4462</v>
      </c>
      <c r="X18" s="18" t="n">
        <v>13274</v>
      </c>
      <c r="Y18" s="18" t="n">
        <v>16072</v>
      </c>
      <c r="Z18" s="24" t="n">
        <v>2798</v>
      </c>
      <c r="AA18" s="18" t="n">
        <v>12216</v>
      </c>
      <c r="AB18" s="18" t="n">
        <v>14552</v>
      </c>
      <c r="AC18" s="24" t="n">
        <v>2336</v>
      </c>
      <c r="AD18" s="18" t="n">
        <v>17017</v>
      </c>
      <c r="AE18" s="18" t="n">
        <v>19932</v>
      </c>
      <c r="AF18" s="24" t="n">
        <v>2915</v>
      </c>
      <c r="AG18" s="18" t="n">
        <v>15601</v>
      </c>
      <c r="AH18" s="18" t="n">
        <v>12462</v>
      </c>
      <c r="AI18" s="18" t="n">
        <v>-3139</v>
      </c>
      <c r="AJ18" s="18" t="n">
        <v>18413</v>
      </c>
      <c r="AK18" s="18" t="n">
        <v>19686</v>
      </c>
      <c r="AL18" s="24" t="n">
        <v>1273</v>
      </c>
    </row>
    <row r="19">
      <c r="B19" s="4" t="inlineStr">
        <is>
          <t>办公费</t>
        </is>
      </c>
      <c r="C19" s="18" t="n">
        <v>8670</v>
      </c>
      <c r="D19" s="18" t="n">
        <v>6200</v>
      </c>
      <c r="E19" s="18" t="n">
        <v>-2470</v>
      </c>
      <c r="F19" s="18" t="n">
        <v>7615</v>
      </c>
      <c r="G19" s="18" t="n">
        <v>6272</v>
      </c>
      <c r="H19" s="18" t="n">
        <v>-1343</v>
      </c>
      <c r="I19" s="18" t="n">
        <v>11056</v>
      </c>
      <c r="J19" s="18" t="n">
        <v>9240</v>
      </c>
      <c r="K19" s="18" t="n">
        <v>-1816</v>
      </c>
      <c r="L19" s="18" t="n">
        <v>11490</v>
      </c>
      <c r="M19" s="18" t="n">
        <v>12177</v>
      </c>
      <c r="N19" s="24" t="n">
        <v>687</v>
      </c>
      <c r="O19" s="18" t="n">
        <v>11641</v>
      </c>
      <c r="P19" s="18" t="n">
        <v>13118</v>
      </c>
      <c r="Q19" s="24" t="n">
        <v>1477</v>
      </c>
      <c r="R19" s="18" t="n">
        <v>13691</v>
      </c>
      <c r="S19" s="18" t="n">
        <v>16268</v>
      </c>
      <c r="T19" s="24" t="n">
        <v>2577</v>
      </c>
      <c r="U19" s="18" t="n">
        <v>14981</v>
      </c>
      <c r="V19" s="18" t="n">
        <v>16122</v>
      </c>
      <c r="W19" s="24" t="n">
        <v>1141</v>
      </c>
      <c r="X19" s="18" t="n">
        <v>12525</v>
      </c>
      <c r="Y19" s="18" t="n">
        <v>12702</v>
      </c>
      <c r="Z19" s="24" t="n">
        <v>177</v>
      </c>
      <c r="AA19" s="18" t="n">
        <v>9891</v>
      </c>
      <c r="AB19" s="18" t="n">
        <v>12458</v>
      </c>
      <c r="AC19" s="24" t="n">
        <v>2567</v>
      </c>
      <c r="AD19" s="18" t="n">
        <v>13193</v>
      </c>
      <c r="AE19" s="18" t="n">
        <v>9660</v>
      </c>
      <c r="AF19" s="18" t="n">
        <v>-3533</v>
      </c>
      <c r="AG19" s="18" t="n">
        <v>12469</v>
      </c>
      <c r="AH19" s="18" t="n">
        <v>15689</v>
      </c>
      <c r="AI19" s="24" t="n">
        <v>3220</v>
      </c>
      <c r="AJ19" s="18" t="n">
        <v>16745</v>
      </c>
      <c r="AK19" s="18" t="n">
        <v>12883</v>
      </c>
      <c r="AL19" s="18" t="n">
        <v>-3862</v>
      </c>
    </row>
    <row r="20">
      <c r="B20" s="4" t="inlineStr">
        <is>
          <t>折旧费</t>
        </is>
      </c>
      <c r="C20" s="18" t="n">
        <v>7769</v>
      </c>
      <c r="D20" s="18" t="n">
        <v>6154</v>
      </c>
      <c r="E20" s="18" t="n">
        <v>-1615</v>
      </c>
      <c r="F20" s="18" t="n">
        <v>6844</v>
      </c>
      <c r="G20" s="18" t="n">
        <v>5683</v>
      </c>
      <c r="H20" s="18" t="n">
        <v>-1161</v>
      </c>
      <c r="I20" s="18" t="n">
        <v>8507</v>
      </c>
      <c r="J20" s="18" t="n">
        <v>10642</v>
      </c>
      <c r="K20" s="24" t="n">
        <v>2135</v>
      </c>
      <c r="L20" s="18" t="n">
        <v>9601</v>
      </c>
      <c r="M20" s="18" t="n">
        <v>9549</v>
      </c>
      <c r="N20" s="18" t="n">
        <v>-52</v>
      </c>
      <c r="O20" s="18" t="n">
        <v>9167</v>
      </c>
      <c r="P20" s="18" t="n">
        <v>11188</v>
      </c>
      <c r="Q20" s="24" t="n">
        <v>2021</v>
      </c>
      <c r="R20" s="18" t="n">
        <v>11483</v>
      </c>
      <c r="S20" s="18" t="n">
        <v>9489</v>
      </c>
      <c r="T20" s="18" t="n">
        <v>-1994</v>
      </c>
      <c r="U20" s="18" t="n">
        <v>10608</v>
      </c>
      <c r="V20" s="18" t="n">
        <v>8491</v>
      </c>
      <c r="W20" s="18" t="n">
        <v>-2117</v>
      </c>
      <c r="X20" s="18" t="n">
        <v>9054</v>
      </c>
      <c r="Y20" s="18" t="n">
        <v>9609</v>
      </c>
      <c r="Z20" s="24" t="n">
        <v>555</v>
      </c>
      <c r="AA20" s="18" t="n">
        <v>8208</v>
      </c>
      <c r="AB20" s="18" t="n">
        <v>5947</v>
      </c>
      <c r="AC20" s="18" t="n">
        <v>-2261</v>
      </c>
      <c r="AD20" s="18" t="n">
        <v>11329</v>
      </c>
      <c r="AE20" s="18" t="n">
        <v>8024</v>
      </c>
      <c r="AF20" s="18" t="n">
        <v>-3305</v>
      </c>
      <c r="AG20" s="18" t="n">
        <v>9477</v>
      </c>
      <c r="AH20" s="18" t="n">
        <v>10533</v>
      </c>
      <c r="AI20" s="24" t="n">
        <v>1056</v>
      </c>
      <c r="AJ20" s="18" t="n">
        <v>13640</v>
      </c>
      <c r="AK20" s="18" t="n">
        <v>15537</v>
      </c>
      <c r="AL20" s="24" t="n">
        <v>1897</v>
      </c>
    </row>
    <row r="21">
      <c r="B21" s="6" t="inlineStr">
        <is>
          <t>小计</t>
        </is>
      </c>
      <c r="C21" s="19" t="n">
        <v>85670</v>
      </c>
      <c r="D21" s="19" t="n">
        <v>74118</v>
      </c>
      <c r="E21" s="19" t="n">
        <v>-11552</v>
      </c>
      <c r="F21" s="19" t="n">
        <v>76626</v>
      </c>
      <c r="G21" s="19" t="n">
        <v>71937</v>
      </c>
      <c r="H21" s="19" t="n">
        <v>-4689</v>
      </c>
      <c r="I21" s="19" t="n">
        <v>95127</v>
      </c>
      <c r="J21" s="19" t="n">
        <v>104143</v>
      </c>
      <c r="K21" s="19" t="n">
        <v>9016</v>
      </c>
      <c r="L21" s="19" t="n">
        <v>107311</v>
      </c>
      <c r="M21" s="19" t="n">
        <v>109107</v>
      </c>
      <c r="N21" s="19" t="n">
        <v>1796</v>
      </c>
      <c r="O21" s="19" t="n">
        <v>104571</v>
      </c>
      <c r="P21" s="19" t="n">
        <v>92556</v>
      </c>
      <c r="Q21" s="19" t="n">
        <v>-12015</v>
      </c>
      <c r="R21" s="19" t="n">
        <v>116585</v>
      </c>
      <c r="S21" s="19" t="n">
        <v>114951</v>
      </c>
      <c r="T21" s="19" t="n">
        <v>-1634</v>
      </c>
      <c r="U21" s="19" t="n">
        <v>127595</v>
      </c>
      <c r="V21" s="19" t="n">
        <v>139879</v>
      </c>
      <c r="W21" s="19" t="n">
        <v>12284</v>
      </c>
      <c r="X21" s="19" t="n">
        <v>108822</v>
      </c>
      <c r="Y21" s="19" t="n">
        <v>111245</v>
      </c>
      <c r="Z21" s="19" t="n">
        <v>2423</v>
      </c>
      <c r="AA21" s="19" t="n">
        <v>96607</v>
      </c>
      <c r="AB21" s="19" t="n">
        <v>108649</v>
      </c>
      <c r="AC21" s="19" t="n">
        <v>12042</v>
      </c>
      <c r="AD21" s="19" t="n">
        <v>119278</v>
      </c>
      <c r="AE21" s="19" t="n">
        <v>119442</v>
      </c>
      <c r="AF21" s="19" t="n">
        <v>164</v>
      </c>
      <c r="AG21" s="19" t="n">
        <v>111088</v>
      </c>
      <c r="AH21" s="19" t="n">
        <v>113487</v>
      </c>
      <c r="AI21" s="19" t="n">
        <v>2399</v>
      </c>
      <c r="AJ21" s="19" t="n">
        <v>142987</v>
      </c>
      <c r="AK21" s="19" t="n">
        <v>124615</v>
      </c>
      <c r="AL21" s="19" t="n">
        <v>-18372</v>
      </c>
    </row>
    <row r="22">
      <c r="A22" s="23" t="inlineStr">
        <is>
          <t>生产部</t>
        </is>
      </c>
      <c r="B22" s="4" t="inlineStr">
        <is>
          <t>人工费用</t>
        </is>
      </c>
      <c r="C22" s="18" t="n">
        <v>52195</v>
      </c>
      <c r="D22" s="18" t="n">
        <v>52989</v>
      </c>
      <c r="E22" s="24" t="n">
        <v>794</v>
      </c>
      <c r="F22" s="18" t="n">
        <v>44988</v>
      </c>
      <c r="G22" s="18" t="n">
        <v>46488</v>
      </c>
      <c r="H22" s="24" t="n">
        <v>1500</v>
      </c>
      <c r="I22" s="18" t="n">
        <v>52515</v>
      </c>
      <c r="J22" s="18" t="n">
        <v>51620</v>
      </c>
      <c r="K22" s="18" t="n">
        <v>-895</v>
      </c>
      <c r="L22" s="18" t="n">
        <v>65008</v>
      </c>
      <c r="M22" s="18" t="n">
        <v>55485</v>
      </c>
      <c r="N22" s="18" t="n">
        <v>-9523</v>
      </c>
      <c r="O22" s="18" t="n">
        <v>60162</v>
      </c>
      <c r="P22" s="18" t="n">
        <v>50097</v>
      </c>
      <c r="Q22" s="18" t="n">
        <v>-10065</v>
      </c>
      <c r="R22" s="18" t="n">
        <v>65190</v>
      </c>
      <c r="S22" s="18" t="n">
        <v>79257</v>
      </c>
      <c r="T22" s="24" t="n">
        <v>14067</v>
      </c>
      <c r="U22" s="18" t="n">
        <v>79808</v>
      </c>
      <c r="V22" s="18" t="n">
        <v>72781</v>
      </c>
      <c r="W22" s="18" t="n">
        <v>-7027</v>
      </c>
      <c r="X22" s="18" t="n">
        <v>54745</v>
      </c>
      <c r="Y22" s="18" t="n">
        <v>60402</v>
      </c>
      <c r="Z22" s="24" t="n">
        <v>5657</v>
      </c>
      <c r="AA22" s="18" t="n">
        <v>54039</v>
      </c>
      <c r="AB22" s="18" t="n">
        <v>69030</v>
      </c>
      <c r="AC22" s="24" t="n">
        <v>14991</v>
      </c>
      <c r="AD22" s="18" t="n">
        <v>61910</v>
      </c>
      <c r="AE22" s="18" t="n">
        <v>75090</v>
      </c>
      <c r="AF22" s="24" t="n">
        <v>13180</v>
      </c>
      <c r="AG22" s="18" t="n">
        <v>61261</v>
      </c>
      <c r="AH22" s="18" t="n">
        <v>48567</v>
      </c>
      <c r="AI22" s="18" t="n">
        <v>-12694</v>
      </c>
      <c r="AJ22" s="18" t="n">
        <v>84620</v>
      </c>
      <c r="AK22" s="18" t="n">
        <v>68423</v>
      </c>
      <c r="AL22" s="18" t="n">
        <v>-16197</v>
      </c>
    </row>
    <row r="23">
      <c r="B23" s="4" t="inlineStr">
        <is>
          <t>差旅费</t>
        </is>
      </c>
      <c r="C23" s="18" t="n">
        <v>16782</v>
      </c>
      <c r="D23" s="18" t="n">
        <v>17172</v>
      </c>
      <c r="E23" s="24" t="n">
        <v>390</v>
      </c>
      <c r="F23" s="18" t="n">
        <v>13081</v>
      </c>
      <c r="G23" s="18" t="n">
        <v>15663</v>
      </c>
      <c r="H23" s="24" t="n">
        <v>2582</v>
      </c>
      <c r="I23" s="18" t="n">
        <v>17151</v>
      </c>
      <c r="J23" s="18" t="n">
        <v>20819</v>
      </c>
      <c r="K23" s="24" t="n">
        <v>3668</v>
      </c>
      <c r="L23" s="18" t="n">
        <v>19877</v>
      </c>
      <c r="M23" s="18" t="n">
        <v>25344</v>
      </c>
      <c r="N23" s="24" t="n">
        <v>5467</v>
      </c>
      <c r="O23" s="18" t="n">
        <v>18865</v>
      </c>
      <c r="P23" s="18" t="n">
        <v>19494</v>
      </c>
      <c r="Q23" s="24" t="n">
        <v>629</v>
      </c>
      <c r="R23" s="18" t="n">
        <v>21181</v>
      </c>
      <c r="S23" s="18" t="n">
        <v>20423</v>
      </c>
      <c r="T23" s="18" t="n">
        <v>-758</v>
      </c>
      <c r="U23" s="18" t="n">
        <v>23908</v>
      </c>
      <c r="V23" s="18" t="n">
        <v>26896</v>
      </c>
      <c r="W23" s="24" t="n">
        <v>2988</v>
      </c>
      <c r="X23" s="18" t="n">
        <v>19069</v>
      </c>
      <c r="Y23" s="18" t="n">
        <v>15705</v>
      </c>
      <c r="Z23" s="18" t="n">
        <v>-3364</v>
      </c>
      <c r="AA23" s="18" t="n">
        <v>19473</v>
      </c>
      <c r="AB23" s="18" t="n">
        <v>24220</v>
      </c>
      <c r="AC23" s="24" t="n">
        <v>4747</v>
      </c>
      <c r="AD23" s="18" t="n">
        <v>23229</v>
      </c>
      <c r="AE23" s="18" t="n">
        <v>21280</v>
      </c>
      <c r="AF23" s="18" t="n">
        <v>-1949</v>
      </c>
      <c r="AG23" s="18" t="n">
        <v>20568</v>
      </c>
      <c r="AH23" s="18" t="n">
        <v>24746</v>
      </c>
      <c r="AI23" s="24" t="n">
        <v>4178</v>
      </c>
      <c r="AJ23" s="18" t="n">
        <v>26653</v>
      </c>
      <c r="AK23" s="18" t="n">
        <v>29248</v>
      </c>
      <c r="AL23" s="24" t="n">
        <v>2595</v>
      </c>
    </row>
    <row r="24">
      <c r="B24" s="4" t="inlineStr">
        <is>
          <t>业务招待费</t>
        </is>
      </c>
      <c r="C24" s="18" t="n">
        <v>11741</v>
      </c>
      <c r="D24" s="18" t="n">
        <v>11053</v>
      </c>
      <c r="E24" s="18" t="n">
        <v>-688</v>
      </c>
      <c r="F24" s="18" t="n">
        <v>11686</v>
      </c>
      <c r="G24" s="18" t="n">
        <v>10964</v>
      </c>
      <c r="H24" s="18" t="n">
        <v>-722</v>
      </c>
      <c r="I24" s="18" t="n">
        <v>15686</v>
      </c>
      <c r="J24" s="18" t="n">
        <v>16091</v>
      </c>
      <c r="K24" s="24" t="n">
        <v>405</v>
      </c>
      <c r="L24" s="18" t="n">
        <v>17756</v>
      </c>
      <c r="M24" s="18" t="n">
        <v>13436</v>
      </c>
      <c r="N24" s="18" t="n">
        <v>-4320</v>
      </c>
      <c r="O24" s="18" t="n">
        <v>15213</v>
      </c>
      <c r="P24" s="18" t="n">
        <v>16613</v>
      </c>
      <c r="Q24" s="24" t="n">
        <v>1400</v>
      </c>
      <c r="R24" s="18" t="n">
        <v>16956</v>
      </c>
      <c r="S24" s="18" t="n">
        <v>22027</v>
      </c>
      <c r="T24" s="24" t="n">
        <v>5071</v>
      </c>
      <c r="U24" s="18" t="n">
        <v>19493</v>
      </c>
      <c r="V24" s="18" t="n">
        <v>22148</v>
      </c>
      <c r="W24" s="24" t="n">
        <v>2655</v>
      </c>
      <c r="X24" s="18" t="n">
        <v>16429</v>
      </c>
      <c r="Y24" s="18" t="n">
        <v>21354</v>
      </c>
      <c r="Z24" s="24" t="n">
        <v>4925</v>
      </c>
      <c r="AA24" s="18" t="n">
        <v>13369</v>
      </c>
      <c r="AB24" s="18" t="n">
        <v>17112</v>
      </c>
      <c r="AC24" s="24" t="n">
        <v>3743</v>
      </c>
      <c r="AD24" s="18" t="n">
        <v>18355</v>
      </c>
      <c r="AE24" s="18" t="n">
        <v>23657</v>
      </c>
      <c r="AF24" s="24" t="n">
        <v>5302</v>
      </c>
      <c r="AG24" s="18" t="n">
        <v>17141</v>
      </c>
      <c r="AH24" s="18" t="n">
        <v>15614</v>
      </c>
      <c r="AI24" s="18" t="n">
        <v>-1527</v>
      </c>
      <c r="AJ24" s="18" t="n">
        <v>19573</v>
      </c>
      <c r="AK24" s="18" t="n">
        <v>16771</v>
      </c>
      <c r="AL24" s="18" t="n">
        <v>-2802</v>
      </c>
    </row>
    <row r="25">
      <c r="B25" s="4" t="inlineStr">
        <is>
          <t>办公费</t>
        </is>
      </c>
      <c r="C25" s="18" t="n">
        <v>9961</v>
      </c>
      <c r="D25" s="18" t="n">
        <v>12190</v>
      </c>
      <c r="E25" s="24" t="n">
        <v>2229</v>
      </c>
      <c r="F25" s="18" t="n">
        <v>9906</v>
      </c>
      <c r="G25" s="18" t="n">
        <v>9714</v>
      </c>
      <c r="H25" s="18" t="n">
        <v>-192</v>
      </c>
      <c r="I25" s="18" t="n">
        <v>12574</v>
      </c>
      <c r="J25" s="18" t="n">
        <v>12377</v>
      </c>
      <c r="K25" s="18" t="n">
        <v>-197</v>
      </c>
      <c r="L25" s="18" t="n">
        <v>14039</v>
      </c>
      <c r="M25" s="18" t="n">
        <v>12413</v>
      </c>
      <c r="N25" s="18" t="n">
        <v>-1626</v>
      </c>
      <c r="O25" s="18" t="n">
        <v>14047</v>
      </c>
      <c r="P25" s="18" t="n">
        <v>17738</v>
      </c>
      <c r="Q25" s="24" t="n">
        <v>3691</v>
      </c>
      <c r="R25" s="18" t="n">
        <v>15686</v>
      </c>
      <c r="S25" s="18" t="n">
        <v>13356</v>
      </c>
      <c r="T25" s="18" t="n">
        <v>-2330</v>
      </c>
      <c r="U25" s="18" t="n">
        <v>17630</v>
      </c>
      <c r="V25" s="18" t="n">
        <v>13344</v>
      </c>
      <c r="W25" s="18" t="n">
        <v>-4286</v>
      </c>
      <c r="X25" s="18" t="n">
        <v>13990</v>
      </c>
      <c r="Y25" s="18" t="n">
        <v>15892</v>
      </c>
      <c r="Z25" s="24" t="n">
        <v>1902</v>
      </c>
      <c r="AA25" s="18" t="n">
        <v>12324</v>
      </c>
      <c r="AB25" s="18" t="n">
        <v>15472</v>
      </c>
      <c r="AC25" s="24" t="n">
        <v>3148</v>
      </c>
      <c r="AD25" s="18" t="n">
        <v>15534</v>
      </c>
      <c r="AE25" s="18" t="n">
        <v>18519</v>
      </c>
      <c r="AF25" s="24" t="n">
        <v>2985</v>
      </c>
      <c r="AG25" s="18" t="n">
        <v>14306</v>
      </c>
      <c r="AH25" s="18" t="n">
        <v>16106</v>
      </c>
      <c r="AI25" s="24" t="n">
        <v>1800</v>
      </c>
      <c r="AJ25" s="18" t="n">
        <v>17779</v>
      </c>
      <c r="AK25" s="18" t="n">
        <v>15198</v>
      </c>
      <c r="AL25" s="18" t="n">
        <v>-2581</v>
      </c>
    </row>
    <row r="26">
      <c r="B26" s="4" t="inlineStr">
        <is>
          <t>折旧费</t>
        </is>
      </c>
      <c r="C26" s="18" t="n">
        <v>7891</v>
      </c>
      <c r="D26" s="18" t="n">
        <v>6692</v>
      </c>
      <c r="E26" s="18" t="n">
        <v>-1199</v>
      </c>
      <c r="F26" s="18" t="n">
        <v>7660</v>
      </c>
      <c r="G26" s="18" t="n">
        <v>6269</v>
      </c>
      <c r="H26" s="18" t="n">
        <v>-1391</v>
      </c>
      <c r="I26" s="18" t="n">
        <v>8938</v>
      </c>
      <c r="J26" s="18" t="n">
        <v>10349</v>
      </c>
      <c r="K26" s="24" t="n">
        <v>1411</v>
      </c>
      <c r="L26" s="18" t="n">
        <v>10590</v>
      </c>
      <c r="M26" s="18" t="n">
        <v>13193</v>
      </c>
      <c r="N26" s="24" t="n">
        <v>2603</v>
      </c>
      <c r="O26" s="18" t="n">
        <v>10555</v>
      </c>
      <c r="P26" s="18" t="n">
        <v>11038</v>
      </c>
      <c r="Q26" s="24" t="n">
        <v>483</v>
      </c>
      <c r="R26" s="18" t="n">
        <v>11096</v>
      </c>
      <c r="S26" s="18" t="n">
        <v>10429</v>
      </c>
      <c r="T26" s="18" t="n">
        <v>-667</v>
      </c>
      <c r="U26" s="18" t="n">
        <v>12753</v>
      </c>
      <c r="V26" s="18" t="n">
        <v>12695</v>
      </c>
      <c r="W26" s="18" t="n">
        <v>-58</v>
      </c>
      <c r="X26" s="18" t="n">
        <v>10758</v>
      </c>
      <c r="Y26" s="18" t="n">
        <v>11197</v>
      </c>
      <c r="Z26" s="24" t="n">
        <v>439</v>
      </c>
      <c r="AA26" s="18" t="n">
        <v>9435</v>
      </c>
      <c r="AB26" s="18" t="n">
        <v>9769</v>
      </c>
      <c r="AC26" s="24" t="n">
        <v>334</v>
      </c>
      <c r="AD26" s="18" t="n">
        <v>10847</v>
      </c>
      <c r="AE26" s="18" t="n">
        <v>13017</v>
      </c>
      <c r="AF26" s="24" t="n">
        <v>2170</v>
      </c>
      <c r="AG26" s="18" t="n">
        <v>10371</v>
      </c>
      <c r="AH26" s="18" t="n">
        <v>10281</v>
      </c>
      <c r="AI26" s="18" t="n">
        <v>-90</v>
      </c>
      <c r="AJ26" s="18" t="n">
        <v>15416</v>
      </c>
      <c r="AK26" s="18" t="n">
        <v>11466</v>
      </c>
      <c r="AL26" s="18" t="n">
        <v>-3950</v>
      </c>
    </row>
    <row r="27">
      <c r="B27" s="6" t="inlineStr">
        <is>
          <t>小计</t>
        </is>
      </c>
      <c r="C27" s="19" t="n">
        <v>98570</v>
      </c>
      <c r="D27" s="19" t="n">
        <v>100096</v>
      </c>
      <c r="E27" s="19" t="n">
        <v>1526</v>
      </c>
      <c r="F27" s="19" t="n">
        <v>87321</v>
      </c>
      <c r="G27" s="19" t="n">
        <v>89098</v>
      </c>
      <c r="H27" s="19" t="n">
        <v>1777</v>
      </c>
      <c r="I27" s="19" t="n">
        <v>106864</v>
      </c>
      <c r="J27" s="19" t="n">
        <v>111256</v>
      </c>
      <c r="K27" s="19" t="n">
        <v>4392</v>
      </c>
      <c r="L27" s="19" t="n">
        <v>127270</v>
      </c>
      <c r="M27" s="19" t="n">
        <v>119871</v>
      </c>
      <c r="N27" s="19" t="n">
        <v>-7399</v>
      </c>
      <c r="O27" s="19" t="n">
        <v>118842</v>
      </c>
      <c r="P27" s="19" t="n">
        <v>114980</v>
      </c>
      <c r="Q27" s="19" t="n">
        <v>-3862</v>
      </c>
      <c r="R27" s="19" t="n">
        <v>130109</v>
      </c>
      <c r="S27" s="19" t="n">
        <v>145492</v>
      </c>
      <c r="T27" s="19" t="n">
        <v>15383</v>
      </c>
      <c r="U27" s="19" t="n">
        <v>153592</v>
      </c>
      <c r="V27" s="19" t="n">
        <v>147864</v>
      </c>
      <c r="W27" s="19" t="n">
        <v>-5728</v>
      </c>
      <c r="X27" s="19" t="n">
        <v>114991</v>
      </c>
      <c r="Y27" s="19" t="n">
        <v>124550</v>
      </c>
      <c r="Z27" s="19" t="n">
        <v>9559</v>
      </c>
      <c r="AA27" s="19" t="n">
        <v>108640</v>
      </c>
      <c r="AB27" s="19" t="n">
        <v>135603</v>
      </c>
      <c r="AC27" s="19" t="n">
        <v>26963</v>
      </c>
      <c r="AD27" s="19" t="n">
        <v>129875</v>
      </c>
      <c r="AE27" s="19" t="n">
        <v>151563</v>
      </c>
      <c r="AF27" s="19" t="n">
        <v>21688</v>
      </c>
      <c r="AG27" s="19" t="n">
        <v>123647</v>
      </c>
      <c r="AH27" s="19" t="n">
        <v>115314</v>
      </c>
      <c r="AI27" s="19" t="n">
        <v>-8333</v>
      </c>
      <c r="AJ27" s="19" t="n">
        <v>164041</v>
      </c>
      <c r="AK27" s="19" t="n">
        <v>141106</v>
      </c>
      <c r="AL27" s="19" t="n">
        <v>-22935</v>
      </c>
    </row>
    <row r="28">
      <c r="A28" s="23" t="inlineStr">
        <is>
          <t>采购部</t>
        </is>
      </c>
      <c r="B28" s="4" t="inlineStr">
        <is>
          <t>人工费用</t>
        </is>
      </c>
      <c r="C28" s="18" t="n">
        <v>25921</v>
      </c>
      <c r="D28" s="18" t="n">
        <v>33633</v>
      </c>
      <c r="E28" s="24" t="n">
        <v>7712</v>
      </c>
      <c r="F28" s="18" t="n">
        <v>19452</v>
      </c>
      <c r="G28" s="18" t="n">
        <v>20009</v>
      </c>
      <c r="H28" s="24" t="n">
        <v>557</v>
      </c>
      <c r="I28" s="18" t="n">
        <v>27889</v>
      </c>
      <c r="J28" s="18" t="n">
        <v>24505</v>
      </c>
      <c r="K28" s="18" t="n">
        <v>-3384</v>
      </c>
      <c r="L28" s="18" t="n">
        <v>30300</v>
      </c>
      <c r="M28" s="18" t="n">
        <v>30143</v>
      </c>
      <c r="N28" s="18" t="n">
        <v>-157</v>
      </c>
      <c r="O28" s="18" t="n">
        <v>28444</v>
      </c>
      <c r="P28" s="18" t="n">
        <v>23332</v>
      </c>
      <c r="Q28" s="18" t="n">
        <v>-5112</v>
      </c>
      <c r="R28" s="18" t="n">
        <v>34509</v>
      </c>
      <c r="S28" s="18" t="n">
        <v>38227</v>
      </c>
      <c r="T28" s="24" t="n">
        <v>3718</v>
      </c>
      <c r="U28" s="18" t="n">
        <v>36784</v>
      </c>
      <c r="V28" s="18" t="n">
        <v>34710</v>
      </c>
      <c r="W28" s="18" t="n">
        <v>-2074</v>
      </c>
      <c r="X28" s="18" t="n">
        <v>29875</v>
      </c>
      <c r="Y28" s="18" t="n">
        <v>21407</v>
      </c>
      <c r="Z28" s="18" t="n">
        <v>-8468</v>
      </c>
      <c r="AA28" s="18" t="n">
        <v>25399</v>
      </c>
      <c r="AB28" s="18" t="n">
        <v>19029</v>
      </c>
      <c r="AC28" s="18" t="n">
        <v>-6370</v>
      </c>
      <c r="AD28" s="18" t="n">
        <v>34528</v>
      </c>
      <c r="AE28" s="18" t="n">
        <v>31095</v>
      </c>
      <c r="AF28" s="18" t="n">
        <v>-3433</v>
      </c>
      <c r="AG28" s="18" t="n">
        <v>30873</v>
      </c>
      <c r="AH28" s="18" t="n">
        <v>21615</v>
      </c>
      <c r="AI28" s="18" t="n">
        <v>-9258</v>
      </c>
      <c r="AJ28" s="18" t="n">
        <v>38197</v>
      </c>
      <c r="AK28" s="18" t="n">
        <v>43912</v>
      </c>
      <c r="AL28" s="24" t="n">
        <v>5715</v>
      </c>
    </row>
    <row r="29">
      <c r="B29" s="4" t="inlineStr">
        <is>
          <t>差旅费</t>
        </is>
      </c>
      <c r="C29" s="18" t="n">
        <v>8048</v>
      </c>
      <c r="D29" s="18" t="n">
        <v>6846</v>
      </c>
      <c r="E29" s="18" t="n">
        <v>-1202</v>
      </c>
      <c r="F29" s="18" t="n">
        <v>7337</v>
      </c>
      <c r="G29" s="18" t="n">
        <v>8473</v>
      </c>
      <c r="H29" s="24" t="n">
        <v>1136</v>
      </c>
      <c r="I29" s="18" t="n">
        <v>8775</v>
      </c>
      <c r="J29" s="18" t="n">
        <v>9223</v>
      </c>
      <c r="K29" s="24" t="n">
        <v>448</v>
      </c>
      <c r="L29" s="18" t="n">
        <v>9241</v>
      </c>
      <c r="M29" s="18" t="n">
        <v>6483</v>
      </c>
      <c r="N29" s="18" t="n">
        <v>-2758</v>
      </c>
      <c r="O29" s="18" t="n">
        <v>10701</v>
      </c>
      <c r="P29" s="18" t="n">
        <v>13595</v>
      </c>
      <c r="Q29" s="24" t="n">
        <v>2894</v>
      </c>
      <c r="R29" s="18" t="n">
        <v>10355</v>
      </c>
      <c r="S29" s="18" t="n">
        <v>13050</v>
      </c>
      <c r="T29" s="24" t="n">
        <v>2695</v>
      </c>
      <c r="U29" s="18" t="n">
        <v>12968</v>
      </c>
      <c r="V29" s="18" t="n">
        <v>16138</v>
      </c>
      <c r="W29" s="24" t="n">
        <v>3170</v>
      </c>
      <c r="X29" s="18" t="n">
        <v>9727</v>
      </c>
      <c r="Y29" s="18" t="n">
        <v>9495</v>
      </c>
      <c r="Z29" s="18" t="n">
        <v>-232</v>
      </c>
      <c r="AA29" s="18" t="n">
        <v>9409</v>
      </c>
      <c r="AB29" s="18" t="n">
        <v>8347</v>
      </c>
      <c r="AC29" s="18" t="n">
        <v>-1062</v>
      </c>
      <c r="AD29" s="18" t="n">
        <v>11552</v>
      </c>
      <c r="AE29" s="18" t="n">
        <v>13636</v>
      </c>
      <c r="AF29" s="24" t="n">
        <v>2084</v>
      </c>
      <c r="AG29" s="18" t="n">
        <v>10449</v>
      </c>
      <c r="AH29" s="18" t="n">
        <v>13306</v>
      </c>
      <c r="AI29" s="24" t="n">
        <v>2857</v>
      </c>
      <c r="AJ29" s="18" t="n">
        <v>12891</v>
      </c>
      <c r="AK29" s="18" t="n">
        <v>16029</v>
      </c>
      <c r="AL29" s="24" t="n">
        <v>3138</v>
      </c>
    </row>
    <row r="30">
      <c r="B30" s="4" t="inlineStr">
        <is>
          <t>业务招待费</t>
        </is>
      </c>
      <c r="C30" s="18" t="n">
        <v>6191</v>
      </c>
      <c r="D30" s="18" t="n">
        <v>6791</v>
      </c>
      <c r="E30" s="24" t="n">
        <v>600</v>
      </c>
      <c r="F30" s="18" t="n">
        <v>5191</v>
      </c>
      <c r="G30" s="18" t="n">
        <v>5048</v>
      </c>
      <c r="H30" s="18" t="n">
        <v>-143</v>
      </c>
      <c r="I30" s="18" t="n">
        <v>8018</v>
      </c>
      <c r="J30" s="18" t="n">
        <v>7445</v>
      </c>
      <c r="K30" s="18" t="n">
        <v>-573</v>
      </c>
      <c r="L30" s="18" t="n">
        <v>8463</v>
      </c>
      <c r="M30" s="18" t="n">
        <v>7890</v>
      </c>
      <c r="N30" s="18" t="n">
        <v>-573</v>
      </c>
      <c r="O30" s="18" t="n">
        <v>7669</v>
      </c>
      <c r="P30" s="18" t="n">
        <v>5537</v>
      </c>
      <c r="Q30" s="18" t="n">
        <v>-2132</v>
      </c>
      <c r="R30" s="18" t="n">
        <v>9326</v>
      </c>
      <c r="S30" s="18" t="n">
        <v>7189</v>
      </c>
      <c r="T30" s="18" t="n">
        <v>-2137</v>
      </c>
      <c r="U30" s="18" t="n">
        <v>10420</v>
      </c>
      <c r="V30" s="18" t="n">
        <v>12056</v>
      </c>
      <c r="W30" s="24" t="n">
        <v>1636</v>
      </c>
      <c r="X30" s="18" t="n">
        <v>8122</v>
      </c>
      <c r="Y30" s="18" t="n">
        <v>7792</v>
      </c>
      <c r="Z30" s="18" t="n">
        <v>-330</v>
      </c>
      <c r="AA30" s="18" t="n">
        <v>6964</v>
      </c>
      <c r="AB30" s="18" t="n">
        <v>5600</v>
      </c>
      <c r="AC30" s="18" t="n">
        <v>-1364</v>
      </c>
      <c r="AD30" s="18" t="n">
        <v>8764</v>
      </c>
      <c r="AE30" s="18" t="n">
        <v>10333</v>
      </c>
      <c r="AF30" s="24" t="n">
        <v>1569</v>
      </c>
      <c r="AG30" s="18" t="n">
        <v>8301</v>
      </c>
      <c r="AH30" s="18" t="n">
        <v>7996</v>
      </c>
      <c r="AI30" s="18" t="n">
        <v>-305</v>
      </c>
      <c r="AJ30" s="18" t="n">
        <v>9920</v>
      </c>
      <c r="AK30" s="18" t="n">
        <v>8533</v>
      </c>
      <c r="AL30" s="18" t="n">
        <v>-1387</v>
      </c>
    </row>
    <row r="31">
      <c r="B31" s="4" t="inlineStr">
        <is>
          <t>办公费</t>
        </is>
      </c>
      <c r="C31" s="18" t="n">
        <v>5311</v>
      </c>
      <c r="D31" s="18" t="n">
        <v>6854</v>
      </c>
      <c r="E31" s="24" t="n">
        <v>1543</v>
      </c>
      <c r="F31" s="18" t="n">
        <v>4399</v>
      </c>
      <c r="G31" s="18" t="n">
        <v>5308</v>
      </c>
      <c r="H31" s="24" t="n">
        <v>909</v>
      </c>
      <c r="I31" s="18" t="n">
        <v>6322</v>
      </c>
      <c r="J31" s="18" t="n">
        <v>5798</v>
      </c>
      <c r="K31" s="18" t="n">
        <v>-524</v>
      </c>
      <c r="L31" s="18" t="n">
        <v>7074</v>
      </c>
      <c r="M31" s="18" t="n">
        <v>7575</v>
      </c>
      <c r="N31" s="24" t="n">
        <v>501</v>
      </c>
      <c r="O31" s="18" t="n">
        <v>6357</v>
      </c>
      <c r="P31" s="18" t="n">
        <v>7793</v>
      </c>
      <c r="Q31" s="24" t="n">
        <v>1436</v>
      </c>
      <c r="R31" s="18" t="n">
        <v>7458</v>
      </c>
      <c r="S31" s="18" t="n">
        <v>5751</v>
      </c>
      <c r="T31" s="18" t="n">
        <v>-1707</v>
      </c>
      <c r="U31" s="18" t="n">
        <v>8488</v>
      </c>
      <c r="V31" s="18" t="n">
        <v>7511</v>
      </c>
      <c r="W31" s="18" t="n">
        <v>-977</v>
      </c>
      <c r="X31" s="18" t="n">
        <v>6987</v>
      </c>
      <c r="Y31" s="18" t="n">
        <v>8385</v>
      </c>
      <c r="Z31" s="24" t="n">
        <v>1398</v>
      </c>
      <c r="AA31" s="18" t="n">
        <v>6102</v>
      </c>
      <c r="AB31" s="18" t="n">
        <v>6099</v>
      </c>
      <c r="AC31" s="18" t="n">
        <v>-3</v>
      </c>
      <c r="AD31" s="18" t="n">
        <v>7696</v>
      </c>
      <c r="AE31" s="18" t="n">
        <v>6232</v>
      </c>
      <c r="AF31" s="18" t="n">
        <v>-1464</v>
      </c>
      <c r="AG31" s="18" t="n">
        <v>7285</v>
      </c>
      <c r="AH31" s="18" t="n">
        <v>6908</v>
      </c>
      <c r="AI31" s="18" t="n">
        <v>-377</v>
      </c>
      <c r="AJ31" s="18" t="n">
        <v>9436</v>
      </c>
      <c r="AK31" s="18" t="n">
        <v>9924</v>
      </c>
      <c r="AL31" s="24" t="n">
        <v>488</v>
      </c>
    </row>
    <row r="32">
      <c r="B32" s="4" t="inlineStr">
        <is>
          <t>折旧费</t>
        </is>
      </c>
      <c r="C32" s="18" t="n">
        <v>4375</v>
      </c>
      <c r="D32" s="18" t="n">
        <v>4129</v>
      </c>
      <c r="E32" s="18" t="n">
        <v>-246</v>
      </c>
      <c r="F32" s="18" t="n">
        <v>3862</v>
      </c>
      <c r="G32" s="18" t="n">
        <v>3946</v>
      </c>
      <c r="H32" s="24" t="n">
        <v>84</v>
      </c>
      <c r="I32" s="18" t="n">
        <v>5053</v>
      </c>
      <c r="J32" s="18" t="n">
        <v>5205</v>
      </c>
      <c r="K32" s="24" t="n">
        <v>152</v>
      </c>
      <c r="L32" s="18" t="n">
        <v>5738</v>
      </c>
      <c r="M32" s="18" t="n">
        <v>4137</v>
      </c>
      <c r="N32" s="18" t="n">
        <v>-1601</v>
      </c>
      <c r="O32" s="18" t="n">
        <v>5740</v>
      </c>
      <c r="P32" s="18" t="n">
        <v>5199</v>
      </c>
      <c r="Q32" s="18" t="n">
        <v>-541</v>
      </c>
      <c r="R32" s="18" t="n">
        <v>6133</v>
      </c>
      <c r="S32" s="18" t="n">
        <v>5031</v>
      </c>
      <c r="T32" s="18" t="n">
        <v>-1102</v>
      </c>
      <c r="U32" s="18" t="n">
        <v>6352</v>
      </c>
      <c r="V32" s="18" t="n">
        <v>5889</v>
      </c>
      <c r="W32" s="18" t="n">
        <v>-463</v>
      </c>
      <c r="X32" s="18" t="n">
        <v>5972</v>
      </c>
      <c r="Y32" s="18" t="n">
        <v>7269</v>
      </c>
      <c r="Z32" s="24" t="n">
        <v>1297</v>
      </c>
      <c r="AA32" s="18" t="n">
        <v>5227</v>
      </c>
      <c r="AB32" s="18" t="n">
        <v>6264</v>
      </c>
      <c r="AC32" s="24" t="n">
        <v>1037</v>
      </c>
      <c r="AD32" s="18" t="n">
        <v>5758</v>
      </c>
      <c r="AE32" s="18" t="n">
        <v>4765</v>
      </c>
      <c r="AF32" s="18" t="n">
        <v>-993</v>
      </c>
      <c r="AG32" s="18" t="n">
        <v>5675</v>
      </c>
      <c r="AH32" s="18" t="n">
        <v>4635</v>
      </c>
      <c r="AI32" s="18" t="n">
        <v>-1040</v>
      </c>
      <c r="AJ32" s="18" t="n">
        <v>7603</v>
      </c>
      <c r="AK32" s="18" t="n">
        <v>6571</v>
      </c>
      <c r="AL32" s="18" t="n">
        <v>-1032</v>
      </c>
    </row>
    <row r="33">
      <c r="B33" s="6" t="inlineStr">
        <is>
          <t>小计</t>
        </is>
      </c>
      <c r="C33" s="19" t="n">
        <v>49846</v>
      </c>
      <c r="D33" s="19" t="n">
        <v>58253</v>
      </c>
      <c r="E33" s="19" t="n">
        <v>8407</v>
      </c>
      <c r="F33" s="19" t="n">
        <v>40241</v>
      </c>
      <c r="G33" s="19" t="n">
        <v>42784</v>
      </c>
      <c r="H33" s="19" t="n">
        <v>2543</v>
      </c>
      <c r="I33" s="19" t="n">
        <v>56057</v>
      </c>
      <c r="J33" s="19" t="n">
        <v>52176</v>
      </c>
      <c r="K33" s="19" t="n">
        <v>-3881</v>
      </c>
      <c r="L33" s="19" t="n">
        <v>60816</v>
      </c>
      <c r="M33" s="19" t="n">
        <v>56228</v>
      </c>
      <c r="N33" s="19" t="n">
        <v>-4588</v>
      </c>
      <c r="O33" s="19" t="n">
        <v>58911</v>
      </c>
      <c r="P33" s="19" t="n">
        <v>55456</v>
      </c>
      <c r="Q33" s="19" t="n">
        <v>-3455</v>
      </c>
      <c r="R33" s="19" t="n">
        <v>67781</v>
      </c>
      <c r="S33" s="19" t="n">
        <v>69248</v>
      </c>
      <c r="T33" s="19" t="n">
        <v>1467</v>
      </c>
      <c r="U33" s="19" t="n">
        <v>75012</v>
      </c>
      <c r="V33" s="19" t="n">
        <v>76304</v>
      </c>
      <c r="W33" s="19" t="n">
        <v>1292</v>
      </c>
      <c r="X33" s="19" t="n">
        <v>60683</v>
      </c>
      <c r="Y33" s="19" t="n">
        <v>54348</v>
      </c>
      <c r="Z33" s="19" t="n">
        <v>-6335</v>
      </c>
      <c r="AA33" s="19" t="n">
        <v>53101</v>
      </c>
      <c r="AB33" s="19" t="n">
        <v>45339</v>
      </c>
      <c r="AC33" s="19" t="n">
        <v>-7762</v>
      </c>
      <c r="AD33" s="19" t="n">
        <v>68298</v>
      </c>
      <c r="AE33" s="19" t="n">
        <v>66061</v>
      </c>
      <c r="AF33" s="19" t="n">
        <v>-2237</v>
      </c>
      <c r="AG33" s="19" t="n">
        <v>62583</v>
      </c>
      <c r="AH33" s="19" t="n">
        <v>54460</v>
      </c>
      <c r="AI33" s="19" t="n">
        <v>-8123</v>
      </c>
      <c r="AJ33" s="19" t="n">
        <v>78047</v>
      </c>
      <c r="AK33" s="19" t="n">
        <v>84969</v>
      </c>
      <c r="AL33" s="19" t="n">
        <v>6922</v>
      </c>
    </row>
    <row r="34">
      <c r="A34" s="23" t="inlineStr">
        <is>
          <t>人力资源部</t>
        </is>
      </c>
      <c r="B34" s="4" t="inlineStr">
        <is>
          <t>人工费用</t>
        </is>
      </c>
      <c r="C34" s="18" t="n">
        <v>44388</v>
      </c>
      <c r="D34" s="18" t="n">
        <v>41263</v>
      </c>
      <c r="E34" s="18" t="n">
        <v>-3125</v>
      </c>
      <c r="F34" s="18" t="n">
        <v>39687</v>
      </c>
      <c r="G34" s="18" t="n">
        <v>37201</v>
      </c>
      <c r="H34" s="18" t="n">
        <v>-2486</v>
      </c>
      <c r="I34" s="18" t="n">
        <v>54784</v>
      </c>
      <c r="J34" s="18" t="n">
        <v>52296</v>
      </c>
      <c r="K34" s="18" t="n">
        <v>-2488</v>
      </c>
      <c r="L34" s="18" t="n">
        <v>64640</v>
      </c>
      <c r="M34" s="18" t="n">
        <v>79165</v>
      </c>
      <c r="N34" s="24" t="n">
        <v>14525</v>
      </c>
      <c r="O34" s="18" t="n">
        <v>62111</v>
      </c>
      <c r="P34" s="18" t="n">
        <v>73607</v>
      </c>
      <c r="Q34" s="24" t="n">
        <v>11496</v>
      </c>
      <c r="R34" s="18" t="n">
        <v>71058</v>
      </c>
      <c r="S34" s="18" t="n">
        <v>81092</v>
      </c>
      <c r="T34" s="24" t="n">
        <v>10034</v>
      </c>
      <c r="U34" s="18" t="n">
        <v>73417</v>
      </c>
      <c r="V34" s="18" t="n">
        <v>80281</v>
      </c>
      <c r="W34" s="24" t="n">
        <v>6864</v>
      </c>
      <c r="X34" s="18" t="n">
        <v>59584</v>
      </c>
      <c r="Y34" s="18" t="n">
        <v>63839</v>
      </c>
      <c r="Z34" s="24" t="n">
        <v>4255</v>
      </c>
      <c r="AA34" s="18" t="n">
        <v>58366</v>
      </c>
      <c r="AB34" s="18" t="n">
        <v>63024</v>
      </c>
      <c r="AC34" s="24" t="n">
        <v>4658</v>
      </c>
      <c r="AD34" s="18" t="n">
        <v>73390</v>
      </c>
      <c r="AE34" s="18" t="n">
        <v>84160</v>
      </c>
      <c r="AF34" s="24" t="n">
        <v>10770</v>
      </c>
      <c r="AG34" s="18" t="n">
        <v>59116</v>
      </c>
      <c r="AH34" s="18" t="n">
        <v>71245</v>
      </c>
      <c r="AI34" s="24" t="n">
        <v>12129</v>
      </c>
      <c r="AJ34" s="18" t="n">
        <v>84146</v>
      </c>
      <c r="AK34" s="18" t="n">
        <v>70949</v>
      </c>
      <c r="AL34" s="18" t="n">
        <v>-13197</v>
      </c>
    </row>
    <row r="35">
      <c r="B35" s="4" t="inlineStr">
        <is>
          <t>差旅费</t>
        </is>
      </c>
      <c r="C35" s="18" t="n">
        <v>17405</v>
      </c>
      <c r="D35" s="18" t="n">
        <v>21657</v>
      </c>
      <c r="E35" s="24" t="n">
        <v>4252</v>
      </c>
      <c r="F35" s="18" t="n">
        <v>15258</v>
      </c>
      <c r="G35" s="18" t="n">
        <v>16611</v>
      </c>
      <c r="H35" s="24" t="n">
        <v>1353</v>
      </c>
      <c r="I35" s="18" t="n">
        <v>19081</v>
      </c>
      <c r="J35" s="18" t="n">
        <v>14842</v>
      </c>
      <c r="K35" s="18" t="n">
        <v>-4239</v>
      </c>
      <c r="L35" s="18" t="n">
        <v>18383</v>
      </c>
      <c r="M35" s="18" t="n">
        <v>16889</v>
      </c>
      <c r="N35" s="18" t="n">
        <v>-1494</v>
      </c>
      <c r="O35" s="18" t="n">
        <v>20087</v>
      </c>
      <c r="P35" s="18" t="n">
        <v>16106</v>
      </c>
      <c r="Q35" s="18" t="n">
        <v>-3981</v>
      </c>
      <c r="R35" s="18" t="n">
        <v>23011</v>
      </c>
      <c r="S35" s="18" t="n">
        <v>23828</v>
      </c>
      <c r="T35" s="24" t="n">
        <v>817</v>
      </c>
      <c r="U35" s="18" t="n">
        <v>23276</v>
      </c>
      <c r="V35" s="18" t="n">
        <v>27909</v>
      </c>
      <c r="W35" s="24" t="n">
        <v>4633</v>
      </c>
      <c r="X35" s="18" t="n">
        <v>20418</v>
      </c>
      <c r="Y35" s="18" t="n">
        <v>19173</v>
      </c>
      <c r="Z35" s="18" t="n">
        <v>-1245</v>
      </c>
      <c r="AA35" s="18" t="n">
        <v>19672</v>
      </c>
      <c r="AB35" s="18" t="n">
        <v>21344</v>
      </c>
      <c r="AC35" s="24" t="n">
        <v>1672</v>
      </c>
      <c r="AD35" s="18" t="n">
        <v>21273</v>
      </c>
      <c r="AE35" s="18" t="n">
        <v>26092</v>
      </c>
      <c r="AF35" s="24" t="n">
        <v>4819</v>
      </c>
      <c r="AG35" s="18" t="n">
        <v>19251</v>
      </c>
      <c r="AH35" s="18" t="n">
        <v>22771</v>
      </c>
      <c r="AI35" s="24" t="n">
        <v>3520</v>
      </c>
      <c r="AJ35" s="18" t="n">
        <v>25620</v>
      </c>
      <c r="AK35" s="18" t="n">
        <v>26450</v>
      </c>
      <c r="AL35" s="24" t="n">
        <v>830</v>
      </c>
    </row>
    <row r="36">
      <c r="B36" s="4" t="inlineStr">
        <is>
          <t>业务招待费</t>
        </is>
      </c>
      <c r="C36" s="18" t="n">
        <v>14154</v>
      </c>
      <c r="D36" s="18" t="n">
        <v>16471</v>
      </c>
      <c r="E36" s="24" t="n">
        <v>2317</v>
      </c>
      <c r="F36" s="18" t="n">
        <v>11338</v>
      </c>
      <c r="G36" s="18" t="n">
        <v>7986</v>
      </c>
      <c r="H36" s="18" t="n">
        <v>-3352</v>
      </c>
      <c r="I36" s="18" t="n">
        <v>13839</v>
      </c>
      <c r="J36" s="18" t="n">
        <v>11480</v>
      </c>
      <c r="K36" s="18" t="n">
        <v>-2359</v>
      </c>
      <c r="L36" s="18" t="n">
        <v>17001</v>
      </c>
      <c r="M36" s="18" t="n">
        <v>15694</v>
      </c>
      <c r="N36" s="18" t="n">
        <v>-1307</v>
      </c>
      <c r="O36" s="18" t="n">
        <v>15940</v>
      </c>
      <c r="P36" s="18" t="n">
        <v>12961</v>
      </c>
      <c r="Q36" s="18" t="n">
        <v>-2979</v>
      </c>
      <c r="R36" s="18" t="n">
        <v>18674</v>
      </c>
      <c r="S36" s="18" t="n">
        <v>14426</v>
      </c>
      <c r="T36" s="18" t="n">
        <v>-4248</v>
      </c>
      <c r="U36" s="18" t="n">
        <v>19144</v>
      </c>
      <c r="V36" s="18" t="n">
        <v>17763</v>
      </c>
      <c r="W36" s="18" t="n">
        <v>-1381</v>
      </c>
      <c r="X36" s="18" t="n">
        <v>17803</v>
      </c>
      <c r="Y36" s="18" t="n">
        <v>18069</v>
      </c>
      <c r="Z36" s="24" t="n">
        <v>266</v>
      </c>
      <c r="AA36" s="18" t="n">
        <v>15205</v>
      </c>
      <c r="AB36" s="18" t="n">
        <v>13168</v>
      </c>
      <c r="AC36" s="18" t="n">
        <v>-2037</v>
      </c>
      <c r="AD36" s="18" t="n">
        <v>18885</v>
      </c>
      <c r="AE36" s="18" t="n">
        <v>18599</v>
      </c>
      <c r="AF36" s="18" t="n">
        <v>-286</v>
      </c>
      <c r="AG36" s="18" t="n">
        <v>16121</v>
      </c>
      <c r="AH36" s="18" t="n">
        <v>11820</v>
      </c>
      <c r="AI36" s="18" t="n">
        <v>-4301</v>
      </c>
      <c r="AJ36" s="18" t="n">
        <v>22413</v>
      </c>
      <c r="AK36" s="18" t="n">
        <v>19385</v>
      </c>
      <c r="AL36" s="18" t="n">
        <v>-3028</v>
      </c>
    </row>
    <row r="37">
      <c r="B37" s="4" t="inlineStr">
        <is>
          <t>办公费</t>
        </is>
      </c>
      <c r="C37" s="18" t="n">
        <v>10516</v>
      </c>
      <c r="D37" s="18" t="n">
        <v>11915</v>
      </c>
      <c r="E37" s="24" t="n">
        <v>1399</v>
      </c>
      <c r="F37" s="18" t="n">
        <v>9267</v>
      </c>
      <c r="G37" s="18" t="n">
        <v>7469</v>
      </c>
      <c r="H37" s="18" t="n">
        <v>-1798</v>
      </c>
      <c r="I37" s="18" t="n">
        <v>13385</v>
      </c>
      <c r="J37" s="18" t="n">
        <v>11438</v>
      </c>
      <c r="K37" s="18" t="n">
        <v>-1947</v>
      </c>
      <c r="L37" s="18" t="n">
        <v>12271</v>
      </c>
      <c r="M37" s="18" t="n">
        <v>9351</v>
      </c>
      <c r="N37" s="18" t="n">
        <v>-2920</v>
      </c>
      <c r="O37" s="18" t="n">
        <v>14365</v>
      </c>
      <c r="P37" s="18" t="n">
        <v>17636</v>
      </c>
      <c r="Q37" s="24" t="n">
        <v>3271</v>
      </c>
      <c r="R37" s="18" t="n">
        <v>14626</v>
      </c>
      <c r="S37" s="18" t="n">
        <v>14771</v>
      </c>
      <c r="T37" s="24" t="n">
        <v>145</v>
      </c>
      <c r="U37" s="18" t="n">
        <v>17456</v>
      </c>
      <c r="V37" s="18" t="n">
        <v>16953</v>
      </c>
      <c r="W37" s="18" t="n">
        <v>-503</v>
      </c>
      <c r="X37" s="18" t="n">
        <v>13767</v>
      </c>
      <c r="Y37" s="18" t="n">
        <v>11338</v>
      </c>
      <c r="Z37" s="18" t="n">
        <v>-2429</v>
      </c>
      <c r="AA37" s="18" t="n">
        <v>13145</v>
      </c>
      <c r="AB37" s="18" t="n">
        <v>16493</v>
      </c>
      <c r="AC37" s="24" t="n">
        <v>3348</v>
      </c>
      <c r="AD37" s="18" t="n">
        <v>14803</v>
      </c>
      <c r="AE37" s="18" t="n">
        <v>16115</v>
      </c>
      <c r="AF37" s="24" t="n">
        <v>1312</v>
      </c>
      <c r="AG37" s="18" t="n">
        <v>12914</v>
      </c>
      <c r="AH37" s="18" t="n">
        <v>16660</v>
      </c>
      <c r="AI37" s="24" t="n">
        <v>3746</v>
      </c>
      <c r="AJ37" s="18" t="n">
        <v>18627</v>
      </c>
      <c r="AK37" s="18" t="n">
        <v>23106</v>
      </c>
      <c r="AL37" s="24" t="n">
        <v>4479</v>
      </c>
    </row>
    <row r="38">
      <c r="B38" s="4" t="inlineStr">
        <is>
          <t>折旧费</t>
        </is>
      </c>
      <c r="C38" s="18" t="n">
        <v>9300</v>
      </c>
      <c r="D38" s="18" t="n">
        <v>10670</v>
      </c>
      <c r="E38" s="24" t="n">
        <v>1370</v>
      </c>
      <c r="F38" s="18" t="n">
        <v>7203</v>
      </c>
      <c r="G38" s="18" t="n">
        <v>8719</v>
      </c>
      <c r="H38" s="24" t="n">
        <v>1516</v>
      </c>
      <c r="I38" s="18" t="n">
        <v>10634</v>
      </c>
      <c r="J38" s="18" t="n">
        <v>13208</v>
      </c>
      <c r="K38" s="24" t="n">
        <v>2574</v>
      </c>
      <c r="L38" s="18" t="n">
        <v>10179</v>
      </c>
      <c r="M38" s="18" t="n">
        <v>11912</v>
      </c>
      <c r="N38" s="24" t="n">
        <v>1733</v>
      </c>
      <c r="O38" s="18" t="n">
        <v>11096</v>
      </c>
      <c r="P38" s="18" t="n">
        <v>9528</v>
      </c>
      <c r="Q38" s="18" t="n">
        <v>-1568</v>
      </c>
      <c r="R38" s="18" t="n">
        <v>11529</v>
      </c>
      <c r="S38" s="18" t="n">
        <v>9085</v>
      </c>
      <c r="T38" s="18" t="n">
        <v>-2444</v>
      </c>
      <c r="U38" s="18" t="n">
        <v>11844</v>
      </c>
      <c r="V38" s="18" t="n">
        <v>15077</v>
      </c>
      <c r="W38" s="24" t="n">
        <v>3233</v>
      </c>
      <c r="X38" s="18" t="n">
        <v>11001</v>
      </c>
      <c r="Y38" s="18" t="n">
        <v>13101</v>
      </c>
      <c r="Z38" s="24" t="n">
        <v>2100</v>
      </c>
      <c r="AA38" s="18" t="n">
        <v>8914</v>
      </c>
      <c r="AB38" s="18" t="n">
        <v>10931</v>
      </c>
      <c r="AC38" s="24" t="n">
        <v>2017</v>
      </c>
      <c r="AD38" s="18" t="n">
        <v>10779</v>
      </c>
      <c r="AE38" s="18" t="n">
        <v>11609</v>
      </c>
      <c r="AF38" s="24" t="n">
        <v>830</v>
      </c>
      <c r="AG38" s="18" t="n">
        <v>10699</v>
      </c>
      <c r="AH38" s="18" t="n">
        <v>10589</v>
      </c>
      <c r="AI38" s="18" t="n">
        <v>-110</v>
      </c>
      <c r="AJ38" s="18" t="n">
        <v>14182</v>
      </c>
      <c r="AK38" s="18" t="n">
        <v>15731</v>
      </c>
      <c r="AL38" s="24" t="n">
        <v>1549</v>
      </c>
    </row>
    <row r="39">
      <c r="B39" s="6" t="inlineStr">
        <is>
          <t>小计</t>
        </is>
      </c>
      <c r="C39" s="19" t="n">
        <v>95763</v>
      </c>
      <c r="D39" s="19" t="n">
        <v>101976</v>
      </c>
      <c r="E39" s="19" t="n">
        <v>6213</v>
      </c>
      <c r="F39" s="19" t="n">
        <v>82753</v>
      </c>
      <c r="G39" s="19" t="n">
        <v>77986</v>
      </c>
      <c r="H39" s="19" t="n">
        <v>-4767</v>
      </c>
      <c r="I39" s="19" t="n">
        <v>111723</v>
      </c>
      <c r="J39" s="19" t="n">
        <v>103264</v>
      </c>
      <c r="K39" s="19" t="n">
        <v>-8459</v>
      </c>
      <c r="L39" s="19" t="n">
        <v>122474</v>
      </c>
      <c r="M39" s="19" t="n">
        <v>133011</v>
      </c>
      <c r="N39" s="19" t="n">
        <v>10537</v>
      </c>
      <c r="O39" s="19" t="n">
        <v>123599</v>
      </c>
      <c r="P39" s="19" t="n">
        <v>129838</v>
      </c>
      <c r="Q39" s="19" t="n">
        <v>6239</v>
      </c>
      <c r="R39" s="19" t="n">
        <v>138898</v>
      </c>
      <c r="S39" s="19" t="n">
        <v>143202</v>
      </c>
      <c r="T39" s="19" t="n">
        <v>4304</v>
      </c>
      <c r="U39" s="19" t="n">
        <v>145137</v>
      </c>
      <c r="V39" s="19" t="n">
        <v>157983</v>
      </c>
      <c r="W39" s="19" t="n">
        <v>12846</v>
      </c>
      <c r="X39" s="19" t="n">
        <v>122573</v>
      </c>
      <c r="Y39" s="19" t="n">
        <v>125520</v>
      </c>
      <c r="Z39" s="19" t="n">
        <v>2947</v>
      </c>
      <c r="AA39" s="19" t="n">
        <v>115302</v>
      </c>
      <c r="AB39" s="19" t="n">
        <v>124960</v>
      </c>
      <c r="AC39" s="19" t="n">
        <v>9658</v>
      </c>
      <c r="AD39" s="19" t="n">
        <v>139130</v>
      </c>
      <c r="AE39" s="19" t="n">
        <v>156575</v>
      </c>
      <c r="AF39" s="19" t="n">
        <v>17445</v>
      </c>
      <c r="AG39" s="19" t="n">
        <v>118101</v>
      </c>
      <c r="AH39" s="19" t="n">
        <v>133085</v>
      </c>
      <c r="AI39" s="19" t="n">
        <v>14984</v>
      </c>
      <c r="AJ39" s="19" t="n">
        <v>164988</v>
      </c>
      <c r="AK39" s="19" t="n">
        <v>155621</v>
      </c>
      <c r="AL39" s="19" t="n">
        <v>-9367</v>
      </c>
    </row>
    <row r="40">
      <c r="A40" s="23" t="inlineStr">
        <is>
          <t>财务部</t>
        </is>
      </c>
      <c r="B40" s="4" t="inlineStr">
        <is>
          <t>人工费用</t>
        </is>
      </c>
      <c r="C40" s="18" t="n">
        <v>33075</v>
      </c>
      <c r="D40" s="18" t="n">
        <v>29087</v>
      </c>
      <c r="E40" s="18" t="n">
        <v>-3988</v>
      </c>
      <c r="F40" s="18" t="n">
        <v>31467</v>
      </c>
      <c r="G40" s="18" t="n">
        <v>33202</v>
      </c>
      <c r="H40" s="24" t="n">
        <v>1735</v>
      </c>
      <c r="I40" s="18" t="n">
        <v>40003</v>
      </c>
      <c r="J40" s="18" t="n">
        <v>41582</v>
      </c>
      <c r="K40" s="24" t="n">
        <v>1579</v>
      </c>
      <c r="L40" s="18" t="n">
        <v>44519</v>
      </c>
      <c r="M40" s="18" t="n">
        <v>45010</v>
      </c>
      <c r="N40" s="24" t="n">
        <v>491</v>
      </c>
      <c r="O40" s="18" t="n">
        <v>49235</v>
      </c>
      <c r="P40" s="18" t="n">
        <v>59960</v>
      </c>
      <c r="Q40" s="24" t="n">
        <v>10725</v>
      </c>
      <c r="R40" s="18" t="n">
        <v>44559</v>
      </c>
      <c r="S40" s="18" t="n">
        <v>33522</v>
      </c>
      <c r="T40" s="18" t="n">
        <v>-11037</v>
      </c>
      <c r="U40" s="18" t="n">
        <v>51082</v>
      </c>
      <c r="V40" s="18" t="n">
        <v>63018</v>
      </c>
      <c r="W40" s="24" t="n">
        <v>11936</v>
      </c>
      <c r="X40" s="18" t="n">
        <v>44320</v>
      </c>
      <c r="Y40" s="18" t="n">
        <v>48450</v>
      </c>
      <c r="Z40" s="24" t="n">
        <v>4130</v>
      </c>
      <c r="AA40" s="18" t="n">
        <v>38456</v>
      </c>
      <c r="AB40" s="18" t="n">
        <v>48758</v>
      </c>
      <c r="AC40" s="24" t="n">
        <v>10302</v>
      </c>
      <c r="AD40" s="18" t="n">
        <v>49550</v>
      </c>
      <c r="AE40" s="18" t="n">
        <v>40939</v>
      </c>
      <c r="AF40" s="18" t="n">
        <v>-8611</v>
      </c>
      <c r="AG40" s="18" t="n">
        <v>43372</v>
      </c>
      <c r="AH40" s="18" t="n">
        <v>54974</v>
      </c>
      <c r="AI40" s="24" t="n">
        <v>11602</v>
      </c>
      <c r="AJ40" s="18" t="n">
        <v>63021</v>
      </c>
      <c r="AK40" s="18" t="n">
        <v>69399</v>
      </c>
      <c r="AL40" s="24" t="n">
        <v>6378</v>
      </c>
    </row>
    <row r="41">
      <c r="B41" s="4" t="inlineStr">
        <is>
          <t>差旅费</t>
        </is>
      </c>
      <c r="C41" s="18" t="n">
        <v>12586</v>
      </c>
      <c r="D41" s="18" t="n">
        <v>13993</v>
      </c>
      <c r="E41" s="24" t="n">
        <v>1407</v>
      </c>
      <c r="F41" s="18" t="n">
        <v>10263</v>
      </c>
      <c r="G41" s="18" t="n">
        <v>8328</v>
      </c>
      <c r="H41" s="18" t="n">
        <v>-1935</v>
      </c>
      <c r="I41" s="18" t="n">
        <v>13350</v>
      </c>
      <c r="J41" s="18" t="n">
        <v>15162</v>
      </c>
      <c r="K41" s="24" t="n">
        <v>1812</v>
      </c>
      <c r="L41" s="18" t="n">
        <v>16008</v>
      </c>
      <c r="M41" s="18" t="n">
        <v>15723</v>
      </c>
      <c r="N41" s="18" t="n">
        <v>-285</v>
      </c>
      <c r="O41" s="18" t="n">
        <v>14730</v>
      </c>
      <c r="P41" s="18" t="n">
        <v>14469</v>
      </c>
      <c r="Q41" s="18" t="n">
        <v>-261</v>
      </c>
      <c r="R41" s="18" t="n">
        <v>16361</v>
      </c>
      <c r="S41" s="18" t="n">
        <v>17701</v>
      </c>
      <c r="T41" s="24" t="n">
        <v>1340</v>
      </c>
      <c r="U41" s="18" t="n">
        <v>19402</v>
      </c>
      <c r="V41" s="18" t="n">
        <v>19888</v>
      </c>
      <c r="W41" s="24" t="n">
        <v>486</v>
      </c>
      <c r="X41" s="18" t="n">
        <v>16252</v>
      </c>
      <c r="Y41" s="18" t="n">
        <v>20557</v>
      </c>
      <c r="Z41" s="24" t="n">
        <v>4305</v>
      </c>
      <c r="AA41" s="18" t="n">
        <v>13706</v>
      </c>
      <c r="AB41" s="18" t="n">
        <v>11561</v>
      </c>
      <c r="AC41" s="18" t="n">
        <v>-2145</v>
      </c>
      <c r="AD41" s="18" t="n">
        <v>17143</v>
      </c>
      <c r="AE41" s="18" t="n">
        <v>21488</v>
      </c>
      <c r="AF41" s="24" t="n">
        <v>4345</v>
      </c>
      <c r="AG41" s="18" t="n">
        <v>16014</v>
      </c>
      <c r="AH41" s="18" t="n">
        <v>16686</v>
      </c>
      <c r="AI41" s="24" t="n">
        <v>672</v>
      </c>
      <c r="AJ41" s="18" t="n">
        <v>17964</v>
      </c>
      <c r="AK41" s="18" t="n">
        <v>17878</v>
      </c>
      <c r="AL41" s="18" t="n">
        <v>-86</v>
      </c>
    </row>
    <row r="42">
      <c r="B42" s="4" t="inlineStr">
        <is>
          <t>业务招待费</t>
        </is>
      </c>
      <c r="C42" s="18" t="n">
        <v>9085</v>
      </c>
      <c r="D42" s="18" t="n">
        <v>9620</v>
      </c>
      <c r="E42" s="24" t="n">
        <v>535</v>
      </c>
      <c r="F42" s="18" t="n">
        <v>8509</v>
      </c>
      <c r="G42" s="18" t="n">
        <v>10885</v>
      </c>
      <c r="H42" s="24" t="n">
        <v>2376</v>
      </c>
      <c r="I42" s="18" t="n">
        <v>11739</v>
      </c>
      <c r="J42" s="18" t="n">
        <v>8939</v>
      </c>
      <c r="K42" s="18" t="n">
        <v>-2800</v>
      </c>
      <c r="L42" s="18" t="n">
        <v>12510</v>
      </c>
      <c r="M42" s="18" t="n">
        <v>10312</v>
      </c>
      <c r="N42" s="18" t="n">
        <v>-2198</v>
      </c>
      <c r="O42" s="18" t="n">
        <v>12932</v>
      </c>
      <c r="P42" s="18" t="n">
        <v>12918</v>
      </c>
      <c r="Q42" s="18" t="n">
        <v>-14</v>
      </c>
      <c r="R42" s="18" t="n">
        <v>14283</v>
      </c>
      <c r="S42" s="18" t="n">
        <v>13819</v>
      </c>
      <c r="T42" s="18" t="n">
        <v>-464</v>
      </c>
      <c r="U42" s="18" t="n">
        <v>13859</v>
      </c>
      <c r="V42" s="18" t="n">
        <v>15467</v>
      </c>
      <c r="W42" s="24" t="n">
        <v>1608</v>
      </c>
      <c r="X42" s="18" t="n">
        <v>12610</v>
      </c>
      <c r="Y42" s="18" t="n">
        <v>8916</v>
      </c>
      <c r="Z42" s="18" t="n">
        <v>-3694</v>
      </c>
      <c r="AA42" s="18" t="n">
        <v>10920</v>
      </c>
      <c r="AB42" s="18" t="n">
        <v>12614</v>
      </c>
      <c r="AC42" s="24" t="n">
        <v>1694</v>
      </c>
      <c r="AD42" s="18" t="n">
        <v>13476</v>
      </c>
      <c r="AE42" s="18" t="n">
        <v>15528</v>
      </c>
      <c r="AF42" s="24" t="n">
        <v>2052</v>
      </c>
      <c r="AG42" s="18" t="n">
        <v>12769</v>
      </c>
      <c r="AH42" s="18" t="n">
        <v>11722</v>
      </c>
      <c r="AI42" s="18" t="n">
        <v>-1047</v>
      </c>
      <c r="AJ42" s="18" t="n">
        <v>16729</v>
      </c>
      <c r="AK42" s="18" t="n">
        <v>19928</v>
      </c>
      <c r="AL42" s="24" t="n">
        <v>3199</v>
      </c>
    </row>
    <row r="43">
      <c r="B43" s="4" t="inlineStr">
        <is>
          <t>办公费</t>
        </is>
      </c>
      <c r="C43" s="18" t="n">
        <v>7593</v>
      </c>
      <c r="D43" s="18" t="n">
        <v>7575</v>
      </c>
      <c r="E43" s="18" t="n">
        <v>-18</v>
      </c>
      <c r="F43" s="18" t="n">
        <v>7617</v>
      </c>
      <c r="G43" s="18" t="n">
        <v>7744</v>
      </c>
      <c r="H43" s="24" t="n">
        <v>127</v>
      </c>
      <c r="I43" s="18" t="n">
        <v>9427</v>
      </c>
      <c r="J43" s="18" t="n">
        <v>10449</v>
      </c>
      <c r="K43" s="24" t="n">
        <v>1022</v>
      </c>
      <c r="L43" s="18" t="n">
        <v>9559</v>
      </c>
      <c r="M43" s="18" t="n">
        <v>9736</v>
      </c>
      <c r="N43" s="24" t="n">
        <v>177</v>
      </c>
      <c r="O43" s="18" t="n">
        <v>9494</v>
      </c>
      <c r="P43" s="18" t="n">
        <v>12166</v>
      </c>
      <c r="Q43" s="24" t="n">
        <v>2672</v>
      </c>
      <c r="R43" s="18" t="n">
        <v>11619</v>
      </c>
      <c r="S43" s="18" t="n">
        <v>9723</v>
      </c>
      <c r="T43" s="18" t="n">
        <v>-1896</v>
      </c>
      <c r="U43" s="18" t="n">
        <v>11987</v>
      </c>
      <c r="V43" s="18" t="n">
        <v>13920</v>
      </c>
      <c r="W43" s="24" t="n">
        <v>1933</v>
      </c>
      <c r="X43" s="18" t="n">
        <v>9879</v>
      </c>
      <c r="Y43" s="18" t="n">
        <v>9481</v>
      </c>
      <c r="Z43" s="18" t="n">
        <v>-398</v>
      </c>
      <c r="AA43" s="18" t="n">
        <v>9615</v>
      </c>
      <c r="AB43" s="18" t="n">
        <v>10538</v>
      </c>
      <c r="AC43" s="24" t="n">
        <v>923</v>
      </c>
      <c r="AD43" s="18" t="n">
        <v>11366</v>
      </c>
      <c r="AE43" s="18" t="n">
        <v>8006</v>
      </c>
      <c r="AF43" s="18" t="n">
        <v>-3360</v>
      </c>
      <c r="AG43" s="18" t="n">
        <v>9538</v>
      </c>
      <c r="AH43" s="18" t="n">
        <v>8178</v>
      </c>
      <c r="AI43" s="18" t="n">
        <v>-1360</v>
      </c>
      <c r="AJ43" s="18" t="n">
        <v>11981</v>
      </c>
      <c r="AK43" s="18" t="n">
        <v>9714</v>
      </c>
      <c r="AL43" s="18" t="n">
        <v>-2267</v>
      </c>
    </row>
    <row r="44">
      <c r="B44" s="4" t="inlineStr">
        <is>
          <t>折旧费</t>
        </is>
      </c>
      <c r="C44" s="18" t="n">
        <v>5807</v>
      </c>
      <c r="D44" s="18" t="n">
        <v>4099</v>
      </c>
      <c r="E44" s="18" t="n">
        <v>-1708</v>
      </c>
      <c r="F44" s="18" t="n">
        <v>5148</v>
      </c>
      <c r="G44" s="18" t="n">
        <v>4999</v>
      </c>
      <c r="H44" s="18" t="n">
        <v>-149</v>
      </c>
      <c r="I44" s="18" t="n">
        <v>7696</v>
      </c>
      <c r="J44" s="18" t="n">
        <v>7724</v>
      </c>
      <c r="K44" s="24" t="n">
        <v>28</v>
      </c>
      <c r="L44" s="18" t="n">
        <v>8428</v>
      </c>
      <c r="M44" s="18" t="n">
        <v>9874</v>
      </c>
      <c r="N44" s="24" t="n">
        <v>1446</v>
      </c>
      <c r="O44" s="18" t="n">
        <v>8447</v>
      </c>
      <c r="P44" s="18" t="n">
        <v>7212</v>
      </c>
      <c r="Q44" s="18" t="n">
        <v>-1235</v>
      </c>
      <c r="R44" s="18" t="n">
        <v>9179</v>
      </c>
      <c r="S44" s="18" t="n">
        <v>6881</v>
      </c>
      <c r="T44" s="18" t="n">
        <v>-2298</v>
      </c>
      <c r="U44" s="18" t="n">
        <v>9541</v>
      </c>
      <c r="V44" s="18" t="n">
        <v>9651</v>
      </c>
      <c r="W44" s="24" t="n">
        <v>110</v>
      </c>
      <c r="X44" s="18" t="n">
        <v>8355</v>
      </c>
      <c r="Y44" s="18" t="n">
        <v>8368</v>
      </c>
      <c r="Z44" s="24" t="n">
        <v>13</v>
      </c>
      <c r="AA44" s="18" t="n">
        <v>6833</v>
      </c>
      <c r="AB44" s="18" t="n">
        <v>5854</v>
      </c>
      <c r="AC44" s="18" t="n">
        <v>-979</v>
      </c>
      <c r="AD44" s="18" t="n">
        <v>8352</v>
      </c>
      <c r="AE44" s="18" t="n">
        <v>6055</v>
      </c>
      <c r="AF44" s="18" t="n">
        <v>-2297</v>
      </c>
      <c r="AG44" s="18" t="n">
        <v>8062</v>
      </c>
      <c r="AH44" s="18" t="n">
        <v>8413</v>
      </c>
      <c r="AI44" s="24" t="n">
        <v>351</v>
      </c>
      <c r="AJ44" s="18" t="n">
        <v>9970</v>
      </c>
      <c r="AK44" s="18" t="n">
        <v>11420</v>
      </c>
      <c r="AL44" s="24" t="n">
        <v>1450</v>
      </c>
    </row>
    <row r="45">
      <c r="B45" s="6" t="inlineStr">
        <is>
          <t>小计</t>
        </is>
      </c>
      <c r="C45" s="19" t="n">
        <v>68146</v>
      </c>
      <c r="D45" s="19" t="n">
        <v>64374</v>
      </c>
      <c r="E45" s="19" t="n">
        <v>-3772</v>
      </c>
      <c r="F45" s="19" t="n">
        <v>63004</v>
      </c>
      <c r="G45" s="19" t="n">
        <v>65158</v>
      </c>
      <c r="H45" s="19" t="n">
        <v>2154</v>
      </c>
      <c r="I45" s="19" t="n">
        <v>82215</v>
      </c>
      <c r="J45" s="19" t="n">
        <v>83856</v>
      </c>
      <c r="K45" s="19" t="n">
        <v>1641</v>
      </c>
      <c r="L45" s="19" t="n">
        <v>91024</v>
      </c>
      <c r="M45" s="19" t="n">
        <v>90655</v>
      </c>
      <c r="N45" s="19" t="n">
        <v>-369</v>
      </c>
      <c r="O45" s="19" t="n">
        <v>94838</v>
      </c>
      <c r="P45" s="19" t="n">
        <v>106725</v>
      </c>
      <c r="Q45" s="19" t="n">
        <v>11887</v>
      </c>
      <c r="R45" s="19" t="n">
        <v>96001</v>
      </c>
      <c r="S45" s="19" t="n">
        <v>81646</v>
      </c>
      <c r="T45" s="19" t="n">
        <v>-14355</v>
      </c>
      <c r="U45" s="19" t="n">
        <v>105871</v>
      </c>
      <c r="V45" s="19" t="n">
        <v>121944</v>
      </c>
      <c r="W45" s="19" t="n">
        <v>16073</v>
      </c>
      <c r="X45" s="19" t="n">
        <v>91416</v>
      </c>
      <c r="Y45" s="19" t="n">
        <v>95772</v>
      </c>
      <c r="Z45" s="19" t="n">
        <v>4356</v>
      </c>
      <c r="AA45" s="19" t="n">
        <v>79530</v>
      </c>
      <c r="AB45" s="19" t="n">
        <v>89325</v>
      </c>
      <c r="AC45" s="19" t="n">
        <v>9795</v>
      </c>
      <c r="AD45" s="19" t="n">
        <v>99887</v>
      </c>
      <c r="AE45" s="19" t="n">
        <v>92016</v>
      </c>
      <c r="AF45" s="19" t="n">
        <v>-7871</v>
      </c>
      <c r="AG45" s="19" t="n">
        <v>89755</v>
      </c>
      <c r="AH45" s="19" t="n">
        <v>99973</v>
      </c>
      <c r="AI45" s="19" t="n">
        <v>10218</v>
      </c>
      <c r="AJ45" s="19" t="n">
        <v>119665</v>
      </c>
      <c r="AK45" s="19" t="n">
        <v>128339</v>
      </c>
      <c r="AL45" s="19" t="n">
        <v>8674</v>
      </c>
    </row>
    <row r="46">
      <c r="A46" s="23" t="inlineStr">
        <is>
          <t>行政部</t>
        </is>
      </c>
      <c r="B46" s="4" t="inlineStr">
        <is>
          <t>人工费用</t>
        </is>
      </c>
      <c r="C46" s="18" t="n">
        <v>17580</v>
      </c>
      <c r="D46" s="18" t="n">
        <v>14270</v>
      </c>
      <c r="E46" s="18" t="n">
        <v>-3310</v>
      </c>
      <c r="F46" s="18" t="n">
        <v>16776</v>
      </c>
      <c r="G46" s="18" t="n">
        <v>16385</v>
      </c>
      <c r="H46" s="18" t="n">
        <v>-391</v>
      </c>
      <c r="I46" s="18" t="n">
        <v>22671</v>
      </c>
      <c r="J46" s="18" t="n">
        <v>21797</v>
      </c>
      <c r="K46" s="18" t="n">
        <v>-874</v>
      </c>
      <c r="L46" s="18" t="n">
        <v>24990</v>
      </c>
      <c r="M46" s="18" t="n">
        <v>29861</v>
      </c>
      <c r="N46" s="24" t="n">
        <v>4871</v>
      </c>
      <c r="O46" s="18" t="n">
        <v>21763</v>
      </c>
      <c r="P46" s="18" t="n">
        <v>23321</v>
      </c>
      <c r="Q46" s="24" t="n">
        <v>1558</v>
      </c>
      <c r="R46" s="18" t="n">
        <v>27162</v>
      </c>
      <c r="S46" s="18" t="n">
        <v>21037</v>
      </c>
      <c r="T46" s="18" t="n">
        <v>-6125</v>
      </c>
      <c r="U46" s="18" t="n">
        <v>27277</v>
      </c>
      <c r="V46" s="18" t="n">
        <v>22477</v>
      </c>
      <c r="W46" s="18" t="n">
        <v>-4800</v>
      </c>
      <c r="X46" s="18" t="n">
        <v>25305</v>
      </c>
      <c r="Y46" s="18" t="n">
        <v>18287</v>
      </c>
      <c r="Z46" s="18" t="n">
        <v>-7018</v>
      </c>
      <c r="AA46" s="18" t="n">
        <v>19485</v>
      </c>
      <c r="AB46" s="18" t="n">
        <v>24718</v>
      </c>
      <c r="AC46" s="24" t="n">
        <v>5233</v>
      </c>
      <c r="AD46" s="18" t="n">
        <v>26531</v>
      </c>
      <c r="AE46" s="18" t="n">
        <v>24974</v>
      </c>
      <c r="AF46" s="18" t="n">
        <v>-1557</v>
      </c>
      <c r="AG46" s="18" t="n">
        <v>21956</v>
      </c>
      <c r="AH46" s="18" t="n">
        <v>15650</v>
      </c>
      <c r="AI46" s="18" t="n">
        <v>-6306</v>
      </c>
      <c r="AJ46" s="18" t="n">
        <v>31002</v>
      </c>
      <c r="AK46" s="18" t="n">
        <v>38285</v>
      </c>
      <c r="AL46" s="24" t="n">
        <v>7283</v>
      </c>
    </row>
    <row r="47">
      <c r="B47" s="4" t="inlineStr">
        <is>
          <t>差旅费</t>
        </is>
      </c>
      <c r="C47" s="18" t="n">
        <v>6746</v>
      </c>
      <c r="D47" s="18" t="n">
        <v>6172</v>
      </c>
      <c r="E47" s="18" t="n">
        <v>-574</v>
      </c>
      <c r="F47" s="18" t="n">
        <v>5961</v>
      </c>
      <c r="G47" s="18" t="n">
        <v>5434</v>
      </c>
      <c r="H47" s="18" t="n">
        <v>-527</v>
      </c>
      <c r="I47" s="18" t="n">
        <v>7671</v>
      </c>
      <c r="J47" s="18" t="n">
        <v>9873</v>
      </c>
      <c r="K47" s="24" t="n">
        <v>2202</v>
      </c>
      <c r="L47" s="18" t="n">
        <v>7059</v>
      </c>
      <c r="M47" s="18" t="n">
        <v>7471</v>
      </c>
      <c r="N47" s="24" t="n">
        <v>412</v>
      </c>
      <c r="O47" s="18" t="n">
        <v>7938</v>
      </c>
      <c r="P47" s="18" t="n">
        <v>9382</v>
      </c>
      <c r="Q47" s="24" t="n">
        <v>1444</v>
      </c>
      <c r="R47" s="18" t="n">
        <v>8187</v>
      </c>
      <c r="S47" s="18" t="n">
        <v>9635</v>
      </c>
      <c r="T47" s="24" t="n">
        <v>1448</v>
      </c>
      <c r="U47" s="18" t="n">
        <v>8529</v>
      </c>
      <c r="V47" s="18" t="n">
        <v>6891</v>
      </c>
      <c r="W47" s="18" t="n">
        <v>-1638</v>
      </c>
      <c r="X47" s="18" t="n">
        <v>7735</v>
      </c>
      <c r="Y47" s="18" t="n">
        <v>9705</v>
      </c>
      <c r="Z47" s="24" t="n">
        <v>1970</v>
      </c>
      <c r="AA47" s="18" t="n">
        <v>6348</v>
      </c>
      <c r="AB47" s="18" t="n">
        <v>5000</v>
      </c>
      <c r="AC47" s="18" t="n">
        <v>-1348</v>
      </c>
      <c r="AD47" s="18" t="n">
        <v>9386</v>
      </c>
      <c r="AE47" s="18" t="n">
        <v>10001</v>
      </c>
      <c r="AF47" s="24" t="n">
        <v>615</v>
      </c>
      <c r="AG47" s="18" t="n">
        <v>7349</v>
      </c>
      <c r="AH47" s="18" t="n">
        <v>7607</v>
      </c>
      <c r="AI47" s="24" t="n">
        <v>258</v>
      </c>
      <c r="AJ47" s="18" t="n">
        <v>10984</v>
      </c>
      <c r="AK47" s="18" t="n">
        <v>7718</v>
      </c>
      <c r="AL47" s="18" t="n">
        <v>-3266</v>
      </c>
    </row>
    <row r="48">
      <c r="B48" s="4" t="inlineStr">
        <is>
          <t>业务招待费</t>
        </is>
      </c>
      <c r="C48" s="18" t="n">
        <v>4780</v>
      </c>
      <c r="D48" s="18" t="n">
        <v>3921</v>
      </c>
      <c r="E48" s="18" t="n">
        <v>-859</v>
      </c>
      <c r="F48" s="18" t="n">
        <v>4507</v>
      </c>
      <c r="G48" s="18" t="n">
        <v>4593</v>
      </c>
      <c r="H48" s="24" t="n">
        <v>86</v>
      </c>
      <c r="I48" s="18" t="n">
        <v>5835</v>
      </c>
      <c r="J48" s="18" t="n">
        <v>6738</v>
      </c>
      <c r="K48" s="24" t="n">
        <v>903</v>
      </c>
      <c r="L48" s="18" t="n">
        <v>6475</v>
      </c>
      <c r="M48" s="18" t="n">
        <v>6026</v>
      </c>
      <c r="N48" s="18" t="n">
        <v>-449</v>
      </c>
      <c r="O48" s="18" t="n">
        <v>6256</v>
      </c>
      <c r="P48" s="18" t="n">
        <v>7411</v>
      </c>
      <c r="Q48" s="24" t="n">
        <v>1155</v>
      </c>
      <c r="R48" s="18" t="n">
        <v>6248</v>
      </c>
      <c r="S48" s="18" t="n">
        <v>6354</v>
      </c>
      <c r="T48" s="24" t="n">
        <v>106</v>
      </c>
      <c r="U48" s="18" t="n">
        <v>6919</v>
      </c>
      <c r="V48" s="18" t="n">
        <v>7721</v>
      </c>
      <c r="W48" s="24" t="n">
        <v>802</v>
      </c>
      <c r="X48" s="18" t="n">
        <v>6317</v>
      </c>
      <c r="Y48" s="18" t="n">
        <v>7871</v>
      </c>
      <c r="Z48" s="24" t="n">
        <v>1554</v>
      </c>
      <c r="AA48" s="18" t="n">
        <v>5112</v>
      </c>
      <c r="AB48" s="18" t="n">
        <v>6525</v>
      </c>
      <c r="AC48" s="24" t="n">
        <v>1413</v>
      </c>
      <c r="AD48" s="18" t="n">
        <v>6580</v>
      </c>
      <c r="AE48" s="18" t="n">
        <v>5743</v>
      </c>
      <c r="AF48" s="18" t="n">
        <v>-837</v>
      </c>
      <c r="AG48" s="18" t="n">
        <v>6170</v>
      </c>
      <c r="AH48" s="18" t="n">
        <v>7707</v>
      </c>
      <c r="AI48" s="24" t="n">
        <v>1537</v>
      </c>
      <c r="AJ48" s="18" t="n">
        <v>7876</v>
      </c>
      <c r="AK48" s="18" t="n">
        <v>9088</v>
      </c>
      <c r="AL48" s="24" t="n">
        <v>1212</v>
      </c>
    </row>
    <row r="49">
      <c r="B49" s="4" t="inlineStr">
        <is>
          <t>办公费</t>
        </is>
      </c>
      <c r="C49" s="18" t="n">
        <v>4144</v>
      </c>
      <c r="D49" s="18" t="n">
        <v>4012</v>
      </c>
      <c r="E49" s="18" t="n">
        <v>-132</v>
      </c>
      <c r="F49" s="18" t="n">
        <v>3422</v>
      </c>
      <c r="G49" s="18" t="n">
        <v>4061</v>
      </c>
      <c r="H49" s="24" t="n">
        <v>639</v>
      </c>
      <c r="I49" s="18" t="n">
        <v>5088</v>
      </c>
      <c r="J49" s="18" t="n">
        <v>4021</v>
      </c>
      <c r="K49" s="18" t="n">
        <v>-1067</v>
      </c>
      <c r="L49" s="18" t="n">
        <v>5539</v>
      </c>
      <c r="M49" s="18" t="n">
        <v>4972</v>
      </c>
      <c r="N49" s="18" t="n">
        <v>-567</v>
      </c>
      <c r="O49" s="18" t="n">
        <v>5382</v>
      </c>
      <c r="P49" s="18" t="n">
        <v>4532</v>
      </c>
      <c r="Q49" s="18" t="n">
        <v>-850</v>
      </c>
      <c r="R49" s="18" t="n">
        <v>6092</v>
      </c>
      <c r="S49" s="18" t="n">
        <v>5634</v>
      </c>
      <c r="T49" s="18" t="n">
        <v>-458</v>
      </c>
      <c r="U49" s="18" t="n">
        <v>5716</v>
      </c>
      <c r="V49" s="18" t="n">
        <v>4539</v>
      </c>
      <c r="W49" s="18" t="n">
        <v>-1177</v>
      </c>
      <c r="X49" s="18" t="n">
        <v>4827</v>
      </c>
      <c r="Y49" s="18" t="n">
        <v>5344</v>
      </c>
      <c r="Z49" s="24" t="n">
        <v>517</v>
      </c>
      <c r="AA49" s="18" t="n">
        <v>4923</v>
      </c>
      <c r="AB49" s="18" t="n">
        <v>6017</v>
      </c>
      <c r="AC49" s="24" t="n">
        <v>1094</v>
      </c>
      <c r="AD49" s="18" t="n">
        <v>5642</v>
      </c>
      <c r="AE49" s="18" t="n">
        <v>4879</v>
      </c>
      <c r="AF49" s="18" t="n">
        <v>-763</v>
      </c>
      <c r="AG49" s="18" t="n">
        <v>4812</v>
      </c>
      <c r="AH49" s="18" t="n">
        <v>4393</v>
      </c>
      <c r="AI49" s="18" t="n">
        <v>-419</v>
      </c>
      <c r="AJ49" s="18" t="n">
        <v>7371</v>
      </c>
      <c r="AK49" s="18" t="n">
        <v>7391</v>
      </c>
      <c r="AL49" s="24" t="n">
        <v>20</v>
      </c>
    </row>
    <row r="50">
      <c r="B50" s="4" t="inlineStr">
        <is>
          <t>折旧费</t>
        </is>
      </c>
      <c r="C50" s="18" t="n">
        <v>3115</v>
      </c>
      <c r="D50" s="18" t="n">
        <v>2858</v>
      </c>
      <c r="E50" s="18" t="n">
        <v>-257</v>
      </c>
      <c r="F50" s="18" t="n">
        <v>2995</v>
      </c>
      <c r="G50" s="18" t="n">
        <v>3328</v>
      </c>
      <c r="H50" s="24" t="n">
        <v>333</v>
      </c>
      <c r="I50" s="18" t="n">
        <v>3945</v>
      </c>
      <c r="J50" s="18" t="n">
        <v>4616</v>
      </c>
      <c r="K50" s="24" t="n">
        <v>671</v>
      </c>
      <c r="L50" s="18" t="n">
        <v>4290</v>
      </c>
      <c r="M50" s="18" t="n">
        <v>3207</v>
      </c>
      <c r="N50" s="18" t="n">
        <v>-1083</v>
      </c>
      <c r="O50" s="18" t="n">
        <v>4493</v>
      </c>
      <c r="P50" s="18" t="n">
        <v>4740</v>
      </c>
      <c r="Q50" s="24" t="n">
        <v>247</v>
      </c>
      <c r="R50" s="18" t="n">
        <v>4337</v>
      </c>
      <c r="S50" s="18" t="n">
        <v>5474</v>
      </c>
      <c r="T50" s="24" t="n">
        <v>1137</v>
      </c>
      <c r="U50" s="18" t="n">
        <v>4612</v>
      </c>
      <c r="V50" s="18" t="n">
        <v>4400</v>
      </c>
      <c r="W50" s="18" t="n">
        <v>-212</v>
      </c>
      <c r="X50" s="18" t="n">
        <v>4345</v>
      </c>
      <c r="Y50" s="18" t="n">
        <v>5207</v>
      </c>
      <c r="Z50" s="24" t="n">
        <v>862</v>
      </c>
      <c r="AA50" s="18" t="n">
        <v>3612</v>
      </c>
      <c r="AB50" s="18" t="n">
        <v>3186</v>
      </c>
      <c r="AC50" s="18" t="n">
        <v>-426</v>
      </c>
      <c r="AD50" s="18" t="n">
        <v>4793</v>
      </c>
      <c r="AE50" s="18" t="n">
        <v>4659</v>
      </c>
      <c r="AF50" s="18" t="n">
        <v>-134</v>
      </c>
      <c r="AG50" s="18" t="n">
        <v>3826</v>
      </c>
      <c r="AH50" s="18" t="n">
        <v>4513</v>
      </c>
      <c r="AI50" s="24" t="n">
        <v>687</v>
      </c>
      <c r="AJ50" s="18" t="n">
        <v>4879</v>
      </c>
      <c r="AK50" s="18" t="n">
        <v>5490</v>
      </c>
      <c r="AL50" s="24" t="n">
        <v>611</v>
      </c>
    </row>
    <row r="51">
      <c r="B51" s="6" t="inlineStr">
        <is>
          <t>小计</t>
        </is>
      </c>
      <c r="C51" s="19" t="n">
        <v>36365</v>
      </c>
      <c r="D51" s="19" t="n">
        <v>31233</v>
      </c>
      <c r="E51" s="19" t="n">
        <v>-5132</v>
      </c>
      <c r="F51" s="19" t="n">
        <v>33661</v>
      </c>
      <c r="G51" s="19" t="n">
        <v>33801</v>
      </c>
      <c r="H51" s="19" t="n">
        <v>140</v>
      </c>
      <c r="I51" s="19" t="n">
        <v>45210</v>
      </c>
      <c r="J51" s="19" t="n">
        <v>47045</v>
      </c>
      <c r="K51" s="19" t="n">
        <v>1835</v>
      </c>
      <c r="L51" s="19" t="n">
        <v>48353</v>
      </c>
      <c r="M51" s="19" t="n">
        <v>51537</v>
      </c>
      <c r="N51" s="19" t="n">
        <v>3184</v>
      </c>
      <c r="O51" s="19" t="n">
        <v>45832</v>
      </c>
      <c r="P51" s="19" t="n">
        <v>49386</v>
      </c>
      <c r="Q51" s="19" t="n">
        <v>3554</v>
      </c>
      <c r="R51" s="19" t="n">
        <v>52026</v>
      </c>
      <c r="S51" s="19" t="n">
        <v>48134</v>
      </c>
      <c r="T51" s="19" t="n">
        <v>-3892</v>
      </c>
      <c r="U51" s="19" t="n">
        <v>53053</v>
      </c>
      <c r="V51" s="19" t="n">
        <v>46028</v>
      </c>
      <c r="W51" s="19" t="n">
        <v>-7025</v>
      </c>
      <c r="X51" s="19" t="n">
        <v>48529</v>
      </c>
      <c r="Y51" s="19" t="n">
        <v>46414</v>
      </c>
      <c r="Z51" s="19" t="n">
        <v>-2115</v>
      </c>
      <c r="AA51" s="19" t="n">
        <v>39480</v>
      </c>
      <c r="AB51" s="19" t="n">
        <v>45446</v>
      </c>
      <c r="AC51" s="19" t="n">
        <v>5966</v>
      </c>
      <c r="AD51" s="19" t="n">
        <v>52932</v>
      </c>
      <c r="AE51" s="19" t="n">
        <v>50256</v>
      </c>
      <c r="AF51" s="19" t="n">
        <v>-2676</v>
      </c>
      <c r="AG51" s="19" t="n">
        <v>44113</v>
      </c>
      <c r="AH51" s="19" t="n">
        <v>39870</v>
      </c>
      <c r="AI51" s="19" t="n">
        <v>-4243</v>
      </c>
      <c r="AJ51" s="19" t="n">
        <v>62112</v>
      </c>
      <c r="AK51" s="19" t="n">
        <v>67972</v>
      </c>
      <c r="AL51" s="19" t="n">
        <v>5860</v>
      </c>
    </row>
  </sheetData>
  <mergeCells count="23">
    <mergeCell ref="U2:W2"/>
    <mergeCell ref="AG2:AI2"/>
    <mergeCell ref="A40:A45"/>
    <mergeCell ref="F2:H2"/>
    <mergeCell ref="B2:B3"/>
    <mergeCell ref="C2:E2"/>
    <mergeCell ref="AD2:AF2"/>
    <mergeCell ref="A1:AL1"/>
    <mergeCell ref="A16:A21"/>
    <mergeCell ref="A2:A3"/>
    <mergeCell ref="O2:Q2"/>
    <mergeCell ref="AA2:AC2"/>
    <mergeCell ref="R2:T2"/>
    <mergeCell ref="A46:A51"/>
    <mergeCell ref="L2:N2"/>
    <mergeCell ref="X2:Z2"/>
    <mergeCell ref="A22:A27"/>
    <mergeCell ref="AJ2:AL2"/>
    <mergeCell ref="I2:K2"/>
    <mergeCell ref="A4:A9"/>
    <mergeCell ref="A34:A39"/>
    <mergeCell ref="A10:A15"/>
    <mergeCell ref="A28:A3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上海鲜优生活连锁有限公司现金流量表</t>
        </is>
      </c>
    </row>
    <row r="2">
      <c r="A2" s="17" t="inlineStr">
        <is>
          <t>2025年度</t>
        </is>
      </c>
      <c r="G2" t="inlineStr">
        <is>
          <t>单位：元</t>
        </is>
      </c>
    </row>
    <row r="3">
      <c r="A3" s="2" t="inlineStr">
        <is>
          <t>项目</t>
        </is>
      </c>
      <c r="B3" s="2" t="inlineStr">
        <is>
          <t>行次</t>
        </is>
      </c>
      <c r="C3" s="2" t="inlineStr">
        <is>
          <t>Q1</t>
        </is>
      </c>
      <c r="D3" s="2" t="inlineStr">
        <is>
          <t>Q2</t>
        </is>
      </c>
      <c r="E3" s="2" t="inlineStr">
        <is>
          <t>Q3</t>
        </is>
      </c>
      <c r="F3" s="2" t="inlineStr">
        <is>
          <t>Q4</t>
        </is>
      </c>
      <c r="G3" s="2" t="inlineStr">
        <is>
          <t>全年合计</t>
        </is>
      </c>
    </row>
    <row r="4">
      <c r="A4" s="6" t="inlineStr">
        <is>
          <t>一、经营活动产生的现金流量</t>
        </is>
      </c>
    </row>
    <row r="5">
      <c r="A5" s="4" t="inlineStr">
        <is>
          <t>销售商品、提供劳务收到的现金</t>
        </is>
      </c>
      <c r="B5" s="3" t="n">
        <v>1</v>
      </c>
      <c r="C5" s="15" t="n">
        <v>4460755.56</v>
      </c>
      <c r="D5" s="15" t="n">
        <v>5867549.19</v>
      </c>
      <c r="E5" s="15" t="n">
        <v>1558268.37</v>
      </c>
      <c r="F5" s="15" t="n">
        <v>7785330.9</v>
      </c>
      <c r="G5" s="15" t="n">
        <v>19671904.02</v>
      </c>
    </row>
    <row r="6">
      <c r="A6" s="4" t="inlineStr">
        <is>
          <t>收到的税费返还</t>
        </is>
      </c>
      <c r="B6" s="3" t="n">
        <v>2</v>
      </c>
      <c r="C6" s="15" t="n">
        <v>2725609.5</v>
      </c>
      <c r="D6" s="15" t="n">
        <v>614811.1800000001</v>
      </c>
      <c r="E6" s="15" t="n">
        <v>6317913.85</v>
      </c>
      <c r="F6" s="15" t="n">
        <v>7175088.38</v>
      </c>
      <c r="G6" s="15" t="n">
        <v>16833422.91</v>
      </c>
    </row>
    <row r="7">
      <c r="A7" s="4" t="inlineStr">
        <is>
          <t>收到其他与经营活动有关的现金</t>
        </is>
      </c>
      <c r="B7" s="3" t="n">
        <v>3</v>
      </c>
      <c r="C7" s="15" t="n">
        <v>2443571.99</v>
      </c>
      <c r="D7" s="15" t="n">
        <v>7066666.75</v>
      </c>
      <c r="E7" s="15" t="n">
        <v>786926.0699999999</v>
      </c>
      <c r="F7" s="15" t="n">
        <v>9914795.609999999</v>
      </c>
      <c r="G7" s="15" t="n">
        <v>20211960.42</v>
      </c>
    </row>
    <row r="8">
      <c r="A8" s="6" t="inlineStr">
        <is>
          <t>经营活动现金流入小计</t>
        </is>
      </c>
      <c r="B8" s="3" t="n">
        <v>4</v>
      </c>
      <c r="C8" s="16" t="n">
        <v>-1457755.06</v>
      </c>
      <c r="D8" s="16" t="n">
        <v>4458567.7</v>
      </c>
      <c r="E8" s="16" t="n">
        <v>1064224.52</v>
      </c>
      <c r="F8" s="16" t="n">
        <v>4442270.83</v>
      </c>
      <c r="G8" s="16" t="n">
        <v>8507307.99</v>
      </c>
    </row>
    <row r="9">
      <c r="A9" s="4" t="inlineStr">
        <is>
          <t>购买商品、接受劳务支付的现金</t>
        </is>
      </c>
      <c r="B9" s="3" t="n">
        <v>5</v>
      </c>
      <c r="C9" s="15" t="n">
        <v>-2434423.63</v>
      </c>
      <c r="D9" s="15" t="n">
        <v>-3087123.17</v>
      </c>
      <c r="E9" s="15" t="n">
        <v>-6373693.59</v>
      </c>
      <c r="F9" s="15" t="n">
        <v>-7027244.8</v>
      </c>
      <c r="G9" s="15" t="n">
        <v>-18922485.19</v>
      </c>
    </row>
    <row r="10">
      <c r="A10" s="4" t="inlineStr">
        <is>
          <t>支付给职工以及为职工支付的现金</t>
        </is>
      </c>
      <c r="B10" s="3" t="n">
        <v>6</v>
      </c>
      <c r="C10" s="15" t="n">
        <v>-1579730.28</v>
      </c>
      <c r="D10" s="15" t="n">
        <v>-7072905.84</v>
      </c>
      <c r="E10" s="15" t="n">
        <v>-4740562.28</v>
      </c>
      <c r="F10" s="15" t="n">
        <v>-1029789.36</v>
      </c>
      <c r="G10" s="15" t="n">
        <v>-14422987.76</v>
      </c>
    </row>
    <row r="11">
      <c r="A11" s="4" t="inlineStr">
        <is>
          <t>支付的各项税费</t>
        </is>
      </c>
      <c r="B11" s="3" t="n">
        <v>7</v>
      </c>
      <c r="C11" s="15" t="n">
        <v>-649890.0699999999</v>
      </c>
      <c r="D11" s="15" t="n">
        <v>-6255522.47</v>
      </c>
      <c r="E11" s="15" t="n">
        <v>-1515088.22</v>
      </c>
      <c r="F11" s="15" t="n">
        <v>-1674027.06</v>
      </c>
      <c r="G11" s="15" t="n">
        <v>-10094527.82</v>
      </c>
    </row>
    <row r="12">
      <c r="A12" s="4" t="inlineStr">
        <is>
          <t>支付其他与经营活动有关的现金</t>
        </is>
      </c>
      <c r="B12" s="3" t="n">
        <v>8</v>
      </c>
      <c r="C12" s="15" t="n">
        <v>-3010966.99</v>
      </c>
      <c r="D12" s="15" t="n">
        <v>-2910330.66</v>
      </c>
      <c r="E12" s="15" t="n">
        <v>-4212388.66</v>
      </c>
      <c r="F12" s="15" t="n">
        <v>-7568338.43</v>
      </c>
      <c r="G12" s="15" t="n">
        <v>-17702024.74</v>
      </c>
    </row>
    <row r="13">
      <c r="A13" s="6" t="inlineStr">
        <is>
          <t>经营活动现金流出小计</t>
        </is>
      </c>
      <c r="B13" s="3" t="n">
        <v>9</v>
      </c>
      <c r="C13" s="16" t="n">
        <v>2465653.25</v>
      </c>
      <c r="D13" s="16" t="n">
        <v>4465066.57</v>
      </c>
      <c r="E13" s="16" t="n">
        <v>140457.53</v>
      </c>
      <c r="F13" s="16" t="n">
        <v>2118505.77</v>
      </c>
      <c r="G13" s="16" t="n">
        <v>9189683.119999999</v>
      </c>
    </row>
    <row r="14">
      <c r="A14" s="6" t="inlineStr">
        <is>
          <t>经营活动产生的现金流量净额</t>
        </is>
      </c>
      <c r="B14" s="3" t="n">
        <v>10</v>
      </c>
      <c r="C14" s="16" t="n">
        <v>-457628.4</v>
      </c>
      <c r="D14" s="16" t="n">
        <v>221184.98</v>
      </c>
      <c r="E14" s="16" t="n">
        <v>2991022.01</v>
      </c>
      <c r="F14" s="16" t="n">
        <v>-808479.3</v>
      </c>
      <c r="G14" s="16" t="n">
        <v>1946099.29</v>
      </c>
    </row>
    <row r="15">
      <c r="A15" s="6" t="inlineStr">
        <is>
          <t>二、投资活动产生的现金流量</t>
        </is>
      </c>
    </row>
    <row r="16">
      <c r="A16" s="4" t="inlineStr">
        <is>
          <t>收回投资收到的现金</t>
        </is>
      </c>
      <c r="B16" s="3" t="n">
        <v>11</v>
      </c>
      <c r="C16" s="15" t="n">
        <v>4157063.21</v>
      </c>
      <c r="D16" s="15" t="n">
        <v>1731495.52</v>
      </c>
      <c r="E16" s="15" t="n">
        <v>3363569.63</v>
      </c>
      <c r="F16" s="15" t="n">
        <v>6470875.28</v>
      </c>
      <c r="G16" s="15" t="n">
        <v>15723003.64</v>
      </c>
    </row>
    <row r="17">
      <c r="A17" s="4" t="inlineStr">
        <is>
          <t>取得投资收益收到的现金</t>
        </is>
      </c>
      <c r="B17" s="3" t="n">
        <v>12</v>
      </c>
      <c r="C17" s="15" t="n">
        <v>6407600.07</v>
      </c>
      <c r="D17" s="15" t="n">
        <v>4895352.3</v>
      </c>
      <c r="E17" s="15" t="n">
        <v>5253753.71</v>
      </c>
      <c r="F17" s="15" t="n">
        <v>760537.66</v>
      </c>
      <c r="G17" s="15" t="n">
        <v>17317243.74</v>
      </c>
    </row>
    <row r="18">
      <c r="A18" s="4" t="inlineStr">
        <is>
          <t>处置固定资产、无形资产收到的现金净额</t>
        </is>
      </c>
      <c r="B18" s="3" t="n">
        <v>13</v>
      </c>
      <c r="C18" s="15" t="n">
        <v>3999092.63</v>
      </c>
      <c r="D18" s="15" t="n">
        <v>7055772.76</v>
      </c>
      <c r="E18" s="15" t="n">
        <v>9463971.77</v>
      </c>
      <c r="F18" s="15" t="n">
        <v>9657089.279999999</v>
      </c>
      <c r="G18" s="15" t="n">
        <v>30175926.44</v>
      </c>
    </row>
    <row r="19">
      <c r="A19" s="6" t="inlineStr">
        <is>
          <t>投资活动现金流入小计</t>
        </is>
      </c>
      <c r="B19" s="3" t="n">
        <v>14</v>
      </c>
      <c r="C19" s="16" t="n">
        <v>2284509.55</v>
      </c>
      <c r="D19" s="16" t="n">
        <v>223383.28</v>
      </c>
      <c r="E19" s="16" t="n">
        <v>3801326.05</v>
      </c>
      <c r="F19" s="16" t="n">
        <v>2084332.16</v>
      </c>
      <c r="G19" s="16" t="n">
        <v>8393551.039999999</v>
      </c>
    </row>
    <row r="20">
      <c r="A20" s="4" t="inlineStr">
        <is>
          <t>购建固定资产、无形资产支付的现金</t>
        </is>
      </c>
      <c r="B20" s="3" t="n">
        <v>15</v>
      </c>
      <c r="C20" s="15" t="n">
        <v>-4882672.62</v>
      </c>
      <c r="D20" s="15" t="n">
        <v>-3945551.16</v>
      </c>
      <c r="E20" s="15" t="n">
        <v>-2644672.87</v>
      </c>
      <c r="F20" s="15" t="n">
        <v>-6562108.41</v>
      </c>
      <c r="G20" s="15" t="n">
        <v>-18035005.06</v>
      </c>
    </row>
    <row r="21">
      <c r="A21" s="4" t="inlineStr">
        <is>
          <t>投资支付的现金</t>
        </is>
      </c>
      <c r="B21" s="3" t="n">
        <v>16</v>
      </c>
      <c r="C21" s="15" t="n">
        <v>-5856851.43</v>
      </c>
      <c r="D21" s="15" t="n">
        <v>-3745980.42</v>
      </c>
      <c r="E21" s="15" t="n">
        <v>-1501878.65</v>
      </c>
      <c r="F21" s="15" t="n">
        <v>-6201087.22</v>
      </c>
      <c r="G21" s="15" t="n">
        <v>-17305797.72</v>
      </c>
    </row>
    <row r="22">
      <c r="A22" s="6" t="inlineStr">
        <is>
          <t>投资活动现金流出小计</t>
        </is>
      </c>
      <c r="B22" s="3" t="n">
        <v>17</v>
      </c>
      <c r="C22" s="16" t="n">
        <v>593706.89</v>
      </c>
      <c r="D22" s="16" t="n">
        <v>1121690.41</v>
      </c>
      <c r="E22" s="16" t="n">
        <v>3888348.95</v>
      </c>
      <c r="F22" s="16" t="n">
        <v>-865801.23</v>
      </c>
      <c r="G22" s="16" t="n">
        <v>4737945.02</v>
      </c>
    </row>
    <row r="23">
      <c r="A23" s="6" t="inlineStr">
        <is>
          <t>投资活动产生的现金流量净额</t>
        </is>
      </c>
      <c r="B23" s="3" t="n">
        <v>18</v>
      </c>
      <c r="C23" s="16" t="n">
        <v>521699.86</v>
      </c>
      <c r="D23" s="16" t="n">
        <v>2194903.8</v>
      </c>
      <c r="E23" s="16" t="n">
        <v>610599.74</v>
      </c>
      <c r="F23" s="16" t="n">
        <v>-1437446.42</v>
      </c>
      <c r="G23" s="16" t="n">
        <v>1889756.98</v>
      </c>
    </row>
    <row r="24">
      <c r="A24" s="6" t="inlineStr">
        <is>
          <t>三、筹资活动产生的现金流量</t>
        </is>
      </c>
    </row>
    <row r="25">
      <c r="A25" s="4" t="inlineStr">
        <is>
          <t>吸收投资收到的现金</t>
        </is>
      </c>
      <c r="B25" s="3" t="n">
        <v>19</v>
      </c>
      <c r="C25" s="15" t="n">
        <v>1539505.79</v>
      </c>
      <c r="D25" s="15" t="n">
        <v>4591180.3</v>
      </c>
      <c r="E25" s="15" t="n">
        <v>5012264.8</v>
      </c>
      <c r="F25" s="15" t="n">
        <v>6859065.21</v>
      </c>
      <c r="G25" s="15" t="n">
        <v>18002016.1</v>
      </c>
    </row>
    <row r="26">
      <c r="A26" s="4" t="inlineStr">
        <is>
          <t>取得借款收到的现金</t>
        </is>
      </c>
      <c r="B26" s="3" t="n">
        <v>20</v>
      </c>
      <c r="C26" s="15" t="n">
        <v>6254697.27</v>
      </c>
      <c r="D26" s="15" t="n">
        <v>3882939.71</v>
      </c>
      <c r="E26" s="15" t="n">
        <v>1649885.01</v>
      </c>
      <c r="F26" s="15" t="n">
        <v>1972135.8</v>
      </c>
      <c r="G26" s="15" t="n">
        <v>13759657.79</v>
      </c>
    </row>
    <row r="27">
      <c r="A27" s="6" t="inlineStr">
        <is>
          <t>筹资活动现金流入小计</t>
        </is>
      </c>
      <c r="B27" s="3" t="n">
        <v>21</v>
      </c>
      <c r="C27" s="16" t="n">
        <v>3433556.03</v>
      </c>
      <c r="D27" s="16" t="n">
        <v>-633131.22</v>
      </c>
      <c r="E27" s="16" t="n">
        <v>-669165.35</v>
      </c>
      <c r="F27" s="16" t="n">
        <v>1519383.42</v>
      </c>
      <c r="G27" s="16" t="n">
        <v>3650642.88</v>
      </c>
    </row>
    <row r="28">
      <c r="A28" s="4" t="inlineStr">
        <is>
          <t>偿还债务支付的现金</t>
        </is>
      </c>
      <c r="B28" s="3" t="n">
        <v>22</v>
      </c>
      <c r="C28" s="15" t="n">
        <v>-2520790.25</v>
      </c>
      <c r="D28" s="15" t="n">
        <v>-6636645.33</v>
      </c>
      <c r="E28" s="15" t="n">
        <v>-8478140.640000001</v>
      </c>
      <c r="F28" s="15" t="n">
        <v>-7401733.71</v>
      </c>
      <c r="G28" s="15" t="n">
        <v>-25037309.93</v>
      </c>
    </row>
    <row r="29">
      <c r="A29" s="4" t="inlineStr">
        <is>
          <t>分配股利、利润或偿付利息支付的现金</t>
        </is>
      </c>
      <c r="B29" s="3" t="n">
        <v>23</v>
      </c>
      <c r="C29" s="15" t="n">
        <v>-6206804.74</v>
      </c>
      <c r="D29" s="15" t="n">
        <v>-5760271.38</v>
      </c>
      <c r="E29" s="15" t="n">
        <v>-2099966.9</v>
      </c>
      <c r="F29" s="15" t="n">
        <v>-1248866.6</v>
      </c>
      <c r="G29" s="15" t="n">
        <v>-15315909.62</v>
      </c>
    </row>
    <row r="30">
      <c r="A30" s="6" t="inlineStr">
        <is>
          <t>筹资活动现金流出小计</t>
        </is>
      </c>
      <c r="B30" s="3" t="n">
        <v>24</v>
      </c>
      <c r="C30" s="16" t="n">
        <v>4286341.01</v>
      </c>
      <c r="D30" s="16" t="n">
        <v>2526931.82</v>
      </c>
      <c r="E30" s="16" t="n">
        <v>-1309763.6</v>
      </c>
      <c r="F30" s="16" t="n">
        <v>581075.75</v>
      </c>
      <c r="G30" s="16" t="n">
        <v>6084584.98</v>
      </c>
    </row>
    <row r="31">
      <c r="A31" s="6" t="inlineStr">
        <is>
          <t>筹资活动产生的现金流量净额</t>
        </is>
      </c>
      <c r="B31" s="3" t="n">
        <v>25</v>
      </c>
      <c r="C31" s="16" t="n">
        <v>4638834.82</v>
      </c>
      <c r="D31" s="16" t="n">
        <v>564131.29</v>
      </c>
      <c r="E31" s="16" t="n">
        <v>-60993.07</v>
      </c>
      <c r="F31" s="16" t="n">
        <v>259831.2</v>
      </c>
      <c r="G31" s="16" t="n">
        <v>5401804.24</v>
      </c>
    </row>
    <row r="32">
      <c r="A32" s="4" t="inlineStr">
        <is>
          <t>四、汇率变动对现金的影响</t>
        </is>
      </c>
      <c r="B32" s="3" t="n">
        <v>26</v>
      </c>
      <c r="C32" s="15" t="n">
        <v>-144353.59</v>
      </c>
      <c r="D32" s="15" t="n">
        <v>463425.92</v>
      </c>
      <c r="E32" s="15" t="n">
        <v>387730.17</v>
      </c>
      <c r="F32" s="15" t="n">
        <v>-136469.47</v>
      </c>
      <c r="G32" s="15" t="n">
        <v>570333.03</v>
      </c>
    </row>
    <row r="33">
      <c r="A33" s="6" t="inlineStr">
        <is>
          <t>五、现金及现金等价物净增加额</t>
        </is>
      </c>
      <c r="B33" s="3" t="n">
        <v>27</v>
      </c>
      <c r="C33" s="16" t="n">
        <v>1208984.01</v>
      </c>
      <c r="D33" s="16" t="n">
        <v>-409190.38</v>
      </c>
      <c r="E33" s="16" t="n">
        <v>-829147</v>
      </c>
      <c r="F33" s="16" t="n">
        <v>4845971.05</v>
      </c>
      <c r="G33" s="16" t="n">
        <v>4816617.68</v>
      </c>
    </row>
    <row r="34">
      <c r="A34" s="4" t="inlineStr">
        <is>
          <t>加：期初现金及现金等价物余额</t>
        </is>
      </c>
      <c r="B34" s="3" t="n">
        <v>28</v>
      </c>
      <c r="C34" s="15" t="n">
        <v>456311.44</v>
      </c>
      <c r="D34" s="15" t="n">
        <v>163561.9</v>
      </c>
      <c r="E34" s="15" t="n">
        <v>-296462.67</v>
      </c>
      <c r="F34" s="15" t="n">
        <v>294331.99</v>
      </c>
      <c r="G34" s="15" t="n">
        <v>617742.66</v>
      </c>
    </row>
    <row r="35">
      <c r="A35" s="6" t="inlineStr">
        <is>
          <t>六、期末现金及现金等价物余额</t>
        </is>
      </c>
      <c r="B35" s="3" t="n">
        <v>29</v>
      </c>
      <c r="C35" s="16" t="n">
        <v>4426021.72</v>
      </c>
      <c r="D35" s="16" t="n">
        <v>1525775.62</v>
      </c>
      <c r="E35" s="16" t="n">
        <v>4705163.79</v>
      </c>
      <c r="F35" s="16" t="n">
        <v>3358340.59</v>
      </c>
      <c r="G35" s="16" t="n">
        <v>14015301.72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P5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</cols>
  <sheetData>
    <row r="1">
      <c r="B1" s="2" t="inlineStr">
        <is>
          <t>华东</t>
        </is>
      </c>
      <c r="Z1" s="2" t="inlineStr">
        <is>
          <t>华北</t>
        </is>
      </c>
      <c r="AX1" s="2" t="inlineStr">
        <is>
          <t>华南</t>
        </is>
      </c>
      <c r="BV1" s="2" t="inlineStr">
        <is>
          <t>西南</t>
        </is>
      </c>
    </row>
    <row r="2">
      <c r="B2" s="2" t="inlineStr">
        <is>
          <t>Q1</t>
        </is>
      </c>
      <c r="H2" s="2" t="inlineStr">
        <is>
          <t>Q2</t>
        </is>
      </c>
      <c r="N2" s="2" t="inlineStr">
        <is>
          <t>Q3</t>
        </is>
      </c>
      <c r="T2" s="2" t="inlineStr">
        <is>
          <t>Q4</t>
        </is>
      </c>
      <c r="Z2" s="2" t="inlineStr">
        <is>
          <t>Q1</t>
        </is>
      </c>
      <c r="AF2" s="2" t="inlineStr">
        <is>
          <t>Q2</t>
        </is>
      </c>
      <c r="AL2" s="2" t="inlineStr">
        <is>
          <t>Q3</t>
        </is>
      </c>
      <c r="AR2" s="2" t="inlineStr">
        <is>
          <t>Q4</t>
        </is>
      </c>
      <c r="AX2" s="2" t="inlineStr">
        <is>
          <t>Q1</t>
        </is>
      </c>
      <c r="BD2" s="2" t="inlineStr">
        <is>
          <t>Q2</t>
        </is>
      </c>
      <c r="BJ2" s="2" t="inlineStr">
        <is>
          <t>Q3</t>
        </is>
      </c>
      <c r="BP2" s="2" t="inlineStr">
        <is>
          <t>Q4</t>
        </is>
      </c>
      <c r="BV2" s="2" t="inlineStr">
        <is>
          <t>Q1</t>
        </is>
      </c>
      <c r="CB2" s="2" t="inlineStr">
        <is>
          <t>Q2</t>
        </is>
      </c>
      <c r="CH2" s="2" t="inlineStr">
        <is>
          <t>Q3</t>
        </is>
      </c>
      <c r="CN2" s="2" t="inlineStr">
        <is>
          <t>Q4</t>
        </is>
      </c>
      <c r="CT2" s="2" t="inlineStr">
        <is>
          <t>Q1</t>
        </is>
      </c>
      <c r="CZ2" s="2" t="inlineStr">
        <is>
          <t>Q2</t>
        </is>
      </c>
      <c r="DF2" s="2" t="inlineStr">
        <is>
          <t>Q3</t>
        </is>
      </c>
    </row>
    <row r="3">
      <c r="A3" s="2" t="inlineStr">
        <is>
          <t>产品</t>
        </is>
      </c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费用</t>
        </is>
      </c>
      <c r="F3" s="2" t="inlineStr">
        <is>
          <t>净利</t>
        </is>
      </c>
      <c r="G3" s="2" t="inlineStr">
        <is>
          <t>预算</t>
        </is>
      </c>
      <c r="H3" s="2" t="inlineStr">
        <is>
          <t>收入</t>
        </is>
      </c>
      <c r="I3" s="2" t="inlineStr">
        <is>
          <t>成本</t>
        </is>
      </c>
      <c r="J3" s="2" t="inlineStr">
        <is>
          <t>毛利</t>
        </is>
      </c>
      <c r="K3" s="2" t="inlineStr">
        <is>
          <t>费用</t>
        </is>
      </c>
      <c r="L3" s="2" t="inlineStr">
        <is>
          <t>净利</t>
        </is>
      </c>
      <c r="M3" s="2" t="inlineStr">
        <is>
          <t>预算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费用</t>
        </is>
      </c>
      <c r="R3" s="2" t="inlineStr">
        <is>
          <t>净利</t>
        </is>
      </c>
      <c r="S3" s="2" t="inlineStr">
        <is>
          <t>预算</t>
        </is>
      </c>
      <c r="T3" s="2" t="inlineStr">
        <is>
          <t>收入</t>
        </is>
      </c>
      <c r="U3" s="2" t="inlineStr">
        <is>
          <t>成本</t>
        </is>
      </c>
      <c r="V3" s="2" t="inlineStr">
        <is>
          <t>毛利</t>
        </is>
      </c>
      <c r="W3" s="2" t="inlineStr">
        <is>
          <t>费用</t>
        </is>
      </c>
      <c r="X3" s="2" t="inlineStr">
        <is>
          <t>净利</t>
        </is>
      </c>
      <c r="Y3" s="2" t="inlineStr">
        <is>
          <t>预算</t>
        </is>
      </c>
      <c r="Z3" s="2" t="inlineStr">
        <is>
          <t>收入</t>
        </is>
      </c>
      <c r="AA3" s="2" t="inlineStr">
        <is>
          <t>成本</t>
        </is>
      </c>
      <c r="AB3" s="2" t="inlineStr">
        <is>
          <t>毛利</t>
        </is>
      </c>
      <c r="AC3" s="2" t="inlineStr">
        <is>
          <t>费用</t>
        </is>
      </c>
      <c r="AD3" s="2" t="inlineStr">
        <is>
          <t>净利</t>
        </is>
      </c>
      <c r="AE3" s="2" t="inlineStr">
        <is>
          <t>预算</t>
        </is>
      </c>
      <c r="AF3" s="2" t="inlineStr">
        <is>
          <t>收入</t>
        </is>
      </c>
      <c r="AG3" s="2" t="inlineStr">
        <is>
          <t>成本</t>
        </is>
      </c>
      <c r="AH3" s="2" t="inlineStr">
        <is>
          <t>毛利</t>
        </is>
      </c>
      <c r="AI3" s="2" t="inlineStr">
        <is>
          <t>费用</t>
        </is>
      </c>
      <c r="AJ3" s="2" t="inlineStr">
        <is>
          <t>净利</t>
        </is>
      </c>
      <c r="AK3" s="2" t="inlineStr">
        <is>
          <t>预算</t>
        </is>
      </c>
      <c r="AL3" s="2" t="inlineStr">
        <is>
          <t>收入</t>
        </is>
      </c>
      <c r="AM3" s="2" t="inlineStr">
        <is>
          <t>成本</t>
        </is>
      </c>
      <c r="AN3" s="2" t="inlineStr">
        <is>
          <t>毛利</t>
        </is>
      </c>
      <c r="AO3" s="2" t="inlineStr">
        <is>
          <t>费用</t>
        </is>
      </c>
      <c r="AP3" s="2" t="inlineStr">
        <is>
          <t>净利</t>
        </is>
      </c>
      <c r="AQ3" s="2" t="inlineStr">
        <is>
          <t>预算</t>
        </is>
      </c>
      <c r="AR3" s="2" t="inlineStr">
        <is>
          <t>收入</t>
        </is>
      </c>
      <c r="AS3" s="2" t="inlineStr">
        <is>
          <t>成本</t>
        </is>
      </c>
      <c r="AT3" s="2" t="inlineStr">
        <is>
          <t>毛利</t>
        </is>
      </c>
      <c r="AU3" s="2" t="inlineStr">
        <is>
          <t>费用</t>
        </is>
      </c>
      <c r="AV3" s="2" t="inlineStr">
        <is>
          <t>净利</t>
        </is>
      </c>
      <c r="AW3" s="2" t="inlineStr">
        <is>
          <t>预算</t>
        </is>
      </c>
      <c r="AX3" s="2" t="inlineStr">
        <is>
          <t>收入</t>
        </is>
      </c>
      <c r="AY3" s="2" t="inlineStr">
        <is>
          <t>成本</t>
        </is>
      </c>
      <c r="AZ3" s="2" t="inlineStr">
        <is>
          <t>毛利</t>
        </is>
      </c>
      <c r="BA3" s="2" t="inlineStr">
        <is>
          <t>费用</t>
        </is>
      </c>
      <c r="BB3" s="2" t="inlineStr">
        <is>
          <t>净利</t>
        </is>
      </c>
      <c r="BC3" s="2" t="inlineStr">
        <is>
          <t>预算</t>
        </is>
      </c>
      <c r="BD3" s="2" t="inlineStr">
        <is>
          <t>收入</t>
        </is>
      </c>
      <c r="BE3" s="2" t="inlineStr">
        <is>
          <t>成本</t>
        </is>
      </c>
      <c r="BF3" s="2" t="inlineStr">
        <is>
          <t>毛利</t>
        </is>
      </c>
      <c r="BG3" s="2" t="inlineStr">
        <is>
          <t>费用</t>
        </is>
      </c>
      <c r="BH3" s="2" t="inlineStr">
        <is>
          <t>净利</t>
        </is>
      </c>
      <c r="BI3" s="2" t="inlineStr">
        <is>
          <t>预算</t>
        </is>
      </c>
      <c r="BJ3" s="2" t="inlineStr">
        <is>
          <t>收入</t>
        </is>
      </c>
      <c r="BK3" s="2" t="inlineStr">
        <is>
          <t>成本</t>
        </is>
      </c>
      <c r="BL3" s="2" t="inlineStr">
        <is>
          <t>毛利</t>
        </is>
      </c>
      <c r="BM3" s="2" t="inlineStr">
        <is>
          <t>费用</t>
        </is>
      </c>
      <c r="BN3" s="2" t="inlineStr">
        <is>
          <t>净利</t>
        </is>
      </c>
      <c r="BO3" s="2" t="inlineStr">
        <is>
          <t>预算</t>
        </is>
      </c>
      <c r="BP3" s="2" t="inlineStr">
        <is>
          <t>收入</t>
        </is>
      </c>
      <c r="BQ3" s="2" t="inlineStr">
        <is>
          <t>成本</t>
        </is>
      </c>
      <c r="BR3" s="2" t="inlineStr">
        <is>
          <t>毛利</t>
        </is>
      </c>
      <c r="BS3" s="2" t="inlineStr">
        <is>
          <t>费用</t>
        </is>
      </c>
      <c r="BT3" s="2" t="inlineStr">
        <is>
          <t>净利</t>
        </is>
      </c>
      <c r="BU3" s="2" t="inlineStr">
        <is>
          <t>预算</t>
        </is>
      </c>
      <c r="BV3" s="2" t="inlineStr">
        <is>
          <t>收入</t>
        </is>
      </c>
      <c r="BW3" s="2" t="inlineStr">
        <is>
          <t>成本</t>
        </is>
      </c>
      <c r="BX3" s="2" t="inlineStr">
        <is>
          <t>毛利</t>
        </is>
      </c>
      <c r="BY3" s="2" t="inlineStr">
        <is>
          <t>费用</t>
        </is>
      </c>
      <c r="BZ3" s="2" t="inlineStr">
        <is>
          <t>净利</t>
        </is>
      </c>
      <c r="CA3" s="2" t="inlineStr">
        <is>
          <t>预算</t>
        </is>
      </c>
      <c r="CB3" s="2" t="inlineStr">
        <is>
          <t>收入</t>
        </is>
      </c>
      <c r="CC3" s="2" t="inlineStr">
        <is>
          <t>成本</t>
        </is>
      </c>
      <c r="CD3" s="2" t="inlineStr">
        <is>
          <t>毛利</t>
        </is>
      </c>
      <c r="CE3" s="2" t="inlineStr">
        <is>
          <t>费用</t>
        </is>
      </c>
      <c r="CF3" s="2" t="inlineStr">
        <is>
          <t>净利</t>
        </is>
      </c>
      <c r="CG3" s="2" t="inlineStr">
        <is>
          <t>预算</t>
        </is>
      </c>
      <c r="CH3" s="2" t="inlineStr">
        <is>
          <t>收入</t>
        </is>
      </c>
      <c r="CI3" s="2" t="inlineStr">
        <is>
          <t>成本</t>
        </is>
      </c>
      <c r="CJ3" s="2" t="inlineStr">
        <is>
          <t>毛利</t>
        </is>
      </c>
      <c r="CK3" s="2" t="inlineStr">
        <is>
          <t>费用</t>
        </is>
      </c>
      <c r="CL3" s="2" t="inlineStr">
        <is>
          <t>净利</t>
        </is>
      </c>
      <c r="CM3" s="2" t="inlineStr">
        <is>
          <t>预算</t>
        </is>
      </c>
      <c r="CN3" s="2" t="inlineStr">
        <is>
          <t>收入</t>
        </is>
      </c>
      <c r="CO3" s="2" t="inlineStr">
        <is>
          <t>成本</t>
        </is>
      </c>
      <c r="CP3" s="2" t="inlineStr">
        <is>
          <t>毛利</t>
        </is>
      </c>
      <c r="CQ3" s="2" t="inlineStr">
        <is>
          <t>费用</t>
        </is>
      </c>
      <c r="CR3" s="2" t="inlineStr">
        <is>
          <t>净利</t>
        </is>
      </c>
      <c r="CS3" s="2" t="inlineStr">
        <is>
          <t>预算</t>
        </is>
      </c>
      <c r="CT3" s="2" t="inlineStr">
        <is>
          <t>收入</t>
        </is>
      </c>
      <c r="CU3" s="2" t="inlineStr">
        <is>
          <t>成本</t>
        </is>
      </c>
      <c r="CV3" s="2" t="inlineStr">
        <is>
          <t>毛利</t>
        </is>
      </c>
      <c r="CW3" s="2" t="inlineStr">
        <is>
          <t>费用</t>
        </is>
      </c>
      <c r="CX3" s="2" t="inlineStr">
        <is>
          <t>净利</t>
        </is>
      </c>
      <c r="CY3" s="2" t="inlineStr">
        <is>
          <t>预算</t>
        </is>
      </c>
      <c r="CZ3" s="2" t="inlineStr">
        <is>
          <t>收入</t>
        </is>
      </c>
      <c r="DA3" s="2" t="inlineStr">
        <is>
          <t>成本</t>
        </is>
      </c>
      <c r="DB3" s="2" t="inlineStr">
        <is>
          <t>毛利</t>
        </is>
      </c>
      <c r="DC3" s="2" t="inlineStr">
        <is>
          <t>费用</t>
        </is>
      </c>
      <c r="DD3" s="2" t="inlineStr">
        <is>
          <t>净利</t>
        </is>
      </c>
      <c r="DE3" s="2" t="inlineStr">
        <is>
          <t>预算</t>
        </is>
      </c>
      <c r="DF3" s="2" t="inlineStr">
        <is>
          <t>收入</t>
        </is>
      </c>
      <c r="DG3" s="2" t="inlineStr">
        <is>
          <t>成本</t>
        </is>
      </c>
      <c r="DH3" s="2" t="inlineStr">
        <is>
          <t>毛利</t>
        </is>
      </c>
      <c r="DI3" s="2" t="inlineStr">
        <is>
          <t>费用</t>
        </is>
      </c>
      <c r="DJ3" s="2" t="inlineStr">
        <is>
          <t>净利</t>
        </is>
      </c>
      <c r="DK3" s="2" t="inlineStr">
        <is>
          <t>预算</t>
        </is>
      </c>
      <c r="DL3" s="2" t="inlineStr">
        <is>
          <t>收入</t>
        </is>
      </c>
      <c r="DM3" s="2" t="inlineStr">
        <is>
          <t>成本</t>
        </is>
      </c>
      <c r="DN3" s="2" t="inlineStr">
        <is>
          <t>毛利</t>
        </is>
      </c>
      <c r="DO3" s="2" t="inlineStr">
        <is>
          <t>费用</t>
        </is>
      </c>
      <c r="DP3" s="2" t="inlineStr">
        <is>
          <t>净利</t>
        </is>
      </c>
    </row>
    <row r="4">
      <c r="A4" s="4" t="inlineStr">
        <is>
          <t>生鲜蔬果</t>
        </is>
      </c>
      <c r="B4" s="15" t="n">
        <v>1066165.02</v>
      </c>
      <c r="C4" s="15" t="n">
        <v>109333.72</v>
      </c>
      <c r="D4" s="15" t="n">
        <v>822168.46</v>
      </c>
      <c r="E4" s="15" t="n">
        <v>155126.56</v>
      </c>
      <c r="F4" s="15" t="n">
        <v>544833.45</v>
      </c>
      <c r="G4" s="15" t="n">
        <v>630983.53</v>
      </c>
      <c r="H4" s="15" t="n">
        <v>2018655.58</v>
      </c>
      <c r="I4" s="15" t="n">
        <v>883377.89</v>
      </c>
      <c r="J4" s="15" t="n">
        <v>39669.6</v>
      </c>
      <c r="K4" s="15" t="n">
        <v>107256.92</v>
      </c>
      <c r="L4" s="15" t="n">
        <v>509908.46</v>
      </c>
      <c r="M4" s="15" t="n">
        <v>615658.1</v>
      </c>
      <c r="N4" s="15" t="n">
        <v>244671.37</v>
      </c>
      <c r="O4" s="15" t="n">
        <v>160527.81</v>
      </c>
      <c r="P4" s="15" t="n">
        <v>911610.51</v>
      </c>
      <c r="Q4" s="15" t="n">
        <v>171720.67</v>
      </c>
      <c r="R4" s="15" t="n">
        <v>375282.11</v>
      </c>
      <c r="S4" s="15" t="n">
        <v>1541279.08</v>
      </c>
      <c r="T4" s="15" t="n">
        <v>279049.81</v>
      </c>
      <c r="U4" s="15" t="n">
        <v>1085750.01</v>
      </c>
      <c r="V4" s="15" t="n">
        <v>462223.71</v>
      </c>
      <c r="W4" s="15" t="n">
        <v>61720.83</v>
      </c>
      <c r="X4" s="15" t="n">
        <v>232323.69</v>
      </c>
      <c r="Y4" s="15" t="n">
        <v>792082.46</v>
      </c>
      <c r="Z4" s="15" t="n">
        <v>163253.34</v>
      </c>
      <c r="AA4" s="15" t="n">
        <v>1409050.28</v>
      </c>
      <c r="AB4" s="15" t="n">
        <v>684833.05</v>
      </c>
      <c r="AC4" s="15" t="n">
        <v>64429.61</v>
      </c>
      <c r="AD4" s="15" t="n">
        <v>-41717.94</v>
      </c>
      <c r="AE4" s="15" t="n">
        <v>1372742.1</v>
      </c>
      <c r="AF4" s="15" t="n">
        <v>138314.7</v>
      </c>
      <c r="AG4" s="15" t="n">
        <v>876357.98</v>
      </c>
      <c r="AH4" s="15" t="n">
        <v>963882.54</v>
      </c>
      <c r="AI4" s="15" t="n">
        <v>131825.06</v>
      </c>
      <c r="AJ4" s="15" t="n">
        <v>330254.17</v>
      </c>
      <c r="AK4" s="15" t="n">
        <v>726510.8199999999</v>
      </c>
      <c r="AL4" s="15" t="n">
        <v>1714081.07</v>
      </c>
      <c r="AM4" s="15" t="n">
        <v>1469892.58</v>
      </c>
      <c r="AN4" s="15" t="n">
        <v>43077.81</v>
      </c>
      <c r="AO4" s="15" t="n">
        <v>96092.36</v>
      </c>
      <c r="AP4" s="15" t="n">
        <v>548100.96</v>
      </c>
      <c r="AQ4" s="15" t="n">
        <v>425930.94</v>
      </c>
      <c r="AR4" s="15" t="n">
        <v>241783.29</v>
      </c>
      <c r="AS4" s="15" t="n">
        <v>188799.49</v>
      </c>
      <c r="AT4" s="15" t="n">
        <v>842806.83</v>
      </c>
      <c r="AU4" s="15" t="n">
        <v>47436.83</v>
      </c>
      <c r="AV4" s="15" t="n">
        <v>37498.89</v>
      </c>
      <c r="AW4" s="15" t="n">
        <v>598669.52</v>
      </c>
      <c r="AX4" s="15" t="n">
        <v>130796.86</v>
      </c>
      <c r="AY4" s="15" t="n">
        <v>1070998.84</v>
      </c>
      <c r="AZ4" s="15" t="n">
        <v>689112.7</v>
      </c>
      <c r="BA4" s="15" t="n">
        <v>184724.09</v>
      </c>
      <c r="BB4" s="15" t="n">
        <v>501472.63</v>
      </c>
      <c r="BC4" s="15" t="n">
        <v>1883244.78</v>
      </c>
      <c r="BD4" s="15" t="n">
        <v>1111901.26</v>
      </c>
      <c r="BE4" s="15" t="n">
        <v>764668.12</v>
      </c>
      <c r="BF4" s="15" t="n">
        <v>52139.26</v>
      </c>
      <c r="BG4" s="15" t="n">
        <v>227863.53</v>
      </c>
      <c r="BH4" s="15" t="n">
        <v>465836.02</v>
      </c>
      <c r="BI4" s="15" t="n">
        <v>1783368.5</v>
      </c>
      <c r="BJ4" s="15" t="n">
        <v>1381190.84</v>
      </c>
      <c r="BK4" s="15" t="n">
        <v>965333.8199999999</v>
      </c>
      <c r="BL4" s="15" t="n">
        <v>523572.37</v>
      </c>
      <c r="BM4" s="15" t="n">
        <v>236191.06</v>
      </c>
      <c r="BN4" s="15" t="n">
        <v>745140.51</v>
      </c>
      <c r="BO4" s="15" t="n">
        <v>163056.48</v>
      </c>
      <c r="BP4" s="15" t="n">
        <v>1354124.67</v>
      </c>
      <c r="BQ4" s="15" t="n">
        <v>340544.92</v>
      </c>
      <c r="BR4" s="15" t="n">
        <v>304182.66</v>
      </c>
      <c r="BS4" s="15" t="n">
        <v>238384.94</v>
      </c>
      <c r="BT4" s="15" t="n">
        <v>282325.48</v>
      </c>
      <c r="BU4" s="15" t="n">
        <v>234705.78</v>
      </c>
      <c r="BV4" s="15" t="n">
        <v>1902006.47</v>
      </c>
      <c r="BW4" s="15" t="n">
        <v>1166199.5</v>
      </c>
      <c r="BX4" s="15" t="n">
        <v>437954.15</v>
      </c>
      <c r="BY4" s="15" t="n">
        <v>65874.13</v>
      </c>
      <c r="BZ4" s="15" t="n">
        <v>649674.65</v>
      </c>
      <c r="CA4" s="15" t="n">
        <v>1766129.01</v>
      </c>
      <c r="CB4" s="15" t="n">
        <v>2020742.65</v>
      </c>
      <c r="CC4" s="15" t="n">
        <v>1116547.91</v>
      </c>
      <c r="CD4" s="15" t="n">
        <v>548240.83</v>
      </c>
      <c r="CE4" s="15" t="n">
        <v>78249.52</v>
      </c>
      <c r="CF4" s="15" t="n">
        <v>494455.57</v>
      </c>
      <c r="CG4" s="15" t="n">
        <v>403764.62</v>
      </c>
      <c r="CH4" s="15" t="n">
        <v>506552.39</v>
      </c>
      <c r="CI4" s="15" t="n">
        <v>1155909.5</v>
      </c>
      <c r="CJ4" s="15" t="n">
        <v>440615.16</v>
      </c>
      <c r="CK4" s="15" t="n">
        <v>122779.99</v>
      </c>
      <c r="CL4" s="15" t="n">
        <v>26564.4</v>
      </c>
      <c r="CM4" s="15" t="n">
        <v>1639697.25</v>
      </c>
      <c r="CN4" s="15" t="n">
        <v>802037.5</v>
      </c>
      <c r="CO4" s="15" t="n">
        <v>1276894.5</v>
      </c>
      <c r="CP4" s="15" t="n">
        <v>265080.61</v>
      </c>
      <c r="CQ4" s="15" t="n">
        <v>163819.82</v>
      </c>
      <c r="CR4" s="15" t="n">
        <v>65005.73</v>
      </c>
      <c r="CS4" s="15" t="n">
        <v>1381079.06</v>
      </c>
      <c r="CT4" s="15" t="n">
        <v>457811.75</v>
      </c>
      <c r="CU4" s="15" t="n">
        <v>757509.91</v>
      </c>
      <c r="CV4" s="15" t="n">
        <v>822226.65</v>
      </c>
      <c r="CW4" s="15" t="n">
        <v>104583.94</v>
      </c>
      <c r="CX4" s="15" t="n">
        <v>275991.8</v>
      </c>
      <c r="CY4" s="15" t="n">
        <v>1578395.34</v>
      </c>
      <c r="CZ4" s="15" t="n">
        <v>851791.3100000001</v>
      </c>
      <c r="DA4" s="15" t="n">
        <v>166598.82</v>
      </c>
      <c r="DB4" s="15" t="n">
        <v>696125.99</v>
      </c>
      <c r="DC4" s="15" t="n">
        <v>121221.02</v>
      </c>
      <c r="DD4" s="15" t="n">
        <v>601070.49</v>
      </c>
      <c r="DE4" s="15" t="n">
        <v>632611.3199999999</v>
      </c>
      <c r="DF4" s="15" t="n">
        <v>1542990.61</v>
      </c>
      <c r="DG4" s="15" t="n">
        <v>278084.16</v>
      </c>
      <c r="DH4" s="15" t="n">
        <v>394288.66</v>
      </c>
      <c r="DI4" s="15" t="n">
        <v>114236.72</v>
      </c>
      <c r="DJ4" s="15" t="n">
        <v>-24934.72</v>
      </c>
      <c r="DK4" s="15" t="n">
        <v>1867237.48</v>
      </c>
      <c r="DL4" s="15" t="n">
        <v>680247.46</v>
      </c>
      <c r="DM4" s="15" t="n">
        <v>1228707.77</v>
      </c>
      <c r="DN4" s="15" t="n">
        <v>225054.39</v>
      </c>
      <c r="DO4" s="15" t="n">
        <v>199326.54</v>
      </c>
      <c r="DP4" s="15" t="n">
        <v>424113.84</v>
      </c>
    </row>
    <row r="5">
      <c r="A5" s="4" t="inlineStr">
        <is>
          <t>肉禽蛋奶</t>
        </is>
      </c>
      <c r="B5" s="15" t="n">
        <v>870650.61</v>
      </c>
      <c r="C5" s="15" t="n">
        <v>165021.65</v>
      </c>
      <c r="D5" s="15" t="n">
        <v>333766.09</v>
      </c>
      <c r="E5" s="15" t="n">
        <v>202981.13</v>
      </c>
      <c r="F5" s="15" t="n">
        <v>242869.06</v>
      </c>
      <c r="G5" s="15" t="n">
        <v>1321045.18</v>
      </c>
      <c r="H5" s="15" t="n">
        <v>530161.3</v>
      </c>
      <c r="I5" s="15" t="n">
        <v>440348.65</v>
      </c>
      <c r="J5" s="15" t="n">
        <v>942132.89</v>
      </c>
      <c r="K5" s="15" t="n">
        <v>158518.29</v>
      </c>
      <c r="L5" s="15" t="n">
        <v>573402.9399999999</v>
      </c>
      <c r="M5" s="15" t="n">
        <v>1183338.56</v>
      </c>
      <c r="N5" s="15" t="n">
        <v>77217.53</v>
      </c>
      <c r="O5" s="15" t="n">
        <v>846613.4</v>
      </c>
      <c r="P5" s="15" t="n">
        <v>569692.78</v>
      </c>
      <c r="Q5" s="15" t="n">
        <v>96882.69</v>
      </c>
      <c r="R5" s="15" t="n">
        <v>550821.55</v>
      </c>
      <c r="S5" s="15" t="n">
        <v>1194733.82</v>
      </c>
      <c r="T5" s="15" t="n">
        <v>1006658.51</v>
      </c>
      <c r="U5" s="15" t="n">
        <v>1011477.73</v>
      </c>
      <c r="V5" s="15" t="n">
        <v>809742.83</v>
      </c>
      <c r="W5" s="15" t="n">
        <v>20649.73</v>
      </c>
      <c r="X5" s="15" t="n">
        <v>662768.28</v>
      </c>
      <c r="Y5" s="15" t="n">
        <v>1336124.88</v>
      </c>
      <c r="Z5" s="15" t="n">
        <v>1367547.48</v>
      </c>
      <c r="AA5" s="15" t="n">
        <v>1264479.81</v>
      </c>
      <c r="AB5" s="15" t="n">
        <v>580773.12</v>
      </c>
      <c r="AC5" s="15" t="n">
        <v>198714.32</v>
      </c>
      <c r="AD5" s="15" t="n">
        <v>106544.25</v>
      </c>
      <c r="AE5" s="15" t="n">
        <v>1553337.49</v>
      </c>
      <c r="AF5" s="15" t="n">
        <v>1593854.19</v>
      </c>
      <c r="AG5" s="15" t="n">
        <v>1325105.6</v>
      </c>
      <c r="AH5" s="15" t="n">
        <v>145038.37</v>
      </c>
      <c r="AI5" s="15" t="n">
        <v>99008.62</v>
      </c>
      <c r="AJ5" s="15" t="n">
        <v>317048.54</v>
      </c>
      <c r="AK5" s="15" t="n">
        <v>404048.08</v>
      </c>
      <c r="AL5" s="15" t="n">
        <v>178508.68</v>
      </c>
      <c r="AM5" s="15" t="n">
        <v>717534.29</v>
      </c>
      <c r="AN5" s="15" t="n">
        <v>238099.76</v>
      </c>
      <c r="AO5" s="15" t="n">
        <v>178215.63</v>
      </c>
      <c r="AP5" s="15" t="n">
        <v>557507.23</v>
      </c>
      <c r="AQ5" s="15" t="n">
        <v>144338.16</v>
      </c>
      <c r="AR5" s="15" t="n">
        <v>997675</v>
      </c>
      <c r="AS5" s="15" t="n">
        <v>1077078.88</v>
      </c>
      <c r="AT5" s="15" t="n">
        <v>211715.1</v>
      </c>
      <c r="AU5" s="15" t="n">
        <v>106350.06</v>
      </c>
      <c r="AV5" s="15" t="n">
        <v>681929.89</v>
      </c>
      <c r="AW5" s="15" t="n">
        <v>1425414.43</v>
      </c>
      <c r="AX5" s="15" t="n">
        <v>2473928.79</v>
      </c>
      <c r="AY5" s="15" t="n">
        <v>1446582.02</v>
      </c>
      <c r="AZ5" s="15" t="n">
        <v>500814.66</v>
      </c>
      <c r="BA5" s="15" t="n">
        <v>64928.85</v>
      </c>
      <c r="BB5" s="15" t="n">
        <v>689005.97</v>
      </c>
      <c r="BC5" s="15" t="n">
        <v>1582958.23</v>
      </c>
      <c r="BD5" s="15" t="n">
        <v>853252.09</v>
      </c>
      <c r="BE5" s="15" t="n">
        <v>596011.98</v>
      </c>
      <c r="BF5" s="15" t="n">
        <v>802082.11</v>
      </c>
      <c r="BG5" s="15" t="n">
        <v>222920.95</v>
      </c>
      <c r="BH5" s="15" t="n">
        <v>474412.59</v>
      </c>
      <c r="BI5" s="15" t="n">
        <v>920737.08</v>
      </c>
      <c r="BJ5" s="15" t="n">
        <v>1028516.48</v>
      </c>
      <c r="BK5" s="15" t="n">
        <v>1234585.57</v>
      </c>
      <c r="BL5" s="15" t="n">
        <v>916894.8</v>
      </c>
      <c r="BM5" s="15" t="n">
        <v>245319.98</v>
      </c>
      <c r="BN5" s="15" t="n">
        <v>601823.5</v>
      </c>
      <c r="BO5" s="15" t="n">
        <v>942334.5600000001</v>
      </c>
      <c r="BP5" s="15" t="n">
        <v>994163.91</v>
      </c>
      <c r="BQ5" s="15" t="n">
        <v>1025192.02</v>
      </c>
      <c r="BR5" s="15" t="n">
        <v>63570.62</v>
      </c>
      <c r="BS5" s="15" t="n">
        <v>91377.62</v>
      </c>
      <c r="BT5" s="15" t="n">
        <v>-42961.72</v>
      </c>
      <c r="BU5" s="15" t="n">
        <v>1480130.92</v>
      </c>
      <c r="BV5" s="15" t="n">
        <v>2295581.8</v>
      </c>
      <c r="BW5" s="15" t="n">
        <v>966685.99</v>
      </c>
      <c r="BX5" s="15" t="n">
        <v>484187.74</v>
      </c>
      <c r="BY5" s="15" t="n">
        <v>108965.52</v>
      </c>
      <c r="BZ5" s="15" t="n">
        <v>443275.47</v>
      </c>
      <c r="CA5" s="15" t="n">
        <v>1883652.73</v>
      </c>
      <c r="CB5" s="15" t="n">
        <v>696720.76</v>
      </c>
      <c r="CC5" s="15" t="n">
        <v>1453129.35</v>
      </c>
      <c r="CD5" s="15" t="n">
        <v>916333.5600000001</v>
      </c>
      <c r="CE5" s="15" t="n">
        <v>45574.16</v>
      </c>
      <c r="CF5" s="15" t="n">
        <v>-69042.17999999999</v>
      </c>
      <c r="CG5" s="15" t="n">
        <v>845730.23</v>
      </c>
      <c r="CH5" s="15" t="n">
        <v>675632.13</v>
      </c>
      <c r="CI5" s="15" t="n">
        <v>668557.8</v>
      </c>
      <c r="CJ5" s="15" t="n">
        <v>200954.07</v>
      </c>
      <c r="CK5" s="15" t="n">
        <v>66571.05</v>
      </c>
      <c r="CL5" s="15" t="n">
        <v>115215.59</v>
      </c>
      <c r="CM5" s="15" t="n">
        <v>122929.48</v>
      </c>
      <c r="CN5" s="15" t="n">
        <v>765006.36</v>
      </c>
      <c r="CO5" s="15" t="n">
        <v>159036.8</v>
      </c>
      <c r="CP5" s="15" t="n">
        <v>688147.6</v>
      </c>
      <c r="CQ5" s="15" t="n">
        <v>110666.97</v>
      </c>
      <c r="CR5" s="15" t="n">
        <v>112551</v>
      </c>
      <c r="CS5" s="15" t="n">
        <v>1442103.37</v>
      </c>
      <c r="CT5" s="15" t="n">
        <v>2170374.23</v>
      </c>
      <c r="CU5" s="15" t="n">
        <v>231813.42</v>
      </c>
      <c r="CV5" s="15" t="n">
        <v>257064.7</v>
      </c>
      <c r="CW5" s="15" t="n">
        <v>25291.41</v>
      </c>
      <c r="CX5" s="15" t="n">
        <v>388273.04</v>
      </c>
      <c r="CY5" s="15" t="n">
        <v>1160432.36</v>
      </c>
      <c r="CZ5" s="15" t="n">
        <v>1342819.17</v>
      </c>
      <c r="DA5" s="15" t="n">
        <v>1015884.71</v>
      </c>
      <c r="DB5" s="15" t="n">
        <v>660823.1899999999</v>
      </c>
      <c r="DC5" s="15" t="n">
        <v>202094.3</v>
      </c>
      <c r="DD5" s="15" t="n">
        <v>247520.73</v>
      </c>
      <c r="DE5" s="15" t="n">
        <v>1269605.04</v>
      </c>
      <c r="DF5" s="15" t="n">
        <v>626809.46</v>
      </c>
      <c r="DG5" s="15" t="n">
        <v>495400.3</v>
      </c>
      <c r="DH5" s="15" t="n">
        <v>853695.4</v>
      </c>
      <c r="DI5" s="15" t="n">
        <v>83278.60000000001</v>
      </c>
      <c r="DJ5" s="15" t="n">
        <v>361909.59</v>
      </c>
      <c r="DK5" s="15" t="n">
        <v>1266779.59</v>
      </c>
      <c r="DL5" s="15" t="n">
        <v>2472782.75</v>
      </c>
      <c r="DM5" s="15" t="n">
        <v>1371288.41</v>
      </c>
      <c r="DN5" s="15" t="n">
        <v>834626.11</v>
      </c>
      <c r="DO5" s="15" t="n">
        <v>178845.25</v>
      </c>
      <c r="DP5" s="15" t="n">
        <v>325598.63</v>
      </c>
    </row>
    <row r="6">
      <c r="A6" s="4" t="inlineStr">
        <is>
          <t>粮油调味</t>
        </is>
      </c>
      <c r="B6" s="15" t="n">
        <v>2326364.59</v>
      </c>
      <c r="C6" s="15" t="n">
        <v>1351592.89</v>
      </c>
      <c r="D6" s="15" t="n">
        <v>416649.03</v>
      </c>
      <c r="E6" s="15" t="n">
        <v>248800.3</v>
      </c>
      <c r="F6" s="15" t="n">
        <v>58241.76</v>
      </c>
      <c r="G6" s="15" t="n">
        <v>1000338.27</v>
      </c>
      <c r="H6" s="15" t="n">
        <v>1498057.45</v>
      </c>
      <c r="I6" s="15" t="n">
        <v>1083496.79</v>
      </c>
      <c r="J6" s="15" t="n">
        <v>781621.28</v>
      </c>
      <c r="K6" s="15" t="n">
        <v>36569.89</v>
      </c>
      <c r="L6" s="15" t="n">
        <v>73786.95</v>
      </c>
      <c r="M6" s="15" t="n">
        <v>227745.56</v>
      </c>
      <c r="N6" s="15" t="n">
        <v>1035418.75</v>
      </c>
      <c r="O6" s="15" t="n">
        <v>1382536.37</v>
      </c>
      <c r="P6" s="15" t="n">
        <v>746545.03</v>
      </c>
      <c r="Q6" s="15" t="n">
        <v>128824.66</v>
      </c>
      <c r="R6" s="15" t="n">
        <v>724961.36</v>
      </c>
      <c r="S6" s="15" t="n">
        <v>1483889.98</v>
      </c>
      <c r="T6" s="15" t="n">
        <v>1253110.59</v>
      </c>
      <c r="U6" s="15" t="n">
        <v>86095.67</v>
      </c>
      <c r="V6" s="15" t="n">
        <v>159590.29</v>
      </c>
      <c r="W6" s="15" t="n">
        <v>152769.02</v>
      </c>
      <c r="X6" s="15" t="n">
        <v>349433.12</v>
      </c>
      <c r="Y6" s="15" t="n">
        <v>725160.59</v>
      </c>
      <c r="Z6" s="15" t="n">
        <v>2255442.19</v>
      </c>
      <c r="AA6" s="15" t="n">
        <v>991841.36</v>
      </c>
      <c r="AB6" s="15" t="n">
        <v>835124.05</v>
      </c>
      <c r="AC6" s="15" t="n">
        <v>77390.67</v>
      </c>
      <c r="AD6" s="15" t="n">
        <v>607100.9</v>
      </c>
      <c r="AE6" s="15" t="n">
        <v>836601.23</v>
      </c>
      <c r="AF6" s="15" t="n">
        <v>1564429.73</v>
      </c>
      <c r="AG6" s="15" t="n">
        <v>60766.51</v>
      </c>
      <c r="AH6" s="15" t="n">
        <v>848772.25</v>
      </c>
      <c r="AI6" s="15" t="n">
        <v>120904.98</v>
      </c>
      <c r="AJ6" s="15" t="n">
        <v>497796.91</v>
      </c>
      <c r="AK6" s="15" t="n">
        <v>728640.46</v>
      </c>
      <c r="AL6" s="15" t="n">
        <v>1570069.74</v>
      </c>
      <c r="AM6" s="15" t="n">
        <v>170653.3</v>
      </c>
      <c r="AN6" s="15" t="n">
        <v>121933.6</v>
      </c>
      <c r="AO6" s="15" t="n">
        <v>76033.28999999999</v>
      </c>
      <c r="AP6" s="15" t="n">
        <v>169050.52</v>
      </c>
      <c r="AQ6" s="15" t="n">
        <v>1961019.5</v>
      </c>
      <c r="AR6" s="15" t="n">
        <v>2062996.12</v>
      </c>
      <c r="AS6" s="15" t="n">
        <v>95778.41</v>
      </c>
      <c r="AT6" s="15" t="n">
        <v>942754.55</v>
      </c>
      <c r="AU6" s="15" t="n">
        <v>6528.58</v>
      </c>
      <c r="AV6" s="15" t="n">
        <v>311383</v>
      </c>
      <c r="AW6" s="15" t="n">
        <v>1473883.59</v>
      </c>
      <c r="AX6" s="15" t="n">
        <v>1867929.56</v>
      </c>
      <c r="AY6" s="15" t="n">
        <v>568432.1800000001</v>
      </c>
      <c r="AZ6" s="15" t="n">
        <v>228617.04</v>
      </c>
      <c r="BA6" s="15" t="n">
        <v>109886.14</v>
      </c>
      <c r="BB6" s="15" t="n">
        <v>-90786.41</v>
      </c>
      <c r="BC6" s="15" t="n">
        <v>1512294.4</v>
      </c>
      <c r="BD6" s="15" t="n">
        <v>2247950.51</v>
      </c>
      <c r="BE6" s="15" t="n">
        <v>1468186.2</v>
      </c>
      <c r="BF6" s="15" t="n">
        <v>117647.61</v>
      </c>
      <c r="BG6" s="15" t="n">
        <v>139691.12</v>
      </c>
      <c r="BH6" s="15" t="n">
        <v>287408.23</v>
      </c>
      <c r="BI6" s="15" t="n">
        <v>704738.36</v>
      </c>
      <c r="BJ6" s="15" t="n">
        <v>2342863.05</v>
      </c>
      <c r="BK6" s="15" t="n">
        <v>1239965.94</v>
      </c>
      <c r="BL6" s="15" t="n">
        <v>119128.78</v>
      </c>
      <c r="BM6" s="15" t="n">
        <v>249593.92</v>
      </c>
      <c r="BN6" s="15" t="n">
        <v>103325.75</v>
      </c>
      <c r="BO6" s="15" t="n">
        <v>1675370.71</v>
      </c>
      <c r="BP6" s="15" t="n">
        <v>157131.53</v>
      </c>
      <c r="BQ6" s="15" t="n">
        <v>391368.82</v>
      </c>
      <c r="BR6" s="15" t="n">
        <v>613493.23</v>
      </c>
      <c r="BS6" s="15" t="n">
        <v>113650.08</v>
      </c>
      <c r="BT6" s="15" t="n">
        <v>111574.13</v>
      </c>
      <c r="BU6" s="15" t="n">
        <v>210497.65</v>
      </c>
      <c r="BV6" s="15" t="n">
        <v>1063731.03</v>
      </c>
      <c r="BW6" s="15" t="n">
        <v>634513.3</v>
      </c>
      <c r="BX6" s="15" t="n">
        <v>404162.01</v>
      </c>
      <c r="BY6" s="15" t="n">
        <v>15592.76</v>
      </c>
      <c r="BZ6" s="15" t="n">
        <v>88414.2</v>
      </c>
      <c r="CA6" s="15" t="n">
        <v>827344.12</v>
      </c>
      <c r="CB6" s="15" t="n">
        <v>2265604.04</v>
      </c>
      <c r="CC6" s="15" t="n">
        <v>1452992.04</v>
      </c>
      <c r="CD6" s="15" t="n">
        <v>346355.06</v>
      </c>
      <c r="CE6" s="15" t="n">
        <v>10431.81</v>
      </c>
      <c r="CF6" s="15" t="n">
        <v>548409.6800000001</v>
      </c>
      <c r="CG6" s="15" t="n">
        <v>531071.5600000001</v>
      </c>
      <c r="CH6" s="15" t="n">
        <v>848364.95</v>
      </c>
      <c r="CI6" s="15" t="n">
        <v>527406.99</v>
      </c>
      <c r="CJ6" s="15" t="n">
        <v>426776.53</v>
      </c>
      <c r="CK6" s="15" t="n">
        <v>235343.25</v>
      </c>
      <c r="CL6" s="15" t="n">
        <v>660110.29</v>
      </c>
      <c r="CM6" s="15" t="n">
        <v>1361926.24</v>
      </c>
      <c r="CN6" s="15" t="n">
        <v>1042697.13</v>
      </c>
      <c r="CO6" s="15" t="n">
        <v>1340721.29</v>
      </c>
      <c r="CP6" s="15" t="n">
        <v>749915.84</v>
      </c>
      <c r="CQ6" s="15" t="n">
        <v>40273.48</v>
      </c>
      <c r="CR6" s="15" t="n">
        <v>515419.75</v>
      </c>
      <c r="CS6" s="15" t="n">
        <v>260959.85</v>
      </c>
      <c r="CT6" s="15" t="n">
        <v>68873.89999999999</v>
      </c>
      <c r="CU6" s="15" t="n">
        <v>1441441.64</v>
      </c>
      <c r="CV6" s="15" t="n">
        <v>904386.22</v>
      </c>
      <c r="CW6" s="15" t="n">
        <v>212137.39</v>
      </c>
      <c r="CX6" s="15" t="n">
        <v>679879.23</v>
      </c>
      <c r="CY6" s="15" t="n">
        <v>1849674.38</v>
      </c>
      <c r="CZ6" s="15" t="n">
        <v>1397154.89</v>
      </c>
      <c r="DA6" s="15" t="n">
        <v>91253.86</v>
      </c>
      <c r="DB6" s="15" t="n">
        <v>583256.83</v>
      </c>
      <c r="DC6" s="15" t="n">
        <v>83205.67</v>
      </c>
      <c r="DD6" s="15" t="n">
        <v>713392.63</v>
      </c>
      <c r="DE6" s="15" t="n">
        <v>1554298.74</v>
      </c>
      <c r="DF6" s="15" t="n">
        <v>2430104.57</v>
      </c>
      <c r="DG6" s="15" t="n">
        <v>152346.77</v>
      </c>
      <c r="DH6" s="15" t="n">
        <v>527324.53</v>
      </c>
      <c r="DI6" s="15" t="n">
        <v>213101.07</v>
      </c>
      <c r="DJ6" s="15" t="n">
        <v>285593.99</v>
      </c>
      <c r="DK6" s="15" t="n">
        <v>1388785.86</v>
      </c>
      <c r="DL6" s="15" t="n">
        <v>546393.11</v>
      </c>
      <c r="DM6" s="15" t="n">
        <v>294935.54</v>
      </c>
      <c r="DN6" s="15" t="n">
        <v>248518.68</v>
      </c>
      <c r="DO6" s="15" t="n">
        <v>200862.34</v>
      </c>
      <c r="DP6" s="15" t="n">
        <v>59479.81</v>
      </c>
    </row>
    <row r="7">
      <c r="A7" s="4" t="inlineStr">
        <is>
          <t>酒水饮料</t>
        </is>
      </c>
      <c r="B7" s="15" t="n">
        <v>2018484</v>
      </c>
      <c r="C7" s="15" t="n">
        <v>1147553.81</v>
      </c>
      <c r="D7" s="15" t="n">
        <v>919852.9300000001</v>
      </c>
      <c r="E7" s="15" t="n">
        <v>9091.01</v>
      </c>
      <c r="F7" s="15" t="n">
        <v>635283.13</v>
      </c>
      <c r="G7" s="15" t="n">
        <v>574380.96</v>
      </c>
      <c r="H7" s="15" t="n">
        <v>740596.4300000001</v>
      </c>
      <c r="I7" s="15" t="n">
        <v>886659.6</v>
      </c>
      <c r="J7" s="15" t="n">
        <v>326475.05</v>
      </c>
      <c r="K7" s="15" t="n">
        <v>25065.66</v>
      </c>
      <c r="L7" s="15" t="n">
        <v>640034.49</v>
      </c>
      <c r="M7" s="15" t="n">
        <v>688460.23</v>
      </c>
      <c r="N7" s="15" t="n">
        <v>2053363.72</v>
      </c>
      <c r="O7" s="15" t="n">
        <v>1347685.19</v>
      </c>
      <c r="P7" s="15" t="n">
        <v>585864.86</v>
      </c>
      <c r="Q7" s="15" t="n">
        <v>51144.64</v>
      </c>
      <c r="R7" s="15" t="n">
        <v>631583.24</v>
      </c>
      <c r="S7" s="15" t="n">
        <v>1424276.9</v>
      </c>
      <c r="T7" s="15" t="n">
        <v>606645.22</v>
      </c>
      <c r="U7" s="15" t="n">
        <v>247421.32</v>
      </c>
      <c r="V7" s="15" t="n">
        <v>184871.19</v>
      </c>
      <c r="W7" s="15" t="n">
        <v>172434.01</v>
      </c>
      <c r="X7" s="15" t="n">
        <v>250425.12</v>
      </c>
      <c r="Y7" s="15" t="n">
        <v>1075508.38</v>
      </c>
      <c r="Z7" s="15" t="n">
        <v>869103.64</v>
      </c>
      <c r="AA7" s="15" t="n">
        <v>1395413.96</v>
      </c>
      <c r="AB7" s="15" t="n">
        <v>337608.44</v>
      </c>
      <c r="AC7" s="15" t="n">
        <v>32040.36</v>
      </c>
      <c r="AD7" s="15" t="n">
        <v>-79132.64999999999</v>
      </c>
      <c r="AE7" s="15" t="n">
        <v>1452658.5</v>
      </c>
      <c r="AF7" s="15" t="n">
        <v>796238.55</v>
      </c>
      <c r="AG7" s="15" t="n">
        <v>1288605.17</v>
      </c>
      <c r="AH7" s="15" t="n">
        <v>655921.13</v>
      </c>
      <c r="AI7" s="15" t="n">
        <v>20874.35</v>
      </c>
      <c r="AJ7" s="15" t="n">
        <v>503580.63</v>
      </c>
      <c r="AK7" s="15" t="n">
        <v>1106971.2</v>
      </c>
      <c r="AL7" s="15" t="n">
        <v>130304.02</v>
      </c>
      <c r="AM7" s="15" t="n">
        <v>494612.46</v>
      </c>
      <c r="AN7" s="15" t="n">
        <v>59404.55</v>
      </c>
      <c r="AO7" s="15" t="n">
        <v>59232.6</v>
      </c>
      <c r="AP7" s="15" t="n">
        <v>141768.21</v>
      </c>
      <c r="AQ7" s="15" t="n">
        <v>1558391.23</v>
      </c>
      <c r="AR7" s="15" t="n">
        <v>1822342.23</v>
      </c>
      <c r="AS7" s="15" t="n">
        <v>359677.55</v>
      </c>
      <c r="AT7" s="15" t="n">
        <v>422481.13</v>
      </c>
      <c r="AU7" s="15" t="n">
        <v>192168.47</v>
      </c>
      <c r="AV7" s="15" t="n">
        <v>-94463.78999999999</v>
      </c>
      <c r="AW7" s="15" t="n">
        <v>984708.11</v>
      </c>
      <c r="AX7" s="15" t="n">
        <v>1942002.82</v>
      </c>
      <c r="AY7" s="15" t="n">
        <v>1058856.9</v>
      </c>
      <c r="AZ7" s="15" t="n">
        <v>201572.71</v>
      </c>
      <c r="BA7" s="15" t="n">
        <v>176636.52</v>
      </c>
      <c r="BB7" s="15" t="n">
        <v>-55005.08</v>
      </c>
      <c r="BC7" s="15" t="n">
        <v>1172172.27</v>
      </c>
      <c r="BD7" s="15" t="n">
        <v>1373635.21</v>
      </c>
      <c r="BE7" s="15" t="n">
        <v>444258.28</v>
      </c>
      <c r="BF7" s="15" t="n">
        <v>411564.23</v>
      </c>
      <c r="BG7" s="15" t="n">
        <v>247759.19</v>
      </c>
      <c r="BH7" s="15" t="n">
        <v>98294.16</v>
      </c>
      <c r="BI7" s="15" t="n">
        <v>1860989.25</v>
      </c>
      <c r="BJ7" s="15" t="n">
        <v>130861.86</v>
      </c>
      <c r="BK7" s="15" t="n">
        <v>980736.74</v>
      </c>
      <c r="BL7" s="15" t="n">
        <v>104933.2</v>
      </c>
      <c r="BM7" s="15" t="n">
        <v>118293.42</v>
      </c>
      <c r="BN7" s="15" t="n">
        <v>604186.2</v>
      </c>
      <c r="BO7" s="15" t="n">
        <v>1503514.18</v>
      </c>
      <c r="BP7" s="15" t="n">
        <v>1130048.52</v>
      </c>
      <c r="BQ7" s="15" t="n">
        <v>193639.12</v>
      </c>
      <c r="BR7" s="15" t="n">
        <v>192096.8</v>
      </c>
      <c r="BS7" s="15" t="n">
        <v>177422.1</v>
      </c>
      <c r="BT7" s="15" t="n">
        <v>642750.34</v>
      </c>
      <c r="BU7" s="15" t="n">
        <v>372449.29</v>
      </c>
      <c r="BV7" s="15" t="n">
        <v>2251380.53</v>
      </c>
      <c r="BW7" s="15" t="n">
        <v>1256971.12</v>
      </c>
      <c r="BX7" s="15" t="n">
        <v>231735.02</v>
      </c>
      <c r="BY7" s="15" t="n">
        <v>56981.53</v>
      </c>
      <c r="BZ7" s="15" t="n">
        <v>674487.37</v>
      </c>
      <c r="CA7" s="15" t="n">
        <v>1646722.75</v>
      </c>
      <c r="CB7" s="15" t="n">
        <v>1874882.62</v>
      </c>
      <c r="CC7" s="15" t="n">
        <v>166025.81</v>
      </c>
      <c r="CD7" s="15" t="n">
        <v>645524.37</v>
      </c>
      <c r="CE7" s="15" t="n">
        <v>212478.21</v>
      </c>
      <c r="CF7" s="15" t="n">
        <v>217995.22</v>
      </c>
      <c r="CG7" s="15" t="n">
        <v>1077204.79</v>
      </c>
      <c r="CH7" s="15" t="n">
        <v>1162332.69</v>
      </c>
      <c r="CI7" s="15" t="n">
        <v>919541.28</v>
      </c>
      <c r="CJ7" s="15" t="n">
        <v>381225.98</v>
      </c>
      <c r="CK7" s="15" t="n">
        <v>91878.46000000001</v>
      </c>
      <c r="CL7" s="15" t="n">
        <v>-19765.31</v>
      </c>
      <c r="CM7" s="15" t="n">
        <v>1905605.9</v>
      </c>
      <c r="CN7" s="15" t="n">
        <v>630048.96</v>
      </c>
      <c r="CO7" s="15" t="n">
        <v>1043450.63</v>
      </c>
      <c r="CP7" s="15" t="n">
        <v>567176.39</v>
      </c>
      <c r="CQ7" s="15" t="n">
        <v>12479.02</v>
      </c>
      <c r="CR7" s="15" t="n">
        <v>496228.17</v>
      </c>
      <c r="CS7" s="15" t="n">
        <v>1962822.18</v>
      </c>
      <c r="CT7" s="15" t="n">
        <v>1729796.56</v>
      </c>
      <c r="CU7" s="15" t="n">
        <v>1090030.03</v>
      </c>
      <c r="CV7" s="15" t="n">
        <v>893555.16</v>
      </c>
      <c r="CW7" s="15" t="n">
        <v>149467.17</v>
      </c>
      <c r="CX7" s="15" t="n">
        <v>558284.15</v>
      </c>
      <c r="CY7" s="15" t="n">
        <v>1228888.2</v>
      </c>
      <c r="CZ7" s="15" t="n">
        <v>1393080.76</v>
      </c>
      <c r="DA7" s="15" t="n">
        <v>393602.62</v>
      </c>
      <c r="DB7" s="15" t="n">
        <v>653955.4300000001</v>
      </c>
      <c r="DC7" s="15" t="n">
        <v>124590.89</v>
      </c>
      <c r="DD7" s="15" t="n">
        <v>80100</v>
      </c>
      <c r="DE7" s="15" t="n">
        <v>1783154.4</v>
      </c>
      <c r="DF7" s="15" t="n">
        <v>754429.9</v>
      </c>
      <c r="DG7" s="15" t="n">
        <v>764364.45</v>
      </c>
      <c r="DH7" s="15" t="n">
        <v>523940.86</v>
      </c>
      <c r="DI7" s="15" t="n">
        <v>179780</v>
      </c>
      <c r="DJ7" s="15" t="n">
        <v>119045</v>
      </c>
      <c r="DK7" s="15" t="n">
        <v>627955.89</v>
      </c>
      <c r="DL7" s="15" t="n">
        <v>994982.37</v>
      </c>
      <c r="DM7" s="15" t="n">
        <v>1065184.82</v>
      </c>
      <c r="DN7" s="15" t="n">
        <v>803419.03</v>
      </c>
      <c r="DO7" s="15" t="n">
        <v>77523.74000000001</v>
      </c>
      <c r="DP7" s="15" t="n">
        <v>743851.3</v>
      </c>
    </row>
    <row r="8">
      <c r="A8" s="4" t="inlineStr">
        <is>
          <t>休闲零食</t>
        </is>
      </c>
      <c r="B8" s="15" t="n">
        <v>919610.99</v>
      </c>
      <c r="C8" s="15" t="n">
        <v>249385.83</v>
      </c>
      <c r="D8" s="15" t="n">
        <v>742650.3</v>
      </c>
      <c r="E8" s="15" t="n">
        <v>144878.8</v>
      </c>
      <c r="F8" s="15" t="n">
        <v>691686.36</v>
      </c>
      <c r="G8" s="15" t="n">
        <v>762472.33</v>
      </c>
      <c r="H8" s="15" t="n">
        <v>102562.93</v>
      </c>
      <c r="I8" s="15" t="n">
        <v>761270.58</v>
      </c>
      <c r="J8" s="15" t="n">
        <v>941092.01</v>
      </c>
      <c r="K8" s="15" t="n">
        <v>98638.39999999999</v>
      </c>
      <c r="L8" s="15" t="n">
        <v>213370.51</v>
      </c>
      <c r="M8" s="15" t="n">
        <v>1170036.64</v>
      </c>
      <c r="N8" s="15" t="n">
        <v>1010296.11</v>
      </c>
      <c r="O8" s="15" t="n">
        <v>1307942.26</v>
      </c>
      <c r="P8" s="15" t="n">
        <v>474284.12</v>
      </c>
      <c r="Q8" s="15" t="n">
        <v>220780.37</v>
      </c>
      <c r="R8" s="15" t="n">
        <v>172287.23</v>
      </c>
      <c r="S8" s="15" t="n">
        <v>328521.62</v>
      </c>
      <c r="T8" s="15" t="n">
        <v>2357390.4</v>
      </c>
      <c r="U8" s="15" t="n">
        <v>297963.07</v>
      </c>
      <c r="V8" s="15" t="n">
        <v>119552.85</v>
      </c>
      <c r="W8" s="15" t="n">
        <v>167101.32</v>
      </c>
      <c r="X8" s="15" t="n">
        <v>36097.91</v>
      </c>
      <c r="Y8" s="15" t="n">
        <v>91095.92</v>
      </c>
      <c r="Z8" s="15" t="n">
        <v>365242.5</v>
      </c>
      <c r="AA8" s="15" t="n">
        <v>1400513.35</v>
      </c>
      <c r="AB8" s="15" t="n">
        <v>635264.16</v>
      </c>
      <c r="AC8" s="15" t="n">
        <v>98841.12</v>
      </c>
      <c r="AD8" s="15" t="n">
        <v>528674.33</v>
      </c>
      <c r="AE8" s="15" t="n">
        <v>1920535.35</v>
      </c>
      <c r="AF8" s="15" t="n">
        <v>347138.58</v>
      </c>
      <c r="AG8" s="15" t="n">
        <v>671081.7</v>
      </c>
      <c r="AH8" s="15" t="n">
        <v>862133.5600000001</v>
      </c>
      <c r="AI8" s="15" t="n">
        <v>9892.01</v>
      </c>
      <c r="AJ8" s="15" t="n">
        <v>-90.90000000000001</v>
      </c>
      <c r="AK8" s="15" t="n">
        <v>1980124.28</v>
      </c>
      <c r="AL8" s="15" t="n">
        <v>2221070.33</v>
      </c>
      <c r="AM8" s="15" t="n">
        <v>1188282.75</v>
      </c>
      <c r="AN8" s="15" t="n">
        <v>441645.25</v>
      </c>
      <c r="AO8" s="15" t="n">
        <v>5790.8</v>
      </c>
      <c r="AP8" s="15" t="n">
        <v>451950.11</v>
      </c>
      <c r="AQ8" s="15" t="n">
        <v>1195551.85</v>
      </c>
      <c r="AR8" s="15" t="n">
        <v>2118576.51</v>
      </c>
      <c r="AS8" s="15" t="n">
        <v>35127.61</v>
      </c>
      <c r="AT8" s="15" t="n">
        <v>560189.6800000001</v>
      </c>
      <c r="AU8" s="15" t="n">
        <v>165151.72</v>
      </c>
      <c r="AV8" s="15" t="n">
        <v>-58385.16</v>
      </c>
      <c r="AW8" s="15" t="n">
        <v>1749820.33</v>
      </c>
      <c r="AX8" s="15" t="n">
        <v>2486926.01</v>
      </c>
      <c r="AY8" s="15" t="n">
        <v>764403.39</v>
      </c>
      <c r="AZ8" s="15" t="n">
        <v>412154.17</v>
      </c>
      <c r="BA8" s="15" t="n">
        <v>46181.67</v>
      </c>
      <c r="BB8" s="15" t="n">
        <v>-79495.27</v>
      </c>
      <c r="BC8" s="15" t="n">
        <v>1860970.75</v>
      </c>
      <c r="BD8" s="15" t="n">
        <v>2015552.5</v>
      </c>
      <c r="BE8" s="15" t="n">
        <v>1010458.28</v>
      </c>
      <c r="BF8" s="15" t="n">
        <v>528643.98</v>
      </c>
      <c r="BG8" s="15" t="n">
        <v>118910.09</v>
      </c>
      <c r="BH8" s="15" t="n">
        <v>317305.37</v>
      </c>
      <c r="BI8" s="15" t="n">
        <v>1011697.32</v>
      </c>
      <c r="BJ8" s="15" t="n">
        <v>171893.62</v>
      </c>
      <c r="BK8" s="15" t="n">
        <v>437969.42</v>
      </c>
      <c r="BL8" s="15" t="n">
        <v>592782.88</v>
      </c>
      <c r="BM8" s="15" t="n">
        <v>37862.26</v>
      </c>
      <c r="BN8" s="15" t="n">
        <v>227842.6</v>
      </c>
      <c r="BO8" s="15" t="n">
        <v>293706.65</v>
      </c>
      <c r="BP8" s="15" t="n">
        <v>2399177.64</v>
      </c>
      <c r="BQ8" s="15" t="n">
        <v>184616.4</v>
      </c>
      <c r="BR8" s="15" t="n">
        <v>342493.04</v>
      </c>
      <c r="BS8" s="15" t="n">
        <v>163632.49</v>
      </c>
      <c r="BT8" s="15" t="n">
        <v>556972.0600000001</v>
      </c>
      <c r="BU8" s="15" t="n">
        <v>1215800.07</v>
      </c>
      <c r="BV8" s="15" t="n">
        <v>1033018.93</v>
      </c>
      <c r="BW8" s="15" t="n">
        <v>668000.76</v>
      </c>
      <c r="BX8" s="15" t="n">
        <v>964499.0699999999</v>
      </c>
      <c r="BY8" s="15" t="n">
        <v>115151.54</v>
      </c>
      <c r="BZ8" s="15" t="n">
        <v>440378.92</v>
      </c>
      <c r="CA8" s="15" t="n">
        <v>1925039.95</v>
      </c>
      <c r="CB8" s="15" t="n">
        <v>936941.6</v>
      </c>
      <c r="CC8" s="15" t="n">
        <v>1052185.14</v>
      </c>
      <c r="CD8" s="15" t="n">
        <v>567301.4399999999</v>
      </c>
      <c r="CE8" s="15" t="n">
        <v>32456.8</v>
      </c>
      <c r="CF8" s="15" t="n">
        <v>403915.9</v>
      </c>
      <c r="CG8" s="15" t="n">
        <v>367787.69</v>
      </c>
      <c r="CH8" s="15" t="n">
        <v>140451.15</v>
      </c>
      <c r="CI8" s="15" t="n">
        <v>1302021.42</v>
      </c>
      <c r="CJ8" s="15" t="n">
        <v>902562.97</v>
      </c>
      <c r="CK8" s="15" t="n">
        <v>34430.98</v>
      </c>
      <c r="CL8" s="15" t="n">
        <v>73954.44</v>
      </c>
      <c r="CM8" s="15" t="n">
        <v>826485.6899999999</v>
      </c>
      <c r="CN8" s="15" t="n">
        <v>2145932.88</v>
      </c>
      <c r="CO8" s="15" t="n">
        <v>1102119.39</v>
      </c>
      <c r="CP8" s="15" t="n">
        <v>573244.35</v>
      </c>
      <c r="CQ8" s="15" t="n">
        <v>185939.2</v>
      </c>
      <c r="CR8" s="15" t="n">
        <v>290629.12</v>
      </c>
      <c r="CS8" s="15" t="n">
        <v>593325.8199999999</v>
      </c>
      <c r="CT8" s="15" t="n">
        <v>1350084.73</v>
      </c>
      <c r="CU8" s="15" t="n">
        <v>1015222.02</v>
      </c>
      <c r="CV8" s="15" t="n">
        <v>182960.96</v>
      </c>
      <c r="CW8" s="15" t="n">
        <v>15996.53</v>
      </c>
      <c r="CX8" s="15" t="n">
        <v>321590.74</v>
      </c>
      <c r="CY8" s="15" t="n">
        <v>247447.67</v>
      </c>
      <c r="CZ8" s="15" t="n">
        <v>1194090.2</v>
      </c>
      <c r="DA8" s="15" t="n">
        <v>420555.23</v>
      </c>
      <c r="DB8" s="15" t="n">
        <v>812368.85</v>
      </c>
      <c r="DC8" s="15" t="n">
        <v>133610.6</v>
      </c>
      <c r="DD8" s="15" t="n">
        <v>443117.85</v>
      </c>
      <c r="DE8" s="15" t="n">
        <v>410707.98</v>
      </c>
      <c r="DF8" s="15" t="n">
        <v>1376282.73</v>
      </c>
      <c r="DG8" s="15" t="n">
        <v>839965.1899999999</v>
      </c>
      <c r="DH8" s="15" t="n">
        <v>733514.64</v>
      </c>
      <c r="DI8" s="15" t="n">
        <v>125065.77</v>
      </c>
      <c r="DJ8" s="15" t="n">
        <v>322141.9</v>
      </c>
      <c r="DK8" s="15" t="n">
        <v>1038800.36</v>
      </c>
      <c r="DL8" s="15" t="n">
        <v>2362487.18</v>
      </c>
      <c r="DM8" s="15" t="n">
        <v>444764.86</v>
      </c>
      <c r="DN8" s="15" t="n">
        <v>456615.56</v>
      </c>
      <c r="DO8" s="15" t="n">
        <v>63495.73</v>
      </c>
      <c r="DP8" s="15" t="n">
        <v>633818.9399999999</v>
      </c>
    </row>
    <row r="9">
      <c r="A9" s="4" t="inlineStr">
        <is>
          <t>日用百货</t>
        </is>
      </c>
      <c r="B9" s="15" t="n">
        <v>1554835.93</v>
      </c>
      <c r="C9" s="15" t="n">
        <v>945738.59</v>
      </c>
      <c r="D9" s="15" t="n">
        <v>681313.16</v>
      </c>
      <c r="E9" s="15" t="n">
        <v>86607.63</v>
      </c>
      <c r="F9" s="15" t="n">
        <v>367556.19</v>
      </c>
      <c r="G9" s="15" t="n">
        <v>463673.9</v>
      </c>
      <c r="H9" s="15" t="n">
        <v>626231.6</v>
      </c>
      <c r="I9" s="15" t="n">
        <v>598344.02</v>
      </c>
      <c r="J9" s="15" t="n">
        <v>582902</v>
      </c>
      <c r="K9" s="15" t="n">
        <v>120070.57</v>
      </c>
      <c r="L9" s="15" t="n">
        <v>5566.38</v>
      </c>
      <c r="M9" s="15" t="n">
        <v>727309.16</v>
      </c>
      <c r="N9" s="15" t="n">
        <v>1943902.12</v>
      </c>
      <c r="O9" s="15" t="n">
        <v>1268259.49</v>
      </c>
      <c r="P9" s="15" t="n">
        <v>615517.71</v>
      </c>
      <c r="Q9" s="15" t="n">
        <v>20087.59</v>
      </c>
      <c r="R9" s="15" t="n">
        <v>222971.22</v>
      </c>
      <c r="S9" s="15" t="n">
        <v>538178.49</v>
      </c>
      <c r="T9" s="15" t="n">
        <v>1619009.47</v>
      </c>
      <c r="U9" s="15" t="n">
        <v>210940.41</v>
      </c>
      <c r="V9" s="15" t="n">
        <v>387708.4</v>
      </c>
      <c r="W9" s="15" t="n">
        <v>125271.11</v>
      </c>
      <c r="X9" s="15" t="n">
        <v>390731.07</v>
      </c>
      <c r="Y9" s="15" t="n">
        <v>1154450.69</v>
      </c>
      <c r="Z9" s="15" t="n">
        <v>2407302.78</v>
      </c>
      <c r="AA9" s="15" t="n">
        <v>875538.14</v>
      </c>
      <c r="AB9" s="15" t="n">
        <v>218710.68</v>
      </c>
      <c r="AC9" s="15" t="n">
        <v>63549</v>
      </c>
      <c r="AD9" s="15" t="n">
        <v>-68064.03999999999</v>
      </c>
      <c r="AE9" s="15" t="n">
        <v>1269142.66</v>
      </c>
      <c r="AF9" s="15" t="n">
        <v>651023.4300000001</v>
      </c>
      <c r="AG9" s="15" t="n">
        <v>846016.1800000001</v>
      </c>
      <c r="AH9" s="15" t="n">
        <v>561243.27</v>
      </c>
      <c r="AI9" s="15" t="n">
        <v>14703.36</v>
      </c>
      <c r="AJ9" s="15" t="n">
        <v>445184.99</v>
      </c>
      <c r="AK9" s="15" t="n">
        <v>1079524</v>
      </c>
      <c r="AL9" s="15" t="n">
        <v>1313219</v>
      </c>
      <c r="AM9" s="15" t="n">
        <v>1114924.25</v>
      </c>
      <c r="AN9" s="15" t="n">
        <v>785098.03</v>
      </c>
      <c r="AO9" s="15" t="n">
        <v>96608.21000000001</v>
      </c>
      <c r="AP9" s="15" t="n">
        <v>100108.47</v>
      </c>
      <c r="AQ9" s="15" t="n">
        <v>1692481.21</v>
      </c>
      <c r="AR9" s="15" t="n">
        <v>485943.25</v>
      </c>
      <c r="AS9" s="15" t="n">
        <v>1043632.53</v>
      </c>
      <c r="AT9" s="15" t="n">
        <v>62730.65</v>
      </c>
      <c r="AU9" s="15" t="n">
        <v>151564.61</v>
      </c>
      <c r="AV9" s="15" t="n">
        <v>135250.93</v>
      </c>
      <c r="AW9" s="15" t="n">
        <v>1115766.75</v>
      </c>
      <c r="AX9" s="15" t="n">
        <v>1252851.24</v>
      </c>
      <c r="AY9" s="15" t="n">
        <v>735680.1</v>
      </c>
      <c r="AZ9" s="15" t="n">
        <v>132651.19</v>
      </c>
      <c r="BA9" s="15" t="n">
        <v>50642.66</v>
      </c>
      <c r="BB9" s="15" t="n">
        <v>33997.06</v>
      </c>
      <c r="BC9" s="15" t="n">
        <v>1198144.96</v>
      </c>
      <c r="BD9" s="15" t="n">
        <v>1677910.66</v>
      </c>
      <c r="BE9" s="15" t="n">
        <v>319542.76</v>
      </c>
      <c r="BF9" s="15" t="n">
        <v>748548.51</v>
      </c>
      <c r="BG9" s="15" t="n">
        <v>34944.02</v>
      </c>
      <c r="BH9" s="15" t="n">
        <v>96144.53</v>
      </c>
      <c r="BI9" s="15" t="n">
        <v>1948166.82</v>
      </c>
      <c r="BJ9" s="15" t="n">
        <v>2011576.71</v>
      </c>
      <c r="BK9" s="15" t="n">
        <v>232044</v>
      </c>
      <c r="BL9" s="15" t="n">
        <v>228818.02</v>
      </c>
      <c r="BM9" s="15" t="n">
        <v>112921.57</v>
      </c>
      <c r="BN9" s="15" t="n">
        <v>291076.54</v>
      </c>
      <c r="BO9" s="15" t="n">
        <v>885742.86</v>
      </c>
      <c r="BP9" s="15" t="n">
        <v>2268880.35</v>
      </c>
      <c r="BQ9" s="15" t="n">
        <v>41870.08</v>
      </c>
      <c r="BR9" s="15" t="n">
        <v>251852.13</v>
      </c>
      <c r="BS9" s="15" t="n">
        <v>164500.55</v>
      </c>
      <c r="BT9" s="15" t="n">
        <v>482811.08</v>
      </c>
      <c r="BU9" s="15" t="n">
        <v>1629787.64</v>
      </c>
      <c r="BV9" s="15" t="n">
        <v>1126473.85</v>
      </c>
      <c r="BW9" s="15" t="n">
        <v>1259651.74</v>
      </c>
      <c r="BX9" s="15" t="n">
        <v>647728.53</v>
      </c>
      <c r="BY9" s="15" t="n">
        <v>18592.83</v>
      </c>
      <c r="BZ9" s="15" t="n">
        <v>176808.26</v>
      </c>
      <c r="CA9" s="15" t="n">
        <v>985416.83</v>
      </c>
      <c r="CB9" s="15" t="n">
        <v>1667408.5</v>
      </c>
      <c r="CC9" s="15" t="n">
        <v>1095412.7</v>
      </c>
      <c r="CD9" s="15" t="n">
        <v>783164.95</v>
      </c>
      <c r="CE9" s="15" t="n">
        <v>142823.26</v>
      </c>
      <c r="CF9" s="15" t="n">
        <v>289878.12</v>
      </c>
      <c r="CG9" s="15" t="n">
        <v>439526.41</v>
      </c>
      <c r="CH9" s="15" t="n">
        <v>2290839.35</v>
      </c>
      <c r="CI9" s="15" t="n">
        <v>1013896.47</v>
      </c>
      <c r="CJ9" s="15" t="n">
        <v>219566.08</v>
      </c>
      <c r="CK9" s="15" t="n">
        <v>161981.07</v>
      </c>
      <c r="CL9" s="15" t="n">
        <v>75436.47</v>
      </c>
      <c r="CM9" s="15" t="n">
        <v>525364.75</v>
      </c>
      <c r="CN9" s="15" t="n">
        <v>2316231.5</v>
      </c>
      <c r="CO9" s="15" t="n">
        <v>142442.38</v>
      </c>
      <c r="CP9" s="15" t="n">
        <v>693034.8</v>
      </c>
      <c r="CQ9" s="15" t="n">
        <v>126263.66</v>
      </c>
      <c r="CR9" s="15" t="n">
        <v>-73091.03999999999</v>
      </c>
      <c r="CS9" s="15" t="n">
        <v>1191716.56</v>
      </c>
      <c r="CT9" s="15" t="n">
        <v>2254832.37</v>
      </c>
      <c r="CU9" s="15" t="n">
        <v>705358.0699999999</v>
      </c>
      <c r="CV9" s="15" t="n">
        <v>59662.19</v>
      </c>
      <c r="CW9" s="15" t="n">
        <v>71560.11</v>
      </c>
      <c r="CX9" s="15" t="n">
        <v>-70556.48</v>
      </c>
      <c r="CY9" s="15" t="n">
        <v>1582946.63</v>
      </c>
      <c r="CZ9" s="15" t="n">
        <v>982311</v>
      </c>
      <c r="DA9" s="15" t="n">
        <v>1061689.34</v>
      </c>
      <c r="DB9" s="15" t="n">
        <v>379428.27</v>
      </c>
      <c r="DC9" s="15" t="n">
        <v>162694.76</v>
      </c>
      <c r="DD9" s="15" t="n">
        <v>743039.62</v>
      </c>
      <c r="DE9" s="15" t="n">
        <v>405448.48</v>
      </c>
      <c r="DF9" s="15" t="n">
        <v>1548937.73</v>
      </c>
      <c r="DG9" s="15" t="n">
        <v>319706.33</v>
      </c>
      <c r="DH9" s="15" t="n">
        <v>580851.73</v>
      </c>
      <c r="DI9" s="15" t="n">
        <v>104699.48</v>
      </c>
      <c r="DJ9" s="15" t="n">
        <v>220932.31</v>
      </c>
      <c r="DK9" s="15" t="n">
        <v>1660495.94</v>
      </c>
      <c r="DL9" s="15" t="n">
        <v>1178499.11</v>
      </c>
      <c r="DM9" s="15" t="n">
        <v>37002.86</v>
      </c>
      <c r="DN9" s="15" t="n">
        <v>525645.66</v>
      </c>
      <c r="DO9" s="15" t="n">
        <v>82278.72</v>
      </c>
      <c r="DP9" s="15" t="n">
        <v>-85913.2</v>
      </c>
    </row>
    <row r="10">
      <c r="A10" s="4" t="inlineStr">
        <is>
          <t>其他产品A</t>
        </is>
      </c>
      <c r="B10" s="15" t="n">
        <v>1452943.63</v>
      </c>
      <c r="C10" s="15" t="n">
        <v>430245.87</v>
      </c>
      <c r="D10" s="15" t="n">
        <v>776270.62</v>
      </c>
      <c r="E10" s="15" t="n">
        <v>146906.38</v>
      </c>
      <c r="F10" s="15" t="n">
        <v>678489.17</v>
      </c>
      <c r="G10" s="15" t="n">
        <v>561404.03</v>
      </c>
      <c r="H10" s="15" t="n">
        <v>310080.06</v>
      </c>
      <c r="I10" s="15" t="n">
        <v>1185198.59</v>
      </c>
      <c r="J10" s="15" t="n">
        <v>76784.3</v>
      </c>
      <c r="K10" s="15" t="n">
        <v>78461.28</v>
      </c>
      <c r="L10" s="15" t="n">
        <v>629391.34</v>
      </c>
      <c r="M10" s="15" t="n">
        <v>1567862.75</v>
      </c>
      <c r="N10" s="15" t="n">
        <v>1502861.26</v>
      </c>
      <c r="O10" s="15" t="n">
        <v>412850.55</v>
      </c>
      <c r="P10" s="15" t="n">
        <v>201021.88</v>
      </c>
      <c r="Q10" s="15" t="n">
        <v>73209.25</v>
      </c>
      <c r="R10" s="15" t="n">
        <v>396855.86</v>
      </c>
      <c r="S10" s="15" t="n">
        <v>264874.9</v>
      </c>
      <c r="T10" s="15" t="n">
        <v>2396423.99</v>
      </c>
      <c r="U10" s="15" t="n">
        <v>187002.2</v>
      </c>
      <c r="V10" s="15" t="n">
        <v>529325.78</v>
      </c>
      <c r="W10" s="15" t="n">
        <v>22395.88</v>
      </c>
      <c r="X10" s="15" t="n">
        <v>363842.88</v>
      </c>
      <c r="Y10" s="15" t="n">
        <v>1295134.24</v>
      </c>
      <c r="Z10" s="15" t="n">
        <v>1068364.39</v>
      </c>
      <c r="AA10" s="15" t="n">
        <v>1343666.12</v>
      </c>
      <c r="AB10" s="15" t="n">
        <v>626227.24</v>
      </c>
      <c r="AC10" s="15" t="n">
        <v>32837.96</v>
      </c>
      <c r="AD10" s="15" t="n">
        <v>715477.4300000001</v>
      </c>
      <c r="AE10" s="15" t="n">
        <v>1534815.23</v>
      </c>
      <c r="AF10" s="15" t="n">
        <v>2163516.3</v>
      </c>
      <c r="AG10" s="15" t="n">
        <v>891748.77</v>
      </c>
      <c r="AH10" s="15" t="n">
        <v>376013.82</v>
      </c>
      <c r="AI10" s="15" t="n">
        <v>242927</v>
      </c>
      <c r="AJ10" s="15" t="n">
        <v>172815.59</v>
      </c>
      <c r="AK10" s="15" t="n">
        <v>1076191.97</v>
      </c>
      <c r="AL10" s="15" t="n">
        <v>2001607.76</v>
      </c>
      <c r="AM10" s="15" t="n">
        <v>1334976.25</v>
      </c>
      <c r="AN10" s="15" t="n">
        <v>86788.25999999999</v>
      </c>
      <c r="AO10" s="15" t="n">
        <v>26842.37</v>
      </c>
      <c r="AP10" s="15" t="n">
        <v>509143.63</v>
      </c>
      <c r="AQ10" s="15" t="n">
        <v>113664.1</v>
      </c>
      <c r="AR10" s="15" t="n">
        <v>512197.79</v>
      </c>
      <c r="AS10" s="15" t="n">
        <v>703341.6800000001</v>
      </c>
      <c r="AT10" s="15" t="n">
        <v>401665.38</v>
      </c>
      <c r="AU10" s="15" t="n">
        <v>162541.29</v>
      </c>
      <c r="AV10" s="15" t="n">
        <v>640052.05</v>
      </c>
      <c r="AW10" s="15" t="n">
        <v>1680747.53</v>
      </c>
      <c r="AX10" s="15" t="n">
        <v>751416.26</v>
      </c>
      <c r="AY10" s="15" t="n">
        <v>1401541.07</v>
      </c>
      <c r="AZ10" s="15" t="n">
        <v>690244.96</v>
      </c>
      <c r="BA10" s="15" t="n">
        <v>99165.33</v>
      </c>
      <c r="BB10" s="15" t="n">
        <v>156604.75</v>
      </c>
      <c r="BC10" s="15" t="n">
        <v>1883982.64</v>
      </c>
      <c r="BD10" s="15" t="n">
        <v>2276049.13</v>
      </c>
      <c r="BE10" s="15" t="n">
        <v>447233.55</v>
      </c>
      <c r="BF10" s="15" t="n">
        <v>989251.3</v>
      </c>
      <c r="BG10" s="15" t="n">
        <v>5795.39</v>
      </c>
      <c r="BH10" s="15" t="n">
        <v>51188.4</v>
      </c>
      <c r="BI10" s="15" t="n">
        <v>281943.63</v>
      </c>
      <c r="BJ10" s="15" t="n">
        <v>614761.4399999999</v>
      </c>
      <c r="BK10" s="15" t="n">
        <v>1072301.71</v>
      </c>
      <c r="BL10" s="15" t="n">
        <v>795116.24</v>
      </c>
      <c r="BM10" s="15" t="n">
        <v>157630.96</v>
      </c>
      <c r="BN10" s="15" t="n">
        <v>491401.57</v>
      </c>
      <c r="BO10" s="15" t="n">
        <v>322408.61</v>
      </c>
      <c r="BP10" s="15" t="n">
        <v>662398.5</v>
      </c>
      <c r="BQ10" s="15" t="n">
        <v>448201.46</v>
      </c>
      <c r="BR10" s="15" t="n">
        <v>495289.51</v>
      </c>
      <c r="BS10" s="15" t="n">
        <v>215723.64</v>
      </c>
      <c r="BT10" s="15" t="n">
        <v>538136.84</v>
      </c>
      <c r="BU10" s="15" t="n">
        <v>522395.34</v>
      </c>
      <c r="BV10" s="15" t="n">
        <v>773004.4</v>
      </c>
      <c r="BW10" s="15" t="n">
        <v>436006.41</v>
      </c>
      <c r="BX10" s="15" t="n">
        <v>389194.64</v>
      </c>
      <c r="BY10" s="15" t="n">
        <v>20204.44</v>
      </c>
      <c r="BZ10" s="15" t="n">
        <v>708928.8</v>
      </c>
      <c r="CA10" s="15" t="n">
        <v>1263476.12</v>
      </c>
      <c r="CB10" s="15" t="n">
        <v>884276.1899999999</v>
      </c>
      <c r="CC10" s="15" t="n">
        <v>1391488.4</v>
      </c>
      <c r="CD10" s="15" t="n">
        <v>477561.58</v>
      </c>
      <c r="CE10" s="15" t="n">
        <v>17148.9</v>
      </c>
      <c r="CF10" s="15" t="n">
        <v>462692.46</v>
      </c>
      <c r="CG10" s="15" t="n">
        <v>857556.34</v>
      </c>
      <c r="CH10" s="15" t="n">
        <v>2000460.38</v>
      </c>
      <c r="CI10" s="15" t="n">
        <v>397257.96</v>
      </c>
      <c r="CJ10" s="15" t="n">
        <v>574973.64</v>
      </c>
      <c r="CK10" s="15" t="n">
        <v>214042.09</v>
      </c>
      <c r="CL10" s="15" t="n">
        <v>-34557.02</v>
      </c>
      <c r="CM10" s="15" t="n">
        <v>905333.89</v>
      </c>
      <c r="CN10" s="15" t="n">
        <v>2488270.99</v>
      </c>
      <c r="CO10" s="15" t="n">
        <v>555481.46</v>
      </c>
      <c r="CP10" s="15" t="n">
        <v>397271.08</v>
      </c>
      <c r="CQ10" s="15" t="n">
        <v>87637.77</v>
      </c>
      <c r="CR10" s="15" t="n">
        <v>-36625.17</v>
      </c>
      <c r="CS10" s="15" t="n">
        <v>1279517.44</v>
      </c>
      <c r="CT10" s="15" t="n">
        <v>1858441.27</v>
      </c>
      <c r="CU10" s="15" t="n">
        <v>1118112.74</v>
      </c>
      <c r="CV10" s="15" t="n">
        <v>10450.52</v>
      </c>
      <c r="CW10" s="15" t="n">
        <v>46761.96</v>
      </c>
      <c r="CX10" s="15" t="n">
        <v>147405.41</v>
      </c>
      <c r="CY10" s="15" t="n">
        <v>249120.36</v>
      </c>
      <c r="CZ10" s="15" t="n">
        <v>877987.03</v>
      </c>
      <c r="DA10" s="15" t="n">
        <v>129041.27</v>
      </c>
      <c r="DB10" s="15" t="n">
        <v>519449.38</v>
      </c>
      <c r="DC10" s="15" t="n">
        <v>226834.28</v>
      </c>
      <c r="DD10" s="15" t="n">
        <v>186819.71</v>
      </c>
      <c r="DE10" s="15" t="n">
        <v>536061.98</v>
      </c>
      <c r="DF10" s="15" t="n">
        <v>2083502.66</v>
      </c>
      <c r="DG10" s="15" t="n">
        <v>807308.9300000001</v>
      </c>
      <c r="DH10" s="15" t="n">
        <v>954726.63</v>
      </c>
      <c r="DI10" s="15" t="n">
        <v>87265.14</v>
      </c>
      <c r="DJ10" s="15" t="n">
        <v>3569.45</v>
      </c>
      <c r="DK10" s="15" t="n">
        <v>467930.57</v>
      </c>
      <c r="DL10" s="15" t="n">
        <v>532794.1899999999</v>
      </c>
      <c r="DM10" s="15" t="n">
        <v>606336.65</v>
      </c>
      <c r="DN10" s="15" t="n">
        <v>733511.05</v>
      </c>
      <c r="DO10" s="15" t="n">
        <v>8021.59</v>
      </c>
      <c r="DP10" s="15" t="n">
        <v>340205.31</v>
      </c>
    </row>
    <row r="11">
      <c r="A11" s="4" t="inlineStr">
        <is>
          <t>其他产品B</t>
        </is>
      </c>
      <c r="B11" s="15" t="n">
        <v>2452283.57</v>
      </c>
      <c r="C11" s="15" t="n">
        <v>908004.9399999999</v>
      </c>
      <c r="D11" s="15" t="n">
        <v>921813.05</v>
      </c>
      <c r="E11" s="15" t="n">
        <v>85541.10000000001</v>
      </c>
      <c r="F11" s="15" t="n">
        <v>266430.3</v>
      </c>
      <c r="G11" s="15" t="n">
        <v>1527675.01</v>
      </c>
      <c r="H11" s="15" t="n">
        <v>832761.45</v>
      </c>
      <c r="I11" s="15" t="n">
        <v>201362.06</v>
      </c>
      <c r="J11" s="15" t="n">
        <v>650329.04</v>
      </c>
      <c r="K11" s="15" t="n">
        <v>29231.46</v>
      </c>
      <c r="L11" s="15" t="n">
        <v>217228.78</v>
      </c>
      <c r="M11" s="15" t="n">
        <v>967950.17</v>
      </c>
      <c r="N11" s="15" t="n">
        <v>467566.76</v>
      </c>
      <c r="O11" s="15" t="n">
        <v>117530.41</v>
      </c>
      <c r="P11" s="15" t="n">
        <v>335901.41</v>
      </c>
      <c r="Q11" s="15" t="n">
        <v>185742.49</v>
      </c>
      <c r="R11" s="15" t="n">
        <v>158415.08</v>
      </c>
      <c r="S11" s="15" t="n">
        <v>389431.67</v>
      </c>
      <c r="T11" s="15" t="n">
        <v>259828.67</v>
      </c>
      <c r="U11" s="15" t="n">
        <v>889797.61</v>
      </c>
      <c r="V11" s="15" t="n">
        <v>124981.79</v>
      </c>
      <c r="W11" s="15" t="n">
        <v>172965.56</v>
      </c>
      <c r="X11" s="15" t="n">
        <v>452848.38</v>
      </c>
      <c r="Y11" s="15" t="n">
        <v>353663.48</v>
      </c>
      <c r="Z11" s="15" t="n">
        <v>1478097.23</v>
      </c>
      <c r="AA11" s="15" t="n">
        <v>923178.28</v>
      </c>
      <c r="AB11" s="15" t="n">
        <v>508739.4</v>
      </c>
      <c r="AC11" s="15" t="n">
        <v>76097.33</v>
      </c>
      <c r="AD11" s="15" t="n">
        <v>141607.15</v>
      </c>
      <c r="AE11" s="15" t="n">
        <v>1512116.11</v>
      </c>
      <c r="AF11" s="15" t="n">
        <v>580177.8199999999</v>
      </c>
      <c r="AG11" s="15" t="n">
        <v>784447.23</v>
      </c>
      <c r="AH11" s="15" t="n">
        <v>368198.85</v>
      </c>
      <c r="AI11" s="15" t="n">
        <v>177301.73</v>
      </c>
      <c r="AJ11" s="15" t="n">
        <v>666088.42</v>
      </c>
      <c r="AK11" s="15" t="n">
        <v>1178918.56</v>
      </c>
      <c r="AL11" s="15" t="n">
        <v>1472195.01</v>
      </c>
      <c r="AM11" s="15" t="n">
        <v>448229.36</v>
      </c>
      <c r="AN11" s="15" t="n">
        <v>176724.36</v>
      </c>
      <c r="AO11" s="15" t="n">
        <v>83754.62</v>
      </c>
      <c r="AP11" s="15" t="n">
        <v>-95136.66</v>
      </c>
      <c r="AQ11" s="15" t="n">
        <v>276584.33</v>
      </c>
      <c r="AR11" s="15" t="n">
        <v>447610.37</v>
      </c>
      <c r="AS11" s="15" t="n">
        <v>1074585.51</v>
      </c>
      <c r="AT11" s="15" t="n">
        <v>116991.91</v>
      </c>
      <c r="AU11" s="15" t="n">
        <v>78982.84</v>
      </c>
      <c r="AV11" s="15" t="n">
        <v>-63485.29</v>
      </c>
      <c r="AW11" s="15" t="n">
        <v>141216.61</v>
      </c>
      <c r="AX11" s="15" t="n">
        <v>2260319.71</v>
      </c>
      <c r="AY11" s="15" t="n">
        <v>980505.11</v>
      </c>
      <c r="AZ11" s="15" t="n">
        <v>704822.48</v>
      </c>
      <c r="BA11" s="15" t="n">
        <v>111780.75</v>
      </c>
      <c r="BB11" s="15" t="n">
        <v>732738.76</v>
      </c>
      <c r="BC11" s="15" t="n">
        <v>1046439.94</v>
      </c>
      <c r="BD11" s="15" t="n">
        <v>1325401.33</v>
      </c>
      <c r="BE11" s="15" t="n">
        <v>622770.99</v>
      </c>
      <c r="BF11" s="15" t="n">
        <v>627998.9</v>
      </c>
      <c r="BG11" s="15" t="n">
        <v>138220.99</v>
      </c>
      <c r="BH11" s="15" t="n">
        <v>487376.95</v>
      </c>
      <c r="BI11" s="15" t="n">
        <v>327876.05</v>
      </c>
      <c r="BJ11" s="15" t="n">
        <v>507213.53</v>
      </c>
      <c r="BK11" s="15" t="n">
        <v>1204956.18</v>
      </c>
      <c r="BL11" s="15" t="n">
        <v>133378.01</v>
      </c>
      <c r="BM11" s="15" t="n">
        <v>167208.21</v>
      </c>
      <c r="BN11" s="15" t="n">
        <v>288502.81</v>
      </c>
      <c r="BO11" s="15" t="n">
        <v>1349328.54</v>
      </c>
      <c r="BP11" s="15" t="n">
        <v>2376088.17</v>
      </c>
      <c r="BQ11" s="15" t="n">
        <v>1428920.07</v>
      </c>
      <c r="BR11" s="15" t="n">
        <v>914009.47</v>
      </c>
      <c r="BS11" s="15" t="n">
        <v>81481.94</v>
      </c>
      <c r="BT11" s="15" t="n">
        <v>132144.07</v>
      </c>
      <c r="BU11" s="15" t="n">
        <v>1292958.14</v>
      </c>
      <c r="BV11" s="15" t="n">
        <v>353197.52</v>
      </c>
      <c r="BW11" s="15" t="n">
        <v>1366022.08</v>
      </c>
      <c r="BX11" s="15" t="n">
        <v>320221.27</v>
      </c>
      <c r="BY11" s="15" t="n">
        <v>199994.7</v>
      </c>
      <c r="BZ11" s="15" t="n">
        <v>511424.6</v>
      </c>
      <c r="CA11" s="15" t="n">
        <v>1137103.04</v>
      </c>
      <c r="CB11" s="15" t="n">
        <v>112319.22</v>
      </c>
      <c r="CC11" s="15" t="n">
        <v>169801.73</v>
      </c>
      <c r="CD11" s="15" t="n">
        <v>198781.22</v>
      </c>
      <c r="CE11" s="15" t="n">
        <v>131758.68</v>
      </c>
      <c r="CF11" s="15" t="n">
        <v>650268.63</v>
      </c>
      <c r="CG11" s="15" t="n">
        <v>466747.47</v>
      </c>
      <c r="CH11" s="15" t="n">
        <v>930294.61</v>
      </c>
      <c r="CI11" s="15" t="n">
        <v>1248367.37</v>
      </c>
      <c r="CJ11" s="15" t="n">
        <v>538284.04</v>
      </c>
      <c r="CK11" s="15" t="n">
        <v>46852.22</v>
      </c>
      <c r="CL11" s="15" t="n">
        <v>719947.71</v>
      </c>
      <c r="CM11" s="15" t="n">
        <v>608046.66</v>
      </c>
      <c r="CN11" s="15" t="n">
        <v>1380703.6</v>
      </c>
      <c r="CO11" s="15" t="n">
        <v>1403106.67</v>
      </c>
      <c r="CP11" s="15" t="n">
        <v>973117.5</v>
      </c>
      <c r="CQ11" s="15" t="n">
        <v>183180.18</v>
      </c>
      <c r="CR11" s="15" t="n">
        <v>25418.75</v>
      </c>
      <c r="CS11" s="15" t="n">
        <v>1463994.21</v>
      </c>
      <c r="CT11" s="15" t="n">
        <v>1850201.45</v>
      </c>
      <c r="CU11" s="15" t="n">
        <v>400143.05</v>
      </c>
      <c r="CV11" s="15" t="n">
        <v>182413.82</v>
      </c>
      <c r="CW11" s="15" t="n">
        <v>101301.09</v>
      </c>
      <c r="CX11" s="15" t="n">
        <v>608586.2</v>
      </c>
      <c r="CY11" s="15" t="n">
        <v>1274274.53</v>
      </c>
      <c r="CZ11" s="15" t="n">
        <v>2497726.52</v>
      </c>
      <c r="DA11" s="15" t="n">
        <v>262404.64</v>
      </c>
      <c r="DB11" s="15" t="n">
        <v>995041.14</v>
      </c>
      <c r="DC11" s="15" t="n">
        <v>81718.00999999999</v>
      </c>
      <c r="DD11" s="15" t="n">
        <v>696699.6800000001</v>
      </c>
      <c r="DE11" s="15" t="n">
        <v>1936349.23</v>
      </c>
      <c r="DF11" s="15" t="n">
        <v>2208815.06</v>
      </c>
      <c r="DG11" s="15" t="n">
        <v>263621.2</v>
      </c>
      <c r="DH11" s="15" t="n">
        <v>541527.38</v>
      </c>
      <c r="DI11" s="15" t="n">
        <v>113047.8</v>
      </c>
      <c r="DJ11" s="15" t="n">
        <v>-66548.62</v>
      </c>
      <c r="DK11" s="15" t="n">
        <v>918449.55</v>
      </c>
      <c r="DL11" s="15" t="n">
        <v>992919.64</v>
      </c>
      <c r="DM11" s="15" t="n">
        <v>487077.06</v>
      </c>
      <c r="DN11" s="15" t="n">
        <v>143269.4</v>
      </c>
      <c r="DO11" s="15" t="n">
        <v>230085.21</v>
      </c>
      <c r="DP11" s="15" t="n">
        <v>68217.58</v>
      </c>
    </row>
    <row r="12">
      <c r="A12" s="4" t="inlineStr">
        <is>
          <t>其他产品C</t>
        </is>
      </c>
      <c r="B12" s="15" t="n">
        <v>2482495.49</v>
      </c>
      <c r="C12" s="15" t="n">
        <v>1402473.43</v>
      </c>
      <c r="D12" s="15" t="n">
        <v>664070.22</v>
      </c>
      <c r="E12" s="15" t="n">
        <v>189067.11</v>
      </c>
      <c r="F12" s="15" t="n">
        <v>319469.3</v>
      </c>
      <c r="G12" s="15" t="n">
        <v>1423915.25</v>
      </c>
      <c r="H12" s="15" t="n">
        <v>2254439.12</v>
      </c>
      <c r="I12" s="15" t="n">
        <v>1071242.58</v>
      </c>
      <c r="J12" s="15" t="n">
        <v>910855.48</v>
      </c>
      <c r="K12" s="15" t="n">
        <v>79084.06</v>
      </c>
      <c r="L12" s="15" t="n">
        <v>725639.9300000001</v>
      </c>
      <c r="M12" s="15" t="n">
        <v>1413568.03</v>
      </c>
      <c r="N12" s="15" t="n">
        <v>2244440.94</v>
      </c>
      <c r="O12" s="15" t="n">
        <v>763833.91</v>
      </c>
      <c r="P12" s="15" t="n">
        <v>864625.49</v>
      </c>
      <c r="Q12" s="15" t="n">
        <v>23384.5</v>
      </c>
      <c r="R12" s="15" t="n">
        <v>281498.12</v>
      </c>
      <c r="S12" s="15" t="n">
        <v>702560.96</v>
      </c>
      <c r="T12" s="15" t="n">
        <v>1994054.69</v>
      </c>
      <c r="U12" s="15" t="n">
        <v>1268971.49</v>
      </c>
      <c r="V12" s="15" t="n">
        <v>61241.44</v>
      </c>
      <c r="W12" s="15" t="n">
        <v>64069.98</v>
      </c>
      <c r="X12" s="15" t="n">
        <v>85863.49000000001</v>
      </c>
      <c r="Y12" s="15" t="n">
        <v>110159.29</v>
      </c>
      <c r="Z12" s="15" t="n">
        <v>1988875.21</v>
      </c>
      <c r="AA12" s="15" t="n">
        <v>1286076.1</v>
      </c>
      <c r="AB12" s="15" t="n">
        <v>28483.34</v>
      </c>
      <c r="AC12" s="15" t="n">
        <v>169937.49</v>
      </c>
      <c r="AD12" s="15" t="n">
        <v>583311.89</v>
      </c>
      <c r="AE12" s="15" t="n">
        <v>1212759.42</v>
      </c>
      <c r="AF12" s="15" t="n">
        <v>2164212.21</v>
      </c>
      <c r="AG12" s="15" t="n">
        <v>1450797.78</v>
      </c>
      <c r="AH12" s="15" t="n">
        <v>153194.47</v>
      </c>
      <c r="AI12" s="15" t="n">
        <v>200578.31</v>
      </c>
      <c r="AJ12" s="15" t="n">
        <v>583677.88</v>
      </c>
      <c r="AK12" s="15" t="n">
        <v>309635.57</v>
      </c>
      <c r="AL12" s="15" t="n">
        <v>727447.8100000001</v>
      </c>
      <c r="AM12" s="15" t="n">
        <v>665423.05</v>
      </c>
      <c r="AN12" s="15" t="n">
        <v>296446.29</v>
      </c>
      <c r="AO12" s="15" t="n">
        <v>20859.21</v>
      </c>
      <c r="AP12" s="15" t="n">
        <v>533200.1899999999</v>
      </c>
      <c r="AQ12" s="15" t="n">
        <v>1346195.87</v>
      </c>
      <c r="AR12" s="15" t="n">
        <v>1353031.35</v>
      </c>
      <c r="AS12" s="15" t="n">
        <v>1016240.46</v>
      </c>
      <c r="AT12" s="15" t="n">
        <v>597592.53</v>
      </c>
      <c r="AU12" s="15" t="n">
        <v>123922.05</v>
      </c>
      <c r="AV12" s="15" t="n">
        <v>617402.73</v>
      </c>
      <c r="AW12" s="15" t="n">
        <v>1514813.25</v>
      </c>
      <c r="AX12" s="15" t="n">
        <v>2386081.1</v>
      </c>
      <c r="AY12" s="15" t="n">
        <v>1073078.88</v>
      </c>
      <c r="AZ12" s="15" t="n">
        <v>241594.21</v>
      </c>
      <c r="BA12" s="15" t="n">
        <v>139972.45</v>
      </c>
      <c r="BB12" s="15" t="n">
        <v>494418.63</v>
      </c>
      <c r="BC12" s="15" t="n">
        <v>470279.67</v>
      </c>
      <c r="BD12" s="15" t="n">
        <v>1661032.55</v>
      </c>
      <c r="BE12" s="15" t="n">
        <v>1213258.66</v>
      </c>
      <c r="BF12" s="15" t="n">
        <v>177566.89</v>
      </c>
      <c r="BG12" s="15" t="n">
        <v>232336.89</v>
      </c>
      <c r="BH12" s="15" t="n">
        <v>390074.45</v>
      </c>
      <c r="BI12" s="15" t="n">
        <v>1819357.89</v>
      </c>
      <c r="BJ12" s="15" t="n">
        <v>1637855.29</v>
      </c>
      <c r="BK12" s="15" t="n">
        <v>1456262.13</v>
      </c>
      <c r="BL12" s="15" t="n">
        <v>630292.74</v>
      </c>
      <c r="BM12" s="15" t="n">
        <v>195381.24</v>
      </c>
      <c r="BN12" s="15" t="n">
        <v>290507</v>
      </c>
      <c r="BO12" s="15" t="n">
        <v>1315783.51</v>
      </c>
      <c r="BP12" s="15" t="n">
        <v>1314133.47</v>
      </c>
      <c r="BQ12" s="15" t="n">
        <v>732812.96</v>
      </c>
      <c r="BR12" s="15" t="n">
        <v>983960.9</v>
      </c>
      <c r="BS12" s="15" t="n">
        <v>230060.46</v>
      </c>
      <c r="BT12" s="15" t="n">
        <v>133067.63</v>
      </c>
      <c r="BU12" s="15" t="n">
        <v>1315398.46</v>
      </c>
      <c r="BV12" s="15" t="n">
        <v>619010.36</v>
      </c>
      <c r="BW12" s="15" t="n">
        <v>1358567.05</v>
      </c>
      <c r="BX12" s="15" t="n">
        <v>462042.18</v>
      </c>
      <c r="BY12" s="15" t="n">
        <v>164357.49</v>
      </c>
      <c r="BZ12" s="15" t="n">
        <v>-32787.75</v>
      </c>
      <c r="CA12" s="15" t="n">
        <v>1243824.22</v>
      </c>
      <c r="CB12" s="15" t="n">
        <v>949678.53</v>
      </c>
      <c r="CC12" s="15" t="n">
        <v>375839.06</v>
      </c>
      <c r="CD12" s="15" t="n">
        <v>822412.46</v>
      </c>
      <c r="CE12" s="15" t="n">
        <v>182739.53</v>
      </c>
      <c r="CF12" s="15" t="n">
        <v>479438.33</v>
      </c>
      <c r="CG12" s="15" t="n">
        <v>1202614.78</v>
      </c>
      <c r="CH12" s="15" t="n">
        <v>1702432.17</v>
      </c>
      <c r="CI12" s="15" t="n">
        <v>986676.98</v>
      </c>
      <c r="CJ12" s="15" t="n">
        <v>325561</v>
      </c>
      <c r="CK12" s="15" t="n">
        <v>81553.05</v>
      </c>
      <c r="CL12" s="15" t="n">
        <v>297442.38</v>
      </c>
      <c r="CM12" s="15" t="n">
        <v>151775.62</v>
      </c>
      <c r="CN12" s="15" t="n">
        <v>66749.53999999999</v>
      </c>
      <c r="CO12" s="15" t="n">
        <v>719845.92</v>
      </c>
      <c r="CP12" s="15" t="n">
        <v>856127.0600000001</v>
      </c>
      <c r="CQ12" s="15" t="n">
        <v>165583.14</v>
      </c>
      <c r="CR12" s="15" t="n">
        <v>321275.49</v>
      </c>
      <c r="CS12" s="15" t="n">
        <v>774914.25</v>
      </c>
      <c r="CT12" s="15" t="n">
        <v>1821874.93</v>
      </c>
      <c r="CU12" s="15" t="n">
        <v>840820.5699999999</v>
      </c>
      <c r="CV12" s="15" t="n">
        <v>776583.34</v>
      </c>
      <c r="CW12" s="15" t="n">
        <v>77895.59</v>
      </c>
      <c r="CX12" s="15" t="n">
        <v>140169.73</v>
      </c>
      <c r="CY12" s="15" t="n">
        <v>1172622.6</v>
      </c>
      <c r="CZ12" s="15" t="n">
        <v>1549292.12</v>
      </c>
      <c r="DA12" s="15" t="n">
        <v>1372026.76</v>
      </c>
      <c r="DB12" s="15" t="n">
        <v>205841.57</v>
      </c>
      <c r="DC12" s="15" t="n">
        <v>89893.25999999999</v>
      </c>
      <c r="DD12" s="15" t="n">
        <v>221202.07</v>
      </c>
      <c r="DE12" s="15" t="n">
        <v>855651.27</v>
      </c>
      <c r="DF12" s="15" t="n">
        <v>2397569.78</v>
      </c>
      <c r="DG12" s="15" t="n">
        <v>214111.27</v>
      </c>
      <c r="DH12" s="15" t="n">
        <v>79985.78999999999</v>
      </c>
      <c r="DI12" s="15" t="n">
        <v>138974.34</v>
      </c>
      <c r="DJ12" s="15" t="n">
        <v>-90237.96000000001</v>
      </c>
      <c r="DK12" s="15" t="n">
        <v>677695.86</v>
      </c>
      <c r="DL12" s="15" t="n">
        <v>1468062.43</v>
      </c>
      <c r="DM12" s="15" t="n">
        <v>137250.19</v>
      </c>
      <c r="DN12" s="15" t="n">
        <v>783330.9300000001</v>
      </c>
      <c r="DO12" s="15" t="n">
        <v>68015.17</v>
      </c>
      <c r="DP12" s="15" t="n">
        <v>137552.59</v>
      </c>
    </row>
    <row r="13">
      <c r="A13" s="4" t="inlineStr">
        <is>
          <t>生鲜蔬果</t>
        </is>
      </c>
      <c r="B13" s="15" t="n">
        <v>929539.3199999999</v>
      </c>
      <c r="C13" s="15" t="n">
        <v>1129931.27</v>
      </c>
      <c r="D13" s="15" t="n">
        <v>171254.51</v>
      </c>
      <c r="E13" s="15" t="n">
        <v>95842.89</v>
      </c>
      <c r="F13" s="15" t="n">
        <v>182889.26</v>
      </c>
      <c r="G13" s="15" t="n">
        <v>237610.38</v>
      </c>
      <c r="H13" s="15" t="n">
        <v>2051972.66</v>
      </c>
      <c r="I13" s="15" t="n">
        <v>1241967.58</v>
      </c>
      <c r="J13" s="15" t="n">
        <v>710902.21</v>
      </c>
      <c r="K13" s="15" t="n">
        <v>186911.52</v>
      </c>
      <c r="L13" s="15" t="n">
        <v>420483.63</v>
      </c>
      <c r="M13" s="15" t="n">
        <v>727996.77</v>
      </c>
      <c r="N13" s="15" t="n">
        <v>285855.18</v>
      </c>
      <c r="O13" s="15" t="n">
        <v>637801.67</v>
      </c>
      <c r="P13" s="15" t="n">
        <v>662852.7</v>
      </c>
      <c r="Q13" s="15" t="n">
        <v>91824.88</v>
      </c>
      <c r="R13" s="15" t="n">
        <v>682611.13</v>
      </c>
      <c r="S13" s="15" t="n">
        <v>1419838.71</v>
      </c>
      <c r="T13" s="15" t="n">
        <v>2295991.28</v>
      </c>
      <c r="U13" s="15" t="n">
        <v>68087.24000000001</v>
      </c>
      <c r="V13" s="15" t="n">
        <v>416613.81</v>
      </c>
      <c r="W13" s="15" t="n">
        <v>80612.5</v>
      </c>
      <c r="X13" s="15" t="n">
        <v>-8833.549999999999</v>
      </c>
      <c r="Y13" s="15" t="n">
        <v>491569.33</v>
      </c>
      <c r="Z13" s="15" t="n">
        <v>2158377.67</v>
      </c>
      <c r="AA13" s="15" t="n">
        <v>1399590.07</v>
      </c>
      <c r="AB13" s="15" t="n">
        <v>237084.62</v>
      </c>
      <c r="AC13" s="15" t="n">
        <v>190295.91</v>
      </c>
      <c r="AD13" s="15" t="n">
        <v>524014.43</v>
      </c>
      <c r="AE13" s="15" t="n">
        <v>59240.19</v>
      </c>
      <c r="AF13" s="15" t="n">
        <v>2141080.08</v>
      </c>
      <c r="AG13" s="15" t="n">
        <v>1108942.78</v>
      </c>
      <c r="AH13" s="15" t="n">
        <v>259290.74</v>
      </c>
      <c r="AI13" s="15" t="n">
        <v>125352.9</v>
      </c>
      <c r="AJ13" s="15" t="n">
        <v>322133.42</v>
      </c>
      <c r="AK13" s="15" t="n">
        <v>1846294.86</v>
      </c>
      <c r="AL13" s="15" t="n">
        <v>398788.2</v>
      </c>
      <c r="AM13" s="15" t="n">
        <v>378769.1</v>
      </c>
      <c r="AN13" s="15" t="n">
        <v>142965.11</v>
      </c>
      <c r="AO13" s="15" t="n">
        <v>217212.29</v>
      </c>
      <c r="AP13" s="15" t="n">
        <v>313834.77</v>
      </c>
      <c r="AQ13" s="15" t="n">
        <v>1024563.29</v>
      </c>
      <c r="AR13" s="15" t="n">
        <v>2034110.06</v>
      </c>
      <c r="AS13" s="15" t="n">
        <v>1306511.51</v>
      </c>
      <c r="AT13" s="15" t="n">
        <v>958210.4399999999</v>
      </c>
      <c r="AU13" s="15" t="n">
        <v>248296.49</v>
      </c>
      <c r="AV13" s="15" t="n">
        <v>68913.73</v>
      </c>
      <c r="AW13" s="15" t="n">
        <v>1913454.47</v>
      </c>
      <c r="AX13" s="15" t="n">
        <v>1712152.79</v>
      </c>
      <c r="AY13" s="15" t="n">
        <v>348224.6</v>
      </c>
      <c r="AZ13" s="15" t="n">
        <v>827281.1</v>
      </c>
      <c r="BA13" s="15" t="n">
        <v>32449.03</v>
      </c>
      <c r="BB13" s="15" t="n">
        <v>338561.31</v>
      </c>
      <c r="BC13" s="15" t="n">
        <v>905042.7</v>
      </c>
      <c r="BD13" s="15" t="n">
        <v>2222765.32</v>
      </c>
      <c r="BE13" s="15" t="n">
        <v>1313608.89</v>
      </c>
      <c r="BF13" s="15" t="n">
        <v>817847.61</v>
      </c>
      <c r="BG13" s="15" t="n">
        <v>165191.08</v>
      </c>
      <c r="BH13" s="15" t="n">
        <v>384672.33</v>
      </c>
      <c r="BI13" s="15" t="n">
        <v>490916.46</v>
      </c>
      <c r="BJ13" s="15" t="n">
        <v>2364108.22</v>
      </c>
      <c r="BK13" s="15" t="n">
        <v>481594.94</v>
      </c>
      <c r="BL13" s="15" t="n">
        <v>448689.09</v>
      </c>
      <c r="BM13" s="15" t="n">
        <v>172087.65</v>
      </c>
      <c r="BN13" s="15" t="n">
        <v>536758.24</v>
      </c>
      <c r="BO13" s="15" t="n">
        <v>1759558.84</v>
      </c>
      <c r="BP13" s="15" t="n">
        <v>2387833.49</v>
      </c>
      <c r="BQ13" s="15" t="n">
        <v>206407.69</v>
      </c>
      <c r="BR13" s="15" t="n">
        <v>904126.36</v>
      </c>
      <c r="BS13" s="15" t="n">
        <v>113102.77</v>
      </c>
      <c r="BT13" s="15" t="n">
        <v>169597.7</v>
      </c>
      <c r="BU13" s="15" t="n">
        <v>1179434.58</v>
      </c>
      <c r="BV13" s="15" t="n">
        <v>648212.36</v>
      </c>
      <c r="BW13" s="15" t="n">
        <v>1289244.94</v>
      </c>
      <c r="BX13" s="15" t="n">
        <v>892236.3</v>
      </c>
      <c r="BY13" s="15" t="n">
        <v>58277.08</v>
      </c>
      <c r="BZ13" s="15" t="n">
        <v>-25472.4</v>
      </c>
      <c r="CA13" s="15" t="n">
        <v>1228398.05</v>
      </c>
      <c r="CB13" s="15" t="n">
        <v>2387229.9</v>
      </c>
      <c r="CC13" s="15" t="n">
        <v>380750.13</v>
      </c>
      <c r="CD13" s="15" t="n">
        <v>988144.48</v>
      </c>
      <c r="CE13" s="15" t="n">
        <v>224928.08</v>
      </c>
      <c r="CF13" s="15" t="n">
        <v>746864.86</v>
      </c>
      <c r="CG13" s="15" t="n">
        <v>1027582.45</v>
      </c>
      <c r="CH13" s="15" t="n">
        <v>446836.11</v>
      </c>
      <c r="CI13" s="15" t="n">
        <v>383884.58</v>
      </c>
      <c r="CJ13" s="15" t="n">
        <v>818247.16</v>
      </c>
      <c r="CK13" s="15" t="n">
        <v>184340.81</v>
      </c>
      <c r="CL13" s="15" t="n">
        <v>184179.87</v>
      </c>
      <c r="CM13" s="15" t="n">
        <v>1943320.83</v>
      </c>
      <c r="CN13" s="15" t="n">
        <v>2227119.34</v>
      </c>
      <c r="CO13" s="15" t="n">
        <v>1019798.22</v>
      </c>
      <c r="CP13" s="15" t="n">
        <v>36083.47</v>
      </c>
      <c r="CQ13" s="15" t="n">
        <v>62544.72</v>
      </c>
      <c r="CR13" s="15" t="n">
        <v>688612.33</v>
      </c>
      <c r="CS13" s="15" t="n">
        <v>227228.58</v>
      </c>
      <c r="CT13" s="15" t="n">
        <v>2012857.92</v>
      </c>
      <c r="CU13" s="15" t="n">
        <v>387877.72</v>
      </c>
      <c r="CV13" s="15" t="n">
        <v>423306.91</v>
      </c>
      <c r="CW13" s="15" t="n">
        <v>139049.7</v>
      </c>
      <c r="CX13" s="15" t="n">
        <v>216389.58</v>
      </c>
      <c r="CY13" s="15" t="n">
        <v>221651.89</v>
      </c>
      <c r="CZ13" s="15" t="n">
        <v>141714.6</v>
      </c>
      <c r="DA13" s="15" t="n">
        <v>95462.61</v>
      </c>
      <c r="DB13" s="15" t="n">
        <v>77045.06</v>
      </c>
      <c r="DC13" s="15" t="n">
        <v>42501.15</v>
      </c>
      <c r="DD13" s="15" t="n">
        <v>-35567.68</v>
      </c>
      <c r="DE13" s="15" t="n">
        <v>535541.1</v>
      </c>
      <c r="DF13" s="15" t="n">
        <v>1382734.74</v>
      </c>
      <c r="DG13" s="15" t="n">
        <v>688176.86</v>
      </c>
      <c r="DH13" s="15" t="n">
        <v>143368.81</v>
      </c>
      <c r="DI13" s="15" t="n">
        <v>69138.71000000001</v>
      </c>
      <c r="DJ13" s="15" t="n">
        <v>259258.2</v>
      </c>
      <c r="DK13" s="15" t="n">
        <v>872239.25</v>
      </c>
      <c r="DL13" s="15" t="n">
        <v>1397874.35</v>
      </c>
      <c r="DM13" s="15" t="n">
        <v>813449.5</v>
      </c>
      <c r="DN13" s="15" t="n">
        <v>645114.1899999999</v>
      </c>
      <c r="DO13" s="15" t="n">
        <v>159922.29</v>
      </c>
      <c r="DP13" s="15" t="n">
        <v>56159.25</v>
      </c>
    </row>
    <row r="14">
      <c r="A14" s="4" t="inlineStr">
        <is>
          <t>肉禽蛋奶</t>
        </is>
      </c>
      <c r="B14" s="15" t="n">
        <v>207365.63</v>
      </c>
      <c r="C14" s="15" t="n">
        <v>864771.85</v>
      </c>
      <c r="D14" s="15" t="n">
        <v>578202.91</v>
      </c>
      <c r="E14" s="15" t="n">
        <v>216160.35</v>
      </c>
      <c r="F14" s="15" t="n">
        <v>625930.88</v>
      </c>
      <c r="G14" s="15" t="n">
        <v>450863.93</v>
      </c>
      <c r="H14" s="15" t="n">
        <v>364480.02</v>
      </c>
      <c r="I14" s="15" t="n">
        <v>60281.79</v>
      </c>
      <c r="J14" s="15" t="n">
        <v>195830.83</v>
      </c>
      <c r="K14" s="15" t="n">
        <v>81290.02</v>
      </c>
      <c r="L14" s="15" t="n">
        <v>321239.22</v>
      </c>
      <c r="M14" s="15" t="n">
        <v>457568.5</v>
      </c>
      <c r="N14" s="15" t="n">
        <v>552080.42</v>
      </c>
      <c r="O14" s="15" t="n">
        <v>478989.98</v>
      </c>
      <c r="P14" s="15" t="n">
        <v>113428.77</v>
      </c>
      <c r="Q14" s="15" t="n">
        <v>105782.82</v>
      </c>
      <c r="R14" s="15" t="n">
        <v>-43608.14</v>
      </c>
      <c r="S14" s="15" t="n">
        <v>128169.57</v>
      </c>
      <c r="T14" s="15" t="n">
        <v>100986.19</v>
      </c>
      <c r="U14" s="15" t="n">
        <v>1269879.55</v>
      </c>
      <c r="V14" s="15" t="n">
        <v>11924.85</v>
      </c>
      <c r="W14" s="15" t="n">
        <v>7936.8</v>
      </c>
      <c r="X14" s="15" t="n">
        <v>148451.56</v>
      </c>
      <c r="Y14" s="15" t="n">
        <v>430584.26</v>
      </c>
      <c r="Z14" s="15" t="n">
        <v>624311.63</v>
      </c>
      <c r="AA14" s="15" t="n">
        <v>568588.75</v>
      </c>
      <c r="AB14" s="15" t="n">
        <v>960442.5</v>
      </c>
      <c r="AC14" s="15" t="n">
        <v>116527.67</v>
      </c>
      <c r="AD14" s="15" t="n">
        <v>157942.25</v>
      </c>
      <c r="AE14" s="15" t="n">
        <v>132757.24</v>
      </c>
      <c r="AF14" s="15" t="n">
        <v>1207277.89</v>
      </c>
      <c r="AG14" s="15" t="n">
        <v>1464384.1</v>
      </c>
      <c r="AH14" s="15" t="n">
        <v>155273.8</v>
      </c>
      <c r="AI14" s="15" t="n">
        <v>171835.15</v>
      </c>
      <c r="AJ14" s="15" t="n">
        <v>477162.97</v>
      </c>
      <c r="AK14" s="15" t="n">
        <v>1209720.19</v>
      </c>
      <c r="AL14" s="15" t="n">
        <v>925484.74</v>
      </c>
      <c r="AM14" s="15" t="n">
        <v>1139880.22</v>
      </c>
      <c r="AN14" s="15" t="n">
        <v>995571.9300000001</v>
      </c>
      <c r="AO14" s="15" t="n">
        <v>118741.96</v>
      </c>
      <c r="AP14" s="15" t="n">
        <v>458396.11</v>
      </c>
      <c r="AQ14" s="15" t="n">
        <v>998677.8</v>
      </c>
      <c r="AR14" s="15" t="n">
        <v>1997531.7</v>
      </c>
      <c r="AS14" s="15" t="n">
        <v>142830.09</v>
      </c>
      <c r="AT14" s="15" t="n">
        <v>527507.27</v>
      </c>
      <c r="AU14" s="15" t="n">
        <v>192246.81</v>
      </c>
      <c r="AV14" s="15" t="n">
        <v>657538.96</v>
      </c>
      <c r="AW14" s="15" t="n">
        <v>1136232.45</v>
      </c>
      <c r="AX14" s="15" t="n">
        <v>1476034.16</v>
      </c>
      <c r="AY14" s="15" t="n">
        <v>760321.16</v>
      </c>
      <c r="AZ14" s="15" t="n">
        <v>558188.62</v>
      </c>
      <c r="BA14" s="15" t="n">
        <v>213003.14</v>
      </c>
      <c r="BB14" s="15" t="n">
        <v>285861.95</v>
      </c>
      <c r="BC14" s="15" t="n">
        <v>870097.88</v>
      </c>
      <c r="BD14" s="15" t="n">
        <v>1852097.38</v>
      </c>
      <c r="BE14" s="15" t="n">
        <v>1379202.31</v>
      </c>
      <c r="BF14" s="15" t="n">
        <v>866120.53</v>
      </c>
      <c r="BG14" s="15" t="n">
        <v>58345.71</v>
      </c>
      <c r="BH14" s="15" t="n">
        <v>308325.54</v>
      </c>
      <c r="BI14" s="15" t="n">
        <v>1326312.28</v>
      </c>
      <c r="BJ14" s="15" t="n">
        <v>365542.08</v>
      </c>
      <c r="BK14" s="15" t="n">
        <v>343232.22</v>
      </c>
      <c r="BL14" s="15" t="n">
        <v>541674.35</v>
      </c>
      <c r="BM14" s="15" t="n">
        <v>135592.62</v>
      </c>
      <c r="BN14" s="15" t="n">
        <v>387696.62</v>
      </c>
      <c r="BO14" s="15" t="n">
        <v>1244859.26</v>
      </c>
      <c r="BP14" s="15" t="n">
        <v>1625896.48</v>
      </c>
      <c r="BQ14" s="15" t="n">
        <v>1205825.58</v>
      </c>
      <c r="BR14" s="15" t="n">
        <v>51302.55</v>
      </c>
      <c r="BS14" s="15" t="n">
        <v>129136.32</v>
      </c>
      <c r="BT14" s="15" t="n">
        <v>91100.97</v>
      </c>
      <c r="BU14" s="15" t="n">
        <v>578825.0600000001</v>
      </c>
      <c r="BV14" s="15" t="n">
        <v>336427.25</v>
      </c>
      <c r="BW14" s="15" t="n">
        <v>401781.63</v>
      </c>
      <c r="BX14" s="15" t="n">
        <v>348166.76</v>
      </c>
      <c r="BY14" s="15" t="n">
        <v>127816.39</v>
      </c>
      <c r="BZ14" s="15" t="n">
        <v>689983.8100000001</v>
      </c>
      <c r="CA14" s="15" t="n">
        <v>1624636.12</v>
      </c>
      <c r="CB14" s="15" t="n">
        <v>257011.12</v>
      </c>
      <c r="CC14" s="15" t="n">
        <v>1112720.47</v>
      </c>
      <c r="CD14" s="15" t="n">
        <v>461682.53</v>
      </c>
      <c r="CE14" s="15" t="n">
        <v>182426.95</v>
      </c>
      <c r="CF14" s="15" t="n">
        <v>138466.95</v>
      </c>
      <c r="CG14" s="15" t="n">
        <v>1095559.84</v>
      </c>
      <c r="CH14" s="15" t="n">
        <v>2252129.45</v>
      </c>
      <c r="CI14" s="15" t="n">
        <v>75012.97</v>
      </c>
      <c r="CJ14" s="15" t="n">
        <v>962221.99</v>
      </c>
      <c r="CK14" s="15" t="n">
        <v>146791.04</v>
      </c>
      <c r="CL14" s="15" t="n">
        <v>242328.77</v>
      </c>
      <c r="CM14" s="15" t="n">
        <v>650928.9</v>
      </c>
      <c r="CN14" s="15" t="n">
        <v>1709472.69</v>
      </c>
      <c r="CO14" s="15" t="n">
        <v>394523.34</v>
      </c>
      <c r="CP14" s="15" t="n">
        <v>637344.8</v>
      </c>
      <c r="CQ14" s="15" t="n">
        <v>31201.13</v>
      </c>
      <c r="CR14" s="15" t="n">
        <v>644916.86</v>
      </c>
      <c r="CS14" s="15" t="n">
        <v>1617521.33</v>
      </c>
      <c r="CT14" s="15" t="n">
        <v>1299496.99</v>
      </c>
      <c r="CU14" s="15" t="n">
        <v>941130.14</v>
      </c>
      <c r="CV14" s="15" t="n">
        <v>908100.9399999999</v>
      </c>
      <c r="CW14" s="15" t="n">
        <v>30980.55</v>
      </c>
      <c r="CX14" s="15" t="n">
        <v>736790.49</v>
      </c>
      <c r="CY14" s="15" t="n">
        <v>1289617.73</v>
      </c>
      <c r="CZ14" s="15" t="n">
        <v>634143.64</v>
      </c>
      <c r="DA14" s="15" t="n">
        <v>605207.5</v>
      </c>
      <c r="DB14" s="15" t="n">
        <v>148807.03</v>
      </c>
      <c r="DC14" s="15" t="n">
        <v>93615.78999999999</v>
      </c>
      <c r="DD14" s="15" t="n">
        <v>137088.52</v>
      </c>
      <c r="DE14" s="15" t="n">
        <v>639106.24</v>
      </c>
      <c r="DF14" s="15" t="n">
        <v>518473.02</v>
      </c>
      <c r="DG14" s="15" t="n">
        <v>376241.25</v>
      </c>
      <c r="DH14" s="15" t="n">
        <v>190873.27</v>
      </c>
      <c r="DI14" s="15" t="n">
        <v>24881.8</v>
      </c>
      <c r="DJ14" s="15" t="n">
        <v>379009.69</v>
      </c>
      <c r="DK14" s="15" t="n">
        <v>533258.54</v>
      </c>
      <c r="DL14" s="15" t="n">
        <v>2360730.56</v>
      </c>
      <c r="DM14" s="15" t="n">
        <v>365018.56</v>
      </c>
      <c r="DN14" s="15" t="n">
        <v>320873.29</v>
      </c>
      <c r="DO14" s="15" t="n">
        <v>108016.76</v>
      </c>
      <c r="DP14" s="15" t="n">
        <v>287673.62</v>
      </c>
    </row>
    <row r="15">
      <c r="A15" s="4" t="inlineStr">
        <is>
          <t>粮油调味</t>
        </is>
      </c>
      <c r="B15" s="15" t="n">
        <v>393667.71</v>
      </c>
      <c r="C15" s="15" t="n">
        <v>110177.8</v>
      </c>
      <c r="D15" s="15" t="n">
        <v>473578.22</v>
      </c>
      <c r="E15" s="15" t="n">
        <v>160547.43</v>
      </c>
      <c r="F15" s="15" t="n">
        <v>552569.02</v>
      </c>
      <c r="G15" s="15" t="n">
        <v>426550.85</v>
      </c>
      <c r="H15" s="15" t="n">
        <v>1419359.15</v>
      </c>
      <c r="I15" s="15" t="n">
        <v>440284.33</v>
      </c>
      <c r="J15" s="15" t="n">
        <v>64618.12</v>
      </c>
      <c r="K15" s="15" t="n">
        <v>224355.15</v>
      </c>
      <c r="L15" s="15" t="n">
        <v>205185.16</v>
      </c>
      <c r="M15" s="15" t="n">
        <v>1311806.54</v>
      </c>
      <c r="N15" s="15" t="n">
        <v>1811521.74</v>
      </c>
      <c r="O15" s="15" t="n">
        <v>1140969.59</v>
      </c>
      <c r="P15" s="15" t="n">
        <v>677032</v>
      </c>
      <c r="Q15" s="15" t="n">
        <v>70410.12</v>
      </c>
      <c r="R15" s="15" t="n">
        <v>696424.4399999999</v>
      </c>
      <c r="S15" s="15" t="n">
        <v>1704861.75</v>
      </c>
      <c r="T15" s="15" t="n">
        <v>1152930.19</v>
      </c>
      <c r="U15" s="15" t="n">
        <v>1410424.92</v>
      </c>
      <c r="V15" s="15" t="n">
        <v>520987.1</v>
      </c>
      <c r="W15" s="15" t="n">
        <v>150402.96</v>
      </c>
      <c r="X15" s="15" t="n">
        <v>251202.76</v>
      </c>
      <c r="Y15" s="15" t="n">
        <v>957248.8199999999</v>
      </c>
      <c r="Z15" s="15" t="n">
        <v>2420830.59</v>
      </c>
      <c r="AA15" s="15" t="n">
        <v>1315555.16</v>
      </c>
      <c r="AB15" s="15" t="n">
        <v>542666.16</v>
      </c>
      <c r="AC15" s="15" t="n">
        <v>201610.94</v>
      </c>
      <c r="AD15" s="15" t="n">
        <v>688059.35</v>
      </c>
      <c r="AE15" s="15" t="n">
        <v>362895.19</v>
      </c>
      <c r="AF15" s="15" t="n">
        <v>1803727.86</v>
      </c>
      <c r="AG15" s="15" t="n">
        <v>1102979.65</v>
      </c>
      <c r="AH15" s="15" t="n">
        <v>975205.02</v>
      </c>
      <c r="AI15" s="15" t="n">
        <v>200768.99</v>
      </c>
      <c r="AJ15" s="15" t="n">
        <v>547943.11</v>
      </c>
      <c r="AK15" s="15" t="n">
        <v>101315.86</v>
      </c>
      <c r="AL15" s="15" t="n">
        <v>144812.98</v>
      </c>
      <c r="AM15" s="15" t="n">
        <v>1176050.23</v>
      </c>
      <c r="AN15" s="15" t="n">
        <v>682344.96</v>
      </c>
      <c r="AO15" s="15" t="n">
        <v>7241.47</v>
      </c>
      <c r="AP15" s="15" t="n">
        <v>135647.04</v>
      </c>
      <c r="AQ15" s="15" t="n">
        <v>1547295.86</v>
      </c>
      <c r="AR15" s="15" t="n">
        <v>1565448.37</v>
      </c>
      <c r="AS15" s="15" t="n">
        <v>756900.25</v>
      </c>
      <c r="AT15" s="15" t="n">
        <v>970203.37</v>
      </c>
      <c r="AU15" s="15" t="n">
        <v>246855.85</v>
      </c>
      <c r="AV15" s="15" t="n">
        <v>564947.47</v>
      </c>
      <c r="AW15" s="15" t="n">
        <v>618288.52</v>
      </c>
      <c r="AX15" s="15" t="n">
        <v>308842.53</v>
      </c>
      <c r="AY15" s="15" t="n">
        <v>682081.85</v>
      </c>
      <c r="AZ15" s="15" t="n">
        <v>671979.86</v>
      </c>
      <c r="BA15" s="15" t="n">
        <v>136666.64</v>
      </c>
      <c r="BB15" s="15" t="n">
        <v>-86719.49000000001</v>
      </c>
      <c r="BC15" s="15" t="n">
        <v>1889427.98</v>
      </c>
      <c r="BD15" s="15" t="n">
        <v>282206.98</v>
      </c>
      <c r="BE15" s="15" t="n">
        <v>1334953.1</v>
      </c>
      <c r="BF15" s="15" t="n">
        <v>953038.66</v>
      </c>
      <c r="BG15" s="15" t="n">
        <v>246464.94</v>
      </c>
      <c r="BH15" s="15" t="n">
        <v>369159</v>
      </c>
      <c r="BI15" s="15" t="n">
        <v>841355.5</v>
      </c>
      <c r="BJ15" s="15" t="n">
        <v>250455.86</v>
      </c>
      <c r="BK15" s="15" t="n">
        <v>645104.62</v>
      </c>
      <c r="BL15" s="15" t="n">
        <v>951525.77</v>
      </c>
      <c r="BM15" s="15" t="n">
        <v>41489.05</v>
      </c>
      <c r="BN15" s="15" t="n">
        <v>268393.13</v>
      </c>
      <c r="BO15" s="15" t="n">
        <v>1548398.2</v>
      </c>
      <c r="BP15" s="15" t="n">
        <v>786516.58</v>
      </c>
      <c r="BQ15" s="15" t="n">
        <v>1422408.88</v>
      </c>
      <c r="BR15" s="15" t="n">
        <v>502589.46</v>
      </c>
      <c r="BS15" s="15" t="n">
        <v>175447.51</v>
      </c>
      <c r="BT15" s="15" t="n">
        <v>378508.31</v>
      </c>
      <c r="BU15" s="15" t="n">
        <v>852279.04</v>
      </c>
      <c r="BV15" s="15" t="n">
        <v>251302.38</v>
      </c>
      <c r="BW15" s="15" t="n">
        <v>1213650.46</v>
      </c>
      <c r="BX15" s="15" t="n">
        <v>979865.45</v>
      </c>
      <c r="BY15" s="15" t="n">
        <v>128009.77</v>
      </c>
      <c r="BZ15" s="15" t="n">
        <v>296271.03</v>
      </c>
      <c r="CA15" s="15" t="n">
        <v>67008.28999999999</v>
      </c>
      <c r="CB15" s="15" t="n">
        <v>643359.38</v>
      </c>
      <c r="CC15" s="15" t="n">
        <v>509660.46</v>
      </c>
      <c r="CD15" s="15" t="n">
        <v>778792.51</v>
      </c>
      <c r="CE15" s="15" t="n">
        <v>174769.85</v>
      </c>
      <c r="CF15" s="15" t="n">
        <v>460671.45</v>
      </c>
      <c r="CG15" s="15" t="n">
        <v>479292.57</v>
      </c>
      <c r="CH15" s="15" t="n">
        <v>1899057.95</v>
      </c>
      <c r="CI15" s="15" t="n">
        <v>711463.8100000001</v>
      </c>
      <c r="CJ15" s="15" t="n">
        <v>143257.76</v>
      </c>
      <c r="CK15" s="15" t="n">
        <v>210826.32</v>
      </c>
      <c r="CL15" s="15" t="n">
        <v>460495.97</v>
      </c>
      <c r="CM15" s="15" t="n">
        <v>1554448.51</v>
      </c>
      <c r="CN15" s="15" t="n">
        <v>1437421.98</v>
      </c>
      <c r="CO15" s="15" t="n">
        <v>931939.66</v>
      </c>
      <c r="CP15" s="15" t="n">
        <v>488055.76</v>
      </c>
      <c r="CQ15" s="15" t="n">
        <v>223574.82</v>
      </c>
      <c r="CR15" s="15" t="n">
        <v>410611.35</v>
      </c>
      <c r="CS15" s="15" t="n">
        <v>1629314.57</v>
      </c>
      <c r="CT15" s="15" t="n">
        <v>196612.63</v>
      </c>
      <c r="CU15" s="15" t="n">
        <v>344270.75</v>
      </c>
      <c r="CV15" s="15" t="n">
        <v>778040.76</v>
      </c>
      <c r="CW15" s="15" t="n">
        <v>68891.61</v>
      </c>
      <c r="CX15" s="15" t="n">
        <v>716430.37</v>
      </c>
      <c r="CY15" s="15" t="n">
        <v>1046315.73</v>
      </c>
      <c r="CZ15" s="15" t="n">
        <v>297697.04</v>
      </c>
      <c r="DA15" s="15" t="n">
        <v>712135.09</v>
      </c>
      <c r="DB15" s="15" t="n">
        <v>628084.37</v>
      </c>
      <c r="DC15" s="15" t="n">
        <v>220195.86</v>
      </c>
      <c r="DD15" s="15" t="n">
        <v>325179.48</v>
      </c>
      <c r="DE15" s="15" t="n">
        <v>1196183.28</v>
      </c>
      <c r="DF15" s="15" t="n">
        <v>399693.83</v>
      </c>
      <c r="DG15" s="15" t="n">
        <v>623796.66</v>
      </c>
      <c r="DH15" s="15" t="n">
        <v>577874.27</v>
      </c>
      <c r="DI15" s="15" t="n">
        <v>74489.3</v>
      </c>
      <c r="DJ15" s="15" t="n">
        <v>-81018.44</v>
      </c>
      <c r="DK15" s="15" t="n">
        <v>1715943.35</v>
      </c>
      <c r="DL15" s="15" t="n">
        <v>346969.34</v>
      </c>
      <c r="DM15" s="15" t="n">
        <v>1395764.17</v>
      </c>
      <c r="DN15" s="15" t="n">
        <v>683286.25</v>
      </c>
      <c r="DO15" s="15" t="n">
        <v>19501.02</v>
      </c>
      <c r="DP15" s="15" t="n">
        <v>334908.95</v>
      </c>
    </row>
    <row r="16">
      <c r="A16" s="4" t="inlineStr">
        <is>
          <t>酒水饮料</t>
        </is>
      </c>
      <c r="B16" s="15" t="n">
        <v>1931119.32</v>
      </c>
      <c r="C16" s="15" t="n">
        <v>453966.13</v>
      </c>
      <c r="D16" s="15" t="n">
        <v>144540.4</v>
      </c>
      <c r="E16" s="15" t="n">
        <v>25515.77</v>
      </c>
      <c r="F16" s="15" t="n">
        <v>124644.72</v>
      </c>
      <c r="G16" s="15" t="n">
        <v>740255.29</v>
      </c>
      <c r="H16" s="15" t="n">
        <v>978440.84</v>
      </c>
      <c r="I16" s="15" t="n">
        <v>576230.79</v>
      </c>
      <c r="J16" s="15" t="n">
        <v>515003.51</v>
      </c>
      <c r="K16" s="15" t="n">
        <v>35551.12</v>
      </c>
      <c r="L16" s="15" t="n">
        <v>294158.96</v>
      </c>
      <c r="M16" s="15" t="n">
        <v>1205567.64</v>
      </c>
      <c r="N16" s="15" t="n">
        <v>2248964.77</v>
      </c>
      <c r="O16" s="15" t="n">
        <v>727705.4300000001</v>
      </c>
      <c r="P16" s="15" t="n">
        <v>31358.21</v>
      </c>
      <c r="Q16" s="15" t="n">
        <v>71450.67</v>
      </c>
      <c r="R16" s="15" t="n">
        <v>667999.16</v>
      </c>
      <c r="S16" s="15" t="n">
        <v>942176.55</v>
      </c>
      <c r="T16" s="15" t="n">
        <v>534635.61</v>
      </c>
      <c r="U16" s="15" t="n">
        <v>1269027.56</v>
      </c>
      <c r="V16" s="15" t="n">
        <v>360558.73</v>
      </c>
      <c r="W16" s="15" t="n">
        <v>98426.59</v>
      </c>
      <c r="X16" s="15" t="n">
        <v>480235.93</v>
      </c>
      <c r="Y16" s="15" t="n">
        <v>620195.36</v>
      </c>
      <c r="Z16" s="15" t="n">
        <v>2432637</v>
      </c>
      <c r="AA16" s="15" t="n">
        <v>1197103.04</v>
      </c>
      <c r="AB16" s="15" t="n">
        <v>784223.91</v>
      </c>
      <c r="AC16" s="15" t="n">
        <v>85997.91</v>
      </c>
      <c r="AD16" s="15" t="n">
        <v>222951.14</v>
      </c>
      <c r="AE16" s="15" t="n">
        <v>657796.75</v>
      </c>
      <c r="AF16" s="15" t="n">
        <v>2194581.08</v>
      </c>
      <c r="AG16" s="15" t="n">
        <v>1017478.24</v>
      </c>
      <c r="AH16" s="15" t="n">
        <v>213449.79</v>
      </c>
      <c r="AI16" s="15" t="n">
        <v>22894.68</v>
      </c>
      <c r="AJ16" s="15" t="n">
        <v>186073.55</v>
      </c>
      <c r="AK16" s="15" t="n">
        <v>254072.62</v>
      </c>
      <c r="AL16" s="15" t="n">
        <v>212830.59</v>
      </c>
      <c r="AM16" s="15" t="n">
        <v>900052.77</v>
      </c>
      <c r="AN16" s="15" t="n">
        <v>920955.5600000001</v>
      </c>
      <c r="AO16" s="15" t="n">
        <v>11619.65</v>
      </c>
      <c r="AP16" s="15" t="n">
        <v>16882.34</v>
      </c>
      <c r="AQ16" s="15" t="n">
        <v>783194.36</v>
      </c>
      <c r="AR16" s="15" t="n">
        <v>1247560.52</v>
      </c>
      <c r="AS16" s="15" t="n">
        <v>394334.48</v>
      </c>
      <c r="AT16" s="15" t="n">
        <v>407991.14</v>
      </c>
      <c r="AU16" s="15" t="n">
        <v>147849.11</v>
      </c>
      <c r="AV16" s="15" t="n">
        <v>-55155.64</v>
      </c>
      <c r="AW16" s="15" t="n">
        <v>104775.22</v>
      </c>
      <c r="AX16" s="15" t="n">
        <v>2184300.97</v>
      </c>
      <c r="AY16" s="15" t="n">
        <v>289508.23</v>
      </c>
      <c r="AZ16" s="15" t="n">
        <v>977993.09</v>
      </c>
      <c r="BA16" s="15" t="n">
        <v>80776.53</v>
      </c>
      <c r="BB16" s="15" t="n">
        <v>39357.65</v>
      </c>
      <c r="BC16" s="15" t="n">
        <v>1734634.05</v>
      </c>
      <c r="BD16" s="15" t="n">
        <v>1971230.65</v>
      </c>
      <c r="BE16" s="15" t="n">
        <v>673476.15</v>
      </c>
      <c r="BF16" s="15" t="n">
        <v>986469.54</v>
      </c>
      <c r="BG16" s="15" t="n">
        <v>64864.28</v>
      </c>
      <c r="BH16" s="15" t="n">
        <v>541002.29</v>
      </c>
      <c r="BI16" s="15" t="n">
        <v>1639952.2</v>
      </c>
      <c r="BJ16" s="15" t="n">
        <v>1423318.45</v>
      </c>
      <c r="BK16" s="15" t="n">
        <v>1014568.85</v>
      </c>
      <c r="BL16" s="15" t="n">
        <v>322803.29</v>
      </c>
      <c r="BM16" s="15" t="n">
        <v>108982.93</v>
      </c>
      <c r="BN16" s="15" t="n">
        <v>5139.53</v>
      </c>
      <c r="BO16" s="15" t="n">
        <v>842340.0699999999</v>
      </c>
      <c r="BP16" s="15" t="n">
        <v>2410135.62</v>
      </c>
      <c r="BQ16" s="15" t="n">
        <v>489625.04</v>
      </c>
      <c r="BR16" s="15" t="n">
        <v>766803.02</v>
      </c>
      <c r="BS16" s="15" t="n">
        <v>144864.48</v>
      </c>
      <c r="BT16" s="15" t="n">
        <v>419443.21</v>
      </c>
      <c r="BU16" s="15" t="n">
        <v>569463.97</v>
      </c>
      <c r="BV16" s="15" t="n">
        <v>397089.22</v>
      </c>
      <c r="BW16" s="15" t="n">
        <v>1194396.12</v>
      </c>
      <c r="BX16" s="15" t="n">
        <v>94418.42</v>
      </c>
      <c r="BY16" s="15" t="n">
        <v>72426.98</v>
      </c>
      <c r="BZ16" s="15" t="n">
        <v>602976.4300000001</v>
      </c>
      <c r="CA16" s="15" t="n">
        <v>656583.79</v>
      </c>
      <c r="CB16" s="15" t="n">
        <v>1124541.4</v>
      </c>
      <c r="CC16" s="15" t="n">
        <v>1167749.13</v>
      </c>
      <c r="CD16" s="15" t="n">
        <v>879114.53</v>
      </c>
      <c r="CE16" s="15" t="n">
        <v>136152.21</v>
      </c>
      <c r="CF16" s="15" t="n">
        <v>31090.21</v>
      </c>
      <c r="CG16" s="15" t="n">
        <v>1078736.82</v>
      </c>
      <c r="CH16" s="15" t="n">
        <v>1813599.79</v>
      </c>
      <c r="CI16" s="15" t="n">
        <v>948553.0699999999</v>
      </c>
      <c r="CJ16" s="15" t="n">
        <v>69426.07000000001</v>
      </c>
      <c r="CK16" s="15" t="n">
        <v>31084.26</v>
      </c>
      <c r="CL16" s="15" t="n">
        <v>623787.22</v>
      </c>
      <c r="CM16" s="15" t="n">
        <v>1177837.84</v>
      </c>
      <c r="CN16" s="15" t="n">
        <v>2137642.67</v>
      </c>
      <c r="CO16" s="15" t="n">
        <v>487088.83</v>
      </c>
      <c r="CP16" s="15" t="n">
        <v>41085.45</v>
      </c>
      <c r="CQ16" s="15" t="n">
        <v>200772.7</v>
      </c>
      <c r="CR16" s="15" t="n">
        <v>13531.45</v>
      </c>
      <c r="CS16" s="15" t="n">
        <v>720781.36</v>
      </c>
      <c r="CT16" s="15" t="n">
        <v>957573.39</v>
      </c>
      <c r="CU16" s="15" t="n">
        <v>368085.11</v>
      </c>
      <c r="CV16" s="15" t="n">
        <v>354334.79</v>
      </c>
      <c r="CW16" s="15" t="n">
        <v>18711.05</v>
      </c>
      <c r="CX16" s="15" t="n">
        <v>75316.06</v>
      </c>
      <c r="CY16" s="15" t="n">
        <v>1352539.69</v>
      </c>
      <c r="CZ16" s="15" t="n">
        <v>2335729.08</v>
      </c>
      <c r="DA16" s="15" t="n">
        <v>519891.32</v>
      </c>
      <c r="DB16" s="15" t="n">
        <v>648391.0600000001</v>
      </c>
      <c r="DC16" s="15" t="n">
        <v>129455.94</v>
      </c>
      <c r="DD16" s="15" t="n">
        <v>-74279.14999999999</v>
      </c>
      <c r="DE16" s="15" t="n">
        <v>94916.02</v>
      </c>
      <c r="DF16" s="15" t="n">
        <v>2024369.31</v>
      </c>
      <c r="DG16" s="15" t="n">
        <v>494743.81</v>
      </c>
      <c r="DH16" s="15" t="n">
        <v>874129.84</v>
      </c>
      <c r="DI16" s="15" t="n">
        <v>180437.5</v>
      </c>
      <c r="DJ16" s="15" t="n">
        <v>332208.23</v>
      </c>
      <c r="DK16" s="15" t="n">
        <v>1188382.24</v>
      </c>
      <c r="DL16" s="15" t="n">
        <v>2212173.17</v>
      </c>
      <c r="DM16" s="15" t="n">
        <v>956764.61</v>
      </c>
      <c r="DN16" s="15" t="n">
        <v>456554.23</v>
      </c>
      <c r="DO16" s="15" t="n">
        <v>56895.55</v>
      </c>
      <c r="DP16" s="15" t="n">
        <v>120359.99</v>
      </c>
    </row>
    <row r="17">
      <c r="A17" s="4" t="inlineStr">
        <is>
          <t>休闲零食</t>
        </is>
      </c>
      <c r="B17" s="15" t="n">
        <v>1985334.74</v>
      </c>
      <c r="C17" s="15" t="n">
        <v>463194.83</v>
      </c>
      <c r="D17" s="15" t="n">
        <v>140194.74</v>
      </c>
      <c r="E17" s="15" t="n">
        <v>49304.36</v>
      </c>
      <c r="F17" s="15" t="n">
        <v>498182.55</v>
      </c>
      <c r="G17" s="15" t="n">
        <v>967787.64</v>
      </c>
      <c r="H17" s="15" t="n">
        <v>1247209.58</v>
      </c>
      <c r="I17" s="15" t="n">
        <v>402074.65</v>
      </c>
      <c r="J17" s="15" t="n">
        <v>780818.92</v>
      </c>
      <c r="K17" s="15" t="n">
        <v>72000.82000000001</v>
      </c>
      <c r="L17" s="15" t="n">
        <v>231940.59</v>
      </c>
      <c r="M17" s="15" t="n">
        <v>1596874.41</v>
      </c>
      <c r="N17" s="15" t="n">
        <v>650940.98</v>
      </c>
      <c r="O17" s="15" t="n">
        <v>479995.14</v>
      </c>
      <c r="P17" s="15" t="n">
        <v>289488.57</v>
      </c>
      <c r="Q17" s="15" t="n">
        <v>17953.07</v>
      </c>
      <c r="R17" s="15" t="n">
        <v>269546.88</v>
      </c>
      <c r="S17" s="15" t="n">
        <v>797602.92</v>
      </c>
      <c r="T17" s="15" t="n">
        <v>1353578.26</v>
      </c>
      <c r="U17" s="15" t="n">
        <v>781220.16</v>
      </c>
      <c r="V17" s="15" t="n">
        <v>144359.57</v>
      </c>
      <c r="W17" s="15" t="n">
        <v>77924.59</v>
      </c>
      <c r="X17" s="15" t="n">
        <v>269231.71</v>
      </c>
      <c r="Y17" s="15" t="n">
        <v>1922152.86</v>
      </c>
      <c r="Z17" s="15" t="n">
        <v>1695409.36</v>
      </c>
      <c r="AA17" s="15" t="n">
        <v>565307.03</v>
      </c>
      <c r="AB17" s="15" t="n">
        <v>371356.31</v>
      </c>
      <c r="AC17" s="15" t="n">
        <v>55933.71</v>
      </c>
      <c r="AD17" s="15" t="n">
        <v>293241.47</v>
      </c>
      <c r="AE17" s="15" t="n">
        <v>486625.08</v>
      </c>
      <c r="AF17" s="15" t="n">
        <v>2220620.66</v>
      </c>
      <c r="AG17" s="15" t="n">
        <v>1496383.08</v>
      </c>
      <c r="AH17" s="15" t="n">
        <v>358119.88</v>
      </c>
      <c r="AI17" s="15" t="n">
        <v>164638.87</v>
      </c>
      <c r="AJ17" s="15" t="n">
        <v>146715.49</v>
      </c>
      <c r="AK17" s="15" t="n">
        <v>1616746.11</v>
      </c>
      <c r="AL17" s="15" t="n">
        <v>100709.37</v>
      </c>
      <c r="AM17" s="15" t="n">
        <v>177993.49</v>
      </c>
      <c r="AN17" s="15" t="n">
        <v>130070.58</v>
      </c>
      <c r="AO17" s="15" t="n">
        <v>222058.48</v>
      </c>
      <c r="AP17" s="15" t="n">
        <v>116039.14</v>
      </c>
      <c r="AQ17" s="15" t="n">
        <v>956865.39</v>
      </c>
      <c r="AR17" s="15" t="n">
        <v>2156285</v>
      </c>
      <c r="AS17" s="15" t="n">
        <v>402323.33</v>
      </c>
      <c r="AT17" s="15" t="n">
        <v>977985.35</v>
      </c>
      <c r="AU17" s="15" t="n">
        <v>184129.05</v>
      </c>
      <c r="AV17" s="15" t="n">
        <v>412594.41</v>
      </c>
      <c r="AW17" s="15" t="n">
        <v>125305.91</v>
      </c>
      <c r="AX17" s="15" t="n">
        <v>1901381.9</v>
      </c>
      <c r="AY17" s="15" t="n">
        <v>118856.46</v>
      </c>
      <c r="AZ17" s="15" t="n">
        <v>835523</v>
      </c>
      <c r="BA17" s="15" t="n">
        <v>155551.59</v>
      </c>
      <c r="BB17" s="15" t="n">
        <v>738294.63</v>
      </c>
      <c r="BC17" s="15" t="n">
        <v>476203.4</v>
      </c>
      <c r="BD17" s="15" t="n">
        <v>2113897.81</v>
      </c>
      <c r="BE17" s="15" t="n">
        <v>1122464.48</v>
      </c>
      <c r="BF17" s="15" t="n">
        <v>474047.37</v>
      </c>
      <c r="BG17" s="15" t="n">
        <v>112888.25</v>
      </c>
      <c r="BH17" s="15" t="n">
        <v>21825.35</v>
      </c>
      <c r="BI17" s="15" t="n">
        <v>1906310.34</v>
      </c>
      <c r="BJ17" s="15" t="n">
        <v>933393.9</v>
      </c>
      <c r="BK17" s="15" t="n">
        <v>1408971.53</v>
      </c>
      <c r="BL17" s="15" t="n">
        <v>796073.34</v>
      </c>
      <c r="BM17" s="15" t="n">
        <v>178132.08</v>
      </c>
      <c r="BN17" s="15" t="n">
        <v>152151.43</v>
      </c>
      <c r="BO17" s="15" t="n">
        <v>283775.38</v>
      </c>
      <c r="BP17" s="15" t="n">
        <v>1015892.56</v>
      </c>
      <c r="BQ17" s="15" t="n">
        <v>113454.39</v>
      </c>
      <c r="BR17" s="15" t="n">
        <v>140379.27</v>
      </c>
      <c r="BS17" s="15" t="n">
        <v>19385.77</v>
      </c>
      <c r="BT17" s="15" t="n">
        <v>601447.14</v>
      </c>
      <c r="BU17" s="15" t="n">
        <v>1509057.98</v>
      </c>
      <c r="BV17" s="15" t="n">
        <v>2447397.14</v>
      </c>
      <c r="BW17" s="15" t="n">
        <v>1172170.2</v>
      </c>
      <c r="BX17" s="15" t="n">
        <v>304175.46</v>
      </c>
      <c r="BY17" s="15" t="n">
        <v>170126.71</v>
      </c>
      <c r="BZ17" s="15" t="n">
        <v>407863.68</v>
      </c>
      <c r="CA17" s="15" t="n">
        <v>1871467.12</v>
      </c>
      <c r="CB17" s="15" t="n">
        <v>683708.83</v>
      </c>
      <c r="CC17" s="15" t="n">
        <v>423133.24</v>
      </c>
      <c r="CD17" s="15" t="n">
        <v>163009.27</v>
      </c>
      <c r="CE17" s="15" t="n">
        <v>141418.64</v>
      </c>
      <c r="CF17" s="15" t="n">
        <v>203864.45</v>
      </c>
      <c r="CG17" s="15" t="n">
        <v>1383930.96</v>
      </c>
      <c r="CH17" s="15" t="n">
        <v>644854.4300000001</v>
      </c>
      <c r="CI17" s="15" t="n">
        <v>163483.9</v>
      </c>
      <c r="CJ17" s="15" t="n">
        <v>852651.6899999999</v>
      </c>
      <c r="CK17" s="15" t="n">
        <v>149924.93</v>
      </c>
      <c r="CL17" s="15" t="n">
        <v>124906.03</v>
      </c>
      <c r="CM17" s="15" t="n">
        <v>851713.36</v>
      </c>
      <c r="CN17" s="15" t="n">
        <v>693280.41</v>
      </c>
      <c r="CO17" s="15" t="n">
        <v>1391890.41</v>
      </c>
      <c r="CP17" s="15" t="n">
        <v>313231.27</v>
      </c>
      <c r="CQ17" s="15" t="n">
        <v>176169.07</v>
      </c>
      <c r="CR17" s="15" t="n">
        <v>661473.34</v>
      </c>
      <c r="CS17" s="15" t="n">
        <v>1434058.68</v>
      </c>
      <c r="CT17" s="15" t="n">
        <v>917395.89</v>
      </c>
      <c r="CU17" s="15" t="n">
        <v>700935.6</v>
      </c>
      <c r="CV17" s="15" t="n">
        <v>512003.24</v>
      </c>
      <c r="CW17" s="15" t="n">
        <v>33413.79</v>
      </c>
      <c r="CX17" s="15" t="n">
        <v>281331.56</v>
      </c>
      <c r="CY17" s="15" t="n">
        <v>418369.51</v>
      </c>
      <c r="CZ17" s="15" t="n">
        <v>317526.81</v>
      </c>
      <c r="DA17" s="15" t="n">
        <v>1073156.92</v>
      </c>
      <c r="DB17" s="15" t="n">
        <v>295017.9</v>
      </c>
      <c r="DC17" s="15" t="n">
        <v>183330.65</v>
      </c>
      <c r="DD17" s="15" t="n">
        <v>459935.37</v>
      </c>
      <c r="DE17" s="15" t="n">
        <v>321705.78</v>
      </c>
      <c r="DF17" s="15" t="n">
        <v>1836901.35</v>
      </c>
      <c r="DG17" s="15" t="n">
        <v>807752.9399999999</v>
      </c>
      <c r="DH17" s="15" t="n">
        <v>141395.53</v>
      </c>
      <c r="DI17" s="15" t="n">
        <v>40541.11</v>
      </c>
      <c r="DJ17" s="15" t="n">
        <v>480358.85</v>
      </c>
      <c r="DK17" s="15" t="n">
        <v>1808380.59</v>
      </c>
      <c r="DL17" s="15" t="n">
        <v>445433.41</v>
      </c>
      <c r="DM17" s="15" t="n">
        <v>911560.92</v>
      </c>
      <c r="DN17" s="15" t="n">
        <v>216581.86</v>
      </c>
      <c r="DO17" s="15" t="n">
        <v>216311.76</v>
      </c>
      <c r="DP17" s="15" t="n">
        <v>677092.26</v>
      </c>
    </row>
    <row r="18">
      <c r="A18" s="4" t="inlineStr">
        <is>
          <t>日用百货</t>
        </is>
      </c>
      <c r="B18" s="15" t="n">
        <v>1215702.69</v>
      </c>
      <c r="C18" s="15" t="n">
        <v>180472.2</v>
      </c>
      <c r="D18" s="15" t="n">
        <v>414568.45</v>
      </c>
      <c r="E18" s="15" t="n">
        <v>204846.81</v>
      </c>
      <c r="F18" s="15" t="n">
        <v>503918.28</v>
      </c>
      <c r="G18" s="15" t="n">
        <v>1542233.3</v>
      </c>
      <c r="H18" s="15" t="n">
        <v>728093.59</v>
      </c>
      <c r="I18" s="15" t="n">
        <v>89439.35000000001</v>
      </c>
      <c r="J18" s="15" t="n">
        <v>731116.9399999999</v>
      </c>
      <c r="K18" s="15" t="n">
        <v>100412.48</v>
      </c>
      <c r="L18" s="15" t="n">
        <v>464213.02</v>
      </c>
      <c r="M18" s="15" t="n">
        <v>234626.27</v>
      </c>
      <c r="N18" s="15" t="n">
        <v>450257.88</v>
      </c>
      <c r="O18" s="15" t="n">
        <v>585326.49</v>
      </c>
      <c r="P18" s="15" t="n">
        <v>509594.58</v>
      </c>
      <c r="Q18" s="15" t="n">
        <v>239465.43</v>
      </c>
      <c r="R18" s="15" t="n">
        <v>720100.3199999999</v>
      </c>
      <c r="S18" s="15" t="n">
        <v>726421.4300000001</v>
      </c>
      <c r="T18" s="15" t="n">
        <v>2347422.11</v>
      </c>
      <c r="U18" s="15" t="n">
        <v>1069803.75</v>
      </c>
      <c r="V18" s="15" t="n">
        <v>806610.41</v>
      </c>
      <c r="W18" s="15" t="n">
        <v>135314.76</v>
      </c>
      <c r="X18" s="15" t="n">
        <v>412635.88</v>
      </c>
      <c r="Y18" s="15" t="n">
        <v>114207.66</v>
      </c>
      <c r="Z18" s="15" t="n">
        <v>1948615.06</v>
      </c>
      <c r="AA18" s="15" t="n">
        <v>459171.8</v>
      </c>
      <c r="AB18" s="15" t="n">
        <v>640066.61</v>
      </c>
      <c r="AC18" s="15" t="n">
        <v>148977.32</v>
      </c>
      <c r="AD18" s="15" t="n">
        <v>44251.92</v>
      </c>
      <c r="AE18" s="15" t="n">
        <v>1894769.61</v>
      </c>
      <c r="AF18" s="15" t="n">
        <v>1338427.51</v>
      </c>
      <c r="AG18" s="15" t="n">
        <v>1085705.7</v>
      </c>
      <c r="AH18" s="15" t="n">
        <v>143483.54</v>
      </c>
      <c r="AI18" s="15" t="n">
        <v>196061.71</v>
      </c>
      <c r="AJ18" s="15" t="n">
        <v>664931.9</v>
      </c>
      <c r="AK18" s="15" t="n">
        <v>1001121.57</v>
      </c>
      <c r="AL18" s="15" t="n">
        <v>1996744.24</v>
      </c>
      <c r="AM18" s="15" t="n">
        <v>298363.78</v>
      </c>
      <c r="AN18" s="15" t="n">
        <v>628700.6800000001</v>
      </c>
      <c r="AO18" s="15" t="n">
        <v>82994.67</v>
      </c>
      <c r="AP18" s="15" t="n">
        <v>125245.56</v>
      </c>
      <c r="AQ18" s="15" t="n">
        <v>1824881.18</v>
      </c>
      <c r="AR18" s="15" t="n">
        <v>611630.0600000001</v>
      </c>
      <c r="AS18" s="15" t="n">
        <v>968964.17</v>
      </c>
      <c r="AT18" s="15" t="n">
        <v>881442.83</v>
      </c>
      <c r="AU18" s="15" t="n">
        <v>52413.95</v>
      </c>
      <c r="AV18" s="15" t="n">
        <v>569406.38</v>
      </c>
      <c r="AW18" s="15" t="n">
        <v>1442285.08</v>
      </c>
      <c r="AX18" s="15" t="n">
        <v>1324072.57</v>
      </c>
      <c r="AY18" s="15" t="n">
        <v>347444.44</v>
      </c>
      <c r="AZ18" s="15" t="n">
        <v>424048.31</v>
      </c>
      <c r="BA18" s="15" t="n">
        <v>187814.55</v>
      </c>
      <c r="BB18" s="15" t="n">
        <v>59040.86</v>
      </c>
      <c r="BC18" s="15" t="n">
        <v>1656748.74</v>
      </c>
      <c r="BD18" s="15" t="n">
        <v>894545.8199999999</v>
      </c>
      <c r="BE18" s="15" t="n">
        <v>90364.55</v>
      </c>
      <c r="BF18" s="15" t="n">
        <v>146573.88</v>
      </c>
      <c r="BG18" s="15" t="n">
        <v>5346.72</v>
      </c>
      <c r="BH18" s="15" t="n">
        <v>274869.22</v>
      </c>
      <c r="BI18" s="15" t="n">
        <v>363662.71</v>
      </c>
      <c r="BJ18" s="15" t="n">
        <v>680776.21</v>
      </c>
      <c r="BK18" s="15" t="n">
        <v>1344229.7</v>
      </c>
      <c r="BL18" s="15" t="n">
        <v>630373.96</v>
      </c>
      <c r="BM18" s="15" t="n">
        <v>238671.04</v>
      </c>
      <c r="BN18" s="15" t="n">
        <v>492371.95</v>
      </c>
      <c r="BO18" s="15" t="n">
        <v>795317.6800000001</v>
      </c>
      <c r="BP18" s="15" t="n">
        <v>2199160.75</v>
      </c>
      <c r="BQ18" s="15" t="n">
        <v>1009729.93</v>
      </c>
      <c r="BR18" s="15" t="n">
        <v>388831.11</v>
      </c>
      <c r="BS18" s="15" t="n">
        <v>198568.08</v>
      </c>
      <c r="BT18" s="15" t="n">
        <v>606618.41</v>
      </c>
      <c r="BU18" s="15" t="n">
        <v>464489.11</v>
      </c>
      <c r="BV18" s="15" t="n">
        <v>1266959.95</v>
      </c>
      <c r="BW18" s="15" t="n">
        <v>560952.54</v>
      </c>
      <c r="BX18" s="15" t="n">
        <v>362908.91</v>
      </c>
      <c r="BY18" s="15" t="n">
        <v>65913.46000000001</v>
      </c>
      <c r="BZ18" s="15" t="n">
        <v>724153.1899999999</v>
      </c>
      <c r="CA18" s="15" t="n">
        <v>737948.8</v>
      </c>
      <c r="CB18" s="15" t="n">
        <v>60538.47</v>
      </c>
      <c r="CC18" s="15" t="n">
        <v>864658.3199999999</v>
      </c>
      <c r="CD18" s="15" t="n">
        <v>202599.96</v>
      </c>
      <c r="CE18" s="15" t="n">
        <v>141247.88</v>
      </c>
      <c r="CF18" s="15" t="n">
        <v>88684.13</v>
      </c>
      <c r="CG18" s="15" t="n">
        <v>1343920.71</v>
      </c>
      <c r="CH18" s="15" t="n">
        <v>1442444.09</v>
      </c>
      <c r="CI18" s="15" t="n">
        <v>561186.38</v>
      </c>
      <c r="CJ18" s="15" t="n">
        <v>481546.45</v>
      </c>
      <c r="CK18" s="15" t="n">
        <v>56350.16</v>
      </c>
      <c r="CL18" s="15" t="n">
        <v>97998</v>
      </c>
      <c r="CM18" s="15" t="n">
        <v>920612.62</v>
      </c>
      <c r="CN18" s="15" t="n">
        <v>2082523.94</v>
      </c>
      <c r="CO18" s="15" t="n">
        <v>364770.91</v>
      </c>
      <c r="CP18" s="15" t="n">
        <v>982581.39</v>
      </c>
      <c r="CQ18" s="15" t="n">
        <v>155013.69</v>
      </c>
      <c r="CR18" s="15" t="n">
        <v>740568.4399999999</v>
      </c>
      <c r="CS18" s="15" t="n">
        <v>1782613.03</v>
      </c>
      <c r="CT18" s="15" t="n">
        <v>724134.9</v>
      </c>
      <c r="CU18" s="15" t="n">
        <v>155883.41</v>
      </c>
      <c r="CV18" s="15" t="n">
        <v>318227.48</v>
      </c>
      <c r="CW18" s="15" t="n">
        <v>88271.95</v>
      </c>
      <c r="CX18" s="15" t="n">
        <v>659664.95</v>
      </c>
      <c r="CY18" s="15" t="n">
        <v>1543698.52</v>
      </c>
      <c r="CZ18" s="15" t="n">
        <v>1726691.44</v>
      </c>
      <c r="DA18" s="15" t="n">
        <v>697186.71</v>
      </c>
      <c r="DB18" s="15" t="n">
        <v>913324.45</v>
      </c>
      <c r="DC18" s="15" t="n">
        <v>96413.98</v>
      </c>
      <c r="DD18" s="15" t="n">
        <v>443065.98</v>
      </c>
      <c r="DE18" s="15" t="n">
        <v>1794438.76</v>
      </c>
      <c r="DF18" s="15" t="n">
        <v>115660.87</v>
      </c>
      <c r="DG18" s="15" t="n">
        <v>249585.11</v>
      </c>
      <c r="DH18" s="15" t="n">
        <v>548669.5600000001</v>
      </c>
      <c r="DI18" s="15" t="n">
        <v>9541.639999999999</v>
      </c>
      <c r="DJ18" s="15" t="n">
        <v>416371.21</v>
      </c>
      <c r="DK18" s="15" t="n">
        <v>965254.91</v>
      </c>
      <c r="DL18" s="15" t="n">
        <v>473412.73</v>
      </c>
      <c r="DM18" s="15" t="n">
        <v>854339.3199999999</v>
      </c>
      <c r="DN18" s="15" t="n">
        <v>631973.09</v>
      </c>
      <c r="DO18" s="15" t="n">
        <v>25920.92</v>
      </c>
      <c r="DP18" s="15" t="n">
        <v>33128.78</v>
      </c>
    </row>
    <row r="19">
      <c r="A19" s="4" t="inlineStr">
        <is>
          <t>其他产品A</t>
        </is>
      </c>
      <c r="B19" s="15" t="n">
        <v>1895277.21</v>
      </c>
      <c r="C19" s="15" t="n">
        <v>797996.62</v>
      </c>
      <c r="D19" s="15" t="n">
        <v>846817.08</v>
      </c>
      <c r="E19" s="15" t="n">
        <v>243992.48</v>
      </c>
      <c r="F19" s="15" t="n">
        <v>195094.16</v>
      </c>
      <c r="G19" s="15" t="n">
        <v>520809.19</v>
      </c>
      <c r="H19" s="15" t="n">
        <v>2490116.94</v>
      </c>
      <c r="I19" s="15" t="n">
        <v>1058524.15</v>
      </c>
      <c r="J19" s="15" t="n">
        <v>574532.42</v>
      </c>
      <c r="K19" s="15" t="n">
        <v>194244.3</v>
      </c>
      <c r="L19" s="15" t="n">
        <v>11694.15</v>
      </c>
      <c r="M19" s="15" t="n">
        <v>451021.82</v>
      </c>
      <c r="N19" s="15" t="n">
        <v>2041506.38</v>
      </c>
      <c r="O19" s="15" t="n">
        <v>1221715.85</v>
      </c>
      <c r="P19" s="15" t="n">
        <v>907863.66</v>
      </c>
      <c r="Q19" s="15" t="n">
        <v>223949.17</v>
      </c>
      <c r="R19" s="15" t="n">
        <v>338680.22</v>
      </c>
      <c r="S19" s="15" t="n">
        <v>950535.08</v>
      </c>
      <c r="T19" s="15" t="n">
        <v>909410.11</v>
      </c>
      <c r="U19" s="15" t="n">
        <v>706558.72</v>
      </c>
      <c r="V19" s="15" t="n">
        <v>451024.96</v>
      </c>
      <c r="W19" s="15" t="n">
        <v>157158.49</v>
      </c>
      <c r="X19" s="15" t="n">
        <v>68045.64</v>
      </c>
      <c r="Y19" s="15" t="n">
        <v>425359.87</v>
      </c>
      <c r="Z19" s="15" t="n">
        <v>2056675.8</v>
      </c>
      <c r="AA19" s="15" t="n">
        <v>839673.54</v>
      </c>
      <c r="AB19" s="15" t="n">
        <v>543044.65</v>
      </c>
      <c r="AC19" s="15" t="n">
        <v>199619.6</v>
      </c>
      <c r="AD19" s="15" t="n">
        <v>634165.51</v>
      </c>
      <c r="AE19" s="15" t="n">
        <v>1776539.27</v>
      </c>
      <c r="AF19" s="15" t="n">
        <v>743373.05</v>
      </c>
      <c r="AG19" s="15" t="n">
        <v>128545.26</v>
      </c>
      <c r="AH19" s="15" t="n">
        <v>342858.01</v>
      </c>
      <c r="AI19" s="15" t="n">
        <v>46478.5</v>
      </c>
      <c r="AJ19" s="15" t="n">
        <v>576000.9300000001</v>
      </c>
      <c r="AK19" s="15" t="n">
        <v>588164.64</v>
      </c>
      <c r="AL19" s="15" t="n">
        <v>2369701.35</v>
      </c>
      <c r="AM19" s="15" t="n">
        <v>1401149.95</v>
      </c>
      <c r="AN19" s="15" t="n">
        <v>56608.53</v>
      </c>
      <c r="AO19" s="15" t="n">
        <v>130743.03</v>
      </c>
      <c r="AP19" s="15" t="n">
        <v>364320.65</v>
      </c>
      <c r="AQ19" s="15" t="n">
        <v>1007504.82</v>
      </c>
      <c r="AR19" s="15" t="n">
        <v>906394.03</v>
      </c>
      <c r="AS19" s="15" t="n">
        <v>1059981.77</v>
      </c>
      <c r="AT19" s="15" t="n">
        <v>489748.3</v>
      </c>
      <c r="AU19" s="15" t="n">
        <v>88465.41</v>
      </c>
      <c r="AV19" s="15" t="n">
        <v>360028.29</v>
      </c>
      <c r="AW19" s="15" t="n">
        <v>1901006.29</v>
      </c>
      <c r="AX19" s="15" t="n">
        <v>61970.71</v>
      </c>
      <c r="AY19" s="15" t="n">
        <v>528005.91</v>
      </c>
      <c r="AZ19" s="15" t="n">
        <v>755526.3199999999</v>
      </c>
      <c r="BA19" s="15" t="n">
        <v>79396.89</v>
      </c>
      <c r="BB19" s="15" t="n">
        <v>-63369.99</v>
      </c>
      <c r="BC19" s="15" t="n">
        <v>1252481.49</v>
      </c>
      <c r="BD19" s="15" t="n">
        <v>2276392.89</v>
      </c>
      <c r="BE19" s="15" t="n">
        <v>288684.01</v>
      </c>
      <c r="BF19" s="15" t="n">
        <v>255626.57</v>
      </c>
      <c r="BG19" s="15" t="n">
        <v>106013.86</v>
      </c>
      <c r="BH19" s="15" t="n">
        <v>147577.54</v>
      </c>
      <c r="BI19" s="15" t="n">
        <v>810958.36</v>
      </c>
      <c r="BJ19" s="15" t="n">
        <v>1141016.92</v>
      </c>
      <c r="BK19" s="15" t="n">
        <v>767506.4</v>
      </c>
      <c r="BL19" s="15" t="n">
        <v>955880.65</v>
      </c>
      <c r="BM19" s="15" t="n">
        <v>30574.08</v>
      </c>
      <c r="BN19" s="15" t="n">
        <v>674581.21</v>
      </c>
      <c r="BO19" s="15" t="n">
        <v>604543.89</v>
      </c>
      <c r="BP19" s="15" t="n">
        <v>1740006.79</v>
      </c>
      <c r="BQ19" s="15" t="n">
        <v>87859.37</v>
      </c>
      <c r="BR19" s="15" t="n">
        <v>795297.61</v>
      </c>
      <c r="BS19" s="15" t="n">
        <v>230120.25</v>
      </c>
      <c r="BT19" s="15" t="n">
        <v>453605.84</v>
      </c>
      <c r="BU19" s="15" t="n">
        <v>569964.84</v>
      </c>
      <c r="BV19" s="15" t="n">
        <v>1672218.45</v>
      </c>
      <c r="BW19" s="15" t="n">
        <v>1372557.67</v>
      </c>
      <c r="BX19" s="15" t="n">
        <v>685159.22</v>
      </c>
      <c r="BY19" s="15" t="n">
        <v>173749.83</v>
      </c>
      <c r="BZ19" s="15" t="n">
        <v>670665.2</v>
      </c>
      <c r="CA19" s="15" t="n">
        <v>326623.68</v>
      </c>
      <c r="CB19" s="15" t="n">
        <v>1243135.15</v>
      </c>
      <c r="CC19" s="15" t="n">
        <v>597517.11</v>
      </c>
      <c r="CD19" s="15" t="n">
        <v>665775.05</v>
      </c>
      <c r="CE19" s="15" t="n">
        <v>232621.39</v>
      </c>
      <c r="CF19" s="15" t="n">
        <v>414058.02</v>
      </c>
      <c r="CG19" s="15" t="n">
        <v>434332.52</v>
      </c>
      <c r="CH19" s="15" t="n">
        <v>1456286.05</v>
      </c>
      <c r="CI19" s="15" t="n">
        <v>451206.93</v>
      </c>
      <c r="CJ19" s="15" t="n">
        <v>431487.4</v>
      </c>
      <c r="CK19" s="15" t="n">
        <v>220310.89</v>
      </c>
      <c r="CL19" s="15" t="n">
        <v>705394.4399999999</v>
      </c>
      <c r="CM19" s="15" t="n">
        <v>1514227.5</v>
      </c>
      <c r="CN19" s="15" t="n">
        <v>975265.3100000001</v>
      </c>
      <c r="CO19" s="15" t="n">
        <v>406922.22</v>
      </c>
      <c r="CP19" s="15" t="n">
        <v>43177.15</v>
      </c>
      <c r="CQ19" s="15" t="n">
        <v>141198.63</v>
      </c>
      <c r="CR19" s="15" t="n">
        <v>476966.74</v>
      </c>
      <c r="CS19" s="15" t="n">
        <v>1357150.71</v>
      </c>
      <c r="CT19" s="15" t="n">
        <v>1752690.88</v>
      </c>
      <c r="CU19" s="15" t="n">
        <v>858550.54</v>
      </c>
      <c r="CV19" s="15" t="n">
        <v>738418.08</v>
      </c>
      <c r="CW19" s="15" t="n">
        <v>216897.81</v>
      </c>
      <c r="CX19" s="15" t="n">
        <v>492002.33</v>
      </c>
      <c r="CY19" s="15" t="n">
        <v>1678421.83</v>
      </c>
      <c r="CZ19" s="15" t="n">
        <v>931760.21</v>
      </c>
      <c r="DA19" s="15" t="n">
        <v>492558.24</v>
      </c>
      <c r="DB19" s="15" t="n">
        <v>278025.75</v>
      </c>
      <c r="DC19" s="15" t="n">
        <v>23467.2</v>
      </c>
      <c r="DD19" s="15" t="n">
        <v>538722.72</v>
      </c>
      <c r="DE19" s="15" t="n">
        <v>147018.72</v>
      </c>
      <c r="DF19" s="15" t="n">
        <v>1631792.06</v>
      </c>
      <c r="DG19" s="15" t="n">
        <v>1407743.12</v>
      </c>
      <c r="DH19" s="15" t="n">
        <v>463152.94</v>
      </c>
      <c r="DI19" s="15" t="n">
        <v>42052.87</v>
      </c>
      <c r="DJ19" s="15" t="n">
        <v>264472.75</v>
      </c>
      <c r="DK19" s="15" t="n">
        <v>1901250.3</v>
      </c>
      <c r="DL19" s="15" t="n">
        <v>1284809.1</v>
      </c>
      <c r="DM19" s="15" t="n">
        <v>948476.9399999999</v>
      </c>
      <c r="DN19" s="15" t="n">
        <v>656587.58</v>
      </c>
      <c r="DO19" s="15" t="n">
        <v>115254.08</v>
      </c>
      <c r="DP19" s="15" t="n">
        <v>419477.64</v>
      </c>
    </row>
    <row r="20">
      <c r="A20" s="4" t="inlineStr">
        <is>
          <t>其他产品B</t>
        </is>
      </c>
      <c r="B20" s="15" t="n">
        <v>826726.1800000001</v>
      </c>
      <c r="C20" s="15" t="n">
        <v>698135.6800000001</v>
      </c>
      <c r="D20" s="15" t="n">
        <v>61861.05</v>
      </c>
      <c r="E20" s="15" t="n">
        <v>241918.74</v>
      </c>
      <c r="F20" s="15" t="n">
        <v>136928.7</v>
      </c>
      <c r="G20" s="15" t="n">
        <v>457011.78</v>
      </c>
      <c r="H20" s="15" t="n">
        <v>2116600.29</v>
      </c>
      <c r="I20" s="15" t="n">
        <v>663805.35</v>
      </c>
      <c r="J20" s="15" t="n">
        <v>273310.14</v>
      </c>
      <c r="K20" s="15" t="n">
        <v>170568.21</v>
      </c>
      <c r="L20" s="15" t="n">
        <v>407990.68</v>
      </c>
      <c r="M20" s="15" t="n">
        <v>1996751.02</v>
      </c>
      <c r="N20" s="15" t="n">
        <v>2319440.32</v>
      </c>
      <c r="O20" s="15" t="n">
        <v>410259.95</v>
      </c>
      <c r="P20" s="15" t="n">
        <v>254379.32</v>
      </c>
      <c r="Q20" s="15" t="n">
        <v>234442.14</v>
      </c>
      <c r="R20" s="15" t="n">
        <v>364594.55</v>
      </c>
      <c r="S20" s="15" t="n">
        <v>569998.13</v>
      </c>
      <c r="T20" s="15" t="n">
        <v>56720.24</v>
      </c>
      <c r="U20" s="15" t="n">
        <v>87737.98</v>
      </c>
      <c r="V20" s="15" t="n">
        <v>631983.51</v>
      </c>
      <c r="W20" s="15" t="n">
        <v>54221.98</v>
      </c>
      <c r="X20" s="15" t="n">
        <v>192876.49</v>
      </c>
      <c r="Y20" s="15" t="n">
        <v>1611529.45</v>
      </c>
      <c r="Z20" s="15" t="n">
        <v>2103106.87</v>
      </c>
      <c r="AA20" s="15" t="n">
        <v>578706.76</v>
      </c>
      <c r="AB20" s="15" t="n">
        <v>788504.5</v>
      </c>
      <c r="AC20" s="15" t="n">
        <v>48716.39</v>
      </c>
      <c r="AD20" s="15" t="n">
        <v>267293.07</v>
      </c>
      <c r="AE20" s="15" t="n">
        <v>1406594.64</v>
      </c>
      <c r="AF20" s="15" t="n">
        <v>1494247.68</v>
      </c>
      <c r="AG20" s="15" t="n">
        <v>1142571.94</v>
      </c>
      <c r="AH20" s="15" t="n">
        <v>835342.5600000001</v>
      </c>
      <c r="AI20" s="15" t="n">
        <v>194496.61</v>
      </c>
      <c r="AJ20" s="15" t="n">
        <v>699402.95</v>
      </c>
      <c r="AK20" s="15" t="n">
        <v>472328.86</v>
      </c>
      <c r="AL20" s="15" t="n">
        <v>2424118.19</v>
      </c>
      <c r="AM20" s="15" t="n">
        <v>1096138.6</v>
      </c>
      <c r="AN20" s="15" t="n">
        <v>474926.72</v>
      </c>
      <c r="AO20" s="15" t="n">
        <v>56043.99</v>
      </c>
      <c r="AP20" s="15" t="n">
        <v>190946.09</v>
      </c>
      <c r="AQ20" s="15" t="n">
        <v>1012780.17</v>
      </c>
      <c r="AR20" s="15" t="n">
        <v>395409.2</v>
      </c>
      <c r="AS20" s="15" t="n">
        <v>602406.5</v>
      </c>
      <c r="AT20" s="15" t="n">
        <v>488929.59</v>
      </c>
      <c r="AU20" s="15" t="n">
        <v>50224.86</v>
      </c>
      <c r="AV20" s="15" t="n">
        <v>-38489.43</v>
      </c>
      <c r="AW20" s="15" t="n">
        <v>1711164.54</v>
      </c>
      <c r="AX20" s="15" t="n">
        <v>61906.18</v>
      </c>
      <c r="AY20" s="15" t="n">
        <v>842272.9300000001</v>
      </c>
      <c r="AZ20" s="15" t="n">
        <v>347999.34</v>
      </c>
      <c r="BA20" s="15" t="n">
        <v>166634.27</v>
      </c>
      <c r="BB20" s="15" t="n">
        <v>633144.3100000001</v>
      </c>
      <c r="BC20" s="15" t="n">
        <v>723895.76</v>
      </c>
      <c r="BD20" s="15" t="n">
        <v>1488095.56</v>
      </c>
      <c r="BE20" s="15" t="n">
        <v>570092.97</v>
      </c>
      <c r="BF20" s="15" t="n">
        <v>150442.89</v>
      </c>
      <c r="BG20" s="15" t="n">
        <v>79708.98</v>
      </c>
      <c r="BH20" s="15" t="n">
        <v>189356.34</v>
      </c>
      <c r="BI20" s="15" t="n">
        <v>801185.53</v>
      </c>
      <c r="BJ20" s="15" t="n">
        <v>98316.34</v>
      </c>
      <c r="BK20" s="15" t="n">
        <v>883090.7</v>
      </c>
      <c r="BL20" s="15" t="n">
        <v>786635.62</v>
      </c>
      <c r="BM20" s="15" t="n">
        <v>214248.25</v>
      </c>
      <c r="BN20" s="15" t="n">
        <v>644142.45</v>
      </c>
      <c r="BO20" s="15" t="n">
        <v>693943.03</v>
      </c>
      <c r="BP20" s="15" t="n">
        <v>1253208.17</v>
      </c>
      <c r="BQ20" s="15" t="n">
        <v>820407.91</v>
      </c>
      <c r="BR20" s="15" t="n">
        <v>413191.73</v>
      </c>
      <c r="BS20" s="15" t="n">
        <v>153408.49</v>
      </c>
      <c r="BT20" s="15" t="n">
        <v>493115.96</v>
      </c>
      <c r="BU20" s="15" t="n">
        <v>442857.13</v>
      </c>
      <c r="BV20" s="15" t="n">
        <v>545352.35</v>
      </c>
      <c r="BW20" s="15" t="n">
        <v>1367760.3</v>
      </c>
      <c r="BX20" s="15" t="n">
        <v>82443.05</v>
      </c>
      <c r="BY20" s="15" t="n">
        <v>228002.74</v>
      </c>
      <c r="BZ20" s="15" t="n">
        <v>109006.34</v>
      </c>
      <c r="CA20" s="15" t="n">
        <v>1288270.24</v>
      </c>
      <c r="CB20" s="15" t="n">
        <v>879025.63</v>
      </c>
      <c r="CC20" s="15" t="n">
        <v>307900.77</v>
      </c>
      <c r="CD20" s="15" t="n">
        <v>592423.74</v>
      </c>
      <c r="CE20" s="15" t="n">
        <v>84178.44</v>
      </c>
      <c r="CF20" s="15" t="n">
        <v>522434.87</v>
      </c>
      <c r="CG20" s="15" t="n">
        <v>1090766.81</v>
      </c>
      <c r="CH20" s="15" t="n">
        <v>1560504.51</v>
      </c>
      <c r="CI20" s="15" t="n">
        <v>1029090.77</v>
      </c>
      <c r="CJ20" s="15" t="n">
        <v>997985.77</v>
      </c>
      <c r="CK20" s="15" t="n">
        <v>113733.07</v>
      </c>
      <c r="CL20" s="15" t="n">
        <v>512108.18</v>
      </c>
      <c r="CM20" s="15" t="n">
        <v>904733.73</v>
      </c>
      <c r="CN20" s="15" t="n">
        <v>2414933.02</v>
      </c>
      <c r="CO20" s="15" t="n">
        <v>1112459.54</v>
      </c>
      <c r="CP20" s="15" t="n">
        <v>803255.46</v>
      </c>
      <c r="CQ20" s="15" t="n">
        <v>109416.6</v>
      </c>
      <c r="CR20" s="15" t="n">
        <v>-78840.11</v>
      </c>
      <c r="CS20" s="15" t="n">
        <v>573817.28</v>
      </c>
      <c r="CT20" s="15" t="n">
        <v>974451.6899999999</v>
      </c>
      <c r="CU20" s="15" t="n">
        <v>1252401.05</v>
      </c>
      <c r="CV20" s="15" t="n">
        <v>789307.67</v>
      </c>
      <c r="CW20" s="15" t="n">
        <v>65642.53999999999</v>
      </c>
      <c r="CX20" s="15" t="n">
        <v>278368.76</v>
      </c>
      <c r="CY20" s="15" t="n">
        <v>1986016.99</v>
      </c>
      <c r="CZ20" s="15" t="n">
        <v>1970638.48</v>
      </c>
      <c r="DA20" s="15" t="n">
        <v>1107885.8</v>
      </c>
      <c r="DB20" s="15" t="n">
        <v>88551.42</v>
      </c>
      <c r="DC20" s="15" t="n">
        <v>217582.71</v>
      </c>
      <c r="DD20" s="15" t="n">
        <v>314970.74</v>
      </c>
      <c r="DE20" s="15" t="n">
        <v>645389.42</v>
      </c>
      <c r="DF20" s="15" t="n">
        <v>2377647.41</v>
      </c>
      <c r="DG20" s="15" t="n">
        <v>319553.63</v>
      </c>
      <c r="DH20" s="15" t="n">
        <v>564221.15</v>
      </c>
      <c r="DI20" s="15" t="n">
        <v>25199.8</v>
      </c>
      <c r="DJ20" s="15" t="n">
        <v>518977.47</v>
      </c>
      <c r="DK20" s="15" t="n">
        <v>1658814.08</v>
      </c>
      <c r="DL20" s="15" t="n">
        <v>2262898.88</v>
      </c>
      <c r="DM20" s="15" t="n">
        <v>380391.52</v>
      </c>
      <c r="DN20" s="15" t="n">
        <v>911320.91</v>
      </c>
      <c r="DO20" s="15" t="n">
        <v>117315.75</v>
      </c>
      <c r="DP20" s="15" t="n">
        <v>58489.77</v>
      </c>
    </row>
    <row r="21">
      <c r="A21" s="4" t="inlineStr">
        <is>
          <t>其他产品C</t>
        </is>
      </c>
      <c r="B21" s="15" t="n">
        <v>244372.64</v>
      </c>
      <c r="C21" s="15" t="n">
        <v>555947.47</v>
      </c>
      <c r="D21" s="15" t="n">
        <v>483229.28</v>
      </c>
      <c r="E21" s="15" t="n">
        <v>124999.23</v>
      </c>
      <c r="F21" s="15" t="n">
        <v>155893.16</v>
      </c>
      <c r="G21" s="15" t="n">
        <v>52174.17</v>
      </c>
      <c r="H21" s="15" t="n">
        <v>846334.4</v>
      </c>
      <c r="I21" s="15" t="n">
        <v>1459186.4</v>
      </c>
      <c r="J21" s="15" t="n">
        <v>835006.65</v>
      </c>
      <c r="K21" s="15" t="n">
        <v>112096.05</v>
      </c>
      <c r="L21" s="15" t="n">
        <v>3648.23</v>
      </c>
      <c r="M21" s="15" t="n">
        <v>332511.82</v>
      </c>
      <c r="N21" s="15" t="n">
        <v>1912766.69</v>
      </c>
      <c r="O21" s="15" t="n">
        <v>1094916.73</v>
      </c>
      <c r="P21" s="15" t="n">
        <v>314530.11</v>
      </c>
      <c r="Q21" s="15" t="n">
        <v>72143.17999999999</v>
      </c>
      <c r="R21" s="15" t="n">
        <v>315677.91</v>
      </c>
      <c r="S21" s="15" t="n">
        <v>748633.4300000001</v>
      </c>
      <c r="T21" s="15" t="n">
        <v>622973.13</v>
      </c>
      <c r="U21" s="15" t="n">
        <v>123374.16</v>
      </c>
      <c r="V21" s="15" t="n">
        <v>117738.79</v>
      </c>
      <c r="W21" s="15" t="n">
        <v>184833.22</v>
      </c>
      <c r="X21" s="15" t="n">
        <v>327646.22</v>
      </c>
      <c r="Y21" s="15" t="n">
        <v>961446.85</v>
      </c>
      <c r="Z21" s="15" t="n">
        <v>1074748.94</v>
      </c>
      <c r="AA21" s="15" t="n">
        <v>1071939</v>
      </c>
      <c r="AB21" s="15" t="n">
        <v>689188.89</v>
      </c>
      <c r="AC21" s="15" t="n">
        <v>47146.17</v>
      </c>
      <c r="AD21" s="15" t="n">
        <v>438043.96</v>
      </c>
      <c r="AE21" s="15" t="n">
        <v>307251.81</v>
      </c>
      <c r="AF21" s="15" t="n">
        <v>1798704.91</v>
      </c>
      <c r="AG21" s="15" t="n">
        <v>877075.46</v>
      </c>
      <c r="AH21" s="15" t="n">
        <v>589378.89</v>
      </c>
      <c r="AI21" s="15" t="n">
        <v>201246.15</v>
      </c>
      <c r="AJ21" s="15" t="n">
        <v>662495.54</v>
      </c>
      <c r="AK21" s="15" t="n">
        <v>1641688.64</v>
      </c>
      <c r="AL21" s="15" t="n">
        <v>440076.91</v>
      </c>
      <c r="AM21" s="15" t="n">
        <v>491643.59</v>
      </c>
      <c r="AN21" s="15" t="n">
        <v>787625.67</v>
      </c>
      <c r="AO21" s="15" t="n">
        <v>8503.139999999999</v>
      </c>
      <c r="AP21" s="15" t="n">
        <v>493875.1</v>
      </c>
      <c r="AQ21" s="15" t="n">
        <v>280930.3</v>
      </c>
      <c r="AR21" s="15" t="n">
        <v>2159855.95</v>
      </c>
      <c r="AS21" s="15" t="n">
        <v>233759.94</v>
      </c>
      <c r="AT21" s="15" t="n">
        <v>699079.7</v>
      </c>
      <c r="AU21" s="15" t="n">
        <v>75919.74000000001</v>
      </c>
      <c r="AV21" s="15" t="n">
        <v>132138.71</v>
      </c>
      <c r="AW21" s="15" t="n">
        <v>1042454.39</v>
      </c>
      <c r="AX21" s="15" t="n">
        <v>2311339.06</v>
      </c>
      <c r="AY21" s="15" t="n">
        <v>546126.4399999999</v>
      </c>
      <c r="AZ21" s="15" t="n">
        <v>458845.53</v>
      </c>
      <c r="BA21" s="15" t="n">
        <v>199791.82</v>
      </c>
      <c r="BB21" s="15" t="n">
        <v>-39589.49</v>
      </c>
      <c r="BC21" s="15" t="n">
        <v>1666893.56</v>
      </c>
      <c r="BD21" s="15" t="n">
        <v>1683546.83</v>
      </c>
      <c r="BE21" s="15" t="n">
        <v>192380.59</v>
      </c>
      <c r="BF21" s="15" t="n">
        <v>951108.84</v>
      </c>
      <c r="BG21" s="15" t="n">
        <v>164226.36</v>
      </c>
      <c r="BH21" s="15" t="n">
        <v>222889.94</v>
      </c>
      <c r="BI21" s="15" t="n">
        <v>53850</v>
      </c>
      <c r="BJ21" s="15" t="n">
        <v>823344.28</v>
      </c>
      <c r="BK21" s="15" t="n">
        <v>835642.71</v>
      </c>
      <c r="BL21" s="15" t="n">
        <v>839446.71</v>
      </c>
      <c r="BM21" s="15" t="n">
        <v>146298.91</v>
      </c>
      <c r="BN21" s="15" t="n">
        <v>658151.62</v>
      </c>
      <c r="BO21" s="15" t="n">
        <v>827663.99</v>
      </c>
      <c r="BP21" s="15" t="n">
        <v>2056042.15</v>
      </c>
      <c r="BQ21" s="15" t="n">
        <v>485871.53</v>
      </c>
      <c r="BR21" s="15" t="n">
        <v>445769.48</v>
      </c>
      <c r="BS21" s="15" t="n">
        <v>103164.55</v>
      </c>
      <c r="BT21" s="15" t="n">
        <v>682531.38</v>
      </c>
      <c r="BU21" s="15" t="n">
        <v>1645705.93</v>
      </c>
      <c r="BV21" s="15" t="n">
        <v>2367970.46</v>
      </c>
      <c r="BW21" s="15" t="n">
        <v>1135198.13</v>
      </c>
      <c r="BX21" s="15" t="n">
        <v>405503.57</v>
      </c>
      <c r="BY21" s="15" t="n">
        <v>96248.47</v>
      </c>
      <c r="BZ21" s="15" t="n">
        <v>302759.03</v>
      </c>
      <c r="CA21" s="15" t="n">
        <v>888726.27</v>
      </c>
      <c r="CB21" s="15" t="n">
        <v>1032133.24</v>
      </c>
      <c r="CC21" s="15" t="n">
        <v>400010.62</v>
      </c>
      <c r="CD21" s="15" t="n">
        <v>972938</v>
      </c>
      <c r="CE21" s="15" t="n">
        <v>16482.89</v>
      </c>
      <c r="CF21" s="15" t="n">
        <v>199870.31</v>
      </c>
      <c r="CG21" s="15" t="n">
        <v>56504.47</v>
      </c>
      <c r="CH21" s="15" t="n">
        <v>1694474.97</v>
      </c>
      <c r="CI21" s="15" t="n">
        <v>1394638.64</v>
      </c>
      <c r="CJ21" s="15" t="n">
        <v>851369.52</v>
      </c>
      <c r="CK21" s="15" t="n">
        <v>39221.19</v>
      </c>
      <c r="CL21" s="15" t="n">
        <v>270421.78</v>
      </c>
      <c r="CM21" s="15" t="n">
        <v>685883.25</v>
      </c>
      <c r="CN21" s="15" t="n">
        <v>835605.4300000001</v>
      </c>
      <c r="CO21" s="15" t="n">
        <v>302016.8</v>
      </c>
      <c r="CP21" s="15" t="n">
        <v>496101.33</v>
      </c>
      <c r="CQ21" s="15" t="n">
        <v>20195.65</v>
      </c>
      <c r="CR21" s="15" t="n">
        <v>387242.38</v>
      </c>
      <c r="CS21" s="15" t="n">
        <v>1093081.21</v>
      </c>
      <c r="CT21" s="15" t="n">
        <v>1263014.37</v>
      </c>
      <c r="CU21" s="15" t="n">
        <v>227508.9</v>
      </c>
      <c r="CV21" s="15" t="n">
        <v>562728.5600000001</v>
      </c>
      <c r="CW21" s="15" t="n">
        <v>124474.39</v>
      </c>
      <c r="CX21" s="15" t="n">
        <v>22052.59</v>
      </c>
      <c r="CY21" s="15" t="n">
        <v>746761.9300000001</v>
      </c>
      <c r="CZ21" s="15" t="n">
        <v>1863981.52</v>
      </c>
      <c r="DA21" s="15" t="n">
        <v>238362.49</v>
      </c>
      <c r="DB21" s="15" t="n">
        <v>14897.42</v>
      </c>
      <c r="DC21" s="15" t="n">
        <v>23866.22</v>
      </c>
      <c r="DD21" s="15" t="n">
        <v>494856.84</v>
      </c>
      <c r="DE21" s="15" t="n">
        <v>749158.14</v>
      </c>
      <c r="DF21" s="15" t="n">
        <v>149451.14</v>
      </c>
      <c r="DG21" s="15" t="n">
        <v>1338904.44</v>
      </c>
      <c r="DH21" s="15" t="n">
        <v>178466.03</v>
      </c>
      <c r="DI21" s="15" t="n">
        <v>207583</v>
      </c>
      <c r="DJ21" s="15" t="n">
        <v>297301.22</v>
      </c>
      <c r="DK21" s="15" t="n">
        <v>1371699.6</v>
      </c>
      <c r="DL21" s="15" t="n">
        <v>1631119.2</v>
      </c>
      <c r="DM21" s="15" t="n">
        <v>664737.99</v>
      </c>
      <c r="DN21" s="15" t="n">
        <v>688715.4</v>
      </c>
      <c r="DO21" s="15" t="n">
        <v>13501.76</v>
      </c>
      <c r="DP21" s="15" t="n">
        <v>222918.01</v>
      </c>
    </row>
    <row r="22">
      <c r="A22" s="4" t="inlineStr">
        <is>
          <t>生鲜蔬果</t>
        </is>
      </c>
      <c r="B22" s="15" t="n">
        <v>1223434.11</v>
      </c>
      <c r="C22" s="15" t="n">
        <v>478776.2</v>
      </c>
      <c r="D22" s="15" t="n">
        <v>862231.95</v>
      </c>
      <c r="E22" s="15" t="n">
        <v>110789.11</v>
      </c>
      <c r="F22" s="15" t="n">
        <v>396532.81</v>
      </c>
      <c r="G22" s="15" t="n">
        <v>521677.75</v>
      </c>
      <c r="H22" s="15" t="n">
        <v>2010245.98</v>
      </c>
      <c r="I22" s="15" t="n">
        <v>158948.54</v>
      </c>
      <c r="J22" s="15" t="n">
        <v>254699.99</v>
      </c>
      <c r="K22" s="15" t="n">
        <v>52525.26</v>
      </c>
      <c r="L22" s="15" t="n">
        <v>362387.93</v>
      </c>
      <c r="M22" s="15" t="n">
        <v>412240.24</v>
      </c>
      <c r="N22" s="15" t="n">
        <v>1438342.96</v>
      </c>
      <c r="O22" s="15" t="n">
        <v>1349700.23</v>
      </c>
      <c r="P22" s="15" t="n">
        <v>249396.3</v>
      </c>
      <c r="Q22" s="15" t="n">
        <v>9855.459999999999</v>
      </c>
      <c r="R22" s="15" t="n">
        <v>-32867.04</v>
      </c>
      <c r="S22" s="15" t="n">
        <v>1846689.05</v>
      </c>
      <c r="T22" s="15" t="n">
        <v>2012379.85</v>
      </c>
      <c r="U22" s="15" t="n">
        <v>777216.04</v>
      </c>
      <c r="V22" s="15" t="n">
        <v>671898.0699999999</v>
      </c>
      <c r="W22" s="15" t="n">
        <v>103118.5</v>
      </c>
      <c r="X22" s="15" t="n">
        <v>113853.15</v>
      </c>
      <c r="Y22" s="15" t="n">
        <v>1082283.06</v>
      </c>
      <c r="Z22" s="15" t="n">
        <v>890688.46</v>
      </c>
      <c r="AA22" s="15" t="n">
        <v>762284.42</v>
      </c>
      <c r="AB22" s="15" t="n">
        <v>377815.37</v>
      </c>
      <c r="AC22" s="15" t="n">
        <v>175649.74</v>
      </c>
      <c r="AD22" s="15" t="n">
        <v>202157.28</v>
      </c>
      <c r="AE22" s="15" t="n">
        <v>1156245.84</v>
      </c>
      <c r="AF22" s="15" t="n">
        <v>305637.85</v>
      </c>
      <c r="AG22" s="15" t="n">
        <v>139985</v>
      </c>
      <c r="AH22" s="15" t="n">
        <v>200928.75</v>
      </c>
      <c r="AI22" s="15" t="n">
        <v>154110.13</v>
      </c>
      <c r="AJ22" s="15" t="n">
        <v>695942.25</v>
      </c>
      <c r="AK22" s="15" t="n">
        <v>719026.53</v>
      </c>
      <c r="AL22" s="15" t="n">
        <v>1783402.77</v>
      </c>
      <c r="AM22" s="15" t="n">
        <v>799225.2</v>
      </c>
      <c r="AN22" s="15" t="n">
        <v>324207.43</v>
      </c>
      <c r="AO22" s="15" t="n">
        <v>234677.54</v>
      </c>
      <c r="AP22" s="15" t="n">
        <v>713999.01</v>
      </c>
      <c r="AQ22" s="15" t="n">
        <v>1764201.99</v>
      </c>
      <c r="AR22" s="15" t="n">
        <v>539311.23</v>
      </c>
      <c r="AS22" s="15" t="n">
        <v>767456.5</v>
      </c>
      <c r="AT22" s="15" t="n">
        <v>715492.98</v>
      </c>
      <c r="AU22" s="15" t="n">
        <v>26803.11</v>
      </c>
      <c r="AV22" s="15" t="n">
        <v>105305.51</v>
      </c>
      <c r="AW22" s="15" t="n">
        <v>724231.11</v>
      </c>
      <c r="AX22" s="15" t="n">
        <v>1023670.92</v>
      </c>
      <c r="AY22" s="15" t="n">
        <v>653594.52</v>
      </c>
      <c r="AZ22" s="15" t="n">
        <v>621451.78</v>
      </c>
      <c r="BA22" s="15" t="n">
        <v>243477.32</v>
      </c>
      <c r="BB22" s="15" t="n">
        <v>110326.41</v>
      </c>
      <c r="BC22" s="15" t="n">
        <v>1974535.59</v>
      </c>
      <c r="BD22" s="15" t="n">
        <v>2029319.27</v>
      </c>
      <c r="BE22" s="15" t="n">
        <v>827635.42</v>
      </c>
      <c r="BF22" s="15" t="n">
        <v>807557.73</v>
      </c>
      <c r="BG22" s="15" t="n">
        <v>92073.3</v>
      </c>
      <c r="BH22" s="15" t="n">
        <v>652441.85</v>
      </c>
      <c r="BI22" s="15" t="n">
        <v>1092908.49</v>
      </c>
      <c r="BJ22" s="15" t="n">
        <v>1677521.56</v>
      </c>
      <c r="BK22" s="15" t="n">
        <v>130388.87</v>
      </c>
      <c r="BL22" s="15" t="n">
        <v>656793.0699999999</v>
      </c>
      <c r="BM22" s="15" t="n">
        <v>231238.8</v>
      </c>
      <c r="BN22" s="15" t="n">
        <v>177967.64</v>
      </c>
      <c r="BO22" s="15" t="n">
        <v>1377732.78</v>
      </c>
      <c r="BP22" s="15" t="n">
        <v>2264696.79</v>
      </c>
      <c r="BQ22" s="15" t="n">
        <v>1047975.88</v>
      </c>
      <c r="BR22" s="15" t="n">
        <v>604005.77</v>
      </c>
      <c r="BS22" s="15" t="n">
        <v>188743.18</v>
      </c>
      <c r="BT22" s="15" t="n">
        <v>744208.09</v>
      </c>
      <c r="BU22" s="15" t="n">
        <v>1558830.42</v>
      </c>
      <c r="BV22" s="15" t="n">
        <v>2294511.88</v>
      </c>
      <c r="BW22" s="15" t="n">
        <v>665282.52</v>
      </c>
      <c r="BX22" s="15" t="n">
        <v>271099.61</v>
      </c>
      <c r="BY22" s="15" t="n">
        <v>109019.21</v>
      </c>
      <c r="BZ22" s="15" t="n">
        <v>412343.7</v>
      </c>
      <c r="CA22" s="15" t="n">
        <v>1282288.38</v>
      </c>
      <c r="CB22" s="15" t="n">
        <v>1081217.56</v>
      </c>
      <c r="CC22" s="15" t="n">
        <v>1424997.51</v>
      </c>
      <c r="CD22" s="15" t="n">
        <v>595992.0600000001</v>
      </c>
      <c r="CE22" s="15" t="n">
        <v>101366.92</v>
      </c>
      <c r="CF22" s="15" t="n">
        <v>652526.52</v>
      </c>
      <c r="CG22" s="15" t="n">
        <v>1874283.56</v>
      </c>
      <c r="CH22" s="15" t="n">
        <v>745695.27</v>
      </c>
      <c r="CI22" s="15" t="n">
        <v>664472.87</v>
      </c>
      <c r="CJ22" s="15" t="n">
        <v>861405.8100000001</v>
      </c>
      <c r="CK22" s="15" t="n">
        <v>209944.94</v>
      </c>
      <c r="CL22" s="15" t="n">
        <v>312459.43</v>
      </c>
      <c r="CM22" s="15" t="n">
        <v>1196115.27</v>
      </c>
      <c r="CN22" s="15" t="n">
        <v>518536.3</v>
      </c>
      <c r="CO22" s="15" t="n">
        <v>737638.12</v>
      </c>
      <c r="CP22" s="15" t="n">
        <v>729616.97</v>
      </c>
      <c r="CQ22" s="15" t="n">
        <v>153519.7</v>
      </c>
      <c r="CR22" s="15" t="n">
        <v>738612.8</v>
      </c>
      <c r="CS22" s="15" t="n">
        <v>217293.48</v>
      </c>
      <c r="CT22" s="15" t="n">
        <v>2200428.03</v>
      </c>
      <c r="CU22" s="15" t="n">
        <v>222740.78</v>
      </c>
      <c r="CV22" s="15" t="n">
        <v>988168.73</v>
      </c>
      <c r="CW22" s="15" t="n">
        <v>205102.44</v>
      </c>
      <c r="CX22" s="15" t="n">
        <v>320285.22</v>
      </c>
      <c r="CY22" s="15" t="n">
        <v>191073.5</v>
      </c>
      <c r="CZ22" s="15" t="n">
        <v>1909555.19</v>
      </c>
      <c r="DA22" s="15" t="n">
        <v>1029122.7</v>
      </c>
      <c r="DB22" s="15" t="n">
        <v>996839.96</v>
      </c>
      <c r="DC22" s="15" t="n">
        <v>81637.97</v>
      </c>
      <c r="DD22" s="15" t="n">
        <v>512253.29</v>
      </c>
      <c r="DE22" s="15" t="n">
        <v>1365150.33</v>
      </c>
      <c r="DF22" s="15" t="n">
        <v>361656.72</v>
      </c>
      <c r="DG22" s="15" t="n">
        <v>43271.7</v>
      </c>
      <c r="DH22" s="15" t="n">
        <v>544626.23</v>
      </c>
      <c r="DI22" s="15" t="n">
        <v>166800.14</v>
      </c>
      <c r="DJ22" s="15" t="n">
        <v>35018.62</v>
      </c>
      <c r="DK22" s="15" t="n">
        <v>1833609.66</v>
      </c>
      <c r="DL22" s="15" t="n">
        <v>354290.07</v>
      </c>
      <c r="DM22" s="15" t="n">
        <v>1294869.53</v>
      </c>
      <c r="DN22" s="15" t="n">
        <v>371677.19</v>
      </c>
      <c r="DO22" s="15" t="n">
        <v>23431.72</v>
      </c>
      <c r="DP22" s="15" t="n">
        <v>-64754.18</v>
      </c>
    </row>
    <row r="23">
      <c r="A23" s="4" t="inlineStr">
        <is>
          <t>肉禽蛋奶</t>
        </is>
      </c>
      <c r="B23" s="15" t="n">
        <v>721339.73</v>
      </c>
      <c r="C23" s="15" t="n">
        <v>547209.05</v>
      </c>
      <c r="D23" s="15" t="n">
        <v>798544.63</v>
      </c>
      <c r="E23" s="15" t="n">
        <v>47022.86</v>
      </c>
      <c r="F23" s="15" t="n">
        <v>159034.09</v>
      </c>
      <c r="G23" s="15" t="n">
        <v>1972997.52</v>
      </c>
      <c r="H23" s="15" t="n">
        <v>713121.75</v>
      </c>
      <c r="I23" s="15" t="n">
        <v>1042283.1</v>
      </c>
      <c r="J23" s="15" t="n">
        <v>158999.31</v>
      </c>
      <c r="K23" s="15" t="n">
        <v>27993.37</v>
      </c>
      <c r="L23" s="15" t="n">
        <v>186094.45</v>
      </c>
      <c r="M23" s="15" t="n">
        <v>839747.26</v>
      </c>
      <c r="N23" s="15" t="n">
        <v>1598815.71</v>
      </c>
      <c r="O23" s="15" t="n">
        <v>376657.94</v>
      </c>
      <c r="P23" s="15" t="n">
        <v>220016.21</v>
      </c>
      <c r="Q23" s="15" t="n">
        <v>171137.77</v>
      </c>
      <c r="R23" s="15" t="n">
        <v>-69000.88</v>
      </c>
      <c r="S23" s="15" t="n">
        <v>345091.39</v>
      </c>
      <c r="T23" s="15" t="n">
        <v>512095.92</v>
      </c>
      <c r="U23" s="15" t="n">
        <v>223270.53</v>
      </c>
      <c r="V23" s="15" t="n">
        <v>136944.47</v>
      </c>
      <c r="W23" s="15" t="n">
        <v>63942.68</v>
      </c>
      <c r="X23" s="15" t="n">
        <v>357691</v>
      </c>
      <c r="Y23" s="15" t="n">
        <v>1910642.67</v>
      </c>
      <c r="Z23" s="15" t="n">
        <v>85509.07000000001</v>
      </c>
      <c r="AA23" s="15" t="n">
        <v>108871.75</v>
      </c>
      <c r="AB23" s="15" t="n">
        <v>499570.84</v>
      </c>
      <c r="AC23" s="15" t="n">
        <v>81775.46000000001</v>
      </c>
      <c r="AD23" s="15" t="n">
        <v>626857.95</v>
      </c>
      <c r="AE23" s="15" t="n">
        <v>1523166.39</v>
      </c>
      <c r="AF23" s="15" t="n">
        <v>2103551.17</v>
      </c>
      <c r="AG23" s="15" t="n">
        <v>126352.27</v>
      </c>
      <c r="AH23" s="15" t="n">
        <v>280917.87</v>
      </c>
      <c r="AI23" s="15" t="n">
        <v>44108.12</v>
      </c>
      <c r="AJ23" s="15" t="n">
        <v>19971.83</v>
      </c>
      <c r="AK23" s="15" t="n">
        <v>594841.61</v>
      </c>
      <c r="AL23" s="15" t="n">
        <v>778938.1800000001</v>
      </c>
      <c r="AM23" s="15" t="n">
        <v>1136944.6</v>
      </c>
      <c r="AN23" s="15" t="n">
        <v>353059.93</v>
      </c>
      <c r="AO23" s="15" t="n">
        <v>124525.5</v>
      </c>
      <c r="AP23" s="15" t="n">
        <v>213711.69</v>
      </c>
      <c r="AQ23" s="15" t="n">
        <v>1529535.1</v>
      </c>
      <c r="AR23" s="15" t="n">
        <v>1876793.01</v>
      </c>
      <c r="AS23" s="15" t="n">
        <v>342166.59</v>
      </c>
      <c r="AT23" s="15" t="n">
        <v>868448.29</v>
      </c>
      <c r="AU23" s="15" t="n">
        <v>235706.94</v>
      </c>
      <c r="AV23" s="15" t="n">
        <v>338167.67</v>
      </c>
      <c r="AW23" s="15" t="n">
        <v>1715738.6</v>
      </c>
      <c r="AX23" s="15" t="n">
        <v>1617145.02</v>
      </c>
      <c r="AY23" s="15" t="n">
        <v>1326497.15</v>
      </c>
      <c r="AZ23" s="15" t="n">
        <v>612020.4</v>
      </c>
      <c r="BA23" s="15" t="n">
        <v>119079.5</v>
      </c>
      <c r="BB23" s="15" t="n">
        <v>18756.8</v>
      </c>
      <c r="BC23" s="15" t="n">
        <v>568866.3199999999</v>
      </c>
      <c r="BD23" s="15" t="n">
        <v>790585.78</v>
      </c>
      <c r="BE23" s="15" t="n">
        <v>1187970.2</v>
      </c>
      <c r="BF23" s="15" t="n">
        <v>95178.60000000001</v>
      </c>
      <c r="BG23" s="15" t="n">
        <v>227288.18</v>
      </c>
      <c r="BH23" s="15" t="n">
        <v>-89779.06</v>
      </c>
      <c r="BI23" s="15" t="n">
        <v>989064.29</v>
      </c>
      <c r="BJ23" s="15" t="n">
        <v>1689722.83</v>
      </c>
      <c r="BK23" s="15" t="n">
        <v>285618.67</v>
      </c>
      <c r="BL23" s="15" t="n">
        <v>680901.59</v>
      </c>
      <c r="BM23" s="15" t="n">
        <v>177138.05</v>
      </c>
      <c r="BN23" s="15" t="n">
        <v>105297.23</v>
      </c>
      <c r="BO23" s="15" t="n">
        <v>1860087.21</v>
      </c>
      <c r="BP23" s="15" t="n">
        <v>1903402.69</v>
      </c>
      <c r="BQ23" s="15" t="n">
        <v>748775.85</v>
      </c>
      <c r="BR23" s="15" t="n">
        <v>633303.79</v>
      </c>
      <c r="BS23" s="15" t="n">
        <v>59049.87</v>
      </c>
      <c r="BT23" s="15" t="n">
        <v>270740.4</v>
      </c>
      <c r="BU23" s="15" t="n">
        <v>712569.1800000001</v>
      </c>
      <c r="BV23" s="15" t="n">
        <v>1130048.26</v>
      </c>
      <c r="BW23" s="15" t="n">
        <v>125361.24</v>
      </c>
      <c r="BX23" s="15" t="n">
        <v>136001.06</v>
      </c>
      <c r="BY23" s="15" t="n">
        <v>92457.12</v>
      </c>
      <c r="BZ23" s="15" t="n">
        <v>704961.5600000001</v>
      </c>
      <c r="CA23" s="15" t="n">
        <v>701604.34</v>
      </c>
      <c r="CB23" s="15" t="n">
        <v>809462.38</v>
      </c>
      <c r="CC23" s="15" t="n">
        <v>1392325.8</v>
      </c>
      <c r="CD23" s="15" t="n">
        <v>295219.55</v>
      </c>
      <c r="CE23" s="15" t="n">
        <v>234714.3</v>
      </c>
      <c r="CF23" s="15" t="n">
        <v>52765.81</v>
      </c>
      <c r="CG23" s="15" t="n">
        <v>803682.42</v>
      </c>
      <c r="CH23" s="15" t="n">
        <v>1098577.17</v>
      </c>
      <c r="CI23" s="15" t="n">
        <v>529190.89</v>
      </c>
      <c r="CJ23" s="15" t="n">
        <v>686507.88</v>
      </c>
      <c r="CK23" s="15" t="n">
        <v>147123.94</v>
      </c>
      <c r="CL23" s="15" t="n">
        <v>578841.58</v>
      </c>
      <c r="CM23" s="15" t="n">
        <v>1171117.47</v>
      </c>
      <c r="CN23" s="15" t="n">
        <v>2181406.3</v>
      </c>
      <c r="CO23" s="15" t="n">
        <v>922608.21</v>
      </c>
      <c r="CP23" s="15" t="n">
        <v>187439.77</v>
      </c>
      <c r="CQ23" s="15" t="n">
        <v>178411.68</v>
      </c>
      <c r="CR23" s="15" t="n">
        <v>607428.45</v>
      </c>
      <c r="CS23" s="15" t="n">
        <v>1924970.32</v>
      </c>
      <c r="CT23" s="15" t="n">
        <v>897077.11</v>
      </c>
      <c r="CU23" s="15" t="n">
        <v>1402594.08</v>
      </c>
      <c r="CV23" s="15" t="n">
        <v>107239.71</v>
      </c>
      <c r="CW23" s="15" t="n">
        <v>221752.05</v>
      </c>
      <c r="CX23" s="15" t="n">
        <v>605930.53</v>
      </c>
      <c r="CY23" s="15" t="n">
        <v>476263.53</v>
      </c>
      <c r="CZ23" s="15" t="n">
        <v>661424.25</v>
      </c>
      <c r="DA23" s="15" t="n">
        <v>104292.6</v>
      </c>
      <c r="DB23" s="15" t="n">
        <v>166021.53</v>
      </c>
      <c r="DC23" s="15" t="n">
        <v>156588.88</v>
      </c>
      <c r="DD23" s="15" t="n">
        <v>529726.6</v>
      </c>
      <c r="DE23" s="15" t="n">
        <v>1945968.41</v>
      </c>
      <c r="DF23" s="15" t="n">
        <v>1627883.46</v>
      </c>
      <c r="DG23" s="15" t="n">
        <v>515926.77</v>
      </c>
      <c r="DH23" s="15" t="n">
        <v>189126.21</v>
      </c>
      <c r="DI23" s="15" t="n">
        <v>75565.25999999999</v>
      </c>
      <c r="DJ23" s="15" t="n">
        <v>279493.65</v>
      </c>
      <c r="DK23" s="15" t="n">
        <v>410329.89</v>
      </c>
      <c r="DL23" s="15" t="n">
        <v>1776896.89</v>
      </c>
      <c r="DM23" s="15" t="n">
        <v>1253383.34</v>
      </c>
      <c r="DN23" s="15" t="n">
        <v>79172.06</v>
      </c>
      <c r="DO23" s="15" t="n">
        <v>37241.38</v>
      </c>
      <c r="DP23" s="15" t="n">
        <v>635138.01</v>
      </c>
    </row>
    <row r="24">
      <c r="A24" s="4" t="inlineStr">
        <is>
          <t>粮油调味</t>
        </is>
      </c>
      <c r="B24" s="15" t="n">
        <v>2168147.62</v>
      </c>
      <c r="C24" s="15" t="n">
        <v>354939.52</v>
      </c>
      <c r="D24" s="15" t="n">
        <v>919769.23</v>
      </c>
      <c r="E24" s="15" t="n">
        <v>173720.7</v>
      </c>
      <c r="F24" s="15" t="n">
        <v>-6804.09</v>
      </c>
      <c r="G24" s="15" t="n">
        <v>1973338.09</v>
      </c>
      <c r="H24" s="15" t="n">
        <v>899261.64</v>
      </c>
      <c r="I24" s="15" t="n">
        <v>386357.99</v>
      </c>
      <c r="J24" s="15" t="n">
        <v>699849.36</v>
      </c>
      <c r="K24" s="15" t="n">
        <v>93844.74000000001</v>
      </c>
      <c r="L24" s="15" t="n">
        <v>292665.59</v>
      </c>
      <c r="M24" s="15" t="n">
        <v>1843368.15</v>
      </c>
      <c r="N24" s="15" t="n">
        <v>2374890.74</v>
      </c>
      <c r="O24" s="15" t="n">
        <v>1209000.55</v>
      </c>
      <c r="P24" s="15" t="n">
        <v>93433.03</v>
      </c>
      <c r="Q24" s="15" t="n">
        <v>186151.87</v>
      </c>
      <c r="R24" s="15" t="n">
        <v>258209.05</v>
      </c>
      <c r="S24" s="15" t="n">
        <v>1359747.37</v>
      </c>
      <c r="T24" s="15" t="n">
        <v>2458409.19</v>
      </c>
      <c r="U24" s="15" t="n">
        <v>79386.75999999999</v>
      </c>
      <c r="V24" s="15" t="n">
        <v>926877.6</v>
      </c>
      <c r="W24" s="15" t="n">
        <v>100941.09</v>
      </c>
      <c r="X24" s="15" t="n">
        <v>455427.93</v>
      </c>
      <c r="Y24" s="15" t="n">
        <v>1359030.19</v>
      </c>
      <c r="Z24" s="15" t="n">
        <v>1515197.98</v>
      </c>
      <c r="AA24" s="15" t="n">
        <v>97411.48</v>
      </c>
      <c r="AB24" s="15" t="n">
        <v>719970.01</v>
      </c>
      <c r="AC24" s="15" t="n">
        <v>209369.26</v>
      </c>
      <c r="AD24" s="15" t="n">
        <v>61151.29</v>
      </c>
      <c r="AE24" s="15" t="n">
        <v>532323.74</v>
      </c>
      <c r="AF24" s="15" t="n">
        <v>578196.88</v>
      </c>
      <c r="AG24" s="15" t="n">
        <v>422557.14</v>
      </c>
      <c r="AH24" s="15" t="n">
        <v>258470.27</v>
      </c>
      <c r="AI24" s="15" t="n">
        <v>206809.48</v>
      </c>
      <c r="AJ24" s="15" t="n">
        <v>536436.4</v>
      </c>
      <c r="AK24" s="15" t="n">
        <v>1144317.2</v>
      </c>
      <c r="AL24" s="15" t="n">
        <v>1996236.18</v>
      </c>
      <c r="AM24" s="15" t="n">
        <v>894712.03</v>
      </c>
      <c r="AN24" s="15" t="n">
        <v>260353.76</v>
      </c>
      <c r="AO24" s="15" t="n">
        <v>43295.98</v>
      </c>
      <c r="AP24" s="15" t="n">
        <v>546125.3</v>
      </c>
      <c r="AQ24" s="15" t="n">
        <v>1849614.03</v>
      </c>
      <c r="AR24" s="15" t="n">
        <v>68265.98</v>
      </c>
      <c r="AS24" s="15" t="n">
        <v>112870.36</v>
      </c>
      <c r="AT24" s="15" t="n">
        <v>632958.83</v>
      </c>
      <c r="AU24" s="15" t="n">
        <v>45461.75</v>
      </c>
      <c r="AV24" s="15" t="n">
        <v>655812.22</v>
      </c>
      <c r="AW24" s="15" t="n">
        <v>905215.9399999999</v>
      </c>
      <c r="AX24" s="15" t="n">
        <v>1808617.65</v>
      </c>
      <c r="AY24" s="15" t="n">
        <v>381295.46</v>
      </c>
      <c r="AZ24" s="15" t="n">
        <v>165638.46</v>
      </c>
      <c r="BA24" s="15" t="n">
        <v>129610.03</v>
      </c>
      <c r="BB24" s="15" t="n">
        <v>620101.73</v>
      </c>
      <c r="BC24" s="15" t="n">
        <v>1034251.03</v>
      </c>
      <c r="BD24" s="15" t="n">
        <v>2212129.05</v>
      </c>
      <c r="BE24" s="15" t="n">
        <v>685674.92</v>
      </c>
      <c r="BF24" s="15" t="n">
        <v>549913.42</v>
      </c>
      <c r="BG24" s="15" t="n">
        <v>168820.29</v>
      </c>
      <c r="BH24" s="15" t="n">
        <v>-9539.959999999999</v>
      </c>
      <c r="BI24" s="15" t="n">
        <v>1219106.22</v>
      </c>
      <c r="BJ24" s="15" t="n">
        <v>584833.27</v>
      </c>
      <c r="BK24" s="15" t="n">
        <v>824398.3199999999</v>
      </c>
      <c r="BL24" s="15" t="n">
        <v>378411.67</v>
      </c>
      <c r="BM24" s="15" t="n">
        <v>14675.61</v>
      </c>
      <c r="BN24" s="15" t="n">
        <v>-62941.75</v>
      </c>
      <c r="BO24" s="15" t="n">
        <v>125039.43</v>
      </c>
      <c r="BP24" s="15" t="n">
        <v>196992.84</v>
      </c>
      <c r="BQ24" s="15" t="n">
        <v>651803.55</v>
      </c>
      <c r="BR24" s="15" t="n">
        <v>637794.92</v>
      </c>
      <c r="BS24" s="15" t="n">
        <v>39425.11</v>
      </c>
      <c r="BT24" s="15" t="n">
        <v>337307.12</v>
      </c>
      <c r="BU24" s="15" t="n">
        <v>1726514.92</v>
      </c>
      <c r="BV24" s="15" t="n">
        <v>1631202.39</v>
      </c>
      <c r="BW24" s="15" t="n">
        <v>729491.1899999999</v>
      </c>
      <c r="BX24" s="15" t="n">
        <v>451484.97</v>
      </c>
      <c r="BY24" s="15" t="n">
        <v>86022.87</v>
      </c>
      <c r="BZ24" s="15" t="n">
        <v>242114.14</v>
      </c>
      <c r="CA24" s="15" t="n">
        <v>1120996.53</v>
      </c>
      <c r="CB24" s="15" t="n">
        <v>345459.04</v>
      </c>
      <c r="CC24" s="15" t="n">
        <v>273576.8</v>
      </c>
      <c r="CD24" s="15" t="n">
        <v>661489.37</v>
      </c>
      <c r="CE24" s="15" t="n">
        <v>241162.12</v>
      </c>
      <c r="CF24" s="15" t="n">
        <v>456089.14</v>
      </c>
      <c r="CG24" s="15" t="n">
        <v>513005.28</v>
      </c>
      <c r="CH24" s="15" t="n">
        <v>721833.35</v>
      </c>
      <c r="CI24" s="15" t="n">
        <v>649101.35</v>
      </c>
      <c r="CJ24" s="15" t="n">
        <v>224432.14</v>
      </c>
      <c r="CK24" s="15" t="n">
        <v>50033.57</v>
      </c>
      <c r="CL24" s="15" t="n">
        <v>143985.75</v>
      </c>
      <c r="CM24" s="15" t="n">
        <v>781940.5</v>
      </c>
      <c r="CN24" s="15" t="n">
        <v>1638842.71</v>
      </c>
      <c r="CO24" s="15" t="n">
        <v>1459043.29</v>
      </c>
      <c r="CP24" s="15" t="n">
        <v>673451.27</v>
      </c>
      <c r="CQ24" s="15" t="n">
        <v>214639.32</v>
      </c>
      <c r="CR24" s="15" t="n">
        <v>349107.64</v>
      </c>
      <c r="CS24" s="15" t="n">
        <v>1879017.94</v>
      </c>
      <c r="CT24" s="15" t="n">
        <v>1939500.32</v>
      </c>
      <c r="CU24" s="15" t="n">
        <v>521251.61</v>
      </c>
      <c r="CV24" s="15" t="n">
        <v>751078.84</v>
      </c>
      <c r="CW24" s="15" t="n">
        <v>185037.5</v>
      </c>
      <c r="CX24" s="15" t="n">
        <v>182962.38</v>
      </c>
      <c r="CY24" s="15" t="n">
        <v>952457.21</v>
      </c>
      <c r="CZ24" s="15" t="n">
        <v>1262946.85</v>
      </c>
      <c r="DA24" s="15" t="n">
        <v>490965.79</v>
      </c>
      <c r="DB24" s="15" t="n">
        <v>988230.21</v>
      </c>
      <c r="DC24" s="15" t="n">
        <v>21656.33</v>
      </c>
      <c r="DD24" s="15" t="n">
        <v>740934.8199999999</v>
      </c>
      <c r="DE24" s="15" t="n">
        <v>758243.76</v>
      </c>
      <c r="DF24" s="15" t="n">
        <v>1979639.64</v>
      </c>
      <c r="DG24" s="15" t="n">
        <v>1269400.6</v>
      </c>
      <c r="DH24" s="15" t="n">
        <v>504700.56</v>
      </c>
      <c r="DI24" s="15" t="n">
        <v>144375.94</v>
      </c>
      <c r="DJ24" s="15" t="n">
        <v>228614.07</v>
      </c>
      <c r="DK24" s="15" t="n">
        <v>1419125.87</v>
      </c>
      <c r="DL24" s="15" t="n">
        <v>1437483.54</v>
      </c>
      <c r="DM24" s="15" t="n">
        <v>1372285.12</v>
      </c>
      <c r="DN24" s="15" t="n">
        <v>414304.22</v>
      </c>
      <c r="DO24" s="15" t="n">
        <v>198321.94</v>
      </c>
      <c r="DP24" s="15" t="n">
        <v>-89284</v>
      </c>
    </row>
    <row r="25">
      <c r="A25" s="4" t="inlineStr">
        <is>
          <t>酒水饮料</t>
        </is>
      </c>
      <c r="B25" s="15" t="n">
        <v>1974820.59</v>
      </c>
      <c r="C25" s="15" t="n">
        <v>971631.48</v>
      </c>
      <c r="D25" s="15" t="n">
        <v>771438.9300000001</v>
      </c>
      <c r="E25" s="15" t="n">
        <v>232443.39</v>
      </c>
      <c r="F25" s="15" t="n">
        <v>499538.24</v>
      </c>
      <c r="G25" s="15" t="n">
        <v>917498.5</v>
      </c>
      <c r="H25" s="15" t="n">
        <v>821202.98</v>
      </c>
      <c r="I25" s="15" t="n">
        <v>298037.31</v>
      </c>
      <c r="J25" s="15" t="n">
        <v>844577.46</v>
      </c>
      <c r="K25" s="15" t="n">
        <v>185507.05</v>
      </c>
      <c r="L25" s="15" t="n">
        <v>338461.52</v>
      </c>
      <c r="M25" s="15" t="n">
        <v>1289358.14</v>
      </c>
      <c r="N25" s="15" t="n">
        <v>266275.47</v>
      </c>
      <c r="O25" s="15" t="n">
        <v>859011.87</v>
      </c>
      <c r="P25" s="15" t="n">
        <v>192171.47</v>
      </c>
      <c r="Q25" s="15" t="n">
        <v>222388.93</v>
      </c>
      <c r="R25" s="15" t="n">
        <v>177157.54</v>
      </c>
      <c r="S25" s="15" t="n">
        <v>1475411.27</v>
      </c>
      <c r="T25" s="15" t="n">
        <v>879353.1</v>
      </c>
      <c r="U25" s="15" t="n">
        <v>735537.02</v>
      </c>
      <c r="V25" s="15" t="n">
        <v>591994.73</v>
      </c>
      <c r="W25" s="15" t="n">
        <v>95225.2</v>
      </c>
      <c r="X25" s="15" t="n">
        <v>512290.91</v>
      </c>
      <c r="Y25" s="15" t="n">
        <v>928191.92</v>
      </c>
      <c r="Z25" s="15" t="n">
        <v>369631.3</v>
      </c>
      <c r="AA25" s="15" t="n">
        <v>742469.16</v>
      </c>
      <c r="AB25" s="15" t="n">
        <v>419080.58</v>
      </c>
      <c r="AC25" s="15" t="n">
        <v>71888.87</v>
      </c>
      <c r="AD25" s="15" t="n">
        <v>142029.16</v>
      </c>
      <c r="AE25" s="15" t="n">
        <v>1873998.96</v>
      </c>
      <c r="AF25" s="15" t="n">
        <v>801868.12</v>
      </c>
      <c r="AG25" s="15" t="n">
        <v>114403.94</v>
      </c>
      <c r="AH25" s="15" t="n">
        <v>622639.3100000001</v>
      </c>
      <c r="AI25" s="15" t="n">
        <v>120606.7</v>
      </c>
      <c r="AJ25" s="15" t="n">
        <v>363354.78</v>
      </c>
      <c r="AK25" s="15" t="n">
        <v>472531.3</v>
      </c>
      <c r="AL25" s="15" t="n">
        <v>1242389.97</v>
      </c>
      <c r="AM25" s="15" t="n">
        <v>293038.64</v>
      </c>
      <c r="AN25" s="15" t="n">
        <v>563969.09</v>
      </c>
      <c r="AO25" s="15" t="n">
        <v>34855.64</v>
      </c>
      <c r="AP25" s="15" t="n">
        <v>426943.59</v>
      </c>
      <c r="AQ25" s="15" t="n">
        <v>432619.52</v>
      </c>
      <c r="AR25" s="15" t="n">
        <v>1614016.88</v>
      </c>
      <c r="AS25" s="15" t="n">
        <v>248449.18</v>
      </c>
      <c r="AT25" s="15" t="n">
        <v>893567.05</v>
      </c>
      <c r="AU25" s="15" t="n">
        <v>169437.45</v>
      </c>
      <c r="AV25" s="15" t="n">
        <v>415194.2</v>
      </c>
      <c r="AW25" s="15" t="n">
        <v>365743.36</v>
      </c>
      <c r="AX25" s="15" t="n">
        <v>1613005.35</v>
      </c>
      <c r="AY25" s="15" t="n">
        <v>78417.87</v>
      </c>
      <c r="AZ25" s="15" t="n">
        <v>719136.16</v>
      </c>
      <c r="BA25" s="15" t="n">
        <v>170058.47</v>
      </c>
      <c r="BB25" s="15" t="n">
        <v>702562.52</v>
      </c>
      <c r="BC25" s="15" t="n">
        <v>638999.48</v>
      </c>
      <c r="BD25" s="15" t="n">
        <v>1015601.5</v>
      </c>
      <c r="BE25" s="15" t="n">
        <v>225637.31</v>
      </c>
      <c r="BF25" s="15" t="n">
        <v>267696.89</v>
      </c>
      <c r="BG25" s="15" t="n">
        <v>117912</v>
      </c>
      <c r="BH25" s="15" t="n">
        <v>267640.21</v>
      </c>
      <c r="BI25" s="15" t="n">
        <v>1306966.22</v>
      </c>
      <c r="BJ25" s="15" t="n">
        <v>1499537.08</v>
      </c>
      <c r="BK25" s="15" t="n">
        <v>512779.56</v>
      </c>
      <c r="BL25" s="15" t="n">
        <v>607422.78</v>
      </c>
      <c r="BM25" s="15" t="n">
        <v>230681.21</v>
      </c>
      <c r="BN25" s="15" t="n">
        <v>297662.06</v>
      </c>
      <c r="BO25" s="15" t="n">
        <v>1870310.38</v>
      </c>
      <c r="BP25" s="15" t="n">
        <v>1665115.58</v>
      </c>
      <c r="BQ25" s="15" t="n">
        <v>994718.41</v>
      </c>
      <c r="BR25" s="15" t="n">
        <v>754009.09</v>
      </c>
      <c r="BS25" s="15" t="n">
        <v>103704.24</v>
      </c>
      <c r="BT25" s="15" t="n">
        <v>483982.35</v>
      </c>
      <c r="BU25" s="15" t="n">
        <v>87132.58</v>
      </c>
      <c r="BV25" s="15" t="n">
        <v>2379665.87</v>
      </c>
      <c r="BW25" s="15" t="n">
        <v>674303.49</v>
      </c>
      <c r="BX25" s="15" t="n">
        <v>164270.76</v>
      </c>
      <c r="BY25" s="15" t="n">
        <v>79344.83</v>
      </c>
      <c r="BZ25" s="15" t="n">
        <v>266300.37</v>
      </c>
      <c r="CA25" s="15" t="n">
        <v>808578.64</v>
      </c>
      <c r="CB25" s="15" t="n">
        <v>1538537.23</v>
      </c>
      <c r="CC25" s="15" t="n">
        <v>1041114.51</v>
      </c>
      <c r="CD25" s="15" t="n">
        <v>229761.21</v>
      </c>
      <c r="CE25" s="15" t="n">
        <v>232674.8</v>
      </c>
      <c r="CF25" s="15" t="n">
        <v>596643.83</v>
      </c>
      <c r="CG25" s="15" t="n">
        <v>1372814.28</v>
      </c>
      <c r="CH25" s="15" t="n">
        <v>1434415.44</v>
      </c>
      <c r="CI25" s="15" t="n">
        <v>484666.25</v>
      </c>
      <c r="CJ25" s="15" t="n">
        <v>522860.09</v>
      </c>
      <c r="CK25" s="15" t="n">
        <v>128861.95</v>
      </c>
      <c r="CL25" s="15" t="n">
        <v>646976.9399999999</v>
      </c>
      <c r="CM25" s="15" t="n">
        <v>1497070.08</v>
      </c>
      <c r="CN25" s="15" t="n">
        <v>2268283.57</v>
      </c>
      <c r="CO25" s="15" t="n">
        <v>54107.95</v>
      </c>
      <c r="CP25" s="15" t="n">
        <v>333709.47</v>
      </c>
      <c r="CQ25" s="15" t="n">
        <v>146923.94</v>
      </c>
      <c r="CR25" s="15" t="n">
        <v>184068.2</v>
      </c>
      <c r="CS25" s="15" t="n">
        <v>1281094.84</v>
      </c>
      <c r="CT25" s="15" t="n">
        <v>454660.03</v>
      </c>
      <c r="CU25" s="15" t="n">
        <v>730784.48</v>
      </c>
      <c r="CV25" s="15" t="n">
        <v>192518.5</v>
      </c>
      <c r="CW25" s="15" t="n">
        <v>98179.08</v>
      </c>
      <c r="CX25" s="15" t="n">
        <v>538164.01</v>
      </c>
      <c r="CY25" s="15" t="n">
        <v>326831.99</v>
      </c>
      <c r="CZ25" s="15" t="n">
        <v>2027625.39</v>
      </c>
      <c r="DA25" s="15" t="n">
        <v>1173750.26</v>
      </c>
      <c r="DB25" s="15" t="n">
        <v>334120.48</v>
      </c>
      <c r="DC25" s="15" t="n">
        <v>184930.1</v>
      </c>
      <c r="DD25" s="15" t="n">
        <v>35013.67</v>
      </c>
      <c r="DE25" s="15" t="n">
        <v>520293.3</v>
      </c>
      <c r="DF25" s="15" t="n">
        <v>2366424.1</v>
      </c>
      <c r="DG25" s="15" t="n">
        <v>1085224.9</v>
      </c>
      <c r="DH25" s="15" t="n">
        <v>883149.48</v>
      </c>
      <c r="DI25" s="15" t="n">
        <v>230843.92</v>
      </c>
      <c r="DJ25" s="15" t="n">
        <v>597032</v>
      </c>
      <c r="DK25" s="15" t="n">
        <v>1227247.44</v>
      </c>
      <c r="DL25" s="15" t="n">
        <v>455834.9</v>
      </c>
      <c r="DM25" s="15" t="n">
        <v>1442586.59</v>
      </c>
      <c r="DN25" s="15" t="n">
        <v>730379.03</v>
      </c>
      <c r="DO25" s="15" t="n">
        <v>71268.07000000001</v>
      </c>
      <c r="DP25" s="15" t="n">
        <v>50310.37</v>
      </c>
    </row>
    <row r="26">
      <c r="A26" s="4" t="inlineStr">
        <is>
          <t>休闲零食</t>
        </is>
      </c>
      <c r="B26" s="15" t="n">
        <v>1963345.53</v>
      </c>
      <c r="C26" s="15" t="n">
        <v>1029507.61</v>
      </c>
      <c r="D26" s="15" t="n">
        <v>260782.16</v>
      </c>
      <c r="E26" s="15" t="n">
        <v>66594.36</v>
      </c>
      <c r="F26" s="15" t="n">
        <v>646131.48</v>
      </c>
      <c r="G26" s="15" t="n">
        <v>883630.3</v>
      </c>
      <c r="H26" s="15" t="n">
        <v>1024506.08</v>
      </c>
      <c r="I26" s="15" t="n">
        <v>97580.09</v>
      </c>
      <c r="J26" s="15" t="n">
        <v>109128.8</v>
      </c>
      <c r="K26" s="15" t="n">
        <v>239321.44</v>
      </c>
      <c r="L26" s="15" t="n">
        <v>409571.03</v>
      </c>
      <c r="M26" s="15" t="n">
        <v>1497546.57</v>
      </c>
      <c r="N26" s="15" t="n">
        <v>262988.62</v>
      </c>
      <c r="O26" s="15" t="n">
        <v>100849.95</v>
      </c>
      <c r="P26" s="15" t="n">
        <v>384644.11</v>
      </c>
      <c r="Q26" s="15" t="n">
        <v>130734.47</v>
      </c>
      <c r="R26" s="15" t="n">
        <v>43485.41</v>
      </c>
      <c r="S26" s="15" t="n">
        <v>1634960.78</v>
      </c>
      <c r="T26" s="15" t="n">
        <v>995977.77</v>
      </c>
      <c r="U26" s="15" t="n">
        <v>1116069.81</v>
      </c>
      <c r="V26" s="15" t="n">
        <v>524753.91</v>
      </c>
      <c r="W26" s="15" t="n">
        <v>132835.5</v>
      </c>
      <c r="X26" s="15" t="n">
        <v>300244.02</v>
      </c>
      <c r="Y26" s="15" t="n">
        <v>1960492.68</v>
      </c>
      <c r="Z26" s="15" t="n">
        <v>2419074.23</v>
      </c>
      <c r="AA26" s="15" t="n">
        <v>429603.54</v>
      </c>
      <c r="AB26" s="15" t="n">
        <v>258074.36</v>
      </c>
      <c r="AC26" s="15" t="n">
        <v>224062.71</v>
      </c>
      <c r="AD26" s="15" t="n">
        <v>116598.41</v>
      </c>
      <c r="AE26" s="15" t="n">
        <v>77252.42999999999</v>
      </c>
      <c r="AF26" s="15" t="n">
        <v>652233.37</v>
      </c>
      <c r="AG26" s="15" t="n">
        <v>1404657.25</v>
      </c>
      <c r="AH26" s="15" t="n">
        <v>761644.14</v>
      </c>
      <c r="AI26" s="15" t="n">
        <v>170579.71</v>
      </c>
      <c r="AJ26" s="15" t="n">
        <v>429297.95</v>
      </c>
      <c r="AK26" s="15" t="n">
        <v>203434.11</v>
      </c>
      <c r="AL26" s="15" t="n">
        <v>2394837.15</v>
      </c>
      <c r="AM26" s="15" t="n">
        <v>943727.26</v>
      </c>
      <c r="AN26" s="15" t="n">
        <v>330769.3</v>
      </c>
      <c r="AO26" s="15" t="n">
        <v>201000.51</v>
      </c>
      <c r="AP26" s="15" t="n">
        <v>95115.73</v>
      </c>
      <c r="AQ26" s="15" t="n">
        <v>627403.53</v>
      </c>
      <c r="AR26" s="15" t="n">
        <v>165272.44</v>
      </c>
      <c r="AS26" s="15" t="n">
        <v>855325.95</v>
      </c>
      <c r="AT26" s="15" t="n">
        <v>544830.02</v>
      </c>
      <c r="AU26" s="15" t="n">
        <v>175373.8</v>
      </c>
      <c r="AV26" s="15" t="n">
        <v>100035.03</v>
      </c>
      <c r="AW26" s="15" t="n">
        <v>238933.77</v>
      </c>
      <c r="AX26" s="15" t="n">
        <v>656556.2</v>
      </c>
      <c r="AY26" s="15" t="n">
        <v>70659.17999999999</v>
      </c>
      <c r="AZ26" s="15" t="n">
        <v>401091.61</v>
      </c>
      <c r="BA26" s="15" t="n">
        <v>186594.39</v>
      </c>
      <c r="BB26" s="15" t="n">
        <v>127676.9</v>
      </c>
      <c r="BC26" s="15" t="n">
        <v>864822.95</v>
      </c>
      <c r="BD26" s="15" t="n">
        <v>216886.68</v>
      </c>
      <c r="BE26" s="15" t="n">
        <v>228773.41</v>
      </c>
      <c r="BF26" s="15" t="n">
        <v>834253.0600000001</v>
      </c>
      <c r="BG26" s="15" t="n">
        <v>230015.72</v>
      </c>
      <c r="BH26" s="15" t="n">
        <v>319865.65</v>
      </c>
      <c r="BI26" s="15" t="n">
        <v>1007916.26</v>
      </c>
      <c r="BJ26" s="15" t="n">
        <v>2425137.16</v>
      </c>
      <c r="BK26" s="15" t="n">
        <v>394122.34</v>
      </c>
      <c r="BL26" s="15" t="n">
        <v>970034.21</v>
      </c>
      <c r="BM26" s="15" t="n">
        <v>140003.42</v>
      </c>
      <c r="BN26" s="15" t="n">
        <v>-97995.27</v>
      </c>
      <c r="BO26" s="15" t="n">
        <v>1560755.42</v>
      </c>
      <c r="BP26" s="15" t="n">
        <v>2197811.52</v>
      </c>
      <c r="BQ26" s="15" t="n">
        <v>265116.16</v>
      </c>
      <c r="BR26" s="15" t="n">
        <v>801800.5600000001</v>
      </c>
      <c r="BS26" s="15" t="n">
        <v>23810.82</v>
      </c>
      <c r="BT26" s="15" t="n">
        <v>82802.09</v>
      </c>
      <c r="BU26" s="15" t="n">
        <v>1022301.47</v>
      </c>
      <c r="BV26" s="15" t="n">
        <v>949305.71</v>
      </c>
      <c r="BW26" s="15" t="n">
        <v>75686.7</v>
      </c>
      <c r="BX26" s="15" t="n">
        <v>630911.13</v>
      </c>
      <c r="BY26" s="15" t="n">
        <v>63912.77</v>
      </c>
      <c r="BZ26" s="15" t="n">
        <v>-15504.76</v>
      </c>
      <c r="CA26" s="15" t="n">
        <v>337728.91</v>
      </c>
      <c r="CB26" s="15" t="n">
        <v>229330.6</v>
      </c>
      <c r="CC26" s="15" t="n">
        <v>316425.67</v>
      </c>
      <c r="CD26" s="15" t="n">
        <v>815551.79</v>
      </c>
      <c r="CE26" s="15" t="n">
        <v>101769.6</v>
      </c>
      <c r="CF26" s="15" t="n">
        <v>545881.28</v>
      </c>
      <c r="CG26" s="15" t="n">
        <v>465027.77</v>
      </c>
      <c r="CH26" s="15" t="n">
        <v>213091.45</v>
      </c>
      <c r="CI26" s="15" t="n">
        <v>1158994.28</v>
      </c>
      <c r="CJ26" s="15" t="n">
        <v>597710.6</v>
      </c>
      <c r="CK26" s="15" t="n">
        <v>48471.12</v>
      </c>
      <c r="CL26" s="15" t="n">
        <v>42767.31</v>
      </c>
      <c r="CM26" s="15" t="n">
        <v>129183.05</v>
      </c>
      <c r="CN26" s="15" t="n">
        <v>648795.38</v>
      </c>
      <c r="CO26" s="15" t="n">
        <v>837418.28</v>
      </c>
      <c r="CP26" s="15" t="n">
        <v>915987.88</v>
      </c>
      <c r="CQ26" s="15" t="n">
        <v>123557.1</v>
      </c>
      <c r="CR26" s="15" t="n">
        <v>-70280.33</v>
      </c>
      <c r="CS26" s="15" t="n">
        <v>260297.93</v>
      </c>
      <c r="CT26" s="15" t="n">
        <v>1574941.6</v>
      </c>
      <c r="CU26" s="15" t="n">
        <v>918460.9399999999</v>
      </c>
      <c r="CV26" s="15" t="n">
        <v>898590.11</v>
      </c>
      <c r="CW26" s="15" t="n">
        <v>237402.17</v>
      </c>
      <c r="CX26" s="15" t="n">
        <v>-16969.28</v>
      </c>
      <c r="CY26" s="15" t="n">
        <v>1555635.19</v>
      </c>
      <c r="CZ26" s="15" t="n">
        <v>1240596.73</v>
      </c>
      <c r="DA26" s="15" t="n">
        <v>500694.17</v>
      </c>
      <c r="DB26" s="15" t="n">
        <v>905008.22</v>
      </c>
      <c r="DC26" s="15" t="n">
        <v>175884.53</v>
      </c>
      <c r="DD26" s="15" t="n">
        <v>-88319.95</v>
      </c>
      <c r="DE26" s="15" t="n">
        <v>1410346.24</v>
      </c>
      <c r="DF26" s="15" t="n">
        <v>1741140.6</v>
      </c>
      <c r="DG26" s="15" t="n">
        <v>994552.74</v>
      </c>
      <c r="DH26" s="15" t="n">
        <v>642465.71</v>
      </c>
      <c r="DI26" s="15" t="n">
        <v>189195.01</v>
      </c>
      <c r="DJ26" s="15" t="n">
        <v>-32694.9</v>
      </c>
      <c r="DK26" s="15" t="n">
        <v>947310.5600000001</v>
      </c>
      <c r="DL26" s="15" t="n">
        <v>2178607.68</v>
      </c>
      <c r="DM26" s="15" t="n">
        <v>1269055.98</v>
      </c>
      <c r="DN26" s="15" t="n">
        <v>884739.05</v>
      </c>
      <c r="DO26" s="15" t="n">
        <v>206103.04</v>
      </c>
      <c r="DP26" s="15" t="n">
        <v>48039.29</v>
      </c>
    </row>
    <row r="27">
      <c r="A27" s="4" t="inlineStr">
        <is>
          <t>日用百货</t>
        </is>
      </c>
      <c r="B27" s="15" t="n">
        <v>770363.45</v>
      </c>
      <c r="C27" s="15" t="n">
        <v>484093.92</v>
      </c>
      <c r="D27" s="15" t="n">
        <v>246073.4</v>
      </c>
      <c r="E27" s="15" t="n">
        <v>247841</v>
      </c>
      <c r="F27" s="15" t="n">
        <v>566534.28</v>
      </c>
      <c r="G27" s="15" t="n">
        <v>1040213.49</v>
      </c>
      <c r="H27" s="15" t="n">
        <v>1956387.46</v>
      </c>
      <c r="I27" s="15" t="n">
        <v>197186.8</v>
      </c>
      <c r="J27" s="15" t="n">
        <v>914013.92</v>
      </c>
      <c r="K27" s="15" t="n">
        <v>81590.96000000001</v>
      </c>
      <c r="L27" s="15" t="n">
        <v>510965.27</v>
      </c>
      <c r="M27" s="15" t="n">
        <v>636712.12</v>
      </c>
      <c r="N27" s="15" t="n">
        <v>1566075.83</v>
      </c>
      <c r="O27" s="15" t="n">
        <v>196942.86</v>
      </c>
      <c r="P27" s="15" t="n">
        <v>976605.01</v>
      </c>
      <c r="Q27" s="15" t="n">
        <v>19352.68</v>
      </c>
      <c r="R27" s="15" t="n">
        <v>508201.71</v>
      </c>
      <c r="S27" s="15" t="n">
        <v>1122801.15</v>
      </c>
      <c r="T27" s="15" t="n">
        <v>76447.28999999999</v>
      </c>
      <c r="U27" s="15" t="n">
        <v>739470.0699999999</v>
      </c>
      <c r="V27" s="15" t="n">
        <v>537708.3</v>
      </c>
      <c r="W27" s="15" t="n">
        <v>50662</v>
      </c>
      <c r="X27" s="15" t="n">
        <v>-71798.07000000001</v>
      </c>
      <c r="Y27" s="15" t="n">
        <v>538850.52</v>
      </c>
      <c r="Z27" s="15" t="n">
        <v>164138.23</v>
      </c>
      <c r="AA27" s="15" t="n">
        <v>379000.72</v>
      </c>
      <c r="AB27" s="15" t="n">
        <v>991351.05</v>
      </c>
      <c r="AC27" s="15" t="n">
        <v>181153.33</v>
      </c>
      <c r="AD27" s="15" t="n">
        <v>-91780.25999999999</v>
      </c>
      <c r="AE27" s="15" t="n">
        <v>1744357.46</v>
      </c>
      <c r="AF27" s="15" t="n">
        <v>2336075.41</v>
      </c>
      <c r="AG27" s="15" t="n">
        <v>327095.04</v>
      </c>
      <c r="AH27" s="15" t="n">
        <v>630828.47</v>
      </c>
      <c r="AI27" s="15" t="n">
        <v>144135.89</v>
      </c>
      <c r="AJ27" s="15" t="n">
        <v>-3072.72</v>
      </c>
      <c r="AK27" s="15" t="n">
        <v>1681256.05</v>
      </c>
      <c r="AL27" s="15" t="n">
        <v>460941.54</v>
      </c>
      <c r="AM27" s="15" t="n">
        <v>589246.12</v>
      </c>
      <c r="AN27" s="15" t="n">
        <v>684450.61</v>
      </c>
      <c r="AO27" s="15" t="n">
        <v>11126.75</v>
      </c>
      <c r="AP27" s="15" t="n">
        <v>631952.87</v>
      </c>
      <c r="AQ27" s="15" t="n">
        <v>1746051.86</v>
      </c>
      <c r="AR27" s="15" t="n">
        <v>576002.6800000001</v>
      </c>
      <c r="AS27" s="15" t="n">
        <v>419988.98</v>
      </c>
      <c r="AT27" s="15" t="n">
        <v>85319.03999999999</v>
      </c>
      <c r="AU27" s="15" t="n">
        <v>62191.89</v>
      </c>
      <c r="AV27" s="15" t="n">
        <v>480754.92</v>
      </c>
      <c r="AW27" s="15" t="n">
        <v>1518096.2</v>
      </c>
      <c r="AX27" s="15" t="n">
        <v>507910.5</v>
      </c>
      <c r="AY27" s="15" t="n">
        <v>692776.28</v>
      </c>
      <c r="AZ27" s="15" t="n">
        <v>168575.55</v>
      </c>
      <c r="BA27" s="15" t="n">
        <v>41151.08</v>
      </c>
      <c r="BB27" s="15" t="n">
        <v>638603.47</v>
      </c>
      <c r="BC27" s="15" t="n">
        <v>1772749.36</v>
      </c>
      <c r="BD27" s="15" t="n">
        <v>266231.68</v>
      </c>
      <c r="BE27" s="15" t="n">
        <v>194203.64</v>
      </c>
      <c r="BF27" s="15" t="n">
        <v>442286.43</v>
      </c>
      <c r="BG27" s="15" t="n">
        <v>143179.88</v>
      </c>
      <c r="BH27" s="15" t="n">
        <v>516714.65</v>
      </c>
      <c r="BI27" s="15" t="n">
        <v>364623.65</v>
      </c>
      <c r="BJ27" s="15" t="n">
        <v>2388692.2</v>
      </c>
      <c r="BK27" s="15" t="n">
        <v>1125315.67</v>
      </c>
      <c r="BL27" s="15" t="n">
        <v>175790.65</v>
      </c>
      <c r="BM27" s="15" t="n">
        <v>99638.57000000001</v>
      </c>
      <c r="BN27" s="15" t="n">
        <v>477688.26</v>
      </c>
      <c r="BO27" s="15" t="n">
        <v>238967.34</v>
      </c>
      <c r="BP27" s="15" t="n">
        <v>1905771.58</v>
      </c>
      <c r="BQ27" s="15" t="n">
        <v>619310.28</v>
      </c>
      <c r="BR27" s="15" t="n">
        <v>510481.3</v>
      </c>
      <c r="BS27" s="15" t="n">
        <v>32670.24</v>
      </c>
      <c r="BT27" s="15" t="n">
        <v>268055.43</v>
      </c>
      <c r="BU27" s="15" t="n">
        <v>1849094.17</v>
      </c>
      <c r="BV27" s="15" t="n">
        <v>1996930.45</v>
      </c>
      <c r="BW27" s="15" t="n">
        <v>1120696.37</v>
      </c>
      <c r="BX27" s="15" t="n">
        <v>417320.16</v>
      </c>
      <c r="BY27" s="15" t="n">
        <v>38246.35</v>
      </c>
      <c r="BZ27" s="15" t="n">
        <v>408132.34</v>
      </c>
      <c r="CA27" s="15" t="n">
        <v>391856.04</v>
      </c>
      <c r="CB27" s="15" t="n">
        <v>284834.18</v>
      </c>
      <c r="CC27" s="15" t="n">
        <v>307539</v>
      </c>
      <c r="CD27" s="15" t="n">
        <v>403007.18</v>
      </c>
      <c r="CE27" s="15" t="n">
        <v>67864.44</v>
      </c>
      <c r="CF27" s="15" t="n">
        <v>43892.28</v>
      </c>
      <c r="CG27" s="15" t="n">
        <v>907150.02</v>
      </c>
      <c r="CH27" s="15" t="n">
        <v>1960298.43</v>
      </c>
      <c r="CI27" s="15" t="n">
        <v>280829.17</v>
      </c>
      <c r="CJ27" s="15" t="n">
        <v>50387.92</v>
      </c>
      <c r="CK27" s="15" t="n">
        <v>145476.21</v>
      </c>
      <c r="CL27" s="15" t="n">
        <v>-28881.04</v>
      </c>
      <c r="CM27" s="15" t="n">
        <v>1384108.16</v>
      </c>
      <c r="CN27" s="15" t="n">
        <v>2331119.6</v>
      </c>
      <c r="CO27" s="15" t="n">
        <v>526872.73</v>
      </c>
      <c r="CP27" s="15" t="n">
        <v>644309.3100000001</v>
      </c>
      <c r="CQ27" s="15" t="n">
        <v>10673.21</v>
      </c>
      <c r="CR27" s="15" t="n">
        <v>703610.26</v>
      </c>
      <c r="CS27" s="15" t="n">
        <v>63374.24</v>
      </c>
      <c r="CT27" s="15" t="n">
        <v>1990255.15</v>
      </c>
      <c r="CU27" s="15" t="n">
        <v>144077.41</v>
      </c>
      <c r="CV27" s="15" t="n">
        <v>526686.8199999999</v>
      </c>
      <c r="CW27" s="15" t="n">
        <v>195930.05</v>
      </c>
      <c r="CX27" s="15" t="n">
        <v>-48448.67</v>
      </c>
      <c r="CY27" s="15" t="n">
        <v>711726.4</v>
      </c>
      <c r="CZ27" s="15" t="n">
        <v>1146028.85</v>
      </c>
      <c r="DA27" s="15" t="n">
        <v>1199187.35</v>
      </c>
      <c r="DB27" s="15" t="n">
        <v>12602.5</v>
      </c>
      <c r="DC27" s="15" t="n">
        <v>68567.16</v>
      </c>
      <c r="DD27" s="15" t="n">
        <v>171923.52</v>
      </c>
      <c r="DE27" s="15" t="n">
        <v>1113587.11</v>
      </c>
      <c r="DF27" s="15" t="n">
        <v>1061508.07</v>
      </c>
      <c r="DG27" s="15" t="n">
        <v>749400.8</v>
      </c>
      <c r="DH27" s="15" t="n">
        <v>71661.89999999999</v>
      </c>
      <c r="DI27" s="15" t="n">
        <v>196508.93</v>
      </c>
      <c r="DJ27" s="15" t="n">
        <v>328576.48</v>
      </c>
      <c r="DK27" s="15" t="n">
        <v>894881.3</v>
      </c>
      <c r="DL27" s="15" t="n">
        <v>1544430.51</v>
      </c>
      <c r="DM27" s="15" t="n">
        <v>102781.23</v>
      </c>
      <c r="DN27" s="15" t="n">
        <v>16867.97</v>
      </c>
      <c r="DO27" s="15" t="n">
        <v>165487.47</v>
      </c>
      <c r="DP27" s="15" t="n">
        <v>93138.53999999999</v>
      </c>
    </row>
    <row r="28">
      <c r="A28" s="4" t="inlineStr">
        <is>
          <t>其他产品A</t>
        </is>
      </c>
      <c r="B28" s="15" t="n">
        <v>108056.34</v>
      </c>
      <c r="C28" s="15" t="n">
        <v>690773.9300000001</v>
      </c>
      <c r="D28" s="15" t="n">
        <v>279875.67</v>
      </c>
      <c r="E28" s="15" t="n">
        <v>77058.27</v>
      </c>
      <c r="F28" s="15" t="n">
        <v>-65713.11</v>
      </c>
      <c r="G28" s="15" t="n">
        <v>1870177.29</v>
      </c>
      <c r="H28" s="15" t="n">
        <v>619117.02</v>
      </c>
      <c r="I28" s="15" t="n">
        <v>511679.43</v>
      </c>
      <c r="J28" s="15" t="n">
        <v>896840.05</v>
      </c>
      <c r="K28" s="15" t="n">
        <v>25631.63</v>
      </c>
      <c r="L28" s="15" t="n">
        <v>667354.49</v>
      </c>
      <c r="M28" s="15" t="n">
        <v>906057.3</v>
      </c>
      <c r="N28" s="15" t="n">
        <v>1163677.94</v>
      </c>
      <c r="O28" s="15" t="n">
        <v>904566.1899999999</v>
      </c>
      <c r="P28" s="15" t="n">
        <v>448263.98</v>
      </c>
      <c r="Q28" s="15" t="n">
        <v>232812.6</v>
      </c>
      <c r="R28" s="15" t="n">
        <v>16913.56</v>
      </c>
      <c r="S28" s="15" t="n">
        <v>407300.54</v>
      </c>
      <c r="T28" s="15" t="n">
        <v>113206.89</v>
      </c>
      <c r="U28" s="15" t="n">
        <v>1274723.7</v>
      </c>
      <c r="V28" s="15" t="n">
        <v>551672.0600000001</v>
      </c>
      <c r="W28" s="15" t="n">
        <v>62883.24</v>
      </c>
      <c r="X28" s="15" t="n">
        <v>-90750.14999999999</v>
      </c>
      <c r="Y28" s="15" t="n">
        <v>251562.48</v>
      </c>
      <c r="Z28" s="15" t="n">
        <v>1890945.89</v>
      </c>
      <c r="AA28" s="15" t="n">
        <v>122920.07</v>
      </c>
      <c r="AB28" s="15" t="n">
        <v>201344.75</v>
      </c>
      <c r="AC28" s="15" t="n">
        <v>11783.65</v>
      </c>
      <c r="AD28" s="15" t="n">
        <v>661082.48</v>
      </c>
      <c r="AE28" s="15" t="n">
        <v>1705670.49</v>
      </c>
      <c r="AF28" s="15" t="n">
        <v>1358700.53</v>
      </c>
      <c r="AG28" s="15" t="n">
        <v>137304.12</v>
      </c>
      <c r="AH28" s="15" t="n">
        <v>621771.46</v>
      </c>
      <c r="AI28" s="15" t="n">
        <v>14687.36</v>
      </c>
      <c r="AJ28" s="15" t="n">
        <v>-74950.32000000001</v>
      </c>
      <c r="AK28" s="15" t="n">
        <v>633583.77</v>
      </c>
      <c r="AL28" s="15" t="n">
        <v>1033012.89</v>
      </c>
      <c r="AM28" s="15" t="n">
        <v>124397.46</v>
      </c>
      <c r="AN28" s="15" t="n">
        <v>677663.99</v>
      </c>
      <c r="AO28" s="15" t="n">
        <v>161319.03</v>
      </c>
      <c r="AP28" s="15" t="n">
        <v>607133.09</v>
      </c>
      <c r="AQ28" s="15" t="n">
        <v>1717487.55</v>
      </c>
      <c r="AR28" s="15" t="n">
        <v>1212815.73</v>
      </c>
      <c r="AS28" s="15" t="n">
        <v>144130.65</v>
      </c>
      <c r="AT28" s="15" t="n">
        <v>97828.33</v>
      </c>
      <c r="AU28" s="15" t="n">
        <v>17010.84</v>
      </c>
      <c r="AV28" s="15" t="n">
        <v>233945.45</v>
      </c>
      <c r="AW28" s="15" t="n">
        <v>1099907.53</v>
      </c>
      <c r="AX28" s="15" t="n">
        <v>2350942.86</v>
      </c>
      <c r="AY28" s="15" t="n">
        <v>1290976.77</v>
      </c>
      <c r="AZ28" s="15" t="n">
        <v>571072.9300000001</v>
      </c>
      <c r="BA28" s="15" t="n">
        <v>228528</v>
      </c>
      <c r="BB28" s="15" t="n">
        <v>372728.06</v>
      </c>
      <c r="BC28" s="15" t="n">
        <v>1906171.98</v>
      </c>
      <c r="BD28" s="15" t="n">
        <v>1595350.44</v>
      </c>
      <c r="BE28" s="15" t="n">
        <v>161660.35</v>
      </c>
      <c r="BF28" s="15" t="n">
        <v>895291.9</v>
      </c>
      <c r="BG28" s="15" t="n">
        <v>197429.94</v>
      </c>
      <c r="BH28" s="15" t="n">
        <v>116423.97</v>
      </c>
      <c r="BI28" s="15" t="n">
        <v>149780.54</v>
      </c>
      <c r="BJ28" s="15" t="n">
        <v>1858776.42</v>
      </c>
      <c r="BK28" s="15" t="n">
        <v>918122.5</v>
      </c>
      <c r="BL28" s="15" t="n">
        <v>314826.53</v>
      </c>
      <c r="BM28" s="15" t="n">
        <v>77951.83</v>
      </c>
      <c r="BN28" s="15" t="n">
        <v>482028.99</v>
      </c>
      <c r="BO28" s="15" t="n">
        <v>1882465.98</v>
      </c>
      <c r="BP28" s="15" t="n">
        <v>1378901.38</v>
      </c>
      <c r="BQ28" s="15" t="n">
        <v>996736.9</v>
      </c>
      <c r="BR28" s="15" t="n">
        <v>129265.63</v>
      </c>
      <c r="BS28" s="15" t="n">
        <v>20298</v>
      </c>
      <c r="BT28" s="15" t="n">
        <v>5652.48</v>
      </c>
      <c r="BU28" s="15" t="n">
        <v>1993716.95</v>
      </c>
      <c r="BV28" s="15" t="n">
        <v>2374635.64</v>
      </c>
      <c r="BW28" s="15" t="n">
        <v>433330.85</v>
      </c>
      <c r="BX28" s="15" t="n">
        <v>909697.79</v>
      </c>
      <c r="BY28" s="15" t="n">
        <v>176181.75</v>
      </c>
      <c r="BZ28" s="15" t="n">
        <v>324870.43</v>
      </c>
      <c r="CA28" s="15" t="n">
        <v>1402597.11</v>
      </c>
      <c r="CB28" s="15" t="n">
        <v>1188569.15</v>
      </c>
      <c r="CC28" s="15" t="n">
        <v>641656.55</v>
      </c>
      <c r="CD28" s="15" t="n">
        <v>80514.41</v>
      </c>
      <c r="CE28" s="15" t="n">
        <v>215825.37</v>
      </c>
      <c r="CF28" s="15" t="n">
        <v>9859.360000000001</v>
      </c>
      <c r="CG28" s="15" t="n">
        <v>1146408.92</v>
      </c>
      <c r="CH28" s="15" t="n">
        <v>1857594.07</v>
      </c>
      <c r="CI28" s="15" t="n">
        <v>171756.93</v>
      </c>
      <c r="CJ28" s="15" t="n">
        <v>48620.43</v>
      </c>
      <c r="CK28" s="15" t="n">
        <v>42553.24</v>
      </c>
      <c r="CL28" s="15" t="n">
        <v>-19626.22</v>
      </c>
      <c r="CM28" s="15" t="n">
        <v>867444.5600000001</v>
      </c>
      <c r="CN28" s="15" t="n">
        <v>861210.12</v>
      </c>
      <c r="CO28" s="15" t="n">
        <v>1400019.52</v>
      </c>
      <c r="CP28" s="15" t="n">
        <v>488339.26</v>
      </c>
      <c r="CQ28" s="15" t="n">
        <v>237169.31</v>
      </c>
      <c r="CR28" s="15" t="n">
        <v>544625.03</v>
      </c>
      <c r="CS28" s="15" t="n">
        <v>118639.02</v>
      </c>
      <c r="CT28" s="15" t="n">
        <v>2216559.61</v>
      </c>
      <c r="CU28" s="15" t="n">
        <v>1008256.58</v>
      </c>
      <c r="CV28" s="15" t="n">
        <v>559567.63</v>
      </c>
      <c r="CW28" s="15" t="n">
        <v>66637.73</v>
      </c>
      <c r="CX28" s="15" t="n">
        <v>737399.54</v>
      </c>
      <c r="CY28" s="15" t="n">
        <v>1916214.12</v>
      </c>
      <c r="CZ28" s="15" t="n">
        <v>798067.53</v>
      </c>
      <c r="DA28" s="15" t="n">
        <v>772058.3199999999</v>
      </c>
      <c r="DB28" s="15" t="n">
        <v>170541.16</v>
      </c>
      <c r="DC28" s="15" t="n">
        <v>117809.96</v>
      </c>
      <c r="DD28" s="15" t="n">
        <v>15587.15</v>
      </c>
      <c r="DE28" s="15" t="n">
        <v>1729593.97</v>
      </c>
      <c r="DF28" s="15" t="n">
        <v>1834894.41</v>
      </c>
      <c r="DG28" s="15" t="n">
        <v>117198.49</v>
      </c>
      <c r="DH28" s="15" t="n">
        <v>918232.08</v>
      </c>
      <c r="DI28" s="15" t="n">
        <v>160847.19</v>
      </c>
      <c r="DJ28" s="15" t="n">
        <v>447682.93</v>
      </c>
      <c r="DK28" s="15" t="n">
        <v>397868.86</v>
      </c>
      <c r="DL28" s="15" t="n">
        <v>706043.88</v>
      </c>
      <c r="DM28" s="15" t="n">
        <v>859121.83</v>
      </c>
      <c r="DN28" s="15" t="n">
        <v>479558.33</v>
      </c>
      <c r="DO28" s="15" t="n">
        <v>62751.5</v>
      </c>
      <c r="DP28" s="15" t="n">
        <v>502440.53</v>
      </c>
    </row>
    <row r="29">
      <c r="A29" s="4" t="inlineStr">
        <is>
          <t>其他产品B</t>
        </is>
      </c>
      <c r="B29" s="15" t="n">
        <v>1272184.66</v>
      </c>
      <c r="C29" s="15" t="n">
        <v>1468351.04</v>
      </c>
      <c r="D29" s="15" t="n">
        <v>957743.6</v>
      </c>
      <c r="E29" s="15" t="n">
        <v>156752.79</v>
      </c>
      <c r="F29" s="15" t="n">
        <v>644946.39</v>
      </c>
      <c r="G29" s="15" t="n">
        <v>412741.8</v>
      </c>
      <c r="H29" s="15" t="n">
        <v>1590120.43</v>
      </c>
      <c r="I29" s="15" t="n">
        <v>528991.92</v>
      </c>
      <c r="J29" s="15" t="n">
        <v>477871.8</v>
      </c>
      <c r="K29" s="15" t="n">
        <v>172693.1</v>
      </c>
      <c r="L29" s="15" t="n">
        <v>-86488.16</v>
      </c>
      <c r="M29" s="15" t="n">
        <v>1412054.37</v>
      </c>
      <c r="N29" s="15" t="n">
        <v>674593.35</v>
      </c>
      <c r="O29" s="15" t="n">
        <v>1344591.33</v>
      </c>
      <c r="P29" s="15" t="n">
        <v>616282.83</v>
      </c>
      <c r="Q29" s="15" t="n">
        <v>145954.92</v>
      </c>
      <c r="R29" s="15" t="n">
        <v>240751.31</v>
      </c>
      <c r="S29" s="15" t="n">
        <v>870428.46</v>
      </c>
      <c r="T29" s="15" t="n">
        <v>1798975.13</v>
      </c>
      <c r="U29" s="15" t="n">
        <v>1205867.82</v>
      </c>
      <c r="V29" s="15" t="n">
        <v>315251.45</v>
      </c>
      <c r="W29" s="15" t="n">
        <v>99110.44</v>
      </c>
      <c r="X29" s="15" t="n">
        <v>353658.15</v>
      </c>
      <c r="Y29" s="15" t="n">
        <v>562471.58</v>
      </c>
      <c r="Z29" s="15" t="n">
        <v>1709456.32</v>
      </c>
      <c r="AA29" s="15" t="n">
        <v>395239.07</v>
      </c>
      <c r="AB29" s="15" t="n">
        <v>561664.39</v>
      </c>
      <c r="AC29" s="15" t="n">
        <v>83178.31</v>
      </c>
      <c r="AD29" s="15" t="n">
        <v>544976.39</v>
      </c>
      <c r="AE29" s="15" t="n">
        <v>1600286.17</v>
      </c>
      <c r="AF29" s="15" t="n">
        <v>899668.27</v>
      </c>
      <c r="AG29" s="15" t="n">
        <v>1073865.69</v>
      </c>
      <c r="AH29" s="15" t="n">
        <v>606782.4</v>
      </c>
      <c r="AI29" s="15" t="n">
        <v>140503.05</v>
      </c>
      <c r="AJ29" s="15" t="n">
        <v>369928.47</v>
      </c>
      <c r="AK29" s="15" t="n">
        <v>1336566.35</v>
      </c>
      <c r="AL29" s="15" t="n">
        <v>1042889.88</v>
      </c>
      <c r="AM29" s="15" t="n">
        <v>1189880.03</v>
      </c>
      <c r="AN29" s="15" t="n">
        <v>163965.69</v>
      </c>
      <c r="AO29" s="15" t="n">
        <v>65987.45</v>
      </c>
      <c r="AP29" s="15" t="n">
        <v>727313.12</v>
      </c>
      <c r="AQ29" s="15" t="n">
        <v>1738380.87</v>
      </c>
      <c r="AR29" s="15" t="n">
        <v>2084567.96</v>
      </c>
      <c r="AS29" s="15" t="n">
        <v>1289624.77</v>
      </c>
      <c r="AT29" s="15" t="n">
        <v>896004.6</v>
      </c>
      <c r="AU29" s="15" t="n">
        <v>235073.78</v>
      </c>
      <c r="AV29" s="15" t="n">
        <v>436153.41</v>
      </c>
      <c r="AW29" s="15" t="n">
        <v>150780.98</v>
      </c>
      <c r="AX29" s="15" t="n">
        <v>305683.21</v>
      </c>
      <c r="AY29" s="15" t="n">
        <v>653466.36</v>
      </c>
      <c r="AZ29" s="15" t="n">
        <v>253384.79</v>
      </c>
      <c r="BA29" s="15" t="n">
        <v>195988.39</v>
      </c>
      <c r="BB29" s="15" t="n">
        <v>-812.73</v>
      </c>
      <c r="BC29" s="15" t="n">
        <v>1394666.77</v>
      </c>
      <c r="BD29" s="15" t="n">
        <v>376321.74</v>
      </c>
      <c r="BE29" s="15" t="n">
        <v>580366.62</v>
      </c>
      <c r="BF29" s="15" t="n">
        <v>692816.3</v>
      </c>
      <c r="BG29" s="15" t="n">
        <v>67579.36</v>
      </c>
      <c r="BH29" s="15" t="n">
        <v>485679.93</v>
      </c>
      <c r="BI29" s="15" t="n">
        <v>713002.39</v>
      </c>
      <c r="BJ29" s="15" t="n">
        <v>2432115.98</v>
      </c>
      <c r="BK29" s="15" t="n">
        <v>640935.4399999999</v>
      </c>
      <c r="BL29" s="15" t="n">
        <v>407140.02</v>
      </c>
      <c r="BM29" s="15" t="n">
        <v>200929.19</v>
      </c>
      <c r="BN29" s="15" t="n">
        <v>348952.2</v>
      </c>
      <c r="BO29" s="15" t="n">
        <v>862396.6</v>
      </c>
      <c r="BP29" s="15" t="n">
        <v>2222890.82</v>
      </c>
      <c r="BQ29" s="15" t="n">
        <v>316588.66</v>
      </c>
      <c r="BR29" s="15" t="n">
        <v>464776.38</v>
      </c>
      <c r="BS29" s="15" t="n">
        <v>74411.53</v>
      </c>
      <c r="BT29" s="15" t="n">
        <v>126392.83</v>
      </c>
      <c r="BU29" s="15" t="n">
        <v>751616.77</v>
      </c>
      <c r="BV29" s="15" t="n">
        <v>1805674.31</v>
      </c>
      <c r="BW29" s="15" t="n">
        <v>1118088.89</v>
      </c>
      <c r="BX29" s="15" t="n">
        <v>885188.49</v>
      </c>
      <c r="BY29" s="15" t="n">
        <v>236107.41</v>
      </c>
      <c r="BZ29" s="15" t="n">
        <v>72877.91</v>
      </c>
      <c r="CA29" s="15" t="n">
        <v>1747675.1</v>
      </c>
      <c r="CB29" s="15" t="n">
        <v>2338337.55</v>
      </c>
      <c r="CC29" s="15" t="n">
        <v>153557.5</v>
      </c>
      <c r="CD29" s="15" t="n">
        <v>114200.37</v>
      </c>
      <c r="CE29" s="15" t="n">
        <v>88185.82000000001</v>
      </c>
      <c r="CF29" s="15" t="n">
        <v>655997.28</v>
      </c>
      <c r="CG29" s="15" t="n">
        <v>559354.27</v>
      </c>
      <c r="CH29" s="15" t="n">
        <v>2479485.39</v>
      </c>
      <c r="CI29" s="15" t="n">
        <v>518701.25</v>
      </c>
      <c r="CJ29" s="15" t="n">
        <v>645129.5600000001</v>
      </c>
      <c r="CK29" s="15" t="n">
        <v>45841.64</v>
      </c>
      <c r="CL29" s="15" t="n">
        <v>591008.52</v>
      </c>
      <c r="CM29" s="15" t="n">
        <v>1278281.85</v>
      </c>
      <c r="CN29" s="15" t="n">
        <v>1352122.58</v>
      </c>
      <c r="CO29" s="15" t="n">
        <v>469945.45</v>
      </c>
      <c r="CP29" s="15" t="n">
        <v>857730.52</v>
      </c>
      <c r="CQ29" s="15" t="n">
        <v>193227.48</v>
      </c>
      <c r="CR29" s="15" t="n">
        <v>221780.6</v>
      </c>
      <c r="CS29" s="15" t="n">
        <v>1031107.51</v>
      </c>
      <c r="CT29" s="15" t="n">
        <v>2253116.91</v>
      </c>
      <c r="CU29" s="15" t="n">
        <v>139653.69</v>
      </c>
      <c r="CV29" s="15" t="n">
        <v>627800.04</v>
      </c>
      <c r="CW29" s="15" t="n">
        <v>35139.02</v>
      </c>
      <c r="CX29" s="15" t="n">
        <v>673372.51</v>
      </c>
      <c r="CY29" s="15" t="n">
        <v>575297.05</v>
      </c>
      <c r="CZ29" s="15" t="n">
        <v>1253242.05</v>
      </c>
      <c r="DA29" s="15" t="n">
        <v>927362.64</v>
      </c>
      <c r="DB29" s="15" t="n">
        <v>903054.7</v>
      </c>
      <c r="DC29" s="15" t="n">
        <v>166853.75</v>
      </c>
      <c r="DD29" s="15" t="n">
        <v>145032.37</v>
      </c>
      <c r="DE29" s="15" t="n">
        <v>1189806.26</v>
      </c>
      <c r="DF29" s="15" t="n">
        <v>2202183.43</v>
      </c>
      <c r="DG29" s="15" t="n">
        <v>1486324.87</v>
      </c>
      <c r="DH29" s="15" t="n">
        <v>181794.15</v>
      </c>
      <c r="DI29" s="15" t="n">
        <v>113027.14</v>
      </c>
      <c r="DJ29" s="15" t="n">
        <v>73652.83</v>
      </c>
      <c r="DK29" s="15" t="n">
        <v>460239.04</v>
      </c>
      <c r="DL29" s="15" t="n">
        <v>2273166.69</v>
      </c>
      <c r="DM29" s="15" t="n">
        <v>938932.03</v>
      </c>
      <c r="DN29" s="15" t="n">
        <v>883330.91</v>
      </c>
      <c r="DO29" s="15" t="n">
        <v>96791.00999999999</v>
      </c>
      <c r="DP29" s="15" t="n">
        <v>448375.18</v>
      </c>
    </row>
    <row r="30">
      <c r="A30" s="4" t="inlineStr">
        <is>
          <t>其他产品C</t>
        </is>
      </c>
      <c r="B30" s="15" t="n">
        <v>2039356.25</v>
      </c>
      <c r="C30" s="15" t="n">
        <v>559396.4</v>
      </c>
      <c r="D30" s="15" t="n">
        <v>855526.47</v>
      </c>
      <c r="E30" s="15" t="n">
        <v>19983.05</v>
      </c>
      <c r="F30" s="15" t="n">
        <v>168671.74</v>
      </c>
      <c r="G30" s="15" t="n">
        <v>273689.57</v>
      </c>
      <c r="H30" s="15" t="n">
        <v>953030.62</v>
      </c>
      <c r="I30" s="15" t="n">
        <v>1417488.56</v>
      </c>
      <c r="J30" s="15" t="n">
        <v>84541.46000000001</v>
      </c>
      <c r="K30" s="15" t="n">
        <v>134612.9</v>
      </c>
      <c r="L30" s="15" t="n">
        <v>628137.3199999999</v>
      </c>
      <c r="M30" s="15" t="n">
        <v>981009.74</v>
      </c>
      <c r="N30" s="15" t="n">
        <v>1443648.19</v>
      </c>
      <c r="O30" s="15" t="n">
        <v>1378579.97</v>
      </c>
      <c r="P30" s="15" t="n">
        <v>898707.97</v>
      </c>
      <c r="Q30" s="15" t="n">
        <v>16935.58</v>
      </c>
      <c r="R30" s="15" t="n">
        <v>714181.54</v>
      </c>
      <c r="S30" s="15" t="n">
        <v>1633023.37</v>
      </c>
      <c r="T30" s="15" t="n">
        <v>1416377.55</v>
      </c>
      <c r="U30" s="15" t="n">
        <v>412310.83</v>
      </c>
      <c r="V30" s="15" t="n">
        <v>742748.73</v>
      </c>
      <c r="W30" s="15" t="n">
        <v>249422.33</v>
      </c>
      <c r="X30" s="15" t="n">
        <v>-78145.59</v>
      </c>
      <c r="Y30" s="15" t="n">
        <v>1026217.39</v>
      </c>
      <c r="Z30" s="15" t="n">
        <v>393769.39</v>
      </c>
      <c r="AA30" s="15" t="n">
        <v>624617.88</v>
      </c>
      <c r="AB30" s="15" t="n">
        <v>306861.47</v>
      </c>
      <c r="AC30" s="15" t="n">
        <v>237784.77</v>
      </c>
      <c r="AD30" s="15" t="n">
        <v>531368.47</v>
      </c>
      <c r="AE30" s="15" t="n">
        <v>1088742.43</v>
      </c>
      <c r="AF30" s="15" t="n">
        <v>1717358.49</v>
      </c>
      <c r="AG30" s="15" t="n">
        <v>1468364.11</v>
      </c>
      <c r="AH30" s="15" t="n">
        <v>940372.0600000001</v>
      </c>
      <c r="AI30" s="15" t="n">
        <v>80591.94</v>
      </c>
      <c r="AJ30" s="15" t="n">
        <v>533060.5699999999</v>
      </c>
      <c r="AK30" s="15" t="n">
        <v>1976060.62</v>
      </c>
      <c r="AL30" s="15" t="n">
        <v>1607438.72</v>
      </c>
      <c r="AM30" s="15" t="n">
        <v>1383746.77</v>
      </c>
      <c r="AN30" s="15" t="n">
        <v>635585.3100000001</v>
      </c>
      <c r="AO30" s="15" t="n">
        <v>8245.34</v>
      </c>
      <c r="AP30" s="15" t="n">
        <v>257610.61</v>
      </c>
      <c r="AQ30" s="15" t="n">
        <v>1497154.15</v>
      </c>
      <c r="AR30" s="15" t="n">
        <v>1003678.35</v>
      </c>
      <c r="AS30" s="15" t="n">
        <v>1096328.89</v>
      </c>
      <c r="AT30" s="15" t="n">
        <v>383843.68</v>
      </c>
      <c r="AU30" s="15" t="n">
        <v>216905.12</v>
      </c>
      <c r="AV30" s="15" t="n">
        <v>432657.23</v>
      </c>
      <c r="AW30" s="15" t="n">
        <v>514997.32</v>
      </c>
      <c r="AX30" s="15" t="n">
        <v>1142391.07</v>
      </c>
      <c r="AY30" s="15" t="n">
        <v>484981.94</v>
      </c>
      <c r="AZ30" s="15" t="n">
        <v>111415.45</v>
      </c>
      <c r="BA30" s="15" t="n">
        <v>203952.43</v>
      </c>
      <c r="BB30" s="15" t="n">
        <v>579132.6899999999</v>
      </c>
      <c r="BC30" s="15" t="n">
        <v>1599770.54</v>
      </c>
      <c r="BD30" s="15" t="n">
        <v>1321238.17</v>
      </c>
      <c r="BE30" s="15" t="n">
        <v>751894.22</v>
      </c>
      <c r="BF30" s="15" t="n">
        <v>956194.62</v>
      </c>
      <c r="BG30" s="15" t="n">
        <v>159062.36</v>
      </c>
      <c r="BH30" s="15" t="n">
        <v>227893.86</v>
      </c>
      <c r="BI30" s="15" t="n">
        <v>57550.26</v>
      </c>
      <c r="BJ30" s="15" t="n">
        <v>239940.13</v>
      </c>
      <c r="BK30" s="15" t="n">
        <v>1165932.6</v>
      </c>
      <c r="BL30" s="15" t="n">
        <v>443392.97</v>
      </c>
      <c r="BM30" s="15" t="n">
        <v>90749.09</v>
      </c>
      <c r="BN30" s="15" t="n">
        <v>-92359.59</v>
      </c>
      <c r="BO30" s="15" t="n">
        <v>250662.95</v>
      </c>
      <c r="BP30" s="15" t="n">
        <v>453490.35</v>
      </c>
      <c r="BQ30" s="15" t="n">
        <v>33271.43</v>
      </c>
      <c r="BR30" s="15" t="n">
        <v>729875.73</v>
      </c>
      <c r="BS30" s="15" t="n">
        <v>51797.65</v>
      </c>
      <c r="BT30" s="15" t="n">
        <v>253017.65</v>
      </c>
      <c r="BU30" s="15" t="n">
        <v>43229.54</v>
      </c>
      <c r="BV30" s="15" t="n">
        <v>673082.54</v>
      </c>
      <c r="BW30" s="15" t="n">
        <v>107473.73</v>
      </c>
      <c r="BX30" s="15" t="n">
        <v>911260.83</v>
      </c>
      <c r="BY30" s="15" t="n">
        <v>122746.46</v>
      </c>
      <c r="BZ30" s="15" t="n">
        <v>374233.57</v>
      </c>
      <c r="CA30" s="15" t="n">
        <v>1630256.32</v>
      </c>
      <c r="CB30" s="15" t="n">
        <v>1375777.16</v>
      </c>
      <c r="CC30" s="15" t="n">
        <v>1190127.76</v>
      </c>
      <c r="CD30" s="15" t="n">
        <v>962617.76</v>
      </c>
      <c r="CE30" s="15" t="n">
        <v>130302.17</v>
      </c>
      <c r="CF30" s="15" t="n">
        <v>92810.32000000001</v>
      </c>
      <c r="CG30" s="15" t="n">
        <v>301981.95</v>
      </c>
      <c r="CH30" s="15" t="n">
        <v>2317482.9</v>
      </c>
      <c r="CI30" s="15" t="n">
        <v>118314.54</v>
      </c>
      <c r="CJ30" s="15" t="n">
        <v>397199.6</v>
      </c>
      <c r="CK30" s="15" t="n">
        <v>24587.35</v>
      </c>
      <c r="CL30" s="15" t="n">
        <v>535402.92</v>
      </c>
      <c r="CM30" s="15" t="n">
        <v>1249514.56</v>
      </c>
      <c r="CN30" s="15" t="n">
        <v>773624.13</v>
      </c>
      <c r="CO30" s="15" t="n">
        <v>576730.72</v>
      </c>
      <c r="CP30" s="15" t="n">
        <v>851962.29</v>
      </c>
      <c r="CQ30" s="15" t="n">
        <v>156526.92</v>
      </c>
      <c r="CR30" s="15" t="n">
        <v>548430.9399999999</v>
      </c>
      <c r="CS30" s="15" t="n">
        <v>1251057.52</v>
      </c>
      <c r="CT30" s="15" t="n">
        <v>2045314.24</v>
      </c>
      <c r="CU30" s="15" t="n">
        <v>1136104.52</v>
      </c>
      <c r="CV30" s="15" t="n">
        <v>458132.03</v>
      </c>
      <c r="CW30" s="15" t="n">
        <v>219398.61</v>
      </c>
      <c r="CX30" s="15" t="n">
        <v>39337.67</v>
      </c>
      <c r="CY30" s="15" t="n">
        <v>1865612.96</v>
      </c>
      <c r="CZ30" s="15" t="n">
        <v>1635961.7</v>
      </c>
      <c r="DA30" s="15" t="n">
        <v>450298.85</v>
      </c>
      <c r="DB30" s="15" t="n">
        <v>285481.92</v>
      </c>
      <c r="DC30" s="15" t="n">
        <v>71073.17999999999</v>
      </c>
      <c r="DD30" s="15" t="n">
        <v>118779.98</v>
      </c>
      <c r="DE30" s="15" t="n">
        <v>67127.34</v>
      </c>
      <c r="DF30" s="15" t="n">
        <v>1215429.81</v>
      </c>
      <c r="DG30" s="15" t="n">
        <v>1268017.1</v>
      </c>
      <c r="DH30" s="15" t="n">
        <v>177884.1</v>
      </c>
      <c r="DI30" s="15" t="n">
        <v>177861.36</v>
      </c>
      <c r="DJ30" s="15" t="n">
        <v>353271.13</v>
      </c>
      <c r="DK30" s="15" t="n">
        <v>869350.51</v>
      </c>
      <c r="DL30" s="15" t="n">
        <v>1810087.09</v>
      </c>
      <c r="DM30" s="15" t="n">
        <v>550328.29</v>
      </c>
      <c r="DN30" s="15" t="n">
        <v>374531.92</v>
      </c>
      <c r="DO30" s="15" t="n">
        <v>132110.66</v>
      </c>
      <c r="DP30" s="15" t="n">
        <v>687615.91</v>
      </c>
    </row>
    <row r="31">
      <c r="A31" s="4" t="inlineStr">
        <is>
          <t>生鲜蔬果</t>
        </is>
      </c>
      <c r="B31" s="15" t="n">
        <v>839040.65</v>
      </c>
      <c r="C31" s="15" t="n">
        <v>910492.23</v>
      </c>
      <c r="D31" s="15" t="n">
        <v>868468.95</v>
      </c>
      <c r="E31" s="15" t="n">
        <v>71948.84</v>
      </c>
      <c r="F31" s="15" t="n">
        <v>728993.08</v>
      </c>
      <c r="G31" s="15" t="n">
        <v>1333008.28</v>
      </c>
      <c r="H31" s="15" t="n">
        <v>1758946.41</v>
      </c>
      <c r="I31" s="15" t="n">
        <v>343609.92</v>
      </c>
      <c r="J31" s="15" t="n">
        <v>755986.48</v>
      </c>
      <c r="K31" s="15" t="n">
        <v>124995.53</v>
      </c>
      <c r="L31" s="15" t="n">
        <v>550154.14</v>
      </c>
      <c r="M31" s="15" t="n">
        <v>1027532.32</v>
      </c>
      <c r="N31" s="15" t="n">
        <v>1502931.82</v>
      </c>
      <c r="O31" s="15" t="n">
        <v>72210.7</v>
      </c>
      <c r="P31" s="15" t="n">
        <v>321247.69</v>
      </c>
      <c r="Q31" s="15" t="n">
        <v>122075.81</v>
      </c>
      <c r="R31" s="15" t="n">
        <v>298844.55</v>
      </c>
      <c r="S31" s="15" t="n">
        <v>1648757.46</v>
      </c>
      <c r="T31" s="15" t="n">
        <v>1621215.35</v>
      </c>
      <c r="U31" s="15" t="n">
        <v>1277467.93</v>
      </c>
      <c r="V31" s="15" t="n">
        <v>216885.78</v>
      </c>
      <c r="W31" s="15" t="n">
        <v>113676.63</v>
      </c>
      <c r="X31" s="15" t="n">
        <v>-86511.28</v>
      </c>
      <c r="Y31" s="15" t="n">
        <v>651290.62</v>
      </c>
      <c r="Z31" s="15" t="n">
        <v>1583049.95</v>
      </c>
      <c r="AA31" s="15" t="n">
        <v>89330.95</v>
      </c>
      <c r="AB31" s="15" t="n">
        <v>590763.78</v>
      </c>
      <c r="AC31" s="15" t="n">
        <v>153284.83</v>
      </c>
      <c r="AD31" s="15" t="n">
        <v>520298.8</v>
      </c>
      <c r="AE31" s="15" t="n">
        <v>1089551.39</v>
      </c>
      <c r="AF31" s="15" t="n">
        <v>825324.59</v>
      </c>
      <c r="AG31" s="15" t="n">
        <v>1164664.7</v>
      </c>
      <c r="AH31" s="15" t="n">
        <v>819134.85</v>
      </c>
      <c r="AI31" s="15" t="n">
        <v>61321.93</v>
      </c>
      <c r="AJ31" s="15" t="n">
        <v>-52676.41</v>
      </c>
      <c r="AK31" s="15" t="n">
        <v>503308.56</v>
      </c>
      <c r="AL31" s="15" t="n">
        <v>2434057.08</v>
      </c>
      <c r="AM31" s="15" t="n">
        <v>667466.47</v>
      </c>
      <c r="AN31" s="15" t="n">
        <v>35162.48</v>
      </c>
      <c r="AO31" s="15" t="n">
        <v>37675.13</v>
      </c>
      <c r="AP31" s="15" t="n">
        <v>202229.97</v>
      </c>
      <c r="AQ31" s="15" t="n">
        <v>1121015.79</v>
      </c>
      <c r="AR31" s="15" t="n">
        <v>1054046.41</v>
      </c>
      <c r="AS31" s="15" t="n">
        <v>960105.73</v>
      </c>
      <c r="AT31" s="15" t="n">
        <v>389236.18</v>
      </c>
      <c r="AU31" s="15" t="n">
        <v>180588.38</v>
      </c>
      <c r="AV31" s="15" t="n">
        <v>626405.47</v>
      </c>
      <c r="AW31" s="15" t="n">
        <v>861521.83</v>
      </c>
      <c r="AX31" s="15" t="n">
        <v>925204.5600000001</v>
      </c>
      <c r="AY31" s="15" t="n">
        <v>1024474.48</v>
      </c>
      <c r="AZ31" s="15" t="n">
        <v>908129.71</v>
      </c>
      <c r="BA31" s="15" t="n">
        <v>101234.97</v>
      </c>
      <c r="BB31" s="15" t="n">
        <v>670741.21</v>
      </c>
      <c r="BC31" s="15" t="n">
        <v>680240.62</v>
      </c>
      <c r="BD31" s="15" t="n">
        <v>250624.62</v>
      </c>
      <c r="BE31" s="15" t="n">
        <v>281977.29</v>
      </c>
      <c r="BF31" s="15" t="n">
        <v>66371.05</v>
      </c>
      <c r="BG31" s="15" t="n">
        <v>127600.13</v>
      </c>
      <c r="BH31" s="15" t="n">
        <v>10101.02</v>
      </c>
      <c r="BI31" s="15" t="n">
        <v>363781.4</v>
      </c>
      <c r="BJ31" s="15" t="n">
        <v>385105.99</v>
      </c>
      <c r="BK31" s="15" t="n">
        <v>486878.17</v>
      </c>
      <c r="BL31" s="15" t="n">
        <v>658846.26</v>
      </c>
      <c r="BM31" s="15" t="n">
        <v>229144.7</v>
      </c>
      <c r="BN31" s="15" t="n">
        <v>347437.42</v>
      </c>
      <c r="BO31" s="15" t="n">
        <v>1757840.29</v>
      </c>
      <c r="BP31" s="15" t="n">
        <v>370106.62</v>
      </c>
      <c r="BQ31" s="15" t="n">
        <v>437811.88</v>
      </c>
      <c r="BR31" s="15" t="n">
        <v>586603.54</v>
      </c>
      <c r="BS31" s="15" t="n">
        <v>19916.9</v>
      </c>
      <c r="BT31" s="15" t="n">
        <v>196683.89</v>
      </c>
      <c r="BU31" s="15" t="n">
        <v>1580908.9</v>
      </c>
      <c r="BV31" s="15" t="n">
        <v>1601346.09</v>
      </c>
      <c r="BW31" s="15" t="n">
        <v>502825.97</v>
      </c>
      <c r="BX31" s="15" t="n">
        <v>379766.02</v>
      </c>
      <c r="BY31" s="15" t="n">
        <v>87409.7</v>
      </c>
      <c r="BZ31" s="15" t="n">
        <v>580937.7</v>
      </c>
      <c r="CA31" s="15" t="n">
        <v>1296183.14</v>
      </c>
      <c r="CB31" s="15" t="n">
        <v>1203042.27</v>
      </c>
      <c r="CC31" s="15" t="n">
        <v>696140.49</v>
      </c>
      <c r="CD31" s="15" t="n">
        <v>732597.16</v>
      </c>
      <c r="CE31" s="15" t="n">
        <v>149723.88</v>
      </c>
      <c r="CF31" s="15" t="n">
        <v>-67642.75999999999</v>
      </c>
      <c r="CG31" s="15" t="n">
        <v>916633.99</v>
      </c>
      <c r="CH31" s="15" t="n">
        <v>2241548.12</v>
      </c>
      <c r="CI31" s="15" t="n">
        <v>1384087.68</v>
      </c>
      <c r="CJ31" s="15" t="n">
        <v>927270.84</v>
      </c>
      <c r="CK31" s="15" t="n">
        <v>194493.07</v>
      </c>
      <c r="CL31" s="15" t="n">
        <v>174332.24</v>
      </c>
      <c r="CM31" s="15" t="n">
        <v>1796260.8</v>
      </c>
      <c r="CN31" s="15" t="n">
        <v>1240309.73</v>
      </c>
      <c r="CO31" s="15" t="n">
        <v>1293779.69</v>
      </c>
      <c r="CP31" s="15" t="n">
        <v>564529.52</v>
      </c>
      <c r="CQ31" s="15" t="n">
        <v>188623.71</v>
      </c>
      <c r="CR31" s="15" t="n">
        <v>517734.94</v>
      </c>
      <c r="CS31" s="15" t="n">
        <v>1465744.02</v>
      </c>
      <c r="CT31" s="15" t="n">
        <v>1887284.46</v>
      </c>
      <c r="CU31" s="15" t="n">
        <v>515479.28</v>
      </c>
      <c r="CV31" s="15" t="n">
        <v>178758.74</v>
      </c>
      <c r="CW31" s="15" t="n">
        <v>236076.03</v>
      </c>
      <c r="CX31" s="15" t="n">
        <v>697479.65</v>
      </c>
      <c r="CY31" s="15" t="n">
        <v>1499161.81</v>
      </c>
      <c r="CZ31" s="15" t="n">
        <v>2082151.91</v>
      </c>
      <c r="DA31" s="15" t="n">
        <v>646383.78</v>
      </c>
      <c r="DB31" s="15" t="n">
        <v>795178.3</v>
      </c>
      <c r="DC31" s="15" t="n">
        <v>212196.99</v>
      </c>
      <c r="DD31" s="15" t="n">
        <v>-56328.3</v>
      </c>
      <c r="DE31" s="15" t="n">
        <v>1332956.4</v>
      </c>
      <c r="DF31" s="15" t="n">
        <v>2023315.03</v>
      </c>
      <c r="DG31" s="15" t="n">
        <v>1166101.67</v>
      </c>
      <c r="DH31" s="15" t="n">
        <v>853579.13</v>
      </c>
      <c r="DI31" s="15" t="n">
        <v>213719.89</v>
      </c>
      <c r="DJ31" s="15" t="n">
        <v>400640.22</v>
      </c>
      <c r="DK31" s="15" t="n">
        <v>1283690.91</v>
      </c>
      <c r="DL31" s="15" t="n">
        <v>479131.84</v>
      </c>
      <c r="DM31" s="15" t="n">
        <v>432414.03</v>
      </c>
      <c r="DN31" s="15" t="n">
        <v>688795.96</v>
      </c>
      <c r="DO31" s="15" t="n">
        <v>212638.81</v>
      </c>
      <c r="DP31" s="15" t="n">
        <v>263889.02</v>
      </c>
    </row>
    <row r="32">
      <c r="A32" s="4" t="inlineStr">
        <is>
          <t>肉禽蛋奶</t>
        </is>
      </c>
      <c r="B32" s="15" t="n">
        <v>2199557.11</v>
      </c>
      <c r="C32" s="15" t="n">
        <v>337267.6</v>
      </c>
      <c r="D32" s="15" t="n">
        <v>627931.36</v>
      </c>
      <c r="E32" s="15" t="n">
        <v>126606</v>
      </c>
      <c r="F32" s="15" t="n">
        <v>476847.05</v>
      </c>
      <c r="G32" s="15" t="n">
        <v>1186209.48</v>
      </c>
      <c r="H32" s="15" t="n">
        <v>2342146.92</v>
      </c>
      <c r="I32" s="15" t="n">
        <v>936344.0600000001</v>
      </c>
      <c r="J32" s="15" t="n">
        <v>150787.05</v>
      </c>
      <c r="K32" s="15" t="n">
        <v>205883.5</v>
      </c>
      <c r="L32" s="15" t="n">
        <v>465057.43</v>
      </c>
      <c r="M32" s="15" t="n">
        <v>705261.4</v>
      </c>
      <c r="N32" s="15" t="n">
        <v>143216.22</v>
      </c>
      <c r="O32" s="15" t="n">
        <v>31354.51</v>
      </c>
      <c r="P32" s="15" t="n">
        <v>564667.9399999999</v>
      </c>
      <c r="Q32" s="15" t="n">
        <v>191103.99</v>
      </c>
      <c r="R32" s="15" t="n">
        <v>191115.37</v>
      </c>
      <c r="S32" s="15" t="n">
        <v>1440417.41</v>
      </c>
      <c r="T32" s="15" t="n">
        <v>2356294.87</v>
      </c>
      <c r="U32" s="15" t="n">
        <v>445816.74</v>
      </c>
      <c r="V32" s="15" t="n">
        <v>420702.16</v>
      </c>
      <c r="W32" s="15" t="n">
        <v>186249.95</v>
      </c>
      <c r="X32" s="15" t="n">
        <v>299317.73</v>
      </c>
      <c r="Y32" s="15" t="n">
        <v>667520.54</v>
      </c>
      <c r="Z32" s="15" t="n">
        <v>2101033.65</v>
      </c>
      <c r="AA32" s="15" t="n">
        <v>828735.9300000001</v>
      </c>
      <c r="AB32" s="15" t="n">
        <v>78498.74000000001</v>
      </c>
      <c r="AC32" s="15" t="n">
        <v>248331.67</v>
      </c>
      <c r="AD32" s="15" t="n">
        <v>474357.69</v>
      </c>
      <c r="AE32" s="15" t="n">
        <v>1232212.74</v>
      </c>
      <c r="AF32" s="15" t="n">
        <v>1231082.18</v>
      </c>
      <c r="AG32" s="15" t="n">
        <v>1066986.3</v>
      </c>
      <c r="AH32" s="15" t="n">
        <v>340372.32</v>
      </c>
      <c r="AI32" s="15" t="n">
        <v>155681.62</v>
      </c>
      <c r="AJ32" s="15" t="n">
        <v>254646.01</v>
      </c>
      <c r="AK32" s="15" t="n">
        <v>652094.12</v>
      </c>
      <c r="AL32" s="15" t="n">
        <v>1821389.58</v>
      </c>
      <c r="AM32" s="15" t="n">
        <v>1129320.52</v>
      </c>
      <c r="AN32" s="15" t="n">
        <v>31547.9</v>
      </c>
      <c r="AO32" s="15" t="n">
        <v>19589.94</v>
      </c>
      <c r="AP32" s="15" t="n">
        <v>201042.03</v>
      </c>
      <c r="AQ32" s="15" t="n">
        <v>83947.14</v>
      </c>
      <c r="AR32" s="15" t="n">
        <v>1986978.55</v>
      </c>
      <c r="AS32" s="15" t="n">
        <v>330604.88</v>
      </c>
      <c r="AT32" s="15" t="n">
        <v>886292.52</v>
      </c>
      <c r="AU32" s="15" t="n">
        <v>23676.25</v>
      </c>
      <c r="AV32" s="15" t="n">
        <v>348128.56</v>
      </c>
      <c r="AW32" s="15" t="n">
        <v>1016432.93</v>
      </c>
      <c r="AX32" s="15" t="n">
        <v>1265264.37</v>
      </c>
      <c r="AY32" s="15" t="n">
        <v>689770.64</v>
      </c>
      <c r="AZ32" s="15" t="n">
        <v>526066.62</v>
      </c>
      <c r="BA32" s="15" t="n">
        <v>164423.21</v>
      </c>
      <c r="BB32" s="15" t="n">
        <v>666643.96</v>
      </c>
      <c r="BC32" s="15" t="n">
        <v>1993336.06</v>
      </c>
      <c r="BD32" s="15" t="n">
        <v>2238098.65</v>
      </c>
      <c r="BE32" s="15" t="n">
        <v>307232.94</v>
      </c>
      <c r="BF32" s="15" t="n">
        <v>226326.94</v>
      </c>
      <c r="BG32" s="15" t="n">
        <v>129359.25</v>
      </c>
      <c r="BH32" s="15" t="n">
        <v>143827.09</v>
      </c>
      <c r="BI32" s="15" t="n">
        <v>1435320.85</v>
      </c>
      <c r="BJ32" s="15" t="n">
        <v>1551779.13</v>
      </c>
      <c r="BK32" s="15" t="n">
        <v>737015.8</v>
      </c>
      <c r="BL32" s="15" t="n">
        <v>806403.84</v>
      </c>
      <c r="BM32" s="15" t="n">
        <v>202322.97</v>
      </c>
      <c r="BN32" s="15" t="n">
        <v>-58970.75</v>
      </c>
      <c r="BO32" s="15" t="n">
        <v>520609.37</v>
      </c>
      <c r="BP32" s="15" t="n">
        <v>2464268.53</v>
      </c>
      <c r="BQ32" s="15" t="n">
        <v>1114838.08</v>
      </c>
      <c r="BR32" s="15" t="n">
        <v>680601.0600000001</v>
      </c>
      <c r="BS32" s="15" t="n">
        <v>19983.05</v>
      </c>
      <c r="BT32" s="15" t="n">
        <v>592921.62</v>
      </c>
      <c r="BU32" s="15" t="n">
        <v>612075.92</v>
      </c>
      <c r="BV32" s="15" t="n">
        <v>262751.16</v>
      </c>
      <c r="BW32" s="15" t="n">
        <v>985654.37</v>
      </c>
      <c r="BX32" s="15" t="n">
        <v>257303</v>
      </c>
      <c r="BY32" s="15" t="n">
        <v>164909.42</v>
      </c>
      <c r="BZ32" s="15" t="n">
        <v>635266.14</v>
      </c>
      <c r="CA32" s="15" t="n">
        <v>146274.21</v>
      </c>
      <c r="CB32" s="15" t="n">
        <v>492799.19</v>
      </c>
      <c r="CC32" s="15" t="n">
        <v>53362.84</v>
      </c>
      <c r="CD32" s="15" t="n">
        <v>608842.6800000001</v>
      </c>
      <c r="CE32" s="15" t="n">
        <v>53808.05</v>
      </c>
      <c r="CF32" s="15" t="n">
        <v>89140.39999999999</v>
      </c>
      <c r="CG32" s="15" t="n">
        <v>1824764.43</v>
      </c>
      <c r="CH32" s="15" t="n">
        <v>1373703.91</v>
      </c>
      <c r="CI32" s="15" t="n">
        <v>1104807.02</v>
      </c>
      <c r="CJ32" s="15" t="n">
        <v>687311.95</v>
      </c>
      <c r="CK32" s="15" t="n">
        <v>21369.45</v>
      </c>
      <c r="CL32" s="15" t="n">
        <v>393299.09</v>
      </c>
      <c r="CM32" s="15" t="n">
        <v>1862407.41</v>
      </c>
      <c r="CN32" s="15" t="n">
        <v>1239531.07</v>
      </c>
      <c r="CO32" s="15" t="n">
        <v>1465368.1</v>
      </c>
      <c r="CP32" s="15" t="n">
        <v>932483.72</v>
      </c>
      <c r="CQ32" s="15" t="n">
        <v>127174.33</v>
      </c>
      <c r="CR32" s="15" t="n">
        <v>289032.45</v>
      </c>
      <c r="CS32" s="15" t="n">
        <v>949003.45</v>
      </c>
      <c r="CT32" s="15" t="n">
        <v>638411.85</v>
      </c>
      <c r="CU32" s="15" t="n">
        <v>641575.5600000001</v>
      </c>
      <c r="CV32" s="15" t="n">
        <v>767592.23</v>
      </c>
      <c r="CW32" s="15" t="n">
        <v>116754.36</v>
      </c>
      <c r="CX32" s="15" t="n">
        <v>164479.13</v>
      </c>
      <c r="CY32" s="15" t="n">
        <v>723244.0699999999</v>
      </c>
      <c r="CZ32" s="15" t="n">
        <v>860519.26</v>
      </c>
      <c r="DA32" s="15" t="n">
        <v>1331869.09</v>
      </c>
      <c r="DB32" s="15" t="n">
        <v>215947.05</v>
      </c>
      <c r="DC32" s="15" t="n">
        <v>225381.02</v>
      </c>
      <c r="DD32" s="15" t="n">
        <v>328624.62</v>
      </c>
      <c r="DE32" s="15" t="n">
        <v>1242225.96</v>
      </c>
      <c r="DF32" s="15" t="n">
        <v>2024510.47</v>
      </c>
      <c r="DG32" s="15" t="n">
        <v>1052840.35</v>
      </c>
      <c r="DH32" s="15" t="n">
        <v>210021.94</v>
      </c>
      <c r="DI32" s="15" t="n">
        <v>194021.89</v>
      </c>
      <c r="DJ32" s="15" t="n">
        <v>513629.28</v>
      </c>
      <c r="DK32" s="15" t="n">
        <v>251442.21</v>
      </c>
      <c r="DL32" s="15" t="n">
        <v>173778.66</v>
      </c>
      <c r="DM32" s="15" t="n">
        <v>591273.48</v>
      </c>
      <c r="DN32" s="15" t="n">
        <v>212275.58</v>
      </c>
      <c r="DO32" s="15" t="n">
        <v>82207.86</v>
      </c>
      <c r="DP32" s="15" t="n">
        <v>74610.00999999999</v>
      </c>
    </row>
    <row r="33">
      <c r="A33" s="4" t="inlineStr">
        <is>
          <t>粮油调味</t>
        </is>
      </c>
      <c r="B33" s="15" t="n">
        <v>2065333.88</v>
      </c>
      <c r="C33" s="15" t="n">
        <v>819913.65</v>
      </c>
      <c r="D33" s="15" t="n">
        <v>734267.66</v>
      </c>
      <c r="E33" s="15" t="n">
        <v>38147.06</v>
      </c>
      <c r="F33" s="15" t="n">
        <v>487475.36</v>
      </c>
      <c r="G33" s="15" t="n">
        <v>409640.83</v>
      </c>
      <c r="H33" s="15" t="n">
        <v>2368181.8</v>
      </c>
      <c r="I33" s="15" t="n">
        <v>150900.14</v>
      </c>
      <c r="J33" s="15" t="n">
        <v>371571.21</v>
      </c>
      <c r="K33" s="15" t="n">
        <v>187575.73</v>
      </c>
      <c r="L33" s="15" t="n">
        <v>-40641.93</v>
      </c>
      <c r="M33" s="15" t="n">
        <v>1948657.23</v>
      </c>
      <c r="N33" s="15" t="n">
        <v>1324052.71</v>
      </c>
      <c r="O33" s="15" t="n">
        <v>524450.9300000001</v>
      </c>
      <c r="P33" s="15" t="n">
        <v>787611.24</v>
      </c>
      <c r="Q33" s="15" t="n">
        <v>118804.96</v>
      </c>
      <c r="R33" s="15" t="n">
        <v>21767.74</v>
      </c>
      <c r="S33" s="15" t="n">
        <v>530782.16</v>
      </c>
      <c r="T33" s="15" t="n">
        <v>1108803.41</v>
      </c>
      <c r="U33" s="15" t="n">
        <v>1206412.62</v>
      </c>
      <c r="V33" s="15" t="n">
        <v>428360.33</v>
      </c>
      <c r="W33" s="15" t="n">
        <v>99449.27</v>
      </c>
      <c r="X33" s="15" t="n">
        <v>139224.71</v>
      </c>
      <c r="Y33" s="15" t="n">
        <v>248002.3</v>
      </c>
      <c r="Z33" s="15" t="n">
        <v>1598992.94</v>
      </c>
      <c r="AA33" s="15" t="n">
        <v>211245.22</v>
      </c>
      <c r="AB33" s="15" t="n">
        <v>826649.87</v>
      </c>
      <c r="AC33" s="15" t="n">
        <v>79898.87</v>
      </c>
      <c r="AD33" s="15" t="n">
        <v>330988.23</v>
      </c>
      <c r="AE33" s="15" t="n">
        <v>896479.7</v>
      </c>
      <c r="AF33" s="15" t="n">
        <v>313037.94</v>
      </c>
      <c r="AG33" s="15" t="n">
        <v>1406303.87</v>
      </c>
      <c r="AH33" s="15" t="n">
        <v>978794.24</v>
      </c>
      <c r="AI33" s="15" t="n">
        <v>240000.01</v>
      </c>
      <c r="AJ33" s="15" t="n">
        <v>378114.01</v>
      </c>
      <c r="AK33" s="15" t="n">
        <v>519579.53</v>
      </c>
      <c r="AL33" s="15" t="n">
        <v>2472427.03</v>
      </c>
      <c r="AM33" s="15" t="n">
        <v>1001526.73</v>
      </c>
      <c r="AN33" s="15" t="n">
        <v>458634.26</v>
      </c>
      <c r="AO33" s="15" t="n">
        <v>220293.82</v>
      </c>
      <c r="AP33" s="15" t="n">
        <v>657756.01</v>
      </c>
      <c r="AQ33" s="15" t="n">
        <v>929078.91</v>
      </c>
      <c r="AR33" s="15" t="n">
        <v>183602.85</v>
      </c>
      <c r="AS33" s="15" t="n">
        <v>887204.48</v>
      </c>
      <c r="AT33" s="15" t="n">
        <v>63143.29</v>
      </c>
      <c r="AU33" s="15" t="n">
        <v>143862.46</v>
      </c>
      <c r="AV33" s="15" t="n">
        <v>601294.98</v>
      </c>
      <c r="AW33" s="15" t="n">
        <v>1839724.31</v>
      </c>
      <c r="AX33" s="15" t="n">
        <v>894947.7</v>
      </c>
      <c r="AY33" s="15" t="n">
        <v>1010043.53</v>
      </c>
      <c r="AZ33" s="15" t="n">
        <v>166106.29</v>
      </c>
      <c r="BA33" s="15" t="n">
        <v>186429.11</v>
      </c>
      <c r="BB33" s="15" t="n">
        <v>558735.79</v>
      </c>
      <c r="BC33" s="15" t="n">
        <v>747999.92</v>
      </c>
      <c r="BD33" s="15" t="n">
        <v>1569009.74</v>
      </c>
      <c r="BE33" s="15" t="n">
        <v>697307.4399999999</v>
      </c>
      <c r="BF33" s="15" t="n">
        <v>770726.3</v>
      </c>
      <c r="BG33" s="15" t="n">
        <v>44397.97</v>
      </c>
      <c r="BH33" s="15" t="n">
        <v>364268.28</v>
      </c>
      <c r="BI33" s="15" t="n">
        <v>1092545.37</v>
      </c>
      <c r="BJ33" s="15" t="n">
        <v>1350268.31</v>
      </c>
      <c r="BK33" s="15" t="n">
        <v>1156770.47</v>
      </c>
      <c r="BL33" s="15" t="n">
        <v>606560.13</v>
      </c>
      <c r="BM33" s="15" t="n">
        <v>25734.93</v>
      </c>
      <c r="BN33" s="15" t="n">
        <v>469412.39</v>
      </c>
      <c r="BO33" s="15" t="n">
        <v>1661408.38</v>
      </c>
      <c r="BP33" s="15" t="n">
        <v>1494198.45</v>
      </c>
      <c r="BQ33" s="15" t="n">
        <v>1442467.55</v>
      </c>
      <c r="BR33" s="15" t="n">
        <v>831849.83</v>
      </c>
      <c r="BS33" s="15" t="n">
        <v>92767.94</v>
      </c>
      <c r="BT33" s="15" t="n">
        <v>-29832.37</v>
      </c>
      <c r="BU33" s="15" t="n">
        <v>1370248.72</v>
      </c>
      <c r="BV33" s="15" t="n">
        <v>867843.0600000001</v>
      </c>
      <c r="BW33" s="15" t="n">
        <v>886094.75</v>
      </c>
      <c r="BX33" s="15" t="n">
        <v>751648.7</v>
      </c>
      <c r="BY33" s="15" t="n">
        <v>176595.78</v>
      </c>
      <c r="BZ33" s="15" t="n">
        <v>134853.73</v>
      </c>
      <c r="CA33" s="15" t="n">
        <v>1678973.34</v>
      </c>
      <c r="CB33" s="15" t="n">
        <v>1014280.15</v>
      </c>
      <c r="CC33" s="15" t="n">
        <v>1499666.39</v>
      </c>
      <c r="CD33" s="15" t="n">
        <v>998452.41</v>
      </c>
      <c r="CE33" s="15" t="n">
        <v>110976.95</v>
      </c>
      <c r="CF33" s="15" t="n">
        <v>552336.97</v>
      </c>
      <c r="CG33" s="15" t="n">
        <v>322984.09</v>
      </c>
      <c r="CH33" s="15" t="n">
        <v>2070432.72</v>
      </c>
      <c r="CI33" s="15" t="n">
        <v>38680.42</v>
      </c>
      <c r="CJ33" s="15" t="n">
        <v>265249.26</v>
      </c>
      <c r="CK33" s="15" t="n">
        <v>242291.02</v>
      </c>
      <c r="CL33" s="15" t="n">
        <v>44393.77</v>
      </c>
      <c r="CM33" s="15" t="n">
        <v>1751123.89</v>
      </c>
      <c r="CN33" s="15" t="n">
        <v>2446818.4</v>
      </c>
      <c r="CO33" s="15" t="n">
        <v>1321920</v>
      </c>
      <c r="CP33" s="15" t="n">
        <v>740039.75</v>
      </c>
      <c r="CQ33" s="15" t="n">
        <v>97041.81</v>
      </c>
      <c r="CR33" s="15" t="n">
        <v>357593.2</v>
      </c>
      <c r="CS33" s="15" t="n">
        <v>687258.1</v>
      </c>
      <c r="CT33" s="15" t="n">
        <v>1259590.73</v>
      </c>
      <c r="CU33" s="15" t="n">
        <v>43723.15</v>
      </c>
      <c r="CV33" s="15" t="n">
        <v>78435.23</v>
      </c>
      <c r="CW33" s="15" t="n">
        <v>149041</v>
      </c>
      <c r="CX33" s="15" t="n">
        <v>547778.58</v>
      </c>
      <c r="CY33" s="15" t="n">
        <v>1214267.95</v>
      </c>
      <c r="CZ33" s="15" t="n">
        <v>899292.23</v>
      </c>
      <c r="DA33" s="15" t="n">
        <v>96226.34</v>
      </c>
      <c r="DB33" s="15" t="n">
        <v>894357.39</v>
      </c>
      <c r="DC33" s="15" t="n">
        <v>78808.98</v>
      </c>
      <c r="DD33" s="15" t="n">
        <v>283712.87</v>
      </c>
      <c r="DE33" s="15" t="n">
        <v>125236.45</v>
      </c>
      <c r="DF33" s="15" t="n">
        <v>2336630.33</v>
      </c>
      <c r="DG33" s="15" t="n">
        <v>1028232.98</v>
      </c>
      <c r="DH33" s="15" t="n">
        <v>236224.84</v>
      </c>
      <c r="DI33" s="15" t="n">
        <v>125072.67</v>
      </c>
      <c r="DJ33" s="15" t="n">
        <v>544954.84</v>
      </c>
      <c r="DK33" s="15" t="n">
        <v>1907988.33</v>
      </c>
      <c r="DL33" s="15" t="n">
        <v>2264059.24</v>
      </c>
      <c r="DM33" s="15" t="n">
        <v>1122068.49</v>
      </c>
      <c r="DN33" s="15" t="n">
        <v>908510.79</v>
      </c>
      <c r="DO33" s="15" t="n">
        <v>175931.3</v>
      </c>
      <c r="DP33" s="15" t="n">
        <v>-51298.62</v>
      </c>
    </row>
    <row r="34">
      <c r="A34" s="4" t="inlineStr">
        <is>
          <t>酒水饮料</t>
        </is>
      </c>
      <c r="B34" s="15" t="n">
        <v>1743421.12</v>
      </c>
      <c r="C34" s="15" t="n">
        <v>1009066.09</v>
      </c>
      <c r="D34" s="15" t="n">
        <v>466811.95</v>
      </c>
      <c r="E34" s="15" t="n">
        <v>225575.71</v>
      </c>
      <c r="F34" s="15" t="n">
        <v>-72415.84</v>
      </c>
      <c r="G34" s="15" t="n">
        <v>1285081.63</v>
      </c>
      <c r="H34" s="15" t="n">
        <v>641218.03</v>
      </c>
      <c r="I34" s="15" t="n">
        <v>1060548.6</v>
      </c>
      <c r="J34" s="15" t="n">
        <v>429124.09</v>
      </c>
      <c r="K34" s="15" t="n">
        <v>169865.6</v>
      </c>
      <c r="L34" s="15" t="n">
        <v>-10031</v>
      </c>
      <c r="M34" s="15" t="n">
        <v>231578.5</v>
      </c>
      <c r="N34" s="15" t="n">
        <v>1675875.42</v>
      </c>
      <c r="O34" s="15" t="n">
        <v>48487.98</v>
      </c>
      <c r="P34" s="15" t="n">
        <v>492454.01</v>
      </c>
      <c r="Q34" s="15" t="n">
        <v>156430.3</v>
      </c>
      <c r="R34" s="15" t="n">
        <v>581607.78</v>
      </c>
      <c r="S34" s="15" t="n">
        <v>1501681.6</v>
      </c>
      <c r="T34" s="15" t="n">
        <v>994085.89</v>
      </c>
      <c r="U34" s="15" t="n">
        <v>424246.05</v>
      </c>
      <c r="V34" s="15" t="n">
        <v>486617.15</v>
      </c>
      <c r="W34" s="15" t="n">
        <v>211542.77</v>
      </c>
      <c r="X34" s="15" t="n">
        <v>314626.37</v>
      </c>
      <c r="Y34" s="15" t="n">
        <v>605619.3100000001</v>
      </c>
      <c r="Z34" s="15" t="n">
        <v>488996.44</v>
      </c>
      <c r="AA34" s="15" t="n">
        <v>769171.76</v>
      </c>
      <c r="AB34" s="15" t="n">
        <v>922373.45</v>
      </c>
      <c r="AC34" s="15" t="n">
        <v>219123.54</v>
      </c>
      <c r="AD34" s="15" t="n">
        <v>638823.42</v>
      </c>
      <c r="AE34" s="15" t="n">
        <v>1530150.19</v>
      </c>
      <c r="AF34" s="15" t="n">
        <v>1898385.72</v>
      </c>
      <c r="AG34" s="15" t="n">
        <v>750132.25</v>
      </c>
      <c r="AH34" s="15" t="n">
        <v>900121.92</v>
      </c>
      <c r="AI34" s="15" t="n">
        <v>87920.32000000001</v>
      </c>
      <c r="AJ34" s="15" t="n">
        <v>-23236.7</v>
      </c>
      <c r="AK34" s="15" t="n">
        <v>735911.47</v>
      </c>
      <c r="AL34" s="15" t="n">
        <v>177961.98</v>
      </c>
      <c r="AM34" s="15" t="n">
        <v>1363686.39</v>
      </c>
      <c r="AN34" s="15" t="n">
        <v>397348.91</v>
      </c>
      <c r="AO34" s="15" t="n">
        <v>234206.55</v>
      </c>
      <c r="AP34" s="15" t="n">
        <v>-40299.08</v>
      </c>
      <c r="AQ34" s="15" t="n">
        <v>742804.78</v>
      </c>
      <c r="AR34" s="15" t="n">
        <v>1196835.26</v>
      </c>
      <c r="AS34" s="15" t="n">
        <v>1048075.93</v>
      </c>
      <c r="AT34" s="15" t="n">
        <v>371157.61</v>
      </c>
      <c r="AU34" s="15" t="n">
        <v>106890.57</v>
      </c>
      <c r="AV34" s="15" t="n">
        <v>253940.08</v>
      </c>
      <c r="AW34" s="15" t="n">
        <v>1724824.2</v>
      </c>
      <c r="AX34" s="15" t="n">
        <v>1065728.34</v>
      </c>
      <c r="AY34" s="15" t="n">
        <v>1479072.62</v>
      </c>
      <c r="AZ34" s="15" t="n">
        <v>892571.66</v>
      </c>
      <c r="BA34" s="15" t="n">
        <v>245186.65</v>
      </c>
      <c r="BB34" s="15" t="n">
        <v>380822.19</v>
      </c>
      <c r="BC34" s="15" t="n">
        <v>864332.48</v>
      </c>
      <c r="BD34" s="15" t="n">
        <v>1878358.82</v>
      </c>
      <c r="BE34" s="15" t="n">
        <v>600374.16</v>
      </c>
      <c r="BF34" s="15" t="n">
        <v>413258.86</v>
      </c>
      <c r="BG34" s="15" t="n">
        <v>8466.99</v>
      </c>
      <c r="BH34" s="15" t="n">
        <v>383373.13</v>
      </c>
      <c r="BI34" s="15" t="n">
        <v>766171.8199999999</v>
      </c>
      <c r="BJ34" s="15" t="n">
        <v>342575.45</v>
      </c>
      <c r="BK34" s="15" t="n">
        <v>637581.37</v>
      </c>
      <c r="BL34" s="15" t="n">
        <v>864982.4399999999</v>
      </c>
      <c r="BM34" s="15" t="n">
        <v>22579.07</v>
      </c>
      <c r="BN34" s="15" t="n">
        <v>75992.67999999999</v>
      </c>
      <c r="BO34" s="15" t="n">
        <v>695073.5699999999</v>
      </c>
      <c r="BP34" s="15" t="n">
        <v>2461181.16</v>
      </c>
      <c r="BQ34" s="15" t="n">
        <v>305427.37</v>
      </c>
      <c r="BR34" s="15" t="n">
        <v>268191.11</v>
      </c>
      <c r="BS34" s="15" t="n">
        <v>96005.28999999999</v>
      </c>
      <c r="BT34" s="15" t="n">
        <v>-36556.26</v>
      </c>
      <c r="BU34" s="15" t="n">
        <v>331237.76</v>
      </c>
      <c r="BV34" s="15" t="n">
        <v>1017569.96</v>
      </c>
      <c r="BW34" s="15" t="n">
        <v>624013.5600000001</v>
      </c>
      <c r="BX34" s="15" t="n">
        <v>597524.3199999999</v>
      </c>
      <c r="BY34" s="15" t="n">
        <v>24973.43</v>
      </c>
      <c r="BZ34" s="15" t="n">
        <v>23525.69</v>
      </c>
      <c r="CA34" s="15" t="n">
        <v>1429684.53</v>
      </c>
      <c r="CB34" s="15" t="n">
        <v>2263674.85</v>
      </c>
      <c r="CC34" s="15" t="n">
        <v>693042.75</v>
      </c>
      <c r="CD34" s="15" t="n">
        <v>741684.9399999999</v>
      </c>
      <c r="CE34" s="15" t="n">
        <v>81413.06</v>
      </c>
      <c r="CF34" s="15" t="n">
        <v>613580.61</v>
      </c>
      <c r="CG34" s="15" t="n">
        <v>1411448.97</v>
      </c>
      <c r="CH34" s="15" t="n">
        <v>1000190.2</v>
      </c>
      <c r="CI34" s="15" t="n">
        <v>744543.59</v>
      </c>
      <c r="CJ34" s="15" t="n">
        <v>311130.81</v>
      </c>
      <c r="CK34" s="15" t="n">
        <v>123025.05</v>
      </c>
      <c r="CL34" s="15" t="n">
        <v>540614.63</v>
      </c>
      <c r="CM34" s="15" t="n">
        <v>1034636.82</v>
      </c>
      <c r="CN34" s="15" t="n">
        <v>1535966.44</v>
      </c>
      <c r="CO34" s="15" t="n">
        <v>630278.1899999999</v>
      </c>
      <c r="CP34" s="15" t="n">
        <v>206214.96</v>
      </c>
      <c r="CQ34" s="15" t="n">
        <v>145055.11</v>
      </c>
      <c r="CR34" s="15" t="n">
        <v>690257.09</v>
      </c>
      <c r="CS34" s="15" t="n">
        <v>154572.06</v>
      </c>
      <c r="CT34" s="15" t="n">
        <v>446989.02</v>
      </c>
      <c r="CU34" s="15" t="n">
        <v>951652.47</v>
      </c>
      <c r="CV34" s="15" t="n">
        <v>267272.07</v>
      </c>
      <c r="CW34" s="15" t="n">
        <v>55192.1</v>
      </c>
      <c r="CX34" s="15" t="n">
        <v>385097.99</v>
      </c>
      <c r="CY34" s="15" t="n">
        <v>1668325.15</v>
      </c>
      <c r="CZ34" s="15" t="n">
        <v>498845.99</v>
      </c>
      <c r="DA34" s="15" t="n">
        <v>1150019.13</v>
      </c>
      <c r="DB34" s="15" t="n">
        <v>815566.5699999999</v>
      </c>
      <c r="DC34" s="15" t="n">
        <v>184284.8</v>
      </c>
      <c r="DD34" s="15" t="n">
        <v>258662.83</v>
      </c>
      <c r="DE34" s="15" t="n">
        <v>300968.36</v>
      </c>
      <c r="DF34" s="15" t="n">
        <v>60594.76</v>
      </c>
      <c r="DG34" s="15" t="n">
        <v>207137.04</v>
      </c>
      <c r="DH34" s="15" t="n">
        <v>487850.08</v>
      </c>
      <c r="DI34" s="15" t="n">
        <v>104314.8</v>
      </c>
      <c r="DJ34" s="15" t="n">
        <v>679207.1800000001</v>
      </c>
      <c r="DK34" s="15" t="n">
        <v>1541656.03</v>
      </c>
      <c r="DL34" s="15" t="n">
        <v>320960.83</v>
      </c>
      <c r="DM34" s="15" t="n">
        <v>603966.0600000001</v>
      </c>
      <c r="DN34" s="15" t="n">
        <v>973296.3199999999</v>
      </c>
      <c r="DO34" s="15" t="n">
        <v>189520.72</v>
      </c>
      <c r="DP34" s="15" t="n">
        <v>-23094.72</v>
      </c>
    </row>
    <row r="35">
      <c r="A35" s="4" t="inlineStr">
        <is>
          <t>休闲零食</t>
        </is>
      </c>
      <c r="B35" s="15" t="n">
        <v>2072463.57</v>
      </c>
      <c r="C35" s="15" t="n">
        <v>1297520.21</v>
      </c>
      <c r="D35" s="15" t="n">
        <v>251279.83</v>
      </c>
      <c r="E35" s="15" t="n">
        <v>249067.84</v>
      </c>
      <c r="F35" s="15" t="n">
        <v>453847.75</v>
      </c>
      <c r="G35" s="15" t="n">
        <v>1680235.52</v>
      </c>
      <c r="H35" s="15" t="n">
        <v>938910.85</v>
      </c>
      <c r="I35" s="15" t="n">
        <v>538470.8100000001</v>
      </c>
      <c r="J35" s="15" t="n">
        <v>814180.89</v>
      </c>
      <c r="K35" s="15" t="n">
        <v>6085.59</v>
      </c>
      <c r="L35" s="15" t="n">
        <v>569899.29</v>
      </c>
      <c r="M35" s="15" t="n">
        <v>380602.45</v>
      </c>
      <c r="N35" s="15" t="n">
        <v>79573.59</v>
      </c>
      <c r="O35" s="15" t="n">
        <v>307187.8</v>
      </c>
      <c r="P35" s="15" t="n">
        <v>423006.95</v>
      </c>
      <c r="Q35" s="15" t="n">
        <v>55490.85</v>
      </c>
      <c r="R35" s="15" t="n">
        <v>526371.34</v>
      </c>
      <c r="S35" s="15" t="n">
        <v>1001050.92</v>
      </c>
      <c r="T35" s="15" t="n">
        <v>965597.96</v>
      </c>
      <c r="U35" s="15" t="n">
        <v>941902.36</v>
      </c>
      <c r="V35" s="15" t="n">
        <v>296437.98</v>
      </c>
      <c r="W35" s="15" t="n">
        <v>192756.03</v>
      </c>
      <c r="X35" s="15" t="n">
        <v>342711.69</v>
      </c>
      <c r="Y35" s="15" t="n">
        <v>1608759.84</v>
      </c>
      <c r="Z35" s="15" t="n">
        <v>54574.58</v>
      </c>
      <c r="AA35" s="15" t="n">
        <v>468013.87</v>
      </c>
      <c r="AB35" s="15" t="n">
        <v>18315.82</v>
      </c>
      <c r="AC35" s="15" t="n">
        <v>243714.01</v>
      </c>
      <c r="AD35" s="15" t="n">
        <v>-69965.48</v>
      </c>
      <c r="AE35" s="15" t="n">
        <v>1716084.17</v>
      </c>
      <c r="AF35" s="15" t="n">
        <v>440400.79</v>
      </c>
      <c r="AG35" s="15" t="n">
        <v>328761.95</v>
      </c>
      <c r="AH35" s="15" t="n">
        <v>225821.57</v>
      </c>
      <c r="AI35" s="15" t="n">
        <v>36227.94</v>
      </c>
      <c r="AJ35" s="15" t="n">
        <v>551941.02</v>
      </c>
      <c r="AK35" s="15" t="n">
        <v>381264.85</v>
      </c>
      <c r="AL35" s="15" t="n">
        <v>1138998.63</v>
      </c>
      <c r="AM35" s="15" t="n">
        <v>1301363.86</v>
      </c>
      <c r="AN35" s="15" t="n">
        <v>987088.74</v>
      </c>
      <c r="AO35" s="15" t="n">
        <v>55719.58</v>
      </c>
      <c r="AP35" s="15" t="n">
        <v>574732.63</v>
      </c>
      <c r="AQ35" s="15" t="n">
        <v>289556.5</v>
      </c>
      <c r="AR35" s="15" t="n">
        <v>1825337.4</v>
      </c>
      <c r="AS35" s="15" t="n">
        <v>1186958.4</v>
      </c>
      <c r="AT35" s="15" t="n">
        <v>840662.24</v>
      </c>
      <c r="AU35" s="15" t="n">
        <v>24811.58</v>
      </c>
      <c r="AV35" s="15" t="n">
        <v>373270.94</v>
      </c>
      <c r="AW35" s="15" t="n">
        <v>1393383.69</v>
      </c>
      <c r="AX35" s="15" t="n">
        <v>420554.86</v>
      </c>
      <c r="AY35" s="15" t="n">
        <v>1449052.39</v>
      </c>
      <c r="AZ35" s="15" t="n">
        <v>836456.5600000001</v>
      </c>
      <c r="BA35" s="15" t="n">
        <v>137310.48</v>
      </c>
      <c r="BB35" s="15" t="n">
        <v>483722.48</v>
      </c>
      <c r="BC35" s="15" t="n">
        <v>881364.26</v>
      </c>
      <c r="BD35" s="15" t="n">
        <v>2069481.07</v>
      </c>
      <c r="BE35" s="15" t="n">
        <v>1064245.88</v>
      </c>
      <c r="BF35" s="15" t="n">
        <v>586864.73</v>
      </c>
      <c r="BG35" s="15" t="n">
        <v>128866.07</v>
      </c>
      <c r="BH35" s="15" t="n">
        <v>737222.96</v>
      </c>
      <c r="BI35" s="15" t="n">
        <v>1934503.82</v>
      </c>
      <c r="BJ35" s="15" t="n">
        <v>1670225.04</v>
      </c>
      <c r="BK35" s="15" t="n">
        <v>856407.51</v>
      </c>
      <c r="BL35" s="15" t="n">
        <v>207872.02</v>
      </c>
      <c r="BM35" s="15" t="n">
        <v>164112.28</v>
      </c>
      <c r="BN35" s="15" t="n">
        <v>464931.96</v>
      </c>
      <c r="BO35" s="15" t="n">
        <v>165586.91</v>
      </c>
      <c r="BP35" s="15" t="n">
        <v>302288.08</v>
      </c>
      <c r="BQ35" s="15" t="n">
        <v>994116.0600000001</v>
      </c>
      <c r="BR35" s="15" t="n">
        <v>171943.41</v>
      </c>
      <c r="BS35" s="15" t="n">
        <v>191716.6</v>
      </c>
      <c r="BT35" s="15" t="n">
        <v>296637.82</v>
      </c>
      <c r="BU35" s="15" t="n">
        <v>1598530.8</v>
      </c>
      <c r="BV35" s="15" t="n">
        <v>123549.05</v>
      </c>
      <c r="BW35" s="15" t="n">
        <v>1410707.21</v>
      </c>
      <c r="BX35" s="15" t="n">
        <v>641172.39</v>
      </c>
      <c r="BY35" s="15" t="n">
        <v>108855.19</v>
      </c>
      <c r="BZ35" s="15" t="n">
        <v>234257.36</v>
      </c>
      <c r="CA35" s="15" t="n">
        <v>808874.49</v>
      </c>
      <c r="CB35" s="15" t="n">
        <v>1814102.95</v>
      </c>
      <c r="CC35" s="15" t="n">
        <v>936514.54</v>
      </c>
      <c r="CD35" s="15" t="n">
        <v>485359.76</v>
      </c>
      <c r="CE35" s="15" t="n">
        <v>129243.97</v>
      </c>
      <c r="CF35" s="15" t="n">
        <v>452537.42</v>
      </c>
      <c r="CG35" s="15" t="n">
        <v>350396.19</v>
      </c>
      <c r="CH35" s="15" t="n">
        <v>2381559.7</v>
      </c>
      <c r="CI35" s="15" t="n">
        <v>509762.78</v>
      </c>
      <c r="CJ35" s="15" t="n">
        <v>520267.36</v>
      </c>
      <c r="CK35" s="15" t="n">
        <v>87390.39</v>
      </c>
      <c r="CL35" s="15" t="n">
        <v>63620.48</v>
      </c>
      <c r="CM35" s="15" t="n">
        <v>1955268.38</v>
      </c>
      <c r="CN35" s="15" t="n">
        <v>1253772.25</v>
      </c>
      <c r="CO35" s="15" t="n">
        <v>102395.1</v>
      </c>
      <c r="CP35" s="15" t="n">
        <v>181302.25</v>
      </c>
      <c r="CQ35" s="15" t="n">
        <v>167685.15</v>
      </c>
      <c r="CR35" s="15" t="n">
        <v>136367.44</v>
      </c>
      <c r="CS35" s="15" t="n">
        <v>1986621.79</v>
      </c>
      <c r="CT35" s="15" t="n">
        <v>2089877.28</v>
      </c>
      <c r="CU35" s="15" t="n">
        <v>751134.76</v>
      </c>
      <c r="CV35" s="15" t="n">
        <v>226520.57</v>
      </c>
      <c r="CW35" s="15" t="n">
        <v>160070.75</v>
      </c>
      <c r="CX35" s="15" t="n">
        <v>68245.08</v>
      </c>
      <c r="CY35" s="15" t="n">
        <v>1494841.51</v>
      </c>
      <c r="CZ35" s="15" t="n">
        <v>1667368.36</v>
      </c>
      <c r="DA35" s="15" t="n">
        <v>258291.6</v>
      </c>
      <c r="DB35" s="15" t="n">
        <v>258424.17</v>
      </c>
      <c r="DC35" s="15" t="n">
        <v>89022.73</v>
      </c>
      <c r="DD35" s="15" t="n">
        <v>618610.48</v>
      </c>
      <c r="DE35" s="15" t="n">
        <v>918498.9300000001</v>
      </c>
      <c r="DF35" s="15" t="n">
        <v>1737223.88</v>
      </c>
      <c r="DG35" s="15" t="n">
        <v>639389.84</v>
      </c>
      <c r="DH35" s="15" t="n">
        <v>832162.66</v>
      </c>
      <c r="DI35" s="15" t="n">
        <v>147601.63</v>
      </c>
      <c r="DJ35" s="15" t="n">
        <v>190958.06</v>
      </c>
      <c r="DK35" s="15" t="n">
        <v>1634051.48</v>
      </c>
      <c r="DL35" s="15" t="n">
        <v>2079416.22</v>
      </c>
      <c r="DM35" s="15" t="n">
        <v>1105424.92</v>
      </c>
      <c r="DN35" s="15" t="n">
        <v>63969.46</v>
      </c>
      <c r="DO35" s="15" t="n">
        <v>103688.05</v>
      </c>
      <c r="DP35" s="15" t="n">
        <v>286558.59</v>
      </c>
    </row>
    <row r="36">
      <c r="A36" s="4" t="inlineStr">
        <is>
          <t>日用百货</t>
        </is>
      </c>
      <c r="B36" s="15" t="n">
        <v>200889.71</v>
      </c>
      <c r="C36" s="15" t="n">
        <v>1190838.97</v>
      </c>
      <c r="D36" s="15" t="n">
        <v>134543.65</v>
      </c>
      <c r="E36" s="15" t="n">
        <v>215240.27</v>
      </c>
      <c r="F36" s="15" t="n">
        <v>238314.44</v>
      </c>
      <c r="G36" s="15" t="n">
        <v>337454.96</v>
      </c>
      <c r="H36" s="15" t="n">
        <v>2130577.39</v>
      </c>
      <c r="I36" s="15" t="n">
        <v>945200.42</v>
      </c>
      <c r="J36" s="15" t="n">
        <v>797528.35</v>
      </c>
      <c r="K36" s="15" t="n">
        <v>152889.95</v>
      </c>
      <c r="L36" s="15" t="n">
        <v>325422.75</v>
      </c>
      <c r="M36" s="15" t="n">
        <v>353548.21</v>
      </c>
      <c r="N36" s="15" t="n">
        <v>1821908.34</v>
      </c>
      <c r="O36" s="15" t="n">
        <v>1435614.39</v>
      </c>
      <c r="P36" s="15" t="n">
        <v>245579.27</v>
      </c>
      <c r="Q36" s="15" t="n">
        <v>128182.31</v>
      </c>
      <c r="R36" s="15" t="n">
        <v>43861.06</v>
      </c>
      <c r="S36" s="15" t="n">
        <v>47796.35</v>
      </c>
      <c r="T36" s="15" t="n">
        <v>1796952.95</v>
      </c>
      <c r="U36" s="15" t="n">
        <v>512169.02</v>
      </c>
      <c r="V36" s="15" t="n">
        <v>283771.75</v>
      </c>
      <c r="W36" s="15" t="n">
        <v>119367.23</v>
      </c>
      <c r="X36" s="15" t="n">
        <v>322153.97</v>
      </c>
      <c r="Y36" s="15" t="n">
        <v>565763.63</v>
      </c>
      <c r="Z36" s="15" t="n">
        <v>268671.41</v>
      </c>
      <c r="AA36" s="15" t="n">
        <v>617939.33</v>
      </c>
      <c r="AB36" s="15" t="n">
        <v>94049.25999999999</v>
      </c>
      <c r="AC36" s="15" t="n">
        <v>214994.01</v>
      </c>
      <c r="AD36" s="15" t="n">
        <v>274393.94</v>
      </c>
      <c r="AE36" s="15" t="n">
        <v>1684724.17</v>
      </c>
      <c r="AF36" s="15" t="n">
        <v>387281.9</v>
      </c>
      <c r="AG36" s="15" t="n">
        <v>1356272.32</v>
      </c>
      <c r="AH36" s="15" t="n">
        <v>174858.24</v>
      </c>
      <c r="AI36" s="15" t="n">
        <v>37800.03</v>
      </c>
      <c r="AJ36" s="15" t="n">
        <v>704679.0600000001</v>
      </c>
      <c r="AK36" s="15" t="n">
        <v>1511712.73</v>
      </c>
      <c r="AL36" s="15" t="n">
        <v>315876.04</v>
      </c>
      <c r="AM36" s="15" t="n">
        <v>864220.35</v>
      </c>
      <c r="AN36" s="15" t="n">
        <v>334511.62</v>
      </c>
      <c r="AO36" s="15" t="n">
        <v>70878.92999999999</v>
      </c>
      <c r="AP36" s="15" t="n">
        <v>689620.08</v>
      </c>
      <c r="AQ36" s="15" t="n">
        <v>1346163.38</v>
      </c>
      <c r="AR36" s="15" t="n">
        <v>108059.96</v>
      </c>
      <c r="AS36" s="15" t="n">
        <v>1290404.47</v>
      </c>
      <c r="AT36" s="15" t="n">
        <v>139729.84</v>
      </c>
      <c r="AU36" s="15" t="n">
        <v>79705.7</v>
      </c>
      <c r="AV36" s="15" t="n">
        <v>627474.01</v>
      </c>
      <c r="AW36" s="15" t="n">
        <v>1177586.37</v>
      </c>
      <c r="AX36" s="15" t="n">
        <v>776431.37</v>
      </c>
      <c r="AY36" s="15" t="n">
        <v>1016227.36</v>
      </c>
      <c r="AZ36" s="15" t="n">
        <v>747233.9399999999</v>
      </c>
      <c r="BA36" s="15" t="n">
        <v>67726.17</v>
      </c>
      <c r="BB36" s="15" t="n">
        <v>629618.28</v>
      </c>
      <c r="BC36" s="15" t="n">
        <v>937716.03</v>
      </c>
      <c r="BD36" s="15" t="n">
        <v>2092456.63</v>
      </c>
      <c r="BE36" s="15" t="n">
        <v>1480525.7</v>
      </c>
      <c r="BF36" s="15" t="n">
        <v>864806.8</v>
      </c>
      <c r="BG36" s="15" t="n">
        <v>23821.93</v>
      </c>
      <c r="BH36" s="15" t="n">
        <v>649199.02</v>
      </c>
      <c r="BI36" s="15" t="n">
        <v>1840371.65</v>
      </c>
      <c r="BJ36" s="15" t="n">
        <v>1363336.57</v>
      </c>
      <c r="BK36" s="15" t="n">
        <v>672286.1800000001</v>
      </c>
      <c r="BL36" s="15" t="n">
        <v>629080.6</v>
      </c>
      <c r="BM36" s="15" t="n">
        <v>9031.66</v>
      </c>
      <c r="BN36" s="15" t="n">
        <v>526280.8199999999</v>
      </c>
      <c r="BO36" s="15" t="n">
        <v>1767918.87</v>
      </c>
      <c r="BP36" s="15" t="n">
        <v>133207.56</v>
      </c>
      <c r="BQ36" s="15" t="n">
        <v>1345345.5</v>
      </c>
      <c r="BR36" s="15" t="n">
        <v>852307.14</v>
      </c>
      <c r="BS36" s="15" t="n">
        <v>175872.69</v>
      </c>
      <c r="BT36" s="15" t="n">
        <v>405187.22</v>
      </c>
      <c r="BU36" s="15" t="n">
        <v>1451715.38</v>
      </c>
      <c r="BV36" s="15" t="n">
        <v>1874795.02</v>
      </c>
      <c r="BW36" s="15" t="n">
        <v>787885.4399999999</v>
      </c>
      <c r="BX36" s="15" t="n">
        <v>150230.6</v>
      </c>
      <c r="BY36" s="15" t="n">
        <v>56030.33</v>
      </c>
      <c r="BZ36" s="15" t="n">
        <v>492421.08</v>
      </c>
      <c r="CA36" s="15" t="n">
        <v>1947028.98</v>
      </c>
      <c r="CB36" s="15" t="n">
        <v>1971544.18</v>
      </c>
      <c r="CC36" s="15" t="n">
        <v>565952.6</v>
      </c>
      <c r="CD36" s="15" t="n">
        <v>936461.6800000001</v>
      </c>
      <c r="CE36" s="15" t="n">
        <v>149832.42</v>
      </c>
      <c r="CF36" s="15" t="n">
        <v>60028.98</v>
      </c>
      <c r="CG36" s="15" t="n">
        <v>1621850.4</v>
      </c>
      <c r="CH36" s="15" t="n">
        <v>2313022.01</v>
      </c>
      <c r="CI36" s="15" t="n">
        <v>881384.96</v>
      </c>
      <c r="CJ36" s="15" t="n">
        <v>291929.21</v>
      </c>
      <c r="CK36" s="15" t="n">
        <v>42787.4</v>
      </c>
      <c r="CL36" s="15" t="n">
        <v>290723.41</v>
      </c>
      <c r="CM36" s="15" t="n">
        <v>853534.02</v>
      </c>
      <c r="CN36" s="15" t="n">
        <v>309885.61</v>
      </c>
      <c r="CO36" s="15" t="n">
        <v>1169251.79</v>
      </c>
      <c r="CP36" s="15" t="n">
        <v>674641.2</v>
      </c>
      <c r="CQ36" s="15" t="n">
        <v>105391.84</v>
      </c>
      <c r="CR36" s="15" t="n">
        <v>499652.25</v>
      </c>
      <c r="CS36" s="15" t="n">
        <v>1005736.28</v>
      </c>
      <c r="CT36" s="15" t="n">
        <v>151890.97</v>
      </c>
      <c r="CU36" s="15" t="n">
        <v>1405999.84</v>
      </c>
      <c r="CV36" s="15" t="n">
        <v>144454.03</v>
      </c>
      <c r="CW36" s="15" t="n">
        <v>168890.61</v>
      </c>
      <c r="CX36" s="15" t="n">
        <v>-75292.38</v>
      </c>
      <c r="CY36" s="15" t="n">
        <v>1721515.89</v>
      </c>
      <c r="CZ36" s="15" t="n">
        <v>597561.9300000001</v>
      </c>
      <c r="DA36" s="15" t="n">
        <v>961813.38</v>
      </c>
      <c r="DB36" s="15" t="n">
        <v>222517.47</v>
      </c>
      <c r="DC36" s="15" t="n">
        <v>235255.54</v>
      </c>
      <c r="DD36" s="15" t="n">
        <v>-14831.81</v>
      </c>
      <c r="DE36" s="15" t="n">
        <v>170715.25</v>
      </c>
      <c r="DF36" s="15" t="n">
        <v>77946.08</v>
      </c>
      <c r="DG36" s="15" t="n">
        <v>1372045.94</v>
      </c>
      <c r="DH36" s="15" t="n">
        <v>621627.41</v>
      </c>
      <c r="DI36" s="15" t="n">
        <v>102024.42</v>
      </c>
      <c r="DJ36" s="15" t="n">
        <v>305225.4</v>
      </c>
      <c r="DK36" s="15" t="n">
        <v>1957863.15</v>
      </c>
      <c r="DL36" s="15" t="n">
        <v>1135044.7</v>
      </c>
      <c r="DM36" s="15" t="n">
        <v>1418059.41</v>
      </c>
      <c r="DN36" s="15" t="n">
        <v>207347.67</v>
      </c>
      <c r="DO36" s="15" t="n">
        <v>113730.58</v>
      </c>
      <c r="DP36" s="15" t="n">
        <v>150952.38</v>
      </c>
    </row>
    <row r="37">
      <c r="A37" s="4" t="inlineStr">
        <is>
          <t>其他产品A</t>
        </is>
      </c>
      <c r="B37" s="15" t="n">
        <v>663041</v>
      </c>
      <c r="C37" s="15" t="n">
        <v>358969.52</v>
      </c>
      <c r="D37" s="15" t="n">
        <v>896859.1</v>
      </c>
      <c r="E37" s="15" t="n">
        <v>93591.32000000001</v>
      </c>
      <c r="F37" s="15" t="n">
        <v>310561.15</v>
      </c>
      <c r="G37" s="15" t="n">
        <v>941601.24</v>
      </c>
      <c r="H37" s="15" t="n">
        <v>296569.12</v>
      </c>
      <c r="I37" s="15" t="n">
        <v>954522.04</v>
      </c>
      <c r="J37" s="15" t="n">
        <v>12485.26</v>
      </c>
      <c r="K37" s="15" t="n">
        <v>104379.81</v>
      </c>
      <c r="L37" s="15" t="n">
        <v>628548.03</v>
      </c>
      <c r="M37" s="15" t="n">
        <v>1001151.9</v>
      </c>
      <c r="N37" s="15" t="n">
        <v>753155.8199999999</v>
      </c>
      <c r="O37" s="15" t="n">
        <v>1297116.84</v>
      </c>
      <c r="P37" s="15" t="n">
        <v>201848.84</v>
      </c>
      <c r="Q37" s="15" t="n">
        <v>104969.41</v>
      </c>
      <c r="R37" s="15" t="n">
        <v>306568.77</v>
      </c>
      <c r="S37" s="15" t="n">
        <v>662587.65</v>
      </c>
      <c r="T37" s="15" t="n">
        <v>1008179.02</v>
      </c>
      <c r="U37" s="15" t="n">
        <v>692369.33</v>
      </c>
      <c r="V37" s="15" t="n">
        <v>605026.28</v>
      </c>
      <c r="W37" s="15" t="n">
        <v>23594.19</v>
      </c>
      <c r="X37" s="15" t="n">
        <v>113568.94</v>
      </c>
      <c r="Y37" s="15" t="n">
        <v>1210104.96</v>
      </c>
      <c r="Z37" s="15" t="n">
        <v>1496341.77</v>
      </c>
      <c r="AA37" s="15" t="n">
        <v>1121762.15</v>
      </c>
      <c r="AB37" s="15" t="n">
        <v>348302.13</v>
      </c>
      <c r="AC37" s="15" t="n">
        <v>246994.68</v>
      </c>
      <c r="AD37" s="15" t="n">
        <v>660125.73</v>
      </c>
      <c r="AE37" s="15" t="n">
        <v>1321452.77</v>
      </c>
      <c r="AF37" s="15" t="n">
        <v>1263127.9</v>
      </c>
      <c r="AG37" s="15" t="n">
        <v>1451373.44</v>
      </c>
      <c r="AH37" s="15" t="n">
        <v>721494.9300000001</v>
      </c>
      <c r="AI37" s="15" t="n">
        <v>17269.17</v>
      </c>
      <c r="AJ37" s="15" t="n">
        <v>200718.81</v>
      </c>
      <c r="AK37" s="15" t="n">
        <v>1937488.53</v>
      </c>
      <c r="AL37" s="15" t="n">
        <v>1100449.82</v>
      </c>
      <c r="AM37" s="15" t="n">
        <v>213032.57</v>
      </c>
      <c r="AN37" s="15" t="n">
        <v>851336.54</v>
      </c>
      <c r="AO37" s="15" t="n">
        <v>85976.38</v>
      </c>
      <c r="AP37" s="15" t="n">
        <v>733867.37</v>
      </c>
      <c r="AQ37" s="15" t="n">
        <v>307732.92</v>
      </c>
      <c r="AR37" s="15" t="n">
        <v>1495002.49</v>
      </c>
      <c r="AS37" s="15" t="n">
        <v>288863.17</v>
      </c>
      <c r="AT37" s="15" t="n">
        <v>840729.02</v>
      </c>
      <c r="AU37" s="15" t="n">
        <v>107795.42</v>
      </c>
      <c r="AV37" s="15" t="n">
        <v>168801.1</v>
      </c>
      <c r="AW37" s="15" t="n">
        <v>1969499.97</v>
      </c>
      <c r="AX37" s="15" t="n">
        <v>1954519.96</v>
      </c>
      <c r="AY37" s="15" t="n">
        <v>1345041.69</v>
      </c>
      <c r="AZ37" s="15" t="n">
        <v>689556.48</v>
      </c>
      <c r="BA37" s="15" t="n">
        <v>143069.9</v>
      </c>
      <c r="BB37" s="15" t="n">
        <v>338328.51</v>
      </c>
      <c r="BC37" s="15" t="n">
        <v>639475.88</v>
      </c>
      <c r="BD37" s="15" t="n">
        <v>2131069.41</v>
      </c>
      <c r="BE37" s="15" t="n">
        <v>1175983.34</v>
      </c>
      <c r="BF37" s="15" t="n">
        <v>392244.34</v>
      </c>
      <c r="BG37" s="15" t="n">
        <v>208835.79</v>
      </c>
      <c r="BH37" s="15" t="n">
        <v>417136.97</v>
      </c>
      <c r="BI37" s="15" t="n">
        <v>955017.6800000001</v>
      </c>
      <c r="BJ37" s="15" t="n">
        <v>1846623.23</v>
      </c>
      <c r="BK37" s="15" t="n">
        <v>90101.39999999999</v>
      </c>
      <c r="BL37" s="15" t="n">
        <v>79636.17</v>
      </c>
      <c r="BM37" s="15" t="n">
        <v>147077.21</v>
      </c>
      <c r="BN37" s="15" t="n">
        <v>-52743.75</v>
      </c>
      <c r="BO37" s="15" t="n">
        <v>1782381.66</v>
      </c>
      <c r="BP37" s="15" t="n">
        <v>135559.26</v>
      </c>
      <c r="BQ37" s="15" t="n">
        <v>338163.3</v>
      </c>
      <c r="BR37" s="15" t="n">
        <v>511403.24</v>
      </c>
      <c r="BS37" s="15" t="n">
        <v>83455.37</v>
      </c>
      <c r="BT37" s="15" t="n">
        <v>233615.04</v>
      </c>
      <c r="BU37" s="15" t="n">
        <v>1838642.62</v>
      </c>
      <c r="BV37" s="15" t="n">
        <v>1787280.17</v>
      </c>
      <c r="BW37" s="15" t="n">
        <v>957282.08</v>
      </c>
      <c r="BX37" s="15" t="n">
        <v>731179.47</v>
      </c>
      <c r="BY37" s="15" t="n">
        <v>74349.02</v>
      </c>
      <c r="BZ37" s="15" t="n">
        <v>617866.9399999999</v>
      </c>
      <c r="CA37" s="15" t="n">
        <v>1516345.45</v>
      </c>
      <c r="CB37" s="15" t="n">
        <v>618343.9399999999</v>
      </c>
      <c r="CC37" s="15" t="n">
        <v>873394.12</v>
      </c>
      <c r="CD37" s="15" t="n">
        <v>969722.6</v>
      </c>
      <c r="CE37" s="15" t="n">
        <v>140845.7</v>
      </c>
      <c r="CF37" s="15" t="n">
        <v>134850.24</v>
      </c>
      <c r="CG37" s="15" t="n">
        <v>452908.98</v>
      </c>
      <c r="CH37" s="15" t="n">
        <v>1457223.86</v>
      </c>
      <c r="CI37" s="15" t="n">
        <v>497396.6</v>
      </c>
      <c r="CJ37" s="15" t="n">
        <v>579487.97</v>
      </c>
      <c r="CK37" s="15" t="n">
        <v>126963.66</v>
      </c>
      <c r="CL37" s="15" t="n">
        <v>345124.42</v>
      </c>
      <c r="CM37" s="15" t="n">
        <v>321165.08</v>
      </c>
      <c r="CN37" s="15" t="n">
        <v>542763.21</v>
      </c>
      <c r="CO37" s="15" t="n">
        <v>49510.33</v>
      </c>
      <c r="CP37" s="15" t="n">
        <v>300855.12</v>
      </c>
      <c r="CQ37" s="15" t="n">
        <v>233466.09</v>
      </c>
      <c r="CR37" s="15" t="n">
        <v>360329.46</v>
      </c>
      <c r="CS37" s="15" t="n">
        <v>536113.45</v>
      </c>
      <c r="CT37" s="15" t="n">
        <v>1992728.44</v>
      </c>
      <c r="CU37" s="15" t="n">
        <v>287460.82</v>
      </c>
      <c r="CV37" s="15" t="n">
        <v>633956.13</v>
      </c>
      <c r="CW37" s="15" t="n">
        <v>30373.33</v>
      </c>
      <c r="CX37" s="15" t="n">
        <v>721503.8</v>
      </c>
      <c r="CY37" s="15" t="n">
        <v>1182532.22</v>
      </c>
      <c r="CZ37" s="15" t="n">
        <v>152531.54</v>
      </c>
      <c r="DA37" s="15" t="n">
        <v>1140873.29</v>
      </c>
      <c r="DB37" s="15" t="n">
        <v>605152.0699999999</v>
      </c>
      <c r="DC37" s="15" t="n">
        <v>215655.63</v>
      </c>
      <c r="DD37" s="15" t="n">
        <v>-87759.58</v>
      </c>
      <c r="DE37" s="15" t="n">
        <v>615861.4399999999</v>
      </c>
      <c r="DF37" s="15" t="n">
        <v>1671487.24</v>
      </c>
      <c r="DG37" s="15" t="n">
        <v>445550.08</v>
      </c>
      <c r="DH37" s="15" t="n">
        <v>827434.66</v>
      </c>
      <c r="DI37" s="15" t="n">
        <v>81810.82000000001</v>
      </c>
      <c r="DJ37" s="15" t="n">
        <v>281208.62</v>
      </c>
      <c r="DK37" s="15" t="n">
        <v>1264716.59</v>
      </c>
      <c r="DL37" s="15" t="n">
        <v>2060066.06</v>
      </c>
      <c r="DM37" s="15" t="n">
        <v>83436.58</v>
      </c>
      <c r="DN37" s="15" t="n">
        <v>686408.99</v>
      </c>
      <c r="DO37" s="15" t="n">
        <v>191281.5</v>
      </c>
      <c r="DP37" s="15" t="n">
        <v>18593.8</v>
      </c>
    </row>
    <row r="38">
      <c r="A38" s="4" t="inlineStr">
        <is>
          <t>其他产品B</t>
        </is>
      </c>
      <c r="B38" s="15" t="n">
        <v>1416664.08</v>
      </c>
      <c r="C38" s="15" t="n">
        <v>1073274.51</v>
      </c>
      <c r="D38" s="15" t="n">
        <v>682587.55</v>
      </c>
      <c r="E38" s="15" t="n">
        <v>246877.92</v>
      </c>
      <c r="F38" s="15" t="n">
        <v>230810.56</v>
      </c>
      <c r="G38" s="15" t="n">
        <v>883203.66</v>
      </c>
      <c r="H38" s="15" t="n">
        <v>2484673.95</v>
      </c>
      <c r="I38" s="15" t="n">
        <v>599246.52</v>
      </c>
      <c r="J38" s="15" t="n">
        <v>173665.47</v>
      </c>
      <c r="K38" s="15" t="n">
        <v>183338.65</v>
      </c>
      <c r="L38" s="15" t="n">
        <v>390652.82</v>
      </c>
      <c r="M38" s="15" t="n">
        <v>667555.21</v>
      </c>
      <c r="N38" s="15" t="n">
        <v>2488616.07</v>
      </c>
      <c r="O38" s="15" t="n">
        <v>134419.5</v>
      </c>
      <c r="P38" s="15" t="n">
        <v>209992.39</v>
      </c>
      <c r="Q38" s="15" t="n">
        <v>237501.87</v>
      </c>
      <c r="R38" s="15" t="n">
        <v>163281.01</v>
      </c>
      <c r="S38" s="15" t="n">
        <v>1309424.76</v>
      </c>
      <c r="T38" s="15" t="n">
        <v>1432228.8</v>
      </c>
      <c r="U38" s="15" t="n">
        <v>1232616.09</v>
      </c>
      <c r="V38" s="15" t="n">
        <v>475680.76</v>
      </c>
      <c r="W38" s="15" t="n">
        <v>58377.53</v>
      </c>
      <c r="X38" s="15" t="n">
        <v>291965.18</v>
      </c>
      <c r="Y38" s="15" t="n">
        <v>608785.3100000001</v>
      </c>
      <c r="Z38" s="15" t="n">
        <v>1764317.6</v>
      </c>
      <c r="AA38" s="15" t="n">
        <v>315803.85</v>
      </c>
      <c r="AB38" s="15" t="n">
        <v>532766.95</v>
      </c>
      <c r="AC38" s="15" t="n">
        <v>130080.69</v>
      </c>
      <c r="AD38" s="15" t="n">
        <v>246346.98</v>
      </c>
      <c r="AE38" s="15" t="n">
        <v>355716.7</v>
      </c>
      <c r="AF38" s="15" t="n">
        <v>1902757.17</v>
      </c>
      <c r="AG38" s="15" t="n">
        <v>1006828.67</v>
      </c>
      <c r="AH38" s="15" t="n">
        <v>637302.64</v>
      </c>
      <c r="AI38" s="15" t="n">
        <v>218786.42</v>
      </c>
      <c r="AJ38" s="15" t="n">
        <v>596103.13</v>
      </c>
      <c r="AK38" s="15" t="n">
        <v>1423062.18</v>
      </c>
      <c r="AL38" s="15" t="n">
        <v>491883.3</v>
      </c>
      <c r="AM38" s="15" t="n">
        <v>1135602.51</v>
      </c>
      <c r="AN38" s="15" t="n">
        <v>249932.29</v>
      </c>
      <c r="AO38" s="15" t="n">
        <v>45876.81</v>
      </c>
      <c r="AP38" s="15" t="n">
        <v>-96247.38</v>
      </c>
      <c r="AQ38" s="15" t="n">
        <v>279920.39</v>
      </c>
      <c r="AR38" s="15" t="n">
        <v>2336841.85</v>
      </c>
      <c r="AS38" s="15" t="n">
        <v>852083.46</v>
      </c>
      <c r="AT38" s="15" t="n">
        <v>555422.1</v>
      </c>
      <c r="AU38" s="15" t="n">
        <v>33718.84</v>
      </c>
      <c r="AV38" s="15" t="n">
        <v>89773.50999999999</v>
      </c>
      <c r="AW38" s="15" t="n">
        <v>1739559.05</v>
      </c>
      <c r="AX38" s="15" t="n">
        <v>240313.64</v>
      </c>
      <c r="AY38" s="15" t="n">
        <v>720758.84</v>
      </c>
      <c r="AZ38" s="15" t="n">
        <v>420811.75</v>
      </c>
      <c r="BA38" s="15" t="n">
        <v>88574.45</v>
      </c>
      <c r="BB38" s="15" t="n">
        <v>604827.09</v>
      </c>
      <c r="BC38" s="15" t="n">
        <v>835743.72</v>
      </c>
      <c r="BD38" s="15" t="n">
        <v>1158182.99</v>
      </c>
      <c r="BE38" s="15" t="n">
        <v>135069.62</v>
      </c>
      <c r="BF38" s="15" t="n">
        <v>145229.26</v>
      </c>
      <c r="BG38" s="15" t="n">
        <v>177564.63</v>
      </c>
      <c r="BH38" s="15" t="n">
        <v>642775.67</v>
      </c>
      <c r="BI38" s="15" t="n">
        <v>1343190.13</v>
      </c>
      <c r="BJ38" s="15" t="n">
        <v>1404045.79</v>
      </c>
      <c r="BK38" s="15" t="n">
        <v>228117.4</v>
      </c>
      <c r="BL38" s="15" t="n">
        <v>43035.75</v>
      </c>
      <c r="BM38" s="15" t="n">
        <v>60778.87</v>
      </c>
      <c r="BN38" s="15" t="n">
        <v>683587.26</v>
      </c>
      <c r="BO38" s="15" t="n">
        <v>1080105.54</v>
      </c>
      <c r="BP38" s="15" t="n">
        <v>2457286.5</v>
      </c>
      <c r="BQ38" s="15" t="n">
        <v>682549.15</v>
      </c>
      <c r="BR38" s="15" t="n">
        <v>805788.84</v>
      </c>
      <c r="BS38" s="15" t="n">
        <v>71104.94</v>
      </c>
      <c r="BT38" s="15" t="n">
        <v>203893.45</v>
      </c>
      <c r="BU38" s="15" t="n">
        <v>1263521.68</v>
      </c>
      <c r="BV38" s="15" t="n">
        <v>2274958.78</v>
      </c>
      <c r="BW38" s="15" t="n">
        <v>380193.82</v>
      </c>
      <c r="BX38" s="15" t="n">
        <v>837601.01</v>
      </c>
      <c r="BY38" s="15" t="n">
        <v>56257.48</v>
      </c>
      <c r="BZ38" s="15" t="n">
        <v>-88984.36</v>
      </c>
      <c r="CA38" s="15" t="n">
        <v>898296.13</v>
      </c>
      <c r="CB38" s="15" t="n">
        <v>1348167.86</v>
      </c>
      <c r="CC38" s="15" t="n">
        <v>192823.4</v>
      </c>
      <c r="CD38" s="15" t="n">
        <v>873194.5</v>
      </c>
      <c r="CE38" s="15" t="n">
        <v>46588.18</v>
      </c>
      <c r="CF38" s="15" t="n">
        <v>545679.37</v>
      </c>
      <c r="CG38" s="15" t="n">
        <v>965411.86</v>
      </c>
      <c r="CH38" s="15" t="n">
        <v>2325597.94</v>
      </c>
      <c r="CI38" s="15" t="n">
        <v>585667.45</v>
      </c>
      <c r="CJ38" s="15" t="n">
        <v>348187.63</v>
      </c>
      <c r="CK38" s="15" t="n">
        <v>220708.93</v>
      </c>
      <c r="CL38" s="15" t="n">
        <v>-45477.3</v>
      </c>
      <c r="CM38" s="15" t="n">
        <v>1849920.05</v>
      </c>
      <c r="CN38" s="15" t="n">
        <v>740419.58</v>
      </c>
      <c r="CO38" s="15" t="n">
        <v>1267045.6</v>
      </c>
      <c r="CP38" s="15" t="n">
        <v>481858.63</v>
      </c>
      <c r="CQ38" s="15" t="n">
        <v>68397.09</v>
      </c>
      <c r="CR38" s="15" t="n">
        <v>208965.09</v>
      </c>
      <c r="CS38" s="15" t="n">
        <v>1400992.7</v>
      </c>
      <c r="CT38" s="15" t="n">
        <v>807478.5699999999</v>
      </c>
      <c r="CU38" s="15" t="n">
        <v>366452.8</v>
      </c>
      <c r="CV38" s="15" t="n">
        <v>362835.18</v>
      </c>
      <c r="CW38" s="15" t="n">
        <v>48536.03</v>
      </c>
      <c r="CX38" s="15" t="n">
        <v>276892.07</v>
      </c>
      <c r="CY38" s="15" t="n">
        <v>628878.8100000001</v>
      </c>
      <c r="CZ38" s="15" t="n">
        <v>2026566.98</v>
      </c>
      <c r="DA38" s="15" t="n">
        <v>1026546.54</v>
      </c>
      <c r="DB38" s="15" t="n">
        <v>949643.26</v>
      </c>
      <c r="DC38" s="15" t="n">
        <v>131960.96</v>
      </c>
      <c r="DD38" s="15" t="n">
        <v>24284.09</v>
      </c>
      <c r="DE38" s="15" t="n">
        <v>1717895.5</v>
      </c>
      <c r="DF38" s="15" t="n">
        <v>391765.03</v>
      </c>
      <c r="DG38" s="15" t="n">
        <v>646313.62</v>
      </c>
      <c r="DH38" s="15" t="n">
        <v>845197.4</v>
      </c>
      <c r="DI38" s="15" t="n">
        <v>152868.21</v>
      </c>
      <c r="DJ38" s="15" t="n">
        <v>722070.0600000001</v>
      </c>
      <c r="DK38" s="15" t="n">
        <v>1426104.46</v>
      </c>
      <c r="DL38" s="15" t="n">
        <v>2050111.35</v>
      </c>
      <c r="DM38" s="15" t="n">
        <v>566991.47</v>
      </c>
      <c r="DN38" s="15" t="n">
        <v>113186.16</v>
      </c>
      <c r="DO38" s="15" t="n">
        <v>231745.49</v>
      </c>
      <c r="DP38" s="15" t="n">
        <v>596094.4</v>
      </c>
    </row>
    <row r="39">
      <c r="A39" s="4" t="inlineStr">
        <is>
          <t>其他产品C</t>
        </is>
      </c>
      <c r="B39" s="15" t="n">
        <v>820952.09</v>
      </c>
      <c r="C39" s="15" t="n">
        <v>666187.5</v>
      </c>
      <c r="D39" s="15" t="n">
        <v>894223.1800000001</v>
      </c>
      <c r="E39" s="15" t="n">
        <v>197899.88</v>
      </c>
      <c r="F39" s="15" t="n">
        <v>361929.19</v>
      </c>
      <c r="G39" s="15" t="n">
        <v>714864.99</v>
      </c>
      <c r="H39" s="15" t="n">
        <v>833429.1</v>
      </c>
      <c r="I39" s="15" t="n">
        <v>658902.6899999999</v>
      </c>
      <c r="J39" s="15" t="n">
        <v>738668.29</v>
      </c>
      <c r="K39" s="15" t="n">
        <v>126139.13</v>
      </c>
      <c r="L39" s="15" t="n">
        <v>-68484.37</v>
      </c>
      <c r="M39" s="15" t="n">
        <v>761807.88</v>
      </c>
      <c r="N39" s="15" t="n">
        <v>1669495.95</v>
      </c>
      <c r="O39" s="15" t="n">
        <v>1133832.29</v>
      </c>
      <c r="P39" s="15" t="n">
        <v>847956.51</v>
      </c>
      <c r="Q39" s="15" t="n">
        <v>135354.11</v>
      </c>
      <c r="R39" s="15" t="n">
        <v>724971.84</v>
      </c>
      <c r="S39" s="15" t="n">
        <v>1107408.43</v>
      </c>
      <c r="T39" s="15" t="n">
        <v>1284811.9</v>
      </c>
      <c r="U39" s="15" t="n">
        <v>337992.42</v>
      </c>
      <c r="V39" s="15" t="n">
        <v>77033.8</v>
      </c>
      <c r="W39" s="15" t="n">
        <v>147808.7</v>
      </c>
      <c r="X39" s="15" t="n">
        <v>120300.35</v>
      </c>
      <c r="Y39" s="15" t="n">
        <v>674277.42</v>
      </c>
      <c r="Z39" s="15" t="n">
        <v>198304.43</v>
      </c>
      <c r="AA39" s="15" t="n">
        <v>1146321.19</v>
      </c>
      <c r="AB39" s="15" t="n">
        <v>326837.89</v>
      </c>
      <c r="AC39" s="15" t="n">
        <v>238502.38</v>
      </c>
      <c r="AD39" s="15" t="n">
        <v>-56122.45</v>
      </c>
      <c r="AE39" s="15" t="n">
        <v>1846610.17</v>
      </c>
      <c r="AF39" s="15" t="n">
        <v>783028.3100000001</v>
      </c>
      <c r="AG39" s="15" t="n">
        <v>1125952.08</v>
      </c>
      <c r="AH39" s="15" t="n">
        <v>350661.55</v>
      </c>
      <c r="AI39" s="15" t="n">
        <v>54673.88</v>
      </c>
      <c r="AJ39" s="15" t="n">
        <v>104888.15</v>
      </c>
      <c r="AK39" s="15" t="n">
        <v>444874.74</v>
      </c>
      <c r="AL39" s="15" t="n">
        <v>1374176.31</v>
      </c>
      <c r="AM39" s="15" t="n">
        <v>251572.91</v>
      </c>
      <c r="AN39" s="15" t="n">
        <v>307646.78</v>
      </c>
      <c r="AO39" s="15" t="n">
        <v>243034.35</v>
      </c>
      <c r="AP39" s="15" t="n">
        <v>205630.69</v>
      </c>
      <c r="AQ39" s="15" t="n">
        <v>586637.04</v>
      </c>
      <c r="AR39" s="15" t="n">
        <v>836507.13</v>
      </c>
      <c r="AS39" s="15" t="n">
        <v>108786.91</v>
      </c>
      <c r="AT39" s="15" t="n">
        <v>86359.02</v>
      </c>
      <c r="AU39" s="15" t="n">
        <v>216575.98</v>
      </c>
      <c r="AV39" s="15" t="n">
        <v>642721.26</v>
      </c>
      <c r="AW39" s="15" t="n">
        <v>1456036.04</v>
      </c>
      <c r="AX39" s="15" t="n">
        <v>2140413.33</v>
      </c>
      <c r="AY39" s="15" t="n">
        <v>1409693.66</v>
      </c>
      <c r="AZ39" s="15" t="n">
        <v>641588.27</v>
      </c>
      <c r="BA39" s="15" t="n">
        <v>103594.98</v>
      </c>
      <c r="BB39" s="15" t="n">
        <v>355102.3</v>
      </c>
      <c r="BC39" s="15" t="n">
        <v>54810.27</v>
      </c>
      <c r="BD39" s="15" t="n">
        <v>1617598.71</v>
      </c>
      <c r="BE39" s="15" t="n">
        <v>1212024.51</v>
      </c>
      <c r="BF39" s="15" t="n">
        <v>961899.14</v>
      </c>
      <c r="BG39" s="15" t="n">
        <v>248865.71</v>
      </c>
      <c r="BH39" s="15" t="n">
        <v>528137.77</v>
      </c>
      <c r="BI39" s="15" t="n">
        <v>1819674.09</v>
      </c>
      <c r="BJ39" s="15" t="n">
        <v>1186768.79</v>
      </c>
      <c r="BK39" s="15" t="n">
        <v>584978.02</v>
      </c>
      <c r="BL39" s="15" t="n">
        <v>668441.63</v>
      </c>
      <c r="BM39" s="15" t="n">
        <v>188123.06</v>
      </c>
      <c r="BN39" s="15" t="n">
        <v>231231.16</v>
      </c>
      <c r="BO39" s="15" t="n">
        <v>354981.37</v>
      </c>
      <c r="BP39" s="15" t="n">
        <v>2327698.63</v>
      </c>
      <c r="BQ39" s="15" t="n">
        <v>781535.88</v>
      </c>
      <c r="BR39" s="15" t="n">
        <v>635617.85</v>
      </c>
      <c r="BS39" s="15" t="n">
        <v>147101.37</v>
      </c>
      <c r="BT39" s="15" t="n">
        <v>293289.09</v>
      </c>
      <c r="BU39" s="15" t="n">
        <v>1482239.6</v>
      </c>
      <c r="BV39" s="15" t="n">
        <v>1229433.73</v>
      </c>
      <c r="BW39" s="15" t="n">
        <v>1093308.41</v>
      </c>
      <c r="BX39" s="15" t="n">
        <v>188064.61</v>
      </c>
      <c r="BY39" s="15" t="n">
        <v>223605.51</v>
      </c>
      <c r="BZ39" s="15" t="n">
        <v>83259.95</v>
      </c>
      <c r="CA39" s="15" t="n">
        <v>960010.15</v>
      </c>
      <c r="CB39" s="15" t="n">
        <v>562338.53</v>
      </c>
      <c r="CC39" s="15" t="n">
        <v>848068.58</v>
      </c>
      <c r="CD39" s="15" t="n">
        <v>654937.98</v>
      </c>
      <c r="CE39" s="15" t="n">
        <v>73381.75999999999</v>
      </c>
      <c r="CF39" s="15" t="n">
        <v>376226.42</v>
      </c>
      <c r="CG39" s="15" t="n">
        <v>910044.8100000001</v>
      </c>
      <c r="CH39" s="15" t="n">
        <v>2182139.31</v>
      </c>
      <c r="CI39" s="15" t="n">
        <v>302568.63</v>
      </c>
      <c r="CJ39" s="15" t="n">
        <v>531343.33</v>
      </c>
      <c r="CK39" s="15" t="n">
        <v>144845.42</v>
      </c>
      <c r="CL39" s="15" t="n">
        <v>637642.13</v>
      </c>
      <c r="CM39" s="15" t="n">
        <v>1839293.07</v>
      </c>
      <c r="CN39" s="15" t="n">
        <v>2001487.45</v>
      </c>
      <c r="CO39" s="15" t="n">
        <v>257875.01</v>
      </c>
      <c r="CP39" s="15" t="n">
        <v>726664.97</v>
      </c>
      <c r="CQ39" s="15" t="n">
        <v>238098.51</v>
      </c>
      <c r="CR39" s="15" t="n">
        <v>-23265.06</v>
      </c>
      <c r="CS39" s="15" t="n">
        <v>1596603.72</v>
      </c>
      <c r="CT39" s="15" t="n">
        <v>2409379.21</v>
      </c>
      <c r="CU39" s="15" t="n">
        <v>1401744.01</v>
      </c>
      <c r="CV39" s="15" t="n">
        <v>704680.8100000001</v>
      </c>
      <c r="CW39" s="15" t="n">
        <v>39176.99</v>
      </c>
      <c r="CX39" s="15" t="n">
        <v>540617.67</v>
      </c>
      <c r="CY39" s="15" t="n">
        <v>41913.7</v>
      </c>
      <c r="CZ39" s="15" t="n">
        <v>2350640.85</v>
      </c>
      <c r="DA39" s="15" t="n">
        <v>1498317.62</v>
      </c>
      <c r="DB39" s="15" t="n">
        <v>397839.99</v>
      </c>
      <c r="DC39" s="15" t="n">
        <v>90386.8</v>
      </c>
      <c r="DD39" s="15" t="n">
        <v>482422.64</v>
      </c>
      <c r="DE39" s="15" t="n">
        <v>531383.47</v>
      </c>
      <c r="DF39" s="15" t="n">
        <v>1844244.17</v>
      </c>
      <c r="DG39" s="15" t="n">
        <v>1369810.92</v>
      </c>
      <c r="DH39" s="15" t="n">
        <v>366925.47</v>
      </c>
      <c r="DI39" s="15" t="n">
        <v>88722.87</v>
      </c>
      <c r="DJ39" s="15" t="n">
        <v>136474.05</v>
      </c>
      <c r="DK39" s="15" t="n">
        <v>1692892.37</v>
      </c>
      <c r="DL39" s="15" t="n">
        <v>1551644.55</v>
      </c>
      <c r="DM39" s="15" t="n">
        <v>497897.46</v>
      </c>
      <c r="DN39" s="15" t="n">
        <v>898565.5699999999</v>
      </c>
      <c r="DO39" s="15" t="n">
        <v>222515.16</v>
      </c>
      <c r="DP39" s="15" t="n">
        <v>678887.17</v>
      </c>
    </row>
    <row r="40">
      <c r="A40" s="4" t="inlineStr">
        <is>
          <t>生鲜蔬果</t>
        </is>
      </c>
      <c r="B40" s="15" t="n">
        <v>259568.58</v>
      </c>
      <c r="C40" s="15" t="n">
        <v>1155759.22</v>
      </c>
      <c r="D40" s="15" t="n">
        <v>60654.3</v>
      </c>
      <c r="E40" s="15" t="n">
        <v>61899.39</v>
      </c>
      <c r="F40" s="15" t="n">
        <v>241986.51</v>
      </c>
      <c r="G40" s="15" t="n">
        <v>94860.55</v>
      </c>
      <c r="H40" s="15" t="n">
        <v>2266218.4</v>
      </c>
      <c r="I40" s="15" t="n">
        <v>263014.66</v>
      </c>
      <c r="J40" s="15" t="n">
        <v>159155.96</v>
      </c>
      <c r="K40" s="15" t="n">
        <v>121336.64</v>
      </c>
      <c r="L40" s="15" t="n">
        <v>177425.96</v>
      </c>
      <c r="M40" s="15" t="n">
        <v>633418.6</v>
      </c>
      <c r="N40" s="15" t="n">
        <v>1550314.38</v>
      </c>
      <c r="O40" s="15" t="n">
        <v>483276.99</v>
      </c>
      <c r="P40" s="15" t="n">
        <v>452309.42</v>
      </c>
      <c r="Q40" s="15" t="n">
        <v>204264.43</v>
      </c>
      <c r="R40" s="15" t="n">
        <v>364664.03</v>
      </c>
      <c r="S40" s="15" t="n">
        <v>785394.55</v>
      </c>
      <c r="T40" s="15" t="n">
        <v>1135420.65</v>
      </c>
      <c r="U40" s="15" t="n">
        <v>657149.52</v>
      </c>
      <c r="V40" s="15" t="n">
        <v>795273.72</v>
      </c>
      <c r="W40" s="15" t="n">
        <v>148132.26</v>
      </c>
      <c r="X40" s="15" t="n">
        <v>271183.33</v>
      </c>
      <c r="Y40" s="15" t="n">
        <v>312992.17</v>
      </c>
      <c r="Z40" s="15" t="n">
        <v>527012.4399999999</v>
      </c>
      <c r="AA40" s="15" t="n">
        <v>1175807.19</v>
      </c>
      <c r="AB40" s="15" t="n">
        <v>795818.63</v>
      </c>
      <c r="AC40" s="15" t="n">
        <v>19622.23</v>
      </c>
      <c r="AD40" s="15" t="n">
        <v>255152.33</v>
      </c>
      <c r="AE40" s="15" t="n">
        <v>1706850.67</v>
      </c>
      <c r="AF40" s="15" t="n">
        <v>1049068.39</v>
      </c>
      <c r="AG40" s="15" t="n">
        <v>818282.8100000001</v>
      </c>
      <c r="AH40" s="15" t="n">
        <v>392075.31</v>
      </c>
      <c r="AI40" s="15" t="n">
        <v>240301.82</v>
      </c>
      <c r="AJ40" s="15" t="n">
        <v>78777.99000000001</v>
      </c>
      <c r="AK40" s="15" t="n">
        <v>898977.74</v>
      </c>
      <c r="AL40" s="15" t="n">
        <v>173820.22</v>
      </c>
      <c r="AM40" s="15" t="n">
        <v>1029722.53</v>
      </c>
      <c r="AN40" s="15" t="n">
        <v>825765.49</v>
      </c>
      <c r="AO40" s="15" t="n">
        <v>236073.18</v>
      </c>
      <c r="AP40" s="15" t="n">
        <v>48613.13</v>
      </c>
      <c r="AQ40" s="15" t="n">
        <v>79758.03999999999</v>
      </c>
      <c r="AR40" s="15" t="n">
        <v>466496.28</v>
      </c>
      <c r="AS40" s="15" t="n">
        <v>561405.9</v>
      </c>
      <c r="AT40" s="15" t="n">
        <v>444968.56</v>
      </c>
      <c r="AU40" s="15" t="n">
        <v>132562.99</v>
      </c>
      <c r="AV40" s="15" t="n">
        <v>572710.66</v>
      </c>
      <c r="AW40" s="15" t="n">
        <v>1294146.09</v>
      </c>
      <c r="AX40" s="15" t="n">
        <v>1017897.64</v>
      </c>
      <c r="AY40" s="15" t="n">
        <v>1401375.63</v>
      </c>
      <c r="AZ40" s="15" t="n">
        <v>667735.87</v>
      </c>
      <c r="BA40" s="15" t="n">
        <v>101268.25</v>
      </c>
      <c r="BB40" s="15" t="n">
        <v>-33671</v>
      </c>
      <c r="BC40" s="15" t="n">
        <v>436620.49</v>
      </c>
      <c r="BD40" s="15" t="n">
        <v>90293.32000000001</v>
      </c>
      <c r="BE40" s="15" t="n">
        <v>844540.47</v>
      </c>
      <c r="BF40" s="15" t="n">
        <v>393570.46</v>
      </c>
      <c r="BG40" s="15" t="n">
        <v>30266.31</v>
      </c>
      <c r="BH40" s="15" t="n">
        <v>34042.78</v>
      </c>
      <c r="BI40" s="15" t="n">
        <v>812497.8100000001</v>
      </c>
      <c r="BJ40" s="15" t="n">
        <v>2235793.73</v>
      </c>
      <c r="BK40" s="15" t="n">
        <v>785799.79</v>
      </c>
      <c r="BL40" s="15" t="n">
        <v>24138.68</v>
      </c>
      <c r="BM40" s="15" t="n">
        <v>236447.11</v>
      </c>
      <c r="BN40" s="15" t="n">
        <v>495848.92</v>
      </c>
      <c r="BO40" s="15" t="n">
        <v>834242.25</v>
      </c>
      <c r="BP40" s="15" t="n">
        <v>1541229.48</v>
      </c>
      <c r="BQ40" s="15" t="n">
        <v>787883.01</v>
      </c>
      <c r="BR40" s="15" t="n">
        <v>811841.85</v>
      </c>
      <c r="BS40" s="15" t="n">
        <v>196807.92</v>
      </c>
      <c r="BT40" s="15" t="n">
        <v>467366.76</v>
      </c>
      <c r="BU40" s="15" t="n">
        <v>591323.89</v>
      </c>
      <c r="BV40" s="15" t="n">
        <v>247803.48</v>
      </c>
      <c r="BW40" s="15" t="n">
        <v>162748.18</v>
      </c>
      <c r="BX40" s="15" t="n">
        <v>808944.27</v>
      </c>
      <c r="BY40" s="15" t="n">
        <v>63687.86</v>
      </c>
      <c r="BZ40" s="15" t="n">
        <v>625248.46</v>
      </c>
      <c r="CA40" s="15" t="n">
        <v>1426434.25</v>
      </c>
      <c r="CB40" s="15" t="n">
        <v>2153196.68</v>
      </c>
      <c r="CC40" s="15" t="n">
        <v>1029323.86</v>
      </c>
      <c r="CD40" s="15" t="n">
        <v>236450.65</v>
      </c>
      <c r="CE40" s="15" t="n">
        <v>28279.23</v>
      </c>
      <c r="CF40" s="15" t="n">
        <v>506330.17</v>
      </c>
      <c r="CG40" s="15" t="n">
        <v>1391760.29</v>
      </c>
      <c r="CH40" s="15" t="n">
        <v>1001063.48</v>
      </c>
      <c r="CI40" s="15" t="n">
        <v>375256.68</v>
      </c>
      <c r="CJ40" s="15" t="n">
        <v>381591.99</v>
      </c>
      <c r="CK40" s="15" t="n">
        <v>48836.31</v>
      </c>
      <c r="CL40" s="15" t="n">
        <v>538976.99</v>
      </c>
      <c r="CM40" s="15" t="n">
        <v>321607.53</v>
      </c>
      <c r="CN40" s="15" t="n">
        <v>721597.77</v>
      </c>
      <c r="CO40" s="15" t="n">
        <v>1260516.07</v>
      </c>
      <c r="CP40" s="15" t="n">
        <v>312966.78</v>
      </c>
      <c r="CQ40" s="15" t="n">
        <v>76075.55</v>
      </c>
      <c r="CR40" s="15" t="n">
        <v>-97738.53999999999</v>
      </c>
      <c r="CS40" s="15" t="n">
        <v>1285895.5</v>
      </c>
      <c r="CT40" s="15" t="n">
        <v>1161601.28</v>
      </c>
      <c r="CU40" s="15" t="n">
        <v>1373268.5</v>
      </c>
      <c r="CV40" s="15" t="n">
        <v>855001.1899999999</v>
      </c>
      <c r="CW40" s="15" t="n">
        <v>97698.81</v>
      </c>
      <c r="CX40" s="15" t="n">
        <v>38415.12</v>
      </c>
      <c r="CY40" s="15" t="n">
        <v>1166876.89</v>
      </c>
      <c r="CZ40" s="15" t="n">
        <v>236083.75</v>
      </c>
      <c r="DA40" s="15" t="n">
        <v>1261176.07</v>
      </c>
      <c r="DB40" s="15" t="n">
        <v>637516.3</v>
      </c>
      <c r="DC40" s="15" t="n">
        <v>130305.28</v>
      </c>
      <c r="DD40" s="15" t="n">
        <v>347991.4</v>
      </c>
      <c r="DE40" s="15" t="n">
        <v>196405.68</v>
      </c>
      <c r="DF40" s="15" t="n">
        <v>987491.88</v>
      </c>
      <c r="DG40" s="15" t="n">
        <v>1474170.6</v>
      </c>
      <c r="DH40" s="15" t="n">
        <v>420426.3</v>
      </c>
      <c r="DI40" s="15" t="n">
        <v>15721.07</v>
      </c>
      <c r="DJ40" s="15" t="n">
        <v>460850.7</v>
      </c>
      <c r="DK40" s="15" t="n">
        <v>157863.01</v>
      </c>
      <c r="DL40" s="15" t="n">
        <v>2172447.41</v>
      </c>
      <c r="DM40" s="15" t="n">
        <v>1339784.96</v>
      </c>
      <c r="DN40" s="15" t="n">
        <v>303232.3</v>
      </c>
      <c r="DO40" s="15" t="n">
        <v>149828.76</v>
      </c>
      <c r="DP40" s="15" t="n">
        <v>441570.94</v>
      </c>
    </row>
    <row r="41">
      <c r="A41" s="4" t="inlineStr">
        <is>
          <t>肉禽蛋奶</t>
        </is>
      </c>
      <c r="B41" s="15" t="n">
        <v>1133384.01</v>
      </c>
      <c r="C41" s="15" t="n">
        <v>930350.26</v>
      </c>
      <c r="D41" s="15" t="n">
        <v>342145.45</v>
      </c>
      <c r="E41" s="15" t="n">
        <v>130222.53</v>
      </c>
      <c r="F41" s="15" t="n">
        <v>439072.19</v>
      </c>
      <c r="G41" s="15" t="n">
        <v>247666.51</v>
      </c>
      <c r="H41" s="15" t="n">
        <v>2065924.86</v>
      </c>
      <c r="I41" s="15" t="n">
        <v>588210.26</v>
      </c>
      <c r="J41" s="15" t="n">
        <v>822441.26</v>
      </c>
      <c r="K41" s="15" t="n">
        <v>225873.54</v>
      </c>
      <c r="L41" s="15" t="n">
        <v>135837.84</v>
      </c>
      <c r="M41" s="15" t="n">
        <v>1930231.49</v>
      </c>
      <c r="N41" s="15" t="n">
        <v>1070212.3</v>
      </c>
      <c r="O41" s="15" t="n">
        <v>950935.14</v>
      </c>
      <c r="P41" s="15" t="n">
        <v>550232.03</v>
      </c>
      <c r="Q41" s="15" t="n">
        <v>75533.11</v>
      </c>
      <c r="R41" s="15" t="n">
        <v>738738.53</v>
      </c>
      <c r="S41" s="15" t="n">
        <v>1752335.15</v>
      </c>
      <c r="T41" s="15" t="n">
        <v>591079.74</v>
      </c>
      <c r="U41" s="15" t="n">
        <v>1246735.14</v>
      </c>
      <c r="V41" s="15" t="n">
        <v>910085.85</v>
      </c>
      <c r="W41" s="15" t="n">
        <v>110490.5</v>
      </c>
      <c r="X41" s="15" t="n">
        <v>-52418.42</v>
      </c>
      <c r="Y41" s="15" t="n">
        <v>388291.79</v>
      </c>
      <c r="Z41" s="15" t="n">
        <v>1724072.16</v>
      </c>
      <c r="AA41" s="15" t="n">
        <v>254728.15</v>
      </c>
      <c r="AB41" s="15" t="n">
        <v>219344.76</v>
      </c>
      <c r="AC41" s="15" t="n">
        <v>133583.8</v>
      </c>
      <c r="AD41" s="15" t="n">
        <v>65785.83</v>
      </c>
      <c r="AE41" s="15" t="n">
        <v>561510.4399999999</v>
      </c>
      <c r="AF41" s="15" t="n">
        <v>672897.47</v>
      </c>
      <c r="AG41" s="15" t="n">
        <v>1258124.09</v>
      </c>
      <c r="AH41" s="15" t="n">
        <v>466305.87</v>
      </c>
      <c r="AI41" s="15" t="n">
        <v>201061.96</v>
      </c>
      <c r="AJ41" s="15" t="n">
        <v>445903.24</v>
      </c>
      <c r="AK41" s="15" t="n">
        <v>70010.89</v>
      </c>
      <c r="AL41" s="15" t="n">
        <v>1186934.13</v>
      </c>
      <c r="AM41" s="15" t="n">
        <v>282158.52</v>
      </c>
      <c r="AN41" s="15" t="n">
        <v>520651.68</v>
      </c>
      <c r="AO41" s="15" t="n">
        <v>10874.66</v>
      </c>
      <c r="AP41" s="15" t="n">
        <v>107300.45</v>
      </c>
      <c r="AQ41" s="15" t="n">
        <v>1331208.15</v>
      </c>
      <c r="AR41" s="15" t="n">
        <v>2476650.39</v>
      </c>
      <c r="AS41" s="15" t="n">
        <v>968880.15</v>
      </c>
      <c r="AT41" s="15" t="n">
        <v>751538.79</v>
      </c>
      <c r="AU41" s="15" t="n">
        <v>210930.72</v>
      </c>
      <c r="AV41" s="15" t="n">
        <v>268662.94</v>
      </c>
      <c r="AW41" s="15" t="n">
        <v>224800.41</v>
      </c>
      <c r="AX41" s="15" t="n">
        <v>1375176.27</v>
      </c>
      <c r="AY41" s="15" t="n">
        <v>373957.9</v>
      </c>
      <c r="AZ41" s="15" t="n">
        <v>230151.57</v>
      </c>
      <c r="BA41" s="15" t="n">
        <v>53804.12</v>
      </c>
      <c r="BB41" s="15" t="n">
        <v>3749.99</v>
      </c>
      <c r="BC41" s="15" t="n">
        <v>1537360.32</v>
      </c>
      <c r="BD41" s="15" t="n">
        <v>674074.89</v>
      </c>
      <c r="BE41" s="15" t="n">
        <v>875119.1800000001</v>
      </c>
      <c r="BF41" s="15" t="n">
        <v>323621.5</v>
      </c>
      <c r="BG41" s="15" t="n">
        <v>67589.58</v>
      </c>
      <c r="BH41" s="15" t="n">
        <v>588821.5699999999</v>
      </c>
      <c r="BI41" s="15" t="n">
        <v>374581</v>
      </c>
      <c r="BJ41" s="15" t="n">
        <v>2301819.97</v>
      </c>
      <c r="BK41" s="15" t="n">
        <v>1303558.33</v>
      </c>
      <c r="BL41" s="15" t="n">
        <v>698050.3</v>
      </c>
      <c r="BM41" s="15" t="n">
        <v>76713.16</v>
      </c>
      <c r="BN41" s="15" t="n">
        <v>544671.3199999999</v>
      </c>
      <c r="BO41" s="15" t="n">
        <v>388435.33</v>
      </c>
      <c r="BP41" s="15" t="n">
        <v>64177.03</v>
      </c>
      <c r="BQ41" s="15" t="n">
        <v>1181014.1</v>
      </c>
      <c r="BR41" s="15" t="n">
        <v>512568.85</v>
      </c>
      <c r="BS41" s="15" t="n">
        <v>169511.04</v>
      </c>
      <c r="BT41" s="15" t="n">
        <v>366543.1</v>
      </c>
      <c r="BU41" s="15" t="n">
        <v>738814.3100000001</v>
      </c>
      <c r="BV41" s="15" t="n">
        <v>1651259.87</v>
      </c>
      <c r="BW41" s="15" t="n">
        <v>99911.23</v>
      </c>
      <c r="BX41" s="15" t="n">
        <v>590644.78</v>
      </c>
      <c r="BY41" s="15" t="n">
        <v>249854.93</v>
      </c>
      <c r="BZ41" s="15" t="n">
        <v>201082.87</v>
      </c>
      <c r="CA41" s="15" t="n">
        <v>256898.81</v>
      </c>
      <c r="CB41" s="15" t="n">
        <v>1129194.16</v>
      </c>
      <c r="CC41" s="15" t="n">
        <v>606939.75</v>
      </c>
      <c r="CD41" s="15" t="n">
        <v>13549.57</v>
      </c>
      <c r="CE41" s="15" t="n">
        <v>243186.39</v>
      </c>
      <c r="CF41" s="15" t="n">
        <v>34234.29</v>
      </c>
      <c r="CG41" s="15" t="n">
        <v>1230263.57</v>
      </c>
      <c r="CH41" s="15" t="n">
        <v>457299.16</v>
      </c>
      <c r="CI41" s="15" t="n">
        <v>1448344.99</v>
      </c>
      <c r="CJ41" s="15" t="n">
        <v>852527.16</v>
      </c>
      <c r="CK41" s="15" t="n">
        <v>191014.67</v>
      </c>
      <c r="CL41" s="15" t="n">
        <v>305642.51</v>
      </c>
      <c r="CM41" s="15" t="n">
        <v>486827.18</v>
      </c>
      <c r="CN41" s="15" t="n">
        <v>1795515.73</v>
      </c>
      <c r="CO41" s="15" t="n">
        <v>439479.49</v>
      </c>
      <c r="CP41" s="15" t="n">
        <v>918858.34</v>
      </c>
      <c r="CQ41" s="15" t="n">
        <v>20522.06</v>
      </c>
      <c r="CR41" s="15" t="n">
        <v>654290.95</v>
      </c>
      <c r="CS41" s="15" t="n">
        <v>618878.88</v>
      </c>
      <c r="CT41" s="15" t="n">
        <v>182733.53</v>
      </c>
      <c r="CU41" s="15" t="n">
        <v>1232953.55</v>
      </c>
      <c r="CV41" s="15" t="n">
        <v>691119.2</v>
      </c>
      <c r="CW41" s="15" t="n">
        <v>46347.6</v>
      </c>
      <c r="CX41" s="15" t="n">
        <v>-61046.63</v>
      </c>
      <c r="CY41" s="15" t="n">
        <v>1521105.82</v>
      </c>
      <c r="CZ41" s="15" t="n">
        <v>1241542.63</v>
      </c>
      <c r="DA41" s="15" t="n">
        <v>912520.51</v>
      </c>
      <c r="DB41" s="15" t="n">
        <v>815942.98</v>
      </c>
      <c r="DC41" s="15" t="n">
        <v>198140.15</v>
      </c>
      <c r="DD41" s="15" t="n">
        <v>103752.27</v>
      </c>
      <c r="DE41" s="15" t="n">
        <v>491493.46</v>
      </c>
      <c r="DF41" s="15" t="n">
        <v>2402692.89</v>
      </c>
      <c r="DG41" s="15" t="n">
        <v>464661.08</v>
      </c>
      <c r="DH41" s="15" t="n">
        <v>761095.8</v>
      </c>
      <c r="DI41" s="15" t="n">
        <v>233246.35</v>
      </c>
      <c r="DJ41" s="15" t="n">
        <v>726974.1800000001</v>
      </c>
      <c r="DK41" s="15" t="n">
        <v>1371173.88</v>
      </c>
      <c r="DL41" s="15" t="n">
        <v>618322.91</v>
      </c>
      <c r="DM41" s="15" t="n">
        <v>974267.01</v>
      </c>
      <c r="DN41" s="15" t="n">
        <v>361232.29</v>
      </c>
      <c r="DO41" s="15" t="n">
        <v>56569.24</v>
      </c>
      <c r="DP41" s="15" t="n">
        <v>396427.2</v>
      </c>
    </row>
    <row r="42">
      <c r="A42" s="4" t="inlineStr">
        <is>
          <t>粮油调味</t>
        </is>
      </c>
      <c r="B42" s="15" t="n">
        <v>701742.0699999999</v>
      </c>
      <c r="C42" s="15" t="n">
        <v>1269175.81</v>
      </c>
      <c r="D42" s="15" t="n">
        <v>566520.87</v>
      </c>
      <c r="E42" s="15" t="n">
        <v>92308.78999999999</v>
      </c>
      <c r="F42" s="15" t="n">
        <v>345863.34</v>
      </c>
      <c r="G42" s="15" t="n">
        <v>414511.54</v>
      </c>
      <c r="H42" s="15" t="n">
        <v>2464082.43</v>
      </c>
      <c r="I42" s="15" t="n">
        <v>798423.1800000001</v>
      </c>
      <c r="J42" s="15" t="n">
        <v>644160.04</v>
      </c>
      <c r="K42" s="15" t="n">
        <v>206177.11</v>
      </c>
      <c r="L42" s="15" t="n">
        <v>144359.89</v>
      </c>
      <c r="M42" s="15" t="n">
        <v>846470.8</v>
      </c>
      <c r="N42" s="15" t="n">
        <v>652190.38</v>
      </c>
      <c r="O42" s="15" t="n">
        <v>218221.24</v>
      </c>
      <c r="P42" s="15" t="n">
        <v>652361.02</v>
      </c>
      <c r="Q42" s="15" t="n">
        <v>131258.87</v>
      </c>
      <c r="R42" s="15" t="n">
        <v>590317.51</v>
      </c>
      <c r="S42" s="15" t="n">
        <v>692091.87</v>
      </c>
      <c r="T42" s="15" t="n">
        <v>190204.01</v>
      </c>
      <c r="U42" s="15" t="n">
        <v>1249914.29</v>
      </c>
      <c r="V42" s="15" t="n">
        <v>937980.3</v>
      </c>
      <c r="W42" s="15" t="n">
        <v>130233.6</v>
      </c>
      <c r="X42" s="15" t="n">
        <v>321240.88</v>
      </c>
      <c r="Y42" s="15" t="n">
        <v>247382.96</v>
      </c>
      <c r="Z42" s="15" t="n">
        <v>1482150.82</v>
      </c>
      <c r="AA42" s="15" t="n">
        <v>1259313.57</v>
      </c>
      <c r="AB42" s="15" t="n">
        <v>126739.26</v>
      </c>
      <c r="AC42" s="15" t="n">
        <v>35688.05</v>
      </c>
      <c r="AD42" s="15" t="n">
        <v>79693.12</v>
      </c>
      <c r="AE42" s="15" t="n">
        <v>996924.17</v>
      </c>
      <c r="AF42" s="15" t="n">
        <v>306693.03</v>
      </c>
      <c r="AG42" s="15" t="n">
        <v>933004.83</v>
      </c>
      <c r="AH42" s="15" t="n">
        <v>488469.48</v>
      </c>
      <c r="AI42" s="15" t="n">
        <v>75790.37</v>
      </c>
      <c r="AJ42" s="15" t="n">
        <v>299942.24</v>
      </c>
      <c r="AK42" s="15" t="n">
        <v>1394110.04</v>
      </c>
      <c r="AL42" s="15" t="n">
        <v>1441600.21</v>
      </c>
      <c r="AM42" s="15" t="n">
        <v>1046968.07</v>
      </c>
      <c r="AN42" s="15" t="n">
        <v>476948.87</v>
      </c>
      <c r="AO42" s="15" t="n">
        <v>123684.15</v>
      </c>
      <c r="AP42" s="15" t="n">
        <v>113710.73</v>
      </c>
      <c r="AQ42" s="15" t="n">
        <v>1439942.79</v>
      </c>
      <c r="AR42" s="15" t="n">
        <v>122428.57</v>
      </c>
      <c r="AS42" s="15" t="n">
        <v>1073737.09</v>
      </c>
      <c r="AT42" s="15" t="n">
        <v>362979.34</v>
      </c>
      <c r="AU42" s="15" t="n">
        <v>134328.96</v>
      </c>
      <c r="AV42" s="15" t="n">
        <v>656214.8100000001</v>
      </c>
      <c r="AW42" s="15" t="n">
        <v>1388099.49</v>
      </c>
      <c r="AX42" s="15" t="n">
        <v>2292623.9</v>
      </c>
      <c r="AY42" s="15" t="n">
        <v>809037.1899999999</v>
      </c>
      <c r="AZ42" s="15" t="n">
        <v>336258.37</v>
      </c>
      <c r="BA42" s="15" t="n">
        <v>233690.69</v>
      </c>
      <c r="BB42" s="15" t="n">
        <v>541165.26</v>
      </c>
      <c r="BC42" s="15" t="n">
        <v>978571.15</v>
      </c>
      <c r="BD42" s="15" t="n">
        <v>1962795.9</v>
      </c>
      <c r="BE42" s="15" t="n">
        <v>910347</v>
      </c>
      <c r="BF42" s="15" t="n">
        <v>410812.7</v>
      </c>
      <c r="BG42" s="15" t="n">
        <v>236679.04</v>
      </c>
      <c r="BH42" s="15" t="n">
        <v>276110.83</v>
      </c>
      <c r="BI42" s="15" t="n">
        <v>469478.98</v>
      </c>
      <c r="BJ42" s="15" t="n">
        <v>977191.61</v>
      </c>
      <c r="BK42" s="15" t="n">
        <v>115334.93</v>
      </c>
      <c r="BL42" s="15" t="n">
        <v>299262.63</v>
      </c>
      <c r="BM42" s="15" t="n">
        <v>221003.28</v>
      </c>
      <c r="BN42" s="15" t="n">
        <v>299468.93</v>
      </c>
      <c r="BO42" s="15" t="n">
        <v>242932.35</v>
      </c>
      <c r="BP42" s="15" t="n">
        <v>66366.09</v>
      </c>
      <c r="BQ42" s="15" t="n">
        <v>185266.98</v>
      </c>
      <c r="BR42" s="15" t="n">
        <v>11556.39</v>
      </c>
      <c r="BS42" s="15" t="n">
        <v>111907.32</v>
      </c>
      <c r="BT42" s="15" t="n">
        <v>405080.25</v>
      </c>
      <c r="BU42" s="15" t="n">
        <v>1022098.54</v>
      </c>
      <c r="BV42" s="15" t="n">
        <v>426933.65</v>
      </c>
      <c r="BW42" s="15" t="n">
        <v>1265085.16</v>
      </c>
      <c r="BX42" s="15" t="n">
        <v>141431.16</v>
      </c>
      <c r="BY42" s="15" t="n">
        <v>135702.21</v>
      </c>
      <c r="BZ42" s="15" t="n">
        <v>702499.4300000001</v>
      </c>
      <c r="CA42" s="15" t="n">
        <v>1265293.78</v>
      </c>
      <c r="CB42" s="15" t="n">
        <v>61630.49</v>
      </c>
      <c r="CC42" s="15" t="n">
        <v>347439.19</v>
      </c>
      <c r="CD42" s="15" t="n">
        <v>254595.98</v>
      </c>
      <c r="CE42" s="15" t="n">
        <v>94428.83</v>
      </c>
      <c r="CF42" s="15" t="n">
        <v>241830.73</v>
      </c>
      <c r="CG42" s="15" t="n">
        <v>307995.44</v>
      </c>
      <c r="CH42" s="15" t="n">
        <v>1538866.01</v>
      </c>
      <c r="CI42" s="15" t="n">
        <v>1071570.85</v>
      </c>
      <c r="CJ42" s="15" t="n">
        <v>488319.68</v>
      </c>
      <c r="CK42" s="15" t="n">
        <v>113083.44</v>
      </c>
      <c r="CL42" s="15" t="n">
        <v>12538.84</v>
      </c>
      <c r="CM42" s="15" t="n">
        <v>1839341.09</v>
      </c>
      <c r="CN42" s="15" t="n">
        <v>1075902.45</v>
      </c>
      <c r="CO42" s="15" t="n">
        <v>455813.56</v>
      </c>
      <c r="CP42" s="15" t="n">
        <v>563330.36</v>
      </c>
      <c r="CQ42" s="15" t="n">
        <v>17573.34</v>
      </c>
      <c r="CR42" s="15" t="n">
        <v>466473.48</v>
      </c>
      <c r="CS42" s="15" t="n">
        <v>233348.4</v>
      </c>
      <c r="CT42" s="15" t="n">
        <v>530931.5</v>
      </c>
      <c r="CU42" s="15" t="n">
        <v>720724.14</v>
      </c>
      <c r="CV42" s="15" t="n">
        <v>78802.55</v>
      </c>
      <c r="CW42" s="15" t="n">
        <v>82199.23</v>
      </c>
      <c r="CX42" s="15" t="n">
        <v>122381.11</v>
      </c>
      <c r="CY42" s="15" t="n">
        <v>1309149.7</v>
      </c>
      <c r="CZ42" s="15" t="n">
        <v>214286.93</v>
      </c>
      <c r="DA42" s="15" t="n">
        <v>527305.46</v>
      </c>
      <c r="DB42" s="15" t="n">
        <v>492609.87</v>
      </c>
      <c r="DC42" s="15" t="n">
        <v>222169.48</v>
      </c>
      <c r="DD42" s="15" t="n">
        <v>33222.23</v>
      </c>
      <c r="DE42" s="15" t="n">
        <v>1666729.64</v>
      </c>
      <c r="DF42" s="15" t="n">
        <v>2369689.16</v>
      </c>
      <c r="DG42" s="15" t="n">
        <v>368155.08</v>
      </c>
      <c r="DH42" s="15" t="n">
        <v>617143.6899999999</v>
      </c>
      <c r="DI42" s="15" t="n">
        <v>7798.89</v>
      </c>
      <c r="DJ42" s="15" t="n">
        <v>712870.6899999999</v>
      </c>
      <c r="DK42" s="15" t="n">
        <v>1535230.99</v>
      </c>
      <c r="DL42" s="15" t="n">
        <v>926845.6800000001</v>
      </c>
      <c r="DM42" s="15" t="n">
        <v>911140.91</v>
      </c>
      <c r="DN42" s="15" t="n">
        <v>144292.79</v>
      </c>
      <c r="DO42" s="15" t="n">
        <v>176055.78</v>
      </c>
      <c r="DP42" s="15" t="n">
        <v>621874.77</v>
      </c>
    </row>
    <row r="43">
      <c r="A43" s="4" t="inlineStr">
        <is>
          <t>酒水饮料</t>
        </is>
      </c>
      <c r="B43" s="15" t="n">
        <v>152328.38</v>
      </c>
      <c r="C43" s="15" t="n">
        <v>990591.1899999999</v>
      </c>
      <c r="D43" s="15" t="n">
        <v>981867.74</v>
      </c>
      <c r="E43" s="15" t="n">
        <v>51110.47</v>
      </c>
      <c r="F43" s="15" t="n">
        <v>410074.88</v>
      </c>
      <c r="G43" s="15" t="n">
        <v>1135353.89</v>
      </c>
      <c r="H43" s="15" t="n">
        <v>1196572.22</v>
      </c>
      <c r="I43" s="15" t="n">
        <v>378007.52</v>
      </c>
      <c r="J43" s="15" t="n">
        <v>707767.89</v>
      </c>
      <c r="K43" s="15" t="n">
        <v>12397.82</v>
      </c>
      <c r="L43" s="15" t="n">
        <v>-28525.85</v>
      </c>
      <c r="M43" s="15" t="n">
        <v>1254026.51</v>
      </c>
      <c r="N43" s="15" t="n">
        <v>1525905.92</v>
      </c>
      <c r="O43" s="15" t="n">
        <v>1258578.24</v>
      </c>
      <c r="P43" s="15" t="n">
        <v>311534.57</v>
      </c>
      <c r="Q43" s="15" t="n">
        <v>244677.23</v>
      </c>
      <c r="R43" s="15" t="n">
        <v>131484.41</v>
      </c>
      <c r="S43" s="15" t="n">
        <v>999310.51</v>
      </c>
      <c r="T43" s="15" t="n">
        <v>1696307.5</v>
      </c>
      <c r="U43" s="15" t="n">
        <v>991679.0699999999</v>
      </c>
      <c r="V43" s="15" t="n">
        <v>857651.6800000001</v>
      </c>
      <c r="W43" s="15" t="n">
        <v>14050.53</v>
      </c>
      <c r="X43" s="15" t="n">
        <v>546723.4300000001</v>
      </c>
      <c r="Y43" s="15" t="n">
        <v>1907418.1</v>
      </c>
      <c r="Z43" s="15" t="n">
        <v>147635.39</v>
      </c>
      <c r="AA43" s="15" t="n">
        <v>1474907.86</v>
      </c>
      <c r="AB43" s="15" t="n">
        <v>464232.76</v>
      </c>
      <c r="AC43" s="15" t="n">
        <v>21623.78</v>
      </c>
      <c r="AD43" s="15" t="n">
        <v>163525.61</v>
      </c>
      <c r="AE43" s="15" t="n">
        <v>1652845.95</v>
      </c>
      <c r="AF43" s="15" t="n">
        <v>1003930.02</v>
      </c>
      <c r="AG43" s="15" t="n">
        <v>1294475.84</v>
      </c>
      <c r="AH43" s="15" t="n">
        <v>579214.5</v>
      </c>
      <c r="AI43" s="15" t="n">
        <v>236722.94</v>
      </c>
      <c r="AJ43" s="15" t="n">
        <v>98062.22</v>
      </c>
      <c r="AK43" s="15" t="n">
        <v>794494.24</v>
      </c>
      <c r="AL43" s="15" t="n">
        <v>1960498.31</v>
      </c>
      <c r="AM43" s="15" t="n">
        <v>76039.03999999999</v>
      </c>
      <c r="AN43" s="15" t="n">
        <v>208564.92</v>
      </c>
      <c r="AO43" s="15" t="n">
        <v>173356.02</v>
      </c>
      <c r="AP43" s="15" t="n">
        <v>-81948.57000000001</v>
      </c>
      <c r="AQ43" s="15" t="n">
        <v>961478.28</v>
      </c>
      <c r="AR43" s="15" t="n">
        <v>2275883.01</v>
      </c>
      <c r="AS43" s="15" t="n">
        <v>620154.77</v>
      </c>
      <c r="AT43" s="15" t="n">
        <v>904898.98</v>
      </c>
      <c r="AU43" s="15" t="n">
        <v>183678.78</v>
      </c>
      <c r="AV43" s="15" t="n">
        <v>-17914.65</v>
      </c>
      <c r="AW43" s="15" t="n">
        <v>140309.77</v>
      </c>
      <c r="AX43" s="15" t="n">
        <v>2169832.67</v>
      </c>
      <c r="AY43" s="15" t="n">
        <v>59662.46</v>
      </c>
      <c r="AZ43" s="15" t="n">
        <v>812254.42</v>
      </c>
      <c r="BA43" s="15" t="n">
        <v>177911.61</v>
      </c>
      <c r="BB43" s="15" t="n">
        <v>322375.9</v>
      </c>
      <c r="BC43" s="15" t="n">
        <v>1771967.08</v>
      </c>
      <c r="BD43" s="15" t="n">
        <v>1101820.78</v>
      </c>
      <c r="BE43" s="15" t="n">
        <v>969516.99</v>
      </c>
      <c r="BF43" s="15" t="n">
        <v>891503.0600000001</v>
      </c>
      <c r="BG43" s="15" t="n">
        <v>12765.77</v>
      </c>
      <c r="BH43" s="15" t="n">
        <v>627164</v>
      </c>
      <c r="BI43" s="15" t="n">
        <v>1827338.85</v>
      </c>
      <c r="BJ43" s="15" t="n">
        <v>2022536.24</v>
      </c>
      <c r="BK43" s="15" t="n">
        <v>1349828.7</v>
      </c>
      <c r="BL43" s="15" t="n">
        <v>507831.27</v>
      </c>
      <c r="BM43" s="15" t="n">
        <v>199282.99</v>
      </c>
      <c r="BN43" s="15" t="n">
        <v>287868.11</v>
      </c>
      <c r="BO43" s="15" t="n">
        <v>929689.6800000001</v>
      </c>
      <c r="BP43" s="15" t="n">
        <v>217468.4</v>
      </c>
      <c r="BQ43" s="15" t="n">
        <v>1086796.1</v>
      </c>
      <c r="BR43" s="15" t="n">
        <v>953358.7</v>
      </c>
      <c r="BS43" s="15" t="n">
        <v>146162.49</v>
      </c>
      <c r="BT43" s="15" t="n">
        <v>-14262.49</v>
      </c>
      <c r="BU43" s="15" t="n">
        <v>667738.38</v>
      </c>
      <c r="BV43" s="15" t="n">
        <v>1183354.96</v>
      </c>
      <c r="BW43" s="15" t="n">
        <v>370450.87</v>
      </c>
      <c r="BX43" s="15" t="n">
        <v>254774.57</v>
      </c>
      <c r="BY43" s="15" t="n">
        <v>191983.39</v>
      </c>
      <c r="BZ43" s="15" t="n">
        <v>907.52</v>
      </c>
      <c r="CA43" s="15" t="n">
        <v>556832.98</v>
      </c>
      <c r="CB43" s="15" t="n">
        <v>2154578.27</v>
      </c>
      <c r="CC43" s="15" t="n">
        <v>676290.95</v>
      </c>
      <c r="CD43" s="15" t="n">
        <v>560372.38</v>
      </c>
      <c r="CE43" s="15" t="n">
        <v>179899.7</v>
      </c>
      <c r="CF43" s="15" t="n">
        <v>281865.7</v>
      </c>
      <c r="CG43" s="15" t="n">
        <v>1829303.78</v>
      </c>
      <c r="CH43" s="15" t="n">
        <v>2355178.64</v>
      </c>
      <c r="CI43" s="15" t="n">
        <v>596001.64</v>
      </c>
      <c r="CJ43" s="15" t="n">
        <v>811124.72</v>
      </c>
      <c r="CK43" s="15" t="n">
        <v>175088.55</v>
      </c>
      <c r="CL43" s="15" t="n">
        <v>366834.22</v>
      </c>
      <c r="CM43" s="15" t="n">
        <v>170684.69</v>
      </c>
      <c r="CN43" s="15" t="n">
        <v>2423557.63</v>
      </c>
      <c r="CO43" s="15" t="n">
        <v>1266294.29</v>
      </c>
      <c r="CP43" s="15" t="n">
        <v>590978.08</v>
      </c>
      <c r="CQ43" s="15" t="n">
        <v>33828.75</v>
      </c>
      <c r="CR43" s="15" t="n">
        <v>622071.75</v>
      </c>
      <c r="CS43" s="15" t="n">
        <v>1525954.2</v>
      </c>
      <c r="CT43" s="15" t="n">
        <v>1578292.15</v>
      </c>
      <c r="CU43" s="15" t="n">
        <v>1276362.01</v>
      </c>
      <c r="CV43" s="15" t="n">
        <v>513802.27</v>
      </c>
      <c r="CW43" s="15" t="n">
        <v>228390.07</v>
      </c>
      <c r="CX43" s="15" t="n">
        <v>39914.16</v>
      </c>
      <c r="CY43" s="15" t="n">
        <v>1171806.01</v>
      </c>
      <c r="CZ43" s="15" t="n">
        <v>1700737.32</v>
      </c>
      <c r="DA43" s="15" t="n">
        <v>124052.52</v>
      </c>
      <c r="DB43" s="15" t="n">
        <v>880393.87</v>
      </c>
      <c r="DC43" s="15" t="n">
        <v>11329.09</v>
      </c>
      <c r="DD43" s="15" t="n">
        <v>350353.97</v>
      </c>
      <c r="DE43" s="15" t="n">
        <v>235844.34</v>
      </c>
      <c r="DF43" s="15" t="n">
        <v>1754436.74</v>
      </c>
      <c r="DG43" s="15" t="n">
        <v>1025759.24</v>
      </c>
      <c r="DH43" s="15" t="n">
        <v>564656.75</v>
      </c>
      <c r="DI43" s="15" t="n">
        <v>87009.96000000001</v>
      </c>
      <c r="DJ43" s="15" t="n">
        <v>212723.39</v>
      </c>
      <c r="DK43" s="15" t="n">
        <v>951790.71</v>
      </c>
      <c r="DL43" s="15" t="n">
        <v>605928.83</v>
      </c>
      <c r="DM43" s="15" t="n">
        <v>1068051.18</v>
      </c>
      <c r="DN43" s="15" t="n">
        <v>285319.3</v>
      </c>
      <c r="DO43" s="15" t="n">
        <v>116654.62</v>
      </c>
      <c r="DP43" s="15" t="n">
        <v>253878.13</v>
      </c>
    </row>
    <row r="44">
      <c r="A44" s="4" t="inlineStr">
        <is>
          <t>休闲零食</t>
        </is>
      </c>
      <c r="B44" s="15" t="n">
        <v>353747.63</v>
      </c>
      <c r="C44" s="15" t="n">
        <v>501671.43</v>
      </c>
      <c r="D44" s="15" t="n">
        <v>569830.58</v>
      </c>
      <c r="E44" s="15" t="n">
        <v>242880.99</v>
      </c>
      <c r="F44" s="15" t="n">
        <v>-81471.22</v>
      </c>
      <c r="G44" s="15" t="n">
        <v>1650297.66</v>
      </c>
      <c r="H44" s="15" t="n">
        <v>1116257.59</v>
      </c>
      <c r="I44" s="15" t="n">
        <v>944712.75</v>
      </c>
      <c r="J44" s="15" t="n">
        <v>262896.71</v>
      </c>
      <c r="K44" s="15" t="n">
        <v>139121.97</v>
      </c>
      <c r="L44" s="15" t="n">
        <v>683671.11</v>
      </c>
      <c r="M44" s="15" t="n">
        <v>227137.07</v>
      </c>
      <c r="N44" s="15" t="n">
        <v>1886849.2</v>
      </c>
      <c r="O44" s="15" t="n">
        <v>33331.82</v>
      </c>
      <c r="P44" s="15" t="n">
        <v>68518.74000000001</v>
      </c>
      <c r="Q44" s="15" t="n">
        <v>184887.55</v>
      </c>
      <c r="R44" s="15" t="n">
        <v>-69222.14</v>
      </c>
      <c r="S44" s="15" t="n">
        <v>911342.9</v>
      </c>
      <c r="T44" s="15" t="n">
        <v>1055228.82</v>
      </c>
      <c r="U44" s="15" t="n">
        <v>249025.86</v>
      </c>
      <c r="V44" s="15" t="n">
        <v>776483.15</v>
      </c>
      <c r="W44" s="15" t="n">
        <v>248739</v>
      </c>
      <c r="X44" s="15" t="n">
        <v>-56721.27</v>
      </c>
      <c r="Y44" s="15" t="n">
        <v>868705.13</v>
      </c>
      <c r="Z44" s="15" t="n">
        <v>2424028.72</v>
      </c>
      <c r="AA44" s="15" t="n">
        <v>89314.83</v>
      </c>
      <c r="AB44" s="15" t="n">
        <v>771043.74</v>
      </c>
      <c r="AC44" s="15" t="n">
        <v>153780.45</v>
      </c>
      <c r="AD44" s="15" t="n">
        <v>35070.87</v>
      </c>
      <c r="AE44" s="15" t="n">
        <v>845803.23</v>
      </c>
      <c r="AF44" s="15" t="n">
        <v>1864431.5</v>
      </c>
      <c r="AG44" s="15" t="n">
        <v>289403.5</v>
      </c>
      <c r="AH44" s="15" t="n">
        <v>566197.9399999999</v>
      </c>
      <c r="AI44" s="15" t="n">
        <v>167122.17</v>
      </c>
      <c r="AJ44" s="15" t="n">
        <v>180661.28</v>
      </c>
      <c r="AK44" s="15" t="n">
        <v>1592377.37</v>
      </c>
      <c r="AL44" s="15" t="n">
        <v>426978.57</v>
      </c>
      <c r="AM44" s="15" t="n">
        <v>1388178.62</v>
      </c>
      <c r="AN44" s="15" t="n">
        <v>745214.29</v>
      </c>
      <c r="AO44" s="15" t="n">
        <v>68362.67</v>
      </c>
      <c r="AP44" s="15" t="n">
        <v>400386.81</v>
      </c>
      <c r="AQ44" s="15" t="n">
        <v>991429.8199999999</v>
      </c>
      <c r="AR44" s="15" t="n">
        <v>2065941.47</v>
      </c>
      <c r="AS44" s="15" t="n">
        <v>910835.54</v>
      </c>
      <c r="AT44" s="15" t="n">
        <v>897168.1800000001</v>
      </c>
      <c r="AU44" s="15" t="n">
        <v>96834.32000000001</v>
      </c>
      <c r="AV44" s="15" t="n">
        <v>577417.91</v>
      </c>
      <c r="AW44" s="15" t="n">
        <v>1298470</v>
      </c>
      <c r="AX44" s="15" t="n">
        <v>1511566.7</v>
      </c>
      <c r="AY44" s="15" t="n">
        <v>1043790.56</v>
      </c>
      <c r="AZ44" s="15" t="n">
        <v>814323.3199999999</v>
      </c>
      <c r="BA44" s="15" t="n">
        <v>104927.04</v>
      </c>
      <c r="BB44" s="15" t="n">
        <v>600408.3</v>
      </c>
      <c r="BC44" s="15" t="n">
        <v>670537.58</v>
      </c>
      <c r="BD44" s="15" t="n">
        <v>725855.25</v>
      </c>
      <c r="BE44" s="15" t="n">
        <v>1107163.13</v>
      </c>
      <c r="BF44" s="15" t="n">
        <v>372562.96</v>
      </c>
      <c r="BG44" s="15" t="n">
        <v>225827.31</v>
      </c>
      <c r="BH44" s="15" t="n">
        <v>292225.59</v>
      </c>
      <c r="BI44" s="15" t="n">
        <v>1138172.75</v>
      </c>
      <c r="BJ44" s="15" t="n">
        <v>2447016.82</v>
      </c>
      <c r="BK44" s="15" t="n">
        <v>1010484.28</v>
      </c>
      <c r="BL44" s="15" t="n">
        <v>729768.3</v>
      </c>
      <c r="BM44" s="15" t="n">
        <v>238913.66</v>
      </c>
      <c r="BN44" s="15" t="n">
        <v>311667.71</v>
      </c>
      <c r="BO44" s="15" t="n">
        <v>171176.53</v>
      </c>
      <c r="BP44" s="15" t="n">
        <v>196603.64</v>
      </c>
      <c r="BQ44" s="15" t="n">
        <v>1060251.82</v>
      </c>
      <c r="BR44" s="15" t="n">
        <v>195639.09</v>
      </c>
      <c r="BS44" s="15" t="n">
        <v>148807.45</v>
      </c>
      <c r="BT44" s="15" t="n">
        <v>491479.26</v>
      </c>
      <c r="BU44" s="15" t="n">
        <v>735028.21</v>
      </c>
      <c r="BV44" s="15" t="n">
        <v>1799170.23</v>
      </c>
      <c r="BW44" s="15" t="n">
        <v>111060.8</v>
      </c>
      <c r="BX44" s="15" t="n">
        <v>435862.64</v>
      </c>
      <c r="BY44" s="15" t="n">
        <v>202613.17</v>
      </c>
      <c r="BZ44" s="15" t="n">
        <v>290652.04</v>
      </c>
      <c r="CA44" s="15" t="n">
        <v>1134160.78</v>
      </c>
      <c r="CB44" s="15" t="n">
        <v>527846.83</v>
      </c>
      <c r="CC44" s="15" t="n">
        <v>619914.13</v>
      </c>
      <c r="CD44" s="15" t="n">
        <v>770172.15</v>
      </c>
      <c r="CE44" s="15" t="n">
        <v>31170.49</v>
      </c>
      <c r="CF44" s="15" t="n">
        <v>146054.4</v>
      </c>
      <c r="CG44" s="15" t="n">
        <v>479822.43</v>
      </c>
      <c r="CH44" s="15" t="n">
        <v>99050.47</v>
      </c>
      <c r="CI44" s="15" t="n">
        <v>120063.26</v>
      </c>
      <c r="CJ44" s="15" t="n">
        <v>925477.23</v>
      </c>
      <c r="CK44" s="15" t="n">
        <v>90797.60000000001</v>
      </c>
      <c r="CL44" s="15" t="n">
        <v>710977.4399999999</v>
      </c>
      <c r="CM44" s="15" t="n">
        <v>155389.91</v>
      </c>
      <c r="CN44" s="15" t="n">
        <v>769116.98</v>
      </c>
      <c r="CO44" s="15" t="n">
        <v>325437.88</v>
      </c>
      <c r="CP44" s="15" t="n">
        <v>108606.59</v>
      </c>
      <c r="CQ44" s="15" t="n">
        <v>172108.95</v>
      </c>
      <c r="CR44" s="15" t="n">
        <v>619714.0600000001</v>
      </c>
      <c r="CS44" s="15" t="n">
        <v>951102.52</v>
      </c>
      <c r="CT44" s="15" t="n">
        <v>411765.66</v>
      </c>
      <c r="CU44" s="15" t="n">
        <v>1171324.19</v>
      </c>
      <c r="CV44" s="15" t="n">
        <v>10591.8</v>
      </c>
      <c r="CW44" s="15" t="n">
        <v>32072.3</v>
      </c>
      <c r="CX44" s="15" t="n">
        <v>32387.11</v>
      </c>
      <c r="CY44" s="15" t="n">
        <v>917845.86</v>
      </c>
      <c r="CZ44" s="15" t="n">
        <v>2482561</v>
      </c>
      <c r="DA44" s="15" t="n">
        <v>1110423.43</v>
      </c>
      <c r="DB44" s="15" t="n">
        <v>474026.01</v>
      </c>
      <c r="DC44" s="15" t="n">
        <v>112574.25</v>
      </c>
      <c r="DD44" s="15" t="n">
        <v>81042.17</v>
      </c>
      <c r="DE44" s="15" t="n">
        <v>1916670.63</v>
      </c>
      <c r="DF44" s="15" t="n">
        <v>72712.96000000001</v>
      </c>
      <c r="DG44" s="15" t="n">
        <v>1313818.54</v>
      </c>
      <c r="DH44" s="15" t="n">
        <v>763464.9300000001</v>
      </c>
      <c r="DI44" s="15" t="n">
        <v>48719.73</v>
      </c>
      <c r="DJ44" s="15" t="n">
        <v>491855.56</v>
      </c>
      <c r="DK44" s="15" t="n">
        <v>348276.95</v>
      </c>
      <c r="DL44" s="15" t="n">
        <v>1815715.22</v>
      </c>
      <c r="DM44" s="15" t="n">
        <v>1377657.98</v>
      </c>
      <c r="DN44" s="15" t="n">
        <v>690678.6</v>
      </c>
      <c r="DO44" s="15" t="n">
        <v>56611.51</v>
      </c>
      <c r="DP44" s="15" t="n">
        <v>365594.33</v>
      </c>
    </row>
    <row r="45">
      <c r="A45" s="4" t="inlineStr">
        <is>
          <t>日用百货</t>
        </is>
      </c>
      <c r="B45" s="15" t="n">
        <v>296694.85</v>
      </c>
      <c r="C45" s="15" t="n">
        <v>1365417.36</v>
      </c>
      <c r="D45" s="15" t="n">
        <v>413130.28</v>
      </c>
      <c r="E45" s="15" t="n">
        <v>102421.62</v>
      </c>
      <c r="F45" s="15" t="n">
        <v>692984.1800000001</v>
      </c>
      <c r="G45" s="15" t="n">
        <v>369182.01</v>
      </c>
      <c r="H45" s="15" t="n">
        <v>2215376.56</v>
      </c>
      <c r="I45" s="15" t="n">
        <v>80929</v>
      </c>
      <c r="J45" s="15" t="n">
        <v>740860.14</v>
      </c>
      <c r="K45" s="15" t="n">
        <v>81442.64</v>
      </c>
      <c r="L45" s="15" t="n">
        <v>708141.76</v>
      </c>
      <c r="M45" s="15" t="n">
        <v>816682.78</v>
      </c>
      <c r="N45" s="15" t="n">
        <v>2460846.71</v>
      </c>
      <c r="O45" s="15" t="n">
        <v>371237.81</v>
      </c>
      <c r="P45" s="15" t="n">
        <v>76077.99000000001</v>
      </c>
      <c r="Q45" s="15" t="n">
        <v>130017.4</v>
      </c>
      <c r="R45" s="15" t="n">
        <v>746269.71</v>
      </c>
      <c r="S45" s="15" t="n">
        <v>574509.9399999999</v>
      </c>
      <c r="T45" s="15" t="n">
        <v>1232105.93</v>
      </c>
      <c r="U45" s="15" t="n">
        <v>523131.29</v>
      </c>
      <c r="V45" s="15" t="n">
        <v>63637.15</v>
      </c>
      <c r="W45" s="15" t="n">
        <v>74276.14</v>
      </c>
      <c r="X45" s="15" t="n">
        <v>585864.05</v>
      </c>
      <c r="Y45" s="15" t="n">
        <v>1978105.54</v>
      </c>
      <c r="Z45" s="15" t="n">
        <v>1305313.47</v>
      </c>
      <c r="AA45" s="15" t="n">
        <v>1472191.62</v>
      </c>
      <c r="AB45" s="15" t="n">
        <v>54355.17</v>
      </c>
      <c r="AC45" s="15" t="n">
        <v>55020.28</v>
      </c>
      <c r="AD45" s="15" t="n">
        <v>427301.28</v>
      </c>
      <c r="AE45" s="15" t="n">
        <v>805930.65</v>
      </c>
      <c r="AF45" s="15" t="n">
        <v>2274716.08</v>
      </c>
      <c r="AG45" s="15" t="n">
        <v>500800.52</v>
      </c>
      <c r="AH45" s="15" t="n">
        <v>797583.78</v>
      </c>
      <c r="AI45" s="15" t="n">
        <v>90975.67999999999</v>
      </c>
      <c r="AJ45" s="15" t="n">
        <v>463655.05</v>
      </c>
      <c r="AK45" s="15" t="n">
        <v>402175.12</v>
      </c>
      <c r="AL45" s="15" t="n">
        <v>2280201.53</v>
      </c>
      <c r="AM45" s="15" t="n">
        <v>379210.48</v>
      </c>
      <c r="AN45" s="15" t="n">
        <v>39216.59</v>
      </c>
      <c r="AO45" s="15" t="n">
        <v>157839.01</v>
      </c>
      <c r="AP45" s="15" t="n">
        <v>742093.01</v>
      </c>
      <c r="AQ45" s="15" t="n">
        <v>483812.76</v>
      </c>
      <c r="AR45" s="15" t="n">
        <v>2169586.81</v>
      </c>
      <c r="AS45" s="15" t="n">
        <v>257451.52</v>
      </c>
      <c r="AT45" s="15" t="n">
        <v>773093.6899999999</v>
      </c>
      <c r="AU45" s="15" t="n">
        <v>18578.6</v>
      </c>
      <c r="AV45" s="15" t="n">
        <v>591849.85</v>
      </c>
      <c r="AW45" s="15" t="n">
        <v>886640.89</v>
      </c>
      <c r="AX45" s="15" t="n">
        <v>1125678.83</v>
      </c>
      <c r="AY45" s="15" t="n">
        <v>626739</v>
      </c>
      <c r="AZ45" s="15" t="n">
        <v>329741.92</v>
      </c>
      <c r="BA45" s="15" t="n">
        <v>165716.12</v>
      </c>
      <c r="BB45" s="15" t="n">
        <v>175673.56</v>
      </c>
      <c r="BC45" s="15" t="n">
        <v>1482331.71</v>
      </c>
      <c r="BD45" s="15" t="n">
        <v>487961.91</v>
      </c>
      <c r="BE45" s="15" t="n">
        <v>260455.18</v>
      </c>
      <c r="BF45" s="15" t="n">
        <v>971918.46</v>
      </c>
      <c r="BG45" s="15" t="n">
        <v>32910.23</v>
      </c>
      <c r="BH45" s="15" t="n">
        <v>633069.77</v>
      </c>
      <c r="BI45" s="15" t="n">
        <v>1956560.08</v>
      </c>
      <c r="BJ45" s="15" t="n">
        <v>729975.37</v>
      </c>
      <c r="BK45" s="15" t="n">
        <v>522361.86</v>
      </c>
      <c r="BL45" s="15" t="n">
        <v>704262.48</v>
      </c>
      <c r="BM45" s="15" t="n">
        <v>236536.66</v>
      </c>
      <c r="BN45" s="15" t="n">
        <v>325492.22</v>
      </c>
      <c r="BO45" s="15" t="n">
        <v>891298.53</v>
      </c>
      <c r="BP45" s="15" t="n">
        <v>229532.65</v>
      </c>
      <c r="BQ45" s="15" t="n">
        <v>838720.08</v>
      </c>
      <c r="BR45" s="15" t="n">
        <v>21906.29</v>
      </c>
      <c r="BS45" s="15" t="n">
        <v>140735.03</v>
      </c>
      <c r="BT45" s="15" t="n">
        <v>-42385.35</v>
      </c>
      <c r="BU45" s="15" t="n">
        <v>1952955.52</v>
      </c>
      <c r="BV45" s="15" t="n">
        <v>1322269.97</v>
      </c>
      <c r="BW45" s="15" t="n">
        <v>1431749.84</v>
      </c>
      <c r="BX45" s="15" t="n">
        <v>458553.18</v>
      </c>
      <c r="BY45" s="15" t="n">
        <v>50763.77</v>
      </c>
      <c r="BZ45" s="15" t="n">
        <v>90041.31</v>
      </c>
      <c r="CA45" s="15" t="n">
        <v>1560502.5</v>
      </c>
      <c r="CB45" s="15" t="n">
        <v>1136775.24</v>
      </c>
      <c r="CC45" s="15" t="n">
        <v>850145.62</v>
      </c>
      <c r="CD45" s="15" t="n">
        <v>936019.26</v>
      </c>
      <c r="CE45" s="15" t="n">
        <v>165111.89</v>
      </c>
      <c r="CF45" s="15" t="n">
        <v>227122.09</v>
      </c>
      <c r="CG45" s="15" t="n">
        <v>739520.29</v>
      </c>
      <c r="CH45" s="15" t="n">
        <v>2088789.09</v>
      </c>
      <c r="CI45" s="15" t="n">
        <v>226073.15</v>
      </c>
      <c r="CJ45" s="15" t="n">
        <v>119111.4</v>
      </c>
      <c r="CK45" s="15" t="n">
        <v>34189.92</v>
      </c>
      <c r="CL45" s="15" t="n">
        <v>274397.34</v>
      </c>
      <c r="CM45" s="15" t="n">
        <v>1986090.48</v>
      </c>
      <c r="CN45" s="15" t="n">
        <v>902062.48</v>
      </c>
      <c r="CO45" s="15" t="n">
        <v>567132.9</v>
      </c>
      <c r="CP45" s="15" t="n">
        <v>502748.7</v>
      </c>
      <c r="CQ45" s="15" t="n">
        <v>94221.67999999999</v>
      </c>
      <c r="CR45" s="15" t="n">
        <v>713398.9399999999</v>
      </c>
      <c r="CS45" s="15" t="n">
        <v>1260873.17</v>
      </c>
      <c r="CT45" s="15" t="n">
        <v>965029.83</v>
      </c>
      <c r="CU45" s="15" t="n">
        <v>856329.89</v>
      </c>
      <c r="CV45" s="15" t="n">
        <v>536286.59</v>
      </c>
      <c r="CW45" s="15" t="n">
        <v>222923.49</v>
      </c>
      <c r="CX45" s="15" t="n">
        <v>126896.04</v>
      </c>
      <c r="CY45" s="15" t="n">
        <v>221515.34</v>
      </c>
      <c r="CZ45" s="15" t="n">
        <v>1942478.48</v>
      </c>
      <c r="DA45" s="15" t="n">
        <v>535199.05</v>
      </c>
      <c r="DB45" s="15" t="n">
        <v>676893.92</v>
      </c>
      <c r="DC45" s="15" t="n">
        <v>147722.04</v>
      </c>
      <c r="DD45" s="15" t="n">
        <v>623235.7</v>
      </c>
      <c r="DE45" s="15" t="n">
        <v>1409370.94</v>
      </c>
      <c r="DF45" s="15" t="n">
        <v>1493850.15</v>
      </c>
      <c r="DG45" s="15" t="n">
        <v>994026.5600000001</v>
      </c>
      <c r="DH45" s="15" t="n">
        <v>933449.73</v>
      </c>
      <c r="DI45" s="15" t="n">
        <v>82901.11</v>
      </c>
      <c r="DJ45" s="15" t="n">
        <v>237574.26</v>
      </c>
      <c r="DK45" s="15" t="n">
        <v>334919.47</v>
      </c>
      <c r="DL45" s="15" t="n">
        <v>1027961.62</v>
      </c>
      <c r="DM45" s="15" t="n">
        <v>491053.06</v>
      </c>
      <c r="DN45" s="15" t="n">
        <v>34706.09</v>
      </c>
      <c r="DO45" s="15" t="n">
        <v>98804.53999999999</v>
      </c>
      <c r="DP45" s="15" t="n">
        <v>59023.35</v>
      </c>
    </row>
    <row r="46">
      <c r="A46" s="4" t="inlineStr">
        <is>
          <t>其他产品A</t>
        </is>
      </c>
      <c r="B46" s="15" t="n">
        <v>1680504.58</v>
      </c>
      <c r="C46" s="15" t="n">
        <v>122475.65</v>
      </c>
      <c r="D46" s="15" t="n">
        <v>96518.57000000001</v>
      </c>
      <c r="E46" s="15" t="n">
        <v>201082.92</v>
      </c>
      <c r="F46" s="15" t="n">
        <v>708754.58</v>
      </c>
      <c r="G46" s="15" t="n">
        <v>1750209.14</v>
      </c>
      <c r="H46" s="15" t="n">
        <v>1144503.03</v>
      </c>
      <c r="I46" s="15" t="n">
        <v>1429618.75</v>
      </c>
      <c r="J46" s="15" t="n">
        <v>84800.71000000001</v>
      </c>
      <c r="K46" s="15" t="n">
        <v>148332.4</v>
      </c>
      <c r="L46" s="15" t="n">
        <v>303428.68</v>
      </c>
      <c r="M46" s="15" t="n">
        <v>1061124.37</v>
      </c>
      <c r="N46" s="15" t="n">
        <v>1490505.91</v>
      </c>
      <c r="O46" s="15" t="n">
        <v>350283</v>
      </c>
      <c r="P46" s="15" t="n">
        <v>836759.84</v>
      </c>
      <c r="Q46" s="15" t="n">
        <v>47301.27</v>
      </c>
      <c r="R46" s="15" t="n">
        <v>582223.01</v>
      </c>
      <c r="S46" s="15" t="n">
        <v>563551.64</v>
      </c>
      <c r="T46" s="15" t="n">
        <v>2177339.67</v>
      </c>
      <c r="U46" s="15" t="n">
        <v>1216635.01</v>
      </c>
      <c r="V46" s="15" t="n">
        <v>340888.41</v>
      </c>
      <c r="W46" s="15" t="n">
        <v>163359.6</v>
      </c>
      <c r="X46" s="15" t="n">
        <v>468682.23</v>
      </c>
      <c r="Y46" s="15" t="n">
        <v>1263848.18</v>
      </c>
      <c r="Z46" s="15" t="n">
        <v>1256656.93</v>
      </c>
      <c r="AA46" s="15" t="n">
        <v>1040945.1</v>
      </c>
      <c r="AB46" s="15" t="n">
        <v>120878.51</v>
      </c>
      <c r="AC46" s="15" t="n">
        <v>234789.77</v>
      </c>
      <c r="AD46" s="15" t="n">
        <v>254345.34</v>
      </c>
      <c r="AE46" s="15" t="n">
        <v>214792.12</v>
      </c>
      <c r="AF46" s="15" t="n">
        <v>729217.5699999999</v>
      </c>
      <c r="AG46" s="15" t="n">
        <v>583759.3100000001</v>
      </c>
      <c r="AH46" s="15" t="n">
        <v>326645.18</v>
      </c>
      <c r="AI46" s="15" t="n">
        <v>234934.56</v>
      </c>
      <c r="AJ46" s="15" t="n">
        <v>583852.39</v>
      </c>
      <c r="AK46" s="15" t="n">
        <v>885800.02</v>
      </c>
      <c r="AL46" s="15" t="n">
        <v>871696.42</v>
      </c>
      <c r="AM46" s="15" t="n">
        <v>252217.53</v>
      </c>
      <c r="AN46" s="15" t="n">
        <v>149726</v>
      </c>
      <c r="AO46" s="15" t="n">
        <v>212478.94</v>
      </c>
      <c r="AP46" s="15" t="n">
        <v>572235.55</v>
      </c>
      <c r="AQ46" s="15" t="n">
        <v>1809777.35</v>
      </c>
      <c r="AR46" s="15" t="n">
        <v>1945762.18</v>
      </c>
      <c r="AS46" s="15" t="n">
        <v>87515.39</v>
      </c>
      <c r="AT46" s="15" t="n">
        <v>679742.86</v>
      </c>
      <c r="AU46" s="15" t="n">
        <v>28221.21</v>
      </c>
      <c r="AV46" s="15" t="n">
        <v>741129.42</v>
      </c>
      <c r="AW46" s="15" t="n">
        <v>250133.77</v>
      </c>
      <c r="AX46" s="15" t="n">
        <v>1343662.43</v>
      </c>
      <c r="AY46" s="15" t="n">
        <v>188966.5</v>
      </c>
      <c r="AZ46" s="15" t="n">
        <v>587030.26</v>
      </c>
      <c r="BA46" s="15" t="n">
        <v>113468.48</v>
      </c>
      <c r="BB46" s="15" t="n">
        <v>423110.02</v>
      </c>
      <c r="BC46" s="15" t="n">
        <v>1089078.4</v>
      </c>
      <c r="BD46" s="15" t="n">
        <v>156722.54</v>
      </c>
      <c r="BE46" s="15" t="n">
        <v>1264904.5</v>
      </c>
      <c r="BF46" s="15" t="n">
        <v>605079.84</v>
      </c>
      <c r="BG46" s="15" t="n">
        <v>242022.2</v>
      </c>
      <c r="BH46" s="15" t="n">
        <v>113409.75</v>
      </c>
      <c r="BI46" s="15" t="n">
        <v>916977.03</v>
      </c>
      <c r="BJ46" s="15" t="n">
        <v>1987771.75</v>
      </c>
      <c r="BK46" s="15" t="n">
        <v>473999.93</v>
      </c>
      <c r="BL46" s="15" t="n">
        <v>669366.03</v>
      </c>
      <c r="BM46" s="15" t="n">
        <v>229741.97</v>
      </c>
      <c r="BN46" s="15" t="n">
        <v>450699.41</v>
      </c>
      <c r="BO46" s="15" t="n">
        <v>1644730.94</v>
      </c>
      <c r="BP46" s="15" t="n">
        <v>2210178.06</v>
      </c>
      <c r="BQ46" s="15" t="n">
        <v>1219961.08</v>
      </c>
      <c r="BR46" s="15" t="n">
        <v>895299.15</v>
      </c>
      <c r="BS46" s="15" t="n">
        <v>131254.97</v>
      </c>
      <c r="BT46" s="15" t="n">
        <v>314403.5</v>
      </c>
      <c r="BU46" s="15" t="n">
        <v>1854867.39</v>
      </c>
      <c r="BV46" s="15" t="n">
        <v>661860.67</v>
      </c>
      <c r="BW46" s="15" t="n">
        <v>1099907.45</v>
      </c>
      <c r="BX46" s="15" t="n">
        <v>525983.6899999999</v>
      </c>
      <c r="BY46" s="15" t="n">
        <v>9438.75</v>
      </c>
      <c r="BZ46" s="15" t="n">
        <v>337737.3</v>
      </c>
      <c r="CA46" s="15" t="n">
        <v>1620599.88</v>
      </c>
      <c r="CB46" s="15" t="n">
        <v>1539662.12</v>
      </c>
      <c r="CC46" s="15" t="n">
        <v>47520.83</v>
      </c>
      <c r="CD46" s="15" t="n">
        <v>854236.0600000001</v>
      </c>
      <c r="CE46" s="15" t="n">
        <v>227724.22</v>
      </c>
      <c r="CF46" s="15" t="n">
        <v>331687.77</v>
      </c>
      <c r="CG46" s="15" t="n">
        <v>1111151.83</v>
      </c>
      <c r="CH46" s="15" t="n">
        <v>706038.23</v>
      </c>
      <c r="CI46" s="15" t="n">
        <v>313107.61</v>
      </c>
      <c r="CJ46" s="15" t="n">
        <v>289793.46</v>
      </c>
      <c r="CK46" s="15" t="n">
        <v>210641.57</v>
      </c>
      <c r="CL46" s="15" t="n">
        <v>188928.82</v>
      </c>
      <c r="CM46" s="15" t="n">
        <v>105329.42</v>
      </c>
      <c r="CN46" s="15" t="n">
        <v>2105179.66</v>
      </c>
      <c r="CO46" s="15" t="n">
        <v>195089.73</v>
      </c>
      <c r="CP46" s="15" t="n">
        <v>724495.48</v>
      </c>
      <c r="CQ46" s="15" t="n">
        <v>16815.05</v>
      </c>
      <c r="CR46" s="15" t="n">
        <v>220156.68</v>
      </c>
      <c r="CS46" s="15" t="n">
        <v>1899788.79</v>
      </c>
      <c r="CT46" s="15" t="n">
        <v>592322.51</v>
      </c>
      <c r="CU46" s="15" t="n">
        <v>1437078.39</v>
      </c>
      <c r="CV46" s="15" t="n">
        <v>523031.09</v>
      </c>
      <c r="CW46" s="15" t="n">
        <v>206782.46</v>
      </c>
      <c r="CX46" s="15" t="n">
        <v>267299.41</v>
      </c>
      <c r="CY46" s="15" t="n">
        <v>1611944.27</v>
      </c>
      <c r="CZ46" s="15" t="n">
        <v>1496232.43</v>
      </c>
      <c r="DA46" s="15" t="n">
        <v>963102.6</v>
      </c>
      <c r="DB46" s="15" t="n">
        <v>961816.1899999999</v>
      </c>
      <c r="DC46" s="15" t="n">
        <v>195583.88</v>
      </c>
      <c r="DD46" s="15" t="n">
        <v>749702.53</v>
      </c>
      <c r="DE46" s="15" t="n">
        <v>230538.16</v>
      </c>
      <c r="DF46" s="15" t="n">
        <v>1769055.58</v>
      </c>
      <c r="DG46" s="15" t="n">
        <v>865541.6</v>
      </c>
      <c r="DH46" s="15" t="n">
        <v>423839.49</v>
      </c>
      <c r="DI46" s="15" t="n">
        <v>222978.54</v>
      </c>
      <c r="DJ46" s="15" t="n">
        <v>716681.66</v>
      </c>
      <c r="DK46" s="15" t="n">
        <v>187169.23</v>
      </c>
      <c r="DL46" s="15" t="n">
        <v>2285845.78</v>
      </c>
      <c r="DM46" s="15" t="n">
        <v>1323744.04</v>
      </c>
      <c r="DN46" s="15" t="n">
        <v>906660.46</v>
      </c>
      <c r="DO46" s="15" t="n">
        <v>240883.96</v>
      </c>
      <c r="DP46" s="15" t="n">
        <v>605041.05</v>
      </c>
    </row>
    <row r="47">
      <c r="A47" s="4" t="inlineStr">
        <is>
          <t>其他产品B</t>
        </is>
      </c>
      <c r="B47" s="15" t="n">
        <v>1950660.29</v>
      </c>
      <c r="C47" s="15" t="n">
        <v>241954.39</v>
      </c>
      <c r="D47" s="15" t="n">
        <v>123604.33</v>
      </c>
      <c r="E47" s="15" t="n">
        <v>177884.92</v>
      </c>
      <c r="F47" s="15" t="n">
        <v>515474.35</v>
      </c>
      <c r="G47" s="15" t="n">
        <v>719564.12</v>
      </c>
      <c r="H47" s="15" t="n">
        <v>1333029.31</v>
      </c>
      <c r="I47" s="15" t="n">
        <v>309514.56</v>
      </c>
      <c r="J47" s="15" t="n">
        <v>779552.46</v>
      </c>
      <c r="K47" s="15" t="n">
        <v>17635.76</v>
      </c>
      <c r="L47" s="15" t="n">
        <v>595509.4399999999</v>
      </c>
      <c r="M47" s="15" t="n">
        <v>564253.26</v>
      </c>
      <c r="N47" s="15" t="n">
        <v>1297658.24</v>
      </c>
      <c r="O47" s="15" t="n">
        <v>853199.3</v>
      </c>
      <c r="P47" s="15" t="n">
        <v>840803.65</v>
      </c>
      <c r="Q47" s="15" t="n">
        <v>148273.04</v>
      </c>
      <c r="R47" s="15" t="n">
        <v>486705.98</v>
      </c>
      <c r="S47" s="15" t="n">
        <v>669222.0600000001</v>
      </c>
      <c r="T47" s="15" t="n">
        <v>233386.62</v>
      </c>
      <c r="U47" s="15" t="n">
        <v>283079.87</v>
      </c>
      <c r="V47" s="15" t="n">
        <v>14454.88</v>
      </c>
      <c r="W47" s="15" t="n">
        <v>146787.59</v>
      </c>
      <c r="X47" s="15" t="n">
        <v>-99585.50999999999</v>
      </c>
      <c r="Y47" s="15" t="n">
        <v>479220.19</v>
      </c>
      <c r="Z47" s="15" t="n">
        <v>1823784.61</v>
      </c>
      <c r="AA47" s="15" t="n">
        <v>411783.37</v>
      </c>
      <c r="AB47" s="15" t="n">
        <v>438408.14</v>
      </c>
      <c r="AC47" s="15" t="n">
        <v>107226.99</v>
      </c>
      <c r="AD47" s="15" t="n">
        <v>483821.2</v>
      </c>
      <c r="AE47" s="15" t="n">
        <v>1011055.08</v>
      </c>
      <c r="AF47" s="15" t="n">
        <v>2258691.05</v>
      </c>
      <c r="AG47" s="15" t="n">
        <v>206375.38</v>
      </c>
      <c r="AH47" s="15" t="n">
        <v>425374.05</v>
      </c>
      <c r="AI47" s="15" t="n">
        <v>91833.60000000001</v>
      </c>
      <c r="AJ47" s="15" t="n">
        <v>623027.7</v>
      </c>
      <c r="AK47" s="15" t="n">
        <v>1841273.68</v>
      </c>
      <c r="AL47" s="15" t="n">
        <v>1597710.11</v>
      </c>
      <c r="AM47" s="15" t="n">
        <v>340290.21</v>
      </c>
      <c r="AN47" s="15" t="n">
        <v>292555.44</v>
      </c>
      <c r="AO47" s="15" t="n">
        <v>145801.37</v>
      </c>
      <c r="AP47" s="15" t="n">
        <v>193559.05</v>
      </c>
      <c r="AQ47" s="15" t="n">
        <v>152387.11</v>
      </c>
      <c r="AR47" s="15" t="n">
        <v>626046.1899999999</v>
      </c>
      <c r="AS47" s="15" t="n">
        <v>766924.85</v>
      </c>
      <c r="AT47" s="15" t="n">
        <v>678658.1</v>
      </c>
      <c r="AU47" s="15" t="n">
        <v>102042.77</v>
      </c>
      <c r="AV47" s="15" t="n">
        <v>451858.48</v>
      </c>
      <c r="AW47" s="15" t="n">
        <v>819953.79</v>
      </c>
      <c r="AX47" s="15" t="n">
        <v>911688.55</v>
      </c>
      <c r="AY47" s="15" t="n">
        <v>806693.91</v>
      </c>
      <c r="AZ47" s="15" t="n">
        <v>152726.3</v>
      </c>
      <c r="BA47" s="15" t="n">
        <v>182406.95</v>
      </c>
      <c r="BB47" s="15" t="n">
        <v>692260.3199999999</v>
      </c>
      <c r="BC47" s="15" t="n">
        <v>1759915.23</v>
      </c>
      <c r="BD47" s="15" t="n">
        <v>515574.14</v>
      </c>
      <c r="BE47" s="15" t="n">
        <v>1334900.63</v>
      </c>
      <c r="BF47" s="15" t="n">
        <v>771174.67</v>
      </c>
      <c r="BG47" s="15" t="n">
        <v>212519.87</v>
      </c>
      <c r="BH47" s="15" t="n">
        <v>-80478.11</v>
      </c>
      <c r="BI47" s="15" t="n">
        <v>1992503.89</v>
      </c>
      <c r="BJ47" s="15" t="n">
        <v>2483383.08</v>
      </c>
      <c r="BK47" s="15" t="n">
        <v>1343217.98</v>
      </c>
      <c r="BL47" s="15" t="n">
        <v>979195.96</v>
      </c>
      <c r="BM47" s="15" t="n">
        <v>140383.08</v>
      </c>
      <c r="BN47" s="15" t="n">
        <v>315817.85</v>
      </c>
      <c r="BO47" s="15" t="n">
        <v>539159.37</v>
      </c>
      <c r="BP47" s="15" t="n">
        <v>2296292.44</v>
      </c>
      <c r="BQ47" s="15" t="n">
        <v>637434.6899999999</v>
      </c>
      <c r="BR47" s="15" t="n">
        <v>893674.4</v>
      </c>
      <c r="BS47" s="15" t="n">
        <v>169027.81</v>
      </c>
      <c r="BT47" s="15" t="n">
        <v>383233.86</v>
      </c>
      <c r="BU47" s="15" t="n">
        <v>1636896.77</v>
      </c>
      <c r="BV47" s="15" t="n">
        <v>2334469.78</v>
      </c>
      <c r="BW47" s="15" t="n">
        <v>563666.92</v>
      </c>
      <c r="BX47" s="15" t="n">
        <v>258782.47</v>
      </c>
      <c r="BY47" s="15" t="n">
        <v>138301.57</v>
      </c>
      <c r="BZ47" s="15" t="n">
        <v>784.52</v>
      </c>
      <c r="CA47" s="15" t="n">
        <v>1501906.04</v>
      </c>
      <c r="CB47" s="15" t="n">
        <v>1735181.76</v>
      </c>
      <c r="CC47" s="15" t="n">
        <v>1287203.58</v>
      </c>
      <c r="CD47" s="15" t="n">
        <v>208076.83</v>
      </c>
      <c r="CE47" s="15" t="n">
        <v>65123.04</v>
      </c>
      <c r="CF47" s="15" t="n">
        <v>651835.4399999999</v>
      </c>
      <c r="CG47" s="15" t="n">
        <v>110828.07</v>
      </c>
      <c r="CH47" s="15" t="n">
        <v>587157.05</v>
      </c>
      <c r="CI47" s="15" t="n">
        <v>428804.02</v>
      </c>
      <c r="CJ47" s="15" t="n">
        <v>817423.1800000001</v>
      </c>
      <c r="CK47" s="15" t="n">
        <v>73417.14</v>
      </c>
      <c r="CL47" s="15" t="n">
        <v>19644.43</v>
      </c>
      <c r="CM47" s="15" t="n">
        <v>1292570.29</v>
      </c>
      <c r="CN47" s="15" t="n">
        <v>1311647.53</v>
      </c>
      <c r="CO47" s="15" t="n">
        <v>548719.29</v>
      </c>
      <c r="CP47" s="15" t="n">
        <v>550268.4300000001</v>
      </c>
      <c r="CQ47" s="15" t="n">
        <v>129936.81</v>
      </c>
      <c r="CR47" s="15" t="n">
        <v>401084.5</v>
      </c>
      <c r="CS47" s="15" t="n">
        <v>69748.19</v>
      </c>
      <c r="CT47" s="15" t="n">
        <v>1549185.75</v>
      </c>
      <c r="CU47" s="15" t="n">
        <v>578148.09</v>
      </c>
      <c r="CV47" s="15" t="n">
        <v>617092.47</v>
      </c>
      <c r="CW47" s="15" t="n">
        <v>48556.08</v>
      </c>
      <c r="CX47" s="15" t="n">
        <v>464658.43</v>
      </c>
      <c r="CY47" s="15" t="n">
        <v>1211888.32</v>
      </c>
      <c r="CZ47" s="15" t="n">
        <v>2035076.58</v>
      </c>
      <c r="DA47" s="15" t="n">
        <v>1429252.57</v>
      </c>
      <c r="DB47" s="15" t="n">
        <v>441235.17</v>
      </c>
      <c r="DC47" s="15" t="n">
        <v>44991.98</v>
      </c>
      <c r="DD47" s="15" t="n">
        <v>103993.78</v>
      </c>
      <c r="DE47" s="15" t="n">
        <v>1096190.09</v>
      </c>
      <c r="DF47" s="15" t="n">
        <v>253123.8</v>
      </c>
      <c r="DG47" s="15" t="n">
        <v>285805.29</v>
      </c>
      <c r="DH47" s="15" t="n">
        <v>347051.63</v>
      </c>
      <c r="DI47" s="15" t="n">
        <v>226914.86</v>
      </c>
      <c r="DJ47" s="15" t="n">
        <v>4350.97</v>
      </c>
      <c r="DK47" s="15" t="n">
        <v>443486.23</v>
      </c>
      <c r="DL47" s="15" t="n">
        <v>1861848.34</v>
      </c>
      <c r="DM47" s="15" t="n">
        <v>1064464.88</v>
      </c>
      <c r="DN47" s="15" t="n">
        <v>999459.85</v>
      </c>
      <c r="DO47" s="15" t="n">
        <v>241486.73</v>
      </c>
      <c r="DP47" s="15" t="n">
        <v>439563.62</v>
      </c>
    </row>
    <row r="48">
      <c r="A48" s="4" t="inlineStr">
        <is>
          <t>其他产品C</t>
        </is>
      </c>
      <c r="B48" s="15" t="n">
        <v>1202233.75</v>
      </c>
      <c r="C48" s="15" t="n">
        <v>854704.8199999999</v>
      </c>
      <c r="D48" s="15" t="n">
        <v>750914.98</v>
      </c>
      <c r="E48" s="15" t="n">
        <v>237986.45</v>
      </c>
      <c r="F48" s="15" t="n">
        <v>36849.32</v>
      </c>
      <c r="G48" s="15" t="n">
        <v>1925324.32</v>
      </c>
      <c r="H48" s="15" t="n">
        <v>2324365.85</v>
      </c>
      <c r="I48" s="15" t="n">
        <v>1279792.44</v>
      </c>
      <c r="J48" s="15" t="n">
        <v>142859.36</v>
      </c>
      <c r="K48" s="15" t="n">
        <v>130910.86</v>
      </c>
      <c r="L48" s="15" t="n">
        <v>-25259.07</v>
      </c>
      <c r="M48" s="15" t="n">
        <v>930526.48</v>
      </c>
      <c r="N48" s="15" t="n">
        <v>247631</v>
      </c>
      <c r="O48" s="15" t="n">
        <v>1460544.95</v>
      </c>
      <c r="P48" s="15" t="n">
        <v>426289.83</v>
      </c>
      <c r="Q48" s="15" t="n">
        <v>143186.96</v>
      </c>
      <c r="R48" s="15" t="n">
        <v>208426.47</v>
      </c>
      <c r="S48" s="15" t="n">
        <v>1831781.04</v>
      </c>
      <c r="T48" s="15" t="n">
        <v>377122.9</v>
      </c>
      <c r="U48" s="15" t="n">
        <v>598264.74</v>
      </c>
      <c r="V48" s="15" t="n">
        <v>760816.49</v>
      </c>
      <c r="W48" s="15" t="n">
        <v>75134.55</v>
      </c>
      <c r="X48" s="15" t="n">
        <v>286606.62</v>
      </c>
      <c r="Y48" s="15" t="n">
        <v>1562812.22</v>
      </c>
      <c r="Z48" s="15" t="n">
        <v>1684017.69</v>
      </c>
      <c r="AA48" s="15" t="n">
        <v>438032.24</v>
      </c>
      <c r="AB48" s="15" t="n">
        <v>994040.96</v>
      </c>
      <c r="AC48" s="15" t="n">
        <v>210540.18</v>
      </c>
      <c r="AD48" s="15" t="n">
        <v>139593.23</v>
      </c>
      <c r="AE48" s="15" t="n">
        <v>523548.55</v>
      </c>
      <c r="AF48" s="15" t="n">
        <v>229397.43</v>
      </c>
      <c r="AG48" s="15" t="n">
        <v>1122186.75</v>
      </c>
      <c r="AH48" s="15" t="n">
        <v>194416.47</v>
      </c>
      <c r="AI48" s="15" t="n">
        <v>63391.68</v>
      </c>
      <c r="AJ48" s="15" t="n">
        <v>495188.38</v>
      </c>
      <c r="AK48" s="15" t="n">
        <v>1660886.76</v>
      </c>
      <c r="AL48" s="15" t="n">
        <v>1106399.94</v>
      </c>
      <c r="AM48" s="15" t="n">
        <v>1004580.22</v>
      </c>
      <c r="AN48" s="15" t="n">
        <v>432682.66</v>
      </c>
      <c r="AO48" s="15" t="n">
        <v>119821.77</v>
      </c>
      <c r="AP48" s="15" t="n">
        <v>387150.78</v>
      </c>
      <c r="AQ48" s="15" t="n">
        <v>137876.96</v>
      </c>
      <c r="AR48" s="15" t="n">
        <v>1090149.16</v>
      </c>
      <c r="AS48" s="15" t="n">
        <v>970404.71</v>
      </c>
      <c r="AT48" s="15" t="n">
        <v>960104.99</v>
      </c>
      <c r="AU48" s="15" t="n">
        <v>67966.85000000001</v>
      </c>
      <c r="AV48" s="15" t="n">
        <v>309759.8</v>
      </c>
      <c r="AW48" s="15" t="n">
        <v>1284109.38</v>
      </c>
      <c r="AX48" s="15" t="n">
        <v>1890331.82</v>
      </c>
      <c r="AY48" s="15" t="n">
        <v>1077272.72</v>
      </c>
      <c r="AZ48" s="15" t="n">
        <v>106616.94</v>
      </c>
      <c r="BA48" s="15" t="n">
        <v>167157.54</v>
      </c>
      <c r="BB48" s="15" t="n">
        <v>-47710.6</v>
      </c>
      <c r="BC48" s="15" t="n">
        <v>43012.14</v>
      </c>
      <c r="BD48" s="15" t="n">
        <v>614629.83</v>
      </c>
      <c r="BE48" s="15" t="n">
        <v>397974.5</v>
      </c>
      <c r="BF48" s="15" t="n">
        <v>744262.47</v>
      </c>
      <c r="BG48" s="15" t="n">
        <v>212315.18</v>
      </c>
      <c r="BH48" s="15" t="n">
        <v>47404.45</v>
      </c>
      <c r="BI48" s="15" t="n">
        <v>74973.59</v>
      </c>
      <c r="BJ48" s="15" t="n">
        <v>258085.42</v>
      </c>
      <c r="BK48" s="15" t="n">
        <v>832998.0600000001</v>
      </c>
      <c r="BL48" s="15" t="n">
        <v>474087.76</v>
      </c>
      <c r="BM48" s="15" t="n">
        <v>121541.1</v>
      </c>
      <c r="BN48" s="15" t="n">
        <v>427741.72</v>
      </c>
      <c r="BO48" s="15" t="n">
        <v>717753.17</v>
      </c>
      <c r="BP48" s="15" t="n">
        <v>593137.4300000001</v>
      </c>
      <c r="BQ48" s="15" t="n">
        <v>1303728.24</v>
      </c>
      <c r="BR48" s="15" t="n">
        <v>749505.29</v>
      </c>
      <c r="BS48" s="15" t="n">
        <v>74212.82000000001</v>
      </c>
      <c r="BT48" s="15" t="n">
        <v>13262.92</v>
      </c>
      <c r="BU48" s="15" t="n">
        <v>455016.81</v>
      </c>
      <c r="BV48" s="15" t="n">
        <v>603643.2</v>
      </c>
      <c r="BW48" s="15" t="n">
        <v>935468.96</v>
      </c>
      <c r="BX48" s="15" t="n">
        <v>142593.1</v>
      </c>
      <c r="BY48" s="15" t="n">
        <v>36396.44</v>
      </c>
      <c r="BZ48" s="15" t="n">
        <v>652311.6800000001</v>
      </c>
      <c r="CA48" s="15" t="n">
        <v>1005377.3</v>
      </c>
      <c r="CB48" s="15" t="n">
        <v>1154979.54</v>
      </c>
      <c r="CC48" s="15" t="n">
        <v>296743.37</v>
      </c>
      <c r="CD48" s="15" t="n">
        <v>461625.89</v>
      </c>
      <c r="CE48" s="15" t="n">
        <v>93717.42999999999</v>
      </c>
      <c r="CF48" s="15" t="n">
        <v>473284.88</v>
      </c>
      <c r="CG48" s="15" t="n">
        <v>133886.89</v>
      </c>
      <c r="CH48" s="15" t="n">
        <v>2488052.88</v>
      </c>
      <c r="CI48" s="15" t="n">
        <v>997802.89</v>
      </c>
      <c r="CJ48" s="15" t="n">
        <v>525954.12</v>
      </c>
      <c r="CK48" s="15" t="n">
        <v>219929.7</v>
      </c>
      <c r="CL48" s="15" t="n">
        <v>58696.1</v>
      </c>
      <c r="CM48" s="15" t="n">
        <v>235622.73</v>
      </c>
      <c r="CN48" s="15" t="n">
        <v>2317649.33</v>
      </c>
      <c r="CO48" s="15" t="n">
        <v>803707.47</v>
      </c>
      <c r="CP48" s="15" t="n">
        <v>437656.2</v>
      </c>
      <c r="CQ48" s="15" t="n">
        <v>13537.12</v>
      </c>
      <c r="CR48" s="15" t="n">
        <v>504329.13</v>
      </c>
      <c r="CS48" s="15" t="n">
        <v>411624.59</v>
      </c>
      <c r="CT48" s="15" t="n">
        <v>614217.66</v>
      </c>
      <c r="CU48" s="15" t="n">
        <v>1245843.76</v>
      </c>
      <c r="CV48" s="15" t="n">
        <v>714389.0699999999</v>
      </c>
      <c r="CW48" s="15" t="n">
        <v>135886.42</v>
      </c>
      <c r="CX48" s="15" t="n">
        <v>360717.05</v>
      </c>
      <c r="CY48" s="15" t="n">
        <v>1030776.25</v>
      </c>
      <c r="CZ48" s="15" t="n">
        <v>779444.6</v>
      </c>
      <c r="DA48" s="15" t="n">
        <v>1222662.93</v>
      </c>
      <c r="DB48" s="15" t="n">
        <v>25656.38</v>
      </c>
      <c r="DC48" s="15" t="n">
        <v>188279.37</v>
      </c>
      <c r="DD48" s="15" t="n">
        <v>467079.88</v>
      </c>
      <c r="DE48" s="15" t="n">
        <v>945757.87</v>
      </c>
      <c r="DF48" s="15" t="n">
        <v>2255528.06</v>
      </c>
      <c r="DG48" s="15" t="n">
        <v>950005.88</v>
      </c>
      <c r="DH48" s="15" t="n">
        <v>885570.77</v>
      </c>
      <c r="DI48" s="15" t="n">
        <v>194105.25</v>
      </c>
      <c r="DJ48" s="15" t="n">
        <v>109596.49</v>
      </c>
      <c r="DK48" s="15" t="n">
        <v>1340238.31</v>
      </c>
      <c r="DL48" s="15" t="n">
        <v>1989409.41</v>
      </c>
      <c r="DM48" s="15" t="n">
        <v>487277.9</v>
      </c>
      <c r="DN48" s="15" t="n">
        <v>755288.26</v>
      </c>
      <c r="DO48" s="15" t="n">
        <v>18714.54</v>
      </c>
      <c r="DP48" s="15" t="n">
        <v>225820.95</v>
      </c>
    </row>
    <row r="49">
      <c r="A49" s="4" t="inlineStr">
        <is>
          <t>生鲜蔬果</t>
        </is>
      </c>
      <c r="B49" s="15" t="n">
        <v>1768828.31</v>
      </c>
      <c r="C49" s="15" t="n">
        <v>1091732.12</v>
      </c>
      <c r="D49" s="15" t="n">
        <v>251996.88</v>
      </c>
      <c r="E49" s="15" t="n">
        <v>149487.06</v>
      </c>
      <c r="F49" s="15" t="n">
        <v>347290.84</v>
      </c>
      <c r="G49" s="15" t="n">
        <v>513040.18</v>
      </c>
      <c r="H49" s="15" t="n">
        <v>1630774.36</v>
      </c>
      <c r="I49" s="15" t="n">
        <v>110218.59</v>
      </c>
      <c r="J49" s="15" t="n">
        <v>990872.6</v>
      </c>
      <c r="K49" s="15" t="n">
        <v>233759.04</v>
      </c>
      <c r="L49" s="15" t="n">
        <v>163913.59</v>
      </c>
      <c r="M49" s="15" t="n">
        <v>199179.06</v>
      </c>
      <c r="N49" s="15" t="n">
        <v>1078231.8</v>
      </c>
      <c r="O49" s="15" t="n">
        <v>1007791.95</v>
      </c>
      <c r="P49" s="15" t="n">
        <v>648952.14</v>
      </c>
      <c r="Q49" s="15" t="n">
        <v>150052.9</v>
      </c>
      <c r="R49" s="15" t="n">
        <v>146339.47</v>
      </c>
      <c r="S49" s="15" t="n">
        <v>1502415.66</v>
      </c>
      <c r="T49" s="15" t="n">
        <v>1140508.58</v>
      </c>
      <c r="U49" s="15" t="n">
        <v>694816.17</v>
      </c>
      <c r="V49" s="15" t="n">
        <v>667861.16</v>
      </c>
      <c r="W49" s="15" t="n">
        <v>21720.83</v>
      </c>
      <c r="X49" s="15" t="n">
        <v>744614.53</v>
      </c>
      <c r="Y49" s="15" t="n">
        <v>1156233.03</v>
      </c>
      <c r="Z49" s="15" t="n">
        <v>1979121.15</v>
      </c>
      <c r="AA49" s="15" t="n">
        <v>346416.42</v>
      </c>
      <c r="AB49" s="15" t="n">
        <v>420122.29</v>
      </c>
      <c r="AC49" s="15" t="n">
        <v>230279.47</v>
      </c>
      <c r="AD49" s="15" t="n">
        <v>642142.34</v>
      </c>
      <c r="AE49" s="15" t="n">
        <v>1744667.34</v>
      </c>
      <c r="AF49" s="15" t="n">
        <v>847641.97</v>
      </c>
      <c r="AG49" s="15" t="n">
        <v>1086410.67</v>
      </c>
      <c r="AH49" s="15" t="n">
        <v>782465.34</v>
      </c>
      <c r="AI49" s="15" t="n">
        <v>85367.24000000001</v>
      </c>
      <c r="AJ49" s="15" t="n">
        <v>567406.5600000001</v>
      </c>
      <c r="AK49" s="15" t="n">
        <v>304732.95</v>
      </c>
      <c r="AL49" s="15" t="n">
        <v>2432285.07</v>
      </c>
      <c r="AM49" s="15" t="n">
        <v>198706.07</v>
      </c>
      <c r="AN49" s="15" t="n">
        <v>564672.41</v>
      </c>
      <c r="AO49" s="15" t="n">
        <v>188339.02</v>
      </c>
      <c r="AP49" s="15" t="n">
        <v>46979.06</v>
      </c>
      <c r="AQ49" s="15" t="n">
        <v>1907594.2</v>
      </c>
      <c r="AR49" s="15" t="n">
        <v>863861.77</v>
      </c>
      <c r="AS49" s="15" t="n">
        <v>956635.9399999999</v>
      </c>
      <c r="AT49" s="15" t="n">
        <v>96510.75</v>
      </c>
      <c r="AU49" s="15" t="n">
        <v>73792.22</v>
      </c>
      <c r="AV49" s="15" t="n">
        <v>81699.55</v>
      </c>
      <c r="AW49" s="15" t="n">
        <v>995334.8</v>
      </c>
      <c r="AX49" s="15" t="n">
        <v>1085173.52</v>
      </c>
      <c r="AY49" s="15" t="n">
        <v>619511.71</v>
      </c>
      <c r="AZ49" s="15" t="n">
        <v>204735.05</v>
      </c>
      <c r="BA49" s="15" t="n">
        <v>229241.64</v>
      </c>
      <c r="BB49" s="15" t="n">
        <v>395901.01</v>
      </c>
      <c r="BC49" s="15" t="n">
        <v>1771348.36</v>
      </c>
      <c r="BD49" s="15" t="n">
        <v>915044.17</v>
      </c>
      <c r="BE49" s="15" t="n">
        <v>1155711.63</v>
      </c>
      <c r="BF49" s="15" t="n">
        <v>567097.5600000001</v>
      </c>
      <c r="BG49" s="15" t="n">
        <v>157459.12</v>
      </c>
      <c r="BH49" s="15" t="n">
        <v>319444.98</v>
      </c>
      <c r="BI49" s="15" t="n">
        <v>950942.1899999999</v>
      </c>
      <c r="BJ49" s="15" t="n">
        <v>260441.8</v>
      </c>
      <c r="BK49" s="15" t="n">
        <v>733675.46</v>
      </c>
      <c r="BL49" s="15" t="n">
        <v>630773.72</v>
      </c>
      <c r="BM49" s="15" t="n">
        <v>42656.73</v>
      </c>
      <c r="BN49" s="15" t="n">
        <v>635364.89</v>
      </c>
      <c r="BO49" s="15" t="n">
        <v>304885.01</v>
      </c>
      <c r="BP49" s="15" t="n">
        <v>157781.54</v>
      </c>
      <c r="BQ49" s="15" t="n">
        <v>1085605.4</v>
      </c>
      <c r="BR49" s="15" t="n">
        <v>132091.87</v>
      </c>
      <c r="BS49" s="15" t="n">
        <v>198303.6</v>
      </c>
      <c r="BT49" s="15" t="n">
        <v>-17195.31</v>
      </c>
      <c r="BU49" s="15" t="n">
        <v>540824.2</v>
      </c>
      <c r="BV49" s="15" t="n">
        <v>1286293.86</v>
      </c>
      <c r="BW49" s="15" t="n">
        <v>629465.9300000001</v>
      </c>
      <c r="BX49" s="15" t="n">
        <v>422054.74</v>
      </c>
      <c r="BY49" s="15" t="n">
        <v>19138.64</v>
      </c>
      <c r="BZ49" s="15" t="n">
        <v>54874.12</v>
      </c>
      <c r="CA49" s="15" t="n">
        <v>208181</v>
      </c>
      <c r="CB49" s="15" t="n">
        <v>1246684.56</v>
      </c>
      <c r="CC49" s="15" t="n">
        <v>891674.95</v>
      </c>
      <c r="CD49" s="15" t="n">
        <v>116603.33</v>
      </c>
      <c r="CE49" s="15" t="n">
        <v>217424.99</v>
      </c>
      <c r="CF49" s="15" t="n">
        <v>552136.1800000001</v>
      </c>
      <c r="CG49" s="15" t="n">
        <v>1531860.42</v>
      </c>
      <c r="CH49" s="15" t="n">
        <v>1434402.85</v>
      </c>
      <c r="CI49" s="15" t="n">
        <v>614381.61</v>
      </c>
      <c r="CJ49" s="15" t="n">
        <v>107173.39</v>
      </c>
      <c r="CK49" s="15" t="n">
        <v>175835.1</v>
      </c>
      <c r="CL49" s="15" t="n">
        <v>470087.44</v>
      </c>
      <c r="CM49" s="15" t="n">
        <v>1616949.72</v>
      </c>
      <c r="CN49" s="15" t="n">
        <v>1676310.21</v>
      </c>
      <c r="CO49" s="15" t="n">
        <v>41646.24</v>
      </c>
      <c r="CP49" s="15" t="n">
        <v>716040.9300000001</v>
      </c>
      <c r="CQ49" s="15" t="n">
        <v>159634.82</v>
      </c>
      <c r="CR49" s="15" t="n">
        <v>200082.08</v>
      </c>
      <c r="CS49" s="15" t="n">
        <v>1401481.83</v>
      </c>
      <c r="CT49" s="15" t="n">
        <v>2255516.66</v>
      </c>
      <c r="CU49" s="15" t="n">
        <v>431158.93</v>
      </c>
      <c r="CV49" s="15" t="n">
        <v>662368.45</v>
      </c>
      <c r="CW49" s="15" t="n">
        <v>123523.85</v>
      </c>
      <c r="CX49" s="15" t="n">
        <v>472379.33</v>
      </c>
      <c r="CY49" s="15" t="n">
        <v>1296576.38</v>
      </c>
      <c r="CZ49" s="15" t="n">
        <v>2197596.61</v>
      </c>
      <c r="DA49" s="15" t="n">
        <v>1089423.59</v>
      </c>
      <c r="DB49" s="15" t="n">
        <v>593223.61</v>
      </c>
      <c r="DC49" s="15" t="n">
        <v>101548.98</v>
      </c>
      <c r="DD49" s="15" t="n">
        <v>197135.33</v>
      </c>
      <c r="DE49" s="15" t="n">
        <v>1332090.82</v>
      </c>
      <c r="DF49" s="15" t="n">
        <v>1566933.93</v>
      </c>
      <c r="DG49" s="15" t="n">
        <v>1229685.05</v>
      </c>
      <c r="DH49" s="15" t="n">
        <v>206391.16</v>
      </c>
      <c r="DI49" s="15" t="n">
        <v>15994.07</v>
      </c>
      <c r="DJ49" s="15" t="n">
        <v>744991.76</v>
      </c>
      <c r="DK49" s="15" t="n">
        <v>265335.38</v>
      </c>
      <c r="DL49" s="15" t="n">
        <v>354528.96</v>
      </c>
      <c r="DM49" s="15" t="n">
        <v>713180.4399999999</v>
      </c>
      <c r="DN49" s="15" t="n">
        <v>745512.83</v>
      </c>
      <c r="DO49" s="15" t="n">
        <v>20666.75</v>
      </c>
      <c r="DP49" s="15" t="n">
        <v>454654.64</v>
      </c>
    </row>
    <row r="50">
      <c r="A50" s="4" t="inlineStr">
        <is>
          <t>肉禽蛋奶</t>
        </is>
      </c>
      <c r="B50" s="15" t="n">
        <v>2168380.46</v>
      </c>
      <c r="C50" s="15" t="n">
        <v>406348.04</v>
      </c>
      <c r="D50" s="15" t="n">
        <v>761279.9</v>
      </c>
      <c r="E50" s="15" t="n">
        <v>62578.8</v>
      </c>
      <c r="F50" s="15" t="n">
        <v>97211.67</v>
      </c>
      <c r="G50" s="15" t="n">
        <v>886758.0600000001</v>
      </c>
      <c r="H50" s="15" t="n">
        <v>964189.38</v>
      </c>
      <c r="I50" s="15" t="n">
        <v>687818.49</v>
      </c>
      <c r="J50" s="15" t="n">
        <v>489221.02</v>
      </c>
      <c r="K50" s="15" t="n">
        <v>113847.97</v>
      </c>
      <c r="L50" s="15" t="n">
        <v>113087.16</v>
      </c>
      <c r="M50" s="15" t="n">
        <v>1455482.03</v>
      </c>
      <c r="N50" s="15" t="n">
        <v>2060912.78</v>
      </c>
      <c r="O50" s="15" t="n">
        <v>600363.96</v>
      </c>
      <c r="P50" s="15" t="n">
        <v>834647.03</v>
      </c>
      <c r="Q50" s="15" t="n">
        <v>87027.58</v>
      </c>
      <c r="R50" s="15" t="n">
        <v>626076.0600000001</v>
      </c>
      <c r="S50" s="15" t="n">
        <v>672434.88</v>
      </c>
      <c r="T50" s="15" t="n">
        <v>556701.7</v>
      </c>
      <c r="U50" s="15" t="n">
        <v>132310.45</v>
      </c>
      <c r="V50" s="15" t="n">
        <v>306560.93</v>
      </c>
      <c r="W50" s="15" t="n">
        <v>163528.67</v>
      </c>
      <c r="X50" s="15" t="n">
        <v>271962.84</v>
      </c>
      <c r="Y50" s="15" t="n">
        <v>220614.56</v>
      </c>
      <c r="Z50" s="15" t="n">
        <v>52473.23</v>
      </c>
      <c r="AA50" s="15" t="n">
        <v>1371318.39</v>
      </c>
      <c r="AB50" s="15" t="n">
        <v>84262.10000000001</v>
      </c>
      <c r="AC50" s="15" t="n">
        <v>224382.51</v>
      </c>
      <c r="AD50" s="15" t="n">
        <v>433588.81</v>
      </c>
      <c r="AE50" s="15" t="n">
        <v>1740204.72</v>
      </c>
      <c r="AF50" s="15" t="n">
        <v>123122.93</v>
      </c>
      <c r="AG50" s="15" t="n">
        <v>1189077.35</v>
      </c>
      <c r="AH50" s="15" t="n">
        <v>94485.67</v>
      </c>
      <c r="AI50" s="15" t="n">
        <v>166788.68</v>
      </c>
      <c r="AJ50" s="15" t="n">
        <v>389958.01</v>
      </c>
      <c r="AK50" s="15" t="n">
        <v>109051.6</v>
      </c>
      <c r="AL50" s="15" t="n">
        <v>2113804.09</v>
      </c>
      <c r="AM50" s="15" t="n">
        <v>1494779.7</v>
      </c>
      <c r="AN50" s="15" t="n">
        <v>399106.16</v>
      </c>
      <c r="AO50" s="15" t="n">
        <v>178455.61</v>
      </c>
      <c r="AP50" s="15" t="n">
        <v>250456.98</v>
      </c>
      <c r="AQ50" s="15" t="n">
        <v>1535373.15</v>
      </c>
      <c r="AR50" s="15" t="n">
        <v>2089686.28</v>
      </c>
      <c r="AS50" s="15" t="n">
        <v>431235.44</v>
      </c>
      <c r="AT50" s="15" t="n">
        <v>160045.35</v>
      </c>
      <c r="AU50" s="15" t="n">
        <v>211947.52</v>
      </c>
      <c r="AV50" s="15" t="n">
        <v>679121.1</v>
      </c>
      <c r="AW50" s="15" t="n">
        <v>216600.76</v>
      </c>
      <c r="AX50" s="15" t="n">
        <v>343282.1</v>
      </c>
      <c r="AY50" s="15" t="n">
        <v>1405527.11</v>
      </c>
      <c r="AZ50" s="15" t="n">
        <v>296932.65</v>
      </c>
      <c r="BA50" s="15" t="n">
        <v>61414.53</v>
      </c>
      <c r="BB50" s="15" t="n">
        <v>231540.97</v>
      </c>
      <c r="BC50" s="15" t="n">
        <v>1020885.91</v>
      </c>
      <c r="BD50" s="15" t="n">
        <v>2033686.67</v>
      </c>
      <c r="BE50" s="15" t="n">
        <v>1180472.55</v>
      </c>
      <c r="BF50" s="15" t="n">
        <v>737992.78</v>
      </c>
      <c r="BG50" s="15" t="n">
        <v>58415.84</v>
      </c>
      <c r="BH50" s="15" t="n">
        <v>196025.12</v>
      </c>
      <c r="BI50" s="15" t="n">
        <v>426562.21</v>
      </c>
      <c r="BJ50" s="15" t="n">
        <v>2329076.35</v>
      </c>
      <c r="BK50" s="15" t="n">
        <v>1275922.91</v>
      </c>
      <c r="BL50" s="15" t="n">
        <v>577093.4</v>
      </c>
      <c r="BM50" s="15" t="n">
        <v>180206.5</v>
      </c>
      <c r="BN50" s="15" t="n">
        <v>651040.62</v>
      </c>
      <c r="BO50" s="15" t="n">
        <v>678812.5</v>
      </c>
      <c r="BP50" s="15" t="n">
        <v>1141448.73</v>
      </c>
      <c r="BQ50" s="15" t="n">
        <v>1111812.68</v>
      </c>
      <c r="BR50" s="15" t="n">
        <v>385960.66</v>
      </c>
      <c r="BS50" s="15" t="n">
        <v>55685.67</v>
      </c>
      <c r="BT50" s="15" t="n">
        <v>519900.83</v>
      </c>
      <c r="BU50" s="15" t="n">
        <v>970115.58</v>
      </c>
      <c r="BV50" s="15" t="n">
        <v>1422578.23</v>
      </c>
      <c r="BW50" s="15" t="n">
        <v>167616.42</v>
      </c>
      <c r="BX50" s="15" t="n">
        <v>64833.29</v>
      </c>
      <c r="BY50" s="15" t="n">
        <v>127308.69</v>
      </c>
      <c r="BZ50" s="15" t="n">
        <v>344203.12</v>
      </c>
      <c r="CA50" s="15" t="n">
        <v>479034.84</v>
      </c>
      <c r="CB50" s="15" t="n">
        <v>1508698.44</v>
      </c>
      <c r="CC50" s="15" t="n">
        <v>1223187.61</v>
      </c>
      <c r="CD50" s="15" t="n">
        <v>842726.04</v>
      </c>
      <c r="CE50" s="15" t="n">
        <v>70667.22</v>
      </c>
      <c r="CF50" s="15" t="n">
        <v>517118.9</v>
      </c>
      <c r="CG50" s="15" t="n">
        <v>1508362.18</v>
      </c>
      <c r="CH50" s="15" t="n">
        <v>2414581.37</v>
      </c>
      <c r="CI50" s="15" t="n">
        <v>135805.27</v>
      </c>
      <c r="CJ50" s="15" t="n">
        <v>683066.01</v>
      </c>
      <c r="CK50" s="15" t="n">
        <v>26601.04</v>
      </c>
      <c r="CL50" s="15" t="n">
        <v>417984.22</v>
      </c>
      <c r="CM50" s="15" t="n">
        <v>1292461.53</v>
      </c>
      <c r="CN50" s="15" t="n">
        <v>1538360.4</v>
      </c>
      <c r="CO50" s="15" t="n">
        <v>994703.39</v>
      </c>
      <c r="CP50" s="15" t="n">
        <v>673477.5699999999</v>
      </c>
      <c r="CQ50" s="15" t="n">
        <v>62951.12</v>
      </c>
      <c r="CR50" s="15" t="n">
        <v>555295.25</v>
      </c>
      <c r="CS50" s="15" t="n">
        <v>813926.1</v>
      </c>
      <c r="CT50" s="15" t="n">
        <v>2158551.38</v>
      </c>
      <c r="CU50" s="15" t="n">
        <v>1377296.85</v>
      </c>
      <c r="CV50" s="15" t="n">
        <v>340408.34</v>
      </c>
      <c r="CW50" s="15" t="n">
        <v>176018.75</v>
      </c>
      <c r="CX50" s="15" t="n">
        <v>117316.57</v>
      </c>
      <c r="CY50" s="15" t="n">
        <v>1176984.86</v>
      </c>
      <c r="CZ50" s="15" t="n">
        <v>1917031.12</v>
      </c>
      <c r="DA50" s="15" t="n">
        <v>887110.75</v>
      </c>
      <c r="DB50" s="15" t="n">
        <v>72996.71000000001</v>
      </c>
      <c r="DC50" s="15" t="n">
        <v>153263.14</v>
      </c>
      <c r="DD50" s="15" t="n">
        <v>186360.35</v>
      </c>
      <c r="DE50" s="15" t="n">
        <v>1781801.04</v>
      </c>
      <c r="DF50" s="15" t="n">
        <v>1032201.06</v>
      </c>
      <c r="DG50" s="15" t="n">
        <v>1498290.66</v>
      </c>
      <c r="DH50" s="15" t="n">
        <v>71047.64999999999</v>
      </c>
      <c r="DI50" s="15" t="n">
        <v>101497.07</v>
      </c>
      <c r="DJ50" s="15" t="n">
        <v>231558.11</v>
      </c>
      <c r="DK50" s="15" t="n">
        <v>1433572.62</v>
      </c>
      <c r="DL50" s="15" t="n">
        <v>339394.56</v>
      </c>
      <c r="DM50" s="15" t="n">
        <v>1486170.22</v>
      </c>
      <c r="DN50" s="15" t="n">
        <v>365115.97</v>
      </c>
      <c r="DO50" s="15" t="n">
        <v>23919.02</v>
      </c>
      <c r="DP50" s="15" t="n">
        <v>120130.22</v>
      </c>
    </row>
    <row r="51">
      <c r="A51" s="4" t="inlineStr">
        <is>
          <t>粮油调味</t>
        </is>
      </c>
      <c r="B51" s="15" t="n">
        <v>1141066.29</v>
      </c>
      <c r="C51" s="15" t="n">
        <v>709611.23</v>
      </c>
      <c r="D51" s="15" t="n">
        <v>743557.1</v>
      </c>
      <c r="E51" s="15" t="n">
        <v>240225.42</v>
      </c>
      <c r="F51" s="15" t="n">
        <v>505457.8</v>
      </c>
      <c r="G51" s="15" t="n">
        <v>1310029.68</v>
      </c>
      <c r="H51" s="15" t="n">
        <v>2184182.83</v>
      </c>
      <c r="I51" s="15" t="n">
        <v>1263735.48</v>
      </c>
      <c r="J51" s="15" t="n">
        <v>506415.21</v>
      </c>
      <c r="K51" s="15" t="n">
        <v>27149.45</v>
      </c>
      <c r="L51" s="15" t="n">
        <v>529761.28</v>
      </c>
      <c r="M51" s="15" t="n">
        <v>753333.58</v>
      </c>
      <c r="N51" s="15" t="n">
        <v>2165705.79</v>
      </c>
      <c r="O51" s="15" t="n">
        <v>1137995.98</v>
      </c>
      <c r="P51" s="15" t="n">
        <v>874908.52</v>
      </c>
      <c r="Q51" s="15" t="n">
        <v>173517.5</v>
      </c>
      <c r="R51" s="15" t="n">
        <v>304956.34</v>
      </c>
      <c r="S51" s="15" t="n">
        <v>1278312.37</v>
      </c>
      <c r="T51" s="15" t="n">
        <v>1693522.19</v>
      </c>
      <c r="U51" s="15" t="n">
        <v>392118.47</v>
      </c>
      <c r="V51" s="15" t="n">
        <v>421459.81</v>
      </c>
      <c r="W51" s="15" t="n">
        <v>233097.37</v>
      </c>
      <c r="X51" s="15" t="n">
        <v>310321.08</v>
      </c>
      <c r="Y51" s="15" t="n">
        <v>1272072.97</v>
      </c>
      <c r="Z51" s="15" t="n">
        <v>449811.39</v>
      </c>
      <c r="AA51" s="15" t="n">
        <v>1208665.44</v>
      </c>
      <c r="AB51" s="15" t="n">
        <v>323733.83</v>
      </c>
      <c r="AC51" s="15" t="n">
        <v>188578.28</v>
      </c>
      <c r="AD51" s="15" t="n">
        <v>233681.97</v>
      </c>
      <c r="AE51" s="15" t="n">
        <v>943189.34</v>
      </c>
      <c r="AF51" s="15" t="n">
        <v>1757583.99</v>
      </c>
      <c r="AG51" s="15" t="n">
        <v>521919.5</v>
      </c>
      <c r="AH51" s="15" t="n">
        <v>305217.32</v>
      </c>
      <c r="AI51" s="15" t="n">
        <v>150217.46</v>
      </c>
      <c r="AJ51" s="15" t="n">
        <v>507093.16</v>
      </c>
      <c r="AK51" s="15" t="n">
        <v>112388.86</v>
      </c>
      <c r="AL51" s="15" t="n">
        <v>268470.81</v>
      </c>
      <c r="AM51" s="15" t="n">
        <v>297755.97</v>
      </c>
      <c r="AN51" s="15" t="n">
        <v>591937.23</v>
      </c>
      <c r="AO51" s="15" t="n">
        <v>153263.12</v>
      </c>
      <c r="AP51" s="15" t="n">
        <v>417636.46</v>
      </c>
      <c r="AQ51" s="15" t="n">
        <v>1218589.84</v>
      </c>
      <c r="AR51" s="15" t="n">
        <v>285442.77</v>
      </c>
      <c r="AS51" s="15" t="n">
        <v>459888.81</v>
      </c>
      <c r="AT51" s="15" t="n">
        <v>553602.04</v>
      </c>
      <c r="AU51" s="15" t="n">
        <v>243618.7</v>
      </c>
      <c r="AV51" s="15" t="n">
        <v>699663.01</v>
      </c>
      <c r="AW51" s="15" t="n">
        <v>58552.46</v>
      </c>
      <c r="AX51" s="15" t="n">
        <v>1659301.77</v>
      </c>
      <c r="AY51" s="15" t="n">
        <v>873604.37</v>
      </c>
      <c r="AZ51" s="15" t="n">
        <v>224722.01</v>
      </c>
      <c r="BA51" s="15" t="n">
        <v>175376.49</v>
      </c>
      <c r="BB51" s="15" t="n">
        <v>-10861.16</v>
      </c>
      <c r="BC51" s="15" t="n">
        <v>1961994.47</v>
      </c>
      <c r="BD51" s="15" t="n">
        <v>1008182.46</v>
      </c>
      <c r="BE51" s="15" t="n">
        <v>870734.8100000001</v>
      </c>
      <c r="BF51" s="15" t="n">
        <v>476255.44</v>
      </c>
      <c r="BG51" s="15" t="n">
        <v>69145.89999999999</v>
      </c>
      <c r="BH51" s="15" t="n">
        <v>-83245.27</v>
      </c>
      <c r="BI51" s="15" t="n">
        <v>166103.58</v>
      </c>
      <c r="BJ51" s="15" t="n">
        <v>1114669.15</v>
      </c>
      <c r="BK51" s="15" t="n">
        <v>831183.6</v>
      </c>
      <c r="BL51" s="15" t="n">
        <v>540386.88</v>
      </c>
      <c r="BM51" s="15" t="n">
        <v>23556.89</v>
      </c>
      <c r="BN51" s="15" t="n">
        <v>324763.85</v>
      </c>
      <c r="BO51" s="15" t="n">
        <v>203840.28</v>
      </c>
      <c r="BP51" s="15" t="n">
        <v>381748.63</v>
      </c>
      <c r="BQ51" s="15" t="n">
        <v>923066.42</v>
      </c>
      <c r="BR51" s="15" t="n">
        <v>76724.44</v>
      </c>
      <c r="BS51" s="15" t="n">
        <v>70148.63</v>
      </c>
      <c r="BT51" s="15" t="n">
        <v>495326.99</v>
      </c>
      <c r="BU51" s="15" t="n">
        <v>1306449.06</v>
      </c>
      <c r="BV51" s="15" t="n">
        <v>204654.58</v>
      </c>
      <c r="BW51" s="15" t="n">
        <v>897940.8199999999</v>
      </c>
      <c r="BX51" s="15" t="n">
        <v>798532.0699999999</v>
      </c>
      <c r="BY51" s="15" t="n">
        <v>189457.63</v>
      </c>
      <c r="BZ51" s="15" t="n">
        <v>301983.04</v>
      </c>
      <c r="CA51" s="15" t="n">
        <v>1346209.45</v>
      </c>
      <c r="CB51" s="15" t="n">
        <v>2272623.18</v>
      </c>
      <c r="CC51" s="15" t="n">
        <v>523914.98</v>
      </c>
      <c r="CD51" s="15" t="n">
        <v>604034</v>
      </c>
      <c r="CE51" s="15" t="n">
        <v>43008.94</v>
      </c>
      <c r="CF51" s="15" t="n">
        <v>488812.56</v>
      </c>
      <c r="CG51" s="15" t="n">
        <v>748600.96</v>
      </c>
      <c r="CH51" s="15" t="n">
        <v>367632.88</v>
      </c>
      <c r="CI51" s="15" t="n">
        <v>833789.41</v>
      </c>
      <c r="CJ51" s="15" t="n">
        <v>560808.36</v>
      </c>
      <c r="CK51" s="15" t="n">
        <v>168704.32</v>
      </c>
      <c r="CL51" s="15" t="n">
        <v>639182.4399999999</v>
      </c>
      <c r="CM51" s="15" t="n">
        <v>1800568.79</v>
      </c>
      <c r="CN51" s="15" t="n">
        <v>527650.33</v>
      </c>
      <c r="CO51" s="15" t="n">
        <v>1182237.26</v>
      </c>
      <c r="CP51" s="15" t="n">
        <v>159847.76</v>
      </c>
      <c r="CQ51" s="15" t="n">
        <v>41221.36</v>
      </c>
      <c r="CR51" s="15" t="n">
        <v>561513.67</v>
      </c>
      <c r="CS51" s="15" t="n">
        <v>1438455.93</v>
      </c>
      <c r="CT51" s="15" t="n">
        <v>1540464.55</v>
      </c>
      <c r="CU51" s="15" t="n">
        <v>357511.49</v>
      </c>
      <c r="CV51" s="15" t="n">
        <v>243182.13</v>
      </c>
      <c r="CW51" s="15" t="n">
        <v>237878.46</v>
      </c>
      <c r="CX51" s="15" t="n">
        <v>361692.67</v>
      </c>
      <c r="CY51" s="15" t="n">
        <v>900102.37</v>
      </c>
      <c r="CZ51" s="15" t="n">
        <v>1550542.44</v>
      </c>
      <c r="DA51" s="15" t="n">
        <v>182689.11</v>
      </c>
      <c r="DB51" s="15" t="n">
        <v>728937.67</v>
      </c>
      <c r="DC51" s="15" t="n">
        <v>52502.19</v>
      </c>
      <c r="DD51" s="15" t="n">
        <v>582405.76</v>
      </c>
      <c r="DE51" s="15" t="n">
        <v>1213308.52</v>
      </c>
      <c r="DF51" s="15" t="n">
        <v>1054354.79</v>
      </c>
      <c r="DG51" s="15" t="n">
        <v>742103.73</v>
      </c>
      <c r="DH51" s="15" t="n">
        <v>165082.19</v>
      </c>
      <c r="DI51" s="15" t="n">
        <v>133930.78</v>
      </c>
      <c r="DJ51" s="15" t="n">
        <v>163332.4</v>
      </c>
      <c r="DK51" s="15" t="n">
        <v>1485538.35</v>
      </c>
      <c r="DL51" s="15" t="n">
        <v>701902.45</v>
      </c>
      <c r="DM51" s="15" t="n">
        <v>437161.35</v>
      </c>
      <c r="DN51" s="15" t="n">
        <v>366336.85</v>
      </c>
      <c r="DO51" s="15" t="n">
        <v>13287.98</v>
      </c>
      <c r="DP51" s="15" t="n">
        <v>481781.1</v>
      </c>
    </row>
    <row r="52">
      <c r="A52" s="4" t="inlineStr">
        <is>
          <t>酒水饮料</t>
        </is>
      </c>
      <c r="B52" s="15" t="n">
        <v>2247322.33</v>
      </c>
      <c r="C52" s="15" t="n">
        <v>390722.64</v>
      </c>
      <c r="D52" s="15" t="n">
        <v>760609.23</v>
      </c>
      <c r="E52" s="15" t="n">
        <v>231208.82</v>
      </c>
      <c r="F52" s="15" t="n">
        <v>4468.21</v>
      </c>
      <c r="G52" s="15" t="n">
        <v>1119230.94</v>
      </c>
      <c r="H52" s="15" t="n">
        <v>915885.89</v>
      </c>
      <c r="I52" s="15" t="n">
        <v>1035912.66</v>
      </c>
      <c r="J52" s="15" t="n">
        <v>531072.02</v>
      </c>
      <c r="K52" s="15" t="n">
        <v>17033.83</v>
      </c>
      <c r="L52" s="15" t="n">
        <v>358865.57</v>
      </c>
      <c r="M52" s="15" t="n">
        <v>659540.3199999999</v>
      </c>
      <c r="N52" s="15" t="n">
        <v>1863084.69</v>
      </c>
      <c r="O52" s="15" t="n">
        <v>1233672.47</v>
      </c>
      <c r="P52" s="15" t="n">
        <v>942543.77</v>
      </c>
      <c r="Q52" s="15" t="n">
        <v>188791.1</v>
      </c>
      <c r="R52" s="15" t="n">
        <v>535097.86</v>
      </c>
      <c r="S52" s="15" t="n">
        <v>703300.08</v>
      </c>
      <c r="T52" s="15" t="n">
        <v>322230.32</v>
      </c>
      <c r="U52" s="15" t="n">
        <v>47607.18</v>
      </c>
      <c r="V52" s="15" t="n">
        <v>534482.26</v>
      </c>
      <c r="W52" s="15" t="n">
        <v>31673.72</v>
      </c>
      <c r="X52" s="15" t="n">
        <v>377710.2</v>
      </c>
      <c r="Y52" s="15" t="n">
        <v>1297830.1</v>
      </c>
      <c r="Z52" s="15" t="n">
        <v>2229647.35</v>
      </c>
      <c r="AA52" s="15" t="n">
        <v>1240836.44</v>
      </c>
      <c r="AB52" s="15" t="n">
        <v>491617.02</v>
      </c>
      <c r="AC52" s="15" t="n">
        <v>125496.5</v>
      </c>
      <c r="AD52" s="15" t="n">
        <v>721269.39</v>
      </c>
      <c r="AE52" s="15" t="n">
        <v>537131.89</v>
      </c>
      <c r="AF52" s="15" t="n">
        <v>1116342.38</v>
      </c>
      <c r="AG52" s="15" t="n">
        <v>894759.89</v>
      </c>
      <c r="AH52" s="15" t="n">
        <v>452071.36</v>
      </c>
      <c r="AI52" s="15" t="n">
        <v>203773.17</v>
      </c>
      <c r="AJ52" s="15" t="n">
        <v>520392.07</v>
      </c>
      <c r="AK52" s="15" t="n">
        <v>1911368.83</v>
      </c>
      <c r="AL52" s="15" t="n">
        <v>973473.1</v>
      </c>
      <c r="AM52" s="15" t="n">
        <v>1250211.89</v>
      </c>
      <c r="AN52" s="15" t="n">
        <v>787947.9</v>
      </c>
      <c r="AO52" s="15" t="n">
        <v>77440.91</v>
      </c>
      <c r="AP52" s="15" t="n">
        <v>548374.78</v>
      </c>
      <c r="AQ52" s="15" t="n">
        <v>514784.32</v>
      </c>
      <c r="AR52" s="15" t="n">
        <v>587182.0600000001</v>
      </c>
      <c r="AS52" s="15" t="n">
        <v>471512.48</v>
      </c>
      <c r="AT52" s="15" t="n">
        <v>449771.72</v>
      </c>
      <c r="AU52" s="15" t="n">
        <v>72743.03</v>
      </c>
      <c r="AV52" s="15" t="n">
        <v>387964.19</v>
      </c>
      <c r="AW52" s="15" t="n">
        <v>1949171.04</v>
      </c>
      <c r="AX52" s="15" t="n">
        <v>536650.1899999999</v>
      </c>
      <c r="AY52" s="15" t="n">
        <v>734882.1800000001</v>
      </c>
      <c r="AZ52" s="15" t="n">
        <v>895223.03</v>
      </c>
      <c r="BA52" s="15" t="n">
        <v>41234.77</v>
      </c>
      <c r="BB52" s="15" t="n">
        <v>574231.6800000001</v>
      </c>
      <c r="BC52" s="15" t="n">
        <v>1865459.11</v>
      </c>
      <c r="BD52" s="15" t="n">
        <v>1104490.38</v>
      </c>
      <c r="BE52" s="15" t="n">
        <v>1342022.24</v>
      </c>
      <c r="BF52" s="15" t="n">
        <v>506978.63</v>
      </c>
      <c r="BG52" s="15" t="n">
        <v>155952.28</v>
      </c>
      <c r="BH52" s="15" t="n">
        <v>-36875.15</v>
      </c>
      <c r="BI52" s="15" t="n">
        <v>41016.34</v>
      </c>
      <c r="BJ52" s="15" t="n">
        <v>585513.58</v>
      </c>
      <c r="BK52" s="15" t="n">
        <v>456549.79</v>
      </c>
      <c r="BL52" s="15" t="n">
        <v>553921.03</v>
      </c>
      <c r="BM52" s="15" t="n">
        <v>161510.19</v>
      </c>
      <c r="BN52" s="15" t="n">
        <v>108142.71</v>
      </c>
      <c r="BO52" s="15" t="n">
        <v>1974408.49</v>
      </c>
      <c r="BP52" s="15" t="n">
        <v>173182.93</v>
      </c>
      <c r="BQ52" s="15" t="n">
        <v>1446536.45</v>
      </c>
      <c r="BR52" s="15" t="n">
        <v>124150.89</v>
      </c>
      <c r="BS52" s="15" t="n">
        <v>75999.14</v>
      </c>
      <c r="BT52" s="15" t="n">
        <v>171567.41</v>
      </c>
      <c r="BU52" s="15" t="n">
        <v>1281454.36</v>
      </c>
      <c r="BV52" s="15" t="n">
        <v>668621.28</v>
      </c>
      <c r="BW52" s="15" t="n">
        <v>221929.5</v>
      </c>
      <c r="BX52" s="15" t="n">
        <v>422541.67</v>
      </c>
      <c r="BY52" s="15" t="n">
        <v>157956.85</v>
      </c>
      <c r="BZ52" s="15" t="n">
        <v>634653.22</v>
      </c>
      <c r="CA52" s="15" t="n">
        <v>1297527.62</v>
      </c>
      <c r="CB52" s="15" t="n">
        <v>1096315.19</v>
      </c>
      <c r="CC52" s="15" t="n">
        <v>904903.4</v>
      </c>
      <c r="CD52" s="15" t="n">
        <v>276984.46</v>
      </c>
      <c r="CE52" s="15" t="n">
        <v>237621.45</v>
      </c>
      <c r="CF52" s="15" t="n">
        <v>313790.2</v>
      </c>
      <c r="CG52" s="15" t="n">
        <v>503036.01</v>
      </c>
      <c r="CH52" s="15" t="n">
        <v>2427091.61</v>
      </c>
      <c r="CI52" s="15" t="n">
        <v>585144.3</v>
      </c>
      <c r="CJ52" s="15" t="n">
        <v>576419</v>
      </c>
      <c r="CK52" s="15" t="n">
        <v>189013.29</v>
      </c>
      <c r="CL52" s="15" t="n">
        <v>695433.1899999999</v>
      </c>
      <c r="CM52" s="15" t="n">
        <v>1177976.56</v>
      </c>
      <c r="CN52" s="15" t="n">
        <v>1535920.74</v>
      </c>
      <c r="CO52" s="15" t="n">
        <v>166906.75</v>
      </c>
      <c r="CP52" s="15" t="n">
        <v>753862.0699999999</v>
      </c>
      <c r="CQ52" s="15" t="n">
        <v>123748.9</v>
      </c>
      <c r="CR52" s="15" t="n">
        <v>512591.8</v>
      </c>
      <c r="CS52" s="15" t="n">
        <v>802179.24</v>
      </c>
      <c r="CT52" s="15" t="n">
        <v>943854.79</v>
      </c>
      <c r="CU52" s="15" t="n">
        <v>932576.5</v>
      </c>
      <c r="CV52" s="15" t="n">
        <v>649088.7</v>
      </c>
      <c r="CW52" s="15" t="n">
        <v>134152.53</v>
      </c>
      <c r="CX52" s="15" t="n">
        <v>345376.8</v>
      </c>
      <c r="CY52" s="15" t="n">
        <v>1620228.24</v>
      </c>
      <c r="CZ52" s="15" t="n">
        <v>1289614.65</v>
      </c>
      <c r="DA52" s="15" t="n">
        <v>905527.27</v>
      </c>
      <c r="DB52" s="15" t="n">
        <v>683171.15</v>
      </c>
      <c r="DC52" s="15" t="n">
        <v>226273.73</v>
      </c>
      <c r="DD52" s="15" t="n">
        <v>641278.0600000001</v>
      </c>
      <c r="DE52" s="15" t="n">
        <v>927259.28</v>
      </c>
      <c r="DF52" s="15" t="n">
        <v>649613.72</v>
      </c>
      <c r="DG52" s="15" t="n">
        <v>1205689.95</v>
      </c>
      <c r="DH52" s="15" t="n">
        <v>615953.36</v>
      </c>
      <c r="DI52" s="15" t="n">
        <v>67025.5</v>
      </c>
      <c r="DJ52" s="15" t="n">
        <v>123077.69</v>
      </c>
      <c r="DK52" s="15" t="n">
        <v>1917867.83</v>
      </c>
      <c r="DL52" s="15" t="n">
        <v>1820793.94</v>
      </c>
      <c r="DM52" s="15" t="n">
        <v>1401077.68</v>
      </c>
      <c r="DN52" s="15" t="n">
        <v>73874.92999999999</v>
      </c>
      <c r="DO52" s="15" t="n">
        <v>111609.47</v>
      </c>
      <c r="DP52" s="15" t="n">
        <v>617616.73</v>
      </c>
    </row>
    <row r="53">
      <c r="A53" s="4" t="inlineStr">
        <is>
          <t>休闲零食</t>
        </is>
      </c>
      <c r="B53" s="15" t="n">
        <v>834325.47</v>
      </c>
      <c r="C53" s="15" t="n">
        <v>528252.77</v>
      </c>
      <c r="D53" s="15" t="n">
        <v>258464.62</v>
      </c>
      <c r="E53" s="15" t="n">
        <v>121799.03</v>
      </c>
      <c r="F53" s="15" t="n">
        <v>136017.73</v>
      </c>
      <c r="G53" s="15" t="n">
        <v>899632.96</v>
      </c>
      <c r="H53" s="15" t="n">
        <v>436636.79</v>
      </c>
      <c r="I53" s="15" t="n">
        <v>238156.74</v>
      </c>
      <c r="J53" s="15" t="n">
        <v>512513.24</v>
      </c>
      <c r="K53" s="15" t="n">
        <v>131227.26</v>
      </c>
      <c r="L53" s="15" t="n">
        <v>277719.22</v>
      </c>
      <c r="M53" s="15" t="n">
        <v>791636.75</v>
      </c>
      <c r="N53" s="15" t="n">
        <v>2046309.47</v>
      </c>
      <c r="O53" s="15" t="n">
        <v>1184611.27</v>
      </c>
      <c r="P53" s="15" t="n">
        <v>918280.11</v>
      </c>
      <c r="Q53" s="15" t="n">
        <v>24938.95</v>
      </c>
      <c r="R53" s="15" t="n">
        <v>366041.91</v>
      </c>
      <c r="S53" s="15" t="n">
        <v>1143059.4</v>
      </c>
      <c r="T53" s="15" t="n">
        <v>1321916.99</v>
      </c>
      <c r="U53" s="15" t="n">
        <v>518201.88</v>
      </c>
      <c r="V53" s="15" t="n">
        <v>497848.57</v>
      </c>
      <c r="W53" s="15" t="n">
        <v>218265.89</v>
      </c>
      <c r="X53" s="15" t="n">
        <v>357186.53</v>
      </c>
      <c r="Y53" s="15" t="n">
        <v>1947883.02</v>
      </c>
      <c r="Z53" s="15" t="n">
        <v>360740.62</v>
      </c>
      <c r="AA53" s="15" t="n">
        <v>305476.68</v>
      </c>
      <c r="AB53" s="15" t="n">
        <v>598702.3</v>
      </c>
      <c r="AC53" s="15" t="n">
        <v>161616.37</v>
      </c>
      <c r="AD53" s="15" t="n">
        <v>-75802.22</v>
      </c>
      <c r="AE53" s="15" t="n">
        <v>157082.18</v>
      </c>
      <c r="AF53" s="15" t="n">
        <v>1493526.38</v>
      </c>
      <c r="AG53" s="15" t="n">
        <v>499943.03</v>
      </c>
      <c r="AH53" s="15" t="n">
        <v>357173.18</v>
      </c>
      <c r="AI53" s="15" t="n">
        <v>32760.94</v>
      </c>
      <c r="AJ53" s="15" t="n">
        <v>95597.52</v>
      </c>
      <c r="AK53" s="15" t="n">
        <v>671285.5600000001</v>
      </c>
      <c r="AL53" s="15" t="n">
        <v>942585.14</v>
      </c>
      <c r="AM53" s="15" t="n">
        <v>77653.03999999999</v>
      </c>
      <c r="AN53" s="15" t="n">
        <v>732063.4</v>
      </c>
      <c r="AO53" s="15" t="n">
        <v>21453.52</v>
      </c>
      <c r="AP53" s="15" t="n">
        <v>90499.58</v>
      </c>
      <c r="AQ53" s="15" t="n">
        <v>633716.87</v>
      </c>
      <c r="AR53" s="15" t="n">
        <v>503015.9</v>
      </c>
      <c r="AS53" s="15" t="n">
        <v>630862.16</v>
      </c>
      <c r="AT53" s="15" t="n">
        <v>861131.62</v>
      </c>
      <c r="AU53" s="15" t="n">
        <v>186149.14</v>
      </c>
      <c r="AV53" s="15" t="n">
        <v>298946.03</v>
      </c>
      <c r="AW53" s="15" t="n">
        <v>1962124.09</v>
      </c>
      <c r="AX53" s="15" t="n">
        <v>511687.38</v>
      </c>
      <c r="AY53" s="15" t="n">
        <v>374410.66</v>
      </c>
      <c r="AZ53" s="15" t="n">
        <v>938359.14</v>
      </c>
      <c r="BA53" s="15" t="n">
        <v>228016.95</v>
      </c>
      <c r="BB53" s="15" t="n">
        <v>558560.08</v>
      </c>
      <c r="BC53" s="15" t="n">
        <v>1535485.04</v>
      </c>
      <c r="BD53" s="15" t="n">
        <v>873775.08</v>
      </c>
      <c r="BE53" s="15" t="n">
        <v>327202.17</v>
      </c>
      <c r="BF53" s="15" t="n">
        <v>878509.09</v>
      </c>
      <c r="BG53" s="15" t="n">
        <v>52713.53</v>
      </c>
      <c r="BH53" s="15" t="n">
        <v>506628.69</v>
      </c>
      <c r="BI53" s="15" t="n">
        <v>1240563.14</v>
      </c>
      <c r="BJ53" s="15" t="n">
        <v>1207146.51</v>
      </c>
      <c r="BK53" s="15" t="n">
        <v>1401072.6</v>
      </c>
      <c r="BL53" s="15" t="n">
        <v>822947.3</v>
      </c>
      <c r="BM53" s="15" t="n">
        <v>169283.8</v>
      </c>
      <c r="BN53" s="15" t="n">
        <v>-82884</v>
      </c>
      <c r="BO53" s="15" t="n">
        <v>816064.8</v>
      </c>
      <c r="BP53" s="15" t="n">
        <v>2035853.54</v>
      </c>
      <c r="BQ53" s="15" t="n">
        <v>770540.63</v>
      </c>
      <c r="BR53" s="15" t="n">
        <v>732933.72</v>
      </c>
      <c r="BS53" s="15" t="n">
        <v>34409.36</v>
      </c>
      <c r="BT53" s="15" t="n">
        <v>242838.46</v>
      </c>
      <c r="BU53" s="15" t="n">
        <v>40182.71</v>
      </c>
      <c r="BV53" s="15" t="n">
        <v>1250712.55</v>
      </c>
      <c r="BW53" s="15" t="n">
        <v>748529.87</v>
      </c>
      <c r="BX53" s="15" t="n">
        <v>632913.88</v>
      </c>
      <c r="BY53" s="15" t="n">
        <v>160059.01</v>
      </c>
      <c r="BZ53" s="15" t="n">
        <v>328610.23</v>
      </c>
      <c r="CA53" s="15" t="n">
        <v>1724745.61</v>
      </c>
      <c r="CB53" s="15" t="n">
        <v>408435.39</v>
      </c>
      <c r="CC53" s="15" t="n">
        <v>1061293.03</v>
      </c>
      <c r="CD53" s="15" t="n">
        <v>481331.78</v>
      </c>
      <c r="CE53" s="15" t="n">
        <v>51634.65</v>
      </c>
      <c r="CF53" s="15" t="n">
        <v>624148.54</v>
      </c>
      <c r="CG53" s="15" t="n">
        <v>872849.73</v>
      </c>
      <c r="CH53" s="15" t="n">
        <v>166135.17</v>
      </c>
      <c r="CI53" s="15" t="n">
        <v>1399992.06</v>
      </c>
      <c r="CJ53" s="15" t="n">
        <v>461099.88</v>
      </c>
      <c r="CK53" s="15" t="n">
        <v>147355.87</v>
      </c>
      <c r="CL53" s="15" t="n">
        <v>591011.49</v>
      </c>
      <c r="CM53" s="15" t="n">
        <v>1460480.7</v>
      </c>
      <c r="CN53" s="15" t="n">
        <v>2175716.45</v>
      </c>
      <c r="CO53" s="15" t="n">
        <v>1272949.17</v>
      </c>
      <c r="CP53" s="15" t="n">
        <v>417795.85</v>
      </c>
      <c r="CQ53" s="15" t="n">
        <v>144458.65</v>
      </c>
      <c r="CR53" s="15" t="n">
        <v>458744.67</v>
      </c>
      <c r="CS53" s="15" t="n">
        <v>1991705.91</v>
      </c>
      <c r="CT53" s="15" t="n">
        <v>1282949.78</v>
      </c>
      <c r="CU53" s="15" t="n">
        <v>509077.74</v>
      </c>
      <c r="CV53" s="15" t="n">
        <v>341626.92</v>
      </c>
      <c r="CW53" s="15" t="n">
        <v>7728.12</v>
      </c>
      <c r="CX53" s="15" t="n">
        <v>647527.61</v>
      </c>
      <c r="CY53" s="15" t="n">
        <v>148287.61</v>
      </c>
      <c r="CZ53" s="15" t="n">
        <v>1624336.45</v>
      </c>
      <c r="DA53" s="15" t="n">
        <v>437838.85</v>
      </c>
      <c r="DB53" s="15" t="n">
        <v>370161.84</v>
      </c>
      <c r="DC53" s="15" t="n">
        <v>16360.48</v>
      </c>
      <c r="DD53" s="15" t="n">
        <v>498617.96</v>
      </c>
      <c r="DE53" s="15" t="n">
        <v>1217178.74</v>
      </c>
      <c r="DF53" s="15" t="n">
        <v>434841.2</v>
      </c>
      <c r="DG53" s="15" t="n">
        <v>926402.1</v>
      </c>
      <c r="DH53" s="15" t="n">
        <v>973287.09</v>
      </c>
      <c r="DI53" s="15" t="n">
        <v>247449.03</v>
      </c>
      <c r="DJ53" s="15" t="n">
        <v>557382.9399999999</v>
      </c>
      <c r="DK53" s="15" t="n">
        <v>93316.84</v>
      </c>
      <c r="DL53" s="15" t="n">
        <v>250140.37</v>
      </c>
      <c r="DM53" s="15" t="n">
        <v>1395747.47</v>
      </c>
      <c r="DN53" s="15" t="n">
        <v>616032.38</v>
      </c>
      <c r="DO53" s="15" t="n">
        <v>179114.22</v>
      </c>
      <c r="DP53" s="15" t="n">
        <v>486275.66</v>
      </c>
    </row>
  </sheetData>
  <mergeCells count="23">
    <mergeCell ref="B2:G2"/>
    <mergeCell ref="N2:S2"/>
    <mergeCell ref="AX2:BC2"/>
    <mergeCell ref="BD2:BI2"/>
    <mergeCell ref="BP2:BU2"/>
    <mergeCell ref="CZ2:DE2"/>
    <mergeCell ref="BJ2:BO2"/>
    <mergeCell ref="B1:Y1"/>
    <mergeCell ref="H2:M2"/>
    <mergeCell ref="Z2:AE2"/>
    <mergeCell ref="T2:Y2"/>
    <mergeCell ref="AF2:AK2"/>
    <mergeCell ref="BV2:CA2"/>
    <mergeCell ref="CH2:CM2"/>
    <mergeCell ref="AR2:AW2"/>
    <mergeCell ref="CT2:CY2"/>
    <mergeCell ref="Z1:AW1"/>
    <mergeCell ref="DF2:DK2"/>
    <mergeCell ref="AL2:AQ2"/>
    <mergeCell ref="CB2:CG2"/>
    <mergeCell ref="CN2:CS2"/>
    <mergeCell ref="AX1:BU1"/>
    <mergeCell ref="BV1:CS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0" customWidth="1" min="5" max="5"/>
    <col width="10" customWidth="1" min="6" max="6"/>
  </cols>
  <sheetData>
    <row r="1">
      <c r="A1" s="2" t="inlineStr">
        <is>
          <t>产品名称</t>
        </is>
      </c>
      <c r="B1" s="2" t="inlineStr">
        <is>
          <t>销售额</t>
        </is>
      </c>
      <c r="C1" s="2" t="inlineStr">
        <is>
          <t>利润率</t>
        </is>
      </c>
      <c r="D1" s="2" t="inlineStr">
        <is>
          <t>备注</t>
        </is>
      </c>
      <c r="E1" s="2" t="inlineStr">
        <is>
          <t>月份数据</t>
        </is>
      </c>
      <c r="F1" s="2" t="inlineStr">
        <is>
          <t>分类评分</t>
        </is>
      </c>
    </row>
    <row r="2">
      <c r="A2" s="4" t="inlineStr">
        <is>
          <t>生鲜蔬果</t>
        </is>
      </c>
      <c r="B2" s="15" t="n">
        <v>168876.04</v>
      </c>
      <c r="C2" s="25" t="n">
        <v>0.1729</v>
      </c>
      <c r="D2" s="4" t="inlineStr">
        <is>
          <t>新产品</t>
        </is>
      </c>
      <c r="E2" s="3" t="inlineStr">
        <is>
          <t>1月</t>
        </is>
      </c>
      <c r="F2" s="4" t="n">
        <v>80.7</v>
      </c>
    </row>
    <row r="3">
      <c r="A3" s="4" t="inlineStr">
        <is>
          <t>肉禽蛋奶</t>
        </is>
      </c>
      <c r="B3" s="15" t="n">
        <v>361990.93</v>
      </c>
      <c r="C3" s="25" t="n">
        <v>0.1859</v>
      </c>
      <c r="D3" s="4" t="inlineStr">
        <is>
          <t>正常</t>
        </is>
      </c>
      <c r="E3" s="3" t="inlineStr">
        <is>
          <t>2月</t>
        </is>
      </c>
      <c r="F3" s="4" t="n">
        <v>73.3</v>
      </c>
    </row>
    <row r="4">
      <c r="A4" s="4" t="inlineStr">
        <is>
          <t>粮油调味</t>
        </is>
      </c>
      <c r="B4" s="15" t="n">
        <v>321682.17</v>
      </c>
      <c r="C4" s="25" t="n">
        <v>0.0537</v>
      </c>
      <c r="D4" s="4" t="n"/>
      <c r="E4" s="3" t="inlineStr">
        <is>
          <t>3月</t>
        </is>
      </c>
      <c r="F4" s="4" t="n">
        <v>77</v>
      </c>
    </row>
    <row r="5">
      <c r="A5" s="4" t="inlineStr">
        <is>
          <t>酒水饮料</t>
        </is>
      </c>
      <c r="B5" s="15" t="n">
        <v>143040.32</v>
      </c>
      <c r="C5" s="25" t="n">
        <v>0.2173</v>
      </c>
      <c r="D5" s="4" t="n"/>
      <c r="E5" s="3" t="inlineStr">
        <is>
          <t>4月</t>
        </is>
      </c>
      <c r="F5" s="4" t="n">
        <v>68.09999999999999</v>
      </c>
    </row>
    <row r="6">
      <c r="A6" s="4" t="inlineStr">
        <is>
          <t>休闲零食</t>
        </is>
      </c>
      <c r="B6" s="15" t="n">
        <v>562366.96</v>
      </c>
      <c r="C6" s="25" t="n">
        <v>0.3514</v>
      </c>
      <c r="D6" s="4" t="inlineStr">
        <is>
          <t>新产品</t>
        </is>
      </c>
      <c r="E6" s="3" t="inlineStr">
        <is>
          <t>5月</t>
        </is>
      </c>
      <c r="F6" s="4" t="n">
        <v>66.59999999999999</v>
      </c>
    </row>
    <row r="7">
      <c r="A7" s="4" t="inlineStr">
        <is>
          <t>日用百货</t>
        </is>
      </c>
      <c r="B7" s="15" t="n">
        <v>806508.0600000001</v>
      </c>
      <c r="C7" s="4" t="inlineStr">
        <is>
          <t>N/A</t>
        </is>
      </c>
      <c r="D7" s="4" t="n"/>
      <c r="E7" s="3" t="inlineStr">
        <is>
          <t>6月</t>
        </is>
      </c>
      <c r="F7" s="4" t="n">
        <v>82.09999999999999</v>
      </c>
    </row>
    <row r="8">
      <c r="A8" s="4" t="inlineStr">
        <is>
          <t>生鲜蔬果</t>
        </is>
      </c>
      <c r="B8" s="15" t="n">
        <v>723760.85</v>
      </c>
      <c r="C8" s="25" t="n">
        <v>0.2738</v>
      </c>
      <c r="D8" s="4" t="inlineStr">
        <is>
          <t>促销期</t>
        </is>
      </c>
      <c r="E8" s="3" t="inlineStr">
        <is>
          <t>7月</t>
        </is>
      </c>
      <c r="F8" s="4" t="n">
        <v>78.40000000000001</v>
      </c>
    </row>
    <row r="9">
      <c r="A9" s="4" t="inlineStr">
        <is>
          <t>肉禽蛋奶</t>
        </is>
      </c>
      <c r="B9" s="15" t="n">
        <v>58441.5</v>
      </c>
      <c r="C9" s="25" t="n">
        <v>0.2376</v>
      </c>
      <c r="D9" s="4" t="inlineStr">
        <is>
          <t>促销期</t>
        </is>
      </c>
      <c r="E9" s="3" t="inlineStr">
        <is>
          <t>8月</t>
        </is>
      </c>
      <c r="F9" s="4" t="n">
        <v>72.2</v>
      </c>
    </row>
    <row r="10">
      <c r="A10" s="4" t="inlineStr">
        <is>
          <t>粮油调味</t>
        </is>
      </c>
      <c r="B10" s="15" t="n">
        <v>507473.06</v>
      </c>
      <c r="C10" s="25" t="n">
        <v>0.3261</v>
      </c>
      <c r="D10" s="4" t="inlineStr">
        <is>
          <t>低于预期</t>
        </is>
      </c>
      <c r="E10" s="3" t="inlineStr">
        <is>
          <t>9月</t>
        </is>
      </c>
      <c r="F10" s="4" t="n">
        <v>87.59999999999999</v>
      </c>
    </row>
    <row r="11">
      <c r="A11" s="4" t="inlineStr">
        <is>
          <t>酒水饮料</t>
        </is>
      </c>
      <c r="B11" s="15" t="n">
        <v>811253.55</v>
      </c>
      <c r="C11" s="25" t="n">
        <v>0.1768</v>
      </c>
      <c r="D11" s="4" t="inlineStr">
        <is>
          <t>季节性波动</t>
        </is>
      </c>
      <c r="E11" s="3" t="inlineStr">
        <is>
          <t>10月</t>
        </is>
      </c>
      <c r="F11" s="4" t="n">
        <v>73.5</v>
      </c>
    </row>
    <row r="12">
      <c r="A12" s="4" t="inlineStr">
        <is>
          <t>休闲零食</t>
        </is>
      </c>
      <c r="B12" s="15" t="n">
        <v>635989.5</v>
      </c>
      <c r="C12" s="4" t="inlineStr">
        <is>
          <t>—</t>
        </is>
      </c>
      <c r="D12" s="4" t="inlineStr">
        <is>
          <t>超预期</t>
        </is>
      </c>
      <c r="E12" s="3" t="inlineStr">
        <is>
          <t>11月</t>
        </is>
      </c>
      <c r="F12" s="4" t="n">
        <v>77.5</v>
      </c>
    </row>
    <row r="13">
      <c r="A13" s="4" t="inlineStr">
        <is>
          <t>日用百货</t>
        </is>
      </c>
      <c r="B13" s="15" t="n">
        <v>236501.99</v>
      </c>
      <c r="C13" s="25" t="n">
        <v>0.2863</v>
      </c>
      <c r="D13" s="4" t="n"/>
      <c r="E13" s="3" t="inlineStr">
        <is>
          <t>12月</t>
        </is>
      </c>
      <c r="F13" s="4" t="n">
        <v>61.3</v>
      </c>
    </row>
    <row r="14">
      <c r="A14" s="4" t="inlineStr">
        <is>
          <t>生鲜蔬果</t>
        </is>
      </c>
      <c r="B14" s="15" t="n">
        <v>467102.8</v>
      </c>
      <c r="C14" s="25" t="n">
        <v>0.3202</v>
      </c>
      <c r="D14" s="4" t="inlineStr">
        <is>
          <t>正常</t>
        </is>
      </c>
      <c r="E14" s="3" t="inlineStr">
        <is>
          <t>1月</t>
        </is>
      </c>
      <c r="F14" s="4" t="n">
        <v>74</v>
      </c>
    </row>
    <row r="15">
      <c r="A15" s="4" t="inlineStr">
        <is>
          <t>肉禽蛋奶</t>
        </is>
      </c>
      <c r="B15" s="15" t="n">
        <v>802566.63</v>
      </c>
      <c r="C15" s="25" t="n">
        <v>0.3864</v>
      </c>
      <c r="D15" s="4" t="inlineStr">
        <is>
          <t>季节性波动</t>
        </is>
      </c>
      <c r="E15" s="3" t="inlineStr">
        <is>
          <t>2月</t>
        </is>
      </c>
      <c r="F15" s="4" t="n">
        <v>84.2</v>
      </c>
    </row>
    <row r="16">
      <c r="A16" s="4" t="inlineStr">
        <is>
          <t>粮油调味</t>
        </is>
      </c>
      <c r="B16" s="4" t="inlineStr">
        <is>
          <t>实际净利</t>
        </is>
      </c>
      <c r="C16" s="25" t="n">
        <v>0.2128</v>
      </c>
      <c r="D16" s="4" t="inlineStr">
        <is>
          <t>需关注</t>
        </is>
      </c>
      <c r="E16" s="3" t="inlineStr">
        <is>
          <t>3月</t>
        </is>
      </c>
      <c r="F16" s="4" t="n">
        <v>91.2</v>
      </c>
    </row>
    <row r="17">
      <c r="A17" s="4" t="inlineStr">
        <is>
          <t>酒水饮料</t>
        </is>
      </c>
      <c r="B17" s="15" t="n">
        <v>546361.0699999999</v>
      </c>
      <c r="C17" s="25" t="n">
        <v>0.1566</v>
      </c>
      <c r="D17" s="4" t="inlineStr">
        <is>
          <t>促销期</t>
        </is>
      </c>
      <c r="E17" s="3" t="inlineStr">
        <is>
          <t>4月</t>
        </is>
      </c>
      <c r="F17" s="4" t="n">
        <v>69.7</v>
      </c>
    </row>
    <row r="18">
      <c r="A18" s="4" t="inlineStr">
        <is>
          <t>休闲零食</t>
        </is>
      </c>
      <c r="B18" s="15" t="n">
        <v>463654.78</v>
      </c>
      <c r="C18" s="25" t="n">
        <v>0.0321</v>
      </c>
      <c r="D18" s="4" t="inlineStr">
        <is>
          <t>超预期</t>
        </is>
      </c>
      <c r="E18" s="3" t="inlineStr">
        <is>
          <t>5月</t>
        </is>
      </c>
      <c r="F18" s="4" t="n">
        <v>79.3</v>
      </c>
    </row>
    <row r="19">
      <c r="A19" s="4" t="inlineStr">
        <is>
          <t>日用百货</t>
        </is>
      </c>
      <c r="B19" s="15" t="n">
        <v>945731.61</v>
      </c>
      <c r="C19" s="25" t="n">
        <v>0.4229</v>
      </c>
      <c r="D19" s="4" t="inlineStr">
        <is>
          <t>低于预期</t>
        </is>
      </c>
      <c r="E19" s="3" t="inlineStr">
        <is>
          <t>6月</t>
        </is>
      </c>
      <c r="F19" s="4" t="n">
        <v>78</v>
      </c>
    </row>
    <row r="20">
      <c r="A20" s="4" t="inlineStr">
        <is>
          <t>生鲜蔬果</t>
        </is>
      </c>
      <c r="B20" s="15" t="n">
        <v>880485.1800000001</v>
      </c>
      <c r="C20" s="25" t="n">
        <v>0.2594</v>
      </c>
      <c r="D20" s="4" t="inlineStr">
        <is>
          <t>超预期</t>
        </is>
      </c>
      <c r="E20" s="3" t="inlineStr">
        <is>
          <t>7月</t>
        </is>
      </c>
      <c r="F20" s="4" t="n">
        <v>64.5</v>
      </c>
    </row>
    <row r="21">
      <c r="A21" s="4" t="inlineStr">
        <is>
          <t>肉禽蛋奶</t>
        </is>
      </c>
      <c r="B21" s="15" t="n">
        <v>979060.72</v>
      </c>
      <c r="C21" s="25" t="n">
        <v>0.3318</v>
      </c>
      <c r="D21" s="4" t="inlineStr">
        <is>
          <t>超预期</t>
        </is>
      </c>
      <c r="E21" s="3" t="inlineStr">
        <is>
          <t>8月</t>
        </is>
      </c>
      <c r="F21" s="4" t="n">
        <v>72.40000000000001</v>
      </c>
    </row>
    <row r="22">
      <c r="A22" s="4" t="inlineStr">
        <is>
          <t>粮油调味</t>
        </is>
      </c>
      <c r="B22" s="15" t="n">
        <v>242127.47</v>
      </c>
      <c r="C22" s="4" t="inlineStr">
        <is>
          <t>N/A</t>
        </is>
      </c>
      <c r="D22" s="4" t="inlineStr">
        <is>
          <t>需关注</t>
        </is>
      </c>
      <c r="E22" s="3" t="inlineStr">
        <is>
          <t>9月</t>
        </is>
      </c>
      <c r="F22" s="4" t="n">
        <v>79.2</v>
      </c>
    </row>
    <row r="23">
      <c r="A23" s="4" t="inlineStr">
        <is>
          <t>酒水饮料</t>
        </is>
      </c>
      <c r="B23" s="15" t="n">
        <v>27459.3</v>
      </c>
      <c r="C23" s="25" t="n">
        <v>0.4011</v>
      </c>
      <c r="D23" s="4" t="inlineStr">
        <is>
          <t>低于预期</t>
        </is>
      </c>
      <c r="E23" s="3" t="inlineStr">
        <is>
          <t>10月</t>
        </is>
      </c>
      <c r="F23" s="4" t="n">
        <v>82.7</v>
      </c>
    </row>
    <row r="24">
      <c r="A24" s="4" t="inlineStr">
        <is>
          <t>休闲零食</t>
        </is>
      </c>
      <c r="B24" s="15" t="n">
        <v>833155.11</v>
      </c>
      <c r="C24" s="25" t="n">
        <v>0.2475</v>
      </c>
      <c r="D24" s="4" t="inlineStr">
        <is>
          <t>促销期</t>
        </is>
      </c>
      <c r="E24" s="3" t="inlineStr">
        <is>
          <t>11月</t>
        </is>
      </c>
      <c r="F24" s="4" t="n">
        <v>68.59999999999999</v>
      </c>
    </row>
    <row r="25">
      <c r="A25" s="4" t="inlineStr">
        <is>
          <t>日用百货</t>
        </is>
      </c>
      <c r="B25" s="15" t="n">
        <v>422797.14</v>
      </c>
      <c r="C25" s="25" t="n">
        <v>0.1321</v>
      </c>
      <c r="D25" s="4" t="inlineStr">
        <is>
          <t>促销期</t>
        </is>
      </c>
      <c r="E25" s="3" t="inlineStr">
        <is>
          <t>12月</t>
        </is>
      </c>
      <c r="F25" s="4" t="n">
        <v>68.2</v>
      </c>
    </row>
    <row r="26">
      <c r="A26" s="4" t="inlineStr">
        <is>
          <t>生鲜蔬果</t>
        </is>
      </c>
      <c r="B26" s="15" t="n">
        <v>863844</v>
      </c>
      <c r="C26" s="25" t="n">
        <v>0.3547</v>
      </c>
      <c r="D26" s="4" t="inlineStr">
        <is>
          <t>促销期</t>
        </is>
      </c>
      <c r="E26" s="3" t="inlineStr">
        <is>
          <t>1月</t>
        </is>
      </c>
      <c r="F26" s="4" t="n">
        <v>97.2</v>
      </c>
    </row>
    <row r="27">
      <c r="A27" s="4" t="inlineStr">
        <is>
          <t>肉禽蛋奶</t>
        </is>
      </c>
      <c r="B27" s="15" t="n">
        <v>437800.15</v>
      </c>
      <c r="C27" s="25" t="n">
        <v>0.0896</v>
      </c>
      <c r="D27" s="4" t="inlineStr">
        <is>
          <t>促销期</t>
        </is>
      </c>
      <c r="E27" s="3" t="inlineStr">
        <is>
          <t>2月</t>
        </is>
      </c>
      <c r="F27" s="4" t="inlineStr">
        <is>
          <t>优秀</t>
        </is>
      </c>
    </row>
    <row r="28">
      <c r="A28" s="4" t="inlineStr">
        <is>
          <t>粮油调味</t>
        </is>
      </c>
      <c r="B28" s="15" t="n">
        <v>409799.14</v>
      </c>
      <c r="C28" s="25" t="n">
        <v>0.1645</v>
      </c>
      <c r="D28" s="4" t="inlineStr">
        <is>
          <t>季节性波动</t>
        </is>
      </c>
      <c r="E28" s="3" t="inlineStr">
        <is>
          <t>3月</t>
        </is>
      </c>
      <c r="F28" s="4" t="n">
        <v>61.8</v>
      </c>
    </row>
    <row r="29">
      <c r="A29" s="4" t="inlineStr">
        <is>
          <t>酒水饮料</t>
        </is>
      </c>
      <c r="B29" s="4" t="inlineStr">
        <is>
          <t>实际净利</t>
        </is>
      </c>
      <c r="C29" s="25" t="n">
        <v>0.1916</v>
      </c>
      <c r="D29" s="4" t="inlineStr">
        <is>
          <t>新产品</t>
        </is>
      </c>
      <c r="E29" s="3" t="inlineStr">
        <is>
          <t>4月</t>
        </is>
      </c>
      <c r="F29" s="4" t="n">
        <v>74.90000000000001</v>
      </c>
    </row>
    <row r="30">
      <c r="A30" s="4" t="inlineStr">
        <is>
          <t>休闲零食</t>
        </is>
      </c>
      <c r="B30" s="15" t="n">
        <v>935683.34</v>
      </c>
      <c r="C30" s="25" t="n">
        <v>0.2626</v>
      </c>
      <c r="D30" s="4" t="inlineStr">
        <is>
          <t>新产品</t>
        </is>
      </c>
      <c r="E30" s="3" t="inlineStr">
        <is>
          <t>5月</t>
        </is>
      </c>
      <c r="F30" s="4" t="n">
        <v>91.40000000000001</v>
      </c>
    </row>
    <row r="31">
      <c r="A31" s="4" t="inlineStr">
        <is>
          <t>日用百货</t>
        </is>
      </c>
      <c r="B31" s="15" t="n">
        <v>741637.86</v>
      </c>
      <c r="C31" s="25" t="n">
        <v>0.344</v>
      </c>
      <c r="D31" s="4" t="n"/>
      <c r="E31" s="3" t="inlineStr">
        <is>
          <t>6月</t>
        </is>
      </c>
      <c r="F31" s="4" t="n">
        <v>71.59999999999999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项目</t>
        </is>
      </c>
      <c r="B1" s="2" t="inlineStr">
        <is>
          <t>1月</t>
        </is>
      </c>
      <c r="C1" s="2" t="inlineStr">
        <is>
          <t>2月</t>
        </is>
      </c>
      <c r="D1" s="2" t="inlineStr">
        <is>
          <t>3月</t>
        </is>
      </c>
      <c r="E1" s="2" t="inlineStr">
        <is>
          <t>4月</t>
        </is>
      </c>
      <c r="F1" s="2" t="inlineStr">
        <is>
          <t>5月</t>
        </is>
      </c>
      <c r="G1" s="2" t="inlineStr">
        <is>
          <t>6月</t>
        </is>
      </c>
      <c r="H1" s="2" t="inlineStr">
        <is>
          <t>7月</t>
        </is>
      </c>
      <c r="I1" s="2" t="inlineStr">
        <is>
          <t>8月</t>
        </is>
      </c>
      <c r="J1" s="2" t="inlineStr">
        <is>
          <t>9月</t>
        </is>
      </c>
      <c r="K1" s="2" t="inlineStr">
        <is>
          <t>10月</t>
        </is>
      </c>
      <c r="L1" s="2" t="inlineStr">
        <is>
          <t>11月</t>
        </is>
      </c>
      <c r="M1" s="2" t="inlineStr">
        <is>
          <t>12月</t>
        </is>
      </c>
      <c r="N1" s="2" t="inlineStr">
        <is>
          <t>合计</t>
        </is>
      </c>
      <c r="O1" s="2" t="inlineStr">
        <is>
          <t>全零列</t>
        </is>
      </c>
    </row>
    <row r="2">
      <c r="A2" s="4" t="inlineStr">
        <is>
          <t>营业收入</t>
        </is>
      </c>
      <c r="B2" s="15" t="n">
        <v>1225781.6</v>
      </c>
      <c r="C2" s="15" t="n">
        <v>511754.56</v>
      </c>
      <c r="D2" s="15" t="n">
        <v>1130322.6</v>
      </c>
      <c r="E2" s="15" t="n">
        <v>976265.86</v>
      </c>
      <c r="F2" s="15" t="n">
        <v>1338088.55</v>
      </c>
      <c r="G2" s="15" t="n">
        <v>748016.71</v>
      </c>
      <c r="H2" s="15" t="n">
        <v>1005462.69</v>
      </c>
      <c r="I2" s="15" t="n">
        <v>562997.8100000001</v>
      </c>
      <c r="J2" s="15" t="n">
        <v>67310.53999999999</v>
      </c>
      <c r="K2" s="15" t="n">
        <v>106693.87</v>
      </c>
      <c r="L2" s="15" t="n">
        <v>525903.8100000001</v>
      </c>
      <c r="M2" s="15" t="n">
        <v>1246366.59</v>
      </c>
      <c r="N2" s="16" t="n">
        <v>3806613.98</v>
      </c>
      <c r="O2" s="15" t="n">
        <v>0</v>
      </c>
    </row>
    <row r="3">
      <c r="A3" s="4" t="inlineStr">
        <is>
          <t>营业成本</t>
        </is>
      </c>
      <c r="B3" s="15" t="n">
        <v>-612431.9</v>
      </c>
      <c r="C3" s="15" t="n">
        <v>-99729.11</v>
      </c>
      <c r="D3" s="15" t="n">
        <v>-270255.78</v>
      </c>
      <c r="E3" s="15" t="n">
        <v>-215626.09</v>
      </c>
      <c r="F3" s="15" t="n">
        <v>-156444.79</v>
      </c>
      <c r="G3" s="15" t="n">
        <v>-166546.99</v>
      </c>
      <c r="H3" s="15" t="n">
        <v>-150213.91</v>
      </c>
      <c r="I3" s="15" t="n">
        <v>-168380.94</v>
      </c>
      <c r="J3" s="15" t="n">
        <v>-157731.15</v>
      </c>
      <c r="K3" s="15" t="n">
        <v>-166912.48</v>
      </c>
      <c r="L3" s="15" t="n">
        <v>-734049.4399999999</v>
      </c>
      <c r="M3" s="15" t="n">
        <v>-439307.16</v>
      </c>
      <c r="N3" s="16" t="n">
        <v>1412302.07</v>
      </c>
      <c r="O3" s="15" t="n">
        <v>0</v>
      </c>
    </row>
    <row r="4">
      <c r="A4" s="6" t="inlineStr">
        <is>
          <t>毛利</t>
        </is>
      </c>
      <c r="B4" s="15" t="n">
        <v>638797.53</v>
      </c>
      <c r="C4" s="15" t="n">
        <v>69977.07000000001</v>
      </c>
      <c r="D4" s="15" t="n">
        <v>1023119.66</v>
      </c>
      <c r="E4" s="15" t="n">
        <v>670777.24</v>
      </c>
      <c r="F4" s="15" t="n">
        <v>1036770.75</v>
      </c>
      <c r="G4" s="15" t="n">
        <v>216141.8</v>
      </c>
      <c r="H4" s="15" t="n">
        <v>547750.76</v>
      </c>
      <c r="I4" s="15" t="n">
        <v>581749.87</v>
      </c>
      <c r="J4" s="15" t="n">
        <v>604489.72</v>
      </c>
      <c r="K4" s="15" t="n">
        <v>683252.48</v>
      </c>
      <c r="L4" s="15" t="n">
        <v>384888.89</v>
      </c>
      <c r="M4" s="15" t="n">
        <v>462572.47</v>
      </c>
      <c r="N4" s="16" t="n">
        <v>3596983.25</v>
      </c>
      <c r="O4" s="15" t="n">
        <v>0</v>
      </c>
    </row>
    <row r="5">
      <c r="A5" s="4" t="n"/>
    </row>
    <row r="6">
      <c r="A6" s="4" t="inlineStr">
        <is>
          <t>管理费用</t>
        </is>
      </c>
      <c r="B6" s="15" t="n">
        <v>-384326.03</v>
      </c>
      <c r="C6" s="15" t="n">
        <v>-14874.72</v>
      </c>
      <c r="D6" s="15" t="n">
        <v>-419563.72</v>
      </c>
      <c r="E6" s="15" t="n">
        <v>-371636.05</v>
      </c>
      <c r="F6" s="15" t="n">
        <v>-167550.1</v>
      </c>
      <c r="G6" s="15" t="n">
        <v>-111291.09</v>
      </c>
      <c r="H6" s="15" t="n">
        <v>-658060.75</v>
      </c>
      <c r="I6" s="15" t="n">
        <v>-777676.58</v>
      </c>
      <c r="J6" s="15" t="n">
        <v>-318826.67</v>
      </c>
      <c r="K6" s="15" t="n">
        <v>-133685.25</v>
      </c>
      <c r="L6" s="15" t="n">
        <v>-235085.39</v>
      </c>
      <c r="M6" s="15" t="n">
        <v>-769991.3</v>
      </c>
      <c r="N6" s="16" t="n">
        <v>4165866.93</v>
      </c>
      <c r="O6" s="15" t="n">
        <v>0</v>
      </c>
    </row>
    <row r="7">
      <c r="A7" s="4" t="inlineStr">
        <is>
          <t>销售费用</t>
        </is>
      </c>
      <c r="B7" s="15" t="n">
        <v>-1057446.44</v>
      </c>
      <c r="C7" s="15" t="n">
        <v>-210459.19</v>
      </c>
      <c r="D7" s="15" t="n">
        <v>-89857.61</v>
      </c>
      <c r="E7" s="15" t="n">
        <v>-94021</v>
      </c>
      <c r="F7" s="15" t="n">
        <v>-102255.01</v>
      </c>
      <c r="G7" s="15" t="n">
        <v>-866165.05</v>
      </c>
      <c r="H7" s="15" t="n">
        <v>-24238.47</v>
      </c>
      <c r="I7" s="15" t="n">
        <v>-293578.04</v>
      </c>
      <c r="J7" s="15" t="n">
        <v>-91138.71000000001</v>
      </c>
      <c r="K7" s="15" t="n">
        <v>-264175.89</v>
      </c>
      <c r="L7" s="15" t="n">
        <v>-92021.94</v>
      </c>
      <c r="M7" s="15" t="n">
        <v>-630422.47</v>
      </c>
      <c r="N7" s="16" t="n">
        <v>3245692.49</v>
      </c>
      <c r="O7" s="15" t="n">
        <v>0</v>
      </c>
    </row>
    <row r="8">
      <c r="A8" s="4" t="inlineStr">
        <is>
          <t>财务费用</t>
        </is>
      </c>
      <c r="B8" s="15" t="n">
        <v>-411357.9</v>
      </c>
      <c r="C8" s="15" t="n">
        <v>-214969.43</v>
      </c>
      <c r="D8" s="15" t="n">
        <v>-712797.13</v>
      </c>
      <c r="E8" s="15" t="n">
        <v>-105928.74</v>
      </c>
      <c r="F8" s="15" t="n">
        <v>-815204.45</v>
      </c>
      <c r="G8" s="15" t="n">
        <v>-45130.35</v>
      </c>
      <c r="H8" s="15" t="n">
        <v>-798694.64</v>
      </c>
      <c r="I8" s="15" t="n">
        <v>-628776.8199999999</v>
      </c>
      <c r="J8" s="15" t="n">
        <v>-499884.1</v>
      </c>
      <c r="K8" s="15" t="n">
        <v>-93277.02</v>
      </c>
      <c r="L8" s="15" t="n">
        <v>-283221.6</v>
      </c>
      <c r="M8" s="15" t="n">
        <v>-367738.02</v>
      </c>
      <c r="N8" s="16" t="n">
        <v>491915.97</v>
      </c>
      <c r="O8" s="15" t="n">
        <v>0</v>
      </c>
    </row>
    <row r="9">
      <c r="A9" s="4" t="n"/>
    </row>
    <row r="10">
      <c r="A10" s="6" t="inlineStr">
        <is>
          <t>营业利润</t>
        </is>
      </c>
      <c r="B10" s="15" t="n">
        <v>890346.91</v>
      </c>
      <c r="C10" s="15" t="n">
        <v>1420570.41</v>
      </c>
      <c r="D10" s="15" t="n">
        <v>355597.3</v>
      </c>
      <c r="E10" s="15" t="n">
        <v>771833.78</v>
      </c>
      <c r="F10" s="15" t="n">
        <v>70171.86</v>
      </c>
      <c r="G10" s="15" t="n">
        <v>905479.96</v>
      </c>
      <c r="H10" s="15" t="n">
        <v>1454477.99</v>
      </c>
      <c r="I10" s="15" t="n">
        <v>1336932.86</v>
      </c>
      <c r="J10" s="15" t="n">
        <v>1455968.09</v>
      </c>
      <c r="K10" s="15" t="n">
        <v>1440908.19</v>
      </c>
      <c r="L10" s="15" t="n">
        <v>1370994.22</v>
      </c>
      <c r="M10" s="15" t="n">
        <v>198838.56</v>
      </c>
      <c r="N10" s="16" t="n">
        <v>4493259.46</v>
      </c>
      <c r="O10" s="15" t="n">
        <v>0</v>
      </c>
    </row>
    <row r="11">
      <c r="A11" s="4" t="inlineStr">
        <is>
          <t>所得税</t>
        </is>
      </c>
      <c r="B11" s="15" t="n">
        <v>-206450.97</v>
      </c>
      <c r="C11" s="15" t="n">
        <v>-248632.45</v>
      </c>
      <c r="D11" s="15" t="n">
        <v>-501661.76</v>
      </c>
      <c r="E11" s="15" t="n">
        <v>-98896.92999999999</v>
      </c>
      <c r="F11" s="15" t="n">
        <v>-117622.06</v>
      </c>
      <c r="G11" s="15" t="n">
        <v>-512168.11</v>
      </c>
      <c r="H11" s="15" t="n">
        <v>-153630.5</v>
      </c>
      <c r="I11" s="15" t="n">
        <v>-94525.12</v>
      </c>
      <c r="J11" s="15" t="n">
        <v>-125058.59</v>
      </c>
      <c r="K11" s="15" t="n">
        <v>-285345.25</v>
      </c>
      <c r="L11" s="15" t="n">
        <v>-397744.81</v>
      </c>
      <c r="M11" s="15" t="n">
        <v>-179060.17</v>
      </c>
      <c r="N11" s="16" t="n">
        <v>4460301.38</v>
      </c>
      <c r="O11" s="15" t="n">
        <v>0</v>
      </c>
    </row>
    <row r="12">
      <c r="A12" s="6" t="inlineStr">
        <is>
          <t>净利润</t>
        </is>
      </c>
      <c r="B12" s="15" t="n">
        <v>564250.25</v>
      </c>
      <c r="C12" s="15" t="n">
        <v>772348.76</v>
      </c>
      <c r="D12" s="15" t="n">
        <v>1131129.09</v>
      </c>
      <c r="E12" s="15" t="n">
        <v>897323.11</v>
      </c>
      <c r="F12" s="15" t="n">
        <v>498164.9</v>
      </c>
      <c r="G12" s="15" t="n">
        <v>456141.96</v>
      </c>
      <c r="H12" s="15" t="n">
        <v>103830.94</v>
      </c>
      <c r="I12" s="15" t="n">
        <v>136894.31</v>
      </c>
      <c r="J12" s="15" t="n">
        <v>867900</v>
      </c>
      <c r="K12" s="15" t="n">
        <v>783137.08</v>
      </c>
      <c r="L12" s="15" t="n">
        <v>1186284.12</v>
      </c>
      <c r="M12" s="15" t="n">
        <v>223612.83</v>
      </c>
      <c r="N12" s="16" t="n">
        <v>4542779.75</v>
      </c>
      <c r="O12" s="15" t="n">
        <v>0</v>
      </c>
    </row>
    <row r="13">
      <c r="A13" s="4" t="n"/>
    </row>
    <row r="14">
      <c r="A14" s="4">
        <f>SUM模拟(None)</f>
        <v/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6" t="n"/>
      <c r="O14" s="15" t="n">
        <v>0</v>
      </c>
    </row>
    <row r="15">
      <c r="A15" s="4">
        <f>VLOOKUP模拟(None)</f>
        <v/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6" t="n"/>
      <c r="O15" s="15" t="n">
        <v>0</v>
      </c>
    </row>
    <row r="16">
      <c r="A16" s="4" t="inlineStr">
        <is>
          <t>正常数据</t>
        </is>
      </c>
      <c r="B16" s="15" t="n">
        <v>995442.0699999999</v>
      </c>
      <c r="C16" s="15" t="n">
        <v>179849.63</v>
      </c>
      <c r="D16" s="15" t="n">
        <v>538434.73</v>
      </c>
      <c r="E16" s="15" t="n">
        <v>769252.0699999999</v>
      </c>
      <c r="F16" s="15" t="n">
        <v>1402613.13</v>
      </c>
      <c r="G16" s="15" t="n">
        <v>103393.15</v>
      </c>
      <c r="H16" s="15" t="n">
        <v>452730.34</v>
      </c>
      <c r="I16" s="15" t="n">
        <v>604849.09</v>
      </c>
      <c r="J16" s="15" t="n">
        <v>1418422</v>
      </c>
      <c r="K16" s="15" t="n">
        <v>169604.72</v>
      </c>
      <c r="L16" s="15" t="n">
        <v>1259701.83</v>
      </c>
      <c r="M16" s="15" t="n">
        <v>1166496.27</v>
      </c>
      <c r="N16" s="16" t="n">
        <v>2377037.21</v>
      </c>
      <c r="O16" s="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6" t="inlineStr">
        <is>
          <t>区域/产品</t>
        </is>
      </c>
      <c r="B1" s="2" t="inlineStr">
        <is>
          <t>2024年</t>
        </is>
      </c>
      <c r="J1" s="2" t="inlineStr">
        <is>
          <t>2025年</t>
        </is>
      </c>
      <c r="R1" s="2" t="inlineStr">
        <is>
          <t>同比变化</t>
        </is>
      </c>
    </row>
    <row r="2">
      <c r="B2" s="2" t="inlineStr">
        <is>
          <t>上半年</t>
        </is>
      </c>
      <c r="F2" s="2" t="inlineStr">
        <is>
          <t>下半年</t>
        </is>
      </c>
      <c r="J2" s="2" t="inlineStr">
        <is>
          <t>上半年</t>
        </is>
      </c>
      <c r="N2" s="2" t="inlineStr">
        <is>
          <t>下半年</t>
        </is>
      </c>
    </row>
    <row r="3"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毛利率</t>
        </is>
      </c>
      <c r="F3" s="2" t="inlineStr">
        <is>
          <t>收入</t>
        </is>
      </c>
      <c r="G3" s="2" t="inlineStr">
        <is>
          <t>成本</t>
        </is>
      </c>
      <c r="H3" s="2" t="inlineStr">
        <is>
          <t>毛利</t>
        </is>
      </c>
      <c r="I3" s="2" t="inlineStr">
        <is>
          <t>毛利率</t>
        </is>
      </c>
      <c r="J3" s="2" t="inlineStr">
        <is>
          <t>收入</t>
        </is>
      </c>
      <c r="K3" s="2" t="inlineStr">
        <is>
          <t>成本</t>
        </is>
      </c>
      <c r="L3" s="2" t="inlineStr">
        <is>
          <t>毛利</t>
        </is>
      </c>
      <c r="M3" s="2" t="inlineStr">
        <is>
          <t>毛利率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毛利率</t>
        </is>
      </c>
      <c r="R3" s="2" t="inlineStr">
        <is>
          <t>收入增长率</t>
        </is>
      </c>
      <c r="S3" s="2" t="inlineStr">
        <is>
          <t>利润增长率</t>
        </is>
      </c>
    </row>
    <row r="4">
      <c r="A4" s="4" t="inlineStr">
        <is>
          <t>生鲜蔬果</t>
        </is>
      </c>
      <c r="B4" s="15" t="n">
        <v>1927351.53</v>
      </c>
      <c r="C4" s="15" t="n">
        <v>1159090.48</v>
      </c>
      <c r="D4" s="15" t="n">
        <v>612951.88</v>
      </c>
      <c r="E4" s="25" t="n">
        <v>0.4098</v>
      </c>
      <c r="F4" s="15" t="n">
        <v>412908.59</v>
      </c>
      <c r="G4" s="15" t="n">
        <v>293013.27</v>
      </c>
      <c r="H4" s="15" t="n">
        <v>176352.96</v>
      </c>
      <c r="I4" s="25" t="n">
        <v>0.2548</v>
      </c>
      <c r="J4" s="15" t="n">
        <v>2199288.44</v>
      </c>
      <c r="K4" s="15" t="n">
        <v>1530834</v>
      </c>
      <c r="L4" s="15" t="n">
        <v>786066.48</v>
      </c>
      <c r="M4" s="25" t="n">
        <v>0.2111</v>
      </c>
      <c r="N4" s="15" t="n">
        <v>493746.24</v>
      </c>
      <c r="O4" s="15" t="n">
        <v>330310.03</v>
      </c>
      <c r="P4" s="15" t="n">
        <v>174281.93</v>
      </c>
      <c r="Q4" s="25" t="n">
        <v>0.3071</v>
      </c>
      <c r="R4" s="27" t="n">
        <v>0.1507</v>
      </c>
      <c r="S4" s="27" t="n">
        <v>-0.2833</v>
      </c>
    </row>
    <row r="5">
      <c r="A5" s="4" t="inlineStr">
        <is>
          <t>肉禽蛋奶</t>
        </is>
      </c>
      <c r="B5" s="15" t="n">
        <v>574633.24</v>
      </c>
      <c r="C5" s="15" t="n">
        <v>403725.77</v>
      </c>
      <c r="D5" s="15" t="n">
        <v>227524.8</v>
      </c>
      <c r="E5" s="25" t="n">
        <v>0.3992</v>
      </c>
      <c r="F5" s="15" t="n">
        <v>962538.41</v>
      </c>
      <c r="G5" s="15" t="n">
        <v>613200.6</v>
      </c>
      <c r="H5" s="15" t="n">
        <v>409276.3</v>
      </c>
      <c r="I5" s="25" t="n">
        <v>0.2881</v>
      </c>
      <c r="J5" s="15" t="n">
        <v>694373.0699999999</v>
      </c>
      <c r="K5" s="15" t="n">
        <v>421125.45</v>
      </c>
      <c r="L5" s="15" t="n">
        <v>267257.25</v>
      </c>
      <c r="M5" s="25" t="n">
        <v>0.2854</v>
      </c>
      <c r="N5" s="15" t="n">
        <v>905420.38</v>
      </c>
      <c r="O5" s="15" t="n">
        <v>513611.17</v>
      </c>
      <c r="P5" s="15" t="n">
        <v>371682.84</v>
      </c>
      <c r="Q5" s="25" t="n">
        <v>0.4043</v>
      </c>
      <c r="R5" s="27" t="n">
        <v>0.0407</v>
      </c>
      <c r="S5" s="27" t="n">
        <v>0.0442</v>
      </c>
    </row>
    <row r="6">
      <c r="A6" s="4" t="inlineStr">
        <is>
          <t>粮油调味</t>
        </is>
      </c>
      <c r="B6" s="15" t="n">
        <v>504033.6</v>
      </c>
      <c r="C6" s="15" t="n">
        <v>317739.06</v>
      </c>
      <c r="D6" s="15" t="n">
        <v>172261.82</v>
      </c>
      <c r="E6" s="25" t="n">
        <v>0.3597</v>
      </c>
      <c r="F6" s="15" t="n">
        <v>1863157.13</v>
      </c>
      <c r="G6" s="15" t="n">
        <v>1214984.77</v>
      </c>
      <c r="H6" s="15" t="n">
        <v>736368</v>
      </c>
      <c r="I6" s="25" t="n">
        <v>0.4192</v>
      </c>
      <c r="J6" s="15" t="n">
        <v>571325.42</v>
      </c>
      <c r="K6" s="15" t="n">
        <v>419656.89</v>
      </c>
      <c r="L6" s="15" t="n">
        <v>177439.53</v>
      </c>
      <c r="M6" s="25" t="n">
        <v>0.3097</v>
      </c>
      <c r="N6" s="15" t="n">
        <v>1827783.04</v>
      </c>
      <c r="O6" s="15" t="n">
        <v>1177389.49</v>
      </c>
      <c r="P6" s="15" t="n">
        <v>767194.75</v>
      </c>
      <c r="Q6" s="25" t="n">
        <v>0.247</v>
      </c>
      <c r="R6" s="27" t="n">
        <v>0.0135</v>
      </c>
      <c r="S6" s="27" t="n">
        <v>-0.0545</v>
      </c>
    </row>
    <row r="7">
      <c r="A7" s="4" t="inlineStr">
        <is>
          <t>酒水饮料</t>
        </is>
      </c>
      <c r="B7" s="15" t="n">
        <v>1536459.44</v>
      </c>
      <c r="C7" s="15" t="n">
        <v>1116111.3</v>
      </c>
      <c r="D7" s="15" t="n">
        <v>588235.61</v>
      </c>
      <c r="E7" s="25" t="n">
        <v>0.3267</v>
      </c>
      <c r="F7" s="15" t="n">
        <v>2003169.89</v>
      </c>
      <c r="G7" s="15" t="n">
        <v>1305544.99</v>
      </c>
      <c r="H7" s="15" t="n">
        <v>851899.63</v>
      </c>
      <c r="I7" s="25" t="n">
        <v>0.3586</v>
      </c>
      <c r="J7" s="15" t="n">
        <v>1350822.37</v>
      </c>
      <c r="K7" s="15" t="n">
        <v>822082.6</v>
      </c>
      <c r="L7" s="15" t="n">
        <v>503909.83</v>
      </c>
      <c r="M7" s="25" t="n">
        <v>0.4424</v>
      </c>
      <c r="N7" s="15" t="n">
        <v>2052072.59</v>
      </c>
      <c r="O7" s="15" t="n">
        <v>1391373.03</v>
      </c>
      <c r="P7" s="15" t="n">
        <v>735543.0699999999</v>
      </c>
      <c r="Q7" s="25" t="n">
        <v>0.2736</v>
      </c>
      <c r="R7" s="27" t="n">
        <v>-0.0386</v>
      </c>
      <c r="S7" s="27" t="n">
        <v>0.2488</v>
      </c>
    </row>
    <row r="8">
      <c r="A8" s="4" t="inlineStr">
        <is>
          <t>休闲零食</t>
        </is>
      </c>
      <c r="B8" s="15" t="n">
        <v>2078394.05</v>
      </c>
      <c r="C8" s="15" t="n">
        <v>1145019.27</v>
      </c>
      <c r="D8" s="15" t="n">
        <v>649812.02</v>
      </c>
      <c r="E8" s="25" t="n">
        <v>0.2575</v>
      </c>
      <c r="F8" s="15" t="n">
        <v>351966.72</v>
      </c>
      <c r="G8" s="15" t="n">
        <v>239276.49</v>
      </c>
      <c r="H8" s="15" t="n">
        <v>95202.46000000001</v>
      </c>
      <c r="I8" s="25" t="n">
        <v>0.3615</v>
      </c>
      <c r="J8" s="15" t="n">
        <v>1825851.61</v>
      </c>
      <c r="K8" s="15" t="n">
        <v>1080625.66</v>
      </c>
      <c r="L8" s="15" t="n">
        <v>753446.6</v>
      </c>
      <c r="M8" s="25" t="n">
        <v>0.2478</v>
      </c>
      <c r="N8" s="15" t="n">
        <v>353527.61</v>
      </c>
      <c r="O8" s="15" t="n">
        <v>222498.43</v>
      </c>
      <c r="P8" s="15" t="n">
        <v>95315.17999999999</v>
      </c>
      <c r="Q8" s="25" t="n">
        <v>0.3778</v>
      </c>
      <c r="R8" s="27" t="n">
        <v>-0.1033</v>
      </c>
      <c r="S8" s="27" t="n">
        <v>-0.1349</v>
      </c>
    </row>
    <row r="9">
      <c r="A9" s="4" t="inlineStr">
        <is>
          <t>日用百货</t>
        </is>
      </c>
      <c r="B9" s="15" t="n">
        <v>417717.2</v>
      </c>
      <c r="C9" s="15" t="n">
        <v>253098.83</v>
      </c>
      <c r="D9" s="15" t="n">
        <v>119650.54</v>
      </c>
      <c r="E9" s="25" t="n">
        <v>0.2394</v>
      </c>
      <c r="F9" s="15" t="n">
        <v>291353.91</v>
      </c>
      <c r="G9" s="15" t="n">
        <v>184915.02</v>
      </c>
      <c r="H9" s="15" t="n">
        <v>99774.39999999999</v>
      </c>
      <c r="I9" s="25" t="n">
        <v>0.4172</v>
      </c>
      <c r="J9" s="15" t="n">
        <v>375883.99</v>
      </c>
      <c r="K9" s="15" t="n">
        <v>272238.04</v>
      </c>
      <c r="L9" s="15" t="n">
        <v>152452.42</v>
      </c>
      <c r="M9" s="25" t="n">
        <v>0.3321</v>
      </c>
      <c r="N9" s="15" t="n">
        <v>362303.99</v>
      </c>
      <c r="O9" s="15" t="n">
        <v>249491.46</v>
      </c>
      <c r="P9" s="15" t="n">
        <v>96775.05</v>
      </c>
      <c r="Q9" s="25" t="n">
        <v>0.3611</v>
      </c>
      <c r="R9" s="27" t="n">
        <v>0.0411</v>
      </c>
      <c r="S9" s="27" t="n">
        <v>-0.0077</v>
      </c>
    </row>
    <row r="10">
      <c r="A10" s="4" t="inlineStr">
        <is>
          <t>上海直营</t>
        </is>
      </c>
      <c r="B10" s="15" t="n">
        <v>583424.41</v>
      </c>
      <c r="C10" s="15" t="n">
        <v>379238.48</v>
      </c>
      <c r="D10" s="15" t="n">
        <v>163821.85</v>
      </c>
      <c r="E10" s="25" t="n">
        <v>0.2589</v>
      </c>
      <c r="F10" s="15" t="n">
        <v>1922455.03</v>
      </c>
      <c r="G10" s="15" t="n">
        <v>1203478.36</v>
      </c>
      <c r="H10" s="15" t="n">
        <v>842187.3199999999</v>
      </c>
      <c r="I10" s="25" t="n">
        <v>0.2993</v>
      </c>
      <c r="J10" s="15" t="n">
        <v>608128.71</v>
      </c>
      <c r="K10" s="15" t="n">
        <v>450085.12</v>
      </c>
      <c r="L10" s="15" t="n">
        <v>223742.96</v>
      </c>
      <c r="M10" s="25" t="n">
        <v>0.4472</v>
      </c>
      <c r="N10" s="15" t="n">
        <v>2310279.05</v>
      </c>
      <c r="O10" s="15" t="n">
        <v>1351323.46</v>
      </c>
      <c r="P10" s="15" t="n">
        <v>973296.75</v>
      </c>
      <c r="Q10" s="25" t="n">
        <v>0.4157</v>
      </c>
      <c r="R10" s="27" t="n">
        <v>0.1646</v>
      </c>
      <c r="S10" s="27" t="n">
        <v>0.0956</v>
      </c>
    </row>
    <row r="11">
      <c r="A11" s="4" t="inlineStr">
        <is>
          <t>江苏加盟</t>
        </is>
      </c>
      <c r="B11" s="15" t="n">
        <v>1434773.96</v>
      </c>
      <c r="C11" s="15" t="n">
        <v>806442.11</v>
      </c>
      <c r="D11" s="15" t="n">
        <v>562692.35</v>
      </c>
      <c r="E11" s="25" t="n">
        <v>0.2193</v>
      </c>
      <c r="F11" s="15" t="n">
        <v>412863.89</v>
      </c>
      <c r="G11" s="15" t="n">
        <v>298620.15</v>
      </c>
      <c r="H11" s="15" t="n">
        <v>116068.26</v>
      </c>
      <c r="I11" s="25" t="n">
        <v>0.4225</v>
      </c>
      <c r="J11" s="15" t="n">
        <v>1835282.04</v>
      </c>
      <c r="K11" s="15" t="n">
        <v>1191619.04</v>
      </c>
      <c r="L11" s="15" t="n">
        <v>586699.05</v>
      </c>
      <c r="M11" s="25" t="n">
        <v>0.2987</v>
      </c>
      <c r="N11" s="15" t="n">
        <v>490554.41</v>
      </c>
      <c r="O11" s="15" t="n">
        <v>339375.04</v>
      </c>
      <c r="P11" s="15" t="n">
        <v>133992.5</v>
      </c>
      <c r="Q11" s="25" t="n">
        <v>0.2161</v>
      </c>
      <c r="R11" s="27" t="n">
        <v>0.2588</v>
      </c>
      <c r="S11" s="27" t="n">
        <v>0.1515</v>
      </c>
    </row>
    <row r="12">
      <c r="A12" s="4" t="inlineStr">
        <is>
          <t>浙江加盟</t>
        </is>
      </c>
      <c r="B12" s="15" t="n">
        <v>1382542.11</v>
      </c>
      <c r="C12" s="15" t="n">
        <v>1024136.91</v>
      </c>
      <c r="D12" s="15" t="n">
        <v>491896.23</v>
      </c>
      <c r="E12" s="25" t="n">
        <v>0.249</v>
      </c>
      <c r="F12" s="15" t="n">
        <v>1227989.29</v>
      </c>
      <c r="G12" s="15" t="n">
        <v>804444.58</v>
      </c>
      <c r="H12" s="15" t="n">
        <v>313465.9</v>
      </c>
      <c r="I12" s="25" t="n">
        <v>0.2207</v>
      </c>
      <c r="J12" s="15" t="n">
        <v>1254258.66</v>
      </c>
      <c r="K12" s="15" t="n">
        <v>760224.61</v>
      </c>
      <c r="L12" s="15" t="n">
        <v>514827.23</v>
      </c>
      <c r="M12" s="25" t="n">
        <v>0.2045</v>
      </c>
      <c r="N12" s="15" t="n">
        <v>1479434.75</v>
      </c>
      <c r="O12" s="15" t="n">
        <v>996878.91</v>
      </c>
      <c r="P12" s="15" t="n">
        <v>487393.3</v>
      </c>
      <c r="Q12" s="25" t="n">
        <v>0.4385</v>
      </c>
      <c r="R12" s="27" t="n">
        <v>0.0472</v>
      </c>
      <c r="S12" s="27" t="n">
        <v>-0.2791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产品月度销售汇总（含公式）</t>
        </is>
      </c>
    </row>
    <row r="2">
      <c r="A2" s="2" t="inlineStr">
        <is>
          <t>产品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合计</t>
        </is>
      </c>
    </row>
    <row r="3">
      <c r="A3" s="4" t="inlineStr">
        <is>
          <t>生鲜蔬果</t>
        </is>
      </c>
      <c r="B3" s="15" t="n">
        <v>73422.09</v>
      </c>
      <c r="C3" s="15" t="n">
        <v>430483.56</v>
      </c>
      <c r="D3" s="15" t="n">
        <v>382519.18</v>
      </c>
      <c r="E3" s="15" t="n">
        <v>226018.43</v>
      </c>
      <c r="F3" s="15" t="n">
        <v>229011.81</v>
      </c>
      <c r="G3" s="15" t="n">
        <v>67803.28999999999</v>
      </c>
      <c r="H3" s="15" t="n">
        <v>53272.39</v>
      </c>
      <c r="I3" s="15" t="n">
        <v>129772.1</v>
      </c>
      <c r="J3" s="15" t="n">
        <v>343387.29</v>
      </c>
      <c r="K3" s="15" t="n">
        <v>178045.37</v>
      </c>
      <c r="L3" s="15" t="n">
        <v>178437.39</v>
      </c>
      <c r="M3" s="15" t="n">
        <v>421396.15</v>
      </c>
      <c r="N3" s="15">
        <f>SUM(B3:M3)</f>
        <v/>
      </c>
    </row>
    <row r="4">
      <c r="A4" s="4" t="inlineStr">
        <is>
          <t>肉禽蛋奶</t>
        </is>
      </c>
      <c r="B4" s="15" t="n">
        <v>451765.66</v>
      </c>
      <c r="C4" s="15" t="n">
        <v>251997.79</v>
      </c>
      <c r="D4" s="15" t="n">
        <v>285546.04</v>
      </c>
      <c r="E4" s="15" t="n">
        <v>290417.49</v>
      </c>
      <c r="F4" s="15" t="n">
        <v>288342.47</v>
      </c>
      <c r="G4" s="15" t="n">
        <v>127302.65</v>
      </c>
      <c r="H4" s="15" t="n">
        <v>153966.43</v>
      </c>
      <c r="I4" s="15" t="n">
        <v>257830.8</v>
      </c>
      <c r="J4" s="15" t="n">
        <v>289827.25</v>
      </c>
      <c r="K4" s="15" t="n">
        <v>450391.09</v>
      </c>
      <c r="L4" s="15" t="n">
        <v>472678.27</v>
      </c>
      <c r="M4" s="15" t="n">
        <v>118704.26</v>
      </c>
      <c r="N4" s="15">
        <f>SUM(B4:M4)</f>
        <v/>
      </c>
    </row>
    <row r="5">
      <c r="A5" s="4" t="inlineStr">
        <is>
          <t>粮油调味</t>
        </is>
      </c>
      <c r="B5" s="15" t="n">
        <v>403101.58</v>
      </c>
      <c r="C5" s="15" t="n">
        <v>143245.89</v>
      </c>
      <c r="D5" s="15" t="n">
        <v>110832.8</v>
      </c>
      <c r="E5" s="15" t="n">
        <v>254081.25</v>
      </c>
      <c r="F5" s="15" t="n">
        <v>355550.69</v>
      </c>
      <c r="G5" s="15" t="n">
        <v>483831.91</v>
      </c>
      <c r="H5" s="15" t="n">
        <v>197588.2</v>
      </c>
      <c r="I5" s="15" t="n">
        <v>66727.69</v>
      </c>
      <c r="J5" s="15" t="n">
        <v>183521.76</v>
      </c>
      <c r="K5" s="15" t="n">
        <v>351844.97</v>
      </c>
      <c r="L5" s="15" t="n">
        <v>354187.37</v>
      </c>
      <c r="M5" s="15" t="n">
        <v>297800.38</v>
      </c>
      <c r="N5" s="15">
        <f>SUM(B5:M5)</f>
        <v/>
      </c>
    </row>
    <row r="6">
      <c r="A6" s="4" t="inlineStr">
        <is>
          <t>酒水饮料</t>
        </is>
      </c>
      <c r="B6" s="15" t="n">
        <v>477826.28</v>
      </c>
      <c r="C6" s="15" t="n">
        <v>451813.15</v>
      </c>
      <c r="D6" s="15" t="n">
        <v>270186.3</v>
      </c>
      <c r="E6" s="15" t="n">
        <v>447500.75</v>
      </c>
      <c r="F6" s="15" t="n">
        <v>181238.48</v>
      </c>
      <c r="G6" s="15" t="n">
        <v>338397.76</v>
      </c>
      <c r="H6" s="15" t="n">
        <v>277636.98</v>
      </c>
      <c r="I6" s="15" t="n">
        <v>230818.28</v>
      </c>
      <c r="J6" s="15" t="n">
        <v>190078.74</v>
      </c>
      <c r="K6" s="15" t="n">
        <v>320069.3</v>
      </c>
      <c r="L6" s="15" t="n">
        <v>254534.79</v>
      </c>
      <c r="M6" s="15" t="n">
        <v>73450.42999999999</v>
      </c>
      <c r="N6" s="15">
        <f>SUM(B6:M6)</f>
        <v/>
      </c>
    </row>
    <row r="7">
      <c r="A7" s="4" t="inlineStr">
        <is>
          <t>休闲零食</t>
        </is>
      </c>
      <c r="B7" s="15" t="n">
        <v>263998.38</v>
      </c>
      <c r="C7" s="15" t="n">
        <v>333128.37</v>
      </c>
      <c r="D7" s="15" t="n">
        <v>423575.11</v>
      </c>
      <c r="E7" s="15" t="n">
        <v>128164.83</v>
      </c>
      <c r="F7" s="15" t="n">
        <v>492050.2</v>
      </c>
      <c r="G7" s="15" t="n">
        <v>389084.52</v>
      </c>
      <c r="H7" s="15" t="n">
        <v>147508.31</v>
      </c>
      <c r="I7" s="15" t="n">
        <v>234990.93</v>
      </c>
      <c r="J7" s="15" t="n">
        <v>319393.9</v>
      </c>
      <c r="K7" s="15" t="n">
        <v>285458.38</v>
      </c>
      <c r="L7" s="15" t="n">
        <v>265118.4</v>
      </c>
      <c r="M7" s="15" t="n">
        <v>207673.86</v>
      </c>
      <c r="N7" s="15">
        <f>SUM(B7:M7)</f>
        <v/>
      </c>
    </row>
    <row r="8">
      <c r="A8" s="4" t="inlineStr">
        <is>
          <t>日用百货</t>
        </is>
      </c>
      <c r="B8" s="15" t="n">
        <v>490131.42</v>
      </c>
      <c r="C8" s="15" t="n">
        <v>342305.34</v>
      </c>
      <c r="D8" s="15" t="n">
        <v>341745.78</v>
      </c>
      <c r="E8" s="15" t="n">
        <v>176064.23</v>
      </c>
      <c r="F8" s="15" t="n">
        <v>463151.21</v>
      </c>
      <c r="G8" s="15" t="n">
        <v>294869.56</v>
      </c>
      <c r="H8" s="15" t="n">
        <v>292848.13</v>
      </c>
      <c r="I8" s="15" t="n">
        <v>212391.6</v>
      </c>
      <c r="J8" s="15" t="n">
        <v>56124.93</v>
      </c>
      <c r="K8" s="15" t="n">
        <v>383757.75</v>
      </c>
      <c r="L8" s="15" t="n">
        <v>386454.66</v>
      </c>
      <c r="M8" s="15" t="n">
        <v>486187.83</v>
      </c>
      <c r="N8" s="15">
        <f>SUM(B8:M8)</f>
        <v/>
      </c>
    </row>
    <row r="9">
      <c r="A9" s="6" t="inlineStr">
        <is>
          <t>月度合计</t>
        </is>
      </c>
      <c r="B9" s="15">
        <f>SUM(B3:B8)</f>
        <v/>
      </c>
      <c r="C9" s="15">
        <f>SUM(C3:C8)</f>
        <v/>
      </c>
      <c r="D9" s="15">
        <f>SUM(D3:D8)</f>
        <v/>
      </c>
      <c r="E9" s="15">
        <f>SUM(E3:E8)</f>
        <v/>
      </c>
      <c r="F9" s="15">
        <f>SUM(F3:F8)</f>
        <v/>
      </c>
      <c r="G9" s="15">
        <f>SUM(G3:G8)</f>
        <v/>
      </c>
      <c r="H9" s="15">
        <f>SUM(H3:H8)</f>
        <v/>
      </c>
      <c r="I9" s="15">
        <f>SUM(I3:I8)</f>
        <v/>
      </c>
      <c r="J9" s="15">
        <f>SUM(J3:J8)</f>
        <v/>
      </c>
      <c r="K9" s="15">
        <f>SUM(K3:K8)</f>
        <v/>
      </c>
      <c r="L9" s="15">
        <f>SUM(L3:L8)</f>
        <v/>
      </c>
      <c r="M9" s="15">
        <f>SUM(M3:M8)</f>
        <v/>
      </c>
      <c r="N9" s="15">
        <f>SUM(N3:N8)</f>
        <v/>
      </c>
    </row>
    <row r="10">
      <c r="A10" s="6" t="inlineStr">
        <is>
          <t>月度平均</t>
        </is>
      </c>
      <c r="B10" s="15">
        <f>AVERAGE(B3:B8)</f>
        <v/>
      </c>
      <c r="C10" s="15">
        <f>AVERAGE(C3:C8)</f>
        <v/>
      </c>
      <c r="D10" s="15">
        <f>AVERAGE(D3:D8)</f>
        <v/>
      </c>
      <c r="E10" s="15">
        <f>AVERAGE(E3:E8)</f>
        <v/>
      </c>
      <c r="F10" s="15">
        <f>AVERAGE(F3:F8)</f>
        <v/>
      </c>
      <c r="G10" s="15">
        <f>AVERAGE(G3:G8)</f>
        <v/>
      </c>
      <c r="H10" s="15">
        <f>AVERAGE(H3:H8)</f>
        <v/>
      </c>
      <c r="I10" s="15">
        <f>AVERAGE(I3:I8)</f>
        <v/>
      </c>
      <c r="J10" s="15">
        <f>AVERAGE(J3:J8)</f>
        <v/>
      </c>
      <c r="K10" s="15">
        <f>AVERAGE(K3:K8)</f>
        <v/>
      </c>
      <c r="L10" s="15">
        <f>AVERAGE(L3:L8)</f>
        <v/>
      </c>
      <c r="M10" s="15">
        <f>AVERAGE(M3:M8)</f>
        <v/>
      </c>
      <c r="N10" s="15">
        <f>AVERAGE(N3:N8)</f>
        <v/>
      </c>
    </row>
    <row r="11">
      <c r="A11" s="6" t="inlineStr">
        <is>
          <t>达标状态</t>
        </is>
      </c>
      <c r="B11" s="4">
        <f>IF(B9&gt;1000000,"达标","未达标")</f>
        <v/>
      </c>
      <c r="C11" s="4">
        <f>IF(C9&gt;1000000,"达标","未达标")</f>
        <v/>
      </c>
      <c r="D11" s="4">
        <f>IF(D9&gt;1000000,"达标","未达标")</f>
        <v/>
      </c>
      <c r="E11" s="4">
        <f>IF(E9&gt;1000000,"达标","未达标")</f>
        <v/>
      </c>
      <c r="F11" s="4">
        <f>IF(F9&gt;1000000,"达标","未达标")</f>
        <v/>
      </c>
      <c r="G11" s="4">
        <f>IF(G9&gt;1000000,"达标","未达标")</f>
        <v/>
      </c>
      <c r="H11" s="4">
        <f>IF(H9&gt;1000000,"达标","未达标")</f>
        <v/>
      </c>
      <c r="I11" s="4">
        <f>IF(I9&gt;1000000,"达标","未达标")</f>
        <v/>
      </c>
      <c r="J11" s="4">
        <f>IF(J9&gt;1000000,"达标","未达标")</f>
        <v/>
      </c>
      <c r="K11" s="4">
        <f>IF(K9&gt;1000000,"达标","未达标")</f>
        <v/>
      </c>
      <c r="L11" s="4">
        <f>IF(L9&gt;1000000,"达标","未达标")</f>
        <v/>
      </c>
      <c r="M11" s="4">
        <f>IF(M9&gt;1000000,"达标","未达标")</f>
        <v/>
      </c>
    </row>
    <row r="12">
      <c r="A12" s="6" t="inlineStr">
        <is>
          <t>占年度比例</t>
        </is>
      </c>
      <c r="B12" s="25">
        <f>B9/N9</f>
        <v/>
      </c>
      <c r="C12" s="25">
        <f>C9/N9</f>
        <v/>
      </c>
      <c r="D12" s="25">
        <f>D9/N9</f>
        <v/>
      </c>
      <c r="E12" s="25">
        <f>E9/N9</f>
        <v/>
      </c>
      <c r="F12" s="25">
        <f>F9/N9</f>
        <v/>
      </c>
      <c r="G12" s="25">
        <f>G9/N9</f>
        <v/>
      </c>
      <c r="H12" s="25">
        <f>H9/N9</f>
        <v/>
      </c>
      <c r="I12" s="25">
        <f>I9/N9</f>
        <v/>
      </c>
      <c r="J12" s="25">
        <f>J9/N9</f>
        <v/>
      </c>
      <c r="K12" s="25">
        <f>K9/N9</f>
        <v/>
      </c>
      <c r="L12" s="25">
        <f>L9/N9</f>
        <v/>
      </c>
      <c r="M12" s="25">
        <f>M9/N9</f>
        <v/>
      </c>
    </row>
  </sheetData>
  <mergeCells count="1"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  <c r="H1" s="2" t="inlineStr">
        <is>
          <t>Q1</t>
        </is>
      </c>
      <c r="I1" s="2" t="inlineStr">
        <is>
          <t>Q2</t>
        </is>
      </c>
      <c r="J1" s="2" t="inlineStr">
        <is>
          <t>Q3</t>
        </is>
      </c>
      <c r="K1" s="2" t="inlineStr">
        <is>
          <t>Q4</t>
        </is>
      </c>
    </row>
    <row r="2">
      <c r="A2" s="4" t="inlineStr">
        <is>
          <t>营业收入(万元)</t>
        </is>
      </c>
      <c r="B2" s="7" t="n">
        <v>12319.5</v>
      </c>
      <c r="C2" s="7" t="n">
        <v>8379.5</v>
      </c>
      <c r="D2" s="7" t="n">
        <v>9318</v>
      </c>
      <c r="E2" s="7" t="n">
        <v>11106.6</v>
      </c>
      <c r="F2" s="7" t="n">
        <v>9013.700000000001</v>
      </c>
      <c r="G2" s="7" t="n">
        <v>12411</v>
      </c>
      <c r="H2" s="7" t="n">
        <v>2902.62</v>
      </c>
      <c r="I2" s="7" t="n">
        <v>3595.65</v>
      </c>
      <c r="J2" s="7" t="n">
        <v>2644.22</v>
      </c>
      <c r="K2" s="7" t="n">
        <v>3971.1</v>
      </c>
    </row>
    <row r="3">
      <c r="A3" s="4" t="inlineStr">
        <is>
          <t>营业成本(万元)</t>
        </is>
      </c>
      <c r="B3" s="7" t="n">
        <v>5389</v>
      </c>
      <c r="C3" s="7" t="n">
        <v>6135.1</v>
      </c>
      <c r="D3" s="7" t="n">
        <v>6812.8</v>
      </c>
      <c r="E3" s="7" t="n">
        <v>7937.8</v>
      </c>
      <c r="F3" s="7" t="n">
        <v>7501.6</v>
      </c>
      <c r="G3" s="7" t="n">
        <v>6413.8</v>
      </c>
      <c r="H3" s="7" t="n">
        <v>1512.34</v>
      </c>
      <c r="I3" s="7" t="n">
        <v>1457.97</v>
      </c>
      <c r="J3" s="7" t="n">
        <v>1388.04</v>
      </c>
      <c r="K3" s="7" t="n">
        <v>1910.18</v>
      </c>
    </row>
    <row r="4">
      <c r="A4" s="4" t="inlineStr">
        <is>
          <t>毛利(万元)</t>
        </is>
      </c>
      <c r="B4" s="7" t="n">
        <v>2628.4</v>
      </c>
      <c r="C4" s="7" t="n">
        <v>2330</v>
      </c>
      <c r="D4" s="7" t="n">
        <v>4272.1</v>
      </c>
      <c r="E4" s="7" t="n">
        <v>4020</v>
      </c>
      <c r="F4" s="7" t="n">
        <v>3742.1</v>
      </c>
      <c r="G4" s="7" t="n">
        <v>2793.9</v>
      </c>
      <c r="H4" s="7" t="n">
        <v>570.5700000000001</v>
      </c>
      <c r="I4" s="7" t="n">
        <v>854.04</v>
      </c>
      <c r="J4" s="7" t="n">
        <v>896.6799999999999</v>
      </c>
      <c r="K4" s="7" t="n">
        <v>966.4</v>
      </c>
    </row>
    <row r="5">
      <c r="A5" s="4" t="inlineStr">
        <is>
          <t>毛利率</t>
        </is>
      </c>
      <c r="B5" s="25" t="n">
        <v>0.2289</v>
      </c>
      <c r="C5" s="25" t="n">
        <v>0.2208</v>
      </c>
      <c r="D5" s="25" t="n">
        <v>0.3014</v>
      </c>
      <c r="E5" s="25" t="n">
        <v>0.2227</v>
      </c>
      <c r="F5" s="25" t="n">
        <v>0.3545</v>
      </c>
      <c r="G5" s="25" t="n">
        <v>0.25</v>
      </c>
      <c r="H5" s="25" t="n">
        <v>0.08</v>
      </c>
      <c r="I5" s="25" t="n">
        <v>0.06</v>
      </c>
      <c r="J5" s="25" t="n">
        <v>0.09</v>
      </c>
      <c r="K5" s="25" t="n">
        <v>0.05</v>
      </c>
    </row>
    <row r="6">
      <c r="A6" s="4" t="inlineStr">
        <is>
          <t>净利润(万元)</t>
        </is>
      </c>
      <c r="B6" s="7" t="n">
        <v>1866.2</v>
      </c>
      <c r="C6" s="7" t="n">
        <v>655</v>
      </c>
      <c r="D6" s="7" t="n">
        <v>615.5</v>
      </c>
      <c r="E6" s="7" t="n">
        <v>1743.7</v>
      </c>
      <c r="F6" s="7" t="n">
        <v>1039.1</v>
      </c>
      <c r="G6" s="7" t="n">
        <v>1976.6</v>
      </c>
      <c r="H6" s="7" t="n">
        <v>518.13</v>
      </c>
      <c r="I6" s="7" t="n">
        <v>615.46</v>
      </c>
      <c r="J6" s="7" t="n">
        <v>401.75</v>
      </c>
      <c r="K6" s="7" t="n">
        <v>482.74</v>
      </c>
    </row>
    <row r="7">
      <c r="A7" s="4" t="inlineStr">
        <is>
          <t>净利率</t>
        </is>
      </c>
      <c r="B7" s="25" t="n">
        <v>0.1271</v>
      </c>
      <c r="C7" s="25" t="n">
        <v>0.076</v>
      </c>
      <c r="D7" s="25" t="n">
        <v>0.1124</v>
      </c>
      <c r="E7" s="25" t="n">
        <v>0.0548</v>
      </c>
      <c r="F7" s="25" t="n">
        <v>0.1488</v>
      </c>
      <c r="G7" s="25" t="n">
        <v>0.1192</v>
      </c>
      <c r="H7" s="25" t="n">
        <v>0.03</v>
      </c>
      <c r="I7" s="25" t="n">
        <v>0.03</v>
      </c>
      <c r="J7" s="25" t="n">
        <v>0.04</v>
      </c>
      <c r="K7" s="25" t="n">
        <v>0.03</v>
      </c>
    </row>
    <row r="8">
      <c r="A8" s="4" t="inlineStr">
        <is>
          <t>员工数</t>
        </is>
      </c>
      <c r="B8" s="7" t="n">
        <v>333</v>
      </c>
      <c r="C8" s="7" t="n">
        <v>595</v>
      </c>
      <c r="D8" s="7" t="n">
        <v>608</v>
      </c>
      <c r="E8" s="7" t="n">
        <v>432</v>
      </c>
      <c r="F8" s="7" t="n">
        <v>436</v>
      </c>
      <c r="G8" s="7" t="n">
        <v>319</v>
      </c>
      <c r="H8" s="7" t="n">
        <v>77.56</v>
      </c>
      <c r="I8" s="7" t="n">
        <v>95.59</v>
      </c>
      <c r="J8" s="7" t="n">
        <v>91.55</v>
      </c>
      <c r="K8" s="7" t="n">
        <v>81.37</v>
      </c>
    </row>
    <row r="9">
      <c r="A9" s="4" t="inlineStr">
        <is>
          <t>人均产值(万元)</t>
        </is>
      </c>
      <c r="B9" s="7" t="n">
        <v>24.5</v>
      </c>
      <c r="C9" s="7" t="n">
        <v>22.3</v>
      </c>
      <c r="D9" s="7" t="n">
        <v>37.6</v>
      </c>
      <c r="E9" s="7" t="n">
        <v>38.8</v>
      </c>
      <c r="F9" s="7" t="n">
        <v>19.8</v>
      </c>
      <c r="G9" s="7" t="n">
        <v>15.2</v>
      </c>
      <c r="H9" s="7" t="n">
        <v>3.23</v>
      </c>
      <c r="I9" s="7" t="n">
        <v>3.81</v>
      </c>
      <c r="J9" s="7" t="n">
        <v>3.38</v>
      </c>
      <c r="K9" s="7" t="n">
        <v>4.67</v>
      </c>
    </row>
    <row r="10">
      <c r="A10" s="4" t="inlineStr">
        <is>
          <t>研发费用(万元)</t>
        </is>
      </c>
      <c r="B10" s="7" t="n">
        <v>1213</v>
      </c>
      <c r="C10" s="7" t="n">
        <v>1536.6</v>
      </c>
      <c r="D10" s="7" t="n">
        <v>681.6</v>
      </c>
      <c r="E10" s="7" t="n">
        <v>1690.9</v>
      </c>
      <c r="F10" s="7" t="n">
        <v>942.7</v>
      </c>
      <c r="G10" s="7" t="n">
        <v>1197.7</v>
      </c>
      <c r="H10" s="7" t="n">
        <v>394.72</v>
      </c>
      <c r="I10" s="7" t="n">
        <v>351.65</v>
      </c>
      <c r="J10" s="7" t="n">
        <v>350.59</v>
      </c>
      <c r="K10" s="7" t="n">
        <v>389.72</v>
      </c>
    </row>
    <row r="11">
      <c r="A11" s="4" t="inlineStr">
        <is>
          <t>研发占比</t>
        </is>
      </c>
      <c r="B11" s="25" t="n">
        <v>0.0965</v>
      </c>
      <c r="C11" s="25" t="n">
        <v>0.0342</v>
      </c>
      <c r="D11" s="25" t="n">
        <v>0.09859999999999999</v>
      </c>
      <c r="E11" s="25" t="n">
        <v>0.0843</v>
      </c>
      <c r="F11" s="25" t="n">
        <v>0.0873</v>
      </c>
      <c r="G11" s="25" t="n">
        <v>0.0626</v>
      </c>
      <c r="H11" s="25" t="n">
        <v>0.02</v>
      </c>
      <c r="I11" s="25" t="n">
        <v>0.02</v>
      </c>
      <c r="J11" s="25" t="n">
        <v>0.02</v>
      </c>
      <c r="K11" s="25" t="n">
        <v>0.02</v>
      </c>
    </row>
    <row r="12">
      <c r="A12" s="4" t="inlineStr">
        <is>
          <t>资产总额(万元)</t>
        </is>
      </c>
      <c r="B12" s="7" t="n">
        <v>32163.2</v>
      </c>
      <c r="C12" s="7" t="n">
        <v>33920.7</v>
      </c>
      <c r="D12" s="7" t="n">
        <v>38390.1</v>
      </c>
      <c r="E12" s="7" t="n">
        <v>10227.2</v>
      </c>
      <c r="F12" s="7" t="n">
        <v>43201.8</v>
      </c>
      <c r="G12" s="7" t="n">
        <v>42555</v>
      </c>
      <c r="H12" s="7" t="n">
        <v>9289.9</v>
      </c>
      <c r="I12" s="7" t="n">
        <v>11874.48</v>
      </c>
      <c r="J12" s="7" t="n">
        <v>14536.01</v>
      </c>
      <c r="K12" s="7" t="n">
        <v>11847.14</v>
      </c>
    </row>
    <row r="13">
      <c r="A13" s="4" t="inlineStr">
        <is>
          <t>负债率</t>
        </is>
      </c>
      <c r="B13" s="25" t="n">
        <v>0.4652</v>
      </c>
      <c r="C13" s="25" t="n">
        <v>0.4764</v>
      </c>
      <c r="D13" s="25" t="n">
        <v>0.6234</v>
      </c>
      <c r="E13" s="25" t="n">
        <v>0.5551</v>
      </c>
      <c r="F13" s="25" t="n">
        <v>0.3629</v>
      </c>
      <c r="G13" s="25" t="n">
        <v>0.4669</v>
      </c>
      <c r="H13" s="25" t="n">
        <v>0.14</v>
      </c>
      <c r="I13" s="25" t="n">
        <v>0.15</v>
      </c>
      <c r="J13" s="25" t="n">
        <v>0.13</v>
      </c>
      <c r="K13" s="2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2026-02-20T00:52:17Z</dcterms:created>
  <dcterms:modified xmlns:dcterms="http://purl.org/dc/terms/" xmlns:xsi="http://www.w3.org/2001/XMLSchema-instance" xsi:type="dcterms:W3CDTF">2026-02-20T00:52:18Z</dcterms:modified>
</cp:coreProperties>
</file>