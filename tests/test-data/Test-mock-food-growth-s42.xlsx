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收入及净利简表" sheetId="2" state="visible" r:id="rId2"/>
    <sheet xmlns:r="http://schemas.openxmlformats.org/officeDocument/2006/relationships" name="2025年销售1中心利润表" sheetId="3" state="visible" r:id="rId3"/>
    <sheet xmlns:r="http://schemas.openxmlformats.org/officeDocument/2006/relationships" name="2025年中心利润表" sheetId="4" state="visible" r:id="rId4"/>
    <sheet xmlns:r="http://schemas.openxmlformats.org/officeDocument/2006/relationships" name="2025年江苏分部利润表" sheetId="5" state="visible" r:id="rId5"/>
    <sheet xmlns:r="http://schemas.openxmlformats.org/officeDocument/2006/relationships" name="2025年浙江分部利润表" sheetId="6" state="visible" r:id="rId6"/>
    <sheet xmlns:r="http://schemas.openxmlformats.org/officeDocument/2006/relationships" name="2025年上海分部利润表" sheetId="7" state="visible" r:id="rId7"/>
    <sheet xmlns:r="http://schemas.openxmlformats.org/officeDocument/2006/relationships" name="2025年赣皖区域利润表" sheetId="8" state="visible" r:id="rId8"/>
    <sheet xmlns:r="http://schemas.openxmlformats.org/officeDocument/2006/relationships" name="2025年安徽省区利润表" sheetId="9" state="visible" r:id="rId9"/>
    <sheet xmlns:r="http://schemas.openxmlformats.org/officeDocument/2006/relationships" name="2025年江西省区利润表" sheetId="10" state="visible" r:id="rId10"/>
    <sheet xmlns:r="http://schemas.openxmlformats.org/officeDocument/2006/relationships" name="24年返利明细" sheetId="11" state="visible" r:id="rId11"/>
    <sheet xmlns:r="http://schemas.openxmlformats.org/officeDocument/2006/relationships" name="资产负债表" sheetId="12" state="visible" r:id="rId12"/>
    <sheet xmlns:r="http://schemas.openxmlformats.org/officeDocument/2006/relationships" name="销售明细" sheetId="13" state="visible" r:id="rId13"/>
    <sheet xmlns:r="http://schemas.openxmlformats.org/officeDocument/2006/relationships" name="应收账款账龄" sheetId="14" state="visible" r:id="rId14"/>
    <sheet xmlns:r="http://schemas.openxmlformats.org/officeDocument/2006/relationships" name="库存台账" sheetId="15" state="visible" r:id="rId15"/>
    <sheet xmlns:r="http://schemas.openxmlformats.org/officeDocument/2006/relationships" name="月度经营分析" sheetId="16" state="visible" r:id="rId16"/>
    <sheet xmlns:r="http://schemas.openxmlformats.org/officeDocument/2006/relationships" name="费用预算执行" sheetId="17" state="visible" r:id="rId17"/>
    <sheet xmlns:r="http://schemas.openxmlformats.org/officeDocument/2006/relationships" name="现金流量表" sheetId="18" state="visible" r:id="rId18"/>
    <sheet xmlns:r="http://schemas.openxmlformats.org/officeDocument/2006/relationships" name="超宽数据表" sheetId="19" state="visible" r:id="rId19"/>
    <sheet xmlns:r="http://schemas.openxmlformats.org/officeDocument/2006/relationships" name="混合类型测试" sheetId="20" state="visible" r:id="rId20"/>
    <sheet xmlns:r="http://schemas.openxmlformats.org/officeDocument/2006/relationships" name="空值区域测试" sheetId="21" state="visible" r:id="rId21"/>
    <sheet xmlns:r="http://schemas.openxmlformats.org/officeDocument/2006/relationships" name="跨年对比(2024-2025)" sheetId="22" state="visible" r:id="rId22"/>
    <sheet xmlns:r="http://schemas.openxmlformats.org/officeDocument/2006/relationships" name="公式测试" sheetId="23" state="visible" r:id="rId23"/>
    <sheet xmlns:r="http://schemas.openxmlformats.org/officeDocument/2006/relationships" name="纯数字列名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-mm-dd h:mm:ss"/>
    <numFmt numFmtId="166" formatCode="0.0"/>
    <numFmt numFmtId="167" formatCode="yyyy-mm-dd"/>
    <numFmt numFmtId="168" formatCode="YYYY-MM-DD"/>
    <numFmt numFmtId="169" formatCode="0.0%"/>
    <numFmt numFmtId="170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6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169" fontId="2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/>
    </xf>
    <xf numFmtId="3" fontId="4" fillId="0" borderId="1" pivotButton="0" quotePrefix="0" xfId="0"/>
    <xf numFmtId="169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7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销售1中心经营口径报表索引</t>
        </is>
      </c>
    </row>
    <row r="2">
      <c r="A2" s="2" t="inlineStr">
        <is>
          <t>序号</t>
        </is>
      </c>
      <c r="B2" s="2" t="inlineStr">
        <is>
          <t>索引</t>
        </is>
      </c>
      <c r="C2" s="2" t="inlineStr">
        <is>
          <t>报表编制说明</t>
        </is>
      </c>
    </row>
    <row r="3">
      <c r="A3" s="3" t="n">
        <v>1</v>
      </c>
      <c r="B3" s="4" t="inlineStr">
        <is>
          <t>收入及净利简表</t>
        </is>
      </c>
      <c r="C3" s="5" t="inlineStr">
        <is>
          <t>1、分部及区域的预算净利及实际净利，数据来源为本文件中分部利润表</t>
        </is>
      </c>
    </row>
    <row r="4">
      <c r="A4" s="3" t="n">
        <v>2</v>
      </c>
      <c r="B4" s="4" t="inlineStr">
        <is>
          <t>2025年销售1中心利润表</t>
        </is>
      </c>
      <c r="C4" s="5" t="inlineStr">
        <is>
          <t>编制规则同2025年销售1中心利润表</t>
        </is>
      </c>
    </row>
    <row r="5">
      <c r="A5" s="3" t="n">
        <v>3</v>
      </c>
      <c r="B5" s="4" t="inlineStr">
        <is>
          <t>2025年中心利润表</t>
        </is>
      </c>
      <c r="C5" s="5" t="inlineStr">
        <is>
          <t>编制规则同2025年销售1中心利润表</t>
        </is>
      </c>
    </row>
    <row r="6">
      <c r="A6" s="3" t="n">
        <v>4</v>
      </c>
      <c r="B6" s="4" t="inlineStr">
        <is>
          <t>2025年江苏分部利润表</t>
        </is>
      </c>
      <c r="C6" s="5" t="inlineStr">
        <is>
          <t>编制规则同2025年销售1中心利润表</t>
        </is>
      </c>
    </row>
    <row r="7">
      <c r="A7" s="3" t="n">
        <v>5</v>
      </c>
      <c r="B7" s="4" t="inlineStr">
        <is>
          <t>2025年浙江分部利润表</t>
        </is>
      </c>
      <c r="C7" s="5" t="inlineStr">
        <is>
          <t>编制规则同2025年销售1中心利润表</t>
        </is>
      </c>
    </row>
    <row r="8">
      <c r="A8" s="3" t="n">
        <v>6</v>
      </c>
      <c r="B8" s="4" t="inlineStr">
        <is>
          <t>2025年上海分部利润表</t>
        </is>
      </c>
      <c r="C8" s="5" t="inlineStr">
        <is>
          <t>编制规则同2025年销售1中心利润表</t>
        </is>
      </c>
    </row>
    <row r="9">
      <c r="A9" s="3" t="n">
        <v>7</v>
      </c>
      <c r="B9" s="4" t="inlineStr">
        <is>
          <t>2025年赣皖区域利润表</t>
        </is>
      </c>
      <c r="C9" s="5" t="inlineStr">
        <is>
          <t>编制规则同2025年销售1中心利润表</t>
        </is>
      </c>
    </row>
    <row r="10">
      <c r="A10" s="3" t="n">
        <v>8</v>
      </c>
      <c r="B10" s="4" t="inlineStr">
        <is>
          <t>2025年安徽省区利润表</t>
        </is>
      </c>
      <c r="C10" s="5" t="inlineStr">
        <is>
          <t>编制规则同2025年销售1中心利润表</t>
        </is>
      </c>
    </row>
    <row r="11">
      <c r="A11" s="3" t="n">
        <v>9</v>
      </c>
      <c r="B11" s="4" t="inlineStr">
        <is>
          <t>2025年江西省区利润表</t>
        </is>
      </c>
      <c r="C11" s="5" t="inlineStr">
        <is>
          <t>编制规则同2025年销售1中心利润表</t>
        </is>
      </c>
    </row>
    <row r="12">
      <c r="A12" s="3" t="n">
        <v>10</v>
      </c>
      <c r="B12" s="4" t="inlineStr">
        <is>
          <t>24年返利明细</t>
        </is>
      </c>
      <c r="C12" s="5" t="inlineStr"/>
    </row>
    <row r="13">
      <c r="A13" s="3" t="n">
        <v>11</v>
      </c>
      <c r="B13" s="4" t="inlineStr">
        <is>
          <t>资产负债表</t>
        </is>
      </c>
      <c r="C13" s="5" t="inlineStr"/>
    </row>
    <row r="14">
      <c r="A14" s="3" t="n">
        <v>12</v>
      </c>
      <c r="B14" s="4" t="inlineStr">
        <is>
          <t>销售明细</t>
        </is>
      </c>
      <c r="C14" s="5" t="inlineStr"/>
    </row>
    <row r="15">
      <c r="A15" s="3" t="n">
        <v>13</v>
      </c>
      <c r="B15" s="4" t="inlineStr">
        <is>
          <t>应收账款账龄</t>
        </is>
      </c>
      <c r="C15" s="5" t="inlineStr"/>
    </row>
    <row r="16">
      <c r="A16" s="3" t="n">
        <v>14</v>
      </c>
      <c r="B16" s="4" t="inlineStr">
        <is>
          <t>库存台账</t>
        </is>
      </c>
      <c r="C16" s="5" t="inlineStr"/>
    </row>
    <row r="17">
      <c r="A17" s="3" t="n">
        <v>15</v>
      </c>
      <c r="B17" s="4" t="inlineStr">
        <is>
          <t>月度经营分析</t>
        </is>
      </c>
      <c r="C17" s="5" t="inlineStr"/>
    </row>
    <row r="18">
      <c r="A18" s="3" t="n">
        <v>16</v>
      </c>
      <c r="B18" s="4" t="inlineStr">
        <is>
          <t>费用预算执行</t>
        </is>
      </c>
      <c r="C18" s="5" t="inlineStr"/>
    </row>
    <row r="19">
      <c r="A19" s="3" t="n">
        <v>17</v>
      </c>
      <c r="B19" s="4" t="inlineStr">
        <is>
          <t>现金流量表</t>
        </is>
      </c>
      <c r="C19" s="5" t="inlineStr"/>
    </row>
    <row r="20">
      <c r="A20" s="3" t="n">
        <v>18</v>
      </c>
      <c r="B20" s="4" t="inlineStr">
        <is>
          <t>超宽数据表</t>
        </is>
      </c>
      <c r="C20" s="5" t="inlineStr"/>
    </row>
    <row r="21">
      <c r="A21" s="3" t="n">
        <v>19</v>
      </c>
      <c r="B21" s="4" t="inlineStr">
        <is>
          <t>混合类型测试</t>
        </is>
      </c>
      <c r="C21" s="5" t="inlineStr"/>
    </row>
    <row r="22">
      <c r="A22" s="3" t="n">
        <v>20</v>
      </c>
      <c r="B22" s="4" t="inlineStr">
        <is>
          <t>空值区域测试</t>
        </is>
      </c>
      <c r="C22" s="5" t="inlineStr"/>
    </row>
    <row r="23">
      <c r="A23" s="3" t="n">
        <v>21</v>
      </c>
      <c r="B23" s="4" t="inlineStr">
        <is>
          <t>跨年对比(2024-2025)</t>
        </is>
      </c>
      <c r="C23" s="5" t="inlineStr"/>
    </row>
    <row r="24">
      <c r="A24" s="3" t="n">
        <v>22</v>
      </c>
      <c r="B24" s="4" t="inlineStr">
        <is>
          <t>公式测试</t>
        </is>
      </c>
      <c r="C24" s="5" t="inlineStr"/>
    </row>
    <row r="25">
      <c r="A25" s="3" t="n">
        <v>23</v>
      </c>
      <c r="B25" s="4" t="inlineStr">
        <is>
          <t>纯数字列名</t>
        </is>
      </c>
      <c r="C25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销售1中心2025年各分部及区域收入&amp;净利简表</t>
        </is>
      </c>
    </row>
    <row r="2">
      <c r="A2" s="2" t="inlineStr">
        <is>
          <t>区域</t>
        </is>
      </c>
      <c r="B2" s="2" t="inlineStr">
        <is>
          <t>1月</t>
        </is>
      </c>
      <c r="E2" s="2" t="inlineStr">
        <is>
          <t>2月</t>
        </is>
      </c>
      <c r="H2" s="2" t="inlineStr">
        <is>
          <t>3月</t>
        </is>
      </c>
      <c r="K2" s="2" t="inlineStr">
        <is>
          <t>4月</t>
        </is>
      </c>
      <c r="N2" s="2" t="inlineStr">
        <is>
          <t>5月</t>
        </is>
      </c>
      <c r="Q2" s="2" t="inlineStr">
        <is>
          <t>6月</t>
        </is>
      </c>
      <c r="T2" s="2" t="inlineStr">
        <is>
          <t>7月</t>
        </is>
      </c>
      <c r="W2" s="2" t="inlineStr">
        <is>
          <t>8月</t>
        </is>
      </c>
      <c r="Z2" s="2" t="inlineStr">
        <is>
          <t>9月</t>
        </is>
      </c>
      <c r="AC2" s="2" t="inlineStr">
        <is>
          <t>10月</t>
        </is>
      </c>
      <c r="AF2" s="2" t="inlineStr">
        <is>
          <t>11月</t>
        </is>
      </c>
      <c r="AI2" s="2" t="inlineStr">
        <is>
          <t>12月</t>
        </is>
      </c>
    </row>
    <row r="3">
      <c r="A3" s="4" t="n"/>
      <c r="B3" s="2" t="inlineStr">
        <is>
          <t>预算收入</t>
        </is>
      </c>
      <c r="C3" s="2" t="inlineStr">
        <is>
          <t>24年同期实际</t>
        </is>
      </c>
      <c r="D3" s="2" t="inlineStr">
        <is>
          <t>实际收入</t>
        </is>
      </c>
      <c r="E3" s="2" t="inlineStr">
        <is>
          <t>预算收入</t>
        </is>
      </c>
      <c r="F3" s="2" t="inlineStr">
        <is>
          <t>24年同期实际</t>
        </is>
      </c>
      <c r="G3" s="2" t="inlineStr">
        <is>
          <t>实际收入</t>
        </is>
      </c>
      <c r="H3" s="2" t="inlineStr">
        <is>
          <t>预算收入</t>
        </is>
      </c>
      <c r="I3" s="2" t="inlineStr">
        <is>
          <t>24年同期实际</t>
        </is>
      </c>
      <c r="J3" s="2" t="inlineStr">
        <is>
          <t>实际收入</t>
        </is>
      </c>
      <c r="K3" s="2" t="inlineStr">
        <is>
          <t>预算收入</t>
        </is>
      </c>
      <c r="L3" s="2" t="inlineStr">
        <is>
          <t>24年同期实际</t>
        </is>
      </c>
      <c r="M3" s="2" t="inlineStr">
        <is>
          <t>实际收入</t>
        </is>
      </c>
      <c r="N3" s="2" t="inlineStr">
        <is>
          <t>预算收入</t>
        </is>
      </c>
      <c r="O3" s="2" t="inlineStr">
        <is>
          <t>24年同期实际</t>
        </is>
      </c>
      <c r="P3" s="2" t="inlineStr">
        <is>
          <t>实际收入</t>
        </is>
      </c>
      <c r="Q3" s="2" t="inlineStr">
        <is>
          <t>预算收入</t>
        </is>
      </c>
      <c r="R3" s="2" t="inlineStr">
        <is>
          <t>24年同期实际</t>
        </is>
      </c>
      <c r="S3" s="2" t="inlineStr">
        <is>
          <t>实际收入</t>
        </is>
      </c>
      <c r="T3" s="2" t="inlineStr">
        <is>
          <t>预算收入</t>
        </is>
      </c>
      <c r="U3" s="2" t="inlineStr">
        <is>
          <t>24年同期实际</t>
        </is>
      </c>
      <c r="V3" s="2" t="inlineStr">
        <is>
          <t>实际收入</t>
        </is>
      </c>
      <c r="W3" s="2" t="inlineStr">
        <is>
          <t>预算收入</t>
        </is>
      </c>
      <c r="X3" s="2" t="inlineStr">
        <is>
          <t>24年同期实际</t>
        </is>
      </c>
      <c r="Y3" s="2" t="inlineStr">
        <is>
          <t>实际收入</t>
        </is>
      </c>
      <c r="Z3" s="2" t="inlineStr">
        <is>
          <t>预算收入</t>
        </is>
      </c>
      <c r="AA3" s="2" t="inlineStr">
        <is>
          <t>24年同期实际</t>
        </is>
      </c>
      <c r="AB3" s="2" t="inlineStr">
        <is>
          <t>实际收入</t>
        </is>
      </c>
      <c r="AC3" s="2" t="inlineStr">
        <is>
          <t>预算收入</t>
        </is>
      </c>
      <c r="AD3" s="2" t="inlineStr">
        <is>
          <t>24年同期实际</t>
        </is>
      </c>
      <c r="AE3" s="2" t="inlineStr">
        <is>
          <t>实际收入</t>
        </is>
      </c>
      <c r="AF3" s="2" t="inlineStr">
        <is>
          <t>预算收入</t>
        </is>
      </c>
      <c r="AG3" s="2" t="inlineStr">
        <is>
          <t>24年同期实际</t>
        </is>
      </c>
      <c r="AH3" s="2" t="inlineStr">
        <is>
          <t>实际收入</t>
        </is>
      </c>
      <c r="AI3" s="2" t="inlineStr">
        <is>
          <t>预算收入</t>
        </is>
      </c>
      <c r="AJ3" s="2" t="inlineStr">
        <is>
          <t>24年同期实际</t>
        </is>
      </c>
      <c r="AK3" s="2" t="inlineStr">
        <is>
          <t>实际收入</t>
        </is>
      </c>
    </row>
    <row r="4">
      <c r="A4" s="6" t="inlineStr">
        <is>
          <t>江苏分部</t>
        </is>
      </c>
      <c r="B4" s="7" t="n">
        <v>4907342.2</v>
      </c>
      <c r="C4" s="7" t="n">
        <v>2150174.8</v>
      </c>
      <c r="D4" s="7" t="n">
        <v>3431339.3</v>
      </c>
      <c r="E4" s="7" t="n">
        <v>5416536.2</v>
      </c>
      <c r="F4" s="7" t="n">
        <v>3221571.2</v>
      </c>
      <c r="G4" s="7" t="n">
        <v>3785614.3</v>
      </c>
      <c r="H4" s="7" t="n">
        <v>5310549.6</v>
      </c>
      <c r="I4" s="7" t="n">
        <v>3413995</v>
      </c>
      <c r="J4" s="7" t="n">
        <v>4755602.699999999</v>
      </c>
      <c r="K4" s="7" t="n">
        <v>6184923.9</v>
      </c>
      <c r="L4" s="7" t="n">
        <v>6490159.5</v>
      </c>
      <c r="M4" s="7" t="n">
        <v>5914864</v>
      </c>
      <c r="N4" s="7" t="n">
        <v>5158820.4</v>
      </c>
      <c r="O4" s="7" t="n">
        <v>4906414.8</v>
      </c>
      <c r="P4" s="7" t="n">
        <v>6230713.5</v>
      </c>
      <c r="Q4" s="7" t="n">
        <v>5060987.6</v>
      </c>
      <c r="R4" s="7" t="n">
        <v>4164476.2</v>
      </c>
      <c r="S4" s="7" t="n">
        <v>6781498.9</v>
      </c>
      <c r="T4" s="7" t="n">
        <v>5493520.9</v>
      </c>
      <c r="U4" s="7" t="n">
        <v>8230795.5</v>
      </c>
      <c r="V4" s="7" t="n">
        <v>7725450.9</v>
      </c>
      <c r="W4" s="7" t="n">
        <v>5448775.4</v>
      </c>
      <c r="X4" s="7" t="n">
        <v>6121002.7</v>
      </c>
      <c r="Y4" s="7" t="n">
        <v>6003407.100000001</v>
      </c>
      <c r="Z4" s="7" t="n">
        <v>5208850.1</v>
      </c>
      <c r="AA4" s="7" t="n">
        <v>5218501.7</v>
      </c>
      <c r="AB4" s="7" t="n">
        <v>5641743.399999999</v>
      </c>
      <c r="AC4" s="7" t="n">
        <v>5160745.5</v>
      </c>
      <c r="AD4" s="7" t="n">
        <v>7106811.4</v>
      </c>
      <c r="AE4" s="7" t="n">
        <v>7137572.100000001</v>
      </c>
      <c r="AF4" s="7" t="n">
        <v>6288022.1</v>
      </c>
      <c r="AG4" s="7" t="n">
        <v>3604016.6</v>
      </c>
      <c r="AH4" s="7" t="n">
        <v>5388782.5</v>
      </c>
      <c r="AI4" s="7" t="n">
        <v>5484343.4</v>
      </c>
      <c r="AJ4" s="7" t="n">
        <v>3091093.3</v>
      </c>
      <c r="AK4" s="7" t="n">
        <v>4157826.5</v>
      </c>
    </row>
    <row r="5">
      <c r="A5" s="6" t="inlineStr">
        <is>
          <t>浙江分部</t>
        </is>
      </c>
      <c r="B5" s="7" t="n">
        <v>5253064.5</v>
      </c>
      <c r="C5" s="7" t="n">
        <v>3410786.6</v>
      </c>
      <c r="D5" s="7" t="n">
        <v>3360775.6</v>
      </c>
      <c r="E5" s="7" t="n">
        <v>5933019.2</v>
      </c>
      <c r="F5" s="7" t="n">
        <v>3822878.2</v>
      </c>
      <c r="G5" s="7" t="n">
        <v>4032418.8</v>
      </c>
      <c r="H5" s="7" t="n">
        <v>5765957.9</v>
      </c>
      <c r="I5" s="7" t="n">
        <v>3283957</v>
      </c>
      <c r="J5" s="7" t="n">
        <v>4905848.4</v>
      </c>
      <c r="K5" s="7" t="n">
        <v>4770902.6</v>
      </c>
      <c r="L5" s="7" t="n">
        <v>5448822.5</v>
      </c>
      <c r="M5" s="7" t="n">
        <v>5718938.899999999</v>
      </c>
      <c r="N5" s="7" t="n">
        <v>4636028.6</v>
      </c>
      <c r="O5" s="7" t="n">
        <v>5432995.6</v>
      </c>
      <c r="P5" s="7" t="n">
        <v>6591035.700000001</v>
      </c>
      <c r="Q5" s="7" t="n">
        <v>5320212.2</v>
      </c>
      <c r="R5" s="7" t="n">
        <v>3619574.2</v>
      </c>
      <c r="S5" s="7" t="n">
        <v>6006340</v>
      </c>
      <c r="T5" s="7" t="n">
        <v>5506866.6</v>
      </c>
      <c r="U5" s="7" t="n">
        <v>4207708.3</v>
      </c>
      <c r="V5" s="7" t="n">
        <v>6578523.4</v>
      </c>
      <c r="W5" s="7" t="n">
        <v>5033827.3</v>
      </c>
      <c r="X5" s="7" t="n">
        <v>4568412.7</v>
      </c>
      <c r="Y5" s="7" t="n">
        <v>6275619.999999999</v>
      </c>
      <c r="Z5" s="7" t="n">
        <v>5801542.7</v>
      </c>
      <c r="AA5" s="7" t="n">
        <v>5248315.4</v>
      </c>
      <c r="AB5" s="7" t="n">
        <v>5158143.1</v>
      </c>
      <c r="AC5" s="7" t="n">
        <v>5694646.5</v>
      </c>
      <c r="AD5" s="7" t="n">
        <v>5697239.4</v>
      </c>
      <c r="AE5" s="7" t="n">
        <v>6515582.8</v>
      </c>
      <c r="AF5" s="7" t="n">
        <v>5570183.9</v>
      </c>
      <c r="AG5" s="7" t="n">
        <v>4629604.6</v>
      </c>
      <c r="AH5" s="7" t="n">
        <v>4804401.2</v>
      </c>
      <c r="AI5" s="7" t="n">
        <v>4858200.5</v>
      </c>
      <c r="AJ5" s="7" t="n">
        <v>3110278.3</v>
      </c>
      <c r="AK5" s="7" t="n">
        <v>3600335.2</v>
      </c>
    </row>
    <row r="6">
      <c r="A6" s="6" t="inlineStr">
        <is>
          <t>上海分部</t>
        </is>
      </c>
      <c r="B6" s="7" t="n">
        <v>4868945</v>
      </c>
      <c r="C6" s="7" t="n">
        <v>2282747.1</v>
      </c>
      <c r="D6" s="7" t="n">
        <v>3481955.4</v>
      </c>
      <c r="E6" s="7" t="n">
        <v>4987501.8</v>
      </c>
      <c r="F6" s="7" t="n">
        <v>2930480.1</v>
      </c>
      <c r="G6" s="7" t="n">
        <v>3938548.5</v>
      </c>
      <c r="H6" s="7" t="n">
        <v>4867130</v>
      </c>
      <c r="I6" s="7" t="n">
        <v>3842141.8</v>
      </c>
      <c r="J6" s="7" t="n">
        <v>5118927.100000001</v>
      </c>
      <c r="K6" s="7" t="n">
        <v>5553316.3</v>
      </c>
      <c r="L6" s="7" t="n">
        <v>3520452.8</v>
      </c>
      <c r="M6" s="7" t="n">
        <v>5642884.200000001</v>
      </c>
      <c r="N6" s="7" t="n">
        <v>5926360</v>
      </c>
      <c r="O6" s="7" t="n">
        <v>5293652.6</v>
      </c>
      <c r="P6" s="7" t="n">
        <v>6536077.400000001</v>
      </c>
      <c r="Q6" s="7" t="n">
        <v>4975247.9</v>
      </c>
      <c r="R6" s="7" t="n">
        <v>7383711.6</v>
      </c>
      <c r="S6" s="7" t="n">
        <v>7406304.1</v>
      </c>
      <c r="T6" s="7" t="n">
        <v>5026731</v>
      </c>
      <c r="U6" s="7" t="n">
        <v>5826270.7</v>
      </c>
      <c r="V6" s="7" t="n">
        <v>7031830.099999999</v>
      </c>
      <c r="W6" s="7" t="n">
        <v>5468158.2</v>
      </c>
      <c r="X6" s="7" t="n">
        <v>3901520.4</v>
      </c>
      <c r="Y6" s="7" t="n">
        <v>5952621.4</v>
      </c>
      <c r="Z6" s="7" t="n">
        <v>5864377.8</v>
      </c>
      <c r="AA6" s="7" t="n">
        <v>5890621.6</v>
      </c>
      <c r="AB6" s="7" t="n">
        <v>5596399.600000001</v>
      </c>
      <c r="AC6" s="7" t="n">
        <v>6279775.8</v>
      </c>
      <c r="AD6" s="7" t="n">
        <v>5658520.4</v>
      </c>
      <c r="AE6" s="7" t="n">
        <v>6298655.800000001</v>
      </c>
      <c r="AF6" s="7" t="n">
        <v>5534811.1</v>
      </c>
      <c r="AG6" s="7" t="n">
        <v>2977714.7</v>
      </c>
      <c r="AH6" s="7" t="n">
        <v>4895804.3</v>
      </c>
      <c r="AI6" s="7" t="n">
        <v>5136528.3</v>
      </c>
      <c r="AJ6" s="7" t="n">
        <v>3456850.2</v>
      </c>
      <c r="AK6" s="7" t="n">
        <v>4030429.2</v>
      </c>
    </row>
    <row r="7">
      <c r="A7" s="6" t="inlineStr">
        <is>
          <t>赣皖区域</t>
        </is>
      </c>
      <c r="B7" s="7" t="n">
        <v>3388987.7</v>
      </c>
      <c r="C7" s="7" t="n">
        <v>1458283.1</v>
      </c>
      <c r="D7" s="7" t="n">
        <v>2022670.8</v>
      </c>
      <c r="E7" s="7" t="n">
        <v>3767369.7</v>
      </c>
      <c r="F7" s="7" t="n">
        <v>1769851.8</v>
      </c>
      <c r="G7" s="7" t="n">
        <v>2634537.5</v>
      </c>
      <c r="H7" s="7" t="n">
        <v>3721567.7</v>
      </c>
      <c r="I7" s="7" t="n">
        <v>2605074.2</v>
      </c>
      <c r="J7" s="7" t="n">
        <v>3197903.3</v>
      </c>
      <c r="K7" s="7" t="n">
        <v>3937316.9</v>
      </c>
      <c r="L7" s="7" t="n">
        <v>3361761.6</v>
      </c>
      <c r="M7" s="7" t="n">
        <v>3704809.2</v>
      </c>
      <c r="N7" s="7" t="n">
        <v>3937932.4</v>
      </c>
      <c r="O7" s="7" t="n">
        <v>2824140</v>
      </c>
      <c r="P7" s="7" t="n">
        <v>3920880.4</v>
      </c>
      <c r="Q7" s="7" t="n">
        <v>3945412.4</v>
      </c>
      <c r="R7" s="7" t="n">
        <v>3523386.5</v>
      </c>
      <c r="S7" s="7" t="n">
        <v>4359095.8</v>
      </c>
      <c r="T7" s="7" t="n">
        <v>3433272.7</v>
      </c>
      <c r="U7" s="7" t="n">
        <v>4501476.8</v>
      </c>
      <c r="V7" s="7" t="n">
        <v>4828948.800000001</v>
      </c>
      <c r="W7" s="7" t="n">
        <v>3365588.8</v>
      </c>
      <c r="X7" s="7" t="n">
        <v>2628285.9</v>
      </c>
      <c r="Y7" s="7" t="n">
        <v>4088763.8</v>
      </c>
      <c r="Z7" s="7" t="n">
        <v>3795162.9</v>
      </c>
      <c r="AA7" s="7" t="n">
        <v>3895728.4</v>
      </c>
      <c r="AB7" s="7" t="n">
        <v>3582848.1</v>
      </c>
      <c r="AC7" s="7" t="n">
        <v>3838631.8</v>
      </c>
      <c r="AD7" s="7" t="n">
        <v>2839867.9</v>
      </c>
      <c r="AE7" s="7" t="n">
        <v>4480420</v>
      </c>
      <c r="AF7" s="7" t="n">
        <v>3959345.8</v>
      </c>
      <c r="AG7" s="7" t="n">
        <v>2907300</v>
      </c>
      <c r="AH7" s="7" t="n">
        <v>3368713.6</v>
      </c>
      <c r="AI7" s="7" t="n">
        <v>3065610.6</v>
      </c>
      <c r="AJ7" s="7" t="n">
        <v>2175236.7</v>
      </c>
      <c r="AK7" s="7" t="n">
        <v>2548118.6</v>
      </c>
    </row>
    <row r="8">
      <c r="A8" s="6" t="inlineStr">
        <is>
          <t>销售1总监费用</t>
        </is>
      </c>
      <c r="B8" s="7" t="n">
        <v>0</v>
      </c>
      <c r="C8" s="7" t="n">
        <v>20856.7</v>
      </c>
      <c r="D8" s="7" t="n">
        <v>19061.7</v>
      </c>
      <c r="E8" s="7" t="n">
        <v>0</v>
      </c>
      <c r="F8" s="7" t="n">
        <v>13597</v>
      </c>
      <c r="G8" s="7" t="n">
        <v>15502.6</v>
      </c>
      <c r="H8" s="7" t="n">
        <v>0</v>
      </c>
      <c r="I8" s="7" t="n">
        <v>10406.8</v>
      </c>
      <c r="J8" s="7" t="n">
        <v>13086.6</v>
      </c>
      <c r="K8" s="7" t="n">
        <v>0</v>
      </c>
      <c r="L8" s="7" t="n">
        <v>36556.8</v>
      </c>
      <c r="M8" s="7" t="n">
        <v>43777.1</v>
      </c>
      <c r="N8" s="7" t="n">
        <v>0</v>
      </c>
      <c r="O8" s="7" t="n">
        <v>12891.5</v>
      </c>
      <c r="P8" s="7" t="n">
        <v>14045.6</v>
      </c>
      <c r="Q8" s="7" t="n">
        <v>0</v>
      </c>
      <c r="R8" s="7" t="n">
        <v>44531.4</v>
      </c>
      <c r="S8" s="7" t="n">
        <v>40835</v>
      </c>
      <c r="T8" s="7" t="n">
        <v>0</v>
      </c>
      <c r="U8" s="7" t="n">
        <v>31547.7</v>
      </c>
      <c r="V8" s="7" t="n">
        <v>43404.8</v>
      </c>
      <c r="W8" s="7" t="n">
        <v>0</v>
      </c>
      <c r="X8" s="7" t="n">
        <v>27576.7</v>
      </c>
      <c r="Y8" s="7" t="n">
        <v>45347.3</v>
      </c>
      <c r="Z8" s="7" t="n">
        <v>0</v>
      </c>
      <c r="AA8" s="7" t="n">
        <v>11443.8</v>
      </c>
      <c r="AB8" s="7" t="n">
        <v>11509.9</v>
      </c>
      <c r="AC8" s="7" t="n">
        <v>0</v>
      </c>
      <c r="AD8" s="7" t="n">
        <v>18128.7</v>
      </c>
      <c r="AE8" s="7" t="n">
        <v>23470.6</v>
      </c>
      <c r="AF8" s="7" t="n">
        <v>0</v>
      </c>
      <c r="AG8" s="7" t="n">
        <v>39289.2</v>
      </c>
      <c r="AH8" s="7" t="n">
        <v>40652.3</v>
      </c>
      <c r="AI8" s="7" t="n">
        <v>0</v>
      </c>
      <c r="AJ8" s="7" t="n">
        <v>13933.1</v>
      </c>
      <c r="AK8" s="7" t="n">
        <v>15242</v>
      </c>
    </row>
    <row r="9">
      <c r="A9" s="6" t="inlineStr">
        <is>
          <t>合计</t>
        </is>
      </c>
      <c r="B9" s="8" t="n">
        <v>18418339.4</v>
      </c>
      <c r="C9" s="8" t="n">
        <v>9322848.300000001</v>
      </c>
      <c r="D9" s="8" t="n">
        <v>12315802.8</v>
      </c>
      <c r="E9" s="8" t="n">
        <v>20104426.9</v>
      </c>
      <c r="F9" s="8" t="n">
        <v>11758378.3</v>
      </c>
      <c r="G9" s="8" t="n">
        <v>14406621.7</v>
      </c>
      <c r="H9" s="8" t="n">
        <v>19665205.2</v>
      </c>
      <c r="I9" s="8" t="n">
        <v>13155574.8</v>
      </c>
      <c r="J9" s="8" t="n">
        <v>17991368.1</v>
      </c>
      <c r="K9" s="8" t="n">
        <v>20446459.7</v>
      </c>
      <c r="L9" s="8" t="n">
        <v>18857753.2</v>
      </c>
      <c r="M9" s="8" t="n">
        <v>21025273.4</v>
      </c>
      <c r="N9" s="8" t="n">
        <v>19659141.4</v>
      </c>
      <c r="O9" s="8" t="n">
        <v>18470094.5</v>
      </c>
      <c r="P9" s="8" t="n">
        <v>23292752.6</v>
      </c>
      <c r="Q9" s="8" t="n">
        <v>19301860.1</v>
      </c>
      <c r="R9" s="8" t="n">
        <v>18735679.9</v>
      </c>
      <c r="S9" s="8" t="n">
        <v>24594073.8</v>
      </c>
      <c r="T9" s="8" t="n">
        <v>19460391.2</v>
      </c>
      <c r="U9" s="8" t="n">
        <v>22797799</v>
      </c>
      <c r="V9" s="8" t="n">
        <v>26208158</v>
      </c>
      <c r="W9" s="8" t="n">
        <v>19316349.7</v>
      </c>
      <c r="X9" s="8" t="n">
        <v>17246798.4</v>
      </c>
      <c r="Y9" s="8" t="n">
        <v>22365759.6</v>
      </c>
      <c r="Z9" s="8" t="n">
        <v>20669933.5</v>
      </c>
      <c r="AA9" s="8" t="n">
        <v>20264610.9</v>
      </c>
      <c r="AB9" s="8" t="n">
        <v>19990644.1</v>
      </c>
      <c r="AC9" s="8" t="n">
        <v>20973799.6</v>
      </c>
      <c r="AD9" s="8" t="n">
        <v>21320567.8</v>
      </c>
      <c r="AE9" s="8" t="n">
        <v>24455701.3</v>
      </c>
      <c r="AF9" s="8" t="n">
        <v>21352362.9</v>
      </c>
      <c r="AG9" s="8" t="n">
        <v>14157925.1</v>
      </c>
      <c r="AH9" s="8" t="n">
        <v>18498353.9</v>
      </c>
      <c r="AI9" s="8" t="n">
        <v>18544682.8</v>
      </c>
      <c r="AJ9" s="8" t="n">
        <v>11847391.6</v>
      </c>
      <c r="AK9" s="8" t="n">
        <v>14351951.5</v>
      </c>
    </row>
    <row r="11">
      <c r="A11" s="2" t="inlineStr">
        <is>
          <t>区域</t>
        </is>
      </c>
      <c r="B11" s="2" t="inlineStr">
        <is>
          <t>1月</t>
        </is>
      </c>
      <c r="E11" s="2" t="inlineStr">
        <is>
          <t>2月</t>
        </is>
      </c>
      <c r="H11" s="2" t="inlineStr">
        <is>
          <t>3月</t>
        </is>
      </c>
      <c r="K11" s="2" t="inlineStr">
        <is>
          <t>4月</t>
        </is>
      </c>
      <c r="N11" s="2" t="inlineStr">
        <is>
          <t>5月</t>
        </is>
      </c>
      <c r="Q11" s="2" t="inlineStr">
        <is>
          <t>6月</t>
        </is>
      </c>
      <c r="T11" s="2" t="inlineStr">
        <is>
          <t>7月</t>
        </is>
      </c>
      <c r="W11" s="2" t="inlineStr">
        <is>
          <t>8月</t>
        </is>
      </c>
      <c r="Z11" s="2" t="inlineStr">
        <is>
          <t>9月</t>
        </is>
      </c>
      <c r="AC11" s="2" t="inlineStr">
        <is>
          <t>10月</t>
        </is>
      </c>
      <c r="AF11" s="2" t="inlineStr">
        <is>
          <t>11月</t>
        </is>
      </c>
      <c r="AI11" s="2" t="inlineStr">
        <is>
          <t>12月</t>
        </is>
      </c>
    </row>
    <row r="12">
      <c r="A12" s="4" t="n"/>
      <c r="B12" s="2" t="inlineStr">
        <is>
          <t>预算净利</t>
        </is>
      </c>
      <c r="C12" s="2" t="inlineStr">
        <is>
          <t>24年同期实际</t>
        </is>
      </c>
      <c r="D12" s="2" t="inlineStr">
        <is>
          <t>实际净利</t>
        </is>
      </c>
      <c r="E12" s="2" t="inlineStr">
        <is>
          <t>预算净利</t>
        </is>
      </c>
      <c r="F12" s="2" t="inlineStr">
        <is>
          <t>24年同期实际</t>
        </is>
      </c>
      <c r="G12" s="2" t="inlineStr">
        <is>
          <t>实际净利</t>
        </is>
      </c>
      <c r="H12" s="2" t="inlineStr">
        <is>
          <t>预算净利</t>
        </is>
      </c>
      <c r="I12" s="2" t="inlineStr">
        <is>
          <t>24年同期实际</t>
        </is>
      </c>
      <c r="J12" s="2" t="inlineStr">
        <is>
          <t>实际净利</t>
        </is>
      </c>
      <c r="K12" s="2" t="inlineStr">
        <is>
          <t>预算净利</t>
        </is>
      </c>
      <c r="L12" s="2" t="inlineStr">
        <is>
          <t>24年同期实际</t>
        </is>
      </c>
      <c r="M12" s="2" t="inlineStr">
        <is>
          <t>实际净利</t>
        </is>
      </c>
      <c r="N12" s="2" t="inlineStr">
        <is>
          <t>预算净利</t>
        </is>
      </c>
      <c r="O12" s="2" t="inlineStr">
        <is>
          <t>24年同期实际</t>
        </is>
      </c>
      <c r="P12" s="2" t="inlineStr">
        <is>
          <t>实际净利</t>
        </is>
      </c>
      <c r="Q12" s="2" t="inlineStr">
        <is>
          <t>预算净利</t>
        </is>
      </c>
      <c r="R12" s="2" t="inlineStr">
        <is>
          <t>24年同期实际</t>
        </is>
      </c>
      <c r="S12" s="2" t="inlineStr">
        <is>
          <t>实际净利</t>
        </is>
      </c>
      <c r="T12" s="2" t="inlineStr">
        <is>
          <t>预算净利</t>
        </is>
      </c>
      <c r="U12" s="2" t="inlineStr">
        <is>
          <t>24年同期实际</t>
        </is>
      </c>
      <c r="V12" s="2" t="inlineStr">
        <is>
          <t>实际净利</t>
        </is>
      </c>
      <c r="W12" s="2" t="inlineStr">
        <is>
          <t>预算净利</t>
        </is>
      </c>
      <c r="X12" s="2" t="inlineStr">
        <is>
          <t>24年同期实际</t>
        </is>
      </c>
      <c r="Y12" s="2" t="inlineStr">
        <is>
          <t>实际净利</t>
        </is>
      </c>
      <c r="Z12" s="2" t="inlineStr">
        <is>
          <t>预算净利</t>
        </is>
      </c>
      <c r="AA12" s="2" t="inlineStr">
        <is>
          <t>24年同期实际</t>
        </is>
      </c>
      <c r="AB12" s="2" t="inlineStr">
        <is>
          <t>实际净利</t>
        </is>
      </c>
      <c r="AC12" s="2" t="inlineStr">
        <is>
          <t>预算净利</t>
        </is>
      </c>
      <c r="AD12" s="2" t="inlineStr">
        <is>
          <t>24年同期实际</t>
        </is>
      </c>
      <c r="AE12" s="2" t="inlineStr">
        <is>
          <t>实际净利</t>
        </is>
      </c>
      <c r="AF12" s="2" t="inlineStr">
        <is>
          <t>预算净利</t>
        </is>
      </c>
      <c r="AG12" s="2" t="inlineStr">
        <is>
          <t>24年同期实际</t>
        </is>
      </c>
      <c r="AH12" s="2" t="inlineStr">
        <is>
          <t>实际净利</t>
        </is>
      </c>
      <c r="AI12" s="2" t="inlineStr">
        <is>
          <t>预算净利</t>
        </is>
      </c>
      <c r="AJ12" s="2" t="inlineStr">
        <is>
          <t>24年同期实际</t>
        </is>
      </c>
      <c r="AK12" s="2" t="inlineStr">
        <is>
          <t>实际净利</t>
        </is>
      </c>
    </row>
    <row r="13">
      <c r="A13" s="6" t="inlineStr">
        <is>
          <t>江苏分部</t>
        </is>
      </c>
      <c r="B13" s="7" t="n">
        <v>342084.9</v>
      </c>
      <c r="C13" s="7" t="n">
        <v>463061.6</v>
      </c>
      <c r="D13" s="7" t="n">
        <v>364184.9</v>
      </c>
      <c r="E13" s="7" t="n">
        <v>431518.1</v>
      </c>
      <c r="F13" s="7" t="n">
        <v>350847.7</v>
      </c>
      <c r="G13" s="7" t="n">
        <v>284044.2</v>
      </c>
      <c r="H13" s="7" t="n">
        <v>600797.4</v>
      </c>
      <c r="I13" s="7" t="n">
        <v>99211.2</v>
      </c>
      <c r="J13" s="7" t="n">
        <v>119169.9</v>
      </c>
      <c r="K13" s="7" t="n">
        <v>399755.3</v>
      </c>
      <c r="L13" s="7" t="n">
        <v>386129.6</v>
      </c>
      <c r="M13" s="7" t="n">
        <v>709359.3</v>
      </c>
      <c r="N13" s="7" t="n">
        <v>544614.8</v>
      </c>
      <c r="O13" s="7" t="n">
        <v>675221.9</v>
      </c>
      <c r="P13" s="7" t="n">
        <v>645519.1</v>
      </c>
      <c r="Q13" s="7" t="n">
        <v>452745.9</v>
      </c>
      <c r="R13" s="7" t="n">
        <v>1041290.3</v>
      </c>
      <c r="S13" s="7" t="n">
        <v>792754.7</v>
      </c>
      <c r="T13" s="7" t="n">
        <v>443811.8</v>
      </c>
      <c r="U13" s="7" t="n">
        <v>587441.8</v>
      </c>
      <c r="V13" s="7" t="n">
        <v>870169.3</v>
      </c>
      <c r="W13" s="7" t="n">
        <v>592982.7</v>
      </c>
      <c r="X13" s="7" t="n">
        <v>805315.8</v>
      </c>
      <c r="Y13" s="7" t="n">
        <v>629574.7</v>
      </c>
      <c r="Z13" s="7" t="n">
        <v>603621</v>
      </c>
      <c r="AA13" s="7" t="n">
        <v>199352.2</v>
      </c>
      <c r="AB13" s="7" t="n">
        <v>206663.3</v>
      </c>
      <c r="AC13" s="7" t="n">
        <v>480876.5</v>
      </c>
      <c r="AD13" s="7" t="n">
        <v>585001.1</v>
      </c>
      <c r="AE13" s="7" t="n">
        <v>489381.3</v>
      </c>
      <c r="AF13" s="7" t="n">
        <v>526283</v>
      </c>
      <c r="AG13" s="7" t="n">
        <v>252331.1</v>
      </c>
      <c r="AH13" s="7" t="n">
        <v>222959.4</v>
      </c>
      <c r="AI13" s="7" t="n">
        <v>368931.6</v>
      </c>
      <c r="AJ13" s="7" t="n">
        <v>327746</v>
      </c>
      <c r="AK13" s="7" t="n">
        <v>249902.1</v>
      </c>
    </row>
    <row r="14">
      <c r="A14" s="6" t="inlineStr">
        <is>
          <t>浙江分部</t>
        </is>
      </c>
      <c r="B14" s="7" t="n">
        <v>354575.6</v>
      </c>
      <c r="C14" s="7" t="n">
        <v>75533.5</v>
      </c>
      <c r="D14" s="7" t="n">
        <v>134138.6</v>
      </c>
      <c r="E14" s="7" t="n">
        <v>228030.9</v>
      </c>
      <c r="F14" s="7" t="n">
        <v>115492.3</v>
      </c>
      <c r="G14" s="7" t="n">
        <v>90497.7</v>
      </c>
      <c r="H14" s="7" t="n">
        <v>373037.8</v>
      </c>
      <c r="I14" s="7" t="n">
        <v>208997.3</v>
      </c>
      <c r="J14" s="7" t="n">
        <v>218233</v>
      </c>
      <c r="K14" s="7" t="n">
        <v>376749.8</v>
      </c>
      <c r="L14" s="7" t="n">
        <v>306353.3</v>
      </c>
      <c r="M14" s="7" t="n">
        <v>386106.4</v>
      </c>
      <c r="N14" s="7" t="n">
        <v>247686.8</v>
      </c>
      <c r="O14" s="7" t="n">
        <v>376251.9</v>
      </c>
      <c r="P14" s="7" t="n">
        <v>691885.9</v>
      </c>
      <c r="Q14" s="7" t="n">
        <v>309656.2</v>
      </c>
      <c r="R14" s="7" t="n">
        <v>114622.1</v>
      </c>
      <c r="S14" s="7" t="n">
        <v>163869.9</v>
      </c>
      <c r="T14" s="7" t="n">
        <v>261167.6</v>
      </c>
      <c r="U14" s="7" t="n">
        <v>219044.6</v>
      </c>
      <c r="V14" s="7" t="n">
        <v>404211.5</v>
      </c>
      <c r="W14" s="7" t="n">
        <v>413305.9</v>
      </c>
      <c r="X14" s="7" t="n">
        <v>746398.1</v>
      </c>
      <c r="Y14" s="7" t="n">
        <v>520729.2</v>
      </c>
      <c r="Z14" s="7" t="n">
        <v>327710.9</v>
      </c>
      <c r="AA14" s="7" t="n">
        <v>206585.2</v>
      </c>
      <c r="AB14" s="7" t="n">
        <v>203455.3</v>
      </c>
      <c r="AC14" s="7" t="n">
        <v>236721.3</v>
      </c>
      <c r="AD14" s="7" t="n">
        <v>869687.9</v>
      </c>
      <c r="AE14" s="7" t="n">
        <v>584027</v>
      </c>
      <c r="AF14" s="7" t="n">
        <v>275429</v>
      </c>
      <c r="AG14" s="7" t="n">
        <v>347962</v>
      </c>
      <c r="AH14" s="7" t="n">
        <v>333606.7</v>
      </c>
      <c r="AI14" s="7" t="n">
        <v>391979.6</v>
      </c>
      <c r="AJ14" s="7" t="n">
        <v>120416.7</v>
      </c>
      <c r="AK14" s="7" t="n">
        <v>159849.3</v>
      </c>
    </row>
    <row r="15">
      <c r="A15" s="6" t="inlineStr">
        <is>
          <t>上海分部</t>
        </is>
      </c>
      <c r="B15" s="7" t="n">
        <v>330371.8</v>
      </c>
      <c r="C15" s="7" t="n">
        <v>131146.7</v>
      </c>
      <c r="D15" s="7" t="n">
        <v>104641.9</v>
      </c>
      <c r="E15" s="7" t="n">
        <v>406478</v>
      </c>
      <c r="F15" s="7" t="n">
        <v>107276.6</v>
      </c>
      <c r="G15" s="7" t="n">
        <v>155225.1</v>
      </c>
      <c r="H15" s="7" t="n">
        <v>346951.8</v>
      </c>
      <c r="I15" s="7" t="n">
        <v>187527.8</v>
      </c>
      <c r="J15" s="7" t="n">
        <v>218825.5</v>
      </c>
      <c r="K15" s="7" t="n">
        <v>326090.2</v>
      </c>
      <c r="L15" s="7" t="n">
        <v>274246.8</v>
      </c>
      <c r="M15" s="7" t="n">
        <v>214114.5</v>
      </c>
      <c r="N15" s="7" t="n">
        <v>320324.4</v>
      </c>
      <c r="O15" s="7" t="n">
        <v>191169.4</v>
      </c>
      <c r="P15" s="7" t="n">
        <v>139969</v>
      </c>
      <c r="Q15" s="7" t="n">
        <v>269279.1</v>
      </c>
      <c r="R15" s="7" t="n">
        <v>452336.4</v>
      </c>
      <c r="S15" s="7" t="n">
        <v>543722.8</v>
      </c>
      <c r="T15" s="7" t="n">
        <v>242773</v>
      </c>
      <c r="U15" s="7" t="n">
        <v>208279.7</v>
      </c>
      <c r="V15" s="7" t="n">
        <v>333527.7</v>
      </c>
      <c r="W15" s="7" t="n">
        <v>420099.9</v>
      </c>
      <c r="X15" s="7" t="n">
        <v>606756.9</v>
      </c>
      <c r="Y15" s="7" t="n">
        <v>699013.3</v>
      </c>
      <c r="Z15" s="7" t="n">
        <v>327750.9</v>
      </c>
      <c r="AA15" s="7" t="n">
        <v>585821.1</v>
      </c>
      <c r="AB15" s="7" t="n">
        <v>421609.8</v>
      </c>
      <c r="AC15" s="7" t="n">
        <v>396391.9</v>
      </c>
      <c r="AD15" s="7" t="n">
        <v>702782.5</v>
      </c>
      <c r="AE15" s="7" t="n">
        <v>565252.3</v>
      </c>
      <c r="AF15" s="7" t="n">
        <v>312399.4</v>
      </c>
      <c r="AG15" s="7" t="n">
        <v>222779.5</v>
      </c>
      <c r="AH15" s="7" t="n">
        <v>159740.1</v>
      </c>
      <c r="AI15" s="7" t="n">
        <v>247298.5</v>
      </c>
      <c r="AJ15" s="7" t="n">
        <v>381820.9</v>
      </c>
      <c r="AK15" s="7" t="n">
        <v>430635.7</v>
      </c>
    </row>
    <row r="16">
      <c r="A16" s="6" t="inlineStr">
        <is>
          <t>赣皖区域</t>
        </is>
      </c>
      <c r="B16" s="7" t="n">
        <v>209968.7</v>
      </c>
      <c r="C16" s="7" t="n">
        <v>80012.39999999999</v>
      </c>
      <c r="D16" s="7" t="n">
        <v>54292.7</v>
      </c>
      <c r="E16" s="7" t="n">
        <v>339855.7</v>
      </c>
      <c r="F16" s="7" t="n">
        <v>218141.1</v>
      </c>
      <c r="G16" s="7" t="n">
        <v>218972.5</v>
      </c>
      <c r="H16" s="7" t="n">
        <v>252801.3</v>
      </c>
      <c r="I16" s="7" t="n">
        <v>357574.5</v>
      </c>
      <c r="J16" s="7" t="n">
        <v>358462.3</v>
      </c>
      <c r="K16" s="7" t="n">
        <v>266908.2</v>
      </c>
      <c r="L16" s="7" t="n">
        <v>631857.6</v>
      </c>
      <c r="M16" s="7" t="n">
        <v>443623.5</v>
      </c>
      <c r="N16" s="7" t="n">
        <v>227210.5</v>
      </c>
      <c r="O16" s="7" t="n">
        <v>378371.3</v>
      </c>
      <c r="P16" s="7" t="n">
        <v>371215.8</v>
      </c>
      <c r="Q16" s="7" t="n">
        <v>293975.6</v>
      </c>
      <c r="R16" s="7" t="n">
        <v>359577.7</v>
      </c>
      <c r="S16" s="7" t="n">
        <v>276354.2</v>
      </c>
      <c r="T16" s="7" t="n">
        <v>299994.5</v>
      </c>
      <c r="U16" s="7" t="n">
        <v>176842.9</v>
      </c>
      <c r="V16" s="7" t="n">
        <v>144116.7</v>
      </c>
      <c r="W16" s="7" t="n">
        <v>339228.2</v>
      </c>
      <c r="X16" s="7" t="n">
        <v>197356.1</v>
      </c>
      <c r="Y16" s="7" t="n">
        <v>340899.8</v>
      </c>
      <c r="Z16" s="7" t="n">
        <v>231437.7</v>
      </c>
      <c r="AA16" s="7" t="n">
        <v>423660.5</v>
      </c>
      <c r="AB16" s="7" t="n">
        <v>384288.8</v>
      </c>
      <c r="AC16" s="7" t="n">
        <v>215678.6</v>
      </c>
      <c r="AD16" s="7" t="n">
        <v>381356.6</v>
      </c>
      <c r="AE16" s="7" t="n">
        <v>288395</v>
      </c>
      <c r="AF16" s="7" t="n">
        <v>352789.1</v>
      </c>
      <c r="AG16" s="7" t="n">
        <v>314858.6</v>
      </c>
      <c r="AH16" s="7" t="n">
        <v>301163.4</v>
      </c>
      <c r="AI16" s="7" t="n">
        <v>309306.7</v>
      </c>
      <c r="AJ16" s="7" t="n">
        <v>230896.3</v>
      </c>
      <c r="AK16" s="7" t="n">
        <v>281165.5</v>
      </c>
    </row>
    <row r="17">
      <c r="A17" s="6" t="inlineStr">
        <is>
          <t>销售1总监费用</t>
        </is>
      </c>
      <c r="B17" s="7" t="n">
        <v>-26156.8</v>
      </c>
      <c r="C17" s="7" t="n">
        <v>-11057.1</v>
      </c>
      <c r="D17" s="7" t="n">
        <v>-19061.7</v>
      </c>
      <c r="E17" s="7" t="n">
        <v>-24409.2</v>
      </c>
      <c r="F17" s="7" t="n">
        <v>-17997.3</v>
      </c>
      <c r="G17" s="7" t="n">
        <v>-15502.6</v>
      </c>
      <c r="H17" s="7" t="n">
        <v>-29861.2</v>
      </c>
      <c r="I17" s="7" t="n">
        <v>-10554.3</v>
      </c>
      <c r="J17" s="7" t="n">
        <v>-13086.6</v>
      </c>
      <c r="K17" s="7" t="n">
        <v>-29370.3</v>
      </c>
      <c r="L17" s="7" t="n">
        <v>-48269.6</v>
      </c>
      <c r="M17" s="7" t="n">
        <v>-43777.1</v>
      </c>
      <c r="N17" s="7" t="n">
        <v>-29679.5</v>
      </c>
      <c r="O17" s="7" t="n">
        <v>-13007.9</v>
      </c>
      <c r="P17" s="7" t="n">
        <v>-14045.6</v>
      </c>
      <c r="Q17" s="7" t="n">
        <v>-24436</v>
      </c>
      <c r="R17" s="7" t="n">
        <v>-48584</v>
      </c>
      <c r="S17" s="7" t="n">
        <v>-40835</v>
      </c>
      <c r="T17" s="7" t="n">
        <v>-26653.4</v>
      </c>
      <c r="U17" s="7" t="n">
        <v>-36961.2</v>
      </c>
      <c r="V17" s="7" t="n">
        <v>-43404.8</v>
      </c>
      <c r="W17" s="7" t="n">
        <v>-26434.9</v>
      </c>
      <c r="X17" s="7" t="n">
        <v>-24594.3</v>
      </c>
      <c r="Y17" s="7" t="n">
        <v>-45347.3</v>
      </c>
      <c r="Z17" s="7" t="n">
        <v>-28598.4</v>
      </c>
      <c r="AA17" s="7" t="n">
        <v>-15769</v>
      </c>
      <c r="AB17" s="7" t="n">
        <v>-11509.9</v>
      </c>
      <c r="AC17" s="7" t="n">
        <v>-25022.6</v>
      </c>
      <c r="AD17" s="7" t="n">
        <v>-20010.1</v>
      </c>
      <c r="AE17" s="7" t="n">
        <v>-23470.6</v>
      </c>
      <c r="AF17" s="7" t="n">
        <v>-26706.6</v>
      </c>
      <c r="AG17" s="7" t="n">
        <v>-60903.3</v>
      </c>
      <c r="AH17" s="7" t="n">
        <v>-40652.3</v>
      </c>
      <c r="AI17" s="7" t="n">
        <v>-25408.8</v>
      </c>
      <c r="AJ17" s="7" t="n">
        <v>-11805.8</v>
      </c>
      <c r="AK17" s="7" t="n">
        <v>-15242</v>
      </c>
    </row>
    <row r="18">
      <c r="A18" s="6" t="inlineStr">
        <is>
          <t>合计</t>
        </is>
      </c>
      <c r="B18" s="8" t="n">
        <v>1210844.2</v>
      </c>
      <c r="C18" s="8" t="n">
        <v>738697.1</v>
      </c>
      <c r="D18" s="8" t="n">
        <v>638196.4</v>
      </c>
      <c r="E18" s="8" t="n">
        <v>1381473.5</v>
      </c>
      <c r="F18" s="8" t="n">
        <v>773760.4</v>
      </c>
      <c r="G18" s="8" t="n">
        <v>733236.9</v>
      </c>
      <c r="H18" s="8" t="n">
        <v>1543727.1</v>
      </c>
      <c r="I18" s="8" t="n">
        <v>842756.5</v>
      </c>
      <c r="J18" s="8" t="n">
        <v>901604.1</v>
      </c>
      <c r="K18" s="8" t="n">
        <v>1340133.2</v>
      </c>
      <c r="L18" s="8" t="n">
        <v>1550317.7</v>
      </c>
      <c r="M18" s="8" t="n">
        <v>1709426.6</v>
      </c>
      <c r="N18" s="8" t="n">
        <v>1310157</v>
      </c>
      <c r="O18" s="8" t="n">
        <v>1608006.6</v>
      </c>
      <c r="P18" s="8" t="n">
        <v>1834544.2</v>
      </c>
      <c r="Q18" s="8" t="n">
        <v>1301220.8</v>
      </c>
      <c r="R18" s="8" t="n">
        <v>1919242.5</v>
      </c>
      <c r="S18" s="8" t="n">
        <v>1735866.6</v>
      </c>
      <c r="T18" s="8" t="n">
        <v>1221093.5</v>
      </c>
      <c r="U18" s="8" t="n">
        <v>1154647.8</v>
      </c>
      <c r="V18" s="8" t="n">
        <v>1708620.4</v>
      </c>
      <c r="W18" s="8" t="n">
        <v>1739181.8</v>
      </c>
      <c r="X18" s="8" t="n">
        <v>2331232.6</v>
      </c>
      <c r="Y18" s="8" t="n">
        <v>2144869.7</v>
      </c>
      <c r="Z18" s="8" t="n">
        <v>1461922.1</v>
      </c>
      <c r="AA18" s="8" t="n">
        <v>1399650</v>
      </c>
      <c r="AB18" s="8" t="n">
        <v>1204507.3</v>
      </c>
      <c r="AC18" s="8" t="n">
        <v>1304645.7</v>
      </c>
      <c r="AD18" s="8" t="n">
        <v>2518818</v>
      </c>
      <c r="AE18" s="8" t="n">
        <v>1903585</v>
      </c>
      <c r="AF18" s="8" t="n">
        <v>1440193.9</v>
      </c>
      <c r="AG18" s="8" t="n">
        <v>1077027.9</v>
      </c>
      <c r="AH18" s="8" t="n">
        <v>976817.3</v>
      </c>
      <c r="AI18" s="8" t="n">
        <v>1292107.6</v>
      </c>
      <c r="AJ18" s="8" t="n">
        <v>1049074.1</v>
      </c>
      <c r="AK18" s="8" t="n">
        <v>1106310.6</v>
      </c>
    </row>
    <row r="19">
      <c r="A19" t="inlineStr">
        <is>
          <t>备注：</t>
        </is>
      </c>
    </row>
    <row r="20">
      <c r="A20" t="inlineStr">
        <is>
          <t>本表收入为扣除返利后收入，利润为分红前利润</t>
        </is>
      </c>
    </row>
    <row r="21">
      <c r="A21" t="inlineStr">
        <is>
          <t>编制说明：</t>
        </is>
      </c>
    </row>
  </sheetData>
  <mergeCells count="25">
    <mergeCell ref="B11:D11"/>
    <mergeCell ref="N2:P2"/>
    <mergeCell ref="AI11:AK11"/>
    <mergeCell ref="H2:J2"/>
    <mergeCell ref="H11:J11"/>
    <mergeCell ref="T11:V11"/>
    <mergeCell ref="T2:V2"/>
    <mergeCell ref="Z2:AB2"/>
    <mergeCell ref="E2:G2"/>
    <mergeCell ref="K2:M2"/>
    <mergeCell ref="AF11:AH11"/>
    <mergeCell ref="E11:G11"/>
    <mergeCell ref="AF2:AH2"/>
    <mergeCell ref="A1:AL1"/>
    <mergeCell ref="B2:D2"/>
    <mergeCell ref="W11:Y11"/>
    <mergeCell ref="Q2:S2"/>
    <mergeCell ref="W2:Y2"/>
    <mergeCell ref="AI2:AK2"/>
    <mergeCell ref="Q11:S11"/>
    <mergeCell ref="AC11:AE11"/>
    <mergeCell ref="AC2:AE2"/>
    <mergeCell ref="N11:P11"/>
    <mergeCell ref="Z11:AB11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宁波味觉销售1中心利润表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21416942.3</v>
      </c>
      <c r="D6" s="7" t="n">
        <v>11949285.9</v>
      </c>
      <c r="E6" s="7" t="n">
        <v>19625504</v>
      </c>
      <c r="F6" s="7" t="n">
        <v>14198453.9</v>
      </c>
      <c r="G6" s="7" t="n">
        <v>20134238.7</v>
      </c>
      <c r="H6" s="7" t="n">
        <v>17903235.6</v>
      </c>
      <c r="I6" s="7" t="n">
        <v>18791635.5</v>
      </c>
      <c r="J6" s="7" t="n">
        <v>20664819.2</v>
      </c>
      <c r="K6" s="7" t="n">
        <v>21776220.4</v>
      </c>
      <c r="L6" s="7" t="n">
        <v>23140866.1</v>
      </c>
      <c r="M6" s="7" t="n">
        <v>19745613.3</v>
      </c>
      <c r="N6" s="7" t="n">
        <v>24211457.2</v>
      </c>
      <c r="O6" s="7" t="n">
        <v>21934608.3</v>
      </c>
      <c r="P6" s="7" t="n">
        <v>25902923.3</v>
      </c>
      <c r="Q6" s="7" t="n">
        <v>19140663.4</v>
      </c>
      <c r="R6" s="7" t="n">
        <v>22095437.7</v>
      </c>
      <c r="S6" s="7" t="n">
        <v>22604386.1</v>
      </c>
      <c r="T6" s="7" t="n">
        <v>19870940.8</v>
      </c>
      <c r="U6" s="7" t="n">
        <v>22827470.1</v>
      </c>
      <c r="V6" s="7" t="n">
        <v>24263898.3</v>
      </c>
      <c r="W6" s="7" t="n">
        <v>19701751.6</v>
      </c>
      <c r="X6" s="7" t="n">
        <v>18196565.6</v>
      </c>
      <c r="Y6" s="7" t="n">
        <v>18626032.9</v>
      </c>
      <c r="Z6" s="7" t="n">
        <v>14335178.7</v>
      </c>
      <c r="AA6" s="8" t="n">
        <v>246325066.6</v>
      </c>
      <c r="AB6" s="8" t="n">
        <v>236733062.3</v>
      </c>
    </row>
    <row r="7">
      <c r="A7" s="4" t="inlineStr">
        <is>
          <t>中式汤底</t>
        </is>
      </c>
      <c r="D7" s="7" t="n">
        <v>1588109.8</v>
      </c>
      <c r="F7" s="7" t="n">
        <v>1923721.3</v>
      </c>
      <c r="H7" s="7" t="n">
        <v>2535313.3</v>
      </c>
      <c r="J7" s="7" t="n">
        <v>2837886.6</v>
      </c>
      <c r="L7" s="7" t="n">
        <v>3150426.9</v>
      </c>
      <c r="N7" s="7" t="n">
        <v>3125297.7</v>
      </c>
      <c r="P7" s="7" t="n">
        <v>3530602</v>
      </c>
      <c r="R7" s="7" t="n">
        <v>2527428.9</v>
      </c>
      <c r="T7" s="7" t="n">
        <v>2676634.1</v>
      </c>
      <c r="V7" s="7" t="n">
        <v>3348002.6</v>
      </c>
      <c r="X7" s="7" t="n">
        <v>2160037.8</v>
      </c>
      <c r="Z7" s="7" t="n">
        <v>1879032.2</v>
      </c>
      <c r="AB7" s="7" t="n">
        <v>31282493.2</v>
      </c>
    </row>
    <row r="8">
      <c r="A8" s="4" t="inlineStr">
        <is>
          <t>酱料</t>
        </is>
      </c>
      <c r="D8" s="7" t="n">
        <v>1146436.2</v>
      </c>
      <c r="F8" s="7" t="n">
        <v>1656250.8</v>
      </c>
      <c r="H8" s="7" t="n">
        <v>1832044.3</v>
      </c>
      <c r="J8" s="7" t="n">
        <v>2213081.2</v>
      </c>
      <c r="L8" s="7" t="n">
        <v>2536363.9</v>
      </c>
      <c r="N8" s="7" t="n">
        <v>2741898.5</v>
      </c>
      <c r="P8" s="7" t="n">
        <v>2927199.7</v>
      </c>
      <c r="R8" s="7" t="n">
        <v>2577086</v>
      </c>
      <c r="T8" s="7" t="n">
        <v>2011038.9</v>
      </c>
      <c r="V8" s="7" t="n">
        <v>2881422.5</v>
      </c>
      <c r="X8" s="7" t="n">
        <v>2098691.5</v>
      </c>
      <c r="Z8" s="7" t="n">
        <v>1651044.5</v>
      </c>
      <c r="AB8" s="7" t="n">
        <v>26272558</v>
      </c>
    </row>
    <row r="9">
      <c r="A9" s="4" t="inlineStr">
        <is>
          <t>川味底料</t>
        </is>
      </c>
      <c r="D9" s="7" t="n">
        <v>1509463.3</v>
      </c>
      <c r="F9" s="7" t="n">
        <v>2108866.9</v>
      </c>
      <c r="H9" s="7" t="n">
        <v>2301447.9</v>
      </c>
      <c r="J9" s="7" t="n">
        <v>2630034.1</v>
      </c>
      <c r="L9" s="7" t="n">
        <v>3228356.4</v>
      </c>
      <c r="N9" s="7" t="n">
        <v>3264818.8</v>
      </c>
      <c r="P9" s="7" t="n">
        <v>3744468</v>
      </c>
      <c r="R9" s="7" t="n">
        <v>3007454.2</v>
      </c>
      <c r="T9" s="7" t="n">
        <v>2620749.8</v>
      </c>
      <c r="V9" s="7" t="n">
        <v>2960449.7</v>
      </c>
      <c r="X9" s="7" t="n">
        <v>2649018</v>
      </c>
      <c r="Z9" s="7" t="n">
        <v>2029301.4</v>
      </c>
      <c r="AB9" s="7" t="n">
        <v>32054428.5</v>
      </c>
    </row>
    <row r="10">
      <c r="A10" s="4" t="inlineStr">
        <is>
          <t>调味汁</t>
        </is>
      </c>
      <c r="D10" s="7" t="n">
        <v>2292176.5</v>
      </c>
      <c r="F10" s="7" t="n">
        <v>2285330.7</v>
      </c>
      <c r="H10" s="7" t="n">
        <v>3277081.8</v>
      </c>
      <c r="J10" s="7" t="n">
        <v>4016003.1</v>
      </c>
      <c r="L10" s="7" t="n">
        <v>3885642</v>
      </c>
      <c r="N10" s="7" t="n">
        <v>4491373.6</v>
      </c>
      <c r="P10" s="7" t="n">
        <v>4430472.100000001</v>
      </c>
      <c r="R10" s="7" t="n">
        <v>4107541.3</v>
      </c>
      <c r="T10" s="7" t="n">
        <v>3641501.4</v>
      </c>
      <c r="V10" s="7" t="n">
        <v>4276305.5</v>
      </c>
      <c r="X10" s="7" t="n">
        <v>3511128.2</v>
      </c>
      <c r="Z10" s="7" t="n">
        <v>2742348.3</v>
      </c>
      <c r="AB10" s="7" t="n">
        <v>42956904.5</v>
      </c>
    </row>
    <row r="11">
      <c r="A11" s="4" t="inlineStr">
        <is>
          <t>复合调味粉</t>
        </is>
      </c>
      <c r="D11" s="7" t="n">
        <v>1935941.1</v>
      </c>
      <c r="F11" s="7" t="n">
        <v>2046331.7</v>
      </c>
      <c r="H11" s="7" t="n">
        <v>2470374</v>
      </c>
      <c r="J11" s="7" t="n">
        <v>3202265.9</v>
      </c>
      <c r="L11" s="7" t="n">
        <v>3670499.9</v>
      </c>
      <c r="N11" s="7" t="n">
        <v>3569381</v>
      </c>
      <c r="P11" s="7" t="n">
        <v>3824397.4</v>
      </c>
      <c r="R11" s="7" t="n">
        <v>3317474.6</v>
      </c>
      <c r="T11" s="7" t="n">
        <v>2997027.1</v>
      </c>
      <c r="V11" s="7" t="n">
        <v>3756626.3</v>
      </c>
      <c r="X11" s="7" t="n">
        <v>2638582.1</v>
      </c>
      <c r="Z11" s="7" t="n">
        <v>1802541.2</v>
      </c>
      <c r="AB11" s="7" t="n">
        <v>35231442.3</v>
      </c>
    </row>
    <row r="12">
      <c r="A12" s="4" t="inlineStr">
        <is>
          <t>团餐</t>
        </is>
      </c>
      <c r="D12" s="7" t="n">
        <v>2038512.4</v>
      </c>
      <c r="F12" s="7" t="n">
        <v>2498643.1</v>
      </c>
      <c r="H12" s="7" t="n">
        <v>3057157.3</v>
      </c>
      <c r="J12" s="7" t="n">
        <v>3419600.2</v>
      </c>
      <c r="L12" s="7" t="n">
        <v>3973056.399999999</v>
      </c>
      <c r="N12" s="7" t="n">
        <v>4045539.1</v>
      </c>
      <c r="P12" s="7" t="n">
        <v>3772730.1</v>
      </c>
      <c r="R12" s="7" t="n">
        <v>3637397</v>
      </c>
      <c r="T12" s="7" t="n">
        <v>3285047</v>
      </c>
      <c r="V12" s="7" t="n">
        <v>3451397.2</v>
      </c>
      <c r="X12" s="7" t="n">
        <v>2639037.7</v>
      </c>
      <c r="Z12" s="7" t="n">
        <v>2090087.9</v>
      </c>
      <c r="AB12" s="7" t="n">
        <v>37908205.4</v>
      </c>
    </row>
    <row r="13">
      <c r="A13" s="4" t="inlineStr">
        <is>
          <t>预制菜</t>
        </is>
      </c>
      <c r="D13" s="7" t="n">
        <v>1786101.8</v>
      </c>
      <c r="F13" s="7" t="n">
        <v>1871974.6</v>
      </c>
      <c r="H13" s="7" t="n">
        <v>2504862.9</v>
      </c>
      <c r="J13" s="7" t="n">
        <v>2662625.2</v>
      </c>
      <c r="L13" s="7" t="n">
        <v>2834361.5</v>
      </c>
      <c r="N13" s="7" t="n">
        <v>3314930.1</v>
      </c>
      <c r="P13" s="7" t="n">
        <v>3934883.9</v>
      </c>
      <c r="R13" s="7" t="n">
        <v>3146030.3</v>
      </c>
      <c r="T13" s="7" t="n">
        <v>2747135.9</v>
      </c>
      <c r="V13" s="7" t="n">
        <v>3758026.899999999</v>
      </c>
      <c r="X13" s="7" t="n">
        <v>2761206.3</v>
      </c>
      <c r="Z13" s="7" t="n">
        <v>2142354</v>
      </c>
      <c r="AB13" s="7" t="n">
        <v>33464493.4</v>
      </c>
    </row>
    <row r="14">
      <c r="A14" s="4" t="inlineStr">
        <is>
          <t>返利</t>
        </is>
      </c>
      <c r="D14" s="7" t="n">
        <v>-363990.2</v>
      </c>
      <c r="F14" s="7" t="n">
        <v>-416739.3</v>
      </c>
      <c r="H14" s="7" t="n">
        <v>-206765</v>
      </c>
      <c r="J14" s="7" t="n">
        <v>-477334.3</v>
      </c>
      <c r="L14" s="7" t="n">
        <v>-401935.3</v>
      </c>
      <c r="N14" s="7" t="n">
        <v>-638922.4</v>
      </c>
      <c r="P14" s="7" t="n">
        <v>-617179.7</v>
      </c>
      <c r="R14" s="7" t="n">
        <v>-648537.2</v>
      </c>
      <c r="T14" s="7" t="n">
        <v>-256843.5</v>
      </c>
      <c r="V14" s="7" t="n">
        <v>-541209.5</v>
      </c>
      <c r="X14" s="7" t="n">
        <v>-473001.5</v>
      </c>
      <c r="Z14" s="7" t="n">
        <v>-153345.1</v>
      </c>
      <c r="AB14" s="7" t="n">
        <v>-5195803</v>
      </c>
    </row>
    <row r="15">
      <c r="A15" s="4" t="inlineStr">
        <is>
          <t>其他</t>
        </is>
      </c>
      <c r="D15" s="7" t="n">
        <v>16535</v>
      </c>
      <c r="F15" s="7" t="n">
        <v>224074.1</v>
      </c>
      <c r="H15" s="7" t="n">
        <v>131719.1</v>
      </c>
      <c r="J15" s="7" t="n">
        <v>160657.2</v>
      </c>
      <c r="L15" s="7" t="n">
        <v>264094.4</v>
      </c>
      <c r="N15" s="7" t="n">
        <v>297140.8</v>
      </c>
      <c r="P15" s="7" t="n">
        <v>355349.8</v>
      </c>
      <c r="R15" s="7" t="n">
        <v>423562.6</v>
      </c>
      <c r="T15" s="7" t="n">
        <v>148650.1</v>
      </c>
      <c r="V15" s="7" t="n">
        <v>372877.1</v>
      </c>
      <c r="X15" s="7" t="n">
        <v>211865.5</v>
      </c>
      <c r="Z15" s="7" t="n">
        <v>151814.3</v>
      </c>
      <c r="AB15" s="7" t="n">
        <v>2758340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12816592.6</v>
      </c>
      <c r="D16" s="7" t="n">
        <v>8430686.6</v>
      </c>
      <c r="E16" s="7" t="n">
        <v>15409169.5</v>
      </c>
      <c r="F16" s="7" t="n">
        <v>9949079.300000001</v>
      </c>
      <c r="G16" s="7" t="n">
        <v>13661564.1</v>
      </c>
      <c r="H16" s="7" t="n">
        <v>12242643.7</v>
      </c>
      <c r="I16" s="7" t="n">
        <v>12147022.7</v>
      </c>
      <c r="J16" s="7" t="n">
        <v>14193503.6</v>
      </c>
      <c r="K16" s="7" t="n">
        <v>15147600.6</v>
      </c>
      <c r="L16" s="7" t="n">
        <v>16146008.9</v>
      </c>
      <c r="M16" s="7" t="n">
        <v>13500653.5</v>
      </c>
      <c r="N16" s="7" t="n">
        <v>16914962.4</v>
      </c>
      <c r="O16" s="7" t="n">
        <v>15336024.1</v>
      </c>
      <c r="P16" s="7" t="n">
        <v>17982628.5</v>
      </c>
      <c r="Q16" s="7" t="n">
        <v>13472169.8</v>
      </c>
      <c r="R16" s="7" t="n">
        <v>15422697.6</v>
      </c>
      <c r="S16" s="7" t="n">
        <v>12003826.6</v>
      </c>
      <c r="T16" s="7" t="n">
        <v>13606706.3</v>
      </c>
      <c r="U16" s="7" t="n">
        <v>14445330.5</v>
      </c>
      <c r="V16" s="7" t="n">
        <v>16695372.8</v>
      </c>
      <c r="W16" s="7" t="n">
        <v>15117581.8</v>
      </c>
      <c r="X16" s="7" t="n">
        <v>12704855.4</v>
      </c>
      <c r="Y16" s="7" t="n">
        <v>12956354.2</v>
      </c>
      <c r="Z16" s="7" t="n">
        <v>10083559</v>
      </c>
      <c r="AA16" s="8" t="n">
        <v>166013890</v>
      </c>
      <c r="AB16" s="8" t="n">
        <v>164372704.1</v>
      </c>
    </row>
    <row r="17">
      <c r="A17" s="4" t="inlineStr">
        <is>
          <t>中式汤底</t>
        </is>
      </c>
      <c r="D17" s="7" t="n">
        <v>997945</v>
      </c>
      <c r="F17" s="7" t="n">
        <v>1205211.1</v>
      </c>
      <c r="H17" s="7" t="n">
        <v>1591754.3</v>
      </c>
      <c r="J17" s="7" t="n">
        <v>1781389.7</v>
      </c>
      <c r="L17" s="7" t="n">
        <v>1979136.1</v>
      </c>
      <c r="N17" s="7" t="n">
        <v>1973565.9</v>
      </c>
      <c r="P17" s="7" t="n">
        <v>2212412.4</v>
      </c>
      <c r="R17" s="7" t="n">
        <v>1587107.4</v>
      </c>
      <c r="T17" s="7" t="n">
        <v>1682754.7</v>
      </c>
      <c r="V17" s="7" t="n">
        <v>2099787.4</v>
      </c>
      <c r="X17" s="7" t="n">
        <v>1350406.4</v>
      </c>
      <c r="Z17" s="7" t="n">
        <v>1172092.2</v>
      </c>
      <c r="AB17" s="7" t="n">
        <v>19633562.6</v>
      </c>
    </row>
    <row r="18">
      <c r="A18" s="4" t="inlineStr">
        <is>
          <t>酱料</t>
        </is>
      </c>
      <c r="D18" s="7" t="n">
        <v>736944.2000000001</v>
      </c>
      <c r="F18" s="7" t="n">
        <v>1065191.7</v>
      </c>
      <c r="H18" s="7" t="n">
        <v>1178331.3</v>
      </c>
      <c r="J18" s="7" t="n">
        <v>1425201.1</v>
      </c>
      <c r="L18" s="7" t="n">
        <v>1632546.4</v>
      </c>
      <c r="N18" s="7" t="n">
        <v>1765614.7</v>
      </c>
      <c r="P18" s="7" t="n">
        <v>1884239.3</v>
      </c>
      <c r="R18" s="7" t="n">
        <v>1656291.3</v>
      </c>
      <c r="T18" s="7" t="n">
        <v>1296458.8</v>
      </c>
      <c r="V18" s="7" t="n">
        <v>1854699.7</v>
      </c>
      <c r="X18" s="7" t="n">
        <v>1347269.6</v>
      </c>
      <c r="Z18" s="7" t="n">
        <v>1062600.9</v>
      </c>
      <c r="AB18" s="7" t="n">
        <v>16905389</v>
      </c>
    </row>
    <row r="19">
      <c r="A19" s="4" t="inlineStr">
        <is>
          <t>川味底料</t>
        </is>
      </c>
      <c r="D19" s="7" t="n">
        <v>1001751.2</v>
      </c>
      <c r="F19" s="7" t="n">
        <v>1397231.3</v>
      </c>
      <c r="H19" s="7" t="n">
        <v>1526761.6</v>
      </c>
      <c r="J19" s="7" t="n">
        <v>1748909.5</v>
      </c>
      <c r="L19" s="7" t="n">
        <v>2138563.1</v>
      </c>
      <c r="N19" s="7" t="n">
        <v>2169316.4</v>
      </c>
      <c r="P19" s="7" t="n">
        <v>2475325.1</v>
      </c>
      <c r="R19" s="7" t="n">
        <v>1990567.5</v>
      </c>
      <c r="T19" s="7" t="n">
        <v>1731654.9</v>
      </c>
      <c r="V19" s="7" t="n">
        <v>1961343.4</v>
      </c>
      <c r="X19" s="7" t="n">
        <v>1750675.6</v>
      </c>
      <c r="Z19" s="7" t="n">
        <v>1347130.5</v>
      </c>
      <c r="AB19" s="7" t="n">
        <v>21239230.1</v>
      </c>
    </row>
    <row r="20">
      <c r="A20" s="4" t="inlineStr">
        <is>
          <t>调味汁</t>
        </is>
      </c>
      <c r="D20" s="7" t="n">
        <v>1477950.7</v>
      </c>
      <c r="F20" s="7" t="n">
        <v>1477504.7</v>
      </c>
      <c r="H20" s="7" t="n">
        <v>2118727</v>
      </c>
      <c r="J20" s="7" t="n">
        <v>2598873.9</v>
      </c>
      <c r="L20" s="7" t="n">
        <v>2501960.7</v>
      </c>
      <c r="N20" s="7" t="n">
        <v>2893637.6</v>
      </c>
      <c r="P20" s="7" t="n">
        <v>2873009.899999999</v>
      </c>
      <c r="R20" s="7" t="n">
        <v>2660911.3</v>
      </c>
      <c r="T20" s="7" t="n">
        <v>2346853.6</v>
      </c>
      <c r="V20" s="7" t="n">
        <v>2768583.4</v>
      </c>
      <c r="X20" s="7" t="n">
        <v>2266583.7</v>
      </c>
      <c r="Z20" s="7" t="n">
        <v>1768038.2</v>
      </c>
      <c r="AB20" s="7" t="n">
        <v>27752634.7</v>
      </c>
    </row>
    <row r="21">
      <c r="A21" s="4" t="inlineStr">
        <is>
          <t>复合调味粉</t>
        </is>
      </c>
      <c r="D21" s="7" t="n">
        <v>1286090.3</v>
      </c>
      <c r="F21" s="7" t="n">
        <v>1350666.1</v>
      </c>
      <c r="H21" s="7" t="n">
        <v>1634446.2</v>
      </c>
      <c r="J21" s="7" t="n">
        <v>2116238.7</v>
      </c>
      <c r="L21" s="7" t="n">
        <v>2437282.2</v>
      </c>
      <c r="N21" s="7" t="n">
        <v>2362782.2</v>
      </c>
      <c r="P21" s="7" t="n">
        <v>2553028.3</v>
      </c>
      <c r="R21" s="7" t="n">
        <v>2194817.6</v>
      </c>
      <c r="T21" s="7" t="n">
        <v>1992358.7</v>
      </c>
      <c r="V21" s="7" t="n">
        <v>2493578.6</v>
      </c>
      <c r="X21" s="7" t="n">
        <v>1761173</v>
      </c>
      <c r="Z21" s="7" t="n">
        <v>1191250.8</v>
      </c>
      <c r="AB21" s="7" t="n">
        <v>23373712.7</v>
      </c>
    </row>
    <row r="22">
      <c r="A22" s="4" t="inlineStr">
        <is>
          <t>团餐</t>
        </is>
      </c>
      <c r="D22" s="7" t="n">
        <v>1285968.8</v>
      </c>
      <c r="F22" s="7" t="n">
        <v>1576119.6</v>
      </c>
      <c r="H22" s="7" t="n">
        <v>1924811.5</v>
      </c>
      <c r="J22" s="7" t="n">
        <v>2164810</v>
      </c>
      <c r="L22" s="7" t="n">
        <v>2504252.4</v>
      </c>
      <c r="N22" s="7" t="n">
        <v>2551055.6</v>
      </c>
      <c r="P22" s="7" t="n">
        <v>2377013.2</v>
      </c>
      <c r="R22" s="7" t="n">
        <v>2293726.3</v>
      </c>
      <c r="T22" s="7" t="n">
        <v>2070724.6</v>
      </c>
      <c r="V22" s="7" t="n">
        <v>2182805.2</v>
      </c>
      <c r="X22" s="7" t="n">
        <v>1669359.4</v>
      </c>
      <c r="Z22" s="7" t="n">
        <v>1316757.9</v>
      </c>
      <c r="AB22" s="7" t="n">
        <v>23917404.5</v>
      </c>
    </row>
    <row r="23">
      <c r="A23" s="4" t="inlineStr">
        <is>
          <t>预制菜</t>
        </is>
      </c>
      <c r="D23" s="7" t="n">
        <v>1251265.9</v>
      </c>
      <c r="F23" s="7" t="n">
        <v>1308895.2</v>
      </c>
      <c r="H23" s="7" t="n">
        <v>1773618.5</v>
      </c>
      <c r="J23" s="7" t="n">
        <v>1867041.1</v>
      </c>
      <c r="L23" s="7" t="n">
        <v>1972927.1</v>
      </c>
      <c r="N23" s="7" t="n">
        <v>2340330.9</v>
      </c>
      <c r="P23" s="7" t="n">
        <v>2780542.4</v>
      </c>
      <c r="R23" s="7" t="n">
        <v>2216765</v>
      </c>
      <c r="T23" s="7" t="n">
        <v>1929416.2</v>
      </c>
      <c r="V23" s="7" t="n">
        <v>2655146.7</v>
      </c>
      <c r="X23" s="7" t="n">
        <v>1943118.4</v>
      </c>
      <c r="Z23" s="7" t="n">
        <v>1510416.4</v>
      </c>
      <c r="AB23" s="7" t="n">
        <v>23549483.8</v>
      </c>
    </row>
    <row r="24">
      <c r="A24" s="4" t="inlineStr">
        <is>
          <t>其他</t>
        </is>
      </c>
      <c r="D24" s="7" t="n">
        <v>55851.5</v>
      </c>
      <c r="F24" s="7" t="n">
        <v>12183.6</v>
      </c>
      <c r="H24" s="7" t="n">
        <v>127393.5</v>
      </c>
      <c r="J24" s="7" t="n">
        <v>244268.8</v>
      </c>
      <c r="L24" s="7" t="n">
        <v>258246.5</v>
      </c>
      <c r="N24" s="7" t="n">
        <v>228580.5</v>
      </c>
      <c r="P24" s="7" t="n">
        <v>318175.6</v>
      </c>
      <c r="R24" s="7" t="n">
        <v>186210.8</v>
      </c>
      <c r="T24" s="7" t="n">
        <v>207158.3</v>
      </c>
      <c r="V24" s="7" t="n">
        <v>162964.1</v>
      </c>
      <c r="X24" s="7" t="n">
        <v>29342</v>
      </c>
      <c r="Z24" s="7" t="n">
        <v>37656.8</v>
      </c>
      <c r="AB24" s="7" t="n">
        <v>1868032</v>
      </c>
    </row>
    <row r="25">
      <c r="A25" s="4" t="inlineStr">
        <is>
          <t>运费</t>
        </is>
      </c>
      <c r="D25" s="7" t="n">
        <v>392770.5</v>
      </c>
      <c r="F25" s="7" t="n">
        <v>568259.6</v>
      </c>
      <c r="H25" s="7" t="n">
        <v>494193.3</v>
      </c>
      <c r="J25" s="7" t="n">
        <v>491039.6</v>
      </c>
      <c r="L25" s="7" t="n">
        <v>979340.9</v>
      </c>
      <c r="N25" s="7" t="n">
        <v>858659.1</v>
      </c>
      <c r="P25" s="7" t="n">
        <v>827057.9</v>
      </c>
      <c r="R25" s="7" t="n">
        <v>822511.2</v>
      </c>
      <c r="T25" s="7" t="n">
        <v>556484.8</v>
      </c>
      <c r="V25" s="7" t="n">
        <v>679428.4</v>
      </c>
      <c r="X25" s="7" t="n">
        <v>616269.3</v>
      </c>
      <c r="Z25" s="7" t="n">
        <v>715272.1</v>
      </c>
      <c r="AB25" s="7" t="n">
        <v>8001286.7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8600349.699999999</v>
      </c>
      <c r="D26" s="7" t="n">
        <v>3518599.3</v>
      </c>
      <c r="E26" s="7" t="n">
        <v>4216334.5</v>
      </c>
      <c r="F26" s="7" t="n">
        <v>4249374.6</v>
      </c>
      <c r="G26" s="7" t="n">
        <v>6472674.6</v>
      </c>
      <c r="H26" s="7" t="n">
        <v>5660591.9</v>
      </c>
      <c r="I26" s="7" t="n">
        <v>6644612.8</v>
      </c>
      <c r="J26" s="7" t="n">
        <v>6471315.6</v>
      </c>
      <c r="K26" s="7" t="n">
        <v>6628619.8</v>
      </c>
      <c r="L26" s="7" t="n">
        <v>6994857.2</v>
      </c>
      <c r="M26" s="7" t="n">
        <v>6244959.8</v>
      </c>
      <c r="N26" s="7" t="n">
        <v>7296494.8</v>
      </c>
      <c r="O26" s="7" t="n">
        <v>6598584.2</v>
      </c>
      <c r="P26" s="7" t="n">
        <v>7920294.8</v>
      </c>
      <c r="Q26" s="7" t="n">
        <v>5668493.6</v>
      </c>
      <c r="R26" s="7" t="n">
        <v>6672740.1</v>
      </c>
      <c r="S26" s="7" t="n">
        <v>10600559.5</v>
      </c>
      <c r="T26" s="7" t="n">
        <v>6264234.5</v>
      </c>
      <c r="U26" s="7" t="n">
        <v>8382139.6</v>
      </c>
      <c r="V26" s="7" t="n">
        <v>7568525.5</v>
      </c>
      <c r="W26" s="7" t="n">
        <v>4584169.8</v>
      </c>
      <c r="X26" s="7" t="n">
        <v>5491710.2</v>
      </c>
      <c r="Y26" s="7" t="n">
        <v>5669678.7</v>
      </c>
      <c r="Z26" s="7" t="n">
        <v>4251619.7</v>
      </c>
      <c r="AA26" s="8" t="n">
        <v>80311176.59999999</v>
      </c>
      <c r="AB26" s="8" t="n">
        <v>72360358.2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40.2</v>
      </c>
      <c r="D27" s="13" t="n">
        <v>29.4</v>
      </c>
      <c r="E27" s="13" t="n">
        <v>21.5</v>
      </c>
      <c r="F27" s="13" t="n">
        <v>29.9</v>
      </c>
      <c r="G27" s="13" t="n">
        <v>32.1</v>
      </c>
      <c r="H27" s="13" t="n">
        <v>31.6</v>
      </c>
      <c r="I27" s="13" t="n">
        <v>35.4</v>
      </c>
      <c r="J27" s="13" t="n">
        <v>31.3</v>
      </c>
      <c r="K27" s="13" t="n">
        <v>30.4</v>
      </c>
      <c r="L27" s="13" t="n">
        <v>30.2</v>
      </c>
      <c r="M27" s="13" t="n">
        <v>31.6</v>
      </c>
      <c r="N27" s="13" t="n">
        <v>30.1</v>
      </c>
      <c r="O27" s="13" t="n">
        <v>30.1</v>
      </c>
      <c r="P27" s="13" t="n">
        <v>30.6</v>
      </c>
      <c r="Q27" s="13" t="n">
        <v>29.6</v>
      </c>
      <c r="R27" s="13" t="n">
        <v>30.2</v>
      </c>
      <c r="S27" s="13" t="n">
        <v>46.9</v>
      </c>
      <c r="T27" s="13" t="n">
        <v>31.5</v>
      </c>
      <c r="U27" s="13" t="n">
        <v>36.7</v>
      </c>
      <c r="V27" s="13" t="n">
        <v>31.2</v>
      </c>
      <c r="W27" s="13" t="n">
        <v>23.3</v>
      </c>
      <c r="X27" s="13" t="n">
        <v>30.2</v>
      </c>
      <c r="Y27" s="13" t="n">
        <v>30.4</v>
      </c>
      <c r="Z27" s="13" t="n">
        <v>29.7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198757.8</v>
      </c>
      <c r="D28" s="7" t="n">
        <v>76341.2</v>
      </c>
      <c r="E28" s="7" t="n">
        <v>213164.1</v>
      </c>
      <c r="F28" s="7" t="n">
        <v>183213</v>
      </c>
      <c r="G28" s="7" t="n">
        <v>216369.7</v>
      </c>
      <c r="H28" s="7" t="n">
        <v>94221.89999999999</v>
      </c>
      <c r="I28" s="7" t="n">
        <v>172015.6</v>
      </c>
      <c r="J28" s="7" t="n">
        <v>217811.6</v>
      </c>
      <c r="K28" s="7" t="n">
        <v>225188.6</v>
      </c>
      <c r="L28" s="7" t="n">
        <v>201073.6</v>
      </c>
      <c r="M28" s="7" t="n">
        <v>205659.7</v>
      </c>
      <c r="N28" s="7" t="n">
        <v>315635.5</v>
      </c>
      <c r="O28" s="7" t="n">
        <v>194277.3</v>
      </c>
      <c r="P28" s="7" t="n">
        <v>272407.3</v>
      </c>
      <c r="Q28" s="7" t="n">
        <v>207894.6</v>
      </c>
      <c r="R28" s="7" t="n">
        <v>245689.9</v>
      </c>
      <c r="S28" s="7" t="n">
        <v>188037.1</v>
      </c>
      <c r="T28" s="7" t="n">
        <v>116486.5</v>
      </c>
      <c r="U28" s="7" t="n">
        <v>219601.7</v>
      </c>
      <c r="V28" s="7" t="n">
        <v>196365.5</v>
      </c>
      <c r="W28" s="7" t="n">
        <v>213820.8</v>
      </c>
      <c r="X28" s="7" t="n">
        <v>272874.8</v>
      </c>
      <c r="Y28" s="7" t="n">
        <v>205509.1</v>
      </c>
      <c r="Z28" s="7" t="n">
        <v>174727.1</v>
      </c>
      <c r="AA28" s="8" t="n">
        <v>2460296.1</v>
      </c>
      <c r="AB28" s="8" t="n">
        <v>2366847.9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3573230.9</v>
      </c>
      <c r="D29" s="7" t="n">
        <v>1521078</v>
      </c>
      <c r="E29" s="7" t="n">
        <v>3526275.9</v>
      </c>
      <c r="F29" s="7" t="n">
        <v>3477764.9</v>
      </c>
      <c r="G29" s="7" t="n">
        <v>2955702.4</v>
      </c>
      <c r="H29" s="7" t="n">
        <v>2952113.6</v>
      </c>
      <c r="I29" s="7" t="n">
        <v>3324167.9</v>
      </c>
      <c r="J29" s="7" t="n">
        <v>4889437.6</v>
      </c>
      <c r="K29" s="7" t="n">
        <v>3243454.1</v>
      </c>
      <c r="L29" s="7" t="n">
        <v>2506431.8</v>
      </c>
      <c r="M29" s="7" t="n">
        <v>2835483.2</v>
      </c>
      <c r="N29" s="7" t="n">
        <v>2872064</v>
      </c>
      <c r="O29" s="7" t="n">
        <v>3005750.3</v>
      </c>
      <c r="P29" s="7" t="n">
        <v>3184824.5</v>
      </c>
      <c r="Q29" s="7" t="n">
        <v>3226812.7</v>
      </c>
      <c r="R29" s="7" t="n">
        <v>2755269.3</v>
      </c>
      <c r="S29" s="7" t="n">
        <v>3197192.9</v>
      </c>
      <c r="T29" s="7" t="n">
        <v>2948830</v>
      </c>
      <c r="U29" s="7" t="n">
        <v>2877141.4</v>
      </c>
      <c r="V29" s="7" t="n">
        <v>5008064.2</v>
      </c>
      <c r="W29" s="7" t="n">
        <v>3617970.9</v>
      </c>
      <c r="X29" s="7" t="n">
        <v>2764121.3</v>
      </c>
      <c r="Y29" s="7" t="n">
        <v>2863300.3</v>
      </c>
      <c r="Z29" s="7" t="n">
        <v>3456722</v>
      </c>
      <c r="AA29" s="8" t="n">
        <v>38246482.9</v>
      </c>
      <c r="AB29" s="8" t="n">
        <v>38336721.2</v>
      </c>
    </row>
    <row r="30">
      <c r="A30" s="4" t="inlineStr">
        <is>
          <t>职工薪酬</t>
        </is>
      </c>
      <c r="D30" s="7" t="n">
        <v>748488.3</v>
      </c>
      <c r="F30" s="7" t="n">
        <v>1883480.2</v>
      </c>
      <c r="H30" s="7" t="n">
        <v>1442936.5</v>
      </c>
      <c r="J30" s="7" t="n">
        <v>2623570.3</v>
      </c>
      <c r="L30" s="7" t="n">
        <v>1121704.6</v>
      </c>
      <c r="N30" s="7" t="n">
        <v>1723492.6</v>
      </c>
      <c r="P30" s="7" t="n">
        <v>1647997.2</v>
      </c>
      <c r="R30" s="7" t="n">
        <v>1656314.9</v>
      </c>
      <c r="T30" s="7" t="n">
        <v>1666223.8</v>
      </c>
      <c r="V30" s="7" t="n">
        <v>2391194.1</v>
      </c>
      <c r="X30" s="7" t="n">
        <v>1151686.2</v>
      </c>
      <c r="Z30" s="7" t="n">
        <v>1495258.2</v>
      </c>
      <c r="AB30" s="7" t="n">
        <v>19552346.9</v>
      </c>
    </row>
    <row r="31">
      <c r="A31" s="4" t="inlineStr">
        <is>
          <t>工资</t>
        </is>
      </c>
      <c r="D31" s="7" t="n">
        <v>433485.4</v>
      </c>
      <c r="F31" s="7" t="n">
        <v>1130337.6</v>
      </c>
      <c r="H31" s="7" t="n">
        <v>884591.5</v>
      </c>
      <c r="J31" s="7" t="n">
        <v>1578748.2</v>
      </c>
      <c r="L31" s="7" t="n">
        <v>657038.3</v>
      </c>
      <c r="N31" s="7" t="n">
        <v>1097694.3</v>
      </c>
      <c r="P31" s="7" t="n">
        <v>945670.2</v>
      </c>
      <c r="R31" s="7" t="n">
        <v>977690.4</v>
      </c>
      <c r="T31" s="7" t="n">
        <v>982840.2</v>
      </c>
      <c r="V31" s="7" t="n">
        <v>1319815.7</v>
      </c>
      <c r="X31" s="7" t="n">
        <v>616772.6</v>
      </c>
      <c r="Z31" s="7" t="n">
        <v>763190.1</v>
      </c>
      <c r="AB31" s="7" t="n">
        <v>11387874.5</v>
      </c>
    </row>
    <row r="32">
      <c r="A32" s="4" t="inlineStr">
        <is>
          <t>奖金及提成</t>
        </is>
      </c>
      <c r="D32" s="7" t="n">
        <v>146595.9</v>
      </c>
      <c r="F32" s="7" t="n">
        <v>344490.2</v>
      </c>
      <c r="H32" s="7" t="n">
        <v>242785.9</v>
      </c>
      <c r="J32" s="7" t="n">
        <v>520234.3</v>
      </c>
      <c r="L32" s="7" t="n">
        <v>222458.2</v>
      </c>
      <c r="N32" s="7" t="n">
        <v>324835.5</v>
      </c>
      <c r="P32" s="7" t="n">
        <v>363235.6</v>
      </c>
      <c r="R32" s="7" t="n">
        <v>335169.3</v>
      </c>
      <c r="T32" s="7" t="n">
        <v>378990.8</v>
      </c>
      <c r="V32" s="7" t="n">
        <v>389857.6</v>
      </c>
      <c r="X32" s="7" t="n">
        <v>254941.6</v>
      </c>
      <c r="Z32" s="7" t="n">
        <v>358458.9</v>
      </c>
      <c r="AB32" s="7" t="n">
        <v>3882053.8</v>
      </c>
    </row>
    <row r="33">
      <c r="A33" s="4" t="inlineStr">
        <is>
          <t>社保</t>
        </is>
      </c>
      <c r="D33" s="7" t="n">
        <v>108479.6</v>
      </c>
      <c r="F33" s="7" t="n">
        <v>272624.4</v>
      </c>
      <c r="H33" s="7" t="n">
        <v>203219.5</v>
      </c>
      <c r="J33" s="7" t="n">
        <v>331993.3</v>
      </c>
      <c r="L33" s="7" t="n">
        <v>152007.5</v>
      </c>
      <c r="N33" s="7" t="n">
        <v>200843.9</v>
      </c>
      <c r="P33" s="7" t="n">
        <v>237075.8</v>
      </c>
      <c r="R33" s="7" t="n">
        <v>235680.5</v>
      </c>
      <c r="T33" s="7" t="n">
        <v>200275.6</v>
      </c>
      <c r="V33" s="7" t="n">
        <v>488460.3</v>
      </c>
      <c r="X33" s="7" t="n">
        <v>175979.4</v>
      </c>
      <c r="Z33" s="7" t="n">
        <v>247905.5</v>
      </c>
      <c r="AB33" s="7" t="n">
        <v>2854545.3</v>
      </c>
    </row>
    <row r="34">
      <c r="A34" s="4" t="inlineStr">
        <is>
          <t>养老</t>
        </is>
      </c>
      <c r="D34" s="7" t="n">
        <v>5114.5</v>
      </c>
      <c r="F34" s="7" t="n">
        <v>15254</v>
      </c>
      <c r="H34" s="7" t="n">
        <v>11171.3</v>
      </c>
      <c r="J34" s="7" t="n">
        <v>18685.4</v>
      </c>
      <c r="L34" s="7" t="n">
        <v>9487.6</v>
      </c>
      <c r="N34" s="7" t="n">
        <v>9629.9</v>
      </c>
      <c r="P34" s="7" t="n">
        <v>8612.9</v>
      </c>
      <c r="R34" s="7" t="n">
        <v>13225.5</v>
      </c>
      <c r="T34" s="7" t="n">
        <v>11207</v>
      </c>
      <c r="V34" s="7" t="n">
        <v>24283.2</v>
      </c>
      <c r="X34" s="7" t="n">
        <v>8681.200000000001</v>
      </c>
      <c r="Z34" s="7" t="n">
        <v>11938.7</v>
      </c>
      <c r="AB34" s="7" t="n">
        <v>147291.2</v>
      </c>
    </row>
    <row r="35">
      <c r="A35" s="4" t="inlineStr">
        <is>
          <t>医疗</t>
        </is>
      </c>
      <c r="D35" s="7" t="n">
        <v>502.6</v>
      </c>
      <c r="F35" s="7" t="n">
        <v>1417</v>
      </c>
      <c r="H35" s="7" t="n">
        <v>1068.9</v>
      </c>
      <c r="J35" s="7" t="n">
        <v>1591.8</v>
      </c>
      <c r="L35" s="7" t="n">
        <v>848.9</v>
      </c>
      <c r="N35" s="7" t="n">
        <v>1150.1</v>
      </c>
      <c r="P35" s="7" t="n">
        <v>1011.7</v>
      </c>
      <c r="R35" s="7" t="n">
        <v>1122.7</v>
      </c>
      <c r="T35" s="7" t="n">
        <v>1110.7</v>
      </c>
      <c r="V35" s="7" t="n">
        <v>1922.5</v>
      </c>
      <c r="X35" s="7" t="n">
        <v>842.4</v>
      </c>
      <c r="Z35" s="7" t="n">
        <v>1077.3</v>
      </c>
      <c r="AB35" s="7" t="n">
        <v>13666.6</v>
      </c>
    </row>
    <row r="36">
      <c r="A36" s="4" t="inlineStr">
        <is>
          <t>工伤</t>
        </is>
      </c>
      <c r="D36" s="7" t="n">
        <v>4646</v>
      </c>
      <c r="F36" s="7" t="n">
        <v>13420.6</v>
      </c>
      <c r="H36" s="7" t="n">
        <v>8214.799999999999</v>
      </c>
      <c r="J36" s="7" t="n">
        <v>18331</v>
      </c>
      <c r="L36" s="7" t="n">
        <v>10859.9</v>
      </c>
      <c r="N36" s="7" t="n">
        <v>9320.700000000001</v>
      </c>
      <c r="P36" s="7" t="n">
        <v>15404.8</v>
      </c>
      <c r="R36" s="7" t="n">
        <v>11418.7</v>
      </c>
      <c r="T36" s="7" t="n">
        <v>8505.200000000001</v>
      </c>
      <c r="V36" s="7" t="n">
        <v>24066.3</v>
      </c>
      <c r="X36" s="7" t="n">
        <v>9678.6</v>
      </c>
      <c r="Z36" s="7" t="n">
        <v>15213.8</v>
      </c>
      <c r="AB36" s="7" t="n">
        <v>149080.4</v>
      </c>
    </row>
    <row r="37">
      <c r="A37" s="4" t="inlineStr">
        <is>
          <t>失业</t>
        </is>
      </c>
      <c r="D37" s="7" t="n">
        <v>4272.9</v>
      </c>
      <c r="F37" s="7" t="n">
        <v>8915.799999999999</v>
      </c>
      <c r="H37" s="7" t="n">
        <v>5378.8</v>
      </c>
      <c r="J37" s="7" t="n">
        <v>10931.2</v>
      </c>
      <c r="L37" s="7" t="n">
        <v>5573.3</v>
      </c>
      <c r="N37" s="7" t="n">
        <v>4643.8</v>
      </c>
      <c r="P37" s="7" t="n">
        <v>5539.3</v>
      </c>
      <c r="R37" s="7" t="n">
        <v>5512.7</v>
      </c>
      <c r="T37" s="7" t="n">
        <v>6453.5</v>
      </c>
      <c r="V37" s="7" t="n">
        <v>10848.1</v>
      </c>
      <c r="X37" s="7" t="n">
        <v>6537.9</v>
      </c>
      <c r="Z37" s="7" t="n">
        <v>7757.6</v>
      </c>
      <c r="AB37" s="7" t="n">
        <v>82364.89999999999</v>
      </c>
    </row>
    <row r="38">
      <c r="A38" s="4" t="inlineStr">
        <is>
          <t>生育</t>
        </is>
      </c>
      <c r="D38" s="7" t="n">
        <v>3493.1</v>
      </c>
      <c r="F38" s="7" t="n">
        <v>5964.7</v>
      </c>
      <c r="H38" s="7" t="n">
        <v>8217.700000000001</v>
      </c>
      <c r="J38" s="7" t="n">
        <v>12025.1</v>
      </c>
      <c r="L38" s="7" t="n">
        <v>4741</v>
      </c>
      <c r="N38" s="7" t="n">
        <v>5570.3</v>
      </c>
      <c r="P38" s="7" t="n">
        <v>8198.4</v>
      </c>
      <c r="R38" s="7" t="n">
        <v>6040.4</v>
      </c>
      <c r="T38" s="7" t="n">
        <v>7136</v>
      </c>
      <c r="V38" s="7" t="n">
        <v>9476.5</v>
      </c>
      <c r="X38" s="7" t="n">
        <v>7070.7</v>
      </c>
      <c r="Z38" s="7" t="n">
        <v>6846.8</v>
      </c>
      <c r="AB38" s="7" t="n">
        <v>84780.7</v>
      </c>
    </row>
    <row r="39">
      <c r="A39" s="4" t="inlineStr">
        <is>
          <t>公积金</t>
        </is>
      </c>
      <c r="D39" s="7" t="n">
        <v>8655.9</v>
      </c>
      <c r="F39" s="7" t="n">
        <v>16137.9</v>
      </c>
      <c r="H39" s="7" t="n">
        <v>15366.1</v>
      </c>
      <c r="J39" s="7" t="n">
        <v>24524.2</v>
      </c>
      <c r="L39" s="7" t="n">
        <v>12323.9</v>
      </c>
      <c r="N39" s="7" t="n">
        <v>9085.799999999999</v>
      </c>
      <c r="P39" s="7" t="n">
        <v>13857.3</v>
      </c>
      <c r="R39" s="7" t="n">
        <v>15585.5</v>
      </c>
      <c r="T39" s="7" t="n">
        <v>15240.7</v>
      </c>
      <c r="V39" s="7" t="n">
        <v>25794.1</v>
      </c>
      <c r="X39" s="7" t="n">
        <v>12781.9</v>
      </c>
      <c r="Z39" s="7" t="n">
        <v>17302.1</v>
      </c>
      <c r="AB39" s="7" t="n">
        <v>186655.4</v>
      </c>
    </row>
    <row r="40">
      <c r="A40" s="4" t="inlineStr">
        <is>
          <t>工会经费</t>
        </is>
      </c>
      <c r="D40" s="7" t="n">
        <v>4669.6</v>
      </c>
      <c r="F40" s="7" t="n">
        <v>14337.4</v>
      </c>
      <c r="H40" s="7" t="n">
        <v>12107.4</v>
      </c>
      <c r="J40" s="7" t="n">
        <v>22538.6</v>
      </c>
      <c r="L40" s="7" t="n">
        <v>7563.7</v>
      </c>
      <c r="N40" s="7" t="n">
        <v>12181.3</v>
      </c>
      <c r="P40" s="7" t="n">
        <v>8761.299999999999</v>
      </c>
      <c r="R40" s="7" t="n">
        <v>13377.9</v>
      </c>
      <c r="T40" s="7" t="n">
        <v>8642.299999999999</v>
      </c>
      <c r="V40" s="7" t="n">
        <v>13631.7</v>
      </c>
      <c r="X40" s="7" t="n">
        <v>9394.299999999999</v>
      </c>
      <c r="Z40" s="7" t="n">
        <v>10460.5</v>
      </c>
      <c r="AB40" s="7" t="n">
        <v>137666</v>
      </c>
    </row>
    <row r="41">
      <c r="A41" s="4" t="inlineStr">
        <is>
          <t>职工教育经费</t>
        </is>
      </c>
      <c r="D41" s="7" t="n">
        <v>6516.9</v>
      </c>
      <c r="F41" s="7" t="n">
        <v>18344.8</v>
      </c>
      <c r="H41" s="7" t="n">
        <v>16739.4</v>
      </c>
      <c r="J41" s="7" t="n">
        <v>27091</v>
      </c>
      <c r="L41" s="7" t="n">
        <v>12954.7</v>
      </c>
      <c r="N41" s="7" t="n">
        <v>9589</v>
      </c>
      <c r="P41" s="7" t="n">
        <v>11289.1</v>
      </c>
      <c r="R41" s="7" t="n">
        <v>10284.9</v>
      </c>
      <c r="T41" s="7" t="n">
        <v>11950.4</v>
      </c>
      <c r="V41" s="7" t="n">
        <v>24883</v>
      </c>
      <c r="X41" s="7" t="n">
        <v>12706.9</v>
      </c>
      <c r="Z41" s="7" t="n">
        <v>13902.5</v>
      </c>
      <c r="AB41" s="7" t="n">
        <v>176252.6</v>
      </c>
    </row>
    <row r="42">
      <c r="A42" s="4" t="inlineStr">
        <is>
          <t>福利费</t>
        </is>
      </c>
      <c r="D42" s="7" t="n">
        <v>40085</v>
      </c>
      <c r="F42" s="7" t="n">
        <v>87207.89999999999</v>
      </c>
      <c r="H42" s="7" t="n">
        <v>68126.7</v>
      </c>
      <c r="J42" s="7" t="n">
        <v>118440.7</v>
      </c>
      <c r="L42" s="7" t="n">
        <v>57358.3</v>
      </c>
      <c r="N42" s="7" t="n">
        <v>69262.8</v>
      </c>
      <c r="P42" s="7" t="n">
        <v>68107.89999999999</v>
      </c>
      <c r="R42" s="7" t="n">
        <v>68526.39999999999</v>
      </c>
      <c r="T42" s="7" t="n">
        <v>68283.8</v>
      </c>
      <c r="V42" s="7" t="n">
        <v>128751.7</v>
      </c>
      <c r="X42" s="7" t="n">
        <v>69109.5</v>
      </c>
      <c r="Z42" s="7" t="n">
        <v>84038.60000000001</v>
      </c>
      <c r="AB42" s="7" t="n">
        <v>927299.3</v>
      </c>
    </row>
    <row r="43">
      <c r="A43" s="4" t="inlineStr">
        <is>
          <t>职工房租</t>
        </is>
      </c>
      <c r="D43" s="7" t="n">
        <v>2879.3</v>
      </c>
      <c r="F43" s="7" t="n">
        <v>4505.4</v>
      </c>
      <c r="H43" s="7" t="n">
        <v>3801.9</v>
      </c>
      <c r="J43" s="7" t="n">
        <v>5943.4</v>
      </c>
      <c r="L43" s="7" t="n">
        <v>4150.4</v>
      </c>
      <c r="N43" s="7" t="n">
        <v>3770.1</v>
      </c>
      <c r="P43" s="7" t="n">
        <v>4270.1</v>
      </c>
      <c r="R43" s="7" t="n">
        <v>5120</v>
      </c>
      <c r="T43" s="7" t="n">
        <v>5118.8</v>
      </c>
      <c r="V43" s="7" t="n">
        <v>6380.8</v>
      </c>
      <c r="X43" s="7" t="n">
        <v>3151.1</v>
      </c>
      <c r="Z43" s="7" t="n">
        <v>5637.2</v>
      </c>
      <c r="AB43" s="7" t="n">
        <v>54728.5</v>
      </c>
    </row>
    <row r="44">
      <c r="A44" s="4" t="inlineStr">
        <is>
          <t>水电物业费</t>
        </is>
      </c>
      <c r="D44" s="7" t="n">
        <v>4878.2</v>
      </c>
      <c r="F44" s="7" t="n">
        <v>10313</v>
      </c>
      <c r="H44" s="7" t="n">
        <v>9355</v>
      </c>
      <c r="J44" s="7" t="n">
        <v>14398.7</v>
      </c>
      <c r="L44" s="7" t="n">
        <v>5455.9</v>
      </c>
      <c r="N44" s="7" t="n">
        <v>6239.7</v>
      </c>
      <c r="P44" s="7" t="n">
        <v>8948.4</v>
      </c>
      <c r="R44" s="7" t="n">
        <v>6227.7</v>
      </c>
      <c r="T44" s="7" t="n">
        <v>7088.1</v>
      </c>
      <c r="V44" s="7" t="n">
        <v>10646.9</v>
      </c>
      <c r="X44" s="7" t="n">
        <v>6795.7</v>
      </c>
      <c r="Z44" s="7" t="n">
        <v>7068</v>
      </c>
      <c r="AB44" s="7" t="n">
        <v>97415.3</v>
      </c>
    </row>
    <row r="45">
      <c r="A45" s="4" t="inlineStr">
        <is>
          <t>员工餐</t>
        </is>
      </c>
      <c r="D45" s="7" t="n">
        <v>6767.6</v>
      </c>
      <c r="F45" s="7" t="n">
        <v>13727.9</v>
      </c>
      <c r="H45" s="7" t="n">
        <v>8156.8</v>
      </c>
      <c r="J45" s="7" t="n">
        <v>18466.3</v>
      </c>
      <c r="L45" s="7" t="n">
        <v>9313</v>
      </c>
      <c r="N45" s="7" t="n">
        <v>8575.799999999999</v>
      </c>
      <c r="P45" s="7" t="n">
        <v>12393.9</v>
      </c>
      <c r="R45" s="7" t="n">
        <v>9911.9</v>
      </c>
      <c r="T45" s="7" t="n">
        <v>11276.2</v>
      </c>
      <c r="V45" s="7" t="n">
        <v>12937.8</v>
      </c>
      <c r="X45" s="7" t="n">
        <v>9254.1</v>
      </c>
      <c r="Z45" s="7" t="n">
        <v>13800.1</v>
      </c>
      <c r="AB45" s="7" t="n">
        <v>134581.4</v>
      </c>
    </row>
    <row r="46">
      <c r="A46" s="4" t="inlineStr">
        <is>
          <t>节日礼品</t>
        </is>
      </c>
      <c r="D46" s="7" t="n">
        <v>1165.8</v>
      </c>
      <c r="F46" s="7" t="n">
        <v>1612.2</v>
      </c>
      <c r="H46" s="7" t="n">
        <v>2005.2</v>
      </c>
      <c r="J46" s="7" t="n">
        <v>4053.6</v>
      </c>
      <c r="L46" s="7" t="n">
        <v>1560.2</v>
      </c>
      <c r="N46" s="7" t="n">
        <v>2387.8</v>
      </c>
      <c r="P46" s="7" t="n">
        <v>2576.5</v>
      </c>
      <c r="R46" s="7" t="n">
        <v>1792</v>
      </c>
      <c r="T46" s="7" t="n">
        <v>1593.6</v>
      </c>
      <c r="V46" s="7" t="n">
        <v>4220.9</v>
      </c>
      <c r="X46" s="7" t="n">
        <v>1626.9</v>
      </c>
      <c r="Z46" s="7" t="n">
        <v>2478.6</v>
      </c>
      <c r="AB46" s="7" t="n">
        <v>27073.3</v>
      </c>
    </row>
    <row r="47">
      <c r="A47" s="4" t="inlineStr">
        <is>
          <t>生日礼品</t>
        </is>
      </c>
      <c r="D47" s="7" t="n">
        <v>6825.3</v>
      </c>
      <c r="F47" s="7" t="n">
        <v>21626.5</v>
      </c>
      <c r="H47" s="7" t="n">
        <v>17946.7</v>
      </c>
      <c r="J47" s="7" t="n">
        <v>33007.2</v>
      </c>
      <c r="L47" s="7" t="n">
        <v>18832.2</v>
      </c>
      <c r="N47" s="7" t="n">
        <v>21338.9</v>
      </c>
      <c r="P47" s="7" t="n">
        <v>15264.7</v>
      </c>
      <c r="R47" s="7" t="n">
        <v>20166.2</v>
      </c>
      <c r="T47" s="7" t="n">
        <v>14141.2</v>
      </c>
      <c r="V47" s="7" t="n">
        <v>37323.6</v>
      </c>
      <c r="X47" s="7" t="n">
        <v>21365.8</v>
      </c>
      <c r="Z47" s="7" t="n">
        <v>19308.3</v>
      </c>
      <c r="AB47" s="7" t="n">
        <v>247146.6</v>
      </c>
    </row>
    <row r="48">
      <c r="A48" s="4" t="inlineStr">
        <is>
          <t>体检</t>
        </is>
      </c>
      <c r="D48" s="7" t="n">
        <v>6235.5</v>
      </c>
      <c r="F48" s="7" t="n">
        <v>14429.7</v>
      </c>
      <c r="H48" s="7" t="n">
        <v>12041.1</v>
      </c>
      <c r="J48" s="7" t="n">
        <v>19473.2</v>
      </c>
      <c r="L48" s="7" t="n">
        <v>5744.6</v>
      </c>
      <c r="N48" s="7" t="n">
        <v>9710.1</v>
      </c>
      <c r="P48" s="7" t="n">
        <v>7908</v>
      </c>
      <c r="R48" s="7" t="n">
        <v>11544</v>
      </c>
      <c r="T48" s="7" t="n">
        <v>8340.799999999999</v>
      </c>
      <c r="V48" s="7" t="n">
        <v>21042.4</v>
      </c>
      <c r="X48" s="7" t="n">
        <v>9212.299999999999</v>
      </c>
      <c r="Z48" s="7" t="n">
        <v>11187.9</v>
      </c>
      <c r="AB48" s="7" t="n">
        <v>136869.6</v>
      </c>
    </row>
    <row r="49">
      <c r="A49" s="4" t="inlineStr">
        <is>
          <t>其他福利支出</t>
        </is>
      </c>
      <c r="D49" s="7" t="n">
        <v>11333.3</v>
      </c>
      <c r="F49" s="7" t="n">
        <v>20993.2</v>
      </c>
      <c r="H49" s="7" t="n">
        <v>14820</v>
      </c>
      <c r="J49" s="7" t="n">
        <v>23098.3</v>
      </c>
      <c r="L49" s="7" t="n">
        <v>12302</v>
      </c>
      <c r="N49" s="7" t="n">
        <v>17240.4</v>
      </c>
      <c r="P49" s="7" t="n">
        <v>16746.3</v>
      </c>
      <c r="R49" s="7" t="n">
        <v>13764.6</v>
      </c>
      <c r="T49" s="7" t="n">
        <v>20725.1</v>
      </c>
      <c r="V49" s="7" t="n">
        <v>36199.3</v>
      </c>
      <c r="X49" s="7" t="n">
        <v>17703.6</v>
      </c>
      <c r="Z49" s="7" t="n">
        <v>24558.5</v>
      </c>
      <c r="AB49" s="7" t="n">
        <v>229484.6</v>
      </c>
    </row>
    <row r="50">
      <c r="A50" s="4" t="inlineStr">
        <is>
          <t>招聘费</t>
        </is>
      </c>
      <c r="D50" s="7" t="n">
        <v>2124.5</v>
      </c>
      <c r="F50" s="7" t="n">
        <v>4955.6</v>
      </c>
      <c r="H50" s="7" t="n">
        <v>4063.8</v>
      </c>
      <c r="J50" s="7" t="n">
        <v>5678.3</v>
      </c>
      <c r="L50" s="7" t="n">
        <v>2169.2</v>
      </c>
      <c r="N50" s="7" t="n">
        <v>3640.8</v>
      </c>
      <c r="P50" s="7" t="n">
        <v>2971.9</v>
      </c>
      <c r="R50" s="7" t="n">
        <v>2487</v>
      </c>
      <c r="T50" s="7" t="n">
        <v>3034.3</v>
      </c>
      <c r="V50" s="7" t="n">
        <v>4892</v>
      </c>
      <c r="X50" s="7" t="n">
        <v>2724.4</v>
      </c>
      <c r="Z50" s="7" t="n">
        <v>3346.7</v>
      </c>
      <c r="AB50" s="7" t="n">
        <v>42088.5</v>
      </c>
    </row>
    <row r="51">
      <c r="A51" s="4" t="inlineStr">
        <is>
          <t>办公费</t>
        </is>
      </c>
      <c r="D51" s="7" t="n">
        <v>52580</v>
      </c>
      <c r="F51" s="7" t="n">
        <v>132755.4</v>
      </c>
      <c r="H51" s="7" t="n">
        <v>78039.2</v>
      </c>
      <c r="J51" s="7" t="n">
        <v>166299</v>
      </c>
      <c r="L51" s="7" t="n">
        <v>53151</v>
      </c>
      <c r="N51" s="7" t="n">
        <v>94106.89999999999</v>
      </c>
      <c r="P51" s="7" t="n">
        <v>106595.5</v>
      </c>
      <c r="R51" s="7" t="n">
        <v>60941.7</v>
      </c>
      <c r="T51" s="7" t="n">
        <v>68200.7</v>
      </c>
      <c r="V51" s="7" t="n">
        <v>132826.5</v>
      </c>
      <c r="X51" s="7" t="n">
        <v>78217.7</v>
      </c>
      <c r="Z51" s="7" t="n">
        <v>103858.5</v>
      </c>
      <c r="AB51" s="7" t="n">
        <v>1127572.1</v>
      </c>
    </row>
    <row r="52">
      <c r="A52" s="4" t="inlineStr">
        <is>
          <t>市内交通费</t>
        </is>
      </c>
      <c r="D52" s="7" t="n">
        <v>10018.6</v>
      </c>
      <c r="F52" s="7" t="n">
        <v>18098.1</v>
      </c>
      <c r="H52" s="7" t="n">
        <v>13350.2</v>
      </c>
      <c r="J52" s="7" t="n">
        <v>35864.7</v>
      </c>
      <c r="L52" s="7" t="n">
        <v>12902.6</v>
      </c>
      <c r="N52" s="7" t="n">
        <v>18017.4</v>
      </c>
      <c r="P52" s="7" t="n">
        <v>15543.4</v>
      </c>
      <c r="R52" s="7" t="n">
        <v>12616.8</v>
      </c>
      <c r="T52" s="7" t="n">
        <v>13706.8</v>
      </c>
      <c r="V52" s="7" t="n">
        <v>33764.8</v>
      </c>
      <c r="X52" s="7" t="n">
        <v>17253.7</v>
      </c>
      <c r="Z52" s="7" t="n">
        <v>19265.2</v>
      </c>
      <c r="AB52" s="7" t="n">
        <v>220402.3</v>
      </c>
    </row>
    <row r="53">
      <c r="A53" s="4" t="inlineStr">
        <is>
          <t>差旅费</t>
        </is>
      </c>
      <c r="D53" s="7" t="n">
        <v>93960.7</v>
      </c>
      <c r="F53" s="7" t="n">
        <v>205013.6</v>
      </c>
      <c r="H53" s="7" t="n">
        <v>181114</v>
      </c>
      <c r="J53" s="7" t="n">
        <v>322250.1</v>
      </c>
      <c r="L53" s="7" t="n">
        <v>124977.8</v>
      </c>
      <c r="N53" s="7" t="n">
        <v>146213.2</v>
      </c>
      <c r="P53" s="7" t="n">
        <v>220296.3</v>
      </c>
      <c r="R53" s="7" t="n">
        <v>202327.3</v>
      </c>
      <c r="T53" s="7" t="n">
        <v>132542</v>
      </c>
      <c r="V53" s="7" t="n">
        <v>290883</v>
      </c>
      <c r="X53" s="7" t="n">
        <v>186123.7</v>
      </c>
      <c r="Z53" s="7" t="n">
        <v>154901.6</v>
      </c>
      <c r="AB53" s="7" t="n">
        <v>2260603.3</v>
      </c>
    </row>
    <row r="54">
      <c r="A54" s="4" t="inlineStr">
        <is>
          <t>交通费</t>
        </is>
      </c>
      <c r="D54" s="7" t="n">
        <v>4147.5</v>
      </c>
      <c r="F54" s="7" t="n">
        <v>13233.7</v>
      </c>
      <c r="H54" s="7" t="n">
        <v>10957.2</v>
      </c>
      <c r="J54" s="7" t="n">
        <v>18877.3</v>
      </c>
      <c r="L54" s="7" t="n">
        <v>7324.4</v>
      </c>
      <c r="N54" s="7" t="n">
        <v>9529.299999999999</v>
      </c>
      <c r="P54" s="7" t="n">
        <v>11926</v>
      </c>
      <c r="R54" s="7" t="n">
        <v>7846</v>
      </c>
      <c r="T54" s="7" t="n">
        <v>8980.799999999999</v>
      </c>
      <c r="V54" s="7" t="n">
        <v>19451.5</v>
      </c>
      <c r="X54" s="7" t="n">
        <v>7716</v>
      </c>
      <c r="Z54" s="7" t="n">
        <v>12867.6</v>
      </c>
      <c r="AB54" s="7" t="n">
        <v>132857.3</v>
      </c>
    </row>
    <row r="55">
      <c r="A55" s="4" t="inlineStr">
        <is>
          <t>住宿费</t>
        </is>
      </c>
      <c r="D55" s="7" t="n">
        <v>7840.8</v>
      </c>
      <c r="F55" s="7" t="n">
        <v>18588.8</v>
      </c>
      <c r="H55" s="7" t="n">
        <v>15249</v>
      </c>
      <c r="J55" s="7" t="n">
        <v>19047.9</v>
      </c>
      <c r="L55" s="7" t="n">
        <v>12991.3</v>
      </c>
      <c r="N55" s="7" t="n">
        <v>18034.9</v>
      </c>
      <c r="P55" s="7" t="n">
        <v>19151.4</v>
      </c>
      <c r="R55" s="7" t="n">
        <v>13698.7</v>
      </c>
      <c r="T55" s="7" t="n">
        <v>18606.4</v>
      </c>
      <c r="V55" s="7" t="n">
        <v>30474</v>
      </c>
      <c r="X55" s="7" t="n">
        <v>15346.6</v>
      </c>
      <c r="Z55" s="7" t="n">
        <v>13329.6</v>
      </c>
      <c r="AB55" s="7" t="n">
        <v>202359.4</v>
      </c>
    </row>
    <row r="56">
      <c r="A56" s="4" t="inlineStr">
        <is>
          <t>餐补</t>
        </is>
      </c>
      <c r="D56" s="7" t="n">
        <v>2537</v>
      </c>
      <c r="F56" s="7" t="n">
        <v>10186.4</v>
      </c>
      <c r="H56" s="7" t="n">
        <v>8408.5</v>
      </c>
      <c r="J56" s="7" t="n">
        <v>8189.8</v>
      </c>
      <c r="L56" s="7" t="n">
        <v>7136.3</v>
      </c>
      <c r="N56" s="7" t="n">
        <v>4665.6</v>
      </c>
      <c r="P56" s="7" t="n">
        <v>6801.7</v>
      </c>
      <c r="R56" s="7" t="n">
        <v>7229.3</v>
      </c>
      <c r="T56" s="7" t="n">
        <v>7724.6</v>
      </c>
      <c r="V56" s="7" t="n">
        <v>14561.4</v>
      </c>
      <c r="X56" s="7" t="n">
        <v>6791.3</v>
      </c>
      <c r="Z56" s="7" t="n">
        <v>7436.3</v>
      </c>
      <c r="AB56" s="7" t="n">
        <v>91668.2</v>
      </c>
    </row>
    <row r="57">
      <c r="A57" s="4" t="inlineStr">
        <is>
          <t>交通补助</t>
        </is>
      </c>
      <c r="D57" s="7" t="n">
        <v>9204.700000000001</v>
      </c>
      <c r="F57" s="7" t="n">
        <v>27663.5</v>
      </c>
      <c r="H57" s="7" t="n">
        <v>23910.6</v>
      </c>
      <c r="J57" s="7" t="n">
        <v>29457.7</v>
      </c>
      <c r="L57" s="7" t="n">
        <v>18107.3</v>
      </c>
      <c r="N57" s="7" t="n">
        <v>20513.9</v>
      </c>
      <c r="P57" s="7" t="n">
        <v>21223.8</v>
      </c>
      <c r="R57" s="7" t="n">
        <v>19590.8</v>
      </c>
      <c r="T57" s="7" t="n">
        <v>17444.9</v>
      </c>
      <c r="V57" s="7" t="n">
        <v>26315.1</v>
      </c>
      <c r="X57" s="7" t="n">
        <v>18398.2</v>
      </c>
      <c r="Z57" s="7" t="n">
        <v>22894.6</v>
      </c>
      <c r="AB57" s="7" t="n">
        <v>254725.1</v>
      </c>
    </row>
    <row r="58">
      <c r="A58" s="4" t="inlineStr">
        <is>
          <t>通讯补助</t>
        </is>
      </c>
      <c r="D58" s="7" t="n">
        <v>6051.9</v>
      </c>
      <c r="F58" s="7" t="n">
        <v>11653.8</v>
      </c>
      <c r="H58" s="7" t="n">
        <v>10055.2</v>
      </c>
      <c r="J58" s="7" t="n">
        <v>20513.2</v>
      </c>
      <c r="L58" s="7" t="n">
        <v>13208.1</v>
      </c>
      <c r="N58" s="7" t="n">
        <v>14073.5</v>
      </c>
      <c r="P58" s="7" t="n">
        <v>15491.9</v>
      </c>
      <c r="R58" s="7" t="n">
        <v>15701.9</v>
      </c>
      <c r="T58" s="7" t="n">
        <v>11942.1</v>
      </c>
      <c r="V58" s="7" t="n">
        <v>21696.4</v>
      </c>
      <c r="X58" s="7" t="n">
        <v>11416.8</v>
      </c>
      <c r="Z58" s="7" t="n">
        <v>20828.3</v>
      </c>
      <c r="AB58" s="7" t="n">
        <v>172633.1</v>
      </c>
    </row>
    <row r="59">
      <c r="A59" s="4" t="inlineStr">
        <is>
          <t>招待费</t>
        </is>
      </c>
      <c r="D59" s="7" t="n">
        <v>69057.8</v>
      </c>
      <c r="F59" s="7" t="n">
        <v>106796.1</v>
      </c>
      <c r="H59" s="7" t="n">
        <v>140011.3</v>
      </c>
      <c r="J59" s="7" t="n">
        <v>186100.7</v>
      </c>
      <c r="L59" s="7" t="n">
        <v>116261.5</v>
      </c>
      <c r="N59" s="7" t="n">
        <v>141334.7</v>
      </c>
      <c r="P59" s="7" t="n">
        <v>90371</v>
      </c>
      <c r="R59" s="7" t="n">
        <v>90775</v>
      </c>
      <c r="T59" s="7" t="n">
        <v>89707.89999999999</v>
      </c>
      <c r="V59" s="7" t="n">
        <v>144261.4</v>
      </c>
      <c r="X59" s="7" t="n">
        <v>117051.8</v>
      </c>
      <c r="Z59" s="7" t="n">
        <v>155133.8</v>
      </c>
      <c r="AB59" s="7" t="n">
        <v>1446863</v>
      </c>
    </row>
    <row r="60">
      <c r="A60" s="4" t="inlineStr">
        <is>
          <t>通讯费</t>
        </is>
      </c>
      <c r="D60" s="7" t="n">
        <v>555.6</v>
      </c>
      <c r="F60" s="7" t="n">
        <v>1045</v>
      </c>
      <c r="H60" s="7" t="n">
        <v>792.1</v>
      </c>
      <c r="J60" s="7" t="n">
        <v>1295.9</v>
      </c>
      <c r="L60" s="7" t="n">
        <v>974.6</v>
      </c>
      <c r="N60" s="7" t="n">
        <v>672.8</v>
      </c>
      <c r="P60" s="7" t="n">
        <v>1018.9</v>
      </c>
      <c r="R60" s="7" t="n">
        <v>768.3</v>
      </c>
      <c r="T60" s="7" t="n">
        <v>1119.6</v>
      </c>
      <c r="V60" s="7" t="n">
        <v>1820.6</v>
      </c>
      <c r="X60" s="7" t="n">
        <v>786.4</v>
      </c>
      <c r="Z60" s="7" t="n">
        <v>1168.2</v>
      </c>
      <c r="AB60" s="7" t="n">
        <v>12018</v>
      </c>
    </row>
    <row r="61">
      <c r="A61" s="4" t="inlineStr">
        <is>
          <t>网络费</t>
        </is>
      </c>
      <c r="D61" s="7" t="n">
        <v>5986.2</v>
      </c>
      <c r="F61" s="7" t="n">
        <v>13512.9</v>
      </c>
      <c r="H61" s="7" t="n">
        <v>10232.3</v>
      </c>
      <c r="J61" s="7" t="n">
        <v>23635.4</v>
      </c>
      <c r="L61" s="7" t="n">
        <v>9203.4</v>
      </c>
      <c r="N61" s="7" t="n">
        <v>11149.8</v>
      </c>
      <c r="P61" s="7" t="n">
        <v>10345.4</v>
      </c>
      <c r="R61" s="7" t="n">
        <v>15420.8</v>
      </c>
      <c r="T61" s="7" t="n">
        <v>15967.3</v>
      </c>
      <c r="V61" s="7" t="n">
        <v>27539.8</v>
      </c>
      <c r="X61" s="7" t="n">
        <v>13111.4</v>
      </c>
      <c r="Z61" s="7" t="n">
        <v>14578.4</v>
      </c>
      <c r="AB61" s="7" t="n">
        <v>170683.1</v>
      </c>
    </row>
    <row r="62">
      <c r="A62" s="4" t="inlineStr">
        <is>
          <t>修理费</t>
        </is>
      </c>
      <c r="D62" s="7" t="n">
        <v>6344.3</v>
      </c>
      <c r="F62" s="7" t="n">
        <v>14297.3</v>
      </c>
      <c r="H62" s="7" t="n">
        <v>10580.6</v>
      </c>
      <c r="J62" s="7" t="n">
        <v>18615.5</v>
      </c>
      <c r="L62" s="7" t="n">
        <v>7259.9</v>
      </c>
      <c r="N62" s="7" t="n">
        <v>8865.5</v>
      </c>
      <c r="P62" s="7" t="n">
        <v>8172.1</v>
      </c>
      <c r="R62" s="7" t="n">
        <v>8290.799999999999</v>
      </c>
      <c r="T62" s="7" t="n">
        <v>11046.6</v>
      </c>
      <c r="V62" s="7" t="n">
        <v>16017.5</v>
      </c>
      <c r="X62" s="7" t="n">
        <v>10866.3</v>
      </c>
      <c r="Z62" s="7" t="n">
        <v>9891.1</v>
      </c>
      <c r="AB62" s="7" t="n">
        <v>130247.5</v>
      </c>
    </row>
    <row r="63">
      <c r="A63" s="4" t="inlineStr">
        <is>
          <t>车辆费</t>
        </is>
      </c>
      <c r="D63" s="7" t="n">
        <v>8352.4</v>
      </c>
      <c r="F63" s="7" t="n">
        <v>20151.7</v>
      </c>
      <c r="H63" s="7" t="n">
        <v>14210.1</v>
      </c>
      <c r="J63" s="7" t="n">
        <v>29053.6</v>
      </c>
      <c r="L63" s="7" t="n">
        <v>12029.2</v>
      </c>
      <c r="N63" s="7" t="n">
        <v>10400.3</v>
      </c>
      <c r="P63" s="7" t="n">
        <v>12497.2</v>
      </c>
      <c r="R63" s="7" t="n">
        <v>10508.5</v>
      </c>
      <c r="T63" s="7" t="n">
        <v>14886.5</v>
      </c>
      <c r="V63" s="7" t="n">
        <v>29123.3</v>
      </c>
      <c r="X63" s="7" t="n">
        <v>15496.3</v>
      </c>
      <c r="Z63" s="7" t="n">
        <v>12116.9</v>
      </c>
      <c r="AB63" s="7" t="n">
        <v>188826</v>
      </c>
    </row>
    <row r="64">
      <c r="A64" s="4" t="inlineStr">
        <is>
          <t>租赁费</t>
        </is>
      </c>
      <c r="D64" s="7" t="n">
        <v>86302.2</v>
      </c>
      <c r="F64" s="7" t="n">
        <v>141595.3</v>
      </c>
      <c r="H64" s="7" t="n">
        <v>127099.8</v>
      </c>
      <c r="J64" s="7" t="n">
        <v>269946.6</v>
      </c>
      <c r="L64" s="7" t="n">
        <v>133060.6</v>
      </c>
      <c r="N64" s="7" t="n">
        <v>175795.1</v>
      </c>
      <c r="P64" s="7" t="n">
        <v>129446.9</v>
      </c>
      <c r="R64" s="7" t="n">
        <v>159394.8</v>
      </c>
      <c r="T64" s="7" t="n">
        <v>167284.6</v>
      </c>
      <c r="V64" s="7" t="n">
        <v>259245</v>
      </c>
      <c r="X64" s="7" t="n">
        <v>136497.4</v>
      </c>
      <c r="Z64" s="7" t="n">
        <v>211151.2</v>
      </c>
      <c r="AB64" s="7" t="n">
        <v>1996819.5</v>
      </c>
    </row>
    <row r="65">
      <c r="A65" s="4" t="inlineStr">
        <is>
          <t>能源费</t>
        </is>
      </c>
      <c r="D65" s="7" t="n">
        <v>24742.3</v>
      </c>
      <c r="F65" s="7" t="n">
        <v>55798.2</v>
      </c>
      <c r="H65" s="7" t="n">
        <v>38187.3</v>
      </c>
      <c r="J65" s="7" t="n">
        <v>65838.89999999999</v>
      </c>
      <c r="L65" s="7" t="n">
        <v>41701.7</v>
      </c>
      <c r="N65" s="7" t="n">
        <v>51363.7</v>
      </c>
      <c r="P65" s="7" t="n">
        <v>51070.2</v>
      </c>
      <c r="R65" s="7" t="n">
        <v>40357.4</v>
      </c>
      <c r="T65" s="7" t="n">
        <v>47592.8</v>
      </c>
      <c r="V65" s="7" t="n">
        <v>78171.8</v>
      </c>
      <c r="X65" s="7" t="n">
        <v>42468.5</v>
      </c>
      <c r="Z65" s="7" t="n">
        <v>60313.6</v>
      </c>
      <c r="AB65" s="7" t="n">
        <v>597606.4</v>
      </c>
    </row>
    <row r="66">
      <c r="A66" s="4" t="inlineStr">
        <is>
          <t>水费</t>
        </is>
      </c>
      <c r="D66" s="7" t="n">
        <v>6416.9</v>
      </c>
      <c r="F66" s="7" t="n">
        <v>11688.7</v>
      </c>
      <c r="H66" s="7" t="n">
        <v>10903</v>
      </c>
      <c r="J66" s="7" t="n">
        <v>16206</v>
      </c>
      <c r="L66" s="7" t="n">
        <v>7775.6</v>
      </c>
      <c r="N66" s="7" t="n">
        <v>10477.4</v>
      </c>
      <c r="P66" s="7" t="n">
        <v>11510.8</v>
      </c>
      <c r="R66" s="7" t="n">
        <v>7572.4</v>
      </c>
      <c r="T66" s="7" t="n">
        <v>13758.3</v>
      </c>
      <c r="V66" s="7" t="n">
        <v>17798.3</v>
      </c>
      <c r="X66" s="7" t="n">
        <v>12046.4</v>
      </c>
      <c r="Z66" s="7" t="n">
        <v>15625</v>
      </c>
      <c r="AB66" s="7" t="n">
        <v>141778.8</v>
      </c>
    </row>
    <row r="67">
      <c r="A67" s="4" t="inlineStr">
        <is>
          <t>电费</t>
        </is>
      </c>
      <c r="D67" s="7" t="n">
        <v>3506.6</v>
      </c>
      <c r="F67" s="7" t="n">
        <v>8771.1</v>
      </c>
      <c r="H67" s="7" t="n">
        <v>5976</v>
      </c>
      <c r="J67" s="7" t="n">
        <v>9360.5</v>
      </c>
      <c r="L67" s="7" t="n">
        <v>5218.2</v>
      </c>
      <c r="N67" s="7" t="n">
        <v>8802.700000000001</v>
      </c>
      <c r="P67" s="7" t="n">
        <v>8109.5</v>
      </c>
      <c r="R67" s="7" t="n">
        <v>6366.4</v>
      </c>
      <c r="T67" s="7" t="n">
        <v>5673.2</v>
      </c>
      <c r="V67" s="7" t="n">
        <v>10931.1</v>
      </c>
      <c r="X67" s="7" t="n">
        <v>6234.7</v>
      </c>
      <c r="Z67" s="7" t="n">
        <v>10083.5</v>
      </c>
      <c r="AB67" s="7" t="n">
        <v>89033.5</v>
      </c>
    </row>
    <row r="68">
      <c r="A68" s="4" t="inlineStr">
        <is>
          <t>燃气费</t>
        </is>
      </c>
      <c r="D68" s="7" t="n">
        <v>5442.2</v>
      </c>
      <c r="F68" s="7" t="n">
        <v>12649.4</v>
      </c>
      <c r="H68" s="7" t="n">
        <v>8258.200000000001</v>
      </c>
      <c r="J68" s="7" t="n">
        <v>19097.5</v>
      </c>
      <c r="L68" s="7" t="n">
        <v>10503.3</v>
      </c>
      <c r="N68" s="7" t="n">
        <v>10202.9</v>
      </c>
      <c r="P68" s="7" t="n">
        <v>10368.6</v>
      </c>
      <c r="R68" s="7" t="n">
        <v>7225.3</v>
      </c>
      <c r="T68" s="7" t="n">
        <v>11363.5</v>
      </c>
      <c r="V68" s="7" t="n">
        <v>13143.1</v>
      </c>
      <c r="X68" s="7" t="n">
        <v>10246.3</v>
      </c>
      <c r="Z68" s="7" t="n">
        <v>11238.3</v>
      </c>
      <c r="AB68" s="7" t="n">
        <v>129738.6</v>
      </c>
    </row>
    <row r="69">
      <c r="A69" s="4" t="inlineStr">
        <is>
          <t>蒸汽费</t>
        </is>
      </c>
      <c r="D69" s="7" t="n">
        <v>9376.6</v>
      </c>
      <c r="F69" s="7" t="n">
        <v>22689</v>
      </c>
      <c r="H69" s="7" t="n">
        <v>13050.1</v>
      </c>
      <c r="J69" s="7" t="n">
        <v>21174.9</v>
      </c>
      <c r="L69" s="7" t="n">
        <v>18204.6</v>
      </c>
      <c r="N69" s="7" t="n">
        <v>21880.7</v>
      </c>
      <c r="P69" s="7" t="n">
        <v>21081.3</v>
      </c>
      <c r="R69" s="7" t="n">
        <v>19193.3</v>
      </c>
      <c r="T69" s="7" t="n">
        <v>16797.8</v>
      </c>
      <c r="V69" s="7" t="n">
        <v>36299.3</v>
      </c>
      <c r="X69" s="7" t="n">
        <v>13941.1</v>
      </c>
      <c r="Z69" s="7" t="n">
        <v>23366.8</v>
      </c>
      <c r="AB69" s="7" t="n">
        <v>237055.5</v>
      </c>
    </row>
    <row r="70">
      <c r="A70" s="4" t="inlineStr">
        <is>
          <t>物业费</t>
        </is>
      </c>
      <c r="D70" s="7" t="n">
        <v>91.5</v>
      </c>
      <c r="F70" s="7" t="n">
        <v>192.6</v>
      </c>
      <c r="H70" s="7" t="n">
        <v>189.5</v>
      </c>
      <c r="J70" s="7" t="n">
        <v>322.4</v>
      </c>
      <c r="L70" s="7" t="n">
        <v>160.7</v>
      </c>
      <c r="N70" s="7" t="n">
        <v>170.4</v>
      </c>
      <c r="P70" s="7" t="n">
        <v>189.5</v>
      </c>
      <c r="R70" s="7" t="n">
        <v>116.3</v>
      </c>
      <c r="T70" s="7" t="n">
        <v>182.2</v>
      </c>
      <c r="V70" s="7" t="n">
        <v>212.3</v>
      </c>
      <c r="X70" s="7" t="n">
        <v>168.6</v>
      </c>
      <c r="Z70" s="7" t="n">
        <v>179.2</v>
      </c>
      <c r="AB70" s="7" t="n">
        <v>2175.2</v>
      </c>
    </row>
    <row r="71">
      <c r="A71" s="4" t="inlineStr">
        <is>
          <t>劳动保护费</t>
        </is>
      </c>
      <c r="D71" s="7" t="n">
        <v>6925</v>
      </c>
      <c r="F71" s="7" t="n">
        <v>26479.9</v>
      </c>
      <c r="H71" s="7" t="n">
        <v>20898</v>
      </c>
      <c r="J71" s="7" t="n">
        <v>37097</v>
      </c>
      <c r="L71" s="7" t="n">
        <v>20015.4</v>
      </c>
      <c r="N71" s="7" t="n">
        <v>14068.4</v>
      </c>
      <c r="P71" s="7" t="n">
        <v>15469.3</v>
      </c>
      <c r="R71" s="7" t="n">
        <v>13940.1</v>
      </c>
      <c r="T71" s="7" t="n">
        <v>15407.4</v>
      </c>
      <c r="V71" s="7" t="n">
        <v>32609.7</v>
      </c>
      <c r="X71" s="7" t="n">
        <v>21068</v>
      </c>
      <c r="Z71" s="7" t="n">
        <v>19063.4</v>
      </c>
      <c r="AB71" s="7" t="n">
        <v>243041.6</v>
      </c>
    </row>
    <row r="72">
      <c r="A72" s="4" t="inlineStr">
        <is>
          <t>顾问费</t>
        </is>
      </c>
      <c r="D72" s="7" t="n">
        <v>3657.2</v>
      </c>
      <c r="F72" s="7" t="n">
        <v>8540.9</v>
      </c>
      <c r="H72" s="7" t="n">
        <v>7982.8</v>
      </c>
      <c r="J72" s="7" t="n">
        <v>16468.2</v>
      </c>
      <c r="L72" s="7" t="n">
        <v>5450.3</v>
      </c>
      <c r="N72" s="7" t="n">
        <v>8300.200000000001</v>
      </c>
      <c r="P72" s="7" t="n">
        <v>10018.9</v>
      </c>
      <c r="R72" s="7" t="n">
        <v>7832.3</v>
      </c>
      <c r="T72" s="7" t="n">
        <v>9324.1</v>
      </c>
      <c r="V72" s="7" t="n">
        <v>15064</v>
      </c>
      <c r="X72" s="7" t="n">
        <v>5439.3</v>
      </c>
      <c r="Z72" s="7" t="n">
        <v>8344.700000000001</v>
      </c>
      <c r="AB72" s="7" t="n">
        <v>106422.9</v>
      </c>
    </row>
    <row r="73">
      <c r="A73" s="4" t="inlineStr">
        <is>
          <t>快递费</t>
        </is>
      </c>
      <c r="D73" s="7" t="n">
        <v>4044.6</v>
      </c>
      <c r="F73" s="7" t="n">
        <v>8894.5</v>
      </c>
      <c r="H73" s="7" t="n">
        <v>8589.700000000001</v>
      </c>
      <c r="J73" s="7" t="n">
        <v>17719.1</v>
      </c>
      <c r="L73" s="7" t="n">
        <v>8723.799999999999</v>
      </c>
      <c r="N73" s="7" t="n">
        <v>12185.2</v>
      </c>
      <c r="P73" s="7" t="n">
        <v>11998.8</v>
      </c>
      <c r="R73" s="7" t="n">
        <v>12130.6</v>
      </c>
      <c r="T73" s="7" t="n">
        <v>8092.7</v>
      </c>
      <c r="V73" s="7" t="n">
        <v>18457.2</v>
      </c>
      <c r="X73" s="7" t="n">
        <v>7268.3</v>
      </c>
      <c r="Z73" s="7" t="n">
        <v>10358.9</v>
      </c>
      <c r="AB73" s="7" t="n">
        <v>128463.4</v>
      </c>
    </row>
    <row r="74">
      <c r="A74" s="4" t="inlineStr">
        <is>
          <t>诉讼费</t>
        </is>
      </c>
      <c r="D74" s="7" t="n">
        <v>10672.3</v>
      </c>
      <c r="F74" s="7" t="n">
        <v>19506.4</v>
      </c>
      <c r="H74" s="7" t="n">
        <v>12233.1</v>
      </c>
      <c r="J74" s="7" t="n">
        <v>20725</v>
      </c>
      <c r="L74" s="7" t="n">
        <v>17911.4</v>
      </c>
      <c r="N74" s="7" t="n">
        <v>20266.5</v>
      </c>
      <c r="P74" s="7" t="n">
        <v>18820.7</v>
      </c>
      <c r="R74" s="7" t="n">
        <v>11288.8</v>
      </c>
      <c r="T74" s="7" t="n">
        <v>21104.9</v>
      </c>
      <c r="V74" s="7" t="n">
        <v>25335.5</v>
      </c>
      <c r="X74" s="7" t="n">
        <v>20091.7</v>
      </c>
      <c r="Z74" s="7" t="n">
        <v>20705.2</v>
      </c>
      <c r="AB74" s="7" t="n">
        <v>218661.5</v>
      </c>
    </row>
    <row r="75">
      <c r="A75" s="4" t="inlineStr">
        <is>
          <t>会员费</t>
        </is>
      </c>
      <c r="D75" s="7" t="n">
        <v>8460.799999999999</v>
      </c>
      <c r="F75" s="7" t="n">
        <v>16108.3</v>
      </c>
      <c r="H75" s="7" t="n">
        <v>10865.8</v>
      </c>
      <c r="J75" s="7" t="n">
        <v>19233.9</v>
      </c>
      <c r="L75" s="7" t="n">
        <v>10438.5</v>
      </c>
      <c r="N75" s="7" t="n">
        <v>17012</v>
      </c>
      <c r="P75" s="7" t="n">
        <v>14665.3</v>
      </c>
      <c r="R75" s="7" t="n">
        <v>16824.8</v>
      </c>
      <c r="T75" s="7" t="n">
        <v>13077.4</v>
      </c>
      <c r="V75" s="7" t="n">
        <v>28492.6</v>
      </c>
      <c r="X75" s="7" t="n">
        <v>10689.4</v>
      </c>
      <c r="Z75" s="7" t="n">
        <v>22048.9</v>
      </c>
      <c r="AB75" s="7" t="n">
        <v>187917.7</v>
      </c>
    </row>
    <row r="76">
      <c r="A76" s="4" t="inlineStr">
        <is>
          <t>广告宣传费</t>
        </is>
      </c>
      <c r="D76" s="7" t="n">
        <v>51769.8</v>
      </c>
      <c r="F76" s="7" t="n">
        <v>104382.6</v>
      </c>
      <c r="H76" s="7" t="n">
        <v>113768</v>
      </c>
      <c r="J76" s="7" t="n">
        <v>107404</v>
      </c>
      <c r="L76" s="7" t="n">
        <v>72354.60000000001</v>
      </c>
      <c r="N76" s="7" t="n">
        <v>103670.4</v>
      </c>
      <c r="P76" s="7" t="n">
        <v>86406.39999999999</v>
      </c>
      <c r="R76" s="7" t="n">
        <v>95999.39999999999</v>
      </c>
      <c r="T76" s="7" t="n">
        <v>112608.3</v>
      </c>
      <c r="V76" s="7" t="n">
        <v>140930.2</v>
      </c>
      <c r="X76" s="7" t="n">
        <v>96534.10000000001</v>
      </c>
      <c r="Z76" s="7" t="n">
        <v>74434.5</v>
      </c>
      <c r="AB76" s="7" t="n">
        <v>1160262.3</v>
      </c>
    </row>
    <row r="77">
      <c r="A77" s="4" t="inlineStr">
        <is>
          <t>会务费</t>
        </is>
      </c>
      <c r="D77" s="7" t="n">
        <v>3532</v>
      </c>
      <c r="F77" s="7" t="n">
        <v>6198.1</v>
      </c>
      <c r="H77" s="7" t="n">
        <v>4833.3</v>
      </c>
      <c r="J77" s="7" t="n">
        <v>11082.9</v>
      </c>
      <c r="L77" s="7" t="n">
        <v>4308.6</v>
      </c>
      <c r="N77" s="7" t="n">
        <v>5702.6</v>
      </c>
      <c r="P77" s="7" t="n">
        <v>6258.5</v>
      </c>
      <c r="R77" s="7" t="n">
        <v>3710.7</v>
      </c>
      <c r="T77" s="7" t="n">
        <v>5661.4</v>
      </c>
      <c r="V77" s="7" t="n">
        <v>10581.2</v>
      </c>
      <c r="X77" s="7" t="n">
        <v>5587.6</v>
      </c>
      <c r="Z77" s="7" t="n">
        <v>4641.8</v>
      </c>
      <c r="AB77" s="7" t="n">
        <v>72098.7</v>
      </c>
    </row>
    <row r="78">
      <c r="A78" s="4" t="inlineStr">
        <is>
          <t>装修费</t>
        </is>
      </c>
      <c r="D78" s="7" t="n">
        <v>1733.6</v>
      </c>
      <c r="F78" s="7" t="n">
        <v>3799.6</v>
      </c>
      <c r="H78" s="7" t="n">
        <v>3414.7</v>
      </c>
      <c r="J78" s="7" t="n">
        <v>4400.7</v>
      </c>
      <c r="L78" s="7" t="n">
        <v>1936.3</v>
      </c>
      <c r="N78" s="7" t="n">
        <v>2042.2</v>
      </c>
      <c r="P78" s="7" t="n">
        <v>2850.2</v>
      </c>
      <c r="R78" s="7" t="n">
        <v>2552.2</v>
      </c>
      <c r="T78" s="7" t="n">
        <v>2570.2</v>
      </c>
      <c r="V78" s="7" t="n">
        <v>3947.9</v>
      </c>
      <c r="X78" s="7" t="n">
        <v>2271</v>
      </c>
      <c r="Z78" s="7" t="n">
        <v>3388.4</v>
      </c>
      <c r="AB78" s="7" t="n">
        <v>34907</v>
      </c>
    </row>
    <row r="79">
      <c r="A79" s="4" t="inlineStr">
        <is>
          <t>推广费</t>
        </is>
      </c>
      <c r="D79" s="7" t="n">
        <v>5227.9</v>
      </c>
      <c r="F79" s="7" t="n">
        <v>9054.9</v>
      </c>
      <c r="H79" s="7" t="n">
        <v>9797.5</v>
      </c>
      <c r="J79" s="7" t="n">
        <v>13443.4</v>
      </c>
      <c r="L79" s="7" t="n">
        <v>9653.799999999999</v>
      </c>
      <c r="N79" s="7" t="n">
        <v>9347</v>
      </c>
      <c r="P79" s="7" t="n">
        <v>10787.5</v>
      </c>
      <c r="R79" s="7" t="n">
        <v>8770.9</v>
      </c>
      <c r="T79" s="7" t="n">
        <v>10004.7</v>
      </c>
      <c r="V79" s="7" t="n">
        <v>13678.1</v>
      </c>
      <c r="X79" s="7" t="n">
        <v>12474.9</v>
      </c>
      <c r="Z79" s="7" t="n">
        <v>15631.4</v>
      </c>
      <c r="AB79" s="7" t="n">
        <v>127872</v>
      </c>
    </row>
    <row r="80">
      <c r="A80" s="4" t="inlineStr">
        <is>
          <t>展会费</t>
        </is>
      </c>
      <c r="D80" s="7" t="n">
        <v>10177.8</v>
      </c>
      <c r="F80" s="7" t="n">
        <v>17884.8</v>
      </c>
      <c r="H80" s="7" t="n">
        <v>17580.5</v>
      </c>
      <c r="J80" s="7" t="n">
        <v>24566</v>
      </c>
      <c r="L80" s="7" t="n">
        <v>14158.6</v>
      </c>
      <c r="N80" s="7" t="n">
        <v>18346.1</v>
      </c>
      <c r="P80" s="7" t="n">
        <v>15075.2</v>
      </c>
      <c r="R80" s="7" t="n">
        <v>16980.3</v>
      </c>
      <c r="T80" s="7" t="n">
        <v>18019.1</v>
      </c>
      <c r="V80" s="7" t="n">
        <v>31819.1</v>
      </c>
      <c r="X80" s="7" t="n">
        <v>13229.1</v>
      </c>
      <c r="Z80" s="7" t="n">
        <v>18869</v>
      </c>
      <c r="AB80" s="7" t="n">
        <v>216705.6</v>
      </c>
    </row>
    <row r="81">
      <c r="A81" s="4" t="inlineStr">
        <is>
          <t>设计费</t>
        </is>
      </c>
      <c r="D81" s="7" t="n">
        <v>2644.1</v>
      </c>
      <c r="F81" s="7" t="n">
        <v>5940</v>
      </c>
      <c r="H81" s="7" t="n">
        <v>3901.5</v>
      </c>
      <c r="J81" s="7" t="n">
        <v>6041.7</v>
      </c>
      <c r="L81" s="7" t="n">
        <v>3577.8</v>
      </c>
      <c r="N81" s="7" t="n">
        <v>5894.7</v>
      </c>
      <c r="P81" s="7" t="n">
        <v>4631.4</v>
      </c>
      <c r="R81" s="7" t="n">
        <v>4776.5</v>
      </c>
      <c r="T81" s="7" t="n">
        <v>5638.2</v>
      </c>
      <c r="V81" s="7" t="n">
        <v>7269.7</v>
      </c>
      <c r="X81" s="7" t="n">
        <v>4026.3</v>
      </c>
      <c r="Z81" s="7" t="n">
        <v>6647.5</v>
      </c>
      <c r="AB81" s="7" t="n">
        <v>60989.4</v>
      </c>
    </row>
    <row r="82">
      <c r="A82" s="4" t="inlineStr">
        <is>
          <t>折旧费</t>
        </is>
      </c>
      <c r="D82" s="7" t="n">
        <v>73967.3</v>
      </c>
      <c r="F82" s="7" t="n">
        <v>178692.5</v>
      </c>
      <c r="H82" s="7" t="n">
        <v>92303.7</v>
      </c>
      <c r="J82" s="7" t="n">
        <v>174533.2</v>
      </c>
      <c r="L82" s="7" t="n">
        <v>127163.1</v>
      </c>
      <c r="N82" s="7" t="n">
        <v>94262.39999999999</v>
      </c>
      <c r="P82" s="7" t="n">
        <v>113189.9</v>
      </c>
      <c r="R82" s="7" t="n">
        <v>140931.4</v>
      </c>
      <c r="T82" s="7" t="n">
        <v>151125.8</v>
      </c>
      <c r="V82" s="7" t="n">
        <v>175256</v>
      </c>
      <c r="X82" s="7" t="n">
        <v>123498.1</v>
      </c>
      <c r="Z82" s="7" t="n">
        <v>137522.8</v>
      </c>
      <c r="AB82" s="7" t="n">
        <v>1582446.2</v>
      </c>
    </row>
    <row r="83">
      <c r="A83" s="4" t="inlineStr">
        <is>
          <t>认证费</t>
        </is>
      </c>
      <c r="D83" s="7" t="n">
        <v>4856.3</v>
      </c>
      <c r="F83" s="7" t="n">
        <v>12156.3</v>
      </c>
      <c r="H83" s="7" t="n">
        <v>13264.9</v>
      </c>
      <c r="J83" s="7" t="n">
        <v>17277.7</v>
      </c>
      <c r="L83" s="7" t="n">
        <v>7272.2</v>
      </c>
      <c r="N83" s="7" t="n">
        <v>11261.2</v>
      </c>
      <c r="P83" s="7" t="n">
        <v>12692.2</v>
      </c>
      <c r="R83" s="7" t="n">
        <v>10689.5</v>
      </c>
      <c r="T83" s="7" t="n">
        <v>12349.6</v>
      </c>
      <c r="V83" s="7" t="n">
        <v>19480.2</v>
      </c>
      <c r="X83" s="7" t="n">
        <v>13275.1</v>
      </c>
      <c r="Z83" s="7" t="n">
        <v>12752.9</v>
      </c>
      <c r="AB83" s="7" t="n">
        <v>147328.1</v>
      </c>
    </row>
    <row r="84">
      <c r="A84" s="4" t="inlineStr">
        <is>
          <t>样品费</t>
        </is>
      </c>
      <c r="D84" s="7" t="n">
        <v>34224.9</v>
      </c>
      <c r="F84" s="7" t="n">
        <v>66986.8</v>
      </c>
      <c r="H84" s="7" t="n">
        <v>51650.1</v>
      </c>
      <c r="J84" s="7" t="n">
        <v>109103</v>
      </c>
      <c r="L84" s="7" t="n">
        <v>59722.2</v>
      </c>
      <c r="N84" s="7" t="n">
        <v>67631</v>
      </c>
      <c r="P84" s="7" t="n">
        <v>60224.1</v>
      </c>
      <c r="R84" s="7" t="n">
        <v>55082.3</v>
      </c>
      <c r="T84" s="7" t="n">
        <v>63694.8</v>
      </c>
      <c r="V84" s="7" t="n">
        <v>84657.60000000001</v>
      </c>
      <c r="X84" s="7" t="n">
        <v>60545.2</v>
      </c>
      <c r="Z84" s="7" t="n">
        <v>78062.60000000001</v>
      </c>
      <c r="AB84" s="7" t="n">
        <v>791584.6</v>
      </c>
    </row>
    <row r="85">
      <c r="A85" s="4" t="inlineStr">
        <is>
          <t>劳务费</t>
        </is>
      </c>
      <c r="D85" s="7" t="n">
        <v>5858.6</v>
      </c>
      <c r="F85" s="7" t="n">
        <v>23293</v>
      </c>
      <c r="H85" s="7" t="n">
        <v>15084.7</v>
      </c>
      <c r="J85" s="7" t="n">
        <v>23793.6</v>
      </c>
      <c r="L85" s="7" t="n">
        <v>13020.4</v>
      </c>
      <c r="N85" s="7" t="n">
        <v>18609.3</v>
      </c>
      <c r="P85" s="7" t="n">
        <v>18374.7</v>
      </c>
      <c r="R85" s="7" t="n">
        <v>14629.9</v>
      </c>
      <c r="T85" s="7" t="n">
        <v>17919.6</v>
      </c>
      <c r="V85" s="7" t="n">
        <v>23729.1</v>
      </c>
      <c r="X85" s="7" t="n">
        <v>17696.3</v>
      </c>
      <c r="Z85" s="7" t="n">
        <v>18282.1</v>
      </c>
      <c r="AB85" s="7" t="n">
        <v>210291.3</v>
      </c>
    </row>
    <row r="86">
      <c r="A86" s="4" t="inlineStr">
        <is>
          <t>销售佣金</t>
        </is>
      </c>
      <c r="D86" s="7" t="n">
        <v>4780.3</v>
      </c>
      <c r="F86" s="7" t="n">
        <v>16902.3</v>
      </c>
      <c r="H86" s="7" t="n">
        <v>13522.2</v>
      </c>
      <c r="J86" s="7" t="n">
        <v>18681.2</v>
      </c>
      <c r="L86" s="7" t="n">
        <v>11414</v>
      </c>
      <c r="N86" s="7" t="n">
        <v>8732.700000000001</v>
      </c>
      <c r="P86" s="7" t="n">
        <v>17195.1</v>
      </c>
      <c r="R86" s="7" t="n">
        <v>12758</v>
      </c>
      <c r="T86" s="7" t="n">
        <v>11597</v>
      </c>
      <c r="V86" s="7" t="n">
        <v>24135.1</v>
      </c>
      <c r="X86" s="7" t="n">
        <v>14799.5</v>
      </c>
      <c r="Z86" s="7" t="n">
        <v>13862</v>
      </c>
      <c r="AB86" s="7" t="n">
        <v>168379.4</v>
      </c>
    </row>
    <row r="87">
      <c r="A87" s="4" t="inlineStr">
        <is>
          <t>检测费</t>
        </is>
      </c>
      <c r="D87" s="7" t="n">
        <v>90</v>
      </c>
      <c r="F87" s="7" t="n">
        <v>242.1</v>
      </c>
      <c r="H87" s="7" t="n">
        <v>206.5</v>
      </c>
      <c r="J87" s="7" t="n">
        <v>354.5</v>
      </c>
      <c r="L87" s="7" t="n">
        <v>181.2</v>
      </c>
      <c r="N87" s="7" t="n">
        <v>192.2</v>
      </c>
      <c r="P87" s="7" t="n">
        <v>205.9</v>
      </c>
      <c r="R87" s="7" t="n">
        <v>221.7</v>
      </c>
      <c r="T87" s="7" t="n">
        <v>214.8</v>
      </c>
      <c r="V87" s="7" t="n">
        <v>346.5</v>
      </c>
      <c r="X87" s="7" t="n">
        <v>173.4</v>
      </c>
      <c r="Z87" s="7" t="n">
        <v>170.9</v>
      </c>
      <c r="AB87" s="7" t="n">
        <v>2599.7</v>
      </c>
    </row>
    <row r="88">
      <c r="A88" s="4" t="inlineStr">
        <is>
          <t>质量赔偿</t>
        </is>
      </c>
      <c r="D88" s="7" t="n">
        <v>990.2</v>
      </c>
      <c r="F88" s="7" t="n">
        <v>3044.8</v>
      </c>
      <c r="H88" s="7" t="n">
        <v>1557.7</v>
      </c>
      <c r="J88" s="7" t="n">
        <v>4238.4</v>
      </c>
      <c r="L88" s="7" t="n">
        <v>1348.9</v>
      </c>
      <c r="N88" s="7" t="n">
        <v>1746.8</v>
      </c>
      <c r="P88" s="7" t="n">
        <v>2124.9</v>
      </c>
      <c r="R88" s="7" t="n">
        <v>1556.7</v>
      </c>
      <c r="T88" s="7" t="n">
        <v>2000.9</v>
      </c>
      <c r="V88" s="7" t="n">
        <v>3384.3</v>
      </c>
      <c r="X88" s="7" t="n">
        <v>1824.7</v>
      </c>
      <c r="Z88" s="7" t="n">
        <v>2649.6</v>
      </c>
      <c r="AB88" s="7" t="n">
        <v>26467.9</v>
      </c>
    </row>
    <row r="89">
      <c r="A89" s="4" t="inlineStr">
        <is>
          <t>保险费</t>
        </is>
      </c>
      <c r="D89" s="7" t="n">
        <v>2799.7</v>
      </c>
      <c r="F89" s="7" t="n">
        <v>8626.299999999999</v>
      </c>
      <c r="H89" s="7" t="n">
        <v>4747.7</v>
      </c>
      <c r="J89" s="7" t="n">
        <v>12367</v>
      </c>
      <c r="L89" s="7" t="n">
        <v>5706.8</v>
      </c>
      <c r="N89" s="7" t="n">
        <v>6644.4</v>
      </c>
      <c r="P89" s="7" t="n">
        <v>5318.9</v>
      </c>
      <c r="R89" s="7" t="n">
        <v>7434.7</v>
      </c>
      <c r="T89" s="7" t="n">
        <v>5219.1</v>
      </c>
      <c r="V89" s="7" t="n">
        <v>8427.299999999999</v>
      </c>
      <c r="X89" s="7" t="n">
        <v>4601.6</v>
      </c>
      <c r="Z89" s="7" t="n">
        <v>7488.3</v>
      </c>
      <c r="AB89" s="7" t="n">
        <v>79381.8</v>
      </c>
    </row>
    <row r="90">
      <c r="A90" s="4" t="inlineStr">
        <is>
          <t>清洁费</t>
        </is>
      </c>
      <c r="D90" s="7" t="n">
        <v>8021.9</v>
      </c>
      <c r="F90" s="7" t="n">
        <v>20612.5</v>
      </c>
      <c r="H90" s="7" t="n">
        <v>15041.2</v>
      </c>
      <c r="J90" s="7" t="n">
        <v>33320.3</v>
      </c>
      <c r="L90" s="7" t="n">
        <v>15111.5</v>
      </c>
      <c r="N90" s="7" t="n">
        <v>12951.8</v>
      </c>
      <c r="P90" s="7" t="n">
        <v>21387</v>
      </c>
      <c r="R90" s="7" t="n">
        <v>14172</v>
      </c>
      <c r="T90" s="7" t="n">
        <v>19558.7</v>
      </c>
      <c r="V90" s="7" t="n">
        <v>29376.3</v>
      </c>
      <c r="X90" s="7" t="n">
        <v>19506.6</v>
      </c>
      <c r="Z90" s="7" t="n">
        <v>17890.3</v>
      </c>
      <c r="AB90" s="7" t="n">
        <v>226950.1</v>
      </c>
    </row>
    <row r="91">
      <c r="A91" s="4" t="inlineStr">
        <is>
          <t>低值易耗品</t>
        </is>
      </c>
      <c r="D91" s="7" t="n">
        <v>8893.9</v>
      </c>
      <c r="F91" s="7" t="n">
        <v>12653.8</v>
      </c>
      <c r="H91" s="7" t="n">
        <v>11083.7</v>
      </c>
      <c r="J91" s="7" t="n">
        <v>29504.5</v>
      </c>
      <c r="L91" s="7" t="n">
        <v>10042.5</v>
      </c>
      <c r="N91" s="7" t="n">
        <v>12689.4</v>
      </c>
      <c r="P91" s="7" t="n">
        <v>15311.5</v>
      </c>
      <c r="R91" s="7" t="n">
        <v>11654.4</v>
      </c>
      <c r="T91" s="7" t="n">
        <v>17712.7</v>
      </c>
      <c r="V91" s="7" t="n">
        <v>25117</v>
      </c>
      <c r="X91" s="7" t="n">
        <v>14774.3</v>
      </c>
      <c r="Z91" s="7" t="n">
        <v>18045.2</v>
      </c>
      <c r="AB91" s="7" t="n">
        <v>187482.9</v>
      </c>
    </row>
    <row r="92">
      <c r="A92" s="4" t="inlineStr">
        <is>
          <t>物料消耗</t>
        </is>
      </c>
      <c r="D92" s="7" t="n">
        <v>6415.7</v>
      </c>
      <c r="F92" s="7" t="n">
        <v>12668.9</v>
      </c>
      <c r="H92" s="7" t="n">
        <v>14287.1</v>
      </c>
      <c r="J92" s="7" t="n">
        <v>20979.9</v>
      </c>
      <c r="L92" s="7" t="n">
        <v>11938.6</v>
      </c>
      <c r="N92" s="7" t="n">
        <v>12935.8</v>
      </c>
      <c r="P92" s="7" t="n">
        <v>11215.1</v>
      </c>
      <c r="R92" s="7" t="n">
        <v>11803.4</v>
      </c>
      <c r="T92" s="7" t="n">
        <v>8875.5</v>
      </c>
      <c r="V92" s="7" t="n">
        <v>15666.1</v>
      </c>
      <c r="X92" s="7" t="n">
        <v>8539.700000000001</v>
      </c>
      <c r="Z92" s="7" t="n">
        <v>12238.5</v>
      </c>
      <c r="AB92" s="7" t="n">
        <v>147564.3</v>
      </c>
    </row>
    <row r="93">
      <c r="A93" s="4" t="inlineStr">
        <is>
          <t>盘盈盘亏</t>
        </is>
      </c>
      <c r="D93" s="7" t="n">
        <v>2037.6</v>
      </c>
      <c r="F93" s="7" t="n">
        <v>4201.4</v>
      </c>
      <c r="H93" s="7" t="n">
        <v>3369.6</v>
      </c>
      <c r="J93" s="7" t="n">
        <v>4593.6</v>
      </c>
      <c r="L93" s="7" t="n">
        <v>2798.5</v>
      </c>
      <c r="N93" s="7" t="n">
        <v>2797.3</v>
      </c>
      <c r="P93" s="7" t="n">
        <v>4133.5</v>
      </c>
      <c r="R93" s="7" t="n">
        <v>3691</v>
      </c>
      <c r="T93" s="7" t="n">
        <v>3847.9</v>
      </c>
      <c r="V93" s="7" t="n">
        <v>7814.1</v>
      </c>
      <c r="X93" s="7" t="n">
        <v>3427.1</v>
      </c>
      <c r="Z93" s="7" t="n">
        <v>4123.3</v>
      </c>
      <c r="AB93" s="7" t="n">
        <v>46834.9</v>
      </c>
    </row>
    <row r="94">
      <c r="A94" s="4" t="inlineStr">
        <is>
          <t>平台服务费</t>
        </is>
      </c>
      <c r="D94" s="7" t="n">
        <v>1243.7</v>
      </c>
      <c r="F94" s="7" t="n">
        <v>3105.4</v>
      </c>
      <c r="H94" s="7" t="n">
        <v>1988.5</v>
      </c>
      <c r="J94" s="7" t="n">
        <v>4117.7</v>
      </c>
      <c r="L94" s="7" t="n">
        <v>1627.4</v>
      </c>
      <c r="N94" s="7" t="n">
        <v>2066</v>
      </c>
      <c r="P94" s="7" t="n">
        <v>3484.1</v>
      </c>
      <c r="R94" s="7" t="n">
        <v>3240.2</v>
      </c>
      <c r="T94" s="7" t="n">
        <v>2721.7</v>
      </c>
      <c r="V94" s="7" t="n">
        <v>4593.4</v>
      </c>
      <c r="X94" s="7" t="n">
        <v>2824.7</v>
      </c>
      <c r="Z94" s="7" t="n">
        <v>3019.1</v>
      </c>
      <c r="AB94" s="7" t="n">
        <v>34031.9</v>
      </c>
    </row>
    <row r="95">
      <c r="A95" s="4" t="inlineStr">
        <is>
          <t>无形资产摊销</t>
        </is>
      </c>
      <c r="D95" s="7" t="n">
        <v>8320.5</v>
      </c>
      <c r="F95" s="7" t="n">
        <v>14357.7</v>
      </c>
      <c r="H95" s="7" t="n">
        <v>11682.2</v>
      </c>
      <c r="J95" s="7" t="n">
        <v>31146.4</v>
      </c>
      <c r="L95" s="7" t="n">
        <v>12082.1</v>
      </c>
      <c r="N95" s="7" t="n">
        <v>13681</v>
      </c>
      <c r="P95" s="7" t="n">
        <v>17936.2</v>
      </c>
      <c r="R95" s="7" t="n">
        <v>12153.7</v>
      </c>
      <c r="T95" s="7" t="n">
        <v>15824.8</v>
      </c>
      <c r="V95" s="7" t="n">
        <v>31595.3</v>
      </c>
      <c r="X95" s="7" t="n">
        <v>17652.3</v>
      </c>
      <c r="Z95" s="7" t="n">
        <v>19605.9</v>
      </c>
      <c r="AB95" s="7" t="n">
        <v>206038.1</v>
      </c>
    </row>
    <row r="96">
      <c r="A96" s="4" t="inlineStr">
        <is>
          <t>研发材料</t>
        </is>
      </c>
      <c r="D96" s="7" t="n">
        <v>867.8</v>
      </c>
      <c r="F96" s="7" t="n">
        <v>3007.9</v>
      </c>
      <c r="H96" s="7" t="n">
        <v>2616.6</v>
      </c>
      <c r="J96" s="7" t="n">
        <v>3339.8</v>
      </c>
      <c r="L96" s="7" t="n">
        <v>2220.9</v>
      </c>
      <c r="N96" s="7" t="n">
        <v>1545.7</v>
      </c>
      <c r="P96" s="7" t="n">
        <v>2675</v>
      </c>
      <c r="R96" s="7" t="n">
        <v>2102.3</v>
      </c>
      <c r="T96" s="7" t="n">
        <v>2832.4</v>
      </c>
      <c r="V96" s="7" t="n">
        <v>2830.9</v>
      </c>
      <c r="X96" s="7" t="n">
        <v>2458.4</v>
      </c>
      <c r="Z96" s="7" t="n">
        <v>2953.2</v>
      </c>
      <c r="AB96" s="7" t="n">
        <v>29450.9</v>
      </c>
    </row>
    <row r="97">
      <c r="A97" s="4" t="inlineStr">
        <is>
          <t>项目名称</t>
        </is>
      </c>
      <c r="D97" s="7" t="n">
        <v>3859</v>
      </c>
      <c r="F97" s="7" t="n">
        <v>6584.5</v>
      </c>
      <c r="H97" s="7" t="n">
        <v>5239.5</v>
      </c>
      <c r="J97" s="7" t="n">
        <v>11359</v>
      </c>
      <c r="L97" s="7" t="n">
        <v>4714.2</v>
      </c>
      <c r="N97" s="7" t="n">
        <v>7268.5</v>
      </c>
      <c r="P97" s="7" t="n">
        <v>7245.6</v>
      </c>
      <c r="R97" s="7" t="n">
        <v>4529.9</v>
      </c>
      <c r="T97" s="7" t="n">
        <v>6829.8</v>
      </c>
      <c r="V97" s="7" t="n">
        <v>10292.5</v>
      </c>
      <c r="X97" s="7" t="n">
        <v>4912.5</v>
      </c>
      <c r="Z97" s="7" t="n">
        <v>7601.5</v>
      </c>
      <c r="AB97" s="7" t="n">
        <v>80436.5</v>
      </c>
    </row>
    <row r="98">
      <c r="A98" s="4" t="inlineStr">
        <is>
          <t>研发费</t>
        </is>
      </c>
      <c r="D98" s="7" t="n">
        <v>5046.6</v>
      </c>
      <c r="F98" s="7" t="n">
        <v>11306.8</v>
      </c>
      <c r="H98" s="7" t="n">
        <v>10093</v>
      </c>
      <c r="J98" s="7" t="n">
        <v>16720.5</v>
      </c>
      <c r="L98" s="7" t="n">
        <v>7650.4</v>
      </c>
      <c r="N98" s="7" t="n">
        <v>10850.4</v>
      </c>
      <c r="P98" s="7" t="n">
        <v>11479.1</v>
      </c>
      <c r="R98" s="7" t="n">
        <v>11698.4</v>
      </c>
      <c r="T98" s="7" t="n">
        <v>10941</v>
      </c>
      <c r="V98" s="7" t="n">
        <v>23324.2</v>
      </c>
      <c r="X98" s="7" t="n">
        <v>10019.5</v>
      </c>
      <c r="Z98" s="7" t="n">
        <v>12340.8</v>
      </c>
      <c r="AB98" s="7" t="n">
        <v>141470.7</v>
      </c>
    </row>
    <row r="99">
      <c r="A99" s="4" t="inlineStr">
        <is>
          <t>残保金</t>
        </is>
      </c>
      <c r="D99" s="7" t="n">
        <v>11051</v>
      </c>
      <c r="F99" s="7" t="n">
        <v>21672.1</v>
      </c>
      <c r="H99" s="7" t="n">
        <v>12575.7</v>
      </c>
      <c r="J99" s="7" t="n">
        <v>35148.1</v>
      </c>
      <c r="L99" s="7" t="n">
        <v>16519.3</v>
      </c>
      <c r="N99" s="7" t="n">
        <v>20219.4</v>
      </c>
      <c r="P99" s="7" t="n">
        <v>23213.8</v>
      </c>
      <c r="R99" s="7" t="n">
        <v>18916.1</v>
      </c>
      <c r="T99" s="7" t="n">
        <v>12876.9</v>
      </c>
      <c r="V99" s="7" t="n">
        <v>34366.1</v>
      </c>
      <c r="X99" s="7" t="n">
        <v>13216.1</v>
      </c>
      <c r="Z99" s="7" t="n">
        <v>21915.5</v>
      </c>
      <c r="AB99" s="7" t="n">
        <v>241690.1</v>
      </c>
    </row>
    <row r="100">
      <c r="A100" s="4" t="inlineStr">
        <is>
          <t>环保费</t>
        </is>
      </c>
      <c r="D100" s="7" t="n">
        <v>9559.9</v>
      </c>
      <c r="F100" s="7" t="n">
        <v>20891.4</v>
      </c>
      <c r="H100" s="7" t="n">
        <v>15936.4</v>
      </c>
      <c r="J100" s="7" t="n">
        <v>27796.7</v>
      </c>
      <c r="L100" s="7" t="n">
        <v>11727</v>
      </c>
      <c r="N100" s="7" t="n">
        <v>14800</v>
      </c>
      <c r="P100" s="7" t="n">
        <v>16803.7</v>
      </c>
      <c r="R100" s="7" t="n">
        <v>16168.6</v>
      </c>
      <c r="T100" s="7" t="n">
        <v>19673.8</v>
      </c>
      <c r="V100" s="7" t="n">
        <v>20564.7</v>
      </c>
      <c r="X100" s="7" t="n">
        <v>15157.2</v>
      </c>
      <c r="Z100" s="7" t="n">
        <v>16280.4</v>
      </c>
      <c r="AB100" s="7" t="n">
        <v>205359.8</v>
      </c>
    </row>
    <row r="101">
      <c r="A101" s="4" t="inlineStr">
        <is>
          <t>报废损失</t>
        </is>
      </c>
      <c r="D101" s="7" t="n">
        <v>8605.6</v>
      </c>
      <c r="F101" s="7" t="n">
        <v>27121.8</v>
      </c>
      <c r="H101" s="7" t="n">
        <v>16247.4</v>
      </c>
      <c r="J101" s="7" t="n">
        <v>21059</v>
      </c>
      <c r="L101" s="7" t="n">
        <v>17920.5</v>
      </c>
      <c r="N101" s="7" t="n">
        <v>20096.6</v>
      </c>
      <c r="P101" s="7" t="n">
        <v>22264</v>
      </c>
      <c r="R101" s="7" t="n">
        <v>16495.4</v>
      </c>
      <c r="T101" s="7" t="n">
        <v>19888.7</v>
      </c>
      <c r="V101" s="7" t="n">
        <v>28133.3</v>
      </c>
      <c r="X101" s="7" t="n">
        <v>12524.9</v>
      </c>
      <c r="Z101" s="7" t="n">
        <v>21662.3</v>
      </c>
      <c r="AB101" s="7" t="n">
        <v>232019.5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901903</v>
      </c>
      <c r="D102" s="7" t="n">
        <v>488624.2</v>
      </c>
      <c r="E102" s="7" t="n">
        <v>1112337.7</v>
      </c>
      <c r="F102" s="7" t="n">
        <v>730967</v>
      </c>
      <c r="G102" s="7" t="n">
        <v>1012609.3</v>
      </c>
      <c r="H102" s="7" t="n">
        <v>726738.4</v>
      </c>
      <c r="I102" s="7" t="n">
        <v>909487</v>
      </c>
      <c r="J102" s="7" t="n">
        <v>897407.8</v>
      </c>
      <c r="K102" s="7" t="n">
        <v>1135020.4</v>
      </c>
      <c r="L102" s="7" t="n">
        <v>1652655.4</v>
      </c>
      <c r="M102" s="7" t="n">
        <v>1006983.1</v>
      </c>
      <c r="N102" s="7" t="n">
        <v>1135220.9</v>
      </c>
      <c r="O102" s="7" t="n">
        <v>871490.5</v>
      </c>
      <c r="P102" s="7" t="n">
        <v>1525596.2</v>
      </c>
      <c r="Q102" s="7" t="n">
        <v>1165888.4</v>
      </c>
      <c r="R102" s="7" t="n">
        <v>1288321</v>
      </c>
      <c r="S102" s="7" t="n">
        <v>933497.8</v>
      </c>
      <c r="T102" s="7" t="n">
        <v>1078334.3</v>
      </c>
      <c r="U102" s="7" t="n">
        <v>1083032.5</v>
      </c>
      <c r="V102" s="7" t="n">
        <v>1144940.1</v>
      </c>
      <c r="W102" s="7" t="n">
        <v>911847.4</v>
      </c>
      <c r="X102" s="7" t="n">
        <v>1166902</v>
      </c>
      <c r="Y102" s="7" t="n">
        <v>1071164.2</v>
      </c>
      <c r="Z102" s="7" t="n">
        <v>464753.1</v>
      </c>
      <c r="AA102" s="8" t="n">
        <v>12115261.3</v>
      </c>
      <c r="AB102" s="8" t="n">
        <v>12300460.4</v>
      </c>
    </row>
    <row r="103">
      <c r="A103" s="4" t="inlineStr">
        <is>
          <t>职工薪酬</t>
        </is>
      </c>
      <c r="D103" s="7" t="n">
        <v>252510.5</v>
      </c>
      <c r="F103" s="7" t="n">
        <v>398010.5</v>
      </c>
      <c r="H103" s="7" t="n">
        <v>292052.7</v>
      </c>
      <c r="J103" s="7" t="n">
        <v>487590.8</v>
      </c>
      <c r="L103" s="7" t="n">
        <v>714124.2</v>
      </c>
      <c r="N103" s="7" t="n">
        <v>543994.2</v>
      </c>
      <c r="P103" s="7" t="n">
        <v>897332.7</v>
      </c>
      <c r="R103" s="7" t="n">
        <v>511557.3</v>
      </c>
      <c r="T103" s="7" t="n">
        <v>612545</v>
      </c>
      <c r="V103" s="7" t="n">
        <v>693321.6</v>
      </c>
      <c r="X103" s="7" t="n">
        <v>707463.1</v>
      </c>
      <c r="Z103" s="7" t="n">
        <v>240404.9</v>
      </c>
      <c r="AB103" s="7" t="n">
        <v>6350907.5</v>
      </c>
    </row>
    <row r="104">
      <c r="A104" s="4" t="inlineStr">
        <is>
          <t>工资</t>
        </is>
      </c>
      <c r="D104" s="7" t="n">
        <v>160262.6</v>
      </c>
      <c r="F104" s="7" t="n">
        <v>246091.5</v>
      </c>
      <c r="H104" s="7" t="n">
        <v>152757.2</v>
      </c>
      <c r="J104" s="7" t="n">
        <v>265475.8</v>
      </c>
      <c r="L104" s="7" t="n">
        <v>386532.9</v>
      </c>
      <c r="N104" s="7" t="n">
        <v>284616.2</v>
      </c>
      <c r="P104" s="7" t="n">
        <v>507103.4</v>
      </c>
      <c r="R104" s="7" t="n">
        <v>272701</v>
      </c>
      <c r="T104" s="7" t="n">
        <v>361465.7</v>
      </c>
      <c r="V104" s="7" t="n">
        <v>408834.8</v>
      </c>
      <c r="X104" s="7" t="n">
        <v>452603.8</v>
      </c>
      <c r="Z104" s="7" t="n">
        <v>132927.1</v>
      </c>
      <c r="AB104" s="7" t="n">
        <v>3631372</v>
      </c>
    </row>
    <row r="105">
      <c r="A105" s="4" t="inlineStr">
        <is>
          <t>奖金及提成</t>
        </is>
      </c>
      <c r="D105" s="7" t="n">
        <v>38078.7</v>
      </c>
      <c r="F105" s="7" t="n">
        <v>54274.1</v>
      </c>
      <c r="H105" s="7" t="n">
        <v>67575.2</v>
      </c>
      <c r="J105" s="7" t="n">
        <v>102166.1</v>
      </c>
      <c r="L105" s="7" t="n">
        <v>125842.5</v>
      </c>
      <c r="N105" s="7" t="n">
        <v>100808.9</v>
      </c>
      <c r="P105" s="7" t="n">
        <v>187433.7</v>
      </c>
      <c r="R105" s="7" t="n">
        <v>100782.5</v>
      </c>
      <c r="T105" s="7" t="n">
        <v>125526.3</v>
      </c>
      <c r="V105" s="7" t="n">
        <v>131885</v>
      </c>
      <c r="X105" s="7" t="n">
        <v>91005.3</v>
      </c>
      <c r="Z105" s="7" t="n">
        <v>60221</v>
      </c>
      <c r="AB105" s="7" t="n">
        <v>1185599.3</v>
      </c>
    </row>
    <row r="106">
      <c r="A106" s="4" t="inlineStr">
        <is>
          <t>社保</t>
        </is>
      </c>
      <c r="D106" s="7" t="n">
        <v>30713.4</v>
      </c>
      <c r="F106" s="7" t="n">
        <v>59547.8</v>
      </c>
      <c r="H106" s="7" t="n">
        <v>40993</v>
      </c>
      <c r="J106" s="7" t="n">
        <v>78254.8</v>
      </c>
      <c r="L106" s="7" t="n">
        <v>127460.7</v>
      </c>
      <c r="N106" s="7" t="n">
        <v>102938.1</v>
      </c>
      <c r="P106" s="7" t="n">
        <v>131426.8</v>
      </c>
      <c r="R106" s="7" t="n">
        <v>81506.89999999999</v>
      </c>
      <c r="T106" s="7" t="n">
        <v>81696.8</v>
      </c>
      <c r="V106" s="7" t="n">
        <v>101848.3</v>
      </c>
      <c r="X106" s="7" t="n">
        <v>113514.1</v>
      </c>
      <c r="Z106" s="7" t="n">
        <v>27960</v>
      </c>
      <c r="AB106" s="7" t="n">
        <v>977860.7</v>
      </c>
    </row>
    <row r="107">
      <c r="A107" s="4" t="inlineStr">
        <is>
          <t>养老</t>
        </is>
      </c>
      <c r="D107" s="7" t="n">
        <v>370.7</v>
      </c>
      <c r="F107" s="7" t="n">
        <v>507.4</v>
      </c>
      <c r="H107" s="7" t="n">
        <v>445.5</v>
      </c>
      <c r="J107" s="7" t="n">
        <v>755.5</v>
      </c>
      <c r="L107" s="7" t="n">
        <v>967.6</v>
      </c>
      <c r="N107" s="7" t="n">
        <v>586.3</v>
      </c>
      <c r="P107" s="7" t="n">
        <v>870.5</v>
      </c>
      <c r="R107" s="7" t="n">
        <v>637</v>
      </c>
      <c r="T107" s="7" t="n">
        <v>733.2</v>
      </c>
      <c r="V107" s="7" t="n">
        <v>799.5</v>
      </c>
      <c r="X107" s="7" t="n">
        <v>818.4</v>
      </c>
      <c r="Z107" s="7" t="n">
        <v>357.4</v>
      </c>
      <c r="AB107" s="7" t="n">
        <v>7849</v>
      </c>
    </row>
    <row r="108">
      <c r="A108" s="4" t="inlineStr">
        <is>
          <t>医疗</t>
        </is>
      </c>
      <c r="D108" s="7" t="n">
        <v>2674.1</v>
      </c>
      <c r="F108" s="7" t="n">
        <v>3624.2</v>
      </c>
      <c r="H108" s="7" t="n">
        <v>2898.9</v>
      </c>
      <c r="J108" s="7" t="n">
        <v>4106.5</v>
      </c>
      <c r="L108" s="7" t="n">
        <v>7525.5</v>
      </c>
      <c r="N108" s="7" t="n">
        <v>5904.3</v>
      </c>
      <c r="P108" s="7" t="n">
        <v>6060.1</v>
      </c>
      <c r="R108" s="7" t="n">
        <v>4274.2</v>
      </c>
      <c r="T108" s="7" t="n">
        <v>6048</v>
      </c>
      <c r="V108" s="7" t="n">
        <v>6598.2</v>
      </c>
      <c r="X108" s="7" t="n">
        <v>5267.2</v>
      </c>
      <c r="Z108" s="7" t="n">
        <v>1615.3</v>
      </c>
      <c r="AB108" s="7" t="n">
        <v>56596.5</v>
      </c>
    </row>
    <row r="109">
      <c r="A109" s="4" t="inlineStr">
        <is>
          <t>工伤</t>
        </is>
      </c>
      <c r="D109" s="7" t="n">
        <v>1690.9</v>
      </c>
      <c r="F109" s="7" t="n">
        <v>2435.3</v>
      </c>
      <c r="H109" s="7" t="n">
        <v>3063.1</v>
      </c>
      <c r="J109" s="7" t="n">
        <v>3798.7</v>
      </c>
      <c r="L109" s="7" t="n">
        <v>6823.6</v>
      </c>
      <c r="N109" s="7" t="n">
        <v>2897.8</v>
      </c>
      <c r="P109" s="7" t="n">
        <v>6079.7</v>
      </c>
      <c r="R109" s="7" t="n">
        <v>4393.6</v>
      </c>
      <c r="T109" s="7" t="n">
        <v>3247.3</v>
      </c>
      <c r="V109" s="7" t="n">
        <v>4162.5</v>
      </c>
      <c r="X109" s="7" t="n">
        <v>4425.3</v>
      </c>
      <c r="Z109" s="7" t="n">
        <v>1937.7</v>
      </c>
      <c r="AB109" s="7" t="n">
        <v>44955.5</v>
      </c>
    </row>
    <row r="110">
      <c r="A110" s="4" t="inlineStr">
        <is>
          <t>失业</t>
        </is>
      </c>
      <c r="D110" s="7" t="n">
        <v>1752.5</v>
      </c>
      <c r="F110" s="7" t="n">
        <v>2734.4</v>
      </c>
      <c r="H110" s="7" t="n">
        <v>3147.3</v>
      </c>
      <c r="J110" s="7" t="n">
        <v>3281.7</v>
      </c>
      <c r="L110" s="7" t="n">
        <v>6146.9</v>
      </c>
      <c r="N110" s="7" t="n">
        <v>6730.1</v>
      </c>
      <c r="P110" s="7" t="n">
        <v>7737.2</v>
      </c>
      <c r="R110" s="7" t="n">
        <v>7010.1</v>
      </c>
      <c r="T110" s="7" t="n">
        <v>5450.7</v>
      </c>
      <c r="V110" s="7" t="n">
        <v>5490.3</v>
      </c>
      <c r="X110" s="7" t="n">
        <v>6608.5</v>
      </c>
      <c r="Z110" s="7" t="n">
        <v>1759.5</v>
      </c>
      <c r="AB110" s="7" t="n">
        <v>57849.2</v>
      </c>
    </row>
    <row r="111">
      <c r="A111" s="4" t="inlineStr">
        <is>
          <t>生育</t>
        </is>
      </c>
      <c r="D111" s="7" t="n">
        <v>1838.9</v>
      </c>
      <c r="F111" s="7" t="n">
        <v>2228.5</v>
      </c>
      <c r="H111" s="7" t="n">
        <v>2265.4</v>
      </c>
      <c r="J111" s="7" t="n">
        <v>3178.9</v>
      </c>
      <c r="L111" s="7" t="n">
        <v>4779.3</v>
      </c>
      <c r="N111" s="7" t="n">
        <v>4732.5</v>
      </c>
      <c r="P111" s="7" t="n">
        <v>5484.9</v>
      </c>
      <c r="R111" s="7" t="n">
        <v>4235.7</v>
      </c>
      <c r="T111" s="7" t="n">
        <v>4099.8</v>
      </c>
      <c r="V111" s="7" t="n">
        <v>4837</v>
      </c>
      <c r="X111" s="7" t="n">
        <v>4551.7</v>
      </c>
      <c r="Z111" s="7" t="n">
        <v>1209.5</v>
      </c>
      <c r="AB111" s="7" t="n">
        <v>43442.1</v>
      </c>
    </row>
    <row r="112">
      <c r="A112" s="4" t="inlineStr">
        <is>
          <t>公积金</t>
        </is>
      </c>
      <c r="D112" s="7" t="n">
        <v>2547.5</v>
      </c>
      <c r="F112" s="7" t="n">
        <v>4045.1</v>
      </c>
      <c r="H112" s="7" t="n">
        <v>2446.4</v>
      </c>
      <c r="J112" s="7" t="n">
        <v>3090.7</v>
      </c>
      <c r="L112" s="7" t="n">
        <v>7274</v>
      </c>
      <c r="N112" s="7" t="n">
        <v>5055.5</v>
      </c>
      <c r="P112" s="7" t="n">
        <v>7445.9</v>
      </c>
      <c r="R112" s="7" t="n">
        <v>5227</v>
      </c>
      <c r="T112" s="7" t="n">
        <v>5656.8</v>
      </c>
      <c r="V112" s="7" t="n">
        <v>6002.9</v>
      </c>
      <c r="X112" s="7" t="n">
        <v>4125.4</v>
      </c>
      <c r="Z112" s="7" t="n">
        <v>2394.9</v>
      </c>
      <c r="AB112" s="7" t="n">
        <v>55312.1</v>
      </c>
    </row>
    <row r="113">
      <c r="A113" s="4" t="inlineStr">
        <is>
          <t>工会经费</t>
        </is>
      </c>
      <c r="D113" s="7" t="n">
        <v>1794.3</v>
      </c>
      <c r="F113" s="7" t="n">
        <v>4276.4</v>
      </c>
      <c r="H113" s="7" t="n">
        <v>3389.1</v>
      </c>
      <c r="J113" s="7" t="n">
        <v>4829</v>
      </c>
      <c r="L113" s="7" t="n">
        <v>8609.200000000001</v>
      </c>
      <c r="N113" s="7" t="n">
        <v>4178.5</v>
      </c>
      <c r="P113" s="7" t="n">
        <v>5446.9</v>
      </c>
      <c r="R113" s="7" t="n">
        <v>6925.9</v>
      </c>
      <c r="T113" s="7" t="n">
        <v>4272.1</v>
      </c>
      <c r="V113" s="7" t="n">
        <v>6487.8</v>
      </c>
      <c r="X113" s="7" t="n">
        <v>6241.9</v>
      </c>
      <c r="Z113" s="7" t="n">
        <v>1534.2</v>
      </c>
      <c r="AB113" s="7" t="n">
        <v>57985.3</v>
      </c>
    </row>
    <row r="114">
      <c r="A114" s="4" t="inlineStr">
        <is>
          <t>职工教育经费</t>
        </is>
      </c>
      <c r="D114" s="7" t="n">
        <v>2232.2</v>
      </c>
      <c r="F114" s="7" t="n">
        <v>2856.3</v>
      </c>
      <c r="H114" s="7" t="n">
        <v>4336.3</v>
      </c>
      <c r="J114" s="7" t="n">
        <v>4968</v>
      </c>
      <c r="L114" s="7" t="n">
        <v>6527.2</v>
      </c>
      <c r="N114" s="7" t="n">
        <v>5846.7</v>
      </c>
      <c r="P114" s="7" t="n">
        <v>7396.6</v>
      </c>
      <c r="R114" s="7" t="n">
        <v>6816.9</v>
      </c>
      <c r="T114" s="7" t="n">
        <v>5936.1</v>
      </c>
      <c r="V114" s="7" t="n">
        <v>5578.6</v>
      </c>
      <c r="X114" s="7" t="n">
        <v>5268.4</v>
      </c>
      <c r="Z114" s="7" t="n">
        <v>1873.7</v>
      </c>
      <c r="AB114" s="7" t="n">
        <v>59637</v>
      </c>
    </row>
    <row r="115">
      <c r="A115" s="4" t="inlineStr">
        <is>
          <t>福利费</t>
        </is>
      </c>
      <c r="D115" s="7" t="n">
        <v>16881.8</v>
      </c>
      <c r="F115" s="7" t="n">
        <v>26919.3</v>
      </c>
      <c r="H115" s="7" t="n">
        <v>20555.5</v>
      </c>
      <c r="J115" s="7" t="n">
        <v>28806.4</v>
      </c>
      <c r="L115" s="7" t="n">
        <v>51877.7</v>
      </c>
      <c r="N115" s="7" t="n">
        <v>40550.3</v>
      </c>
      <c r="P115" s="7" t="n">
        <v>51079.4</v>
      </c>
      <c r="R115" s="7" t="n">
        <v>37597.1</v>
      </c>
      <c r="T115" s="7" t="n">
        <v>27991.2</v>
      </c>
      <c r="V115" s="7" t="n">
        <v>32684.2</v>
      </c>
      <c r="X115" s="7" t="n">
        <v>34704.2</v>
      </c>
      <c r="Z115" s="7" t="n">
        <v>13494</v>
      </c>
      <c r="AB115" s="7" t="n">
        <v>383141.1</v>
      </c>
    </row>
    <row r="116">
      <c r="A116" s="4" t="inlineStr">
        <is>
          <t>职工房租</t>
        </is>
      </c>
      <c r="D116" s="7" t="n">
        <v>2211.4</v>
      </c>
      <c r="F116" s="7" t="n">
        <v>3032.7</v>
      </c>
      <c r="H116" s="7" t="n">
        <v>2507.2</v>
      </c>
      <c r="J116" s="7" t="n">
        <v>2905.6</v>
      </c>
      <c r="L116" s="7" t="n">
        <v>5690.4</v>
      </c>
      <c r="N116" s="7" t="n">
        <v>4659.5</v>
      </c>
      <c r="P116" s="7" t="n">
        <v>4771.7</v>
      </c>
      <c r="R116" s="7" t="n">
        <v>3487.7</v>
      </c>
      <c r="T116" s="7" t="n">
        <v>3611</v>
      </c>
      <c r="V116" s="7" t="n">
        <v>4155.9</v>
      </c>
      <c r="X116" s="7" t="n">
        <v>5250.6</v>
      </c>
      <c r="Z116" s="7" t="n">
        <v>1360.7</v>
      </c>
      <c r="AB116" s="7" t="n">
        <v>43644.4</v>
      </c>
    </row>
    <row r="117">
      <c r="A117" s="4" t="inlineStr">
        <is>
          <t>水电物业费</t>
        </is>
      </c>
      <c r="D117" s="7" t="n">
        <v>3321.6</v>
      </c>
      <c r="F117" s="7" t="n">
        <v>4905.8</v>
      </c>
      <c r="H117" s="7" t="n">
        <v>2841.7</v>
      </c>
      <c r="J117" s="7" t="n">
        <v>4634.1</v>
      </c>
      <c r="L117" s="7" t="n">
        <v>7578.1</v>
      </c>
      <c r="N117" s="7" t="n">
        <v>7226.4</v>
      </c>
      <c r="P117" s="7" t="n">
        <v>7212.7</v>
      </c>
      <c r="R117" s="7" t="n">
        <v>7011.5</v>
      </c>
      <c r="T117" s="7" t="n">
        <v>4008.5</v>
      </c>
      <c r="V117" s="7" t="n">
        <v>4954.3</v>
      </c>
      <c r="X117" s="7" t="n">
        <v>6390.3</v>
      </c>
      <c r="Z117" s="7" t="n">
        <v>2162.9</v>
      </c>
      <c r="AB117" s="7" t="n">
        <v>62247.9</v>
      </c>
    </row>
    <row r="118">
      <c r="A118" s="4" t="inlineStr">
        <is>
          <t>员工餐</t>
        </is>
      </c>
      <c r="D118" s="7" t="n">
        <v>1952.1</v>
      </c>
      <c r="F118" s="7" t="n">
        <v>3149</v>
      </c>
      <c r="H118" s="7" t="n">
        <v>2955.7</v>
      </c>
      <c r="J118" s="7" t="n">
        <v>4263.9</v>
      </c>
      <c r="L118" s="7" t="n">
        <v>5515.2</v>
      </c>
      <c r="N118" s="7" t="n">
        <v>5749.3</v>
      </c>
      <c r="P118" s="7" t="n">
        <v>7203.2</v>
      </c>
      <c r="R118" s="7" t="n">
        <v>4456.2</v>
      </c>
      <c r="T118" s="7" t="n">
        <v>3099.1</v>
      </c>
      <c r="V118" s="7" t="n">
        <v>4422.9</v>
      </c>
      <c r="X118" s="7" t="n">
        <v>4001.6</v>
      </c>
      <c r="Z118" s="7" t="n">
        <v>1722.9</v>
      </c>
      <c r="AB118" s="7" t="n">
        <v>48491.1</v>
      </c>
    </row>
    <row r="119">
      <c r="A119" s="4" t="inlineStr">
        <is>
          <t>节日礼品</t>
        </is>
      </c>
      <c r="D119" s="7" t="n">
        <v>3298.9</v>
      </c>
      <c r="F119" s="7" t="n">
        <v>5113.2</v>
      </c>
      <c r="H119" s="7" t="n">
        <v>2804.2</v>
      </c>
      <c r="J119" s="7" t="n">
        <v>5406.9</v>
      </c>
      <c r="L119" s="7" t="n">
        <v>11003.8</v>
      </c>
      <c r="N119" s="7" t="n">
        <v>7101.9</v>
      </c>
      <c r="P119" s="7" t="n">
        <v>6403.2</v>
      </c>
      <c r="R119" s="7" t="n">
        <v>7219.6</v>
      </c>
      <c r="T119" s="7" t="n">
        <v>5004</v>
      </c>
      <c r="V119" s="7" t="n">
        <v>6273.2</v>
      </c>
      <c r="X119" s="7" t="n">
        <v>4727.9</v>
      </c>
      <c r="Z119" s="7" t="n">
        <v>3321.6</v>
      </c>
      <c r="AB119" s="7" t="n">
        <v>67678.39999999999</v>
      </c>
    </row>
    <row r="120">
      <c r="A120" s="4" t="inlineStr">
        <is>
          <t>生日礼品</t>
        </is>
      </c>
      <c r="D120" s="7" t="n">
        <v>1723.4</v>
      </c>
      <c r="F120" s="7" t="n">
        <v>4273.3</v>
      </c>
      <c r="H120" s="7" t="n">
        <v>4199.8</v>
      </c>
      <c r="J120" s="7" t="n">
        <v>4237.5</v>
      </c>
      <c r="L120" s="7" t="n">
        <v>8641.6</v>
      </c>
      <c r="N120" s="7" t="n">
        <v>4892.3</v>
      </c>
      <c r="P120" s="7" t="n">
        <v>9146.4</v>
      </c>
      <c r="R120" s="7" t="n">
        <v>4514.7</v>
      </c>
      <c r="T120" s="7" t="n">
        <v>3811.1</v>
      </c>
      <c r="V120" s="7" t="n">
        <v>4168.1</v>
      </c>
      <c r="X120" s="7" t="n">
        <v>6490.8</v>
      </c>
      <c r="Z120" s="7" t="n">
        <v>1615.5</v>
      </c>
      <c r="AB120" s="7" t="n">
        <v>57714.5</v>
      </c>
    </row>
    <row r="121">
      <c r="A121" s="4" t="inlineStr">
        <is>
          <t>体检</t>
        </is>
      </c>
      <c r="D121" s="7" t="n">
        <v>1748.4</v>
      </c>
      <c r="F121" s="7" t="n">
        <v>3479.8</v>
      </c>
      <c r="H121" s="7" t="n">
        <v>2278.6</v>
      </c>
      <c r="J121" s="7" t="n">
        <v>2862.2</v>
      </c>
      <c r="L121" s="7" t="n">
        <v>5470.5</v>
      </c>
      <c r="N121" s="7" t="n">
        <v>4989.8</v>
      </c>
      <c r="P121" s="7" t="n">
        <v>6364.6</v>
      </c>
      <c r="R121" s="7" t="n">
        <v>5474.3</v>
      </c>
      <c r="T121" s="7" t="n">
        <v>3576.8</v>
      </c>
      <c r="V121" s="7" t="n">
        <v>3679.8</v>
      </c>
      <c r="X121" s="7" t="n">
        <v>3236.1</v>
      </c>
      <c r="Z121" s="7" t="n">
        <v>1421.8</v>
      </c>
      <c r="AB121" s="7" t="n">
        <v>44582.7</v>
      </c>
    </row>
    <row r="122">
      <c r="A122" s="4" t="inlineStr">
        <is>
          <t>其他福利支出</t>
        </is>
      </c>
      <c r="D122" s="7" t="n">
        <v>2626</v>
      </c>
      <c r="F122" s="7" t="n">
        <v>2965.5</v>
      </c>
      <c r="H122" s="7" t="n">
        <v>2968.3</v>
      </c>
      <c r="J122" s="7" t="n">
        <v>4496.2</v>
      </c>
      <c r="L122" s="7" t="n">
        <v>7978.1</v>
      </c>
      <c r="N122" s="7" t="n">
        <v>5931.1</v>
      </c>
      <c r="P122" s="7" t="n">
        <v>9977.6</v>
      </c>
      <c r="R122" s="7" t="n">
        <v>5433.1</v>
      </c>
      <c r="T122" s="7" t="n">
        <v>4880.7</v>
      </c>
      <c r="V122" s="7" t="n">
        <v>5030</v>
      </c>
      <c r="X122" s="7" t="n">
        <v>4606.9</v>
      </c>
      <c r="Z122" s="7" t="n">
        <v>1888.6</v>
      </c>
      <c r="AB122" s="7" t="n">
        <v>58782.1</v>
      </c>
    </row>
    <row r="123">
      <c r="A123" s="4" t="inlineStr">
        <is>
          <t>招聘费</t>
        </is>
      </c>
      <c r="D123" s="7" t="n">
        <v>2628.7</v>
      </c>
      <c r="F123" s="7" t="n">
        <v>3676.9</v>
      </c>
      <c r="H123" s="7" t="n">
        <v>2367.7</v>
      </c>
      <c r="J123" s="7" t="n">
        <v>4850.9</v>
      </c>
      <c r="L123" s="7" t="n">
        <v>6666.6</v>
      </c>
      <c r="N123" s="7" t="n">
        <v>3854.4</v>
      </c>
      <c r="P123" s="7" t="n">
        <v>5826.4</v>
      </c>
      <c r="R123" s="7" t="n">
        <v>5294.1</v>
      </c>
      <c r="T123" s="7" t="n">
        <v>4890.3</v>
      </c>
      <c r="V123" s="7" t="n">
        <v>5698.3</v>
      </c>
      <c r="X123" s="7" t="n">
        <v>4494.2</v>
      </c>
      <c r="Z123" s="7" t="n">
        <v>2706.3</v>
      </c>
      <c r="AB123" s="7" t="n">
        <v>52954.8</v>
      </c>
    </row>
    <row r="124">
      <c r="A124" s="4" t="inlineStr">
        <is>
          <t>办公费</t>
        </is>
      </c>
      <c r="D124" s="7" t="n">
        <v>10534.5</v>
      </c>
      <c r="F124" s="7" t="n">
        <v>20671.1</v>
      </c>
      <c r="H124" s="7" t="n">
        <v>21176.9</v>
      </c>
      <c r="J124" s="7" t="n">
        <v>30929.5</v>
      </c>
      <c r="L124" s="7" t="n">
        <v>42138.3</v>
      </c>
      <c r="N124" s="7" t="n">
        <v>33281</v>
      </c>
      <c r="P124" s="7" t="n">
        <v>54113.1</v>
      </c>
      <c r="R124" s="7" t="n">
        <v>30296.5</v>
      </c>
      <c r="T124" s="7" t="n">
        <v>22877.1</v>
      </c>
      <c r="V124" s="7" t="n">
        <v>41156.8</v>
      </c>
      <c r="X124" s="7" t="n">
        <v>45143</v>
      </c>
      <c r="Z124" s="7" t="n">
        <v>10853.3</v>
      </c>
      <c r="AB124" s="7" t="n">
        <v>363171.1</v>
      </c>
    </row>
    <row r="125">
      <c r="A125" s="4" t="inlineStr">
        <is>
          <t>市内交通费</t>
        </is>
      </c>
      <c r="D125" s="7" t="n">
        <v>2436.8</v>
      </c>
      <c r="F125" s="7" t="n">
        <v>4256.7</v>
      </c>
      <c r="H125" s="7" t="n">
        <v>4266</v>
      </c>
      <c r="J125" s="7" t="n">
        <v>5086.4</v>
      </c>
      <c r="L125" s="7" t="n">
        <v>7634.5</v>
      </c>
      <c r="N125" s="7" t="n">
        <v>7282</v>
      </c>
      <c r="P125" s="7" t="n">
        <v>5875.7</v>
      </c>
      <c r="R125" s="7" t="n">
        <v>5140.1</v>
      </c>
      <c r="T125" s="7" t="n">
        <v>7230.8</v>
      </c>
      <c r="V125" s="7" t="n">
        <v>5974.1</v>
      </c>
      <c r="X125" s="7" t="n">
        <v>4898.9</v>
      </c>
      <c r="Z125" s="7" t="n">
        <v>3120.3</v>
      </c>
      <c r="AB125" s="7" t="n">
        <v>63202.3</v>
      </c>
    </row>
    <row r="126">
      <c r="A126" s="4" t="inlineStr">
        <is>
          <t>差旅费</t>
        </is>
      </c>
      <c r="D126" s="7" t="n">
        <v>35111</v>
      </c>
      <c r="F126" s="7" t="n">
        <v>39425.3</v>
      </c>
      <c r="H126" s="7" t="n">
        <v>31640.1</v>
      </c>
      <c r="J126" s="7" t="n">
        <v>52584.3</v>
      </c>
      <c r="L126" s="7" t="n">
        <v>79406.10000000001</v>
      </c>
      <c r="N126" s="7" t="n">
        <v>71132.7</v>
      </c>
      <c r="P126" s="7" t="n">
        <v>109203.2</v>
      </c>
      <c r="R126" s="7" t="n">
        <v>72429.3</v>
      </c>
      <c r="T126" s="7" t="n">
        <v>46434.5</v>
      </c>
      <c r="V126" s="7" t="n">
        <v>76248</v>
      </c>
      <c r="X126" s="7" t="n">
        <v>56269.3</v>
      </c>
      <c r="Z126" s="7" t="n">
        <v>23112.1</v>
      </c>
      <c r="AB126" s="7" t="n">
        <v>692995.9</v>
      </c>
    </row>
    <row r="127">
      <c r="A127" s="4" t="inlineStr">
        <is>
          <t>交通费</t>
        </is>
      </c>
      <c r="D127" s="7" t="n">
        <v>520.4</v>
      </c>
      <c r="F127" s="7" t="n">
        <v>1103.4</v>
      </c>
      <c r="H127" s="7" t="n">
        <v>642.8</v>
      </c>
      <c r="J127" s="7" t="n">
        <v>1180.1</v>
      </c>
      <c r="L127" s="7" t="n">
        <v>1718.8</v>
      </c>
      <c r="N127" s="7" t="n">
        <v>1221.9</v>
      </c>
      <c r="P127" s="7" t="n">
        <v>1773.4</v>
      </c>
      <c r="R127" s="7" t="n">
        <v>1629.1</v>
      </c>
      <c r="T127" s="7" t="n">
        <v>974.8</v>
      </c>
      <c r="V127" s="7" t="n">
        <v>1219.4</v>
      </c>
      <c r="X127" s="7" t="n">
        <v>1120.3</v>
      </c>
      <c r="Z127" s="7" t="n">
        <v>467.5</v>
      </c>
      <c r="AB127" s="7" t="n">
        <v>13571.9</v>
      </c>
    </row>
    <row r="128">
      <c r="A128" s="4" t="inlineStr">
        <is>
          <t>住宿费</t>
        </is>
      </c>
      <c r="D128" s="7" t="n">
        <v>2878.4</v>
      </c>
      <c r="F128" s="7" t="n">
        <v>4573</v>
      </c>
      <c r="H128" s="7" t="n">
        <v>4980.1</v>
      </c>
      <c r="J128" s="7" t="n">
        <v>6126.8</v>
      </c>
      <c r="L128" s="7" t="n">
        <v>12402.2</v>
      </c>
      <c r="N128" s="7" t="n">
        <v>7699.3</v>
      </c>
      <c r="P128" s="7" t="n">
        <v>8101.9</v>
      </c>
      <c r="R128" s="7" t="n">
        <v>7673.2</v>
      </c>
      <c r="T128" s="7" t="n">
        <v>6197.9</v>
      </c>
      <c r="V128" s="7" t="n">
        <v>8286.299999999999</v>
      </c>
      <c r="X128" s="7" t="n">
        <v>6778.9</v>
      </c>
      <c r="Z128" s="7" t="n">
        <v>2515.5</v>
      </c>
      <c r="AB128" s="7" t="n">
        <v>78213.5</v>
      </c>
    </row>
    <row r="129">
      <c r="A129" s="4" t="inlineStr">
        <is>
          <t>餐补</t>
        </is>
      </c>
      <c r="D129" s="7" t="n">
        <v>513.5</v>
      </c>
      <c r="F129" s="7" t="n">
        <v>716.6</v>
      </c>
      <c r="H129" s="7" t="n">
        <v>1060.4</v>
      </c>
      <c r="J129" s="7" t="n">
        <v>1235</v>
      </c>
      <c r="L129" s="7" t="n">
        <v>1432.6</v>
      </c>
      <c r="N129" s="7" t="n">
        <v>1733.3</v>
      </c>
      <c r="P129" s="7" t="n">
        <v>1830.6</v>
      </c>
      <c r="R129" s="7" t="n">
        <v>1762.3</v>
      </c>
      <c r="T129" s="7" t="n">
        <v>1652.6</v>
      </c>
      <c r="V129" s="7" t="n">
        <v>1734</v>
      </c>
      <c r="X129" s="7" t="n">
        <v>1045.8</v>
      </c>
      <c r="Z129" s="7" t="n">
        <v>599.6</v>
      </c>
      <c r="AB129" s="7" t="n">
        <v>15316.3</v>
      </c>
    </row>
    <row r="130">
      <c r="A130" s="4" t="inlineStr">
        <is>
          <t>交通补助</t>
        </is>
      </c>
      <c r="D130" s="7" t="n">
        <v>1016</v>
      </c>
      <c r="F130" s="7" t="n">
        <v>1597.4</v>
      </c>
      <c r="H130" s="7" t="n">
        <v>931.7</v>
      </c>
      <c r="J130" s="7" t="n">
        <v>2035.5</v>
      </c>
      <c r="L130" s="7" t="n">
        <v>2402.1</v>
      </c>
      <c r="N130" s="7" t="n">
        <v>2396.5</v>
      </c>
      <c r="P130" s="7" t="n">
        <v>3142.1</v>
      </c>
      <c r="R130" s="7" t="n">
        <v>2055.5</v>
      </c>
      <c r="T130" s="7" t="n">
        <v>2268.2</v>
      </c>
      <c r="V130" s="7" t="n">
        <v>2415.5</v>
      </c>
      <c r="X130" s="7" t="n">
        <v>1643.1</v>
      </c>
      <c r="Z130" s="7" t="n">
        <v>857.3</v>
      </c>
      <c r="AB130" s="7" t="n">
        <v>22760.9</v>
      </c>
    </row>
    <row r="131">
      <c r="A131" s="4" t="inlineStr">
        <is>
          <t>通讯补助</t>
        </is>
      </c>
      <c r="D131" s="7" t="n">
        <v>2889.5</v>
      </c>
      <c r="F131" s="7" t="n">
        <v>4824.2</v>
      </c>
      <c r="H131" s="7" t="n">
        <v>2754.4</v>
      </c>
      <c r="J131" s="7" t="n">
        <v>5315.2</v>
      </c>
      <c r="L131" s="7" t="n">
        <v>11083.2</v>
      </c>
      <c r="N131" s="7" t="n">
        <v>6230.5</v>
      </c>
      <c r="P131" s="7" t="n">
        <v>8370.6</v>
      </c>
      <c r="R131" s="7" t="n">
        <v>5536.8</v>
      </c>
      <c r="T131" s="7" t="n">
        <v>7369.9</v>
      </c>
      <c r="V131" s="7" t="n">
        <v>7438.8</v>
      </c>
      <c r="X131" s="7" t="n">
        <v>6140.2</v>
      </c>
      <c r="Z131" s="7" t="n">
        <v>2175.5</v>
      </c>
      <c r="AB131" s="7" t="n">
        <v>70128.8</v>
      </c>
    </row>
    <row r="132">
      <c r="A132" s="4" t="inlineStr">
        <is>
          <t>招待费</t>
        </is>
      </c>
      <c r="D132" s="7" t="n">
        <v>19432.8</v>
      </c>
      <c r="F132" s="7" t="n">
        <v>22050.5</v>
      </c>
      <c r="H132" s="7" t="n">
        <v>24406</v>
      </c>
      <c r="J132" s="7" t="n">
        <v>29840.1</v>
      </c>
      <c r="L132" s="7" t="n">
        <v>67155.3</v>
      </c>
      <c r="N132" s="7" t="n">
        <v>31804.8</v>
      </c>
      <c r="P132" s="7" t="n">
        <v>76324.8</v>
      </c>
      <c r="R132" s="7" t="n">
        <v>42302.2</v>
      </c>
      <c r="T132" s="7" t="n">
        <v>33570.4</v>
      </c>
      <c r="V132" s="7" t="n">
        <v>51758.7</v>
      </c>
      <c r="X132" s="7" t="n">
        <v>58404.3</v>
      </c>
      <c r="Z132" s="7" t="n">
        <v>22430.3</v>
      </c>
      <c r="AB132" s="7" t="n">
        <v>479480.2</v>
      </c>
    </row>
    <row r="133">
      <c r="A133" s="4" t="inlineStr">
        <is>
          <t>通讯费</t>
        </is>
      </c>
      <c r="D133" s="7" t="n">
        <v>739.4</v>
      </c>
      <c r="F133" s="7" t="n">
        <v>1631.6</v>
      </c>
      <c r="H133" s="7" t="n">
        <v>1928.1</v>
      </c>
      <c r="J133" s="7" t="n">
        <v>2217.7</v>
      </c>
      <c r="L133" s="7" t="n">
        <v>4235.8</v>
      </c>
      <c r="N133" s="7" t="n">
        <v>2930.1</v>
      </c>
      <c r="P133" s="7" t="n">
        <v>4131.7</v>
      </c>
      <c r="R133" s="7" t="n">
        <v>2526.3</v>
      </c>
      <c r="T133" s="7" t="n">
        <v>2894.8</v>
      </c>
      <c r="V133" s="7" t="n">
        <v>2277.3</v>
      </c>
      <c r="X133" s="7" t="n">
        <v>1883.3</v>
      </c>
      <c r="Z133" s="7" t="n">
        <v>868.9</v>
      </c>
      <c r="AB133" s="7" t="n">
        <v>28265</v>
      </c>
    </row>
    <row r="134">
      <c r="A134" s="4" t="inlineStr">
        <is>
          <t>网络费</t>
        </is>
      </c>
      <c r="D134" s="7" t="n">
        <v>347.4</v>
      </c>
      <c r="F134" s="7" t="n">
        <v>830.1</v>
      </c>
      <c r="H134" s="7" t="n">
        <v>764.1</v>
      </c>
      <c r="J134" s="7" t="n">
        <v>1024.9</v>
      </c>
      <c r="L134" s="7" t="n">
        <v>1611.1</v>
      </c>
      <c r="N134" s="7" t="n">
        <v>817.2</v>
      </c>
      <c r="P134" s="7" t="n">
        <v>1749</v>
      </c>
      <c r="R134" s="7" t="n">
        <v>1286.6</v>
      </c>
      <c r="T134" s="7" t="n">
        <v>1213.1</v>
      </c>
      <c r="V134" s="7" t="n">
        <v>1200.9</v>
      </c>
      <c r="X134" s="7" t="n">
        <v>870.7</v>
      </c>
      <c r="Z134" s="7" t="n">
        <v>438</v>
      </c>
      <c r="AB134" s="7" t="n">
        <v>12153.1</v>
      </c>
    </row>
    <row r="135">
      <c r="A135" s="4" t="inlineStr">
        <is>
          <t>修理费</t>
        </is>
      </c>
      <c r="D135" s="7" t="n">
        <v>496.7</v>
      </c>
      <c r="F135" s="7" t="n">
        <v>935.6</v>
      </c>
      <c r="H135" s="7" t="n">
        <v>648.8</v>
      </c>
      <c r="J135" s="7" t="n">
        <v>1173.6</v>
      </c>
      <c r="L135" s="7" t="n">
        <v>2412</v>
      </c>
      <c r="N135" s="7" t="n">
        <v>1656.7</v>
      </c>
      <c r="P135" s="7" t="n">
        <v>1640.1</v>
      </c>
      <c r="R135" s="7" t="n">
        <v>1920.7</v>
      </c>
      <c r="T135" s="7" t="n">
        <v>1586</v>
      </c>
      <c r="V135" s="7" t="n">
        <v>947.1</v>
      </c>
      <c r="X135" s="7" t="n">
        <v>1424.2</v>
      </c>
      <c r="Z135" s="7" t="n">
        <v>669.4</v>
      </c>
      <c r="AB135" s="7" t="n">
        <v>15510.9</v>
      </c>
    </row>
    <row r="136">
      <c r="A136" s="4" t="inlineStr">
        <is>
          <t>车辆费</t>
        </is>
      </c>
      <c r="D136" s="7" t="n">
        <v>2580.9</v>
      </c>
      <c r="F136" s="7" t="n">
        <v>4820</v>
      </c>
      <c r="H136" s="7" t="n">
        <v>5818.9</v>
      </c>
      <c r="J136" s="7" t="n">
        <v>4466</v>
      </c>
      <c r="L136" s="7" t="n">
        <v>12028.7</v>
      </c>
      <c r="N136" s="7" t="n">
        <v>6070.1</v>
      </c>
      <c r="P136" s="7" t="n">
        <v>12480.5</v>
      </c>
      <c r="R136" s="7" t="n">
        <v>6545</v>
      </c>
      <c r="T136" s="7" t="n">
        <v>8423.200000000001</v>
      </c>
      <c r="V136" s="7" t="n">
        <v>5471.5</v>
      </c>
      <c r="X136" s="7" t="n">
        <v>8331.6</v>
      </c>
      <c r="Z136" s="7" t="n">
        <v>3194.7</v>
      </c>
      <c r="AB136" s="7" t="n">
        <v>80231.10000000001</v>
      </c>
    </row>
    <row r="137">
      <c r="A137" s="4" t="inlineStr">
        <is>
          <t>租赁费</t>
        </is>
      </c>
      <c r="D137" s="7" t="n">
        <v>30099.1</v>
      </c>
      <c r="F137" s="7" t="n">
        <v>35378</v>
      </c>
      <c r="H137" s="7" t="n">
        <v>31218</v>
      </c>
      <c r="J137" s="7" t="n">
        <v>38127.5</v>
      </c>
      <c r="L137" s="7" t="n">
        <v>61204.2</v>
      </c>
      <c r="N137" s="7" t="n">
        <v>48473.6</v>
      </c>
      <c r="P137" s="7" t="n">
        <v>58340.4</v>
      </c>
      <c r="R137" s="7" t="n">
        <v>45140.8</v>
      </c>
      <c r="T137" s="7" t="n">
        <v>50226.8</v>
      </c>
      <c r="V137" s="7" t="n">
        <v>65235.9</v>
      </c>
      <c r="X137" s="7" t="n">
        <v>74767</v>
      </c>
      <c r="Z137" s="7" t="n">
        <v>28599.3</v>
      </c>
      <c r="AB137" s="7" t="n">
        <v>566810.6</v>
      </c>
    </row>
    <row r="138">
      <c r="A138" s="4" t="inlineStr">
        <is>
          <t>能源费</t>
        </is>
      </c>
      <c r="D138" s="7" t="n">
        <v>4193.2</v>
      </c>
      <c r="F138" s="7" t="n">
        <v>7345.1</v>
      </c>
      <c r="H138" s="7" t="n">
        <v>5339.2</v>
      </c>
      <c r="J138" s="7" t="n">
        <v>6701.2</v>
      </c>
      <c r="L138" s="7" t="n">
        <v>13831.8</v>
      </c>
      <c r="N138" s="7" t="n">
        <v>8934.299999999999</v>
      </c>
      <c r="P138" s="7" t="n">
        <v>15879.8</v>
      </c>
      <c r="R138" s="7" t="n">
        <v>12063.4</v>
      </c>
      <c r="T138" s="7" t="n">
        <v>10965.5</v>
      </c>
      <c r="V138" s="7" t="n">
        <v>9468.700000000001</v>
      </c>
      <c r="X138" s="7" t="n">
        <v>9591</v>
      </c>
      <c r="Z138" s="7" t="n">
        <v>3464.5</v>
      </c>
      <c r="AB138" s="7" t="n">
        <v>107777.7</v>
      </c>
    </row>
    <row r="139">
      <c r="A139" s="4" t="inlineStr">
        <is>
          <t>水费</t>
        </is>
      </c>
      <c r="D139" s="7" t="n">
        <v>1297.9</v>
      </c>
      <c r="F139" s="7" t="n">
        <v>1137.4</v>
      </c>
      <c r="H139" s="7" t="n">
        <v>1218.2</v>
      </c>
      <c r="J139" s="7" t="n">
        <v>1735.4</v>
      </c>
      <c r="L139" s="7" t="n">
        <v>3934.7</v>
      </c>
      <c r="N139" s="7" t="n">
        <v>2439.5</v>
      </c>
      <c r="P139" s="7" t="n">
        <v>3950</v>
      </c>
      <c r="R139" s="7" t="n">
        <v>2035.2</v>
      </c>
      <c r="T139" s="7" t="n">
        <v>2380.8</v>
      </c>
      <c r="V139" s="7" t="n">
        <v>2556</v>
      </c>
      <c r="X139" s="7" t="n">
        <v>2413.5</v>
      </c>
      <c r="Z139" s="7" t="n">
        <v>698</v>
      </c>
      <c r="AB139" s="7" t="n">
        <v>25796.6</v>
      </c>
    </row>
    <row r="140">
      <c r="A140" s="4" t="inlineStr">
        <is>
          <t>电费</t>
        </is>
      </c>
      <c r="D140" s="7" t="n">
        <v>2412.7</v>
      </c>
      <c r="F140" s="7" t="n">
        <v>5573.7</v>
      </c>
      <c r="H140" s="7" t="n">
        <v>3567.2</v>
      </c>
      <c r="J140" s="7" t="n">
        <v>4219.1</v>
      </c>
      <c r="L140" s="7" t="n">
        <v>8408.9</v>
      </c>
      <c r="N140" s="7" t="n">
        <v>5710.6</v>
      </c>
      <c r="P140" s="7" t="n">
        <v>10543.6</v>
      </c>
      <c r="R140" s="7" t="n">
        <v>9022.4</v>
      </c>
      <c r="T140" s="7" t="n">
        <v>7583.6</v>
      </c>
      <c r="V140" s="7" t="n">
        <v>6079.1</v>
      </c>
      <c r="X140" s="7" t="n">
        <v>6266.1</v>
      </c>
      <c r="Z140" s="7" t="n">
        <v>2419.9</v>
      </c>
      <c r="AB140" s="7" t="n">
        <v>71806.89999999999</v>
      </c>
    </row>
    <row r="141">
      <c r="A141" s="4" t="inlineStr">
        <is>
          <t>燃气费</t>
        </is>
      </c>
      <c r="D141" s="7" t="n">
        <v>165.9</v>
      </c>
      <c r="F141" s="7" t="n">
        <v>286.4</v>
      </c>
      <c r="H141" s="7" t="n">
        <v>187.4</v>
      </c>
      <c r="J141" s="7" t="n">
        <v>267.7</v>
      </c>
      <c r="L141" s="7" t="n">
        <v>514.5</v>
      </c>
      <c r="N141" s="7" t="n">
        <v>323.9</v>
      </c>
      <c r="P141" s="7" t="n">
        <v>544.8</v>
      </c>
      <c r="R141" s="7" t="n">
        <v>444.5</v>
      </c>
      <c r="T141" s="7" t="n">
        <v>287.7</v>
      </c>
      <c r="V141" s="7" t="n">
        <v>266.6</v>
      </c>
      <c r="X141" s="7" t="n">
        <v>304.8</v>
      </c>
      <c r="Z141" s="7" t="n">
        <v>132.4</v>
      </c>
      <c r="AB141" s="7" t="n">
        <v>3726.6</v>
      </c>
    </row>
    <row r="142">
      <c r="A142" s="4" t="inlineStr">
        <is>
          <t>蒸汽费</t>
        </is>
      </c>
      <c r="D142" s="7" t="n">
        <v>316.7</v>
      </c>
      <c r="F142" s="7" t="n">
        <v>347.6</v>
      </c>
      <c r="H142" s="7" t="n">
        <v>366.4</v>
      </c>
      <c r="J142" s="7" t="n">
        <v>479</v>
      </c>
      <c r="L142" s="7" t="n">
        <v>973.7</v>
      </c>
      <c r="N142" s="7" t="n">
        <v>460.3</v>
      </c>
      <c r="P142" s="7" t="n">
        <v>841.4</v>
      </c>
      <c r="R142" s="7" t="n">
        <v>561.3</v>
      </c>
      <c r="T142" s="7" t="n">
        <v>713.4</v>
      </c>
      <c r="V142" s="7" t="n">
        <v>567</v>
      </c>
      <c r="X142" s="7" t="n">
        <v>606.6</v>
      </c>
      <c r="Z142" s="7" t="n">
        <v>214.2</v>
      </c>
      <c r="AB142" s="7" t="n">
        <v>6447.6</v>
      </c>
    </row>
    <row r="143">
      <c r="A143" s="4" t="inlineStr">
        <is>
          <t>物业费</t>
        </is>
      </c>
      <c r="D143" s="7" t="n">
        <v>1245.3</v>
      </c>
      <c r="F143" s="7" t="n">
        <v>1919.6</v>
      </c>
      <c r="H143" s="7" t="n">
        <v>1633.3</v>
      </c>
      <c r="J143" s="7" t="n">
        <v>3150.9</v>
      </c>
      <c r="L143" s="7" t="n">
        <v>5546.3</v>
      </c>
      <c r="N143" s="7" t="n">
        <v>2601.4</v>
      </c>
      <c r="P143" s="7" t="n">
        <v>4216.4</v>
      </c>
      <c r="R143" s="7" t="n">
        <v>4026.5</v>
      </c>
      <c r="T143" s="7" t="n">
        <v>4217.2</v>
      </c>
      <c r="V143" s="7" t="n">
        <v>3679.5</v>
      </c>
      <c r="X143" s="7" t="n">
        <v>3673</v>
      </c>
      <c r="Z143" s="7" t="n">
        <v>1707.1</v>
      </c>
      <c r="AB143" s="7" t="n">
        <v>37616.5</v>
      </c>
    </row>
    <row r="144">
      <c r="A144" s="4" t="inlineStr">
        <is>
          <t>劳动保护费</t>
        </is>
      </c>
      <c r="D144" s="7" t="n">
        <v>2494.2</v>
      </c>
      <c r="F144" s="7" t="n">
        <v>4006.4</v>
      </c>
      <c r="H144" s="7" t="n">
        <v>4758.7</v>
      </c>
      <c r="J144" s="7" t="n">
        <v>4743.3</v>
      </c>
      <c r="L144" s="7" t="n">
        <v>10900.1</v>
      </c>
      <c r="N144" s="7" t="n">
        <v>6005.5</v>
      </c>
      <c r="P144" s="7" t="n">
        <v>6118.9</v>
      </c>
      <c r="R144" s="7" t="n">
        <v>8584.700000000001</v>
      </c>
      <c r="T144" s="7" t="n">
        <v>6531.1</v>
      </c>
      <c r="V144" s="7" t="n">
        <v>6152.2</v>
      </c>
      <c r="X144" s="7" t="n">
        <v>7766.9</v>
      </c>
      <c r="Z144" s="7" t="n">
        <v>2943.8</v>
      </c>
      <c r="AB144" s="7" t="n">
        <v>71005.8</v>
      </c>
    </row>
    <row r="145">
      <c r="A145" s="4" t="inlineStr">
        <is>
          <t>顾问费</t>
        </is>
      </c>
      <c r="D145" s="7" t="n">
        <v>2327.5</v>
      </c>
      <c r="F145" s="7" t="n">
        <v>2507.7</v>
      </c>
      <c r="H145" s="7" t="n">
        <v>3727</v>
      </c>
      <c r="J145" s="7" t="n">
        <v>3204.5</v>
      </c>
      <c r="L145" s="7" t="n">
        <v>9476.4</v>
      </c>
      <c r="N145" s="7" t="n">
        <v>6472.5</v>
      </c>
      <c r="P145" s="7" t="n">
        <v>8032.4</v>
      </c>
      <c r="R145" s="7" t="n">
        <v>4440</v>
      </c>
      <c r="T145" s="7" t="n">
        <v>4570.6</v>
      </c>
      <c r="V145" s="7" t="n">
        <v>6577.1</v>
      </c>
      <c r="X145" s="7" t="n">
        <v>4983.4</v>
      </c>
      <c r="Z145" s="7" t="n">
        <v>2680.9</v>
      </c>
      <c r="AB145" s="7" t="n">
        <v>59000</v>
      </c>
    </row>
    <row r="146">
      <c r="A146" s="4" t="inlineStr">
        <is>
          <t>快递费</t>
        </is>
      </c>
      <c r="D146" s="7" t="n">
        <v>2412.6</v>
      </c>
      <c r="F146" s="7" t="n">
        <v>2569.7</v>
      </c>
      <c r="H146" s="7" t="n">
        <v>3725.8</v>
      </c>
      <c r="J146" s="7" t="n">
        <v>4608.2</v>
      </c>
      <c r="L146" s="7" t="n">
        <v>5031.4</v>
      </c>
      <c r="N146" s="7" t="n">
        <v>4355.6</v>
      </c>
      <c r="P146" s="7" t="n">
        <v>5888.3</v>
      </c>
      <c r="R146" s="7" t="n">
        <v>4746</v>
      </c>
      <c r="T146" s="7" t="n">
        <v>3839.6</v>
      </c>
      <c r="V146" s="7" t="n">
        <v>4590.9</v>
      </c>
      <c r="X146" s="7" t="n">
        <v>5874.9</v>
      </c>
      <c r="Z146" s="7" t="n">
        <v>2240.2</v>
      </c>
      <c r="AB146" s="7" t="n">
        <v>49883.2</v>
      </c>
    </row>
    <row r="147">
      <c r="A147" s="4" t="inlineStr">
        <is>
          <t>诉讼费</t>
        </is>
      </c>
      <c r="D147" s="7" t="n">
        <v>2023.4</v>
      </c>
      <c r="F147" s="7" t="n">
        <v>2842.4</v>
      </c>
      <c r="H147" s="7" t="n">
        <v>2816.8</v>
      </c>
      <c r="J147" s="7" t="n">
        <v>2892.6</v>
      </c>
      <c r="L147" s="7" t="n">
        <v>7108.4</v>
      </c>
      <c r="N147" s="7" t="n">
        <v>5357.1</v>
      </c>
      <c r="P147" s="7" t="n">
        <v>7877.2</v>
      </c>
      <c r="R147" s="7" t="n">
        <v>6605.6</v>
      </c>
      <c r="T147" s="7" t="n">
        <v>4571.4</v>
      </c>
      <c r="V147" s="7" t="n">
        <v>3557.9</v>
      </c>
      <c r="X147" s="7" t="n">
        <v>4155.6</v>
      </c>
      <c r="Z147" s="7" t="n">
        <v>1939.4</v>
      </c>
      <c r="AB147" s="7" t="n">
        <v>51747.8</v>
      </c>
    </row>
    <row r="148">
      <c r="A148" s="4" t="inlineStr">
        <is>
          <t>会员费</t>
        </is>
      </c>
      <c r="D148" s="7" t="n">
        <v>1042.9</v>
      </c>
      <c r="F148" s="7" t="n">
        <v>1532.6</v>
      </c>
      <c r="H148" s="7" t="n">
        <v>1624.5</v>
      </c>
      <c r="J148" s="7" t="n">
        <v>2155.8</v>
      </c>
      <c r="L148" s="7" t="n">
        <v>2692.3</v>
      </c>
      <c r="N148" s="7" t="n">
        <v>2214.9</v>
      </c>
      <c r="P148" s="7" t="n">
        <v>2704.9</v>
      </c>
      <c r="R148" s="7" t="n">
        <v>3094.4</v>
      </c>
      <c r="T148" s="7" t="n">
        <v>2714</v>
      </c>
      <c r="V148" s="7" t="n">
        <v>1867.3</v>
      </c>
      <c r="X148" s="7" t="n">
        <v>3246.3</v>
      </c>
      <c r="Z148" s="7" t="n">
        <v>942</v>
      </c>
      <c r="AB148" s="7" t="n">
        <v>25831.9</v>
      </c>
    </row>
    <row r="149">
      <c r="A149" s="4" t="inlineStr">
        <is>
          <t>广告宣传费</t>
        </is>
      </c>
      <c r="D149" s="7" t="n">
        <v>12350.7</v>
      </c>
      <c r="F149" s="7" t="n">
        <v>25162.4</v>
      </c>
      <c r="H149" s="7" t="n">
        <v>27307.2</v>
      </c>
      <c r="J149" s="7" t="n">
        <v>33335.6</v>
      </c>
      <c r="L149" s="7" t="n">
        <v>35307.6</v>
      </c>
      <c r="N149" s="7" t="n">
        <v>40542.1</v>
      </c>
      <c r="P149" s="7" t="n">
        <v>40359.6</v>
      </c>
      <c r="R149" s="7" t="n">
        <v>33555.9</v>
      </c>
      <c r="T149" s="7" t="n">
        <v>32187.4</v>
      </c>
      <c r="V149" s="7" t="n">
        <v>38391.3</v>
      </c>
      <c r="X149" s="7" t="n">
        <v>26567.9</v>
      </c>
      <c r="Z149" s="7" t="n">
        <v>17028.6</v>
      </c>
      <c r="AB149" s="7" t="n">
        <v>362096.3</v>
      </c>
    </row>
    <row r="150">
      <c r="A150" s="4" t="inlineStr">
        <is>
          <t>会务费</t>
        </is>
      </c>
      <c r="D150" s="7" t="n">
        <v>553.1</v>
      </c>
      <c r="F150" s="7" t="n">
        <v>622.2</v>
      </c>
      <c r="H150" s="7" t="n">
        <v>765.6</v>
      </c>
      <c r="J150" s="7" t="n">
        <v>681.4</v>
      </c>
      <c r="L150" s="7" t="n">
        <v>1383.6</v>
      </c>
      <c r="N150" s="7" t="n">
        <v>1087.7</v>
      </c>
      <c r="P150" s="7" t="n">
        <v>1092.7</v>
      </c>
      <c r="R150" s="7" t="n">
        <v>938.7</v>
      </c>
      <c r="T150" s="7" t="n">
        <v>1135</v>
      </c>
      <c r="V150" s="7" t="n">
        <v>1154.8</v>
      </c>
      <c r="X150" s="7" t="n">
        <v>1188.4</v>
      </c>
      <c r="Z150" s="7" t="n">
        <v>499.8</v>
      </c>
      <c r="AB150" s="7" t="n">
        <v>11103</v>
      </c>
    </row>
    <row r="151">
      <c r="A151" s="4" t="inlineStr">
        <is>
          <t>装修费</t>
        </is>
      </c>
      <c r="D151" s="7" t="n">
        <v>2654.7</v>
      </c>
      <c r="F151" s="7" t="n">
        <v>3130.1</v>
      </c>
      <c r="H151" s="7" t="n">
        <v>3469.2</v>
      </c>
      <c r="J151" s="7" t="n">
        <v>4851.1</v>
      </c>
      <c r="L151" s="7" t="n">
        <v>6952.4</v>
      </c>
      <c r="N151" s="7" t="n">
        <v>7399.9</v>
      </c>
      <c r="P151" s="7" t="n">
        <v>10082.7</v>
      </c>
      <c r="R151" s="7" t="n">
        <v>4975.6</v>
      </c>
      <c r="T151" s="7" t="n">
        <v>4735.3</v>
      </c>
      <c r="V151" s="7" t="n">
        <v>7395.4</v>
      </c>
      <c r="X151" s="7" t="n">
        <v>7552.5</v>
      </c>
      <c r="Z151" s="7" t="n">
        <v>2126</v>
      </c>
      <c r="AB151" s="7" t="n">
        <v>65324.9</v>
      </c>
    </row>
    <row r="152">
      <c r="A152" s="4" t="inlineStr">
        <is>
          <t>推广费</t>
        </is>
      </c>
      <c r="D152" s="7" t="n">
        <v>1829.3</v>
      </c>
      <c r="F152" s="7" t="n">
        <v>2456.5</v>
      </c>
      <c r="H152" s="7" t="n">
        <v>1880.2</v>
      </c>
      <c r="J152" s="7" t="n">
        <v>3207.4</v>
      </c>
      <c r="L152" s="7" t="n">
        <v>4961.8</v>
      </c>
      <c r="N152" s="7" t="n">
        <v>3673.9</v>
      </c>
      <c r="P152" s="7" t="n">
        <v>3535.8</v>
      </c>
      <c r="R152" s="7" t="n">
        <v>2770</v>
      </c>
      <c r="T152" s="7" t="n">
        <v>2980.6</v>
      </c>
      <c r="V152" s="7" t="n">
        <v>3620.3</v>
      </c>
      <c r="X152" s="7" t="n">
        <v>2817</v>
      </c>
      <c r="Z152" s="7" t="n">
        <v>1700.3</v>
      </c>
      <c r="AB152" s="7" t="n">
        <v>35433.1</v>
      </c>
    </row>
    <row r="153">
      <c r="A153" s="4" t="inlineStr">
        <is>
          <t>展会费</t>
        </is>
      </c>
      <c r="D153" s="7" t="n">
        <v>1710.9</v>
      </c>
      <c r="F153" s="7" t="n">
        <v>2245.1</v>
      </c>
      <c r="H153" s="7" t="n">
        <v>3458.8</v>
      </c>
      <c r="J153" s="7" t="n">
        <v>3969.5</v>
      </c>
      <c r="L153" s="7" t="n">
        <v>7080.7</v>
      </c>
      <c r="N153" s="7" t="n">
        <v>3805.4</v>
      </c>
      <c r="P153" s="7" t="n">
        <v>5471.5</v>
      </c>
      <c r="R153" s="7" t="n">
        <v>3955.2</v>
      </c>
      <c r="T153" s="7" t="n">
        <v>4329.8</v>
      </c>
      <c r="V153" s="7" t="n">
        <v>5635.3</v>
      </c>
      <c r="X153" s="7" t="n">
        <v>5452.9</v>
      </c>
      <c r="Z153" s="7" t="n">
        <v>1946.7</v>
      </c>
      <c r="AB153" s="7" t="n">
        <v>49061.8</v>
      </c>
    </row>
    <row r="154">
      <c r="A154" s="4" t="inlineStr">
        <is>
          <t>设计费</t>
        </is>
      </c>
      <c r="D154" s="7" t="n">
        <v>1870.6</v>
      </c>
      <c r="F154" s="7" t="n">
        <v>3072</v>
      </c>
      <c r="H154" s="7" t="n">
        <v>2299.5</v>
      </c>
      <c r="J154" s="7" t="n">
        <v>4658.7</v>
      </c>
      <c r="L154" s="7" t="n">
        <v>8523.299999999999</v>
      </c>
      <c r="N154" s="7" t="n">
        <v>3558.3</v>
      </c>
      <c r="P154" s="7" t="n">
        <v>8453.5</v>
      </c>
      <c r="R154" s="7" t="n">
        <v>6231.4</v>
      </c>
      <c r="T154" s="7" t="n">
        <v>5082.8</v>
      </c>
      <c r="V154" s="7" t="n">
        <v>3587.4</v>
      </c>
      <c r="X154" s="7" t="n">
        <v>4415.2</v>
      </c>
      <c r="Z154" s="7" t="n">
        <v>2443.4</v>
      </c>
      <c r="AB154" s="7" t="n">
        <v>54196.1</v>
      </c>
    </row>
    <row r="155">
      <c r="A155" s="4" t="inlineStr">
        <is>
          <t>折旧费</t>
        </is>
      </c>
      <c r="D155" s="7" t="n">
        <v>17263.6</v>
      </c>
      <c r="F155" s="7" t="n">
        <v>37431.8</v>
      </c>
      <c r="H155" s="7" t="n">
        <v>31559.2</v>
      </c>
      <c r="J155" s="7" t="n">
        <v>34255.3</v>
      </c>
      <c r="L155" s="7" t="n">
        <v>61206.8</v>
      </c>
      <c r="N155" s="7" t="n">
        <v>41286.9</v>
      </c>
      <c r="P155" s="7" t="n">
        <v>51943.5</v>
      </c>
      <c r="R155" s="7" t="n">
        <v>50503.2</v>
      </c>
      <c r="T155" s="7" t="n">
        <v>47719.2</v>
      </c>
      <c r="V155" s="7" t="n">
        <v>54709.2</v>
      </c>
      <c r="X155" s="7" t="n">
        <v>43795.8</v>
      </c>
      <c r="Z155" s="7" t="n">
        <v>14154.3</v>
      </c>
      <c r="AB155" s="7" t="n">
        <v>485828.8</v>
      </c>
    </row>
    <row r="156">
      <c r="A156" s="4" t="inlineStr">
        <is>
          <t>认证费</t>
        </is>
      </c>
      <c r="D156" s="7" t="n">
        <v>1798.6</v>
      </c>
      <c r="F156" s="7" t="n">
        <v>2956.8</v>
      </c>
      <c r="H156" s="7" t="n">
        <v>2253.7</v>
      </c>
      <c r="J156" s="7" t="n">
        <v>3276.2</v>
      </c>
      <c r="L156" s="7" t="n">
        <v>5906</v>
      </c>
      <c r="N156" s="7" t="n">
        <v>3347.3</v>
      </c>
      <c r="P156" s="7" t="n">
        <v>3913.9</v>
      </c>
      <c r="R156" s="7" t="n">
        <v>3190.4</v>
      </c>
      <c r="T156" s="7" t="n">
        <v>4676.8</v>
      </c>
      <c r="V156" s="7" t="n">
        <v>4164.3</v>
      </c>
      <c r="X156" s="7" t="n">
        <v>4762.9</v>
      </c>
      <c r="Z156" s="7" t="n">
        <v>1335.5</v>
      </c>
      <c r="AB156" s="7" t="n">
        <v>41582.4</v>
      </c>
    </row>
    <row r="157">
      <c r="A157" s="4" t="inlineStr">
        <is>
          <t>样品费</t>
        </is>
      </c>
      <c r="D157" s="7" t="n">
        <v>11010.2</v>
      </c>
      <c r="F157" s="7" t="n">
        <v>18061.1</v>
      </c>
      <c r="H157" s="7" t="n">
        <v>12780.1</v>
      </c>
      <c r="J157" s="7" t="n">
        <v>14178.3</v>
      </c>
      <c r="L157" s="7" t="n">
        <v>38318</v>
      </c>
      <c r="N157" s="7" t="n">
        <v>28149.2</v>
      </c>
      <c r="P157" s="7" t="n">
        <v>36103.5</v>
      </c>
      <c r="R157" s="7" t="n">
        <v>30440.9</v>
      </c>
      <c r="T157" s="7" t="n">
        <v>22861.1</v>
      </c>
      <c r="V157" s="7" t="n">
        <v>25104.4</v>
      </c>
      <c r="X157" s="7" t="n">
        <v>25869.1</v>
      </c>
      <c r="Z157" s="7" t="n">
        <v>10529.2</v>
      </c>
      <c r="AB157" s="7" t="n">
        <v>273405.1</v>
      </c>
    </row>
    <row r="158">
      <c r="A158" s="4" t="inlineStr">
        <is>
          <t>劳务费</t>
        </is>
      </c>
      <c r="D158" s="7" t="n">
        <v>2726.8</v>
      </c>
      <c r="F158" s="7" t="n">
        <v>2688</v>
      </c>
      <c r="H158" s="7" t="n">
        <v>2970.7</v>
      </c>
      <c r="J158" s="7" t="n">
        <v>3598.3</v>
      </c>
      <c r="L158" s="7" t="n">
        <v>5122.4</v>
      </c>
      <c r="N158" s="7" t="n">
        <v>5487.9</v>
      </c>
      <c r="P158" s="7" t="n">
        <v>6840</v>
      </c>
      <c r="R158" s="7" t="n">
        <v>4506.7</v>
      </c>
      <c r="T158" s="7" t="n">
        <v>5264.3</v>
      </c>
      <c r="V158" s="7" t="n">
        <v>4100.9</v>
      </c>
      <c r="X158" s="7" t="n">
        <v>5119.2</v>
      </c>
      <c r="Z158" s="7" t="n">
        <v>2338.8</v>
      </c>
      <c r="AB158" s="7" t="n">
        <v>50764</v>
      </c>
    </row>
    <row r="159">
      <c r="A159" s="4" t="inlineStr">
        <is>
          <t>销售佣金</t>
        </is>
      </c>
      <c r="D159" s="7" t="n">
        <v>3204.1</v>
      </c>
      <c r="F159" s="7" t="n">
        <v>4364.3</v>
      </c>
      <c r="H159" s="7" t="n">
        <v>5215.4</v>
      </c>
      <c r="J159" s="7" t="n">
        <v>6424.9</v>
      </c>
      <c r="L159" s="7" t="n">
        <v>12043.3</v>
      </c>
      <c r="N159" s="7" t="n">
        <v>5457.2</v>
      </c>
      <c r="P159" s="7" t="n">
        <v>6879.3</v>
      </c>
      <c r="R159" s="7" t="n">
        <v>5948.7</v>
      </c>
      <c r="T159" s="7" t="n">
        <v>5481.9</v>
      </c>
      <c r="V159" s="7" t="n">
        <v>8065.2</v>
      </c>
      <c r="X159" s="7" t="n">
        <v>8030.8</v>
      </c>
      <c r="Z159" s="7" t="n">
        <v>2237.3</v>
      </c>
      <c r="AB159" s="7" t="n">
        <v>73352.39999999999</v>
      </c>
    </row>
    <row r="160">
      <c r="A160" s="4" t="inlineStr">
        <is>
          <t>检测费</t>
        </is>
      </c>
      <c r="D160" s="7" t="n">
        <v>1963.1</v>
      </c>
      <c r="F160" s="7" t="n">
        <v>2455.2</v>
      </c>
      <c r="H160" s="7" t="n">
        <v>2957.9</v>
      </c>
      <c r="J160" s="7" t="n">
        <v>4585.9</v>
      </c>
      <c r="L160" s="7" t="n">
        <v>6513.5</v>
      </c>
      <c r="N160" s="7" t="n">
        <v>5934.4</v>
      </c>
      <c r="P160" s="7" t="n">
        <v>6111.6</v>
      </c>
      <c r="R160" s="7" t="n">
        <v>4917.3</v>
      </c>
      <c r="T160" s="7" t="n">
        <v>4212.4</v>
      </c>
      <c r="V160" s="7" t="n">
        <v>6178.5</v>
      </c>
      <c r="X160" s="7" t="n">
        <v>5109.1</v>
      </c>
      <c r="Z160" s="7" t="n">
        <v>2526.8</v>
      </c>
      <c r="AB160" s="7" t="n">
        <v>53465.7</v>
      </c>
    </row>
    <row r="161">
      <c r="A161" s="4" t="inlineStr">
        <is>
          <t>质量赔偿</t>
        </is>
      </c>
      <c r="D161" s="7" t="n">
        <v>2368.3</v>
      </c>
      <c r="F161" s="7" t="n">
        <v>2077.6</v>
      </c>
      <c r="H161" s="7" t="n">
        <v>3430.8</v>
      </c>
      <c r="J161" s="7" t="n">
        <v>3435.1</v>
      </c>
      <c r="L161" s="7" t="n">
        <v>7718.7</v>
      </c>
      <c r="N161" s="7" t="n">
        <v>4035.7</v>
      </c>
      <c r="P161" s="7" t="n">
        <v>5131.7</v>
      </c>
      <c r="R161" s="7" t="n">
        <v>3610.9</v>
      </c>
      <c r="T161" s="7" t="n">
        <v>5003.5</v>
      </c>
      <c r="V161" s="7" t="n">
        <v>3428.1</v>
      </c>
      <c r="X161" s="7" t="n">
        <v>3662.4</v>
      </c>
      <c r="Z161" s="7" t="n">
        <v>1681.6</v>
      </c>
      <c r="AB161" s="7" t="n">
        <v>45584.4</v>
      </c>
    </row>
    <row r="162">
      <c r="A162" s="4" t="inlineStr">
        <is>
          <t>保险费</t>
        </is>
      </c>
      <c r="D162" s="7" t="n">
        <v>2269.5</v>
      </c>
      <c r="F162" s="7" t="n">
        <v>2659.8</v>
      </c>
      <c r="H162" s="7" t="n">
        <v>2414.5</v>
      </c>
      <c r="J162" s="7" t="n">
        <v>3784.3</v>
      </c>
      <c r="L162" s="7" t="n">
        <v>7203.4</v>
      </c>
      <c r="N162" s="7" t="n">
        <v>4207.1</v>
      </c>
      <c r="P162" s="7" t="n">
        <v>6144.1</v>
      </c>
      <c r="R162" s="7" t="n">
        <v>3877.6</v>
      </c>
      <c r="T162" s="7" t="n">
        <v>4351.2</v>
      </c>
      <c r="V162" s="7" t="n">
        <v>3004.6</v>
      </c>
      <c r="X162" s="7" t="n">
        <v>3764.9</v>
      </c>
      <c r="Z162" s="7" t="n">
        <v>2007.2</v>
      </c>
      <c r="AB162" s="7" t="n">
        <v>45688.2</v>
      </c>
    </row>
    <row r="163">
      <c r="A163" s="4" t="inlineStr">
        <is>
          <t>清洁费</t>
        </is>
      </c>
      <c r="D163" s="7" t="n">
        <v>626</v>
      </c>
      <c r="F163" s="7" t="n">
        <v>803.1</v>
      </c>
      <c r="H163" s="7" t="n">
        <v>930.6</v>
      </c>
      <c r="J163" s="7" t="n">
        <v>746.9</v>
      </c>
      <c r="L163" s="7" t="n">
        <v>1952.7</v>
      </c>
      <c r="N163" s="7" t="n">
        <v>1355.6</v>
      </c>
      <c r="P163" s="7" t="n">
        <v>1588.9</v>
      </c>
      <c r="R163" s="7" t="n">
        <v>1822.1</v>
      </c>
      <c r="T163" s="7" t="n">
        <v>1108.8</v>
      </c>
      <c r="V163" s="7" t="n">
        <v>914.8</v>
      </c>
      <c r="X163" s="7" t="n">
        <v>1057.5</v>
      </c>
      <c r="Z163" s="7" t="n">
        <v>474.7</v>
      </c>
      <c r="AB163" s="7" t="n">
        <v>13381.7</v>
      </c>
    </row>
    <row r="164">
      <c r="A164" s="4" t="inlineStr">
        <is>
          <t>低值易耗品</t>
        </is>
      </c>
      <c r="D164" s="7" t="n">
        <v>40.3</v>
      </c>
      <c r="F164" s="7" t="n">
        <v>81</v>
      </c>
      <c r="H164" s="7" t="n">
        <v>54.6</v>
      </c>
      <c r="J164" s="7" t="n">
        <v>91.59999999999999</v>
      </c>
      <c r="L164" s="7" t="n">
        <v>164.2</v>
      </c>
      <c r="N164" s="7" t="n">
        <v>89</v>
      </c>
      <c r="P164" s="7" t="n">
        <v>157.2</v>
      </c>
      <c r="R164" s="7" t="n">
        <v>107.8</v>
      </c>
      <c r="T164" s="7" t="n">
        <v>77.40000000000001</v>
      </c>
      <c r="V164" s="7" t="n">
        <v>98.3</v>
      </c>
      <c r="X164" s="7" t="n">
        <v>113.4</v>
      </c>
      <c r="Z164" s="7" t="n">
        <v>34.3</v>
      </c>
      <c r="AB164" s="7" t="n">
        <v>1109.1</v>
      </c>
    </row>
    <row r="165">
      <c r="A165" s="4" t="inlineStr">
        <is>
          <t>物料消耗</t>
        </is>
      </c>
      <c r="D165" s="7" t="n">
        <v>2320.1</v>
      </c>
      <c r="F165" s="7" t="n">
        <v>3453.3</v>
      </c>
      <c r="H165" s="7" t="n">
        <v>4462.7</v>
      </c>
      <c r="J165" s="7" t="n">
        <v>5128.3</v>
      </c>
      <c r="L165" s="7" t="n">
        <v>8059.4</v>
      </c>
      <c r="N165" s="7" t="n">
        <v>7560.4</v>
      </c>
      <c r="P165" s="7" t="n">
        <v>10691.8</v>
      </c>
      <c r="R165" s="7" t="n">
        <v>6303.1</v>
      </c>
      <c r="T165" s="7" t="n">
        <v>7228.4</v>
      </c>
      <c r="V165" s="7" t="n">
        <v>5662.9</v>
      </c>
      <c r="X165" s="7" t="n">
        <v>5125.4</v>
      </c>
      <c r="Z165" s="7" t="n">
        <v>3185.7</v>
      </c>
      <c r="AB165" s="7" t="n">
        <v>69181.5</v>
      </c>
    </row>
    <row r="166">
      <c r="A166" s="4" t="inlineStr">
        <is>
          <t>盘盈盘亏</t>
        </is>
      </c>
      <c r="D166" s="7" t="n">
        <v>2771.5</v>
      </c>
      <c r="F166" s="7" t="n">
        <v>3684</v>
      </c>
      <c r="H166" s="7" t="n">
        <v>4972.1</v>
      </c>
      <c r="J166" s="7" t="n">
        <v>4207.7</v>
      </c>
      <c r="L166" s="7" t="n">
        <v>11348.2</v>
      </c>
      <c r="N166" s="7" t="n">
        <v>7203</v>
      </c>
      <c r="P166" s="7" t="n">
        <v>7361.3</v>
      </c>
      <c r="R166" s="7" t="n">
        <v>7136.1</v>
      </c>
      <c r="T166" s="7" t="n">
        <v>7079.1</v>
      </c>
      <c r="V166" s="7" t="n">
        <v>4980.1</v>
      </c>
      <c r="X166" s="7" t="n">
        <v>8613.299999999999</v>
      </c>
      <c r="Z166" s="7" t="n">
        <v>2388.3</v>
      </c>
      <c r="AB166" s="7" t="n">
        <v>71744.7</v>
      </c>
    </row>
    <row r="167">
      <c r="A167" s="4" t="inlineStr">
        <is>
          <t>平台服务费</t>
        </is>
      </c>
      <c r="D167" s="7" t="n">
        <v>1249.3</v>
      </c>
      <c r="F167" s="7" t="n">
        <v>3323.8</v>
      </c>
      <c r="H167" s="7" t="n">
        <v>2795.9</v>
      </c>
      <c r="J167" s="7" t="n">
        <v>3436.7</v>
      </c>
      <c r="L167" s="7" t="n">
        <v>4125.1</v>
      </c>
      <c r="N167" s="7" t="n">
        <v>4433.8</v>
      </c>
      <c r="P167" s="7" t="n">
        <v>5082.3</v>
      </c>
      <c r="R167" s="7" t="n">
        <v>4192.9</v>
      </c>
      <c r="T167" s="7" t="n">
        <v>3888.4</v>
      </c>
      <c r="V167" s="7" t="n">
        <v>3953</v>
      </c>
      <c r="X167" s="7" t="n">
        <v>3240.1</v>
      </c>
      <c r="Z167" s="7" t="n">
        <v>1820.5</v>
      </c>
      <c r="AB167" s="7" t="n">
        <v>41541.8</v>
      </c>
    </row>
    <row r="168">
      <c r="A168" s="4" t="inlineStr">
        <is>
          <t>无形资产摊销</t>
        </is>
      </c>
      <c r="D168" s="7" t="n">
        <v>1778.6</v>
      </c>
      <c r="F168" s="7" t="n">
        <v>3314.3</v>
      </c>
      <c r="H168" s="7" t="n">
        <v>3296.6</v>
      </c>
      <c r="J168" s="7" t="n">
        <v>3197.2</v>
      </c>
      <c r="L168" s="7" t="n">
        <v>7263.7</v>
      </c>
      <c r="N168" s="7" t="n">
        <v>3670.6</v>
      </c>
      <c r="P168" s="7" t="n">
        <v>7556.6</v>
      </c>
      <c r="R168" s="7" t="n">
        <v>4062.6</v>
      </c>
      <c r="T168" s="7" t="n">
        <v>5042</v>
      </c>
      <c r="V168" s="7" t="n">
        <v>3646.9</v>
      </c>
      <c r="X168" s="7" t="n">
        <v>3706</v>
      </c>
      <c r="Z168" s="7" t="n">
        <v>1467.1</v>
      </c>
      <c r="AB168" s="7" t="n">
        <v>48002.2</v>
      </c>
    </row>
    <row r="169">
      <c r="A169" s="4" t="inlineStr">
        <is>
          <t>研发材料</t>
        </is>
      </c>
      <c r="D169" s="7" t="n">
        <v>521.8</v>
      </c>
      <c r="F169" s="7" t="n">
        <v>816.8</v>
      </c>
      <c r="H169" s="7" t="n">
        <v>959.8</v>
      </c>
      <c r="J169" s="7" t="n">
        <v>959.7</v>
      </c>
      <c r="L169" s="7" t="n">
        <v>2415.5</v>
      </c>
      <c r="N169" s="7" t="n">
        <v>1297.2</v>
      </c>
      <c r="P169" s="7" t="n">
        <v>1438.1</v>
      </c>
      <c r="R169" s="7" t="n">
        <v>1674.5</v>
      </c>
      <c r="T169" s="7" t="n">
        <v>1158.3</v>
      </c>
      <c r="V169" s="7" t="n">
        <v>1879</v>
      </c>
      <c r="X169" s="7" t="n">
        <v>1365.5</v>
      </c>
      <c r="Z169" s="7" t="n">
        <v>424.8</v>
      </c>
      <c r="AB169" s="7" t="n">
        <v>14911</v>
      </c>
    </row>
    <row r="170">
      <c r="A170" s="4" t="inlineStr">
        <is>
          <t>项目名称</t>
        </is>
      </c>
      <c r="D170" s="7" t="n">
        <v>2677.3</v>
      </c>
      <c r="F170" s="7" t="n">
        <v>3866.8</v>
      </c>
      <c r="H170" s="7" t="n">
        <v>3525.3</v>
      </c>
      <c r="J170" s="7" t="n">
        <v>3120.3</v>
      </c>
      <c r="L170" s="7" t="n">
        <v>5488.4</v>
      </c>
      <c r="N170" s="7" t="n">
        <v>5034.8</v>
      </c>
      <c r="P170" s="7" t="n">
        <v>7620.2</v>
      </c>
      <c r="R170" s="7" t="n">
        <v>4316.6</v>
      </c>
      <c r="T170" s="7" t="n">
        <v>4053.6</v>
      </c>
      <c r="V170" s="7" t="n">
        <v>4229.1</v>
      </c>
      <c r="X170" s="7" t="n">
        <v>6646</v>
      </c>
      <c r="Z170" s="7" t="n">
        <v>1796.3</v>
      </c>
      <c r="AB170" s="7" t="n">
        <v>52374.7</v>
      </c>
    </row>
    <row r="171">
      <c r="A171" s="4" t="inlineStr">
        <is>
          <t>研发费</t>
        </is>
      </c>
      <c r="D171" s="7" t="n">
        <v>1130.4</v>
      </c>
      <c r="F171" s="7" t="n">
        <v>1791</v>
      </c>
      <c r="H171" s="7" t="n">
        <v>1601.1</v>
      </c>
      <c r="J171" s="7" t="n">
        <v>2388.8</v>
      </c>
      <c r="L171" s="7" t="n">
        <v>5941.9</v>
      </c>
      <c r="N171" s="7" t="n">
        <v>3067.7</v>
      </c>
      <c r="P171" s="7" t="n">
        <v>5309.3</v>
      </c>
      <c r="R171" s="7" t="n">
        <v>2969.1</v>
      </c>
      <c r="T171" s="7" t="n">
        <v>3791.5</v>
      </c>
      <c r="V171" s="7" t="n">
        <v>2536</v>
      </c>
      <c r="X171" s="7" t="n">
        <v>4302.9</v>
      </c>
      <c r="Z171" s="7" t="n">
        <v>1553.6</v>
      </c>
      <c r="AB171" s="7" t="n">
        <v>36383.3</v>
      </c>
    </row>
    <row r="172">
      <c r="A172" s="4" t="inlineStr">
        <is>
          <t>残保金</t>
        </is>
      </c>
      <c r="D172" s="7" t="n">
        <v>499.6</v>
      </c>
      <c r="F172" s="7" t="n">
        <v>786.8</v>
      </c>
      <c r="H172" s="7" t="n">
        <v>872</v>
      </c>
      <c r="J172" s="7" t="n">
        <v>1231.3</v>
      </c>
      <c r="L172" s="7" t="n">
        <v>1396.6</v>
      </c>
      <c r="N172" s="7" t="n">
        <v>1509.2</v>
      </c>
      <c r="P172" s="7" t="n">
        <v>1381.2</v>
      </c>
      <c r="R172" s="7" t="n">
        <v>1354.7</v>
      </c>
      <c r="T172" s="7" t="n">
        <v>1540.1</v>
      </c>
      <c r="V172" s="7" t="n">
        <v>1104.9</v>
      </c>
      <c r="X172" s="7" t="n">
        <v>1215.3</v>
      </c>
      <c r="Z172" s="7" t="n">
        <v>629</v>
      </c>
      <c r="AB172" s="7" t="n">
        <v>13520.7</v>
      </c>
    </row>
    <row r="173">
      <c r="A173" s="4" t="inlineStr">
        <is>
          <t>环保费</t>
        </is>
      </c>
      <c r="D173" s="7" t="n">
        <v>2791.8</v>
      </c>
      <c r="F173" s="7" t="n">
        <v>4517.1</v>
      </c>
      <c r="H173" s="7" t="n">
        <v>2926.9</v>
      </c>
      <c r="J173" s="7" t="n">
        <v>5261.2</v>
      </c>
      <c r="L173" s="7" t="n">
        <v>6373</v>
      </c>
      <c r="N173" s="7" t="n">
        <v>7535.3</v>
      </c>
      <c r="P173" s="7" t="n">
        <v>6366.8</v>
      </c>
      <c r="R173" s="7" t="n">
        <v>6417.1</v>
      </c>
      <c r="T173" s="7" t="n">
        <v>5964.1</v>
      </c>
      <c r="V173" s="7" t="n">
        <v>7094.6</v>
      </c>
      <c r="X173" s="7" t="n">
        <v>6775.8</v>
      </c>
      <c r="Z173" s="7" t="n">
        <v>1971.5</v>
      </c>
      <c r="AB173" s="7" t="n">
        <v>63995.2</v>
      </c>
    </row>
    <row r="174">
      <c r="A174" s="4" t="inlineStr">
        <is>
          <t>报废损失</t>
        </is>
      </c>
      <c r="D174" s="7" t="n">
        <v>1113.5</v>
      </c>
      <c r="F174" s="7" t="n">
        <v>1305.6</v>
      </c>
      <c r="H174" s="7" t="n">
        <v>2010</v>
      </c>
      <c r="J174" s="7" t="n">
        <v>2688.6</v>
      </c>
      <c r="L174" s="7" t="n">
        <v>5284.4</v>
      </c>
      <c r="N174" s="7" t="n">
        <v>2200.4</v>
      </c>
      <c r="P174" s="7" t="n">
        <v>4757.2</v>
      </c>
      <c r="R174" s="7" t="n">
        <v>2463.1</v>
      </c>
      <c r="T174" s="7" t="n">
        <v>2542.3</v>
      </c>
      <c r="V174" s="7" t="n">
        <v>2074.4</v>
      </c>
      <c r="X174" s="7" t="n">
        <v>2490.2</v>
      </c>
      <c r="Z174" s="7" t="n">
        <v>1028.3</v>
      </c>
      <c r="AB174" s="7" t="n">
        <v>29958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514992.9</v>
      </c>
      <c r="D175" s="7" t="n">
        <v>372065.5</v>
      </c>
      <c r="E175" s="7" t="n">
        <v>531230.6</v>
      </c>
      <c r="F175" s="7" t="n">
        <v>430750.8</v>
      </c>
      <c r="G175" s="7" t="n">
        <v>586465.4</v>
      </c>
      <c r="H175" s="7" t="n">
        <v>591269.8</v>
      </c>
      <c r="I175" s="7" t="n">
        <v>537768.8</v>
      </c>
      <c r="J175" s="7" t="n">
        <v>564138.6</v>
      </c>
      <c r="K175" s="7" t="n">
        <v>613659.1</v>
      </c>
      <c r="L175" s="7" t="n">
        <v>623654.8</v>
      </c>
      <c r="M175" s="7" t="n">
        <v>566755.5</v>
      </c>
      <c r="N175" s="7" t="n">
        <v>952402.9</v>
      </c>
      <c r="O175" s="7" t="n">
        <v>638517</v>
      </c>
      <c r="P175" s="7" t="n">
        <v>779557</v>
      </c>
      <c r="Q175" s="7" t="n">
        <v>482573.3</v>
      </c>
      <c r="R175" s="7" t="n">
        <v>445201.4</v>
      </c>
      <c r="S175" s="7" t="n">
        <v>580968.3</v>
      </c>
      <c r="T175" s="7" t="n">
        <v>510546</v>
      </c>
      <c r="U175" s="7" t="n">
        <v>499678</v>
      </c>
      <c r="V175" s="7" t="n">
        <v>752603.2</v>
      </c>
      <c r="W175" s="7" t="n">
        <v>615298.8</v>
      </c>
      <c r="X175" s="7" t="n">
        <v>233958.1</v>
      </c>
      <c r="Y175" s="7" t="n">
        <v>615804.4</v>
      </c>
      <c r="Z175" s="7" t="n">
        <v>427925.1</v>
      </c>
      <c r="AA175" s="8" t="n">
        <v>6783712.1</v>
      </c>
      <c r="AB175" s="8" t="n">
        <v>6684073.2</v>
      </c>
    </row>
    <row r="176">
      <c r="A176" s="4" t="inlineStr">
        <is>
          <t>职工薪酬</t>
        </is>
      </c>
      <c r="D176" s="7" t="n">
        <v>187942.6</v>
      </c>
      <c r="F176" s="7" t="n">
        <v>244270.6</v>
      </c>
      <c r="H176" s="7" t="n">
        <v>299857.3</v>
      </c>
      <c r="J176" s="7" t="n">
        <v>229345.7</v>
      </c>
      <c r="L176" s="7" t="n">
        <v>331138.1</v>
      </c>
      <c r="N176" s="7" t="n">
        <v>525160.3</v>
      </c>
      <c r="P176" s="7" t="n">
        <v>328352.6</v>
      </c>
      <c r="R176" s="7" t="n">
        <v>214938.4</v>
      </c>
      <c r="T176" s="7" t="n">
        <v>267232.4</v>
      </c>
      <c r="V176" s="7" t="n">
        <v>308209.2</v>
      </c>
      <c r="X176" s="7" t="n">
        <v>103347.2</v>
      </c>
      <c r="Z176" s="7" t="n">
        <v>232852.7</v>
      </c>
      <c r="AB176" s="7" t="n">
        <v>3272647.1</v>
      </c>
    </row>
    <row r="177">
      <c r="A177" s="4" t="inlineStr">
        <is>
          <t>工资</t>
        </is>
      </c>
      <c r="D177" s="7" t="n">
        <v>108143.7</v>
      </c>
      <c r="F177" s="7" t="n">
        <v>156873.4</v>
      </c>
      <c r="H177" s="7" t="n">
        <v>171747.5</v>
      </c>
      <c r="J177" s="7" t="n">
        <v>130523.2</v>
      </c>
      <c r="L177" s="7" t="n">
        <v>186801.6</v>
      </c>
      <c r="N177" s="7" t="n">
        <v>312014</v>
      </c>
      <c r="P177" s="7" t="n">
        <v>178109.9</v>
      </c>
      <c r="R177" s="7" t="n">
        <v>126535.6</v>
      </c>
      <c r="T177" s="7" t="n">
        <v>158414</v>
      </c>
      <c r="V177" s="7" t="n">
        <v>158069.7</v>
      </c>
      <c r="X177" s="7" t="n">
        <v>52959</v>
      </c>
      <c r="Z177" s="7" t="n">
        <v>136403.9</v>
      </c>
      <c r="AB177" s="7" t="n">
        <v>1876595.5</v>
      </c>
    </row>
    <row r="178">
      <c r="A178" s="4" t="inlineStr">
        <is>
          <t>奖金及提成</t>
        </is>
      </c>
      <c r="D178" s="7" t="n">
        <v>39864.6</v>
      </c>
      <c r="F178" s="7" t="n">
        <v>38024.9</v>
      </c>
      <c r="H178" s="7" t="n">
        <v>59422.8</v>
      </c>
      <c r="J178" s="7" t="n">
        <v>46491.3</v>
      </c>
      <c r="L178" s="7" t="n">
        <v>68781.89999999999</v>
      </c>
      <c r="N178" s="7" t="n">
        <v>120975.5</v>
      </c>
      <c r="P178" s="7" t="n">
        <v>71563.8</v>
      </c>
      <c r="R178" s="7" t="n">
        <v>32613.9</v>
      </c>
      <c r="T178" s="7" t="n">
        <v>42566.8</v>
      </c>
      <c r="V178" s="7" t="n">
        <v>73203.89999999999</v>
      </c>
      <c r="X178" s="7" t="n">
        <v>24240.2</v>
      </c>
      <c r="Z178" s="7" t="n">
        <v>45867.4</v>
      </c>
      <c r="AB178" s="7" t="n">
        <v>663617</v>
      </c>
    </row>
    <row r="179">
      <c r="A179" s="4" t="inlineStr">
        <is>
          <t>社保</t>
        </is>
      </c>
      <c r="D179" s="7" t="n">
        <v>29285.4</v>
      </c>
      <c r="F179" s="7" t="n">
        <v>37709.7</v>
      </c>
      <c r="H179" s="7" t="n">
        <v>53429.4</v>
      </c>
      <c r="J179" s="7" t="n">
        <v>34679.4</v>
      </c>
      <c r="L179" s="7" t="n">
        <v>57655.2</v>
      </c>
      <c r="N179" s="7" t="n">
        <v>63471.8</v>
      </c>
      <c r="P179" s="7" t="n">
        <v>56428.3</v>
      </c>
      <c r="R179" s="7" t="n">
        <v>42665.6</v>
      </c>
      <c r="T179" s="7" t="n">
        <v>52225.2</v>
      </c>
      <c r="V179" s="7" t="n">
        <v>52693.7</v>
      </c>
      <c r="X179" s="7" t="n">
        <v>18963.5</v>
      </c>
      <c r="Z179" s="7" t="n">
        <v>38385.1</v>
      </c>
      <c r="AB179" s="7" t="n">
        <v>537592.3</v>
      </c>
    </row>
    <row r="180">
      <c r="A180" s="4" t="inlineStr">
        <is>
          <t>养老</t>
        </is>
      </c>
      <c r="D180" s="7" t="n">
        <v>89.2</v>
      </c>
      <c r="F180" s="7" t="n">
        <v>101.4</v>
      </c>
      <c r="H180" s="7" t="n">
        <v>200.6</v>
      </c>
      <c r="J180" s="7" t="n">
        <v>191.9</v>
      </c>
      <c r="L180" s="7" t="n">
        <v>143.1</v>
      </c>
      <c r="N180" s="7" t="n">
        <v>304.9</v>
      </c>
      <c r="P180" s="7" t="n">
        <v>190.1</v>
      </c>
      <c r="R180" s="7" t="n">
        <v>168.1</v>
      </c>
      <c r="T180" s="7" t="n">
        <v>143.4</v>
      </c>
      <c r="V180" s="7" t="n">
        <v>220.1</v>
      </c>
      <c r="X180" s="7" t="n">
        <v>82.09999999999999</v>
      </c>
      <c r="Z180" s="7" t="n">
        <v>145.2</v>
      </c>
      <c r="AB180" s="7" t="n">
        <v>1980.1</v>
      </c>
    </row>
    <row r="181">
      <c r="A181" s="4" t="inlineStr">
        <is>
          <t>医疗</t>
        </is>
      </c>
      <c r="D181" s="7" t="n">
        <v>249.4</v>
      </c>
      <c r="F181" s="7" t="n">
        <v>382.3</v>
      </c>
      <c r="H181" s="7" t="n">
        <v>502.4</v>
      </c>
      <c r="J181" s="7" t="n">
        <v>419.9</v>
      </c>
      <c r="L181" s="7" t="n">
        <v>512.7</v>
      </c>
      <c r="N181" s="7" t="n">
        <v>653</v>
      </c>
      <c r="P181" s="7" t="n">
        <v>603.3</v>
      </c>
      <c r="R181" s="7" t="n">
        <v>400.7</v>
      </c>
      <c r="T181" s="7" t="n">
        <v>281.7</v>
      </c>
      <c r="V181" s="7" t="n">
        <v>531.5</v>
      </c>
      <c r="X181" s="7" t="n">
        <v>168.3</v>
      </c>
      <c r="Z181" s="7" t="n">
        <v>220.5</v>
      </c>
      <c r="AB181" s="7" t="n">
        <v>4925.7</v>
      </c>
    </row>
    <row r="182">
      <c r="A182" s="4" t="inlineStr">
        <is>
          <t>工伤</t>
        </is>
      </c>
      <c r="D182" s="7" t="n">
        <v>2745.8</v>
      </c>
      <c r="F182" s="7" t="n">
        <v>2614.8</v>
      </c>
      <c r="H182" s="7" t="n">
        <v>3644.5</v>
      </c>
      <c r="J182" s="7" t="n">
        <v>4334.3</v>
      </c>
      <c r="L182" s="7" t="n">
        <v>3084.2</v>
      </c>
      <c r="N182" s="7" t="n">
        <v>6116.6</v>
      </c>
      <c r="P182" s="7" t="n">
        <v>5442.4</v>
      </c>
      <c r="R182" s="7" t="n">
        <v>2121.7</v>
      </c>
      <c r="T182" s="7" t="n">
        <v>2919.7</v>
      </c>
      <c r="V182" s="7" t="n">
        <v>4894.3</v>
      </c>
      <c r="X182" s="7" t="n">
        <v>1764.4</v>
      </c>
      <c r="Z182" s="7" t="n">
        <v>2631</v>
      </c>
      <c r="AB182" s="7" t="n">
        <v>42313.7</v>
      </c>
    </row>
    <row r="183">
      <c r="A183" s="4" t="inlineStr">
        <is>
          <t>失业</t>
        </is>
      </c>
      <c r="D183" s="7" t="n">
        <v>1208.5</v>
      </c>
      <c r="F183" s="7" t="n">
        <v>1357.7</v>
      </c>
      <c r="H183" s="7" t="n">
        <v>1726.2</v>
      </c>
      <c r="J183" s="7" t="n">
        <v>1229.7</v>
      </c>
      <c r="L183" s="7" t="n">
        <v>2010.7</v>
      </c>
      <c r="N183" s="7" t="n">
        <v>3080.5</v>
      </c>
      <c r="P183" s="7" t="n">
        <v>1910.7</v>
      </c>
      <c r="R183" s="7" t="n">
        <v>875.9</v>
      </c>
      <c r="T183" s="7" t="n">
        <v>1220.4</v>
      </c>
      <c r="V183" s="7" t="n">
        <v>2126.2</v>
      </c>
      <c r="X183" s="7" t="n">
        <v>678.1</v>
      </c>
      <c r="Z183" s="7" t="n">
        <v>949.2</v>
      </c>
      <c r="AB183" s="7" t="n">
        <v>18373.8</v>
      </c>
    </row>
    <row r="184">
      <c r="A184" s="4" t="inlineStr">
        <is>
          <t>生育</t>
        </is>
      </c>
      <c r="D184" s="7" t="n">
        <v>2081.9</v>
      </c>
      <c r="F184" s="7" t="n">
        <v>2233.3</v>
      </c>
      <c r="H184" s="7" t="n">
        <v>3430.5</v>
      </c>
      <c r="J184" s="7" t="n">
        <v>2801.5</v>
      </c>
      <c r="L184" s="7" t="n">
        <v>2353.9</v>
      </c>
      <c r="N184" s="7" t="n">
        <v>4707.4</v>
      </c>
      <c r="P184" s="7" t="n">
        <v>3135.4</v>
      </c>
      <c r="R184" s="7" t="n">
        <v>1857.8</v>
      </c>
      <c r="T184" s="7" t="n">
        <v>2591.4</v>
      </c>
      <c r="V184" s="7" t="n">
        <v>4461.8</v>
      </c>
      <c r="X184" s="7" t="n">
        <v>1173.1</v>
      </c>
      <c r="Z184" s="7" t="n">
        <v>2509.8</v>
      </c>
      <c r="AB184" s="7" t="n">
        <v>33337.8</v>
      </c>
    </row>
    <row r="185">
      <c r="A185" s="4" t="inlineStr">
        <is>
          <t>公积金</t>
        </is>
      </c>
      <c r="D185" s="7" t="n">
        <v>1372.7</v>
      </c>
      <c r="F185" s="7" t="n">
        <v>1271.6</v>
      </c>
      <c r="H185" s="7" t="n">
        <v>1502.9</v>
      </c>
      <c r="J185" s="7" t="n">
        <v>1698.8</v>
      </c>
      <c r="L185" s="7" t="n">
        <v>2036.4</v>
      </c>
      <c r="N185" s="7" t="n">
        <v>3280.3</v>
      </c>
      <c r="P185" s="7" t="n">
        <v>2834.2</v>
      </c>
      <c r="R185" s="7" t="n">
        <v>1398.2</v>
      </c>
      <c r="T185" s="7" t="n">
        <v>1937.8</v>
      </c>
      <c r="V185" s="7" t="n">
        <v>2996.1</v>
      </c>
      <c r="X185" s="7" t="n">
        <v>673.8</v>
      </c>
      <c r="Z185" s="7" t="n">
        <v>1708.6</v>
      </c>
      <c r="AB185" s="7" t="n">
        <v>22711.4</v>
      </c>
    </row>
    <row r="186">
      <c r="A186" s="4" t="inlineStr">
        <is>
          <t>工会经费</t>
        </is>
      </c>
      <c r="D186" s="7" t="n">
        <v>1999</v>
      </c>
      <c r="F186" s="7" t="n">
        <v>1632.8</v>
      </c>
      <c r="H186" s="7" t="n">
        <v>2467</v>
      </c>
      <c r="J186" s="7" t="n">
        <v>3295.6</v>
      </c>
      <c r="L186" s="7" t="n">
        <v>2710.4</v>
      </c>
      <c r="N186" s="7" t="n">
        <v>5805.8</v>
      </c>
      <c r="P186" s="7" t="n">
        <v>3291.3</v>
      </c>
      <c r="R186" s="7" t="n">
        <v>2057.6</v>
      </c>
      <c r="T186" s="7" t="n">
        <v>2301.1</v>
      </c>
      <c r="V186" s="7" t="n">
        <v>4801.4</v>
      </c>
      <c r="X186" s="7" t="n">
        <v>1381.9</v>
      </c>
      <c r="Z186" s="7" t="n">
        <v>1989.4</v>
      </c>
      <c r="AB186" s="7" t="n">
        <v>33733.3</v>
      </c>
    </row>
    <row r="187">
      <c r="A187" s="4" t="inlineStr">
        <is>
          <t>职工教育经费</t>
        </is>
      </c>
      <c r="D187" s="7" t="n">
        <v>1322.7</v>
      </c>
      <c r="F187" s="7" t="n">
        <v>2529.7</v>
      </c>
      <c r="H187" s="7" t="n">
        <v>2224.9</v>
      </c>
      <c r="J187" s="7" t="n">
        <v>3403.3</v>
      </c>
      <c r="L187" s="7" t="n">
        <v>3524.7</v>
      </c>
      <c r="N187" s="7" t="n">
        <v>5736.6</v>
      </c>
      <c r="P187" s="7" t="n">
        <v>4412.6</v>
      </c>
      <c r="R187" s="7" t="n">
        <v>2280.9</v>
      </c>
      <c r="T187" s="7" t="n">
        <v>2125.7</v>
      </c>
      <c r="V187" s="7" t="n">
        <v>4353.5</v>
      </c>
      <c r="X187" s="7" t="n">
        <v>1363.4</v>
      </c>
      <c r="Z187" s="7" t="n">
        <v>1845.2</v>
      </c>
      <c r="AB187" s="7" t="n">
        <v>35123.2</v>
      </c>
    </row>
    <row r="188">
      <c r="A188" s="4" t="inlineStr">
        <is>
          <t>福利费</t>
        </is>
      </c>
      <c r="D188" s="7" t="n">
        <v>5954.5</v>
      </c>
      <c r="F188" s="7" t="n">
        <v>6228.5</v>
      </c>
      <c r="H188" s="7" t="n">
        <v>9062.799999999999</v>
      </c>
      <c r="J188" s="7" t="n">
        <v>9254.1</v>
      </c>
      <c r="L188" s="7" t="n">
        <v>9627.9</v>
      </c>
      <c r="N188" s="7" t="n">
        <v>13876.3</v>
      </c>
      <c r="P188" s="7" t="n">
        <v>11712.5</v>
      </c>
      <c r="R188" s="7" t="n">
        <v>7386.6</v>
      </c>
      <c r="T188" s="7" t="n">
        <v>7661.8</v>
      </c>
      <c r="V188" s="7" t="n">
        <v>12090.9</v>
      </c>
      <c r="X188" s="7" t="n">
        <v>3765.4</v>
      </c>
      <c r="Z188" s="7" t="n">
        <v>6653.1</v>
      </c>
      <c r="AB188" s="7" t="n">
        <v>103274.4</v>
      </c>
    </row>
    <row r="189">
      <c r="A189" s="4" t="inlineStr">
        <is>
          <t>职工房租</t>
        </is>
      </c>
      <c r="D189" s="7" t="n">
        <v>2524.9</v>
      </c>
      <c r="F189" s="7" t="n">
        <v>2632.2</v>
      </c>
      <c r="H189" s="7" t="n">
        <v>3503</v>
      </c>
      <c r="J189" s="7" t="n">
        <v>3540.3</v>
      </c>
      <c r="L189" s="7" t="n">
        <v>3489.2</v>
      </c>
      <c r="N189" s="7" t="n">
        <v>5505</v>
      </c>
      <c r="P189" s="7" t="n">
        <v>4945.7</v>
      </c>
      <c r="R189" s="7" t="n">
        <v>3098</v>
      </c>
      <c r="T189" s="7" t="n">
        <v>2435.5</v>
      </c>
      <c r="V189" s="7" t="n">
        <v>3303.3</v>
      </c>
      <c r="X189" s="7" t="n">
        <v>1412.9</v>
      </c>
      <c r="Z189" s="7" t="n">
        <v>1891.6</v>
      </c>
      <c r="AB189" s="7" t="n">
        <v>38281.6</v>
      </c>
    </row>
    <row r="190">
      <c r="A190" s="4" t="inlineStr">
        <is>
          <t>水电物业费</t>
        </is>
      </c>
      <c r="D190" s="7" t="n">
        <v>427.5</v>
      </c>
      <c r="F190" s="7" t="n">
        <v>454.7</v>
      </c>
      <c r="H190" s="7" t="n">
        <v>644.9</v>
      </c>
      <c r="J190" s="7" t="n">
        <v>664.7</v>
      </c>
      <c r="L190" s="7" t="n">
        <v>553</v>
      </c>
      <c r="N190" s="7" t="n">
        <v>1140.1</v>
      </c>
      <c r="P190" s="7" t="n">
        <v>757.8</v>
      </c>
      <c r="R190" s="7" t="n">
        <v>455.8</v>
      </c>
      <c r="T190" s="7" t="n">
        <v>655</v>
      </c>
      <c r="V190" s="7" t="n">
        <v>680.1</v>
      </c>
      <c r="X190" s="7" t="n">
        <v>211.2</v>
      </c>
      <c r="Z190" s="7" t="n">
        <v>435.8</v>
      </c>
      <c r="AB190" s="7" t="n">
        <v>7080.6</v>
      </c>
    </row>
    <row r="191">
      <c r="A191" s="4" t="inlineStr">
        <is>
          <t>员工餐</t>
        </is>
      </c>
      <c r="D191" s="7" t="n">
        <v>156.3</v>
      </c>
      <c r="F191" s="7" t="n">
        <v>153.6</v>
      </c>
      <c r="H191" s="7" t="n">
        <v>216.3</v>
      </c>
      <c r="J191" s="7" t="n">
        <v>187.1</v>
      </c>
      <c r="L191" s="7" t="n">
        <v>217</v>
      </c>
      <c r="N191" s="7" t="n">
        <v>290.6</v>
      </c>
      <c r="P191" s="7" t="n">
        <v>304.3</v>
      </c>
      <c r="R191" s="7" t="n">
        <v>132.2</v>
      </c>
      <c r="T191" s="7" t="n">
        <v>141.6</v>
      </c>
      <c r="V191" s="7" t="n">
        <v>203.4</v>
      </c>
      <c r="X191" s="7" t="n">
        <v>57.8</v>
      </c>
      <c r="Z191" s="7" t="n">
        <v>143.1</v>
      </c>
      <c r="AB191" s="7" t="n">
        <v>2203.3</v>
      </c>
    </row>
    <row r="192">
      <c r="A192" s="4" t="inlineStr">
        <is>
          <t>节日礼品</t>
        </is>
      </c>
      <c r="D192" s="7" t="n">
        <v>1037.3</v>
      </c>
      <c r="F192" s="7" t="n">
        <v>887.2</v>
      </c>
      <c r="H192" s="7" t="n">
        <v>1342.9</v>
      </c>
      <c r="J192" s="7" t="n">
        <v>1274</v>
      </c>
      <c r="L192" s="7" t="n">
        <v>1529.4</v>
      </c>
      <c r="N192" s="7" t="n">
        <v>2380.6</v>
      </c>
      <c r="P192" s="7" t="n">
        <v>1767</v>
      </c>
      <c r="R192" s="7" t="n">
        <v>1398.3</v>
      </c>
      <c r="T192" s="7" t="n">
        <v>1418</v>
      </c>
      <c r="V192" s="7" t="n">
        <v>2664.3</v>
      </c>
      <c r="X192" s="7" t="n">
        <v>762</v>
      </c>
      <c r="Z192" s="7" t="n">
        <v>1504.1</v>
      </c>
      <c r="AB192" s="7" t="n">
        <v>17965.1</v>
      </c>
    </row>
    <row r="193">
      <c r="A193" s="4" t="inlineStr">
        <is>
          <t>生日礼品</t>
        </is>
      </c>
      <c r="D193" s="7" t="n">
        <v>23.7</v>
      </c>
      <c r="F193" s="7" t="n">
        <v>24.1</v>
      </c>
      <c r="H193" s="7" t="n">
        <v>42.4</v>
      </c>
      <c r="J193" s="7" t="n">
        <v>34.8</v>
      </c>
      <c r="L193" s="7" t="n">
        <v>38.6</v>
      </c>
      <c r="N193" s="7" t="n">
        <v>70.09999999999999</v>
      </c>
      <c r="P193" s="7" t="n">
        <v>49.9</v>
      </c>
      <c r="R193" s="7" t="n">
        <v>22.9</v>
      </c>
      <c r="T193" s="7" t="n">
        <v>36.8</v>
      </c>
      <c r="V193" s="7" t="n">
        <v>55</v>
      </c>
      <c r="X193" s="7" t="n">
        <v>12.6</v>
      </c>
      <c r="Z193" s="7" t="n">
        <v>25.3</v>
      </c>
      <c r="AB193" s="7" t="n">
        <v>436.2</v>
      </c>
    </row>
    <row r="194">
      <c r="A194" s="4" t="inlineStr">
        <is>
          <t>体检</t>
        </is>
      </c>
      <c r="D194" s="7" t="n">
        <v>860.3</v>
      </c>
      <c r="F194" s="7" t="n">
        <v>953.3</v>
      </c>
      <c r="H194" s="7" t="n">
        <v>1014.3</v>
      </c>
      <c r="J194" s="7" t="n">
        <v>1236.4</v>
      </c>
      <c r="L194" s="7" t="n">
        <v>1118.9</v>
      </c>
      <c r="N194" s="7" t="n">
        <v>1282.9</v>
      </c>
      <c r="P194" s="7" t="n">
        <v>1791.3</v>
      </c>
      <c r="R194" s="7" t="n">
        <v>673.3</v>
      </c>
      <c r="T194" s="7" t="n">
        <v>954.8</v>
      </c>
      <c r="V194" s="7" t="n">
        <v>1771.2</v>
      </c>
      <c r="X194" s="7" t="n">
        <v>347.3</v>
      </c>
      <c r="Z194" s="7" t="n">
        <v>1010.9</v>
      </c>
      <c r="AB194" s="7" t="n">
        <v>13014.9</v>
      </c>
    </row>
    <row r="195">
      <c r="A195" s="4" t="inlineStr">
        <is>
          <t>其他福利支出</t>
        </is>
      </c>
      <c r="D195" s="7" t="n">
        <v>924.5</v>
      </c>
      <c r="F195" s="7" t="n">
        <v>1123.4</v>
      </c>
      <c r="H195" s="7" t="n">
        <v>2299</v>
      </c>
      <c r="J195" s="7" t="n">
        <v>2316.8</v>
      </c>
      <c r="L195" s="7" t="n">
        <v>2681.8</v>
      </c>
      <c r="N195" s="7" t="n">
        <v>3207</v>
      </c>
      <c r="P195" s="7" t="n">
        <v>2096.5</v>
      </c>
      <c r="R195" s="7" t="n">
        <v>1606.1</v>
      </c>
      <c r="T195" s="7" t="n">
        <v>2020.1</v>
      </c>
      <c r="V195" s="7" t="n">
        <v>3413.6</v>
      </c>
      <c r="X195" s="7" t="n">
        <v>961.6</v>
      </c>
      <c r="Z195" s="7" t="n">
        <v>1642.3</v>
      </c>
      <c r="AB195" s="7" t="n">
        <v>24292.7</v>
      </c>
    </row>
    <row r="196">
      <c r="A196" s="4" t="inlineStr">
        <is>
          <t>招聘费</t>
        </is>
      </c>
      <c r="D196" s="7" t="n">
        <v>2632.4</v>
      </c>
      <c r="F196" s="7" t="n">
        <v>2103</v>
      </c>
      <c r="H196" s="7" t="n">
        <v>3554.4</v>
      </c>
      <c r="J196" s="7" t="n">
        <v>3125.4</v>
      </c>
      <c r="L196" s="7" t="n">
        <v>2892</v>
      </c>
      <c r="N196" s="7" t="n">
        <v>4299.4</v>
      </c>
      <c r="P196" s="7" t="n">
        <v>5651.9</v>
      </c>
      <c r="R196" s="7" t="n">
        <v>2839.1</v>
      </c>
      <c r="T196" s="7" t="n">
        <v>3287.6</v>
      </c>
      <c r="V196" s="7" t="n">
        <v>3879.9</v>
      </c>
      <c r="X196" s="7" t="n">
        <v>1232.9</v>
      </c>
      <c r="Z196" s="7" t="n">
        <v>2459.8</v>
      </c>
      <c r="AB196" s="7" t="n">
        <v>37957.8</v>
      </c>
    </row>
    <row r="197">
      <c r="A197" s="4" t="inlineStr">
        <is>
          <t>办公费</t>
        </is>
      </c>
      <c r="D197" s="7" t="n">
        <v>12034.1</v>
      </c>
      <c r="F197" s="7" t="n">
        <v>12403.2</v>
      </c>
      <c r="H197" s="7" t="n">
        <v>12596.4</v>
      </c>
      <c r="J197" s="7" t="n">
        <v>18683.9</v>
      </c>
      <c r="L197" s="7" t="n">
        <v>19100.7</v>
      </c>
      <c r="N197" s="7" t="n">
        <v>30996.5</v>
      </c>
      <c r="P197" s="7" t="n">
        <v>25047.4</v>
      </c>
      <c r="R197" s="7" t="n">
        <v>15407.2</v>
      </c>
      <c r="T197" s="7" t="n">
        <v>16103.1</v>
      </c>
      <c r="V197" s="7" t="n">
        <v>25299.4</v>
      </c>
      <c r="X197" s="7" t="n">
        <v>5218.8</v>
      </c>
      <c r="Z197" s="7" t="n">
        <v>16134.9</v>
      </c>
      <c r="AB197" s="7" t="n">
        <v>209025.6</v>
      </c>
    </row>
    <row r="198">
      <c r="A198" s="4" t="inlineStr">
        <is>
          <t>市内交通费</t>
        </is>
      </c>
      <c r="D198" s="7" t="n">
        <v>303.5</v>
      </c>
      <c r="F198" s="7" t="n">
        <v>264.1</v>
      </c>
      <c r="H198" s="7" t="n">
        <v>309.4</v>
      </c>
      <c r="J198" s="7" t="n">
        <v>455.1</v>
      </c>
      <c r="L198" s="7" t="n">
        <v>417.8</v>
      </c>
      <c r="N198" s="7" t="n">
        <v>621.1</v>
      </c>
      <c r="P198" s="7" t="n">
        <v>594.9</v>
      </c>
      <c r="R198" s="7" t="n">
        <v>305</v>
      </c>
      <c r="T198" s="7" t="n">
        <v>362.5</v>
      </c>
      <c r="V198" s="7" t="n">
        <v>409.5</v>
      </c>
      <c r="X198" s="7" t="n">
        <v>152.2</v>
      </c>
      <c r="Z198" s="7" t="n">
        <v>351</v>
      </c>
      <c r="AB198" s="7" t="n">
        <v>4546.1</v>
      </c>
    </row>
    <row r="199">
      <c r="A199" s="4" t="inlineStr">
        <is>
          <t>差旅费</t>
        </is>
      </c>
      <c r="D199" s="7" t="n">
        <v>22936.4</v>
      </c>
      <c r="F199" s="7" t="n">
        <v>32980.4</v>
      </c>
      <c r="H199" s="7" t="n">
        <v>27900.1</v>
      </c>
      <c r="J199" s="7" t="n">
        <v>37448.9</v>
      </c>
      <c r="L199" s="7" t="n">
        <v>46718</v>
      </c>
      <c r="N199" s="7" t="n">
        <v>67259.3</v>
      </c>
      <c r="P199" s="7" t="n">
        <v>53209.2</v>
      </c>
      <c r="R199" s="7" t="n">
        <v>24678.7</v>
      </c>
      <c r="T199" s="7" t="n">
        <v>38893.8</v>
      </c>
      <c r="V199" s="7" t="n">
        <v>46606.4</v>
      </c>
      <c r="X199" s="7" t="n">
        <v>14501.3</v>
      </c>
      <c r="Z199" s="7" t="n">
        <v>19871.3</v>
      </c>
      <c r="AB199" s="7" t="n">
        <v>433003.8</v>
      </c>
    </row>
    <row r="200">
      <c r="A200" s="4" t="inlineStr">
        <is>
          <t>交通费</t>
        </is>
      </c>
      <c r="D200" s="7" t="n">
        <v>13</v>
      </c>
      <c r="F200" s="7" t="n">
        <v>14.5</v>
      </c>
      <c r="H200" s="7" t="n">
        <v>24.7</v>
      </c>
      <c r="J200" s="7" t="n">
        <v>16.4</v>
      </c>
      <c r="L200" s="7" t="n">
        <v>23.6</v>
      </c>
      <c r="N200" s="7" t="n">
        <v>39</v>
      </c>
      <c r="P200" s="7" t="n">
        <v>23.3</v>
      </c>
      <c r="R200" s="7" t="n">
        <v>13.9</v>
      </c>
      <c r="T200" s="7" t="n">
        <v>18.3</v>
      </c>
      <c r="V200" s="7" t="n">
        <v>25</v>
      </c>
      <c r="X200" s="7" t="n">
        <v>6.1</v>
      </c>
      <c r="Z200" s="7" t="n">
        <v>11.7</v>
      </c>
      <c r="AB200" s="7" t="n">
        <v>229.5</v>
      </c>
    </row>
    <row r="201">
      <c r="A201" s="4" t="inlineStr">
        <is>
          <t>住宿费</t>
        </is>
      </c>
      <c r="D201" s="7" t="n">
        <v>1663.1</v>
      </c>
      <c r="F201" s="7" t="n">
        <v>1907</v>
      </c>
      <c r="H201" s="7" t="n">
        <v>3818.4</v>
      </c>
      <c r="J201" s="7" t="n">
        <v>3740.6</v>
      </c>
      <c r="L201" s="7" t="n">
        <v>4133.5</v>
      </c>
      <c r="N201" s="7" t="n">
        <v>6565.6</v>
      </c>
      <c r="P201" s="7" t="n">
        <v>5532.7</v>
      </c>
      <c r="R201" s="7" t="n">
        <v>2380.3</v>
      </c>
      <c r="T201" s="7" t="n">
        <v>2877.9</v>
      </c>
      <c r="V201" s="7" t="n">
        <v>3602.1</v>
      </c>
      <c r="X201" s="7" t="n">
        <v>948.2</v>
      </c>
      <c r="Z201" s="7" t="n">
        <v>1777.7</v>
      </c>
      <c r="AB201" s="7" t="n">
        <v>38947.1</v>
      </c>
    </row>
    <row r="202">
      <c r="A202" s="4" t="inlineStr">
        <is>
          <t>餐补</t>
        </is>
      </c>
      <c r="D202" s="7" t="n">
        <v>1756.7</v>
      </c>
      <c r="F202" s="7" t="n">
        <v>1841.5</v>
      </c>
      <c r="H202" s="7" t="n">
        <v>2185.7</v>
      </c>
      <c r="J202" s="7" t="n">
        <v>2934.5</v>
      </c>
      <c r="L202" s="7" t="n">
        <v>2255.2</v>
      </c>
      <c r="N202" s="7" t="n">
        <v>4856.4</v>
      </c>
      <c r="P202" s="7" t="n">
        <v>4599.6</v>
      </c>
      <c r="R202" s="7" t="n">
        <v>1886.7</v>
      </c>
      <c r="T202" s="7" t="n">
        <v>2357.2</v>
      </c>
      <c r="V202" s="7" t="n">
        <v>3830.8</v>
      </c>
      <c r="X202" s="7" t="n">
        <v>983.4</v>
      </c>
      <c r="Z202" s="7" t="n">
        <v>2138.9</v>
      </c>
      <c r="AB202" s="7" t="n">
        <v>31626.6</v>
      </c>
    </row>
    <row r="203">
      <c r="A203" s="4" t="inlineStr">
        <is>
          <t>交通补助</t>
        </is>
      </c>
      <c r="D203" s="7" t="n">
        <v>1267.6</v>
      </c>
      <c r="F203" s="7" t="n">
        <v>1421.4</v>
      </c>
      <c r="H203" s="7" t="n">
        <v>2098.4</v>
      </c>
      <c r="J203" s="7" t="n">
        <v>1470.6</v>
      </c>
      <c r="L203" s="7" t="n">
        <v>1960.6</v>
      </c>
      <c r="N203" s="7" t="n">
        <v>2941.9</v>
      </c>
      <c r="P203" s="7" t="n">
        <v>3307</v>
      </c>
      <c r="R203" s="7" t="n">
        <v>1587.8</v>
      </c>
      <c r="T203" s="7" t="n">
        <v>2279.8</v>
      </c>
      <c r="V203" s="7" t="n">
        <v>2178.7</v>
      </c>
      <c r="X203" s="7" t="n">
        <v>988.9</v>
      </c>
      <c r="Z203" s="7" t="n">
        <v>1946.8</v>
      </c>
      <c r="AB203" s="7" t="n">
        <v>23449.5</v>
      </c>
    </row>
    <row r="204">
      <c r="A204" s="4" t="inlineStr">
        <is>
          <t>通讯补助</t>
        </is>
      </c>
      <c r="D204" s="7" t="n">
        <v>1033.5</v>
      </c>
      <c r="F204" s="7" t="n">
        <v>1154.8</v>
      </c>
      <c r="H204" s="7" t="n">
        <v>1850.2</v>
      </c>
      <c r="J204" s="7" t="n">
        <v>1379.1</v>
      </c>
      <c r="L204" s="7" t="n">
        <v>2013.9</v>
      </c>
      <c r="N204" s="7" t="n">
        <v>3483.4</v>
      </c>
      <c r="P204" s="7" t="n">
        <v>2875.2</v>
      </c>
      <c r="R204" s="7" t="n">
        <v>1059.4</v>
      </c>
      <c r="T204" s="7" t="n">
        <v>1585.4</v>
      </c>
      <c r="V204" s="7" t="n">
        <v>1959.7</v>
      </c>
      <c r="X204" s="7" t="n">
        <v>874.7</v>
      </c>
      <c r="Z204" s="7" t="n">
        <v>968.7</v>
      </c>
      <c r="AB204" s="7" t="n">
        <v>20238</v>
      </c>
    </row>
    <row r="205">
      <c r="A205" s="4" t="inlineStr">
        <is>
          <t>招待费</t>
        </is>
      </c>
      <c r="D205" s="7" t="n">
        <v>11091.1</v>
      </c>
      <c r="F205" s="7" t="n">
        <v>12253.6</v>
      </c>
      <c r="H205" s="7" t="n">
        <v>23752.7</v>
      </c>
      <c r="J205" s="7" t="n">
        <v>16218.2</v>
      </c>
      <c r="L205" s="7" t="n">
        <v>26171.9</v>
      </c>
      <c r="N205" s="7" t="n">
        <v>35927.7</v>
      </c>
      <c r="P205" s="7" t="n">
        <v>32866.8</v>
      </c>
      <c r="R205" s="7" t="n">
        <v>22149.3</v>
      </c>
      <c r="T205" s="7" t="n">
        <v>21054</v>
      </c>
      <c r="V205" s="7" t="n">
        <v>30889.3</v>
      </c>
      <c r="X205" s="7" t="n">
        <v>12158.7</v>
      </c>
      <c r="Z205" s="7" t="n">
        <v>16830.5</v>
      </c>
      <c r="AB205" s="7" t="n">
        <v>261363.8</v>
      </c>
    </row>
    <row r="206">
      <c r="A206" s="4" t="inlineStr">
        <is>
          <t>通讯费</t>
        </is>
      </c>
      <c r="D206" s="7" t="n">
        <v>1739</v>
      </c>
      <c r="F206" s="7" t="n">
        <v>1826.1</v>
      </c>
      <c r="H206" s="7" t="n">
        <v>3496.4</v>
      </c>
      <c r="J206" s="7" t="n">
        <v>3269</v>
      </c>
      <c r="L206" s="7" t="n">
        <v>2772.7</v>
      </c>
      <c r="N206" s="7" t="n">
        <v>4738.8</v>
      </c>
      <c r="P206" s="7" t="n">
        <v>3987.4</v>
      </c>
      <c r="R206" s="7" t="n">
        <v>2122.9</v>
      </c>
      <c r="T206" s="7" t="n">
        <v>2598.6</v>
      </c>
      <c r="V206" s="7" t="n">
        <v>4199.1</v>
      </c>
      <c r="X206" s="7" t="n">
        <v>1437.6</v>
      </c>
      <c r="Z206" s="7" t="n">
        <v>2575.3</v>
      </c>
      <c r="AB206" s="7" t="n">
        <v>34762.9</v>
      </c>
    </row>
    <row r="207">
      <c r="A207" s="4" t="inlineStr">
        <is>
          <t>网络费</t>
        </is>
      </c>
      <c r="D207" s="7" t="n">
        <v>1197.7</v>
      </c>
      <c r="F207" s="7" t="n">
        <v>1749.1</v>
      </c>
      <c r="H207" s="7" t="n">
        <v>2303.9</v>
      </c>
      <c r="J207" s="7" t="n">
        <v>1834.2</v>
      </c>
      <c r="L207" s="7" t="n">
        <v>3187.2</v>
      </c>
      <c r="N207" s="7" t="n">
        <v>4201.6</v>
      </c>
      <c r="P207" s="7" t="n">
        <v>4019.8</v>
      </c>
      <c r="R207" s="7" t="n">
        <v>2046.3</v>
      </c>
      <c r="T207" s="7" t="n">
        <v>2035.3</v>
      </c>
      <c r="V207" s="7" t="n">
        <v>2773.6</v>
      </c>
      <c r="X207" s="7" t="n">
        <v>783.1</v>
      </c>
      <c r="Z207" s="7" t="n">
        <v>1710.2</v>
      </c>
      <c r="AB207" s="7" t="n">
        <v>27842</v>
      </c>
    </row>
    <row r="208">
      <c r="A208" s="4" t="inlineStr">
        <is>
          <t>修理费</t>
        </is>
      </c>
      <c r="D208" s="7" t="n">
        <v>141.4</v>
      </c>
      <c r="F208" s="7" t="n">
        <v>128.9</v>
      </c>
      <c r="H208" s="7" t="n">
        <v>200.8</v>
      </c>
      <c r="J208" s="7" t="n">
        <v>289.4</v>
      </c>
      <c r="L208" s="7" t="n">
        <v>235.7</v>
      </c>
      <c r="N208" s="7" t="n">
        <v>385.4</v>
      </c>
      <c r="P208" s="7" t="n">
        <v>312.6</v>
      </c>
      <c r="R208" s="7" t="n">
        <v>133.6</v>
      </c>
      <c r="T208" s="7" t="n">
        <v>271.1</v>
      </c>
      <c r="V208" s="7" t="n">
        <v>277.5</v>
      </c>
      <c r="X208" s="7" t="n">
        <v>108.2</v>
      </c>
      <c r="Z208" s="7" t="n">
        <v>178.7</v>
      </c>
      <c r="AB208" s="7" t="n">
        <v>2663.3</v>
      </c>
    </row>
    <row r="209">
      <c r="A209" s="4" t="inlineStr">
        <is>
          <t>车辆费</t>
        </is>
      </c>
      <c r="D209" s="7" t="n">
        <v>2430.9</v>
      </c>
      <c r="F209" s="7" t="n">
        <v>2010.6</v>
      </c>
      <c r="H209" s="7" t="n">
        <v>3302.3</v>
      </c>
      <c r="J209" s="7" t="n">
        <v>2468.5</v>
      </c>
      <c r="L209" s="7" t="n">
        <v>3705.7</v>
      </c>
      <c r="N209" s="7" t="n">
        <v>4762.6</v>
      </c>
      <c r="P209" s="7" t="n">
        <v>4631.2</v>
      </c>
      <c r="R209" s="7" t="n">
        <v>2909.5</v>
      </c>
      <c r="T209" s="7" t="n">
        <v>2805.3</v>
      </c>
      <c r="V209" s="7" t="n">
        <v>3790.6</v>
      </c>
      <c r="X209" s="7" t="n">
        <v>1583.8</v>
      </c>
      <c r="Z209" s="7" t="n">
        <v>2350.9</v>
      </c>
      <c r="AB209" s="7" t="n">
        <v>36751.9</v>
      </c>
    </row>
    <row r="210">
      <c r="A210" s="4" t="inlineStr">
        <is>
          <t>租赁费</t>
        </is>
      </c>
      <c r="D210" s="7" t="n">
        <v>16961.3</v>
      </c>
      <c r="F210" s="7" t="n">
        <v>26289.4</v>
      </c>
      <c r="H210" s="7" t="n">
        <v>29330.4</v>
      </c>
      <c r="J210" s="7" t="n">
        <v>27904.2</v>
      </c>
      <c r="L210" s="7" t="n">
        <v>33132.5</v>
      </c>
      <c r="N210" s="7" t="n">
        <v>47672.6</v>
      </c>
      <c r="P210" s="7" t="n">
        <v>30534.5</v>
      </c>
      <c r="R210" s="7" t="n">
        <v>17793.9</v>
      </c>
      <c r="T210" s="7" t="n">
        <v>19049.8</v>
      </c>
      <c r="V210" s="7" t="n">
        <v>40869.6</v>
      </c>
      <c r="X210" s="7" t="n">
        <v>9673.1</v>
      </c>
      <c r="Z210" s="7" t="n">
        <v>17376.8</v>
      </c>
      <c r="AB210" s="7" t="n">
        <v>316588.1</v>
      </c>
    </row>
    <row r="211">
      <c r="A211" s="4" t="inlineStr">
        <is>
          <t>能源费</t>
        </is>
      </c>
      <c r="D211" s="7" t="n">
        <v>3694.3</v>
      </c>
      <c r="F211" s="7" t="n">
        <v>4395.7</v>
      </c>
      <c r="H211" s="7" t="n">
        <v>5212.6</v>
      </c>
      <c r="J211" s="7" t="n">
        <v>5468.5</v>
      </c>
      <c r="L211" s="7" t="n">
        <v>7556.8</v>
      </c>
      <c r="N211" s="7" t="n">
        <v>10069.5</v>
      </c>
      <c r="P211" s="7" t="n">
        <v>6869.2</v>
      </c>
      <c r="R211" s="7" t="n">
        <v>4524.3</v>
      </c>
      <c r="T211" s="7" t="n">
        <v>4942.5</v>
      </c>
      <c r="V211" s="7" t="n">
        <v>9146.1</v>
      </c>
      <c r="X211" s="7" t="n">
        <v>2673.9</v>
      </c>
      <c r="Z211" s="7" t="n">
        <v>4001.3</v>
      </c>
      <c r="AB211" s="7" t="n">
        <v>68554.7</v>
      </c>
    </row>
    <row r="212">
      <c r="A212" s="4" t="inlineStr">
        <is>
          <t>水费</t>
        </is>
      </c>
      <c r="D212" s="7" t="n">
        <v>109.9</v>
      </c>
      <c r="F212" s="7" t="n">
        <v>97.09999999999999</v>
      </c>
      <c r="H212" s="7" t="n">
        <v>180.3</v>
      </c>
      <c r="J212" s="7" t="n">
        <v>115.5</v>
      </c>
      <c r="L212" s="7" t="n">
        <v>184.1</v>
      </c>
      <c r="N212" s="7" t="n">
        <v>197.7</v>
      </c>
      <c r="P212" s="7" t="n">
        <v>188.6</v>
      </c>
      <c r="R212" s="7" t="n">
        <v>101.8</v>
      </c>
      <c r="T212" s="7" t="n">
        <v>184.2</v>
      </c>
      <c r="V212" s="7" t="n">
        <v>225.6</v>
      </c>
      <c r="X212" s="7" t="n">
        <v>68.7</v>
      </c>
      <c r="Z212" s="7" t="n">
        <v>86.09999999999999</v>
      </c>
      <c r="AB212" s="7" t="n">
        <v>1739.6</v>
      </c>
    </row>
    <row r="213">
      <c r="A213" s="4" t="inlineStr">
        <is>
          <t>电费</t>
        </is>
      </c>
      <c r="D213" s="7" t="n">
        <v>1925.9</v>
      </c>
      <c r="F213" s="7" t="n">
        <v>1768.4</v>
      </c>
      <c r="H213" s="7" t="n">
        <v>2096.4</v>
      </c>
      <c r="J213" s="7" t="n">
        <v>2580.7</v>
      </c>
      <c r="L213" s="7" t="n">
        <v>3812.6</v>
      </c>
      <c r="N213" s="7" t="n">
        <v>5484.1</v>
      </c>
      <c r="P213" s="7" t="n">
        <v>2951.2</v>
      </c>
      <c r="R213" s="7" t="n">
        <v>2517</v>
      </c>
      <c r="T213" s="7" t="n">
        <v>2554.7</v>
      </c>
      <c r="V213" s="7" t="n">
        <v>4178.8</v>
      </c>
      <c r="X213" s="7" t="n">
        <v>1316.1</v>
      </c>
      <c r="Z213" s="7" t="n">
        <v>1633.7</v>
      </c>
      <c r="AB213" s="7" t="n">
        <v>32819.6</v>
      </c>
    </row>
    <row r="214">
      <c r="A214" s="4" t="inlineStr">
        <is>
          <t>燃气费</t>
        </is>
      </c>
      <c r="D214" s="7" t="n">
        <v>1382</v>
      </c>
      <c r="F214" s="7" t="n">
        <v>2113.9</v>
      </c>
      <c r="H214" s="7" t="n">
        <v>2316.1</v>
      </c>
      <c r="J214" s="7" t="n">
        <v>2372.1</v>
      </c>
      <c r="L214" s="7" t="n">
        <v>2844.3</v>
      </c>
      <c r="N214" s="7" t="n">
        <v>3451.8</v>
      </c>
      <c r="P214" s="7" t="n">
        <v>3140.3</v>
      </c>
      <c r="R214" s="7" t="n">
        <v>1473.5</v>
      </c>
      <c r="T214" s="7" t="n">
        <v>1814</v>
      </c>
      <c r="V214" s="7" t="n">
        <v>3957.8</v>
      </c>
      <c r="X214" s="7" t="n">
        <v>1014.6</v>
      </c>
      <c r="Z214" s="7" t="n">
        <v>1761.9</v>
      </c>
      <c r="AB214" s="7" t="n">
        <v>27642.3</v>
      </c>
    </row>
    <row r="215">
      <c r="A215" s="4" t="inlineStr">
        <is>
          <t>蒸汽费</t>
        </is>
      </c>
      <c r="D215" s="7" t="n">
        <v>276.5</v>
      </c>
      <c r="F215" s="7" t="n">
        <v>416.3</v>
      </c>
      <c r="H215" s="7" t="n">
        <v>619.8</v>
      </c>
      <c r="J215" s="7" t="n">
        <v>400.2</v>
      </c>
      <c r="L215" s="7" t="n">
        <v>715.8</v>
      </c>
      <c r="N215" s="7" t="n">
        <v>935.9</v>
      </c>
      <c r="P215" s="7" t="n">
        <v>589.1</v>
      </c>
      <c r="R215" s="7" t="n">
        <v>432</v>
      </c>
      <c r="T215" s="7" t="n">
        <v>389.6</v>
      </c>
      <c r="V215" s="7" t="n">
        <v>783.9</v>
      </c>
      <c r="X215" s="7" t="n">
        <v>274.5</v>
      </c>
      <c r="Z215" s="7" t="n">
        <v>519.6</v>
      </c>
      <c r="AB215" s="7" t="n">
        <v>6353.2</v>
      </c>
    </row>
    <row r="216">
      <c r="A216" s="4" t="inlineStr">
        <is>
          <t>物业费</t>
        </is>
      </c>
      <c r="D216" s="7" t="n">
        <v>2059.8</v>
      </c>
      <c r="F216" s="7" t="n">
        <v>2217.6</v>
      </c>
      <c r="H216" s="7" t="n">
        <v>2770.7</v>
      </c>
      <c r="J216" s="7" t="n">
        <v>2081.2</v>
      </c>
      <c r="L216" s="7" t="n">
        <v>3225.6</v>
      </c>
      <c r="N216" s="7" t="n">
        <v>4053.8</v>
      </c>
      <c r="P216" s="7" t="n">
        <v>4679.5</v>
      </c>
      <c r="R216" s="7" t="n">
        <v>2655.1</v>
      </c>
      <c r="T216" s="7" t="n">
        <v>2409.3</v>
      </c>
      <c r="V216" s="7" t="n">
        <v>4028.4</v>
      </c>
      <c r="X216" s="7" t="n">
        <v>1360.9</v>
      </c>
      <c r="Z216" s="7" t="n">
        <v>2515.5</v>
      </c>
      <c r="AB216" s="7" t="n">
        <v>34057.4</v>
      </c>
    </row>
    <row r="217">
      <c r="A217" s="4" t="inlineStr">
        <is>
          <t>劳动保护费</t>
        </is>
      </c>
      <c r="D217" s="7" t="n">
        <v>1289.5</v>
      </c>
      <c r="F217" s="7" t="n">
        <v>1535.6</v>
      </c>
      <c r="H217" s="7" t="n">
        <v>2664.2</v>
      </c>
      <c r="J217" s="7" t="n">
        <v>2163.7</v>
      </c>
      <c r="L217" s="7" t="n">
        <v>3463</v>
      </c>
      <c r="N217" s="7" t="n">
        <v>3785.3</v>
      </c>
      <c r="P217" s="7" t="n">
        <v>4366.6</v>
      </c>
      <c r="R217" s="7" t="n">
        <v>1922.5</v>
      </c>
      <c r="T217" s="7" t="n">
        <v>1897.3</v>
      </c>
      <c r="V217" s="7" t="n">
        <v>3869.8</v>
      </c>
      <c r="X217" s="7" t="n">
        <v>1254.5</v>
      </c>
      <c r="Z217" s="7" t="n">
        <v>2046.5</v>
      </c>
      <c r="AB217" s="7" t="n">
        <v>30258.5</v>
      </c>
    </row>
    <row r="218">
      <c r="A218" s="4" t="inlineStr">
        <is>
          <t>顾问费</t>
        </is>
      </c>
      <c r="D218" s="7" t="n">
        <v>202.5</v>
      </c>
      <c r="F218" s="7" t="n">
        <v>363.7</v>
      </c>
      <c r="H218" s="7" t="n">
        <v>508.3</v>
      </c>
      <c r="J218" s="7" t="n">
        <v>387.7</v>
      </c>
      <c r="L218" s="7" t="n">
        <v>442</v>
      </c>
      <c r="N218" s="7" t="n">
        <v>583.4</v>
      </c>
      <c r="P218" s="7" t="n">
        <v>657.1</v>
      </c>
      <c r="R218" s="7" t="n">
        <v>293.1</v>
      </c>
      <c r="T218" s="7" t="n">
        <v>478.5</v>
      </c>
      <c r="V218" s="7" t="n">
        <v>554.8</v>
      </c>
      <c r="X218" s="7" t="n">
        <v>166.2</v>
      </c>
      <c r="Z218" s="7" t="n">
        <v>286.1</v>
      </c>
      <c r="AB218" s="7" t="n">
        <v>4923.4</v>
      </c>
    </row>
    <row r="219">
      <c r="A219" s="4" t="inlineStr">
        <is>
          <t>快递费</t>
        </is>
      </c>
      <c r="D219" s="7" t="n">
        <v>1914.6</v>
      </c>
      <c r="F219" s="7" t="n">
        <v>1822.3</v>
      </c>
      <c r="H219" s="7" t="n">
        <v>3088.2</v>
      </c>
      <c r="J219" s="7" t="n">
        <v>2491.3</v>
      </c>
      <c r="L219" s="7" t="n">
        <v>2566.6</v>
      </c>
      <c r="N219" s="7" t="n">
        <v>4390.6</v>
      </c>
      <c r="P219" s="7" t="n">
        <v>2965.2</v>
      </c>
      <c r="R219" s="7" t="n">
        <v>1756.4</v>
      </c>
      <c r="T219" s="7" t="n">
        <v>2065.8</v>
      </c>
      <c r="V219" s="7" t="n">
        <v>3773</v>
      </c>
      <c r="X219" s="7" t="n">
        <v>1191.9</v>
      </c>
      <c r="Z219" s="7" t="n">
        <v>2316.6</v>
      </c>
      <c r="AB219" s="7" t="n">
        <v>30342.5</v>
      </c>
    </row>
    <row r="220">
      <c r="A220" s="4" t="inlineStr">
        <is>
          <t>诉讼费</t>
        </is>
      </c>
      <c r="D220" s="7" t="n">
        <v>1847.7</v>
      </c>
      <c r="F220" s="7" t="n">
        <v>1802.5</v>
      </c>
      <c r="H220" s="7" t="n">
        <v>2861.8</v>
      </c>
      <c r="J220" s="7" t="n">
        <v>1944</v>
      </c>
      <c r="L220" s="7" t="n">
        <v>2234.2</v>
      </c>
      <c r="N220" s="7" t="n">
        <v>3871.7</v>
      </c>
      <c r="P220" s="7" t="n">
        <v>3043.5</v>
      </c>
      <c r="R220" s="7" t="n">
        <v>1983.1</v>
      </c>
      <c r="T220" s="7" t="n">
        <v>2468.1</v>
      </c>
      <c r="V220" s="7" t="n">
        <v>3657.3</v>
      </c>
      <c r="X220" s="7" t="n">
        <v>805.6</v>
      </c>
      <c r="Z220" s="7" t="n">
        <v>2365.7</v>
      </c>
      <c r="AB220" s="7" t="n">
        <v>28885.2</v>
      </c>
    </row>
    <row r="221">
      <c r="A221" s="4" t="inlineStr">
        <is>
          <t>会员费</t>
        </is>
      </c>
      <c r="D221" s="7" t="n">
        <v>9.699999999999999</v>
      </c>
      <c r="F221" s="7" t="n">
        <v>11.8</v>
      </c>
      <c r="H221" s="7" t="n">
        <v>25.8</v>
      </c>
      <c r="J221" s="7" t="n">
        <v>18.8</v>
      </c>
      <c r="L221" s="7" t="n">
        <v>16</v>
      </c>
      <c r="N221" s="7" t="n">
        <v>27.5</v>
      </c>
      <c r="P221" s="7" t="n">
        <v>20.2</v>
      </c>
      <c r="R221" s="7" t="n">
        <v>11.2</v>
      </c>
      <c r="T221" s="7" t="n">
        <v>16.5</v>
      </c>
      <c r="V221" s="7" t="n">
        <v>33.7</v>
      </c>
      <c r="X221" s="7" t="n">
        <v>8.699999999999999</v>
      </c>
      <c r="Z221" s="7" t="n">
        <v>15</v>
      </c>
      <c r="AB221" s="7" t="n">
        <v>214.9</v>
      </c>
    </row>
    <row r="222">
      <c r="A222" s="4" t="inlineStr">
        <is>
          <t>广告宣传费</t>
        </is>
      </c>
      <c r="D222" s="7" t="n">
        <v>12579.1</v>
      </c>
      <c r="F222" s="7" t="n">
        <v>13678.3</v>
      </c>
      <c r="H222" s="7" t="n">
        <v>22481.8</v>
      </c>
      <c r="J222" s="7" t="n">
        <v>20175.9</v>
      </c>
      <c r="L222" s="7" t="n">
        <v>20284.5</v>
      </c>
      <c r="N222" s="7" t="n">
        <v>27525.9</v>
      </c>
      <c r="P222" s="7" t="n">
        <v>19201.1</v>
      </c>
      <c r="R222" s="7" t="n">
        <v>14613.3</v>
      </c>
      <c r="T222" s="7" t="n">
        <v>18109.3</v>
      </c>
      <c r="V222" s="7" t="n">
        <v>19679.2</v>
      </c>
      <c r="X222" s="7" t="n">
        <v>5054.7</v>
      </c>
      <c r="Z222" s="7" t="n">
        <v>13604.3</v>
      </c>
      <c r="AB222" s="7" t="n">
        <v>206987.4</v>
      </c>
    </row>
    <row r="223">
      <c r="A223" s="4" t="inlineStr">
        <is>
          <t>会务费</t>
        </is>
      </c>
      <c r="D223" s="7" t="n">
        <v>1055.9</v>
      </c>
      <c r="F223" s="7" t="n">
        <v>1168</v>
      </c>
      <c r="H223" s="7" t="n">
        <v>1443.2</v>
      </c>
      <c r="J223" s="7" t="n">
        <v>1609.6</v>
      </c>
      <c r="L223" s="7" t="n">
        <v>1477</v>
      </c>
      <c r="N223" s="7" t="n">
        <v>2559.3</v>
      </c>
      <c r="P223" s="7" t="n">
        <v>3422.8</v>
      </c>
      <c r="R223" s="7" t="n">
        <v>1758.5</v>
      </c>
      <c r="T223" s="7" t="n">
        <v>1574.7</v>
      </c>
      <c r="V223" s="7" t="n">
        <v>2385.4</v>
      </c>
      <c r="X223" s="7" t="n">
        <v>832.2</v>
      </c>
      <c r="Z223" s="7" t="n">
        <v>1462.8</v>
      </c>
      <c r="AB223" s="7" t="n">
        <v>20749.4</v>
      </c>
    </row>
    <row r="224">
      <c r="A224" s="4" t="inlineStr">
        <is>
          <t>装修费</t>
        </is>
      </c>
      <c r="D224" s="7" t="n">
        <v>1332.6</v>
      </c>
      <c r="F224" s="7" t="n">
        <v>1569.7</v>
      </c>
      <c r="H224" s="7" t="n">
        <v>2487.7</v>
      </c>
      <c r="J224" s="7" t="n">
        <v>3265.5</v>
      </c>
      <c r="L224" s="7" t="n">
        <v>3764.1</v>
      </c>
      <c r="N224" s="7" t="n">
        <v>4182.8</v>
      </c>
      <c r="P224" s="7" t="n">
        <v>4814.2</v>
      </c>
      <c r="R224" s="7" t="n">
        <v>1862.9</v>
      </c>
      <c r="T224" s="7" t="n">
        <v>2624.6</v>
      </c>
      <c r="V224" s="7" t="n">
        <v>2970.2</v>
      </c>
      <c r="X224" s="7" t="n">
        <v>1422</v>
      </c>
      <c r="Z224" s="7" t="n">
        <v>2160.8</v>
      </c>
      <c r="AB224" s="7" t="n">
        <v>32457.1</v>
      </c>
    </row>
    <row r="225">
      <c r="A225" s="4" t="inlineStr">
        <is>
          <t>推广费</t>
        </is>
      </c>
      <c r="D225" s="7" t="n">
        <v>601.5</v>
      </c>
      <c r="F225" s="7" t="n">
        <v>563.4</v>
      </c>
      <c r="H225" s="7" t="n">
        <v>752.6</v>
      </c>
      <c r="J225" s="7" t="n">
        <v>846.7</v>
      </c>
      <c r="L225" s="7" t="n">
        <v>1354.2</v>
      </c>
      <c r="N225" s="7" t="n">
        <v>1927.1</v>
      </c>
      <c r="P225" s="7" t="n">
        <v>1700.5</v>
      </c>
      <c r="R225" s="7" t="n">
        <v>934.3</v>
      </c>
      <c r="T225" s="7" t="n">
        <v>1038.4</v>
      </c>
      <c r="V225" s="7" t="n">
        <v>1346.5</v>
      </c>
      <c r="X225" s="7" t="n">
        <v>447.3</v>
      </c>
      <c r="Z225" s="7" t="n">
        <v>937.6</v>
      </c>
      <c r="AB225" s="7" t="n">
        <v>12450.1</v>
      </c>
    </row>
    <row r="226">
      <c r="A226" s="4" t="inlineStr">
        <is>
          <t>展会费</t>
        </is>
      </c>
      <c r="D226" s="7" t="n">
        <v>1596.6</v>
      </c>
      <c r="F226" s="7" t="n">
        <v>1836.5</v>
      </c>
      <c r="H226" s="7" t="n">
        <v>2787.8</v>
      </c>
      <c r="J226" s="7" t="n">
        <v>2031.9</v>
      </c>
      <c r="L226" s="7" t="n">
        <v>2248.8</v>
      </c>
      <c r="N226" s="7" t="n">
        <v>3700.4</v>
      </c>
      <c r="P226" s="7" t="n">
        <v>2062.4</v>
      </c>
      <c r="R226" s="7" t="n">
        <v>1265.6</v>
      </c>
      <c r="T226" s="7" t="n">
        <v>1396.2</v>
      </c>
      <c r="V226" s="7" t="n">
        <v>3002.2</v>
      </c>
      <c r="X226" s="7" t="n">
        <v>1120.2</v>
      </c>
      <c r="Z226" s="7" t="n">
        <v>1748</v>
      </c>
      <c r="AB226" s="7" t="n">
        <v>24796.6</v>
      </c>
    </row>
    <row r="227">
      <c r="A227" s="4" t="inlineStr">
        <is>
          <t>设计费</t>
        </is>
      </c>
      <c r="D227" s="7" t="n">
        <v>499</v>
      </c>
      <c r="F227" s="7" t="n">
        <v>826.9</v>
      </c>
      <c r="H227" s="7" t="n">
        <v>900.3</v>
      </c>
      <c r="J227" s="7" t="n">
        <v>600.4</v>
      </c>
      <c r="L227" s="7" t="n">
        <v>1127.7</v>
      </c>
      <c r="N227" s="7" t="n">
        <v>1219.1</v>
      </c>
      <c r="P227" s="7" t="n">
        <v>888.3</v>
      </c>
      <c r="R227" s="7" t="n">
        <v>741.2</v>
      </c>
      <c r="T227" s="7" t="n">
        <v>918.1</v>
      </c>
      <c r="V227" s="7" t="n">
        <v>846.1</v>
      </c>
      <c r="X227" s="7" t="n">
        <v>444.1</v>
      </c>
      <c r="Z227" s="7" t="n">
        <v>636.1</v>
      </c>
      <c r="AB227" s="7" t="n">
        <v>9647.299999999999</v>
      </c>
    </row>
    <row r="228">
      <c r="A228" s="4" t="inlineStr">
        <is>
          <t>折旧费</t>
        </is>
      </c>
      <c r="D228" s="7" t="n">
        <v>13574.8</v>
      </c>
      <c r="F228" s="7" t="n">
        <v>21306.5</v>
      </c>
      <c r="H228" s="7" t="n">
        <v>20373.9</v>
      </c>
      <c r="J228" s="7" t="n">
        <v>28619.2</v>
      </c>
      <c r="L228" s="7" t="n">
        <v>27686.9</v>
      </c>
      <c r="N228" s="7" t="n">
        <v>47466.1</v>
      </c>
      <c r="P228" s="7" t="n">
        <v>31163.6</v>
      </c>
      <c r="R228" s="7" t="n">
        <v>14599</v>
      </c>
      <c r="T228" s="7" t="n">
        <v>23306.6</v>
      </c>
      <c r="V228" s="7" t="n">
        <v>36836.8</v>
      </c>
      <c r="X228" s="7" t="n">
        <v>7711.9</v>
      </c>
      <c r="Z228" s="7" t="n">
        <v>14064.4</v>
      </c>
      <c r="AB228" s="7" t="n">
        <v>286709.7</v>
      </c>
    </row>
    <row r="229">
      <c r="A229" s="4" t="inlineStr">
        <is>
          <t>认证费</t>
        </is>
      </c>
      <c r="D229" s="7" t="n">
        <v>652.5</v>
      </c>
      <c r="F229" s="7" t="n">
        <v>559.7</v>
      </c>
      <c r="H229" s="7" t="n">
        <v>739.7</v>
      </c>
      <c r="J229" s="7" t="n">
        <v>1156.6</v>
      </c>
      <c r="L229" s="7" t="n">
        <v>1128.9</v>
      </c>
      <c r="N229" s="7" t="n">
        <v>1712.3</v>
      </c>
      <c r="P229" s="7" t="n">
        <v>1363.6</v>
      </c>
      <c r="R229" s="7" t="n">
        <v>844.5</v>
      </c>
      <c r="T229" s="7" t="n">
        <v>856.7</v>
      </c>
      <c r="V229" s="7" t="n">
        <v>893.8</v>
      </c>
      <c r="X229" s="7" t="n">
        <v>379</v>
      </c>
      <c r="Z229" s="7" t="n">
        <v>751.4</v>
      </c>
      <c r="AB229" s="7" t="n">
        <v>11038.7</v>
      </c>
    </row>
    <row r="230">
      <c r="A230" s="4" t="inlineStr">
        <is>
          <t>样品费</t>
        </is>
      </c>
      <c r="D230" s="7" t="n">
        <v>7407.1</v>
      </c>
      <c r="F230" s="7" t="n">
        <v>11123.9</v>
      </c>
      <c r="H230" s="7" t="n">
        <v>14642.2</v>
      </c>
      <c r="J230" s="7" t="n">
        <v>13779.2</v>
      </c>
      <c r="L230" s="7" t="n">
        <v>12404.3</v>
      </c>
      <c r="N230" s="7" t="n">
        <v>24584.1</v>
      </c>
      <c r="P230" s="7" t="n">
        <v>19482.8</v>
      </c>
      <c r="R230" s="7" t="n">
        <v>7730.1</v>
      </c>
      <c r="T230" s="7" t="n">
        <v>8508.299999999999</v>
      </c>
      <c r="V230" s="7" t="n">
        <v>15744.4</v>
      </c>
      <c r="X230" s="7" t="n">
        <v>3427.4</v>
      </c>
      <c r="Z230" s="7" t="n">
        <v>10095.3</v>
      </c>
      <c r="AB230" s="7" t="n">
        <v>148929.1</v>
      </c>
    </row>
    <row r="231">
      <c r="A231" s="4" t="inlineStr">
        <is>
          <t>劳务费</t>
        </is>
      </c>
      <c r="D231" s="7" t="n">
        <v>1195.5</v>
      </c>
      <c r="F231" s="7" t="n">
        <v>1353.1</v>
      </c>
      <c r="H231" s="7" t="n">
        <v>1736.3</v>
      </c>
      <c r="J231" s="7" t="n">
        <v>1967.3</v>
      </c>
      <c r="L231" s="7" t="n">
        <v>1574.4</v>
      </c>
      <c r="N231" s="7" t="n">
        <v>3841.3</v>
      </c>
      <c r="P231" s="7" t="n">
        <v>2735.9</v>
      </c>
      <c r="R231" s="7" t="n">
        <v>1362.9</v>
      </c>
      <c r="T231" s="7" t="n">
        <v>1783.1</v>
      </c>
      <c r="V231" s="7" t="n">
        <v>1669.1</v>
      </c>
      <c r="X231" s="7" t="n">
        <v>606.5</v>
      </c>
      <c r="Z231" s="7" t="n">
        <v>1407.4</v>
      </c>
      <c r="AB231" s="7" t="n">
        <v>21232.8</v>
      </c>
    </row>
    <row r="232">
      <c r="A232" s="4" t="inlineStr">
        <is>
          <t>销售佣金</t>
        </is>
      </c>
      <c r="D232" s="7" t="n">
        <v>847.7</v>
      </c>
      <c r="F232" s="7" t="n">
        <v>786.7</v>
      </c>
      <c r="H232" s="7" t="n">
        <v>1298.5</v>
      </c>
      <c r="J232" s="7" t="n">
        <v>1014</v>
      </c>
      <c r="L232" s="7" t="n">
        <v>1308</v>
      </c>
      <c r="N232" s="7" t="n">
        <v>2170.3</v>
      </c>
      <c r="P232" s="7" t="n">
        <v>1529.8</v>
      </c>
      <c r="R232" s="7" t="n">
        <v>949.4</v>
      </c>
      <c r="T232" s="7" t="n">
        <v>900.3</v>
      </c>
      <c r="V232" s="7" t="n">
        <v>1799.5</v>
      </c>
      <c r="X232" s="7" t="n">
        <v>461</v>
      </c>
      <c r="Z232" s="7" t="n">
        <v>1107.3</v>
      </c>
      <c r="AB232" s="7" t="n">
        <v>14172.5</v>
      </c>
    </row>
    <row r="233">
      <c r="A233" s="4" t="inlineStr">
        <is>
          <t>检测费</t>
        </is>
      </c>
      <c r="D233" s="7" t="n">
        <v>551.2</v>
      </c>
      <c r="F233" s="7" t="n">
        <v>615</v>
      </c>
      <c r="H233" s="7" t="n">
        <v>1133.5</v>
      </c>
      <c r="J233" s="7" t="n">
        <v>866</v>
      </c>
      <c r="L233" s="7" t="n">
        <v>869</v>
      </c>
      <c r="N233" s="7" t="n">
        <v>1505.3</v>
      </c>
      <c r="P233" s="7" t="n">
        <v>1202.8</v>
      </c>
      <c r="R233" s="7" t="n">
        <v>783.1</v>
      </c>
      <c r="T233" s="7" t="n">
        <v>869.2</v>
      </c>
      <c r="V233" s="7" t="n">
        <v>1086.8</v>
      </c>
      <c r="X233" s="7" t="n">
        <v>547.2</v>
      </c>
      <c r="Z233" s="7" t="n">
        <v>619.7</v>
      </c>
      <c r="AB233" s="7" t="n">
        <v>10648.8</v>
      </c>
    </row>
    <row r="234">
      <c r="A234" s="4" t="inlineStr">
        <is>
          <t>质量赔偿</t>
        </is>
      </c>
      <c r="D234" s="7" t="n">
        <v>1584.2</v>
      </c>
      <c r="F234" s="7" t="n">
        <v>2275.1</v>
      </c>
      <c r="H234" s="7" t="n">
        <v>4052.5</v>
      </c>
      <c r="J234" s="7" t="n">
        <v>3605.2</v>
      </c>
      <c r="L234" s="7" t="n">
        <v>3328.4</v>
      </c>
      <c r="N234" s="7" t="n">
        <v>5697.5</v>
      </c>
      <c r="P234" s="7" t="n">
        <v>4823.5</v>
      </c>
      <c r="R234" s="7" t="n">
        <v>2069.8</v>
      </c>
      <c r="T234" s="7" t="n">
        <v>2797.8</v>
      </c>
      <c r="V234" s="7" t="n">
        <v>4137.9</v>
      </c>
      <c r="X234" s="7" t="n">
        <v>1160.7</v>
      </c>
      <c r="Z234" s="7" t="n">
        <v>2519.2</v>
      </c>
      <c r="AB234" s="7" t="n">
        <v>38051.8</v>
      </c>
    </row>
    <row r="235">
      <c r="A235" s="4" t="inlineStr">
        <is>
          <t>保险费</t>
        </is>
      </c>
      <c r="D235" s="7" t="n">
        <v>174.1</v>
      </c>
      <c r="F235" s="7" t="n">
        <v>167.2</v>
      </c>
      <c r="H235" s="7" t="n">
        <v>250.9</v>
      </c>
      <c r="J235" s="7" t="n">
        <v>215.4</v>
      </c>
      <c r="L235" s="7" t="n">
        <v>221.2</v>
      </c>
      <c r="N235" s="7" t="n">
        <v>343.7</v>
      </c>
      <c r="P235" s="7" t="n">
        <v>318</v>
      </c>
      <c r="R235" s="7" t="n">
        <v>220.7</v>
      </c>
      <c r="T235" s="7" t="n">
        <v>171.8</v>
      </c>
      <c r="V235" s="7" t="n">
        <v>210.9</v>
      </c>
      <c r="X235" s="7" t="n">
        <v>71.2</v>
      </c>
      <c r="Z235" s="7" t="n">
        <v>205.6</v>
      </c>
      <c r="AB235" s="7" t="n">
        <v>2570.7</v>
      </c>
    </row>
    <row r="236">
      <c r="A236" s="4" t="inlineStr">
        <is>
          <t>清洁费</t>
        </is>
      </c>
      <c r="D236" s="7" t="n">
        <v>1925.4</v>
      </c>
      <c r="F236" s="7" t="n">
        <v>2844.3</v>
      </c>
      <c r="H236" s="7" t="n">
        <v>4068.3</v>
      </c>
      <c r="J236" s="7" t="n">
        <v>2867.1</v>
      </c>
      <c r="L236" s="7" t="n">
        <v>4601.1</v>
      </c>
      <c r="N236" s="7" t="n">
        <v>5492</v>
      </c>
      <c r="P236" s="7" t="n">
        <v>5434.9</v>
      </c>
      <c r="R236" s="7" t="n">
        <v>2790.6</v>
      </c>
      <c r="T236" s="7" t="n">
        <v>3682</v>
      </c>
      <c r="V236" s="7" t="n">
        <v>5864.3</v>
      </c>
      <c r="X236" s="7" t="n">
        <v>1372.1</v>
      </c>
      <c r="Z236" s="7" t="n">
        <v>2356.4</v>
      </c>
      <c r="AB236" s="7" t="n">
        <v>43298.5</v>
      </c>
    </row>
    <row r="237">
      <c r="A237" s="4" t="inlineStr">
        <is>
          <t>低值易耗品</t>
        </is>
      </c>
      <c r="D237" s="7" t="n">
        <v>1212.8</v>
      </c>
      <c r="F237" s="7" t="n">
        <v>1428.4</v>
      </c>
      <c r="H237" s="7" t="n">
        <v>2901.5</v>
      </c>
      <c r="J237" s="7" t="n">
        <v>2108.9</v>
      </c>
      <c r="L237" s="7" t="n">
        <v>2786.9</v>
      </c>
      <c r="N237" s="7" t="n">
        <v>4114.8</v>
      </c>
      <c r="P237" s="7" t="n">
        <v>3905.2</v>
      </c>
      <c r="R237" s="7" t="n">
        <v>1369.9</v>
      </c>
      <c r="T237" s="7" t="n">
        <v>1686</v>
      </c>
      <c r="V237" s="7" t="n">
        <v>2609.2</v>
      </c>
      <c r="X237" s="7" t="n">
        <v>862.7</v>
      </c>
      <c r="Z237" s="7" t="n">
        <v>1550.7</v>
      </c>
      <c r="AB237" s="7" t="n">
        <v>26537</v>
      </c>
    </row>
    <row r="238">
      <c r="A238" s="4" t="inlineStr">
        <is>
          <t>物料消耗</t>
        </is>
      </c>
      <c r="D238" s="7" t="n">
        <v>709.2</v>
      </c>
      <c r="F238" s="7" t="n">
        <v>651.8</v>
      </c>
      <c r="H238" s="7" t="n">
        <v>1002.8</v>
      </c>
      <c r="J238" s="7" t="n">
        <v>1204.8</v>
      </c>
      <c r="L238" s="7" t="n">
        <v>1004</v>
      </c>
      <c r="N238" s="7" t="n">
        <v>1757.6</v>
      </c>
      <c r="P238" s="7" t="n">
        <v>1749.2</v>
      </c>
      <c r="R238" s="7" t="n">
        <v>740.5</v>
      </c>
      <c r="T238" s="7" t="n">
        <v>725.6</v>
      </c>
      <c r="V238" s="7" t="n">
        <v>942.3</v>
      </c>
      <c r="X238" s="7" t="n">
        <v>466.4</v>
      </c>
      <c r="Z238" s="7" t="n">
        <v>823.5</v>
      </c>
      <c r="AB238" s="7" t="n">
        <v>11777.7</v>
      </c>
    </row>
    <row r="239">
      <c r="A239" s="4" t="inlineStr">
        <is>
          <t>盘盈盘亏</t>
        </is>
      </c>
      <c r="D239" s="7" t="n">
        <v>2570.7</v>
      </c>
      <c r="F239" s="7" t="n">
        <v>1987.1</v>
      </c>
      <c r="H239" s="7" t="n">
        <v>2917.5</v>
      </c>
      <c r="J239" s="7" t="n">
        <v>2650.3</v>
      </c>
      <c r="L239" s="7" t="n">
        <v>2839.4</v>
      </c>
      <c r="N239" s="7" t="n">
        <v>7207.8</v>
      </c>
      <c r="P239" s="7" t="n">
        <v>4947.1</v>
      </c>
      <c r="R239" s="7" t="n">
        <v>1965.3</v>
      </c>
      <c r="T239" s="7" t="n">
        <v>2953.9</v>
      </c>
      <c r="V239" s="7" t="n">
        <v>5379.1</v>
      </c>
      <c r="X239" s="7" t="n">
        <v>1082</v>
      </c>
      <c r="Z239" s="7" t="n">
        <v>2262.8</v>
      </c>
      <c r="AB239" s="7" t="n">
        <v>38763</v>
      </c>
    </row>
    <row r="240">
      <c r="A240" s="4" t="inlineStr">
        <is>
          <t>平台服务费</t>
        </is>
      </c>
      <c r="D240" s="7" t="n">
        <v>414</v>
      </c>
      <c r="F240" s="7" t="n">
        <v>540</v>
      </c>
      <c r="H240" s="7" t="n">
        <v>533.2</v>
      </c>
      <c r="J240" s="7" t="n">
        <v>487.3</v>
      </c>
      <c r="L240" s="7" t="n">
        <v>552.8</v>
      </c>
      <c r="N240" s="7" t="n">
        <v>1043.3</v>
      </c>
      <c r="P240" s="7" t="n">
        <v>618.1</v>
      </c>
      <c r="R240" s="7" t="n">
        <v>545.4</v>
      </c>
      <c r="T240" s="7" t="n">
        <v>372.8</v>
      </c>
      <c r="V240" s="7" t="n">
        <v>841.5</v>
      </c>
      <c r="X240" s="7" t="n">
        <v>289.7</v>
      </c>
      <c r="Z240" s="7" t="n">
        <v>390</v>
      </c>
      <c r="AB240" s="7" t="n">
        <v>6628.1</v>
      </c>
    </row>
    <row r="241">
      <c r="A241" s="4" t="inlineStr">
        <is>
          <t>无形资产摊销</t>
        </is>
      </c>
      <c r="D241" s="7" t="n">
        <v>1492.8</v>
      </c>
      <c r="F241" s="7" t="n">
        <v>1377.7</v>
      </c>
      <c r="H241" s="7" t="n">
        <v>1594</v>
      </c>
      <c r="J241" s="7" t="n">
        <v>1703.1</v>
      </c>
      <c r="L241" s="7" t="n">
        <v>2495.8</v>
      </c>
      <c r="N241" s="7" t="n">
        <v>3326.3</v>
      </c>
      <c r="P241" s="7" t="n">
        <v>1962.4</v>
      </c>
      <c r="R241" s="7" t="n">
        <v>1471.5</v>
      </c>
      <c r="T241" s="7" t="n">
        <v>1719.4</v>
      </c>
      <c r="V241" s="7" t="n">
        <v>2541.4</v>
      </c>
      <c r="X241" s="7" t="n">
        <v>758.5</v>
      </c>
      <c r="Z241" s="7" t="n">
        <v>1354.9</v>
      </c>
      <c r="AB241" s="7" t="n">
        <v>21797.8</v>
      </c>
    </row>
    <row r="242">
      <c r="A242" s="4" t="inlineStr">
        <is>
          <t>研发材料</t>
        </is>
      </c>
      <c r="D242" s="7" t="n">
        <v>1382.1</v>
      </c>
      <c r="F242" s="7" t="n">
        <v>1640.8</v>
      </c>
      <c r="H242" s="7" t="n">
        <v>2538.6</v>
      </c>
      <c r="J242" s="7" t="n">
        <v>2798.3</v>
      </c>
      <c r="L242" s="7" t="n">
        <v>2524.1</v>
      </c>
      <c r="N242" s="7" t="n">
        <v>3672.4</v>
      </c>
      <c r="P242" s="7" t="n">
        <v>2798</v>
      </c>
      <c r="R242" s="7" t="n">
        <v>1647</v>
      </c>
      <c r="T242" s="7" t="n">
        <v>1498.8</v>
      </c>
      <c r="V242" s="7" t="n">
        <v>3753.4</v>
      </c>
      <c r="X242" s="7" t="n">
        <v>1186</v>
      </c>
      <c r="Z242" s="7" t="n">
        <v>1626.5</v>
      </c>
      <c r="AB242" s="7" t="n">
        <v>27066</v>
      </c>
    </row>
    <row r="243">
      <c r="A243" s="4" t="inlineStr">
        <is>
          <t>项目名称</t>
        </is>
      </c>
      <c r="D243" s="7" t="n">
        <v>807</v>
      </c>
      <c r="F243" s="7" t="n">
        <v>1660.9</v>
      </c>
      <c r="H243" s="7" t="n">
        <v>2307</v>
      </c>
      <c r="J243" s="7" t="n">
        <v>1711.8</v>
      </c>
      <c r="L243" s="7" t="n">
        <v>1353.7</v>
      </c>
      <c r="N243" s="7" t="n">
        <v>2808</v>
      </c>
      <c r="P243" s="7" t="n">
        <v>2100.5</v>
      </c>
      <c r="R243" s="7" t="n">
        <v>1148.9</v>
      </c>
      <c r="T243" s="7" t="n">
        <v>1106.4</v>
      </c>
      <c r="V243" s="7" t="n">
        <v>2140</v>
      </c>
      <c r="X243" s="7" t="n">
        <v>681.7</v>
      </c>
      <c r="Z243" s="7" t="n">
        <v>1364.4</v>
      </c>
      <c r="AB243" s="7" t="n">
        <v>19190.3</v>
      </c>
    </row>
    <row r="244">
      <c r="A244" s="4" t="inlineStr">
        <is>
          <t>研发费</t>
        </is>
      </c>
      <c r="D244" s="7" t="n">
        <v>768.5</v>
      </c>
      <c r="F244" s="7" t="n">
        <v>1273.6</v>
      </c>
      <c r="H244" s="7" t="n">
        <v>1429.3</v>
      </c>
      <c r="J244" s="7" t="n">
        <v>1353.7</v>
      </c>
      <c r="L244" s="7" t="n">
        <v>1384.8</v>
      </c>
      <c r="N244" s="7" t="n">
        <v>2350.3</v>
      </c>
      <c r="P244" s="7" t="n">
        <v>1702.6</v>
      </c>
      <c r="R244" s="7" t="n">
        <v>1335.3</v>
      </c>
      <c r="T244" s="7" t="n">
        <v>1646.6</v>
      </c>
      <c r="V244" s="7" t="n">
        <v>2307.7</v>
      </c>
      <c r="X244" s="7" t="n">
        <v>672.7</v>
      </c>
      <c r="Z244" s="7" t="n">
        <v>964.6</v>
      </c>
      <c r="AB244" s="7" t="n">
        <v>17189.7</v>
      </c>
    </row>
    <row r="245">
      <c r="A245" s="4" t="inlineStr">
        <is>
          <t>残保金</t>
        </is>
      </c>
      <c r="D245" s="7" t="n">
        <v>2148.4</v>
      </c>
      <c r="F245" s="7" t="n">
        <v>1988.8</v>
      </c>
      <c r="H245" s="7" t="n">
        <v>3491.4</v>
      </c>
      <c r="J245" s="7" t="n">
        <v>2224.6</v>
      </c>
      <c r="L245" s="7" t="n">
        <v>2654.7</v>
      </c>
      <c r="N245" s="7" t="n">
        <v>5020.9</v>
      </c>
      <c r="P245" s="7" t="n">
        <v>4066</v>
      </c>
      <c r="R245" s="7" t="n">
        <v>1872.3</v>
      </c>
      <c r="T245" s="7" t="n">
        <v>2670.4</v>
      </c>
      <c r="V245" s="7" t="n">
        <v>2979.6</v>
      </c>
      <c r="X245" s="7" t="n">
        <v>811.1</v>
      </c>
      <c r="Z245" s="7" t="n">
        <v>1521.4</v>
      </c>
      <c r="AB245" s="7" t="n">
        <v>31449.6</v>
      </c>
    </row>
    <row r="246">
      <c r="A246" s="4" t="inlineStr">
        <is>
          <t>环保费</t>
        </is>
      </c>
      <c r="D246" s="7" t="n">
        <v>1059.3</v>
      </c>
      <c r="F246" s="7" t="n">
        <v>1150.5</v>
      </c>
      <c r="H246" s="7" t="n">
        <v>1786.9</v>
      </c>
      <c r="J246" s="7" t="n">
        <v>2234.5</v>
      </c>
      <c r="L246" s="7" t="n">
        <v>2485.9</v>
      </c>
      <c r="N246" s="7" t="n">
        <v>2805.4</v>
      </c>
      <c r="P246" s="7" t="n">
        <v>2161.5</v>
      </c>
      <c r="R246" s="7" t="n">
        <v>1555.8</v>
      </c>
      <c r="T246" s="7" t="n">
        <v>1621.1</v>
      </c>
      <c r="V246" s="7" t="n">
        <v>2341.7</v>
      </c>
      <c r="X246" s="7" t="n">
        <v>968.2</v>
      </c>
      <c r="Z246" s="7" t="n">
        <v>1949.7</v>
      </c>
      <c r="AB246" s="7" t="n">
        <v>22120.5</v>
      </c>
    </row>
    <row r="247">
      <c r="A247" s="4" t="inlineStr">
        <is>
          <t>报废损失</t>
        </is>
      </c>
      <c r="D247" s="7" t="n">
        <v>1329.1</v>
      </c>
      <c r="F247" s="7" t="n">
        <v>1176.3</v>
      </c>
      <c r="H247" s="7" t="n">
        <v>2168.4</v>
      </c>
      <c r="J247" s="7" t="n">
        <v>2180.1</v>
      </c>
      <c r="L247" s="7" t="n">
        <v>1391.1</v>
      </c>
      <c r="N247" s="7" t="n">
        <v>3374.8</v>
      </c>
      <c r="P247" s="7" t="n">
        <v>1760.7</v>
      </c>
      <c r="R247" s="7" t="n">
        <v>1329.4</v>
      </c>
      <c r="T247" s="7" t="n">
        <v>1265.6</v>
      </c>
      <c r="V247" s="7" t="n">
        <v>2757.3</v>
      </c>
      <c r="X247" s="7" t="n">
        <v>846.8</v>
      </c>
      <c r="Z247" s="7" t="n">
        <v>1557.4</v>
      </c>
      <c r="AB247" s="7" t="n">
        <v>21137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8638.200000000001</v>
      </c>
      <c r="D248" s="7" t="n">
        <v>-1951</v>
      </c>
      <c r="E248" s="7" t="n">
        <v>7730.5</v>
      </c>
      <c r="F248" s="7" t="n">
        <v>14203.6</v>
      </c>
      <c r="G248" s="7" t="n">
        <v>7757.4</v>
      </c>
      <c r="H248" s="7" t="n">
        <v>1224.1</v>
      </c>
      <c r="I248" s="7" t="n">
        <v>8509.700000000001</v>
      </c>
      <c r="J248" s="7" t="n">
        <v>14280.6</v>
      </c>
      <c r="K248" s="7" t="n">
        <v>7067.1</v>
      </c>
      <c r="L248" s="7" t="n">
        <v>6074</v>
      </c>
      <c r="M248" s="7" t="n">
        <v>9267.299999999999</v>
      </c>
      <c r="N248" s="7" t="n">
        <v>13440.5</v>
      </c>
      <c r="O248" s="7" t="n">
        <v>8243.700000000001</v>
      </c>
      <c r="P248" s="7" t="n">
        <v>-4162.2</v>
      </c>
      <c r="Q248" s="7" t="n">
        <v>7586</v>
      </c>
      <c r="R248" s="7" t="n">
        <v>6520.9</v>
      </c>
      <c r="S248" s="7" t="n">
        <v>8532.700000000001</v>
      </c>
      <c r="T248" s="7" t="n">
        <v>14274.9</v>
      </c>
      <c r="U248" s="7" t="n">
        <v>7451.8</v>
      </c>
      <c r="V248" s="7" t="n">
        <v>8028.5</v>
      </c>
      <c r="W248" s="7" t="n">
        <v>9144.700000000001</v>
      </c>
      <c r="X248" s="7" t="n">
        <v>19552.9</v>
      </c>
      <c r="Y248" s="7" t="n">
        <v>9086</v>
      </c>
      <c r="Z248" s="7" t="n">
        <v>6820.6</v>
      </c>
      <c r="AA248" s="8" t="n">
        <v>99015.10000000001</v>
      </c>
      <c r="AB248" s="8" t="n">
        <v>98307.39999999999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-2822.1</v>
      </c>
      <c r="E250" s="7" t="n">
        <v>0</v>
      </c>
      <c r="F250" s="7" t="n">
        <v>-3870.7</v>
      </c>
      <c r="G250" s="7" t="n">
        <v>0</v>
      </c>
      <c r="H250" s="7" t="n">
        <v>1329.1</v>
      </c>
      <c r="I250" s="7" t="n">
        <v>0</v>
      </c>
      <c r="J250" s="7" t="n">
        <v>-1754.9</v>
      </c>
      <c r="K250" s="7" t="n">
        <v>0</v>
      </c>
      <c r="L250" s="7" t="n">
        <v>-3326.4</v>
      </c>
      <c r="M250" s="7" t="n">
        <v>0</v>
      </c>
      <c r="N250" s="7" t="n">
        <v>-2239</v>
      </c>
      <c r="O250" s="7" t="n">
        <v>0</v>
      </c>
      <c r="P250" s="7" t="n">
        <v>-3803.5</v>
      </c>
      <c r="Q250" s="7" t="n">
        <v>0</v>
      </c>
      <c r="R250" s="7" t="n">
        <v>2891.4</v>
      </c>
      <c r="S250" s="7" t="n">
        <v>0</v>
      </c>
      <c r="T250" s="7" t="n">
        <v>-4910.7</v>
      </c>
      <c r="U250" s="7" t="n">
        <v>0</v>
      </c>
      <c r="V250" s="7" t="n">
        <v>-4580.1</v>
      </c>
      <c r="W250" s="7" t="n">
        <v>0</v>
      </c>
      <c r="X250" s="7" t="n">
        <v>2834.8</v>
      </c>
      <c r="Y250" s="7" t="n">
        <v>0</v>
      </c>
      <c r="Z250" s="7" t="n">
        <v>-247.3</v>
      </c>
      <c r="AA250" s="7" t="n">
        <v>0</v>
      </c>
      <c r="AB250" s="7" t="n">
        <v>-20499.4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15994.8</v>
      </c>
      <c r="D255" s="7" t="n">
        <v>17886.4</v>
      </c>
      <c r="E255" s="7" t="n">
        <v>13057.6</v>
      </c>
      <c r="F255" s="7" t="n">
        <v>11142</v>
      </c>
      <c r="G255" s="7" t="n">
        <v>13529.1</v>
      </c>
      <c r="H255" s="7" t="n">
        <v>2684.4</v>
      </c>
      <c r="I255" s="7" t="n">
        <v>16834.1</v>
      </c>
      <c r="J255" s="7" t="n">
        <v>4731</v>
      </c>
      <c r="K255" s="7" t="n">
        <v>15982</v>
      </c>
      <c r="L255" s="7" t="n">
        <v>2742</v>
      </c>
      <c r="M255" s="7" t="n">
        <v>15841.4</v>
      </c>
      <c r="N255" s="7" t="n">
        <v>18559.3</v>
      </c>
      <c r="O255" s="7" t="n">
        <v>16056.8</v>
      </c>
      <c r="P255" s="7" t="n">
        <v>27925.5</v>
      </c>
      <c r="Q255" s="7" t="n">
        <v>14438.3</v>
      </c>
      <c r="R255" s="7" t="n">
        <v>29909.2</v>
      </c>
      <c r="S255" s="7" t="n">
        <v>13353.9</v>
      </c>
      <c r="T255" s="7" t="n">
        <v>18754</v>
      </c>
      <c r="U255" s="7" t="n">
        <v>15543.8</v>
      </c>
      <c r="V255" s="7" t="n">
        <v>1793.3</v>
      </c>
      <c r="W255" s="7" t="n">
        <v>14082.8</v>
      </c>
      <c r="X255" s="7" t="n">
        <v>19337.2</v>
      </c>
      <c r="Y255" s="7" t="n">
        <v>13096.9</v>
      </c>
      <c r="Z255" s="7" t="n">
        <v>21039.8</v>
      </c>
      <c r="AA255" s="7" t="n">
        <v>177811.5</v>
      </c>
      <c r="AB255" s="7" t="n">
        <v>176504.1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2109748.5</v>
      </c>
      <c r="D256" s="7" t="n">
        <v>1652330.4</v>
      </c>
      <c r="E256" s="7" t="n">
        <v>1807319.3</v>
      </c>
      <c r="F256" s="7" t="n">
        <v>1468544.1</v>
      </c>
      <c r="G256" s="7" t="n">
        <v>1860967.5</v>
      </c>
      <c r="H256" s="7" t="n">
        <v>1875071.1</v>
      </c>
      <c r="I256" s="7" t="n">
        <v>1948554</v>
      </c>
      <c r="J256" s="7" t="n">
        <v>1866420.5</v>
      </c>
      <c r="K256" s="7" t="n">
        <v>1928425</v>
      </c>
      <c r="L256" s="7" t="n">
        <v>2861675.3</v>
      </c>
      <c r="M256" s="7" t="n">
        <v>1993042.5</v>
      </c>
      <c r="N256" s="7" t="n">
        <v>1874708.5</v>
      </c>
      <c r="O256" s="7" t="n">
        <v>1764875.4</v>
      </c>
      <c r="P256" s="7" t="n">
        <v>2027500.6</v>
      </c>
      <c r="Q256" s="7" t="n">
        <v>2161750.8</v>
      </c>
      <c r="R256" s="7" t="n">
        <v>2030510.8</v>
      </c>
      <c r="S256" s="7" t="n">
        <v>2000472.3</v>
      </c>
      <c r="T256" s="7" t="n">
        <v>2629229</v>
      </c>
      <c r="U256" s="7" t="n">
        <v>1879966.6</v>
      </c>
      <c r="V256" s="7" t="n">
        <v>2138845.2</v>
      </c>
      <c r="W256" s="7" t="n">
        <v>1776084.7</v>
      </c>
      <c r="X256" s="7" t="n">
        <v>2468001.4</v>
      </c>
      <c r="Y256" s="7" t="n">
        <v>2298008.1</v>
      </c>
      <c r="Z256" s="7" t="n">
        <v>2016722.6</v>
      </c>
      <c r="AA256" s="8" t="n">
        <v>23529214.7</v>
      </c>
      <c r="AB256" s="8" t="n">
        <v>24909559.5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3880.1</v>
      </c>
      <c r="E257" s="7" t="n">
        <v>0</v>
      </c>
      <c r="F257" s="7" t="n">
        <v>1193.9</v>
      </c>
      <c r="G257" s="7" t="n">
        <v>0</v>
      </c>
      <c r="H257" s="7" t="n">
        <v>3605</v>
      </c>
      <c r="I257" s="7" t="n">
        <v>0</v>
      </c>
      <c r="J257" s="7" t="n">
        <v>3291.4</v>
      </c>
      <c r="K257" s="7" t="n">
        <v>0</v>
      </c>
      <c r="L257" s="7" t="n">
        <v>2694.8</v>
      </c>
      <c r="M257" s="7" t="n">
        <v>0</v>
      </c>
      <c r="N257" s="7" t="n">
        <v>1937.5</v>
      </c>
      <c r="O257" s="7" t="n">
        <v>0</v>
      </c>
      <c r="P257" s="7" t="n">
        <v>2620.3</v>
      </c>
      <c r="Q257" s="7" t="n">
        <v>0</v>
      </c>
      <c r="R257" s="7" t="n">
        <v>2487.7</v>
      </c>
      <c r="S257" s="7" t="n">
        <v>0</v>
      </c>
      <c r="T257" s="7" t="n">
        <v>2757.3</v>
      </c>
      <c r="U257" s="7" t="n">
        <v>0</v>
      </c>
      <c r="V257" s="7" t="n">
        <v>3065.2</v>
      </c>
      <c r="W257" s="7" t="n">
        <v>0</v>
      </c>
      <c r="X257" s="7" t="n">
        <v>1613</v>
      </c>
      <c r="Y257" s="7" t="n">
        <v>0</v>
      </c>
      <c r="Z257" s="7" t="n">
        <v>3204.5</v>
      </c>
      <c r="AA257" s="7" t="n">
        <v>0</v>
      </c>
      <c r="AB257" s="7" t="n">
        <v>32350.7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331.4</v>
      </c>
      <c r="E258" s="7" t="n">
        <v>0</v>
      </c>
      <c r="F258" s="7" t="n">
        <v>1569.6</v>
      </c>
      <c r="G258" s="7" t="n">
        <v>0</v>
      </c>
      <c r="H258" s="7" t="n">
        <v>200</v>
      </c>
      <c r="I258" s="7" t="n">
        <v>0</v>
      </c>
      <c r="J258" s="7" t="n">
        <v>2505.6</v>
      </c>
      <c r="K258" s="7" t="n">
        <v>0</v>
      </c>
      <c r="L258" s="7" t="n">
        <v>389.3</v>
      </c>
      <c r="M258" s="7" t="n">
        <v>0</v>
      </c>
      <c r="N258" s="7" t="n">
        <v>2620.5</v>
      </c>
      <c r="O258" s="7" t="n">
        <v>0</v>
      </c>
      <c r="P258" s="7" t="n">
        <v>606.2</v>
      </c>
      <c r="Q258" s="7" t="n">
        <v>0</v>
      </c>
      <c r="R258" s="7" t="n">
        <v>1456.1</v>
      </c>
      <c r="S258" s="7" t="n">
        <v>0</v>
      </c>
      <c r="T258" s="7" t="n">
        <v>296.3</v>
      </c>
      <c r="U258" s="7" t="n">
        <v>0</v>
      </c>
      <c r="V258" s="7" t="n">
        <v>1713</v>
      </c>
      <c r="W258" s="7" t="n">
        <v>0</v>
      </c>
      <c r="X258" s="7" t="n">
        <v>2508.9</v>
      </c>
      <c r="Y258" s="7" t="n">
        <v>0</v>
      </c>
      <c r="Z258" s="7" t="n">
        <v>1973.8</v>
      </c>
      <c r="AA258" s="7" t="n">
        <v>0</v>
      </c>
      <c r="AB258" s="7" t="n">
        <v>16170.7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1799221.4</v>
      </c>
      <c r="D259" s="7" t="n">
        <v>1660863.5</v>
      </c>
      <c r="E259" s="7" t="n">
        <v>2108405.2</v>
      </c>
      <c r="F259" s="7" t="n">
        <v>1527671.8</v>
      </c>
      <c r="G259" s="7" t="n">
        <v>2344790.5</v>
      </c>
      <c r="H259" s="7" t="n">
        <v>1783544.6</v>
      </c>
      <c r="I259" s="7" t="n">
        <v>2020082.3</v>
      </c>
      <c r="J259" s="7" t="n">
        <v>1816532.6</v>
      </c>
      <c r="K259" s="7" t="n">
        <v>1990934.2</v>
      </c>
      <c r="L259" s="7" t="n">
        <v>2922316.3</v>
      </c>
      <c r="M259" s="7" t="n">
        <v>2201917.5</v>
      </c>
      <c r="N259" s="7" t="n">
        <v>1713811.3</v>
      </c>
      <c r="O259" s="7" t="n">
        <v>2273543.1</v>
      </c>
      <c r="P259" s="7" t="n">
        <v>2201951.2</v>
      </c>
      <c r="Q259" s="7" t="n">
        <v>1926741.7</v>
      </c>
      <c r="R259" s="7" t="n">
        <v>1912228.7</v>
      </c>
      <c r="S259" s="7" t="n">
        <v>1786758.2</v>
      </c>
      <c r="T259" s="7" t="n">
        <v>2624709.6</v>
      </c>
      <c r="U259" s="7" t="n">
        <v>1805244.4</v>
      </c>
      <c r="V259" s="7" t="n">
        <v>2305575.6</v>
      </c>
      <c r="W259" s="7" t="n">
        <v>1950421.6</v>
      </c>
      <c r="X259" s="7" t="n">
        <v>2260668</v>
      </c>
      <c r="Y259" s="7" t="n">
        <v>2348744.3</v>
      </c>
      <c r="Z259" s="7" t="n">
        <v>2138137.3</v>
      </c>
      <c r="AA259" s="8" t="n">
        <v>24556804.4</v>
      </c>
      <c r="AB259" s="8" t="n">
        <v>24868010.5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589670.3</v>
      </c>
      <c r="D260" s="7" t="n">
        <v>415215.9</v>
      </c>
      <c r="E260" s="7" t="n">
        <v>455465.8</v>
      </c>
      <c r="F260" s="7" t="n">
        <v>381918</v>
      </c>
      <c r="G260" s="7" t="n">
        <v>553080.9</v>
      </c>
      <c r="H260" s="7" t="n">
        <v>445886.2</v>
      </c>
      <c r="I260" s="7" t="n">
        <v>523004.5</v>
      </c>
      <c r="J260" s="7" t="n">
        <v>454133.2</v>
      </c>
      <c r="K260" s="7" t="n">
        <v>469817.9</v>
      </c>
      <c r="L260" s="7" t="n">
        <v>730579.1</v>
      </c>
      <c r="M260" s="7" t="n">
        <v>522154.5</v>
      </c>
      <c r="N260" s="7" t="n">
        <v>428452.8</v>
      </c>
      <c r="O260" s="7" t="n">
        <v>479035</v>
      </c>
      <c r="P260" s="7" t="n">
        <v>550487.8</v>
      </c>
      <c r="Q260" s="7" t="n">
        <v>537562.2</v>
      </c>
      <c r="R260" s="7" t="n">
        <v>478057.2</v>
      </c>
      <c r="S260" s="7" t="n">
        <v>468176.2</v>
      </c>
      <c r="T260" s="7" t="n">
        <v>656177.4</v>
      </c>
      <c r="U260" s="7" t="n">
        <v>556814.6</v>
      </c>
      <c r="V260" s="7" t="n">
        <v>576393.9</v>
      </c>
      <c r="W260" s="7" t="n">
        <v>504901.1</v>
      </c>
      <c r="X260" s="7" t="n">
        <v>565167</v>
      </c>
      <c r="Y260" s="7" t="n">
        <v>456770.6</v>
      </c>
      <c r="Z260" s="7" t="n">
        <v>534534.3</v>
      </c>
      <c r="AA260" s="7" t="n">
        <v>6116453.6</v>
      </c>
      <c r="AB260" s="7" t="n">
        <v>6217002.8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1570094.3</v>
      </c>
      <c r="D261" s="7" t="n">
        <v>1245647.6</v>
      </c>
      <c r="E261" s="7" t="n">
        <v>1129604.3</v>
      </c>
      <c r="F261" s="7" t="n">
        <v>1145753.8</v>
      </c>
      <c r="G261" s="7" t="n">
        <v>1501582.4</v>
      </c>
      <c r="H261" s="7" t="n">
        <v>1337658.4</v>
      </c>
      <c r="I261" s="7" t="n">
        <v>1120055.5</v>
      </c>
      <c r="J261" s="7" t="n">
        <v>1362399.4</v>
      </c>
      <c r="K261" s="7" t="n">
        <v>1612221.2</v>
      </c>
      <c r="L261" s="7" t="n">
        <v>2191737.2</v>
      </c>
      <c r="M261" s="7" t="n">
        <v>1022447.5</v>
      </c>
      <c r="N261" s="7" t="n">
        <v>1285358.5</v>
      </c>
      <c r="O261" s="7" t="n">
        <v>1248195.6</v>
      </c>
      <c r="P261" s="7" t="n">
        <v>1651463.4</v>
      </c>
      <c r="Q261" s="7" t="n">
        <v>1644207</v>
      </c>
      <c r="R261" s="7" t="n">
        <v>1434171.5</v>
      </c>
      <c r="S261" s="7" t="n">
        <v>1080563.9</v>
      </c>
      <c r="T261" s="7" t="n">
        <v>1968532.2</v>
      </c>
      <c r="U261" s="7" t="n">
        <v>1258821</v>
      </c>
      <c r="V261" s="7" t="n">
        <v>1729181.7</v>
      </c>
      <c r="W261" s="7" t="n">
        <v>1179809.5</v>
      </c>
      <c r="X261" s="7" t="n">
        <v>1695501</v>
      </c>
      <c r="Y261" s="7" t="n">
        <v>928546.4</v>
      </c>
      <c r="Z261" s="7" t="n">
        <v>1603603</v>
      </c>
      <c r="AA261" s="8" t="n">
        <v>15296148.6</v>
      </c>
      <c r="AB261" s="8" t="n">
        <v>18651007.7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238650.2</v>
      </c>
      <c r="E262" s="7" t="n">
        <v>0</v>
      </c>
      <c r="F262" s="7" t="n">
        <v>123041.4</v>
      </c>
      <c r="G262" s="7" t="n">
        <v>0</v>
      </c>
      <c r="H262" s="7" t="n">
        <v>184083.4</v>
      </c>
      <c r="I262" s="7" t="n">
        <v>0</v>
      </c>
      <c r="J262" s="7" t="n">
        <v>271897.7</v>
      </c>
      <c r="K262" s="7" t="n">
        <v>0</v>
      </c>
      <c r="L262" s="7" t="n">
        <v>580475.5</v>
      </c>
      <c r="M262" s="7" t="n">
        <v>0</v>
      </c>
      <c r="N262" s="7" t="n">
        <v>64322.9</v>
      </c>
      <c r="O262" s="7" t="n">
        <v>0</v>
      </c>
      <c r="P262" s="7" t="n">
        <v>89375.5</v>
      </c>
      <c r="Q262" s="7" t="n">
        <v>0</v>
      </c>
      <c r="R262" s="7" t="n">
        <v>172770.6</v>
      </c>
      <c r="S262" s="7" t="n">
        <v>0</v>
      </c>
      <c r="T262" s="7" t="n">
        <v>199321.5</v>
      </c>
      <c r="U262" s="7" t="n">
        <v>0</v>
      </c>
      <c r="V262" s="7" t="n">
        <v>82054.7</v>
      </c>
      <c r="W262" s="7" t="n">
        <v>0</v>
      </c>
      <c r="X262" s="7" t="n">
        <v>507853.5</v>
      </c>
      <c r="Y262" s="7" t="n">
        <v>0</v>
      </c>
      <c r="Z262" s="7" t="n">
        <v>213124.7</v>
      </c>
      <c r="AA262" s="7" t="n">
        <v>0</v>
      </c>
      <c r="AB262" s="7" t="n">
        <v>2726971.6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1570094.3</v>
      </c>
      <c r="D263" s="7" t="n">
        <v>1006997.4</v>
      </c>
      <c r="E263" s="7" t="n">
        <v>1129604.3</v>
      </c>
      <c r="F263" s="7" t="n">
        <v>1022712.4</v>
      </c>
      <c r="G263" s="7" t="n">
        <v>1501582.4</v>
      </c>
      <c r="H263" s="7" t="n">
        <v>1153575</v>
      </c>
      <c r="I263" s="7" t="n">
        <v>1120055.5</v>
      </c>
      <c r="J263" s="7" t="n">
        <v>1090501.7</v>
      </c>
      <c r="K263" s="7" t="n">
        <v>1612221.2</v>
      </c>
      <c r="L263" s="7" t="n">
        <v>1611261.7</v>
      </c>
      <c r="M263" s="7" t="n">
        <v>1022447.5</v>
      </c>
      <c r="N263" s="7" t="n">
        <v>1221035.6</v>
      </c>
      <c r="O263" s="7" t="n">
        <v>1248195.6</v>
      </c>
      <c r="P263" s="7" t="n">
        <v>1562087.9</v>
      </c>
      <c r="Q263" s="7" t="n">
        <v>1644207</v>
      </c>
      <c r="R263" s="7" t="n">
        <v>1261400.9</v>
      </c>
      <c r="S263" s="7" t="n">
        <v>1080563.9</v>
      </c>
      <c r="T263" s="7" t="n">
        <v>1769210.7</v>
      </c>
      <c r="U263" s="7" t="n">
        <v>1258821</v>
      </c>
      <c r="V263" s="7" t="n">
        <v>1647127</v>
      </c>
      <c r="W263" s="7" t="n">
        <v>1179809.5</v>
      </c>
      <c r="X263" s="7" t="n">
        <v>1187647.5</v>
      </c>
      <c r="Y263" s="7" t="n">
        <v>928546.4</v>
      </c>
      <c r="Z263" s="7" t="n">
        <v>1390478.3</v>
      </c>
      <c r="AA263" s="8" t="n">
        <v>15296148.6</v>
      </c>
      <c r="AB263" s="8" t="n">
        <v>15924036.1</v>
      </c>
    </row>
    <row r="264">
      <c r="A264" s="4" t="inlineStr">
        <is>
          <t>净利率</t>
        </is>
      </c>
      <c r="D264" s="13" t="n">
        <v>10.4</v>
      </c>
      <c r="F264" s="13" t="n">
        <v>8.1</v>
      </c>
      <c r="H264" s="13" t="n">
        <v>7.5</v>
      </c>
      <c r="J264" s="13" t="n">
        <v>6.6</v>
      </c>
      <c r="L264" s="13" t="n">
        <v>9.5</v>
      </c>
      <c r="N264" s="13" t="n">
        <v>5.3</v>
      </c>
      <c r="P264" s="13" t="n">
        <v>6.4</v>
      </c>
      <c r="R264" s="13" t="n">
        <v>6.5</v>
      </c>
      <c r="T264" s="13" t="n">
        <v>9.9</v>
      </c>
      <c r="V264" s="13" t="n">
        <v>7.1</v>
      </c>
      <c r="X264" s="13" t="n">
        <v>9.300000000000001</v>
      </c>
      <c r="Z264" s="13" t="n">
        <v>11.2</v>
      </c>
    </row>
    <row r="265">
      <c r="A265" s="4" t="inlineStr">
        <is>
          <t>销售达成率</t>
        </is>
      </c>
      <c r="D265" s="13" t="n">
        <v>55.8</v>
      </c>
      <c r="F265" s="13" t="n">
        <v>72.3</v>
      </c>
      <c r="H265" s="13" t="n">
        <v>88.90000000000001</v>
      </c>
      <c r="J265" s="13" t="n">
        <v>110</v>
      </c>
      <c r="L265" s="13" t="n">
        <v>106.3</v>
      </c>
      <c r="N265" s="13" t="n">
        <v>122.6</v>
      </c>
      <c r="P265" s="13" t="n">
        <v>118.1</v>
      </c>
      <c r="R265" s="13" t="n">
        <v>115.4</v>
      </c>
      <c r="T265" s="13" t="n">
        <v>87.90000000000001</v>
      </c>
      <c r="V265" s="13" t="n">
        <v>106.3</v>
      </c>
      <c r="X265" s="13" t="n">
        <v>92.40000000000001</v>
      </c>
      <c r="Z265" s="13" t="n">
        <v>77</v>
      </c>
    </row>
    <row r="266">
      <c r="A266" s="4" t="inlineStr">
        <is>
          <t>净利达成率</t>
        </is>
      </c>
      <c r="D266" s="13" t="n">
        <v>79.3</v>
      </c>
      <c r="F266" s="13" t="n">
        <v>101.4</v>
      </c>
      <c r="H266" s="13" t="n">
        <v>89.09999999999999</v>
      </c>
      <c r="J266" s="13" t="n">
        <v>121.6</v>
      </c>
      <c r="L266" s="13" t="n">
        <v>135.9</v>
      </c>
      <c r="N266" s="13" t="n">
        <v>125.7</v>
      </c>
      <c r="P266" s="13" t="n">
        <v>132.3</v>
      </c>
      <c r="R266" s="13" t="n">
        <v>87.2</v>
      </c>
      <c r="T266" s="13" t="n">
        <v>182.2</v>
      </c>
      <c r="V266" s="13" t="n">
        <v>137.4</v>
      </c>
      <c r="X266" s="13" t="n">
        <v>143.7</v>
      </c>
      <c r="Z266" s="13" t="n">
        <v>172.7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销售1利润表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21416942.3</v>
      </c>
      <c r="D6" s="7" t="n">
        <v>12314896.7</v>
      </c>
      <c r="E6" s="7" t="n">
        <v>19625504</v>
      </c>
      <c r="F6" s="7" t="n">
        <v>14229631.7</v>
      </c>
      <c r="G6" s="7" t="n">
        <v>20134238.7</v>
      </c>
      <c r="H6" s="7" t="n">
        <v>17787779.6</v>
      </c>
      <c r="I6" s="7" t="n">
        <v>18791635.5</v>
      </c>
      <c r="J6" s="7" t="n">
        <v>20823231.1</v>
      </c>
      <c r="K6" s="7" t="n">
        <v>21776220.4</v>
      </c>
      <c r="L6" s="7" t="n">
        <v>23057732</v>
      </c>
      <c r="M6" s="7" t="n">
        <v>19745613.3</v>
      </c>
      <c r="N6" s="7" t="n">
        <v>24289109.3</v>
      </c>
      <c r="O6" s="7" t="n">
        <v>21934608.3</v>
      </c>
      <c r="P6" s="7" t="n">
        <v>26192157.4</v>
      </c>
      <c r="Q6" s="7" t="n">
        <v>19140663.4</v>
      </c>
      <c r="R6" s="7" t="n">
        <v>22039128.3</v>
      </c>
      <c r="S6" s="7" t="n">
        <v>22604386.1</v>
      </c>
      <c r="T6" s="7" t="n">
        <v>19743059.1</v>
      </c>
      <c r="U6" s="7" t="n">
        <v>22827470.1</v>
      </c>
      <c r="V6" s="7" t="n">
        <v>24398156.2</v>
      </c>
      <c r="W6" s="7" t="n">
        <v>19701751.6</v>
      </c>
      <c r="X6" s="7" t="n">
        <v>18305578.3</v>
      </c>
      <c r="Y6" s="7" t="n">
        <v>18626032.9</v>
      </c>
      <c r="Z6" s="7" t="n">
        <v>14059903.7</v>
      </c>
      <c r="AA6" s="8" t="n">
        <v>246325066.6</v>
      </c>
      <c r="AB6" s="8" t="n">
        <v>237240363.4</v>
      </c>
    </row>
    <row r="7">
      <c r="A7" s="4" t="inlineStr">
        <is>
          <t>中式汤底</t>
        </is>
      </c>
      <c r="D7" s="7" t="n">
        <v>1588109.8</v>
      </c>
      <c r="F7" s="7" t="n">
        <v>1923721.3</v>
      </c>
      <c r="H7" s="7" t="n">
        <v>2535313.3</v>
      </c>
      <c r="J7" s="7" t="n">
        <v>2837886.6</v>
      </c>
      <c r="L7" s="7" t="n">
        <v>3150426.9</v>
      </c>
      <c r="N7" s="7" t="n">
        <v>3125297.7</v>
      </c>
      <c r="P7" s="7" t="n">
        <v>3530602</v>
      </c>
      <c r="R7" s="7" t="n">
        <v>2527428.9</v>
      </c>
      <c r="T7" s="7" t="n">
        <v>2676634.1</v>
      </c>
      <c r="V7" s="7" t="n">
        <v>3348002.6</v>
      </c>
      <c r="X7" s="7" t="n">
        <v>2160037.8</v>
      </c>
      <c r="Z7" s="7" t="n">
        <v>1879032.2</v>
      </c>
      <c r="AB7" s="7" t="n">
        <v>31282493.2</v>
      </c>
    </row>
    <row r="8">
      <c r="A8" s="4" t="inlineStr">
        <is>
          <t>酱料</t>
        </is>
      </c>
      <c r="D8" s="7" t="n">
        <v>1146436.2</v>
      </c>
      <c r="F8" s="7" t="n">
        <v>1656250.8</v>
      </c>
      <c r="H8" s="7" t="n">
        <v>1832044.3</v>
      </c>
      <c r="J8" s="7" t="n">
        <v>2213081.2</v>
      </c>
      <c r="L8" s="7" t="n">
        <v>2536363.9</v>
      </c>
      <c r="N8" s="7" t="n">
        <v>2741898.5</v>
      </c>
      <c r="P8" s="7" t="n">
        <v>2927199.7</v>
      </c>
      <c r="R8" s="7" t="n">
        <v>2577086</v>
      </c>
      <c r="T8" s="7" t="n">
        <v>2011038.9</v>
      </c>
      <c r="V8" s="7" t="n">
        <v>2881422.5</v>
      </c>
      <c r="X8" s="7" t="n">
        <v>2098691.5</v>
      </c>
      <c r="Z8" s="7" t="n">
        <v>1651044.5</v>
      </c>
      <c r="AB8" s="7" t="n">
        <v>26272558</v>
      </c>
    </row>
    <row r="9">
      <c r="A9" s="4" t="inlineStr">
        <is>
          <t>川味底料</t>
        </is>
      </c>
      <c r="D9" s="7" t="n">
        <v>1509463.3</v>
      </c>
      <c r="F9" s="7" t="n">
        <v>2108866.9</v>
      </c>
      <c r="H9" s="7" t="n">
        <v>2301447.9</v>
      </c>
      <c r="J9" s="7" t="n">
        <v>2630034.1</v>
      </c>
      <c r="L9" s="7" t="n">
        <v>3228356.4</v>
      </c>
      <c r="N9" s="7" t="n">
        <v>3264818.8</v>
      </c>
      <c r="P9" s="7" t="n">
        <v>3744468</v>
      </c>
      <c r="R9" s="7" t="n">
        <v>3007454.2</v>
      </c>
      <c r="T9" s="7" t="n">
        <v>2620749.8</v>
      </c>
      <c r="V9" s="7" t="n">
        <v>2960449.7</v>
      </c>
      <c r="X9" s="7" t="n">
        <v>2649018</v>
      </c>
      <c r="Z9" s="7" t="n">
        <v>2029301.4</v>
      </c>
      <c r="AB9" s="7" t="n">
        <v>32054428.5</v>
      </c>
    </row>
    <row r="10">
      <c r="A10" s="4" t="inlineStr">
        <is>
          <t>调味汁</t>
        </is>
      </c>
      <c r="D10" s="7" t="n">
        <v>2292176.5</v>
      </c>
      <c r="F10" s="7" t="n">
        <v>2285330.7</v>
      </c>
      <c r="H10" s="7" t="n">
        <v>3277081.8</v>
      </c>
      <c r="J10" s="7" t="n">
        <v>4016003.1</v>
      </c>
      <c r="L10" s="7" t="n">
        <v>3885642</v>
      </c>
      <c r="N10" s="7" t="n">
        <v>4491373.6</v>
      </c>
      <c r="P10" s="7" t="n">
        <v>4430472.100000001</v>
      </c>
      <c r="R10" s="7" t="n">
        <v>4107541.3</v>
      </c>
      <c r="T10" s="7" t="n">
        <v>3641501.4</v>
      </c>
      <c r="V10" s="7" t="n">
        <v>4276305.5</v>
      </c>
      <c r="X10" s="7" t="n">
        <v>3511128.2</v>
      </c>
      <c r="Z10" s="7" t="n">
        <v>2742348.3</v>
      </c>
      <c r="AB10" s="7" t="n">
        <v>42956904.5</v>
      </c>
    </row>
    <row r="11">
      <c r="A11" s="4" t="inlineStr">
        <is>
          <t>复合调味粉</t>
        </is>
      </c>
      <c r="D11" s="7" t="n">
        <v>1935941.1</v>
      </c>
      <c r="F11" s="7" t="n">
        <v>2046331.7</v>
      </c>
      <c r="H11" s="7" t="n">
        <v>2470374</v>
      </c>
      <c r="J11" s="7" t="n">
        <v>3202265.9</v>
      </c>
      <c r="L11" s="7" t="n">
        <v>3670499.9</v>
      </c>
      <c r="N11" s="7" t="n">
        <v>3569381</v>
      </c>
      <c r="P11" s="7" t="n">
        <v>3824397.4</v>
      </c>
      <c r="R11" s="7" t="n">
        <v>3317474.6</v>
      </c>
      <c r="T11" s="7" t="n">
        <v>2997027.1</v>
      </c>
      <c r="V11" s="7" t="n">
        <v>3756626.3</v>
      </c>
      <c r="X11" s="7" t="n">
        <v>2638582.1</v>
      </c>
      <c r="Z11" s="7" t="n">
        <v>1802541.2</v>
      </c>
      <c r="AB11" s="7" t="n">
        <v>35231442.3</v>
      </c>
    </row>
    <row r="12">
      <c r="A12" s="4" t="inlineStr">
        <is>
          <t>团餐</t>
        </is>
      </c>
      <c r="D12" s="7" t="n">
        <v>2038512.4</v>
      </c>
      <c r="F12" s="7" t="n">
        <v>2498643.1</v>
      </c>
      <c r="H12" s="7" t="n">
        <v>3057157.3</v>
      </c>
      <c r="J12" s="7" t="n">
        <v>3419600.2</v>
      </c>
      <c r="L12" s="7" t="n">
        <v>3973056.399999999</v>
      </c>
      <c r="N12" s="7" t="n">
        <v>4045539.1</v>
      </c>
      <c r="P12" s="7" t="n">
        <v>3772730.1</v>
      </c>
      <c r="R12" s="7" t="n">
        <v>3637397</v>
      </c>
      <c r="T12" s="7" t="n">
        <v>3285047</v>
      </c>
      <c r="V12" s="7" t="n">
        <v>3451397.2</v>
      </c>
      <c r="X12" s="7" t="n">
        <v>2639037.7</v>
      </c>
      <c r="Z12" s="7" t="n">
        <v>2090087.9</v>
      </c>
      <c r="AB12" s="7" t="n">
        <v>37908205.4</v>
      </c>
    </row>
    <row r="13">
      <c r="A13" s="4" t="inlineStr">
        <is>
          <t>预制菜</t>
        </is>
      </c>
      <c r="D13" s="7" t="n">
        <v>1786101.8</v>
      </c>
      <c r="F13" s="7" t="n">
        <v>1871974.6</v>
      </c>
      <c r="H13" s="7" t="n">
        <v>2504862.9</v>
      </c>
      <c r="J13" s="7" t="n">
        <v>2662625.2</v>
      </c>
      <c r="L13" s="7" t="n">
        <v>2834361.5</v>
      </c>
      <c r="N13" s="7" t="n">
        <v>3314930.1</v>
      </c>
      <c r="P13" s="7" t="n">
        <v>3934883.9</v>
      </c>
      <c r="R13" s="7" t="n">
        <v>3146030.3</v>
      </c>
      <c r="T13" s="7" t="n">
        <v>2747135.9</v>
      </c>
      <c r="V13" s="7" t="n">
        <v>3758026.899999999</v>
      </c>
      <c r="X13" s="7" t="n">
        <v>2761206.3</v>
      </c>
      <c r="Z13" s="7" t="n">
        <v>2142354</v>
      </c>
      <c r="AB13" s="7" t="n">
        <v>33464493.4</v>
      </c>
    </row>
    <row r="14">
      <c r="A14" s="4" t="inlineStr">
        <is>
          <t>返利</t>
        </is>
      </c>
      <c r="D14" s="7" t="n">
        <v>-209616.2</v>
      </c>
      <c r="F14" s="7" t="n">
        <v>-234619.9</v>
      </c>
      <c r="H14" s="7" t="n">
        <v>-536278.8</v>
      </c>
      <c r="J14" s="7" t="n">
        <v>-346049.5</v>
      </c>
      <c r="L14" s="7" t="n">
        <v>-405850.1</v>
      </c>
      <c r="N14" s="7" t="n">
        <v>-620796.4</v>
      </c>
      <c r="P14" s="7" t="n">
        <v>-486972.1</v>
      </c>
      <c r="R14" s="7" t="n">
        <v>-547237.4</v>
      </c>
      <c r="T14" s="7" t="n">
        <v>-442902.8</v>
      </c>
      <c r="V14" s="7" t="n">
        <v>-519499.9</v>
      </c>
      <c r="X14" s="7" t="n">
        <v>-263549.4</v>
      </c>
      <c r="Z14" s="7" t="n">
        <v>-362921.8</v>
      </c>
      <c r="AB14" s="7" t="n">
        <v>-4976294.3</v>
      </c>
    </row>
    <row r="15">
      <c r="A15" s="4" t="inlineStr">
        <is>
          <t>其他</t>
        </is>
      </c>
      <c r="D15" s="7" t="n">
        <v>227771.8</v>
      </c>
      <c r="F15" s="7" t="n">
        <v>73132.5</v>
      </c>
      <c r="H15" s="7" t="n">
        <v>345776.9</v>
      </c>
      <c r="J15" s="7" t="n">
        <v>187784.3</v>
      </c>
      <c r="L15" s="7" t="n">
        <v>184875.1</v>
      </c>
      <c r="N15" s="7" t="n">
        <v>356666.9</v>
      </c>
      <c r="P15" s="7" t="n">
        <v>514376.3</v>
      </c>
      <c r="R15" s="7" t="n">
        <v>265953.4</v>
      </c>
      <c r="T15" s="7" t="n">
        <v>206827.7</v>
      </c>
      <c r="V15" s="7" t="n">
        <v>485425.4</v>
      </c>
      <c r="X15" s="7" t="n">
        <v>111426.1</v>
      </c>
      <c r="Z15" s="7" t="n">
        <v>86116</v>
      </c>
      <c r="AB15" s="7" t="n">
        <v>3046132.4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12219020.5</v>
      </c>
      <c r="D16" s="7" t="n">
        <v>8365705.4</v>
      </c>
      <c r="E16" s="7" t="n">
        <v>13159270.7</v>
      </c>
      <c r="F16" s="7" t="n">
        <v>10038085.3</v>
      </c>
      <c r="G16" s="7" t="n">
        <v>14043593.6</v>
      </c>
      <c r="H16" s="7" t="n">
        <v>12119720.6</v>
      </c>
      <c r="I16" s="7" t="n">
        <v>12607933.1</v>
      </c>
      <c r="J16" s="7" t="n">
        <v>14639459.8</v>
      </c>
      <c r="K16" s="7" t="n">
        <v>14984846.5</v>
      </c>
      <c r="L16" s="7" t="n">
        <v>16113915.3</v>
      </c>
      <c r="M16" s="7" t="n">
        <v>12027812</v>
      </c>
      <c r="N16" s="7" t="n">
        <v>16750637.3</v>
      </c>
      <c r="O16" s="7" t="n">
        <v>13293787.7</v>
      </c>
      <c r="P16" s="7" t="n">
        <v>18113459.5</v>
      </c>
      <c r="Q16" s="7" t="n">
        <v>15424011.2</v>
      </c>
      <c r="R16" s="7" t="n">
        <v>15419115.5</v>
      </c>
      <c r="S16" s="7" t="n">
        <v>14669031</v>
      </c>
      <c r="T16" s="7" t="n">
        <v>14004778.1</v>
      </c>
      <c r="U16" s="7" t="n">
        <v>14625095.4</v>
      </c>
      <c r="V16" s="7" t="n">
        <v>16617989.8</v>
      </c>
      <c r="W16" s="7" t="n">
        <v>14910136.1</v>
      </c>
      <c r="X16" s="7" t="n">
        <v>12478635.9</v>
      </c>
      <c r="Y16" s="7" t="n">
        <v>12360851.9</v>
      </c>
      <c r="Z16" s="7" t="n">
        <v>9807989.1</v>
      </c>
      <c r="AA16" s="8" t="n">
        <v>164325389.7</v>
      </c>
      <c r="AB16" s="8" t="n">
        <v>164469491.6</v>
      </c>
    </row>
    <row r="17">
      <c r="A17" s="4" t="inlineStr">
        <is>
          <t>中式汤底</t>
        </is>
      </c>
      <c r="D17" s="7" t="n">
        <v>997945</v>
      </c>
      <c r="F17" s="7" t="n">
        <v>1205211.1</v>
      </c>
      <c r="H17" s="7" t="n">
        <v>1591754.3</v>
      </c>
      <c r="J17" s="7" t="n">
        <v>1781389.7</v>
      </c>
      <c r="L17" s="7" t="n">
        <v>1979136.1</v>
      </c>
      <c r="N17" s="7" t="n">
        <v>1973565.9</v>
      </c>
      <c r="P17" s="7" t="n">
        <v>2212412.4</v>
      </c>
      <c r="R17" s="7" t="n">
        <v>1587107.4</v>
      </c>
      <c r="T17" s="7" t="n">
        <v>1682754.7</v>
      </c>
      <c r="V17" s="7" t="n">
        <v>2099787.4</v>
      </c>
      <c r="X17" s="7" t="n">
        <v>1350406.4</v>
      </c>
      <c r="Z17" s="7" t="n">
        <v>1172092.2</v>
      </c>
      <c r="AB17" s="7" t="n">
        <v>19633562.6</v>
      </c>
    </row>
    <row r="18">
      <c r="A18" s="4" t="inlineStr">
        <is>
          <t>酱料</t>
        </is>
      </c>
      <c r="D18" s="7" t="n">
        <v>736944.2000000001</v>
      </c>
      <c r="F18" s="7" t="n">
        <v>1065191.7</v>
      </c>
      <c r="H18" s="7" t="n">
        <v>1178331.3</v>
      </c>
      <c r="J18" s="7" t="n">
        <v>1425201.1</v>
      </c>
      <c r="L18" s="7" t="n">
        <v>1632546.4</v>
      </c>
      <c r="N18" s="7" t="n">
        <v>1765614.7</v>
      </c>
      <c r="P18" s="7" t="n">
        <v>1884239.3</v>
      </c>
      <c r="R18" s="7" t="n">
        <v>1656291.3</v>
      </c>
      <c r="T18" s="7" t="n">
        <v>1296458.8</v>
      </c>
      <c r="V18" s="7" t="n">
        <v>1854699.7</v>
      </c>
      <c r="X18" s="7" t="n">
        <v>1347269.6</v>
      </c>
      <c r="Z18" s="7" t="n">
        <v>1062600.9</v>
      </c>
      <c r="AB18" s="7" t="n">
        <v>16905389</v>
      </c>
    </row>
    <row r="19">
      <c r="A19" s="4" t="inlineStr">
        <is>
          <t>川味底料</t>
        </is>
      </c>
      <c r="D19" s="7" t="n">
        <v>1001751.2</v>
      </c>
      <c r="F19" s="7" t="n">
        <v>1397231.3</v>
      </c>
      <c r="H19" s="7" t="n">
        <v>1526761.6</v>
      </c>
      <c r="J19" s="7" t="n">
        <v>1748909.5</v>
      </c>
      <c r="L19" s="7" t="n">
        <v>2138563.1</v>
      </c>
      <c r="N19" s="7" t="n">
        <v>2169316.4</v>
      </c>
      <c r="P19" s="7" t="n">
        <v>2475325.1</v>
      </c>
      <c r="R19" s="7" t="n">
        <v>1990567.5</v>
      </c>
      <c r="T19" s="7" t="n">
        <v>1731654.9</v>
      </c>
      <c r="V19" s="7" t="n">
        <v>1961343.4</v>
      </c>
      <c r="X19" s="7" t="n">
        <v>1750675.6</v>
      </c>
      <c r="Z19" s="7" t="n">
        <v>1347130.5</v>
      </c>
      <c r="AB19" s="7" t="n">
        <v>21239230.1</v>
      </c>
    </row>
    <row r="20">
      <c r="A20" s="4" t="inlineStr">
        <is>
          <t>调味汁</t>
        </is>
      </c>
      <c r="D20" s="7" t="n">
        <v>1477950.7</v>
      </c>
      <c r="F20" s="7" t="n">
        <v>1477504.7</v>
      </c>
      <c r="H20" s="7" t="n">
        <v>2118727</v>
      </c>
      <c r="J20" s="7" t="n">
        <v>2598873.9</v>
      </c>
      <c r="L20" s="7" t="n">
        <v>2501960.7</v>
      </c>
      <c r="N20" s="7" t="n">
        <v>2893637.6</v>
      </c>
      <c r="P20" s="7" t="n">
        <v>2873009.899999999</v>
      </c>
      <c r="R20" s="7" t="n">
        <v>2660911.3</v>
      </c>
      <c r="T20" s="7" t="n">
        <v>2346853.6</v>
      </c>
      <c r="V20" s="7" t="n">
        <v>2768583.4</v>
      </c>
      <c r="X20" s="7" t="n">
        <v>2266583.7</v>
      </c>
      <c r="Z20" s="7" t="n">
        <v>1768038.2</v>
      </c>
      <c r="AB20" s="7" t="n">
        <v>27752634.7</v>
      </c>
    </row>
    <row r="21">
      <c r="A21" s="4" t="inlineStr">
        <is>
          <t>复合调味粉</t>
        </is>
      </c>
      <c r="D21" s="7" t="n">
        <v>1286090.3</v>
      </c>
      <c r="F21" s="7" t="n">
        <v>1350666.1</v>
      </c>
      <c r="H21" s="7" t="n">
        <v>1634446.2</v>
      </c>
      <c r="J21" s="7" t="n">
        <v>2116238.7</v>
      </c>
      <c r="L21" s="7" t="n">
        <v>2437282.2</v>
      </c>
      <c r="N21" s="7" t="n">
        <v>2362782.2</v>
      </c>
      <c r="P21" s="7" t="n">
        <v>2553028.3</v>
      </c>
      <c r="R21" s="7" t="n">
        <v>2194817.6</v>
      </c>
      <c r="T21" s="7" t="n">
        <v>1992358.7</v>
      </c>
      <c r="V21" s="7" t="n">
        <v>2493578.6</v>
      </c>
      <c r="X21" s="7" t="n">
        <v>1761173</v>
      </c>
      <c r="Z21" s="7" t="n">
        <v>1191250.8</v>
      </c>
      <c r="AB21" s="7" t="n">
        <v>23373712.7</v>
      </c>
    </row>
    <row r="22">
      <c r="A22" s="4" t="inlineStr">
        <is>
          <t>团餐</t>
        </is>
      </c>
      <c r="D22" s="7" t="n">
        <v>1285968.8</v>
      </c>
      <c r="F22" s="7" t="n">
        <v>1576119.6</v>
      </c>
      <c r="H22" s="7" t="n">
        <v>1924811.5</v>
      </c>
      <c r="J22" s="7" t="n">
        <v>2164810</v>
      </c>
      <c r="L22" s="7" t="n">
        <v>2504252.4</v>
      </c>
      <c r="N22" s="7" t="n">
        <v>2551055.6</v>
      </c>
      <c r="P22" s="7" t="n">
        <v>2377013.2</v>
      </c>
      <c r="R22" s="7" t="n">
        <v>2293726.3</v>
      </c>
      <c r="T22" s="7" t="n">
        <v>2070724.6</v>
      </c>
      <c r="V22" s="7" t="n">
        <v>2182805.2</v>
      </c>
      <c r="X22" s="7" t="n">
        <v>1669359.4</v>
      </c>
      <c r="Z22" s="7" t="n">
        <v>1316757.9</v>
      </c>
      <c r="AB22" s="7" t="n">
        <v>23917404.5</v>
      </c>
    </row>
    <row r="23">
      <c r="A23" s="4" t="inlineStr">
        <is>
          <t>预制菜</t>
        </is>
      </c>
      <c r="D23" s="7" t="n">
        <v>1251265.9</v>
      </c>
      <c r="F23" s="7" t="n">
        <v>1308895.2</v>
      </c>
      <c r="H23" s="7" t="n">
        <v>1773618.5</v>
      </c>
      <c r="J23" s="7" t="n">
        <v>1867041.1</v>
      </c>
      <c r="L23" s="7" t="n">
        <v>1972927.1</v>
      </c>
      <c r="N23" s="7" t="n">
        <v>2340330.9</v>
      </c>
      <c r="P23" s="7" t="n">
        <v>2780542.4</v>
      </c>
      <c r="R23" s="7" t="n">
        <v>2216765</v>
      </c>
      <c r="T23" s="7" t="n">
        <v>1929416.2</v>
      </c>
      <c r="V23" s="7" t="n">
        <v>2655146.7</v>
      </c>
      <c r="X23" s="7" t="n">
        <v>1943118.4</v>
      </c>
      <c r="Z23" s="7" t="n">
        <v>1510416.4</v>
      </c>
      <c r="AB23" s="7" t="n">
        <v>23549483.8</v>
      </c>
    </row>
    <row r="24">
      <c r="A24" s="4" t="inlineStr">
        <is>
          <t>其他</t>
        </is>
      </c>
      <c r="D24" s="7" t="n">
        <v>132739</v>
      </c>
      <c r="F24" s="7" t="n">
        <v>129379.3</v>
      </c>
      <c r="H24" s="7" t="n">
        <v>135396.8</v>
      </c>
      <c r="J24" s="7" t="n">
        <v>248742.4</v>
      </c>
      <c r="L24" s="7" t="n">
        <v>180553.5</v>
      </c>
      <c r="N24" s="7" t="n">
        <v>96464.10000000001</v>
      </c>
      <c r="P24" s="7" t="n">
        <v>250742.2</v>
      </c>
      <c r="R24" s="7" t="n">
        <v>168277</v>
      </c>
      <c r="T24" s="7" t="n">
        <v>20482.9</v>
      </c>
      <c r="V24" s="7" t="n">
        <v>17913.1</v>
      </c>
      <c r="X24" s="7" t="n">
        <v>186382.2</v>
      </c>
      <c r="Z24" s="7" t="n">
        <v>65190.2</v>
      </c>
      <c r="AB24" s="7" t="n">
        <v>1632262.7</v>
      </c>
    </row>
    <row r="25">
      <c r="A25" s="4" t="inlineStr">
        <is>
          <t>运费</t>
        </is>
      </c>
      <c r="D25" s="7" t="n">
        <v>327789.3</v>
      </c>
      <c r="F25" s="7" t="n">
        <v>657265.6</v>
      </c>
      <c r="H25" s="7" t="n">
        <v>371270.2</v>
      </c>
      <c r="J25" s="7" t="n">
        <v>936995.8</v>
      </c>
      <c r="L25" s="7" t="n">
        <v>947247.3</v>
      </c>
      <c r="N25" s="7" t="n">
        <v>694334</v>
      </c>
      <c r="P25" s="7" t="n">
        <v>957888.9</v>
      </c>
      <c r="R25" s="7" t="n">
        <v>818929.1</v>
      </c>
      <c r="T25" s="7" t="n">
        <v>954556.6</v>
      </c>
      <c r="V25" s="7" t="n">
        <v>602045.4</v>
      </c>
      <c r="X25" s="7" t="n">
        <v>390049.8</v>
      </c>
      <c r="Z25" s="7" t="n">
        <v>439702.2</v>
      </c>
      <c r="AB25" s="7" t="n">
        <v>8098074.2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9197921.800000001</v>
      </c>
      <c r="D26" s="7" t="n">
        <v>3949191.3</v>
      </c>
      <c r="E26" s="7" t="n">
        <v>6466233.3</v>
      </c>
      <c r="F26" s="7" t="n">
        <v>4191546.4</v>
      </c>
      <c r="G26" s="7" t="n">
        <v>6090645.1</v>
      </c>
      <c r="H26" s="7" t="n">
        <v>5668059</v>
      </c>
      <c r="I26" s="7" t="n">
        <v>6183702.4</v>
      </c>
      <c r="J26" s="7" t="n">
        <v>6183771.3</v>
      </c>
      <c r="K26" s="7" t="n">
        <v>6791373.9</v>
      </c>
      <c r="L26" s="7" t="n">
        <v>6943816.7</v>
      </c>
      <c r="M26" s="7" t="n">
        <v>7717801.3</v>
      </c>
      <c r="N26" s="7" t="n">
        <v>7538472</v>
      </c>
      <c r="O26" s="7" t="n">
        <v>8640820.6</v>
      </c>
      <c r="P26" s="7" t="n">
        <v>8078697.9</v>
      </c>
      <c r="Q26" s="7" t="n">
        <v>3716652.2</v>
      </c>
      <c r="R26" s="7" t="n">
        <v>6620012.8</v>
      </c>
      <c r="S26" s="7" t="n">
        <v>7935355.1</v>
      </c>
      <c r="T26" s="7" t="n">
        <v>5738281</v>
      </c>
      <c r="U26" s="7" t="n">
        <v>8202374.7</v>
      </c>
      <c r="V26" s="7" t="n">
        <v>7780166.4</v>
      </c>
      <c r="W26" s="7" t="n">
        <v>4791615.5</v>
      </c>
      <c r="X26" s="7" t="n">
        <v>5826942.4</v>
      </c>
      <c r="Y26" s="7" t="n">
        <v>6265181</v>
      </c>
      <c r="Z26" s="7" t="n">
        <v>4251914.6</v>
      </c>
      <c r="AA26" s="8" t="n">
        <v>81999676.90000001</v>
      </c>
      <c r="AB26" s="8" t="n">
        <v>72770871.8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42.9</v>
      </c>
      <c r="D27" s="13" t="n">
        <v>32.1</v>
      </c>
      <c r="E27" s="13" t="n">
        <v>32.9</v>
      </c>
      <c r="F27" s="13" t="n">
        <v>29.5</v>
      </c>
      <c r="G27" s="13" t="n">
        <v>30.3</v>
      </c>
      <c r="H27" s="13" t="n">
        <v>31.9</v>
      </c>
      <c r="I27" s="13" t="n">
        <v>32.9</v>
      </c>
      <c r="J27" s="13" t="n">
        <v>29.7</v>
      </c>
      <c r="K27" s="13" t="n">
        <v>31.2</v>
      </c>
      <c r="L27" s="13" t="n">
        <v>30.1</v>
      </c>
      <c r="M27" s="13" t="n">
        <v>39.1</v>
      </c>
      <c r="N27" s="13" t="n">
        <v>31</v>
      </c>
      <c r="O27" s="13" t="n">
        <v>39.4</v>
      </c>
      <c r="P27" s="13" t="n">
        <v>30.8</v>
      </c>
      <c r="Q27" s="13" t="n">
        <v>19.4</v>
      </c>
      <c r="R27" s="13" t="n">
        <v>30</v>
      </c>
      <c r="S27" s="13" t="n">
        <v>35.1</v>
      </c>
      <c r="T27" s="13" t="n">
        <v>29.1</v>
      </c>
      <c r="U27" s="13" t="n">
        <v>35.9</v>
      </c>
      <c r="V27" s="13" t="n">
        <v>31.9</v>
      </c>
      <c r="W27" s="13" t="n">
        <v>24.3</v>
      </c>
      <c r="X27" s="13" t="n">
        <v>31.8</v>
      </c>
      <c r="Y27" s="13" t="n">
        <v>33.6</v>
      </c>
      <c r="Z27" s="13" t="n">
        <v>30.2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199113.7</v>
      </c>
      <c r="D28" s="7" t="n">
        <v>162204.6</v>
      </c>
      <c r="E28" s="7" t="n">
        <v>176072.5</v>
      </c>
      <c r="F28" s="7" t="n">
        <v>130417.7</v>
      </c>
      <c r="G28" s="7" t="n">
        <v>196898.6</v>
      </c>
      <c r="H28" s="7" t="n">
        <v>243306.8</v>
      </c>
      <c r="I28" s="7" t="n">
        <v>180276.3</v>
      </c>
      <c r="J28" s="7" t="n">
        <v>285233.8</v>
      </c>
      <c r="K28" s="7" t="n">
        <v>170225.3</v>
      </c>
      <c r="L28" s="7" t="n">
        <v>167564.6</v>
      </c>
      <c r="M28" s="7" t="n">
        <v>210426.2</v>
      </c>
      <c r="N28" s="7" t="n">
        <v>279999.8</v>
      </c>
      <c r="O28" s="7" t="n">
        <v>190434</v>
      </c>
      <c r="P28" s="7" t="n">
        <v>288716.6</v>
      </c>
      <c r="Q28" s="7" t="n">
        <v>193546.7</v>
      </c>
      <c r="R28" s="7" t="n">
        <v>112715.7</v>
      </c>
      <c r="S28" s="7" t="n">
        <v>202372.2</v>
      </c>
      <c r="T28" s="7" t="n">
        <v>252201.5</v>
      </c>
      <c r="U28" s="7" t="n">
        <v>197036</v>
      </c>
      <c r="V28" s="7" t="n">
        <v>215310.5</v>
      </c>
      <c r="W28" s="7" t="n">
        <v>180352.3</v>
      </c>
      <c r="X28" s="7" t="n">
        <v>147320.3</v>
      </c>
      <c r="Y28" s="7" t="n">
        <v>184348.3</v>
      </c>
      <c r="Z28" s="7" t="n">
        <v>76089.7</v>
      </c>
      <c r="AA28" s="8" t="n">
        <v>2281102.1</v>
      </c>
      <c r="AB28" s="8" t="n">
        <v>2361081.6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2879190.3</v>
      </c>
      <c r="D29" s="7" t="n">
        <v>1959895.6</v>
      </c>
      <c r="E29" s="7" t="n">
        <v>3021700</v>
      </c>
      <c r="F29" s="7" t="n">
        <v>1705113.4</v>
      </c>
      <c r="G29" s="7" t="n">
        <v>2626257.9</v>
      </c>
      <c r="H29" s="7" t="n">
        <v>1999022.1</v>
      </c>
      <c r="I29" s="7" t="n">
        <v>2990273</v>
      </c>
      <c r="J29" s="7" t="n">
        <v>3867209</v>
      </c>
      <c r="K29" s="7" t="n">
        <v>3094017.4</v>
      </c>
      <c r="L29" s="7" t="n">
        <v>2476323.5</v>
      </c>
      <c r="M29" s="7" t="n">
        <v>2669730.6</v>
      </c>
      <c r="N29" s="7" t="n">
        <v>3883311.1</v>
      </c>
      <c r="O29" s="7" t="n">
        <v>2518365.8</v>
      </c>
      <c r="P29" s="7" t="n">
        <v>2953476.1</v>
      </c>
      <c r="Q29" s="7" t="n">
        <v>3129651.1</v>
      </c>
      <c r="R29" s="7" t="n">
        <v>3862874.4</v>
      </c>
      <c r="S29" s="7" t="n">
        <v>2736626.7</v>
      </c>
      <c r="T29" s="7" t="n">
        <v>4265957.2</v>
      </c>
      <c r="U29" s="7" t="n">
        <v>3257404.9</v>
      </c>
      <c r="V29" s="7" t="n">
        <v>2916952.7</v>
      </c>
      <c r="W29" s="7" t="n">
        <v>2533927.5</v>
      </c>
      <c r="X29" s="7" t="n">
        <v>2200890.9</v>
      </c>
      <c r="Y29" s="7" t="n">
        <v>3038604</v>
      </c>
      <c r="Z29" s="7" t="n">
        <v>2585537.9</v>
      </c>
      <c r="AA29" s="8" t="n">
        <v>34495749.2</v>
      </c>
      <c r="AB29" s="8" t="n">
        <v>34676563.9</v>
      </c>
    </row>
    <row r="30">
      <c r="A30" s="4" t="inlineStr">
        <is>
          <t>职工薪酬</t>
        </is>
      </c>
      <c r="D30" s="7" t="n">
        <v>1154206.9</v>
      </c>
      <c r="F30" s="7" t="n">
        <v>697720.1</v>
      </c>
      <c r="H30" s="7" t="n">
        <v>977961.8</v>
      </c>
      <c r="J30" s="7" t="n">
        <v>2073603.9</v>
      </c>
      <c r="L30" s="7" t="n">
        <v>1327396.9</v>
      </c>
      <c r="N30" s="7" t="n">
        <v>1640771.8</v>
      </c>
      <c r="P30" s="7" t="n">
        <v>1187446.9</v>
      </c>
      <c r="R30" s="7" t="n">
        <v>2334994.4</v>
      </c>
      <c r="T30" s="7" t="n">
        <v>2457645.7</v>
      </c>
      <c r="V30" s="7" t="n">
        <v>1619528.3</v>
      </c>
      <c r="X30" s="7" t="n">
        <v>1296645.6</v>
      </c>
      <c r="Z30" s="7" t="n">
        <v>975364.9</v>
      </c>
      <c r="AB30" s="7" t="n">
        <v>17743287.2</v>
      </c>
    </row>
    <row r="31">
      <c r="A31" s="4" t="inlineStr">
        <is>
          <t>工资</t>
        </is>
      </c>
      <c r="D31" s="7" t="n">
        <v>700213.8</v>
      </c>
      <c r="F31" s="7" t="n">
        <v>419361.3</v>
      </c>
      <c r="H31" s="7" t="n">
        <v>554304.3</v>
      </c>
      <c r="J31" s="7" t="n">
        <v>1339570.6</v>
      </c>
      <c r="L31" s="7" t="n">
        <v>900137.5</v>
      </c>
      <c r="N31" s="7" t="n">
        <v>894042.7</v>
      </c>
      <c r="P31" s="7" t="n">
        <v>649223.8</v>
      </c>
      <c r="R31" s="7" t="n">
        <v>1471018.7</v>
      </c>
      <c r="T31" s="7" t="n">
        <v>1607461.1</v>
      </c>
      <c r="V31" s="7" t="n">
        <v>1068699.8</v>
      </c>
      <c r="X31" s="7" t="n">
        <v>787091.7</v>
      </c>
      <c r="Z31" s="7" t="n">
        <v>549354.4</v>
      </c>
      <c r="AB31" s="7" t="n">
        <v>10940479.7</v>
      </c>
    </row>
    <row r="32">
      <c r="A32" s="4" t="inlineStr">
        <is>
          <t>奖金及提成</t>
        </is>
      </c>
      <c r="D32" s="7" t="n">
        <v>218778.7</v>
      </c>
      <c r="F32" s="7" t="n">
        <v>130742.4</v>
      </c>
      <c r="H32" s="7" t="n">
        <v>193912.5</v>
      </c>
      <c r="J32" s="7" t="n">
        <v>275982.9</v>
      </c>
      <c r="L32" s="7" t="n">
        <v>204397.2</v>
      </c>
      <c r="N32" s="7" t="n">
        <v>397186.3</v>
      </c>
      <c r="P32" s="7" t="n">
        <v>242858.7</v>
      </c>
      <c r="R32" s="7" t="n">
        <v>391679.8</v>
      </c>
      <c r="T32" s="7" t="n">
        <v>364822.4</v>
      </c>
      <c r="V32" s="7" t="n">
        <v>288724.6</v>
      </c>
      <c r="X32" s="7" t="n">
        <v>250451.3</v>
      </c>
      <c r="Z32" s="7" t="n">
        <v>202915.2</v>
      </c>
      <c r="AB32" s="7" t="n">
        <v>3162452</v>
      </c>
    </row>
    <row r="33">
      <c r="A33" s="4" t="inlineStr">
        <is>
          <t>社保</t>
        </is>
      </c>
      <c r="D33" s="7" t="n">
        <v>175489.5</v>
      </c>
      <c r="F33" s="7" t="n">
        <v>96991.39999999999</v>
      </c>
      <c r="H33" s="7" t="n">
        <v>167886.3</v>
      </c>
      <c r="J33" s="7" t="n">
        <v>339731.8</v>
      </c>
      <c r="L33" s="7" t="n">
        <v>143842.5</v>
      </c>
      <c r="N33" s="7" t="n">
        <v>249212.8</v>
      </c>
      <c r="P33" s="7" t="n">
        <v>205658.4</v>
      </c>
      <c r="R33" s="7" t="n">
        <v>362650.7</v>
      </c>
      <c r="T33" s="7" t="n">
        <v>365431.7</v>
      </c>
      <c r="V33" s="7" t="n">
        <v>170782</v>
      </c>
      <c r="X33" s="7" t="n">
        <v>192420.3</v>
      </c>
      <c r="Z33" s="7" t="n">
        <v>145824.4</v>
      </c>
      <c r="AB33" s="7" t="n">
        <v>2615921.8</v>
      </c>
    </row>
    <row r="34">
      <c r="A34" s="4" t="inlineStr">
        <is>
          <t>养老</t>
        </is>
      </c>
      <c r="D34" s="7" t="n">
        <v>4309.4</v>
      </c>
      <c r="F34" s="7" t="n">
        <v>5263.4</v>
      </c>
      <c r="H34" s="7" t="n">
        <v>5583.9</v>
      </c>
      <c r="J34" s="7" t="n">
        <v>12009.7</v>
      </c>
      <c r="L34" s="7" t="n">
        <v>4489.9</v>
      </c>
      <c r="N34" s="7" t="n">
        <v>12078.3</v>
      </c>
      <c r="P34" s="7" t="n">
        <v>8201.700000000001</v>
      </c>
      <c r="R34" s="7" t="n">
        <v>8256.6</v>
      </c>
      <c r="T34" s="7" t="n">
        <v>10093.6</v>
      </c>
      <c r="V34" s="7" t="n">
        <v>9559.700000000001</v>
      </c>
      <c r="X34" s="7" t="n">
        <v>4261.5</v>
      </c>
      <c r="Z34" s="7" t="n">
        <v>5859.6</v>
      </c>
      <c r="AB34" s="7" t="n">
        <v>89967.3</v>
      </c>
    </row>
    <row r="35">
      <c r="A35" s="4" t="inlineStr">
        <is>
          <t>医疗</t>
        </is>
      </c>
      <c r="D35" s="7" t="n">
        <v>11350.5</v>
      </c>
      <c r="F35" s="7" t="n">
        <v>7868</v>
      </c>
      <c r="H35" s="7" t="n">
        <v>11366.4</v>
      </c>
      <c r="J35" s="7" t="n">
        <v>21426.2</v>
      </c>
      <c r="L35" s="7" t="n">
        <v>17675.3</v>
      </c>
      <c r="N35" s="7" t="n">
        <v>15734.8</v>
      </c>
      <c r="P35" s="7" t="n">
        <v>14242.5</v>
      </c>
      <c r="R35" s="7" t="n">
        <v>22343.1</v>
      </c>
      <c r="T35" s="7" t="n">
        <v>21825.4</v>
      </c>
      <c r="V35" s="7" t="n">
        <v>15518.8</v>
      </c>
      <c r="X35" s="7" t="n">
        <v>9934.9</v>
      </c>
      <c r="Z35" s="7" t="n">
        <v>13344.6</v>
      </c>
      <c r="AB35" s="7" t="n">
        <v>182630.5</v>
      </c>
    </row>
    <row r="36">
      <c r="A36" s="4" t="inlineStr">
        <is>
          <t>工伤</t>
        </is>
      </c>
      <c r="D36" s="7" t="n">
        <v>4862.5</v>
      </c>
      <c r="F36" s="7" t="n">
        <v>3312</v>
      </c>
      <c r="H36" s="7" t="n">
        <v>5936.7</v>
      </c>
      <c r="J36" s="7" t="n">
        <v>8930.799999999999</v>
      </c>
      <c r="L36" s="7" t="n">
        <v>6783.8</v>
      </c>
      <c r="N36" s="7" t="n">
        <v>9637.6</v>
      </c>
      <c r="P36" s="7" t="n">
        <v>8364.1</v>
      </c>
      <c r="R36" s="7" t="n">
        <v>11002.1</v>
      </c>
      <c r="T36" s="7" t="n">
        <v>11704</v>
      </c>
      <c r="V36" s="7" t="n">
        <v>4830.9</v>
      </c>
      <c r="X36" s="7" t="n">
        <v>5246.3</v>
      </c>
      <c r="Z36" s="7" t="n">
        <v>5179.6</v>
      </c>
      <c r="AB36" s="7" t="n">
        <v>85790.39999999999</v>
      </c>
    </row>
    <row r="37">
      <c r="A37" s="4" t="inlineStr">
        <is>
          <t>失业</t>
        </is>
      </c>
      <c r="D37" s="7" t="n">
        <v>2414.3</v>
      </c>
      <c r="F37" s="7" t="n">
        <v>1856</v>
      </c>
      <c r="H37" s="7" t="n">
        <v>1496.8</v>
      </c>
      <c r="J37" s="7" t="n">
        <v>3575.2</v>
      </c>
      <c r="L37" s="7" t="n">
        <v>3144.3</v>
      </c>
      <c r="N37" s="7" t="n">
        <v>4123.8</v>
      </c>
      <c r="P37" s="7" t="n">
        <v>3159.4</v>
      </c>
      <c r="R37" s="7" t="n">
        <v>3214.4</v>
      </c>
      <c r="T37" s="7" t="n">
        <v>3582.7</v>
      </c>
      <c r="V37" s="7" t="n">
        <v>2297.2</v>
      </c>
      <c r="X37" s="7" t="n">
        <v>2807.6</v>
      </c>
      <c r="Z37" s="7" t="n">
        <v>3204.4</v>
      </c>
      <c r="AB37" s="7" t="n">
        <v>34876.1</v>
      </c>
    </row>
    <row r="38">
      <c r="A38" s="4" t="inlineStr">
        <is>
          <t>生育</t>
        </is>
      </c>
      <c r="D38" s="7" t="n">
        <v>4339.1</v>
      </c>
      <c r="F38" s="7" t="n">
        <v>3034</v>
      </c>
      <c r="H38" s="7" t="n">
        <v>3380.4</v>
      </c>
      <c r="J38" s="7" t="n">
        <v>8557.4</v>
      </c>
      <c r="L38" s="7" t="n">
        <v>6309.8</v>
      </c>
      <c r="N38" s="7" t="n">
        <v>10209.2</v>
      </c>
      <c r="P38" s="7" t="n">
        <v>5646.4</v>
      </c>
      <c r="R38" s="7" t="n">
        <v>9367.5</v>
      </c>
      <c r="T38" s="7" t="n">
        <v>9342.799999999999</v>
      </c>
      <c r="V38" s="7" t="n">
        <v>4920</v>
      </c>
      <c r="X38" s="7" t="n">
        <v>6165.6</v>
      </c>
      <c r="Z38" s="7" t="n">
        <v>7176.5</v>
      </c>
      <c r="AB38" s="7" t="n">
        <v>78448.7</v>
      </c>
    </row>
    <row r="39">
      <c r="A39" s="4" t="inlineStr">
        <is>
          <t>公积金</t>
        </is>
      </c>
      <c r="D39" s="7" t="n">
        <v>2350.1</v>
      </c>
      <c r="F39" s="7" t="n">
        <v>2029.1</v>
      </c>
      <c r="H39" s="7" t="n">
        <v>1694.4</v>
      </c>
      <c r="J39" s="7" t="n">
        <v>3807.5</v>
      </c>
      <c r="L39" s="7" t="n">
        <v>2991.4</v>
      </c>
      <c r="N39" s="7" t="n">
        <v>2849.9</v>
      </c>
      <c r="P39" s="7" t="n">
        <v>2503.5</v>
      </c>
      <c r="R39" s="7" t="n">
        <v>4514.3</v>
      </c>
      <c r="T39" s="7" t="n">
        <v>4613.6</v>
      </c>
      <c r="V39" s="7" t="n">
        <v>3218.6</v>
      </c>
      <c r="X39" s="7" t="n">
        <v>2572.6</v>
      </c>
      <c r="Z39" s="7" t="n">
        <v>2334</v>
      </c>
      <c r="AB39" s="7" t="n">
        <v>35479</v>
      </c>
    </row>
    <row r="40">
      <c r="A40" s="4" t="inlineStr">
        <is>
          <t>工会经费</t>
        </is>
      </c>
      <c r="D40" s="7" t="n">
        <v>5104.6</v>
      </c>
      <c r="F40" s="7" t="n">
        <v>5795</v>
      </c>
      <c r="H40" s="7" t="n">
        <v>6665.6</v>
      </c>
      <c r="J40" s="7" t="n">
        <v>13139.8</v>
      </c>
      <c r="L40" s="7" t="n">
        <v>5771.6</v>
      </c>
      <c r="N40" s="7" t="n">
        <v>12226</v>
      </c>
      <c r="P40" s="7" t="n">
        <v>6085.6</v>
      </c>
      <c r="R40" s="7" t="n">
        <v>8446.700000000001</v>
      </c>
      <c r="T40" s="7" t="n">
        <v>13315.7</v>
      </c>
      <c r="V40" s="7" t="n">
        <v>8394.799999999999</v>
      </c>
      <c r="X40" s="7" t="n">
        <v>5105</v>
      </c>
      <c r="Z40" s="7" t="n">
        <v>7253</v>
      </c>
      <c r="AB40" s="7" t="n">
        <v>97303.39999999999</v>
      </c>
    </row>
    <row r="41">
      <c r="A41" s="4" t="inlineStr">
        <is>
          <t>职工教育经费</t>
        </is>
      </c>
      <c r="D41" s="7" t="n">
        <v>2490.8</v>
      </c>
      <c r="F41" s="7" t="n">
        <v>2872.1</v>
      </c>
      <c r="H41" s="7" t="n">
        <v>2771.3</v>
      </c>
      <c r="J41" s="7" t="n">
        <v>6516.6</v>
      </c>
      <c r="L41" s="7" t="n">
        <v>3696.9</v>
      </c>
      <c r="N41" s="7" t="n">
        <v>5888.2</v>
      </c>
      <c r="P41" s="7" t="n">
        <v>4753</v>
      </c>
      <c r="R41" s="7" t="n">
        <v>6593.1</v>
      </c>
      <c r="T41" s="7" t="n">
        <v>5970.9</v>
      </c>
      <c r="V41" s="7" t="n">
        <v>5349.9</v>
      </c>
      <c r="X41" s="7" t="n">
        <v>3315.4</v>
      </c>
      <c r="Z41" s="7" t="n">
        <v>3063.5</v>
      </c>
      <c r="AB41" s="7" t="n">
        <v>53281.7</v>
      </c>
    </row>
    <row r="42">
      <c r="A42" s="4" t="inlineStr">
        <is>
          <t>福利费</t>
        </is>
      </c>
      <c r="D42" s="7" t="n">
        <v>49779.4</v>
      </c>
      <c r="F42" s="7" t="n">
        <v>39928.8</v>
      </c>
      <c r="H42" s="7" t="n">
        <v>50727.4</v>
      </c>
      <c r="J42" s="7" t="n">
        <v>94854.7</v>
      </c>
      <c r="L42" s="7" t="n">
        <v>66559.8</v>
      </c>
      <c r="N42" s="7" t="n">
        <v>79365.89999999999</v>
      </c>
      <c r="P42" s="7" t="n">
        <v>76363.89999999999</v>
      </c>
      <c r="R42" s="7" t="n">
        <v>90091.10000000001</v>
      </c>
      <c r="T42" s="7" t="n">
        <v>96030.3</v>
      </c>
      <c r="V42" s="7" t="n">
        <v>74358.60000000001</v>
      </c>
      <c r="X42" s="7" t="n">
        <v>55689.3</v>
      </c>
      <c r="Z42" s="7" t="n">
        <v>64620.4</v>
      </c>
      <c r="AB42" s="7" t="n">
        <v>838369.6</v>
      </c>
    </row>
    <row r="43">
      <c r="A43" s="4" t="inlineStr">
        <is>
          <t>职工房租</t>
        </is>
      </c>
      <c r="D43" s="7" t="n">
        <v>11076.9</v>
      </c>
      <c r="F43" s="7" t="n">
        <v>8676.799999999999</v>
      </c>
      <c r="H43" s="7" t="n">
        <v>11077.1</v>
      </c>
      <c r="J43" s="7" t="n">
        <v>18648.5</v>
      </c>
      <c r="L43" s="7" t="n">
        <v>13276.9</v>
      </c>
      <c r="N43" s="7" t="n">
        <v>16010.7</v>
      </c>
      <c r="P43" s="7" t="n">
        <v>19165</v>
      </c>
      <c r="R43" s="7" t="n">
        <v>20388.1</v>
      </c>
      <c r="T43" s="7" t="n">
        <v>21533.5</v>
      </c>
      <c r="V43" s="7" t="n">
        <v>17695.7</v>
      </c>
      <c r="X43" s="7" t="n">
        <v>14335.1</v>
      </c>
      <c r="Z43" s="7" t="n">
        <v>15529.1</v>
      </c>
      <c r="AB43" s="7" t="n">
        <v>187413.4</v>
      </c>
    </row>
    <row r="44">
      <c r="A44" s="4" t="inlineStr">
        <is>
          <t>水电物业费</t>
        </is>
      </c>
      <c r="D44" s="7" t="n">
        <v>8272.1</v>
      </c>
      <c r="F44" s="7" t="n">
        <v>6883.6</v>
      </c>
      <c r="H44" s="7" t="n">
        <v>6970.2</v>
      </c>
      <c r="J44" s="7" t="n">
        <v>12932.5</v>
      </c>
      <c r="L44" s="7" t="n">
        <v>10202.2</v>
      </c>
      <c r="N44" s="7" t="n">
        <v>9702.6</v>
      </c>
      <c r="P44" s="7" t="n">
        <v>13198.4</v>
      </c>
      <c r="R44" s="7" t="n">
        <v>13453.6</v>
      </c>
      <c r="T44" s="7" t="n">
        <v>13772.3</v>
      </c>
      <c r="V44" s="7" t="n">
        <v>11463.9</v>
      </c>
      <c r="X44" s="7" t="n">
        <v>7842.6</v>
      </c>
      <c r="Z44" s="7" t="n">
        <v>8991.1</v>
      </c>
      <c r="AB44" s="7" t="n">
        <v>123685.1</v>
      </c>
    </row>
    <row r="45">
      <c r="A45" s="4" t="inlineStr">
        <is>
          <t>员工餐</t>
        </is>
      </c>
      <c r="D45" s="7" t="n">
        <v>5913.2</v>
      </c>
      <c r="F45" s="7" t="n">
        <v>6167.8</v>
      </c>
      <c r="H45" s="7" t="n">
        <v>7761</v>
      </c>
      <c r="J45" s="7" t="n">
        <v>14117.1</v>
      </c>
      <c r="L45" s="7" t="n">
        <v>12253.6</v>
      </c>
      <c r="N45" s="7" t="n">
        <v>15686.6</v>
      </c>
      <c r="P45" s="7" t="n">
        <v>11645.6</v>
      </c>
      <c r="R45" s="7" t="n">
        <v>17058.9</v>
      </c>
      <c r="T45" s="7" t="n">
        <v>12926.4</v>
      </c>
      <c r="V45" s="7" t="n">
        <v>12185.6</v>
      </c>
      <c r="X45" s="7" t="n">
        <v>7147.9</v>
      </c>
      <c r="Z45" s="7" t="n">
        <v>12808.6</v>
      </c>
      <c r="AB45" s="7" t="n">
        <v>135672.3</v>
      </c>
    </row>
    <row r="46">
      <c r="A46" s="4" t="inlineStr">
        <is>
          <t>节日礼品</t>
        </is>
      </c>
      <c r="D46" s="7" t="n">
        <v>6580.6</v>
      </c>
      <c r="F46" s="7" t="n">
        <v>3878.3</v>
      </c>
      <c r="H46" s="7" t="n">
        <v>6911.2</v>
      </c>
      <c r="J46" s="7" t="n">
        <v>14463.7</v>
      </c>
      <c r="L46" s="7" t="n">
        <v>8197.799999999999</v>
      </c>
      <c r="N46" s="7" t="n">
        <v>8985.299999999999</v>
      </c>
      <c r="P46" s="7" t="n">
        <v>8294.299999999999</v>
      </c>
      <c r="R46" s="7" t="n">
        <v>11104.5</v>
      </c>
      <c r="T46" s="7" t="n">
        <v>10201</v>
      </c>
      <c r="V46" s="7" t="n">
        <v>9108.1</v>
      </c>
      <c r="X46" s="7" t="n">
        <v>7350.6</v>
      </c>
      <c r="Z46" s="7" t="n">
        <v>6288.6</v>
      </c>
      <c r="AB46" s="7" t="n">
        <v>101364</v>
      </c>
    </row>
    <row r="47">
      <c r="A47" s="4" t="inlineStr">
        <is>
          <t>生日礼品</t>
        </is>
      </c>
      <c r="D47" s="7" t="n">
        <v>4967.3</v>
      </c>
      <c r="F47" s="7" t="n">
        <v>5668.6</v>
      </c>
      <c r="H47" s="7" t="n">
        <v>7416.2</v>
      </c>
      <c r="J47" s="7" t="n">
        <v>13581.3</v>
      </c>
      <c r="L47" s="7" t="n">
        <v>8350.6</v>
      </c>
      <c r="N47" s="7" t="n">
        <v>8963</v>
      </c>
      <c r="P47" s="7" t="n">
        <v>6767.3</v>
      </c>
      <c r="R47" s="7" t="n">
        <v>11167.6</v>
      </c>
      <c r="T47" s="7" t="n">
        <v>11673.1</v>
      </c>
      <c r="V47" s="7" t="n">
        <v>8821.299999999999</v>
      </c>
      <c r="X47" s="7" t="n">
        <v>6105.6</v>
      </c>
      <c r="Z47" s="7" t="n">
        <v>9055.1</v>
      </c>
      <c r="AB47" s="7" t="n">
        <v>102537</v>
      </c>
    </row>
    <row r="48">
      <c r="A48" s="4" t="inlineStr">
        <is>
          <t>体检</t>
        </is>
      </c>
      <c r="D48" s="7" t="n">
        <v>8350.299999999999</v>
      </c>
      <c r="F48" s="7" t="n">
        <v>5304.5</v>
      </c>
      <c r="H48" s="7" t="n">
        <v>6226.6</v>
      </c>
      <c r="J48" s="7" t="n">
        <v>15063.7</v>
      </c>
      <c r="L48" s="7" t="n">
        <v>10363.7</v>
      </c>
      <c r="N48" s="7" t="n">
        <v>13541.2</v>
      </c>
      <c r="P48" s="7" t="n">
        <v>10858</v>
      </c>
      <c r="R48" s="7" t="n">
        <v>10239.6</v>
      </c>
      <c r="T48" s="7" t="n">
        <v>17480.5</v>
      </c>
      <c r="V48" s="7" t="n">
        <v>7901.2</v>
      </c>
      <c r="X48" s="7" t="n">
        <v>8323.9</v>
      </c>
      <c r="Z48" s="7" t="n">
        <v>8256.4</v>
      </c>
      <c r="AB48" s="7" t="n">
        <v>121909.6</v>
      </c>
    </row>
    <row r="49">
      <c r="A49" s="4" t="inlineStr">
        <is>
          <t>其他福利支出</t>
        </is>
      </c>
      <c r="D49" s="7" t="n">
        <v>4619</v>
      </c>
      <c r="F49" s="7" t="n">
        <v>3349.2</v>
      </c>
      <c r="H49" s="7" t="n">
        <v>4365.1</v>
      </c>
      <c r="J49" s="7" t="n">
        <v>6047.9</v>
      </c>
      <c r="L49" s="7" t="n">
        <v>3915</v>
      </c>
      <c r="N49" s="7" t="n">
        <v>6476.5</v>
      </c>
      <c r="P49" s="7" t="n">
        <v>6435.3</v>
      </c>
      <c r="R49" s="7" t="n">
        <v>6678.8</v>
      </c>
      <c r="T49" s="7" t="n">
        <v>8443.5</v>
      </c>
      <c r="V49" s="7" t="n">
        <v>7182.8</v>
      </c>
      <c r="X49" s="7" t="n">
        <v>4583.6</v>
      </c>
      <c r="Z49" s="7" t="n">
        <v>3691.5</v>
      </c>
      <c r="AB49" s="7" t="n">
        <v>65788.2</v>
      </c>
    </row>
    <row r="50">
      <c r="A50" s="4" t="inlineStr">
        <is>
          <t>招聘费</t>
        </is>
      </c>
      <c r="D50" s="7" t="n">
        <v>9560.1</v>
      </c>
      <c r="F50" s="7" t="n">
        <v>10395.8</v>
      </c>
      <c r="H50" s="7" t="n">
        <v>11402.2</v>
      </c>
      <c r="J50" s="7" t="n">
        <v>21177.5</v>
      </c>
      <c r="L50" s="7" t="n">
        <v>10716.3</v>
      </c>
      <c r="N50" s="7" t="n">
        <v>23827.5</v>
      </c>
      <c r="P50" s="7" t="n">
        <v>14476.8</v>
      </c>
      <c r="R50" s="7" t="n">
        <v>22994.3</v>
      </c>
      <c r="T50" s="7" t="n">
        <v>26466.7</v>
      </c>
      <c r="V50" s="7" t="n">
        <v>17466.9</v>
      </c>
      <c r="X50" s="7" t="n">
        <v>15225.3</v>
      </c>
      <c r="Z50" s="7" t="n">
        <v>10915.2</v>
      </c>
      <c r="AB50" s="7" t="n">
        <v>194624.6</v>
      </c>
    </row>
    <row r="51">
      <c r="A51" s="4" t="inlineStr">
        <is>
          <t>办公费</t>
        </is>
      </c>
      <c r="D51" s="7" t="n">
        <v>46388</v>
      </c>
      <c r="F51" s="7" t="n">
        <v>55857.8</v>
      </c>
      <c r="H51" s="7" t="n">
        <v>43300.8</v>
      </c>
      <c r="J51" s="7" t="n">
        <v>140646.2</v>
      </c>
      <c r="L51" s="7" t="n">
        <v>81733.39999999999</v>
      </c>
      <c r="N51" s="7" t="n">
        <v>140126.4</v>
      </c>
      <c r="P51" s="7" t="n">
        <v>77888.89999999999</v>
      </c>
      <c r="R51" s="7" t="n">
        <v>145116.3</v>
      </c>
      <c r="T51" s="7" t="n">
        <v>93350.10000000001</v>
      </c>
      <c r="V51" s="7" t="n">
        <v>83148.39999999999</v>
      </c>
      <c r="X51" s="7" t="n">
        <v>53280.2</v>
      </c>
      <c r="Z51" s="7" t="n">
        <v>85575.2</v>
      </c>
      <c r="AB51" s="7" t="n">
        <v>1046411.7</v>
      </c>
    </row>
    <row r="52">
      <c r="A52" s="4" t="inlineStr">
        <is>
          <t>市内交通费</t>
        </is>
      </c>
      <c r="D52" s="7" t="n">
        <v>8756</v>
      </c>
      <c r="F52" s="7" t="n">
        <v>7222</v>
      </c>
      <c r="H52" s="7" t="n">
        <v>9391.200000000001</v>
      </c>
      <c r="J52" s="7" t="n">
        <v>12497.2</v>
      </c>
      <c r="L52" s="7" t="n">
        <v>9657.1</v>
      </c>
      <c r="N52" s="7" t="n">
        <v>16298.3</v>
      </c>
      <c r="P52" s="7" t="n">
        <v>14899</v>
      </c>
      <c r="R52" s="7" t="n">
        <v>11700.3</v>
      </c>
      <c r="T52" s="7" t="n">
        <v>15035.8</v>
      </c>
      <c r="V52" s="7" t="n">
        <v>10766.9</v>
      </c>
      <c r="X52" s="7" t="n">
        <v>8178.7</v>
      </c>
      <c r="Z52" s="7" t="n">
        <v>7673.1</v>
      </c>
      <c r="AB52" s="7" t="n">
        <v>132075.6</v>
      </c>
    </row>
    <row r="53">
      <c r="A53" s="4" t="inlineStr">
        <is>
          <t>差旅费</t>
        </is>
      </c>
      <c r="D53" s="7" t="n">
        <v>112466</v>
      </c>
      <c r="F53" s="7" t="n">
        <v>105404.9</v>
      </c>
      <c r="H53" s="7" t="n">
        <v>105032.6</v>
      </c>
      <c r="J53" s="7" t="n">
        <v>181154.2</v>
      </c>
      <c r="L53" s="7" t="n">
        <v>165929.3</v>
      </c>
      <c r="N53" s="7" t="n">
        <v>201462.6</v>
      </c>
      <c r="P53" s="7" t="n">
        <v>180085</v>
      </c>
      <c r="R53" s="7" t="n">
        <v>235199.9</v>
      </c>
      <c r="T53" s="7" t="n">
        <v>286031.8</v>
      </c>
      <c r="V53" s="7" t="n">
        <v>186784</v>
      </c>
      <c r="X53" s="7" t="n">
        <v>101097.7</v>
      </c>
      <c r="Z53" s="7" t="n">
        <v>176515.3</v>
      </c>
      <c r="AB53" s="7" t="n">
        <v>2037163.3</v>
      </c>
    </row>
    <row r="54">
      <c r="A54" s="4" t="inlineStr">
        <is>
          <t>交通费</t>
        </is>
      </c>
      <c r="D54" s="7" t="n">
        <v>10446.4</v>
      </c>
      <c r="F54" s="7" t="n">
        <v>6963.7</v>
      </c>
      <c r="H54" s="7" t="n">
        <v>9178.1</v>
      </c>
      <c r="J54" s="7" t="n">
        <v>20102.5</v>
      </c>
      <c r="L54" s="7" t="n">
        <v>13193.4</v>
      </c>
      <c r="N54" s="7" t="n">
        <v>13971.4</v>
      </c>
      <c r="P54" s="7" t="n">
        <v>12977</v>
      </c>
      <c r="R54" s="7" t="n">
        <v>14178</v>
      </c>
      <c r="T54" s="7" t="n">
        <v>17862.8</v>
      </c>
      <c r="V54" s="7" t="n">
        <v>15604.2</v>
      </c>
      <c r="X54" s="7" t="n">
        <v>8281.5</v>
      </c>
      <c r="Z54" s="7" t="n">
        <v>8294.700000000001</v>
      </c>
      <c r="AB54" s="7" t="n">
        <v>151053.7</v>
      </c>
    </row>
    <row r="55">
      <c r="A55" s="4" t="inlineStr">
        <is>
          <t>住宿费</t>
        </is>
      </c>
      <c r="D55" s="7" t="n">
        <v>7316.3</v>
      </c>
      <c r="F55" s="7" t="n">
        <v>6788.6</v>
      </c>
      <c r="H55" s="7" t="n">
        <v>7342</v>
      </c>
      <c r="J55" s="7" t="n">
        <v>11527.5</v>
      </c>
      <c r="L55" s="7" t="n">
        <v>9735.9</v>
      </c>
      <c r="N55" s="7" t="n">
        <v>16120.2</v>
      </c>
      <c r="P55" s="7" t="n">
        <v>14029.9</v>
      </c>
      <c r="R55" s="7" t="n">
        <v>9989.700000000001</v>
      </c>
      <c r="T55" s="7" t="n">
        <v>11243.7</v>
      </c>
      <c r="V55" s="7" t="n">
        <v>11571.9</v>
      </c>
      <c r="X55" s="7" t="n">
        <v>6258.5</v>
      </c>
      <c r="Z55" s="7" t="n">
        <v>11531.3</v>
      </c>
      <c r="AB55" s="7" t="n">
        <v>123455.5</v>
      </c>
    </row>
    <row r="56">
      <c r="A56" s="4" t="inlineStr">
        <is>
          <t>餐补</t>
        </is>
      </c>
      <c r="D56" s="7" t="n">
        <v>13352.3</v>
      </c>
      <c r="F56" s="7" t="n">
        <v>8478.9</v>
      </c>
      <c r="H56" s="7" t="n">
        <v>9435.799999999999</v>
      </c>
      <c r="J56" s="7" t="n">
        <v>21010.9</v>
      </c>
      <c r="L56" s="7" t="n">
        <v>14054.6</v>
      </c>
      <c r="N56" s="7" t="n">
        <v>14390.3</v>
      </c>
      <c r="P56" s="7" t="n">
        <v>12708.9</v>
      </c>
      <c r="R56" s="7" t="n">
        <v>17599.6</v>
      </c>
      <c r="T56" s="7" t="n">
        <v>26261</v>
      </c>
      <c r="V56" s="7" t="n">
        <v>13529.8</v>
      </c>
      <c r="X56" s="7" t="n">
        <v>11585.7</v>
      </c>
      <c r="Z56" s="7" t="n">
        <v>12123.9</v>
      </c>
      <c r="AB56" s="7" t="n">
        <v>174531.7</v>
      </c>
    </row>
    <row r="57">
      <c r="A57" s="4" t="inlineStr">
        <is>
          <t>交通补助</t>
        </is>
      </c>
      <c r="D57" s="7" t="n">
        <v>87.59999999999999</v>
      </c>
      <c r="F57" s="7" t="n">
        <v>62</v>
      </c>
      <c r="H57" s="7" t="n">
        <v>91.2</v>
      </c>
      <c r="J57" s="7" t="n">
        <v>166.3</v>
      </c>
      <c r="L57" s="7" t="n">
        <v>71.40000000000001</v>
      </c>
      <c r="N57" s="7" t="n">
        <v>125.7</v>
      </c>
      <c r="P57" s="7" t="n">
        <v>106.7</v>
      </c>
      <c r="R57" s="7" t="n">
        <v>140.2</v>
      </c>
      <c r="T57" s="7" t="n">
        <v>189.3</v>
      </c>
      <c r="V57" s="7" t="n">
        <v>146.6</v>
      </c>
      <c r="X57" s="7" t="n">
        <v>104.3</v>
      </c>
      <c r="Z57" s="7" t="n">
        <v>113</v>
      </c>
      <c r="AB57" s="7" t="n">
        <v>1404.3</v>
      </c>
    </row>
    <row r="58">
      <c r="A58" s="4" t="inlineStr">
        <is>
          <t>通讯补助</t>
        </is>
      </c>
      <c r="D58" s="7" t="n">
        <v>6660.3</v>
      </c>
      <c r="F58" s="7" t="n">
        <v>6650.1</v>
      </c>
      <c r="H58" s="7" t="n">
        <v>6451.6</v>
      </c>
      <c r="J58" s="7" t="n">
        <v>11002.1</v>
      </c>
      <c r="L58" s="7" t="n">
        <v>9150.9</v>
      </c>
      <c r="N58" s="7" t="n">
        <v>11628</v>
      </c>
      <c r="P58" s="7" t="n">
        <v>10682.4</v>
      </c>
      <c r="R58" s="7" t="n">
        <v>14648.7</v>
      </c>
      <c r="T58" s="7" t="n">
        <v>11847.5</v>
      </c>
      <c r="V58" s="7" t="n">
        <v>10453</v>
      </c>
      <c r="X58" s="7" t="n">
        <v>6179.7</v>
      </c>
      <c r="Z58" s="7" t="n">
        <v>8339.200000000001</v>
      </c>
      <c r="AB58" s="7" t="n">
        <v>113693.5</v>
      </c>
    </row>
    <row r="59">
      <c r="A59" s="4" t="inlineStr">
        <is>
          <t>招待费</t>
        </is>
      </c>
      <c r="D59" s="7" t="n">
        <v>64673.2</v>
      </c>
      <c r="F59" s="7" t="n">
        <v>75795.39999999999</v>
      </c>
      <c r="H59" s="7" t="n">
        <v>94331.60000000001</v>
      </c>
      <c r="J59" s="7" t="n">
        <v>190702.5</v>
      </c>
      <c r="L59" s="7" t="n">
        <v>90351.89999999999</v>
      </c>
      <c r="N59" s="7" t="n">
        <v>199100.2</v>
      </c>
      <c r="P59" s="7" t="n">
        <v>102577.3</v>
      </c>
      <c r="R59" s="7" t="n">
        <v>111050.5</v>
      </c>
      <c r="T59" s="7" t="n">
        <v>220152.6</v>
      </c>
      <c r="V59" s="7" t="n">
        <v>125534.7</v>
      </c>
      <c r="X59" s="7" t="n">
        <v>106122</v>
      </c>
      <c r="Z59" s="7" t="n">
        <v>107826.1</v>
      </c>
      <c r="AB59" s="7" t="n">
        <v>1488218</v>
      </c>
    </row>
    <row r="60">
      <c r="A60" s="4" t="inlineStr">
        <is>
          <t>通讯费</t>
        </is>
      </c>
      <c r="D60" s="7" t="n">
        <v>5292.6</v>
      </c>
      <c r="F60" s="7" t="n">
        <v>5308.6</v>
      </c>
      <c r="H60" s="7" t="n">
        <v>5877.3</v>
      </c>
      <c r="J60" s="7" t="n">
        <v>11095.6</v>
      </c>
      <c r="L60" s="7" t="n">
        <v>5621.8</v>
      </c>
      <c r="N60" s="7" t="n">
        <v>7132.3</v>
      </c>
      <c r="P60" s="7" t="n">
        <v>7154.9</v>
      </c>
      <c r="R60" s="7" t="n">
        <v>9850.4</v>
      </c>
      <c r="T60" s="7" t="n">
        <v>9182.1</v>
      </c>
      <c r="V60" s="7" t="n">
        <v>7236.4</v>
      </c>
      <c r="X60" s="7" t="n">
        <v>7142.7</v>
      </c>
      <c r="Z60" s="7" t="n">
        <v>5479.9</v>
      </c>
      <c r="AB60" s="7" t="n">
        <v>86374.60000000001</v>
      </c>
    </row>
    <row r="61">
      <c r="A61" s="4" t="inlineStr">
        <is>
          <t>网络费</t>
        </is>
      </c>
      <c r="D61" s="7" t="n">
        <v>2981.4</v>
      </c>
      <c r="F61" s="7" t="n">
        <v>3958.2</v>
      </c>
      <c r="H61" s="7" t="n">
        <v>4623.4</v>
      </c>
      <c r="J61" s="7" t="n">
        <v>9567.799999999999</v>
      </c>
      <c r="L61" s="7" t="n">
        <v>4743.5</v>
      </c>
      <c r="N61" s="7" t="n">
        <v>5504</v>
      </c>
      <c r="P61" s="7" t="n">
        <v>5794.1</v>
      </c>
      <c r="R61" s="7" t="n">
        <v>7658.1</v>
      </c>
      <c r="T61" s="7" t="n">
        <v>6885</v>
      </c>
      <c r="V61" s="7" t="n">
        <v>7252.4</v>
      </c>
      <c r="X61" s="7" t="n">
        <v>4971.6</v>
      </c>
      <c r="Z61" s="7" t="n">
        <v>5198.3</v>
      </c>
      <c r="AB61" s="7" t="n">
        <v>69137.8</v>
      </c>
    </row>
    <row r="62">
      <c r="A62" s="4" t="inlineStr">
        <is>
          <t>修理费</t>
        </is>
      </c>
      <c r="D62" s="7" t="n">
        <v>7833.8</v>
      </c>
      <c r="F62" s="7" t="n">
        <v>10605.7</v>
      </c>
      <c r="H62" s="7" t="n">
        <v>12130.9</v>
      </c>
      <c r="J62" s="7" t="n">
        <v>24835.2</v>
      </c>
      <c r="L62" s="7" t="n">
        <v>13928.5</v>
      </c>
      <c r="N62" s="7" t="n">
        <v>15396.5</v>
      </c>
      <c r="P62" s="7" t="n">
        <v>17043.6</v>
      </c>
      <c r="R62" s="7" t="n">
        <v>19165.6</v>
      </c>
      <c r="T62" s="7" t="n">
        <v>24475.7</v>
      </c>
      <c r="V62" s="7" t="n">
        <v>15032.9</v>
      </c>
      <c r="X62" s="7" t="n">
        <v>7862.4</v>
      </c>
      <c r="Z62" s="7" t="n">
        <v>16559.5</v>
      </c>
      <c r="AB62" s="7" t="n">
        <v>184870.3</v>
      </c>
    </row>
    <row r="63">
      <c r="A63" s="4" t="inlineStr">
        <is>
          <t>车辆费</t>
        </is>
      </c>
      <c r="D63" s="7" t="n">
        <v>9329.4</v>
      </c>
      <c r="F63" s="7" t="n">
        <v>5778.7</v>
      </c>
      <c r="H63" s="7" t="n">
        <v>8827.1</v>
      </c>
      <c r="J63" s="7" t="n">
        <v>12678.3</v>
      </c>
      <c r="L63" s="7" t="n">
        <v>11294.2</v>
      </c>
      <c r="N63" s="7" t="n">
        <v>19164.2</v>
      </c>
      <c r="P63" s="7" t="n">
        <v>11809.1</v>
      </c>
      <c r="R63" s="7" t="n">
        <v>18213.1</v>
      </c>
      <c r="T63" s="7" t="n">
        <v>17053</v>
      </c>
      <c r="V63" s="7" t="n">
        <v>16233.6</v>
      </c>
      <c r="X63" s="7" t="n">
        <v>8849.9</v>
      </c>
      <c r="Z63" s="7" t="n">
        <v>9499.700000000001</v>
      </c>
      <c r="AB63" s="7" t="n">
        <v>148730.3</v>
      </c>
    </row>
    <row r="64">
      <c r="A64" s="4" t="inlineStr">
        <is>
          <t>租赁费</t>
        </is>
      </c>
      <c r="D64" s="7" t="n">
        <v>84862.5</v>
      </c>
      <c r="F64" s="7" t="n">
        <v>76004.60000000001</v>
      </c>
      <c r="H64" s="7" t="n">
        <v>96419.8</v>
      </c>
      <c r="J64" s="7" t="n">
        <v>149001.7</v>
      </c>
      <c r="L64" s="7" t="n">
        <v>97764.3</v>
      </c>
      <c r="N64" s="7" t="n">
        <v>167794.4</v>
      </c>
      <c r="P64" s="7" t="n">
        <v>104723.5</v>
      </c>
      <c r="R64" s="7" t="n">
        <v>207391.3</v>
      </c>
      <c r="T64" s="7" t="n">
        <v>215097.3</v>
      </c>
      <c r="V64" s="7" t="n">
        <v>120170.6</v>
      </c>
      <c r="X64" s="7" t="n">
        <v>100161.5</v>
      </c>
      <c r="Z64" s="7" t="n">
        <v>115197.5</v>
      </c>
      <c r="AB64" s="7" t="n">
        <v>1534589</v>
      </c>
    </row>
    <row r="65">
      <c r="A65" s="4" t="inlineStr">
        <is>
          <t>能源费</t>
        </is>
      </c>
      <c r="D65" s="7" t="n">
        <v>29485.7</v>
      </c>
      <c r="F65" s="7" t="n">
        <v>25190.8</v>
      </c>
      <c r="H65" s="7" t="n">
        <v>22984.5</v>
      </c>
      <c r="J65" s="7" t="n">
        <v>58517.4</v>
      </c>
      <c r="L65" s="7" t="n">
        <v>39512.3</v>
      </c>
      <c r="N65" s="7" t="n">
        <v>56706.4</v>
      </c>
      <c r="P65" s="7" t="n">
        <v>42935.1</v>
      </c>
      <c r="R65" s="7" t="n">
        <v>54517.9</v>
      </c>
      <c r="T65" s="7" t="n">
        <v>55379.4</v>
      </c>
      <c r="V65" s="7" t="n">
        <v>38956.1</v>
      </c>
      <c r="X65" s="7" t="n">
        <v>26284.1</v>
      </c>
      <c r="Z65" s="7" t="n">
        <v>31708.1</v>
      </c>
      <c r="AB65" s="7" t="n">
        <v>482177.8</v>
      </c>
    </row>
    <row r="66">
      <c r="A66" s="4" t="inlineStr">
        <is>
          <t>水费</t>
        </is>
      </c>
      <c r="D66" s="7" t="n">
        <v>660.9</v>
      </c>
      <c r="F66" s="7" t="n">
        <v>485.7</v>
      </c>
      <c r="H66" s="7" t="n">
        <v>745.9</v>
      </c>
      <c r="J66" s="7" t="n">
        <v>1440.2</v>
      </c>
      <c r="L66" s="7" t="n">
        <v>1049.8</v>
      </c>
      <c r="N66" s="7" t="n">
        <v>1533.9</v>
      </c>
      <c r="P66" s="7" t="n">
        <v>1114.7</v>
      </c>
      <c r="R66" s="7" t="n">
        <v>1209.4</v>
      </c>
      <c r="T66" s="7" t="n">
        <v>1791.6</v>
      </c>
      <c r="V66" s="7" t="n">
        <v>1160.5</v>
      </c>
      <c r="X66" s="7" t="n">
        <v>856</v>
      </c>
      <c r="Z66" s="7" t="n">
        <v>930.5</v>
      </c>
      <c r="AB66" s="7" t="n">
        <v>12979.1</v>
      </c>
    </row>
    <row r="67">
      <c r="A67" s="4" t="inlineStr">
        <is>
          <t>电费</t>
        </is>
      </c>
      <c r="D67" s="7" t="n">
        <v>14433.7</v>
      </c>
      <c r="F67" s="7" t="n">
        <v>10662.7</v>
      </c>
      <c r="H67" s="7" t="n">
        <v>9943.6</v>
      </c>
      <c r="J67" s="7" t="n">
        <v>29326.2</v>
      </c>
      <c r="L67" s="7" t="n">
        <v>19792.2</v>
      </c>
      <c r="N67" s="7" t="n">
        <v>24322.2</v>
      </c>
      <c r="P67" s="7" t="n">
        <v>18354.8</v>
      </c>
      <c r="R67" s="7" t="n">
        <v>27393.6</v>
      </c>
      <c r="T67" s="7" t="n">
        <v>30672.7</v>
      </c>
      <c r="V67" s="7" t="n">
        <v>18237.5</v>
      </c>
      <c r="X67" s="7" t="n">
        <v>11790.1</v>
      </c>
      <c r="Z67" s="7" t="n">
        <v>13772.4</v>
      </c>
      <c r="AB67" s="7" t="n">
        <v>228701.7</v>
      </c>
    </row>
    <row r="68">
      <c r="A68" s="4" t="inlineStr">
        <is>
          <t>燃气费</t>
        </is>
      </c>
      <c r="D68" s="7" t="n">
        <v>11843.1</v>
      </c>
      <c r="F68" s="7" t="n">
        <v>12013</v>
      </c>
      <c r="H68" s="7" t="n">
        <v>10556.6</v>
      </c>
      <c r="J68" s="7" t="n">
        <v>24451.6</v>
      </c>
      <c r="L68" s="7" t="n">
        <v>15368.4</v>
      </c>
      <c r="N68" s="7" t="n">
        <v>25726.5</v>
      </c>
      <c r="P68" s="7" t="n">
        <v>20503.3</v>
      </c>
      <c r="R68" s="7" t="n">
        <v>21200.5</v>
      </c>
      <c r="T68" s="7" t="n">
        <v>17298.9</v>
      </c>
      <c r="V68" s="7" t="n">
        <v>16226.9</v>
      </c>
      <c r="X68" s="7" t="n">
        <v>11319.7</v>
      </c>
      <c r="Z68" s="7" t="n">
        <v>14259.8</v>
      </c>
      <c r="AB68" s="7" t="n">
        <v>200768.3</v>
      </c>
    </row>
    <row r="69">
      <c r="A69" s="4" t="inlineStr">
        <is>
          <t>蒸汽费</t>
        </is>
      </c>
      <c r="D69" s="7" t="n">
        <v>2548</v>
      </c>
      <c r="F69" s="7" t="n">
        <v>2029.4</v>
      </c>
      <c r="H69" s="7" t="n">
        <v>1738.4</v>
      </c>
      <c r="J69" s="7" t="n">
        <v>3299.4</v>
      </c>
      <c r="L69" s="7" t="n">
        <v>3301.9</v>
      </c>
      <c r="N69" s="7" t="n">
        <v>5123.8</v>
      </c>
      <c r="P69" s="7" t="n">
        <v>2962.3</v>
      </c>
      <c r="R69" s="7" t="n">
        <v>4714.4</v>
      </c>
      <c r="T69" s="7" t="n">
        <v>5616.2</v>
      </c>
      <c r="V69" s="7" t="n">
        <v>3331.2</v>
      </c>
      <c r="X69" s="7" t="n">
        <v>2318.3</v>
      </c>
      <c r="Z69" s="7" t="n">
        <v>2745.4</v>
      </c>
      <c r="AB69" s="7" t="n">
        <v>39728.7</v>
      </c>
    </row>
    <row r="70">
      <c r="A70" s="4" t="inlineStr">
        <is>
          <t>物业费</t>
        </is>
      </c>
      <c r="D70" s="7" t="n">
        <v>8208.9</v>
      </c>
      <c r="F70" s="7" t="n">
        <v>8915.9</v>
      </c>
      <c r="H70" s="7" t="n">
        <v>7571.3</v>
      </c>
      <c r="J70" s="7" t="n">
        <v>14239.9</v>
      </c>
      <c r="L70" s="7" t="n">
        <v>11980.8</v>
      </c>
      <c r="N70" s="7" t="n">
        <v>16673.1</v>
      </c>
      <c r="P70" s="7" t="n">
        <v>14075.8</v>
      </c>
      <c r="R70" s="7" t="n">
        <v>15116.9</v>
      </c>
      <c r="T70" s="7" t="n">
        <v>20362.2</v>
      </c>
      <c r="V70" s="7" t="n">
        <v>12193.1</v>
      </c>
      <c r="X70" s="7" t="n">
        <v>7542</v>
      </c>
      <c r="Z70" s="7" t="n">
        <v>11553.6</v>
      </c>
      <c r="AB70" s="7" t="n">
        <v>148433.5</v>
      </c>
    </row>
    <row r="71">
      <c r="A71" s="4" t="inlineStr">
        <is>
          <t>劳动保护费</t>
        </is>
      </c>
      <c r="D71" s="7" t="n">
        <v>1259.9</v>
      </c>
      <c r="F71" s="7" t="n">
        <v>909.7</v>
      </c>
      <c r="H71" s="7" t="n">
        <v>1012.9</v>
      </c>
      <c r="J71" s="7" t="n">
        <v>2084.5</v>
      </c>
      <c r="L71" s="7" t="n">
        <v>1236.7</v>
      </c>
      <c r="N71" s="7" t="n">
        <v>2049.1</v>
      </c>
      <c r="P71" s="7" t="n">
        <v>1800.1</v>
      </c>
      <c r="R71" s="7" t="n">
        <v>1589.7</v>
      </c>
      <c r="T71" s="7" t="n">
        <v>2775</v>
      </c>
      <c r="V71" s="7" t="n">
        <v>1105.2</v>
      </c>
      <c r="X71" s="7" t="n">
        <v>860.3</v>
      </c>
      <c r="Z71" s="7" t="n">
        <v>1569.5</v>
      </c>
      <c r="AB71" s="7" t="n">
        <v>18252.6</v>
      </c>
    </row>
    <row r="72">
      <c r="A72" s="4" t="inlineStr">
        <is>
          <t>顾问费</t>
        </is>
      </c>
      <c r="D72" s="7" t="n">
        <v>9192.9</v>
      </c>
      <c r="F72" s="7" t="n">
        <v>8594.9</v>
      </c>
      <c r="H72" s="7" t="n">
        <v>11082.7</v>
      </c>
      <c r="J72" s="7" t="n">
        <v>14754.7</v>
      </c>
      <c r="L72" s="7" t="n">
        <v>14907.8</v>
      </c>
      <c r="N72" s="7" t="n">
        <v>24205.6</v>
      </c>
      <c r="P72" s="7" t="n">
        <v>18553.1</v>
      </c>
      <c r="R72" s="7" t="n">
        <v>21134.3</v>
      </c>
      <c r="T72" s="7" t="n">
        <v>15106.4</v>
      </c>
      <c r="V72" s="7" t="n">
        <v>11626.6</v>
      </c>
      <c r="X72" s="7" t="n">
        <v>8789.1</v>
      </c>
      <c r="Z72" s="7" t="n">
        <v>13322.9</v>
      </c>
      <c r="AB72" s="7" t="n">
        <v>171271</v>
      </c>
    </row>
    <row r="73">
      <c r="A73" s="4" t="inlineStr">
        <is>
          <t>快递费</t>
        </is>
      </c>
      <c r="D73" s="7" t="n">
        <v>5246.3</v>
      </c>
      <c r="F73" s="7" t="n">
        <v>3564.2</v>
      </c>
      <c r="H73" s="7" t="n">
        <v>5668.8</v>
      </c>
      <c r="J73" s="7" t="n">
        <v>8801.200000000001</v>
      </c>
      <c r="L73" s="7" t="n">
        <v>6599.6</v>
      </c>
      <c r="N73" s="7" t="n">
        <v>12392.7</v>
      </c>
      <c r="P73" s="7" t="n">
        <v>6667.1</v>
      </c>
      <c r="R73" s="7" t="n">
        <v>12506</v>
      </c>
      <c r="T73" s="7" t="n">
        <v>10481.9</v>
      </c>
      <c r="V73" s="7" t="n">
        <v>9619.299999999999</v>
      </c>
      <c r="X73" s="7" t="n">
        <v>5102.3</v>
      </c>
      <c r="Z73" s="7" t="n">
        <v>4982.5</v>
      </c>
      <c r="AB73" s="7" t="n">
        <v>91631.89999999999</v>
      </c>
    </row>
    <row r="74">
      <c r="A74" s="4" t="inlineStr">
        <is>
          <t>诉讼费</t>
        </is>
      </c>
      <c r="D74" s="7" t="n">
        <v>134.8</v>
      </c>
      <c r="F74" s="7" t="n">
        <v>85.59999999999999</v>
      </c>
      <c r="H74" s="7" t="n">
        <v>82.59999999999999</v>
      </c>
      <c r="J74" s="7" t="n">
        <v>180.5</v>
      </c>
      <c r="L74" s="7" t="n">
        <v>121.5</v>
      </c>
      <c r="N74" s="7" t="n">
        <v>212.8</v>
      </c>
      <c r="P74" s="7" t="n">
        <v>115.1</v>
      </c>
      <c r="R74" s="7" t="n">
        <v>230.8</v>
      </c>
      <c r="T74" s="7" t="n">
        <v>270.8</v>
      </c>
      <c r="V74" s="7" t="n">
        <v>142.2</v>
      </c>
      <c r="X74" s="7" t="n">
        <v>142.6</v>
      </c>
      <c r="Z74" s="7" t="n">
        <v>167.9</v>
      </c>
      <c r="AB74" s="7" t="n">
        <v>1887.2</v>
      </c>
    </row>
    <row r="75">
      <c r="A75" s="4" t="inlineStr">
        <is>
          <t>会员费</t>
        </is>
      </c>
      <c r="D75" s="7" t="n">
        <v>3390.1</v>
      </c>
      <c r="F75" s="7" t="n">
        <v>2463.4</v>
      </c>
      <c r="H75" s="7" t="n">
        <v>2747.1</v>
      </c>
      <c r="J75" s="7" t="n">
        <v>5545.9</v>
      </c>
      <c r="L75" s="7" t="n">
        <v>3548.4</v>
      </c>
      <c r="N75" s="7" t="n">
        <v>6152.4</v>
      </c>
      <c r="P75" s="7" t="n">
        <v>5000.1</v>
      </c>
      <c r="R75" s="7" t="n">
        <v>5868.9</v>
      </c>
      <c r="T75" s="7" t="n">
        <v>5349.5</v>
      </c>
      <c r="V75" s="7" t="n">
        <v>4188</v>
      </c>
      <c r="X75" s="7" t="n">
        <v>4259.7</v>
      </c>
      <c r="Z75" s="7" t="n">
        <v>4801.9</v>
      </c>
      <c r="AB75" s="7" t="n">
        <v>53315.4</v>
      </c>
    </row>
    <row r="76">
      <c r="A76" s="4" t="inlineStr">
        <is>
          <t>广告宣传费</t>
        </is>
      </c>
      <c r="D76" s="7" t="n">
        <v>46600.1</v>
      </c>
      <c r="F76" s="7" t="n">
        <v>66421.3</v>
      </c>
      <c r="H76" s="7" t="n">
        <v>66090</v>
      </c>
      <c r="J76" s="7" t="n">
        <v>90558.39999999999</v>
      </c>
      <c r="L76" s="7" t="n">
        <v>55200.8</v>
      </c>
      <c r="N76" s="7" t="n">
        <v>82647.5</v>
      </c>
      <c r="P76" s="7" t="n">
        <v>100371.2</v>
      </c>
      <c r="R76" s="7" t="n">
        <v>114961.6</v>
      </c>
      <c r="T76" s="7" t="n">
        <v>123120.8</v>
      </c>
      <c r="V76" s="7" t="n">
        <v>113247.5</v>
      </c>
      <c r="X76" s="7" t="n">
        <v>49572.7</v>
      </c>
      <c r="Z76" s="7" t="n">
        <v>84186.10000000001</v>
      </c>
      <c r="AB76" s="7" t="n">
        <v>992978</v>
      </c>
    </row>
    <row r="77">
      <c r="A77" s="4" t="inlineStr">
        <is>
          <t>会务费</t>
        </is>
      </c>
      <c r="D77" s="7" t="n">
        <v>5203.5</v>
      </c>
      <c r="F77" s="7" t="n">
        <v>5455.8</v>
      </c>
      <c r="H77" s="7" t="n">
        <v>5792.7</v>
      </c>
      <c r="J77" s="7" t="n">
        <v>10075.5</v>
      </c>
      <c r="L77" s="7" t="n">
        <v>5455.4</v>
      </c>
      <c r="N77" s="7" t="n">
        <v>10649.3</v>
      </c>
      <c r="P77" s="7" t="n">
        <v>8305.4</v>
      </c>
      <c r="R77" s="7" t="n">
        <v>10218</v>
      </c>
      <c r="T77" s="7" t="n">
        <v>10623</v>
      </c>
      <c r="V77" s="7" t="n">
        <v>6454.7</v>
      </c>
      <c r="X77" s="7" t="n">
        <v>6378.2</v>
      </c>
      <c r="Z77" s="7" t="n">
        <v>7380.3</v>
      </c>
      <c r="AB77" s="7" t="n">
        <v>91991.8</v>
      </c>
    </row>
    <row r="78">
      <c r="A78" s="4" t="inlineStr">
        <is>
          <t>装修费</t>
        </is>
      </c>
      <c r="D78" s="7" t="n">
        <v>9164</v>
      </c>
      <c r="F78" s="7" t="n">
        <v>9478</v>
      </c>
      <c r="H78" s="7" t="n">
        <v>10506.4</v>
      </c>
      <c r="J78" s="7" t="n">
        <v>22068.7</v>
      </c>
      <c r="L78" s="7" t="n">
        <v>12653</v>
      </c>
      <c r="N78" s="7" t="n">
        <v>27750.7</v>
      </c>
      <c r="P78" s="7" t="n">
        <v>17070.7</v>
      </c>
      <c r="R78" s="7" t="n">
        <v>24086.6</v>
      </c>
      <c r="T78" s="7" t="n">
        <v>18190</v>
      </c>
      <c r="V78" s="7" t="n">
        <v>16017.8</v>
      </c>
      <c r="X78" s="7" t="n">
        <v>13618</v>
      </c>
      <c r="Z78" s="7" t="n">
        <v>11273.9</v>
      </c>
      <c r="AB78" s="7" t="n">
        <v>191877.8</v>
      </c>
    </row>
    <row r="79">
      <c r="A79" s="4" t="inlineStr">
        <is>
          <t>推广费</t>
        </is>
      </c>
      <c r="D79" s="7" t="n">
        <v>12125.3</v>
      </c>
      <c r="F79" s="7" t="n">
        <v>10549.5</v>
      </c>
      <c r="H79" s="7" t="n">
        <v>11190</v>
      </c>
      <c r="J79" s="7" t="n">
        <v>18154.5</v>
      </c>
      <c r="L79" s="7" t="n">
        <v>8869.799999999999</v>
      </c>
      <c r="N79" s="7" t="n">
        <v>22978.5</v>
      </c>
      <c r="P79" s="7" t="n">
        <v>10665.7</v>
      </c>
      <c r="R79" s="7" t="n">
        <v>18217.7</v>
      </c>
      <c r="T79" s="7" t="n">
        <v>23423.3</v>
      </c>
      <c r="V79" s="7" t="n">
        <v>17852</v>
      </c>
      <c r="X79" s="7" t="n">
        <v>7882.3</v>
      </c>
      <c r="Z79" s="7" t="n">
        <v>13393.1</v>
      </c>
      <c r="AB79" s="7" t="n">
        <v>175301.7</v>
      </c>
    </row>
    <row r="80">
      <c r="A80" s="4" t="inlineStr">
        <is>
          <t>展会费</t>
        </is>
      </c>
      <c r="D80" s="7" t="n">
        <v>9103.1</v>
      </c>
      <c r="F80" s="7" t="n">
        <v>6529.1</v>
      </c>
      <c r="H80" s="7" t="n">
        <v>9479.700000000001</v>
      </c>
      <c r="J80" s="7" t="n">
        <v>23621</v>
      </c>
      <c r="L80" s="7" t="n">
        <v>12717.6</v>
      </c>
      <c r="N80" s="7" t="n">
        <v>20477.5</v>
      </c>
      <c r="P80" s="7" t="n">
        <v>15171.5</v>
      </c>
      <c r="R80" s="7" t="n">
        <v>23052.2</v>
      </c>
      <c r="T80" s="7" t="n">
        <v>21267.6</v>
      </c>
      <c r="V80" s="7" t="n">
        <v>19484.3</v>
      </c>
      <c r="X80" s="7" t="n">
        <v>13579.2</v>
      </c>
      <c r="Z80" s="7" t="n">
        <v>11819.9</v>
      </c>
      <c r="AB80" s="7" t="n">
        <v>186302.7</v>
      </c>
    </row>
    <row r="81">
      <c r="A81" s="4" t="inlineStr">
        <is>
          <t>设计费</t>
        </is>
      </c>
      <c r="D81" s="7" t="n">
        <v>569.2</v>
      </c>
      <c r="F81" s="7" t="n">
        <v>454.1</v>
      </c>
      <c r="H81" s="7" t="n">
        <v>526.1</v>
      </c>
      <c r="J81" s="7" t="n">
        <v>930.1</v>
      </c>
      <c r="L81" s="7" t="n">
        <v>422.7</v>
      </c>
      <c r="N81" s="7" t="n">
        <v>885.1</v>
      </c>
      <c r="P81" s="7" t="n">
        <v>548.3</v>
      </c>
      <c r="R81" s="7" t="n">
        <v>654.1</v>
      </c>
      <c r="T81" s="7" t="n">
        <v>1278.9</v>
      </c>
      <c r="V81" s="7" t="n">
        <v>800.9</v>
      </c>
      <c r="X81" s="7" t="n">
        <v>547.9</v>
      </c>
      <c r="Z81" s="7" t="n">
        <v>522.3</v>
      </c>
      <c r="AB81" s="7" t="n">
        <v>8139.7</v>
      </c>
    </row>
    <row r="82">
      <c r="A82" s="4" t="inlineStr">
        <is>
          <t>折旧费</t>
        </is>
      </c>
      <c r="D82" s="7" t="n">
        <v>58758.1</v>
      </c>
      <c r="F82" s="7" t="n">
        <v>68433.5</v>
      </c>
      <c r="H82" s="7" t="n">
        <v>96822</v>
      </c>
      <c r="J82" s="7" t="n">
        <v>134069.8</v>
      </c>
      <c r="L82" s="7" t="n">
        <v>77214.10000000001</v>
      </c>
      <c r="N82" s="7" t="n">
        <v>134919.1</v>
      </c>
      <c r="P82" s="7" t="n">
        <v>143505.3</v>
      </c>
      <c r="R82" s="7" t="n">
        <v>109477.2</v>
      </c>
      <c r="T82" s="7" t="n">
        <v>130867.6</v>
      </c>
      <c r="V82" s="7" t="n">
        <v>93898.8</v>
      </c>
      <c r="X82" s="7" t="n">
        <v>92883.10000000001</v>
      </c>
      <c r="Z82" s="7" t="n">
        <v>81773.5</v>
      </c>
      <c r="AB82" s="7" t="n">
        <v>1222622.1</v>
      </c>
    </row>
    <row r="83">
      <c r="A83" s="4" t="inlineStr">
        <is>
          <t>认证费</t>
        </is>
      </c>
      <c r="D83" s="7" t="n">
        <v>6800.5</v>
      </c>
      <c r="F83" s="7" t="n">
        <v>4278.7</v>
      </c>
      <c r="H83" s="7" t="n">
        <v>6560.2</v>
      </c>
      <c r="J83" s="7" t="n">
        <v>11224.1</v>
      </c>
      <c r="L83" s="7" t="n">
        <v>8555.6</v>
      </c>
      <c r="N83" s="7" t="n">
        <v>13844.2</v>
      </c>
      <c r="P83" s="7" t="n">
        <v>7834.7</v>
      </c>
      <c r="R83" s="7" t="n">
        <v>8492.700000000001</v>
      </c>
      <c r="T83" s="7" t="n">
        <v>9833.700000000001</v>
      </c>
      <c r="V83" s="7" t="n">
        <v>10767.8</v>
      </c>
      <c r="X83" s="7" t="n">
        <v>5108.5</v>
      </c>
      <c r="Z83" s="7" t="n">
        <v>7554.3</v>
      </c>
      <c r="AB83" s="7" t="n">
        <v>100855</v>
      </c>
    </row>
    <row r="84">
      <c r="A84" s="4" t="inlineStr">
        <is>
          <t>样品费</t>
        </is>
      </c>
      <c r="D84" s="7" t="n">
        <v>50806.4</v>
      </c>
      <c r="F84" s="7" t="n">
        <v>39634.4</v>
      </c>
      <c r="H84" s="7" t="n">
        <v>33694.3</v>
      </c>
      <c r="J84" s="7" t="n">
        <v>74568.39999999999</v>
      </c>
      <c r="L84" s="7" t="n">
        <v>53614.6</v>
      </c>
      <c r="N84" s="7" t="n">
        <v>64192.2</v>
      </c>
      <c r="P84" s="7" t="n">
        <v>67375.7</v>
      </c>
      <c r="R84" s="7" t="n">
        <v>70076.10000000001</v>
      </c>
      <c r="T84" s="7" t="n">
        <v>92601.7</v>
      </c>
      <c r="V84" s="7" t="n">
        <v>67281.89999999999</v>
      </c>
      <c r="X84" s="7" t="n">
        <v>33876</v>
      </c>
      <c r="Z84" s="7" t="n">
        <v>41397.6</v>
      </c>
      <c r="AB84" s="7" t="n">
        <v>689119.3</v>
      </c>
    </row>
    <row r="85">
      <c r="A85" s="4" t="inlineStr">
        <is>
          <t>劳务费</t>
        </is>
      </c>
      <c r="D85" s="7" t="n">
        <v>4513.8</v>
      </c>
      <c r="F85" s="7" t="n">
        <v>5116.9</v>
      </c>
      <c r="H85" s="7" t="n">
        <v>6018.5</v>
      </c>
      <c r="J85" s="7" t="n">
        <v>10309</v>
      </c>
      <c r="L85" s="7" t="n">
        <v>6007.9</v>
      </c>
      <c r="N85" s="7" t="n">
        <v>11406.4</v>
      </c>
      <c r="P85" s="7" t="n">
        <v>7604.8</v>
      </c>
      <c r="R85" s="7" t="n">
        <v>7949.9</v>
      </c>
      <c r="T85" s="7" t="n">
        <v>13632.4</v>
      </c>
      <c r="V85" s="7" t="n">
        <v>5393.2</v>
      </c>
      <c r="X85" s="7" t="n">
        <v>7229.8</v>
      </c>
      <c r="Z85" s="7" t="n">
        <v>6552.9</v>
      </c>
      <c r="AB85" s="7" t="n">
        <v>91735.5</v>
      </c>
    </row>
    <row r="86">
      <c r="A86" s="4" t="inlineStr">
        <is>
          <t>销售佣金</t>
        </is>
      </c>
      <c r="D86" s="7" t="n">
        <v>11135.7</v>
      </c>
      <c r="F86" s="7" t="n">
        <v>8418.700000000001</v>
      </c>
      <c r="H86" s="7" t="n">
        <v>6444.6</v>
      </c>
      <c r="J86" s="7" t="n">
        <v>21518</v>
      </c>
      <c r="L86" s="7" t="n">
        <v>11925.9</v>
      </c>
      <c r="N86" s="7" t="n">
        <v>22006.4</v>
      </c>
      <c r="P86" s="7" t="n">
        <v>12602.6</v>
      </c>
      <c r="R86" s="7" t="n">
        <v>21497.3</v>
      </c>
      <c r="T86" s="7" t="n">
        <v>23060.7</v>
      </c>
      <c r="V86" s="7" t="n">
        <v>11692.9</v>
      </c>
      <c r="X86" s="7" t="n">
        <v>8423.700000000001</v>
      </c>
      <c r="Z86" s="7" t="n">
        <v>8730.700000000001</v>
      </c>
      <c r="AB86" s="7" t="n">
        <v>167457.2</v>
      </c>
    </row>
    <row r="87">
      <c r="A87" s="4" t="inlineStr">
        <is>
          <t>检测费</t>
        </is>
      </c>
      <c r="D87" s="7" t="n">
        <v>7860.3</v>
      </c>
      <c r="F87" s="7" t="n">
        <v>8515.299999999999</v>
      </c>
      <c r="H87" s="7" t="n">
        <v>9859.299999999999</v>
      </c>
      <c r="J87" s="7" t="n">
        <v>18926.1</v>
      </c>
      <c r="L87" s="7" t="n">
        <v>11191</v>
      </c>
      <c r="N87" s="7" t="n">
        <v>13612.5</v>
      </c>
      <c r="P87" s="7" t="n">
        <v>11436.4</v>
      </c>
      <c r="R87" s="7" t="n">
        <v>18467</v>
      </c>
      <c r="T87" s="7" t="n">
        <v>14788.9</v>
      </c>
      <c r="V87" s="7" t="n">
        <v>12873.5</v>
      </c>
      <c r="X87" s="7" t="n">
        <v>10422.6</v>
      </c>
      <c r="Z87" s="7" t="n">
        <v>13301.8</v>
      </c>
      <c r="AB87" s="7" t="n">
        <v>151254.7</v>
      </c>
    </row>
    <row r="88">
      <c r="A88" s="4" t="inlineStr">
        <is>
          <t>质量赔偿</t>
        </is>
      </c>
      <c r="D88" s="7" t="n">
        <v>116.6</v>
      </c>
      <c r="F88" s="7" t="n">
        <v>102</v>
      </c>
      <c r="H88" s="7" t="n">
        <v>151.7</v>
      </c>
      <c r="J88" s="7" t="n">
        <v>252.3</v>
      </c>
      <c r="L88" s="7" t="n">
        <v>169</v>
      </c>
      <c r="N88" s="7" t="n">
        <v>248.5</v>
      </c>
      <c r="P88" s="7" t="n">
        <v>165.5</v>
      </c>
      <c r="R88" s="7" t="n">
        <v>228.8</v>
      </c>
      <c r="T88" s="7" t="n">
        <v>422.6</v>
      </c>
      <c r="V88" s="7" t="n">
        <v>250.3</v>
      </c>
      <c r="X88" s="7" t="n">
        <v>207.4</v>
      </c>
      <c r="Z88" s="7" t="n">
        <v>257.6</v>
      </c>
      <c r="AB88" s="7" t="n">
        <v>2572.3</v>
      </c>
    </row>
    <row r="89">
      <c r="A89" s="4" t="inlineStr">
        <is>
          <t>保险费</t>
        </is>
      </c>
      <c r="D89" s="7" t="n">
        <v>9224.299999999999</v>
      </c>
      <c r="F89" s="7" t="n">
        <v>5507.7</v>
      </c>
      <c r="H89" s="7" t="n">
        <v>10153</v>
      </c>
      <c r="J89" s="7" t="n">
        <v>12587.9</v>
      </c>
      <c r="L89" s="7" t="n">
        <v>11333.6</v>
      </c>
      <c r="N89" s="7" t="n">
        <v>20147</v>
      </c>
      <c r="P89" s="7" t="n">
        <v>12847.7</v>
      </c>
      <c r="R89" s="7" t="n">
        <v>20693.3</v>
      </c>
      <c r="T89" s="7" t="n">
        <v>22090.4</v>
      </c>
      <c r="V89" s="7" t="n">
        <v>13637.7</v>
      </c>
      <c r="X89" s="7" t="n">
        <v>7846</v>
      </c>
      <c r="Z89" s="7" t="n">
        <v>10603.8</v>
      </c>
      <c r="AB89" s="7" t="n">
        <v>156672.4</v>
      </c>
    </row>
    <row r="90">
      <c r="A90" s="4" t="inlineStr">
        <is>
          <t>清洁费</t>
        </is>
      </c>
      <c r="D90" s="7" t="n">
        <v>13033.5</v>
      </c>
      <c r="F90" s="7" t="n">
        <v>13122.3</v>
      </c>
      <c r="H90" s="7" t="n">
        <v>10625.3</v>
      </c>
      <c r="J90" s="7" t="n">
        <v>22700.3</v>
      </c>
      <c r="L90" s="7" t="n">
        <v>18881.3</v>
      </c>
      <c r="N90" s="7" t="n">
        <v>27699.5</v>
      </c>
      <c r="P90" s="7" t="n">
        <v>16210</v>
      </c>
      <c r="R90" s="7" t="n">
        <v>18904.2</v>
      </c>
      <c r="T90" s="7" t="n">
        <v>19494.5</v>
      </c>
      <c r="V90" s="7" t="n">
        <v>20884.1</v>
      </c>
      <c r="X90" s="7" t="n">
        <v>12560.9</v>
      </c>
      <c r="Z90" s="7" t="n">
        <v>14278.7</v>
      </c>
      <c r="AB90" s="7" t="n">
        <v>208394.6</v>
      </c>
    </row>
    <row r="91">
      <c r="A91" s="4" t="inlineStr">
        <is>
          <t>低值易耗品</t>
        </is>
      </c>
      <c r="D91" s="7" t="n">
        <v>982.9</v>
      </c>
      <c r="F91" s="7" t="n">
        <v>576.7</v>
      </c>
      <c r="H91" s="7" t="n">
        <v>759.2</v>
      </c>
      <c r="J91" s="7" t="n">
        <v>1515.4</v>
      </c>
      <c r="L91" s="7" t="n">
        <v>1226</v>
      </c>
      <c r="N91" s="7" t="n">
        <v>1630.6</v>
      </c>
      <c r="P91" s="7" t="n">
        <v>938.7</v>
      </c>
      <c r="R91" s="7" t="n">
        <v>1514.1</v>
      </c>
      <c r="T91" s="7" t="n">
        <v>1321.1</v>
      </c>
      <c r="V91" s="7" t="n">
        <v>1334</v>
      </c>
      <c r="X91" s="7" t="n">
        <v>720.3</v>
      </c>
      <c r="Z91" s="7" t="n">
        <v>1105.8</v>
      </c>
      <c r="AB91" s="7" t="n">
        <v>13624.8</v>
      </c>
    </row>
    <row r="92">
      <c r="A92" s="4" t="inlineStr">
        <is>
          <t>物料消耗</t>
        </is>
      </c>
      <c r="D92" s="7" t="n">
        <v>13244.5</v>
      </c>
      <c r="F92" s="7" t="n">
        <v>7775.1</v>
      </c>
      <c r="H92" s="7" t="n">
        <v>8897.299999999999</v>
      </c>
      <c r="J92" s="7" t="n">
        <v>24133.3</v>
      </c>
      <c r="L92" s="7" t="n">
        <v>12601.6</v>
      </c>
      <c r="N92" s="7" t="n">
        <v>22484.4</v>
      </c>
      <c r="P92" s="7" t="n">
        <v>21879.5</v>
      </c>
      <c r="R92" s="7" t="n">
        <v>18246.3</v>
      </c>
      <c r="T92" s="7" t="n">
        <v>27678.4</v>
      </c>
      <c r="V92" s="7" t="n">
        <v>21989.9</v>
      </c>
      <c r="X92" s="7" t="n">
        <v>14471.6</v>
      </c>
      <c r="Z92" s="7" t="n">
        <v>13304.4</v>
      </c>
      <c r="AB92" s="7" t="n">
        <v>206706.3</v>
      </c>
    </row>
    <row r="93">
      <c r="A93" s="4" t="inlineStr">
        <is>
          <t>盘盈盘亏</t>
        </is>
      </c>
      <c r="D93" s="7" t="n">
        <v>11181.1</v>
      </c>
      <c r="F93" s="7" t="n">
        <v>8177.9</v>
      </c>
      <c r="H93" s="7" t="n">
        <v>9261.299999999999</v>
      </c>
      <c r="J93" s="7" t="n">
        <v>22438.2</v>
      </c>
      <c r="L93" s="7" t="n">
        <v>11304.1</v>
      </c>
      <c r="N93" s="7" t="n">
        <v>17142.5</v>
      </c>
      <c r="P93" s="7" t="n">
        <v>16356.8</v>
      </c>
      <c r="R93" s="7" t="n">
        <v>20721.7</v>
      </c>
      <c r="T93" s="7" t="n">
        <v>22936.2</v>
      </c>
      <c r="V93" s="7" t="n">
        <v>13712.7</v>
      </c>
      <c r="X93" s="7" t="n">
        <v>7092.3</v>
      </c>
      <c r="Z93" s="7" t="n">
        <v>15103.2</v>
      </c>
      <c r="AB93" s="7" t="n">
        <v>175428</v>
      </c>
    </row>
    <row r="94">
      <c r="A94" s="4" t="inlineStr">
        <is>
          <t>平台服务费</t>
        </is>
      </c>
      <c r="D94" s="7" t="n">
        <v>10399.3</v>
      </c>
      <c r="F94" s="7" t="n">
        <v>9514.9</v>
      </c>
      <c r="H94" s="7" t="n">
        <v>13521.1</v>
      </c>
      <c r="J94" s="7" t="n">
        <v>18987</v>
      </c>
      <c r="L94" s="7" t="n">
        <v>14731.6</v>
      </c>
      <c r="N94" s="7" t="n">
        <v>19587.2</v>
      </c>
      <c r="P94" s="7" t="n">
        <v>17099.1</v>
      </c>
      <c r="R94" s="7" t="n">
        <v>26423.6</v>
      </c>
      <c r="T94" s="7" t="n">
        <v>17261.9</v>
      </c>
      <c r="V94" s="7" t="n">
        <v>15971</v>
      </c>
      <c r="X94" s="7" t="n">
        <v>15069.9</v>
      </c>
      <c r="Z94" s="7" t="n">
        <v>10377.3</v>
      </c>
      <c r="AB94" s="7" t="n">
        <v>188943.9</v>
      </c>
    </row>
    <row r="95">
      <c r="A95" s="4" t="inlineStr">
        <is>
          <t>无形资产摊销</t>
        </is>
      </c>
      <c r="D95" s="7" t="n">
        <v>6851.8</v>
      </c>
      <c r="F95" s="7" t="n">
        <v>5595</v>
      </c>
      <c r="H95" s="7" t="n">
        <v>4856.1</v>
      </c>
      <c r="J95" s="7" t="n">
        <v>8434.200000000001</v>
      </c>
      <c r="L95" s="7" t="n">
        <v>6945</v>
      </c>
      <c r="N95" s="7" t="n">
        <v>9534.4</v>
      </c>
      <c r="P95" s="7" t="n">
        <v>9948.1</v>
      </c>
      <c r="R95" s="7" t="n">
        <v>14412.4</v>
      </c>
      <c r="T95" s="7" t="n">
        <v>13865.4</v>
      </c>
      <c r="V95" s="7" t="n">
        <v>8049.4</v>
      </c>
      <c r="X95" s="7" t="n">
        <v>4981.2</v>
      </c>
      <c r="Z95" s="7" t="n">
        <v>8413.799999999999</v>
      </c>
      <c r="AB95" s="7" t="n">
        <v>101886.8</v>
      </c>
    </row>
    <row r="96">
      <c r="A96" s="4" t="inlineStr">
        <is>
          <t>研发材料</t>
        </is>
      </c>
      <c r="D96" s="7" t="n">
        <v>7408.6</v>
      </c>
      <c r="F96" s="7" t="n">
        <v>6707.7</v>
      </c>
      <c r="H96" s="7" t="n">
        <v>10909.7</v>
      </c>
      <c r="J96" s="7" t="n">
        <v>19686.8</v>
      </c>
      <c r="L96" s="7" t="n">
        <v>11863.2</v>
      </c>
      <c r="N96" s="7" t="n">
        <v>13814.9</v>
      </c>
      <c r="P96" s="7" t="n">
        <v>14587.6</v>
      </c>
      <c r="R96" s="7" t="n">
        <v>16477.3</v>
      </c>
      <c r="T96" s="7" t="n">
        <v>20988.5</v>
      </c>
      <c r="V96" s="7" t="n">
        <v>16885.7</v>
      </c>
      <c r="X96" s="7" t="n">
        <v>10289.5</v>
      </c>
      <c r="Z96" s="7" t="n">
        <v>16175.9</v>
      </c>
      <c r="AB96" s="7" t="n">
        <v>165795.4</v>
      </c>
    </row>
    <row r="97">
      <c r="A97" s="4" t="inlineStr">
        <is>
          <t>项目名称</t>
        </is>
      </c>
      <c r="D97" s="7" t="n">
        <v>349.3</v>
      </c>
      <c r="F97" s="7" t="n">
        <v>485.7</v>
      </c>
      <c r="H97" s="7" t="n">
        <v>352.4</v>
      </c>
      <c r="J97" s="7" t="n">
        <v>724.2</v>
      </c>
      <c r="L97" s="7" t="n">
        <v>712.3</v>
      </c>
      <c r="N97" s="7" t="n">
        <v>1038</v>
      </c>
      <c r="P97" s="7" t="n">
        <v>699.5</v>
      </c>
      <c r="R97" s="7" t="n">
        <v>1038.6</v>
      </c>
      <c r="T97" s="7" t="n">
        <v>1268.9</v>
      </c>
      <c r="V97" s="7" t="n">
        <v>559.3</v>
      </c>
      <c r="X97" s="7" t="n">
        <v>560.1</v>
      </c>
      <c r="Z97" s="7" t="n">
        <v>788.1</v>
      </c>
      <c r="AB97" s="7" t="n">
        <v>8576.4</v>
      </c>
    </row>
    <row r="98">
      <c r="A98" s="4" t="inlineStr">
        <is>
          <t>研发费</t>
        </is>
      </c>
      <c r="D98" s="7" t="n">
        <v>372</v>
      </c>
      <c r="F98" s="7" t="n">
        <v>450.4</v>
      </c>
      <c r="H98" s="7" t="n">
        <v>475.1</v>
      </c>
      <c r="J98" s="7" t="n">
        <v>1169.7</v>
      </c>
      <c r="L98" s="7" t="n">
        <v>435.6</v>
      </c>
      <c r="N98" s="7" t="n">
        <v>1052.5</v>
      </c>
      <c r="P98" s="7" t="n">
        <v>555.9</v>
      </c>
      <c r="R98" s="7" t="n">
        <v>750.4</v>
      </c>
      <c r="T98" s="7" t="n">
        <v>753</v>
      </c>
      <c r="V98" s="7" t="n">
        <v>623.8</v>
      </c>
      <c r="X98" s="7" t="n">
        <v>626</v>
      </c>
      <c r="Z98" s="7" t="n">
        <v>608.8</v>
      </c>
      <c r="AB98" s="7" t="n">
        <v>7873.2</v>
      </c>
    </row>
    <row r="99">
      <c r="A99" s="4" t="inlineStr">
        <is>
          <t>残保金</t>
        </is>
      </c>
      <c r="D99" s="7" t="n">
        <v>2313.5</v>
      </c>
      <c r="F99" s="7" t="n">
        <v>2272.4</v>
      </c>
      <c r="H99" s="7" t="n">
        <v>1709</v>
      </c>
      <c r="J99" s="7" t="n">
        <v>4321.1</v>
      </c>
      <c r="L99" s="7" t="n">
        <v>3269.2</v>
      </c>
      <c r="N99" s="7" t="n">
        <v>3617.8</v>
      </c>
      <c r="P99" s="7" t="n">
        <v>3909.6</v>
      </c>
      <c r="R99" s="7" t="n">
        <v>4132.2</v>
      </c>
      <c r="T99" s="7" t="n">
        <v>5667.2</v>
      </c>
      <c r="V99" s="7" t="n">
        <v>4209.4</v>
      </c>
      <c r="X99" s="7" t="n">
        <v>2727.1</v>
      </c>
      <c r="Z99" s="7" t="n">
        <v>2588.7</v>
      </c>
      <c r="AB99" s="7" t="n">
        <v>40737.2</v>
      </c>
    </row>
    <row r="100">
      <c r="A100" s="4" t="inlineStr">
        <is>
          <t>环保费</t>
        </is>
      </c>
      <c r="D100" s="7" t="n">
        <v>13113.1</v>
      </c>
      <c r="F100" s="7" t="n">
        <v>8536.799999999999</v>
      </c>
      <c r="H100" s="7" t="n">
        <v>15373.9</v>
      </c>
      <c r="J100" s="7" t="n">
        <v>29098.3</v>
      </c>
      <c r="L100" s="7" t="n">
        <v>18358.3</v>
      </c>
      <c r="N100" s="7" t="n">
        <v>26237.3</v>
      </c>
      <c r="P100" s="7" t="n">
        <v>17034.1</v>
      </c>
      <c r="R100" s="7" t="n">
        <v>19093.9</v>
      </c>
      <c r="T100" s="7" t="n">
        <v>21421.9</v>
      </c>
      <c r="V100" s="7" t="n">
        <v>17715.5</v>
      </c>
      <c r="X100" s="7" t="n">
        <v>15742.3</v>
      </c>
      <c r="Z100" s="7" t="n">
        <v>17075.1</v>
      </c>
      <c r="AB100" s="7" t="n">
        <v>218800.5</v>
      </c>
    </row>
    <row r="101">
      <c r="A101" s="4" t="inlineStr">
        <is>
          <t>报废损失</t>
        </is>
      </c>
      <c r="D101" s="7" t="n">
        <v>7077.4</v>
      </c>
      <c r="F101" s="7" t="n">
        <v>3553.1</v>
      </c>
      <c r="H101" s="7" t="n">
        <v>4370</v>
      </c>
      <c r="J101" s="7" t="n">
        <v>13442.3</v>
      </c>
      <c r="L101" s="7" t="n">
        <v>7603.6</v>
      </c>
      <c r="N101" s="7" t="n">
        <v>13031.1</v>
      </c>
      <c r="P101" s="7" t="n">
        <v>6026.6</v>
      </c>
      <c r="R101" s="7" t="n">
        <v>11024.5</v>
      </c>
      <c r="T101" s="7" t="n">
        <v>8636.4</v>
      </c>
      <c r="V101" s="7" t="n">
        <v>6776.6</v>
      </c>
      <c r="X101" s="7" t="n">
        <v>4770.2</v>
      </c>
      <c r="Z101" s="7" t="n">
        <v>8114.4</v>
      </c>
      <c r="AB101" s="7" t="n">
        <v>94426.2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1060786</v>
      </c>
      <c r="D102" s="7" t="n">
        <v>915560.3</v>
      </c>
      <c r="E102" s="7" t="n">
        <v>1173396.1</v>
      </c>
      <c r="F102" s="7" t="n">
        <v>723023.4</v>
      </c>
      <c r="G102" s="7" t="n">
        <v>1331954.4</v>
      </c>
      <c r="H102" s="7" t="n">
        <v>1251736.5</v>
      </c>
      <c r="I102" s="7" t="n">
        <v>1218211</v>
      </c>
      <c r="J102" s="7" t="n">
        <v>1429059.5</v>
      </c>
      <c r="K102" s="7" t="n">
        <v>1272913.6</v>
      </c>
      <c r="L102" s="7" t="n">
        <v>1489942.6</v>
      </c>
      <c r="M102" s="7" t="n">
        <v>1119875.5</v>
      </c>
      <c r="N102" s="7" t="n">
        <v>979045.7</v>
      </c>
      <c r="O102" s="7" t="n">
        <v>999029.1</v>
      </c>
      <c r="P102" s="7" t="n">
        <v>1623685.5</v>
      </c>
      <c r="Q102" s="7" t="n">
        <v>1080372.5</v>
      </c>
      <c r="R102" s="7" t="n">
        <v>1237592.8</v>
      </c>
      <c r="S102" s="7" t="n">
        <v>1038786.7</v>
      </c>
      <c r="T102" s="7" t="n">
        <v>999029.7</v>
      </c>
      <c r="U102" s="7" t="n">
        <v>1184066.6</v>
      </c>
      <c r="V102" s="7" t="n">
        <v>1876327.5</v>
      </c>
      <c r="W102" s="7" t="n">
        <v>1031104</v>
      </c>
      <c r="X102" s="7" t="n">
        <v>1107979.9</v>
      </c>
      <c r="Y102" s="7" t="n">
        <v>1124820.7</v>
      </c>
      <c r="Z102" s="7" t="n">
        <v>448244.6</v>
      </c>
      <c r="AA102" s="8" t="n">
        <v>13635316.2</v>
      </c>
      <c r="AB102" s="8" t="n">
        <v>14081228</v>
      </c>
    </row>
    <row r="103">
      <c r="A103" s="4" t="inlineStr">
        <is>
          <t>职工薪酬</t>
        </is>
      </c>
      <c r="D103" s="7" t="n">
        <v>493821.7</v>
      </c>
      <c r="F103" s="7" t="n">
        <v>319921.4</v>
      </c>
      <c r="H103" s="7" t="n">
        <v>670075.9</v>
      </c>
      <c r="J103" s="7" t="n">
        <v>699240.6</v>
      </c>
      <c r="L103" s="7" t="n">
        <v>751744.2</v>
      </c>
      <c r="N103" s="7" t="n">
        <v>478463.4</v>
      </c>
      <c r="P103" s="7" t="n">
        <v>899312</v>
      </c>
      <c r="R103" s="7" t="n">
        <v>699527</v>
      </c>
      <c r="T103" s="7" t="n">
        <v>425568.5</v>
      </c>
      <c r="V103" s="7" t="n">
        <v>1063185.8</v>
      </c>
      <c r="X103" s="7" t="n">
        <v>670105.1</v>
      </c>
      <c r="Z103" s="7" t="n">
        <v>196337.4</v>
      </c>
      <c r="AB103" s="7" t="n">
        <v>7367303</v>
      </c>
    </row>
    <row r="104">
      <c r="A104" s="4" t="inlineStr">
        <is>
          <t>工资</t>
        </is>
      </c>
      <c r="D104" s="7" t="n">
        <v>302707.7</v>
      </c>
      <c r="F104" s="7" t="n">
        <v>157446.2</v>
      </c>
      <c r="H104" s="7" t="n">
        <v>408159.9</v>
      </c>
      <c r="J104" s="7" t="n">
        <v>373429.8</v>
      </c>
      <c r="L104" s="7" t="n">
        <v>429462.4</v>
      </c>
      <c r="N104" s="7" t="n">
        <v>264511.7</v>
      </c>
      <c r="P104" s="7" t="n">
        <v>576290.9</v>
      </c>
      <c r="R104" s="7" t="n">
        <v>428842.5</v>
      </c>
      <c r="T104" s="7" t="n">
        <v>217585.8</v>
      </c>
      <c r="V104" s="7" t="n">
        <v>644096.4</v>
      </c>
      <c r="X104" s="7" t="n">
        <v>417126.8</v>
      </c>
      <c r="Z104" s="7" t="n">
        <v>108322.7</v>
      </c>
      <c r="AB104" s="7" t="n">
        <v>4327982.8</v>
      </c>
    </row>
    <row r="105">
      <c r="A105" s="4" t="inlineStr">
        <is>
          <t>奖金及提成</t>
        </is>
      </c>
      <c r="D105" s="7" t="n">
        <v>107239.1</v>
      </c>
      <c r="F105" s="7" t="n">
        <v>71654.3</v>
      </c>
      <c r="H105" s="7" t="n">
        <v>96338.5</v>
      </c>
      <c r="J105" s="7" t="n">
        <v>176781.4</v>
      </c>
      <c r="L105" s="7" t="n">
        <v>168786.9</v>
      </c>
      <c r="N105" s="7" t="n">
        <v>103350.4</v>
      </c>
      <c r="P105" s="7" t="n">
        <v>145414.6</v>
      </c>
      <c r="R105" s="7" t="n">
        <v>101389.9</v>
      </c>
      <c r="T105" s="7" t="n">
        <v>110503.8</v>
      </c>
      <c r="V105" s="7" t="n">
        <v>168008.4</v>
      </c>
      <c r="X105" s="7" t="n">
        <v>129343.9</v>
      </c>
      <c r="Z105" s="7" t="n">
        <v>40148.3</v>
      </c>
      <c r="AB105" s="7" t="n">
        <v>1418959.5</v>
      </c>
    </row>
    <row r="106">
      <c r="A106" s="4" t="inlineStr">
        <is>
          <t>社保</t>
        </is>
      </c>
      <c r="D106" s="7" t="n">
        <v>55581</v>
      </c>
      <c r="F106" s="7" t="n">
        <v>66092.89999999999</v>
      </c>
      <c r="H106" s="7" t="n">
        <v>122362.9</v>
      </c>
      <c r="J106" s="7" t="n">
        <v>105786.9</v>
      </c>
      <c r="L106" s="7" t="n">
        <v>99218</v>
      </c>
      <c r="N106" s="7" t="n">
        <v>76960.39999999999</v>
      </c>
      <c r="P106" s="7" t="n">
        <v>128679.6</v>
      </c>
      <c r="R106" s="7" t="n">
        <v>122204.2</v>
      </c>
      <c r="T106" s="7" t="n">
        <v>62896.1</v>
      </c>
      <c r="V106" s="7" t="n">
        <v>188643.3</v>
      </c>
      <c r="X106" s="7" t="n">
        <v>86244.7</v>
      </c>
      <c r="Z106" s="7" t="n">
        <v>33435.4</v>
      </c>
      <c r="AB106" s="7" t="n">
        <v>1148105.4</v>
      </c>
    </row>
    <row r="107">
      <c r="A107" s="4" t="inlineStr">
        <is>
          <t>养老</t>
        </is>
      </c>
      <c r="D107" s="7" t="n">
        <v>926.9</v>
      </c>
      <c r="F107" s="7" t="n">
        <v>697.9</v>
      </c>
      <c r="H107" s="7" t="n">
        <v>1439.1</v>
      </c>
      <c r="J107" s="7" t="n">
        <v>1049.8</v>
      </c>
      <c r="L107" s="7" t="n">
        <v>1034.6</v>
      </c>
      <c r="N107" s="7" t="n">
        <v>976.7</v>
      </c>
      <c r="P107" s="7" t="n">
        <v>1068.6</v>
      </c>
      <c r="R107" s="7" t="n">
        <v>865.5</v>
      </c>
      <c r="T107" s="7" t="n">
        <v>1082.1</v>
      </c>
      <c r="V107" s="7" t="n">
        <v>1636.6</v>
      </c>
      <c r="X107" s="7" t="n">
        <v>795.5</v>
      </c>
      <c r="Z107" s="7" t="n">
        <v>363.3</v>
      </c>
      <c r="AB107" s="7" t="n">
        <v>11936.6</v>
      </c>
    </row>
    <row r="108">
      <c r="A108" s="4" t="inlineStr">
        <is>
          <t>医疗</t>
        </is>
      </c>
      <c r="D108" s="7" t="n">
        <v>5652.6</v>
      </c>
      <c r="F108" s="7" t="n">
        <v>4932.7</v>
      </c>
      <c r="H108" s="7" t="n">
        <v>7878.2</v>
      </c>
      <c r="J108" s="7" t="n">
        <v>8862.299999999999</v>
      </c>
      <c r="L108" s="7" t="n">
        <v>6945.2</v>
      </c>
      <c r="N108" s="7" t="n">
        <v>7296</v>
      </c>
      <c r="P108" s="7" t="n">
        <v>11448</v>
      </c>
      <c r="R108" s="7" t="n">
        <v>5408.7</v>
      </c>
      <c r="T108" s="7" t="n">
        <v>7050.6</v>
      </c>
      <c r="V108" s="7" t="n">
        <v>10835.6</v>
      </c>
      <c r="X108" s="7" t="n">
        <v>8355.4</v>
      </c>
      <c r="Z108" s="7" t="n">
        <v>2748.6</v>
      </c>
      <c r="AB108" s="7" t="n">
        <v>87413.89999999999</v>
      </c>
    </row>
    <row r="109">
      <c r="A109" s="4" t="inlineStr">
        <is>
          <t>工伤</t>
        </is>
      </c>
      <c r="D109" s="7" t="n">
        <v>4359.2</v>
      </c>
      <c r="F109" s="7" t="n">
        <v>4515.9</v>
      </c>
      <c r="H109" s="7" t="n">
        <v>7843.6</v>
      </c>
      <c r="J109" s="7" t="n">
        <v>6651.1</v>
      </c>
      <c r="L109" s="7" t="n">
        <v>7330.1</v>
      </c>
      <c r="N109" s="7" t="n">
        <v>5629.7</v>
      </c>
      <c r="P109" s="7" t="n">
        <v>11006.6</v>
      </c>
      <c r="R109" s="7" t="n">
        <v>7166.5</v>
      </c>
      <c r="T109" s="7" t="n">
        <v>4328.3</v>
      </c>
      <c r="V109" s="7" t="n">
        <v>10753.5</v>
      </c>
      <c r="X109" s="7" t="n">
        <v>4275.3</v>
      </c>
      <c r="Z109" s="7" t="n">
        <v>3169</v>
      </c>
      <c r="AB109" s="7" t="n">
        <v>77028.8</v>
      </c>
    </row>
    <row r="110">
      <c r="A110" s="4" t="inlineStr">
        <is>
          <t>失业</t>
        </is>
      </c>
      <c r="D110" s="7" t="n">
        <v>236.3</v>
      </c>
      <c r="F110" s="7" t="n">
        <v>220.5</v>
      </c>
      <c r="H110" s="7" t="n">
        <v>236.8</v>
      </c>
      <c r="J110" s="7" t="n">
        <v>382.4</v>
      </c>
      <c r="L110" s="7" t="n">
        <v>386.5</v>
      </c>
      <c r="N110" s="7" t="n">
        <v>303.2</v>
      </c>
      <c r="P110" s="7" t="n">
        <v>508.7</v>
      </c>
      <c r="R110" s="7" t="n">
        <v>315.8</v>
      </c>
      <c r="T110" s="7" t="n">
        <v>221.6</v>
      </c>
      <c r="V110" s="7" t="n">
        <v>510.2</v>
      </c>
      <c r="X110" s="7" t="n">
        <v>205.9</v>
      </c>
      <c r="Z110" s="7" t="n">
        <v>134.1</v>
      </c>
      <c r="AB110" s="7" t="n">
        <v>3662</v>
      </c>
    </row>
    <row r="111">
      <c r="A111" s="4" t="inlineStr">
        <is>
          <t>生育</t>
        </is>
      </c>
      <c r="D111" s="7" t="n">
        <v>4446.3</v>
      </c>
      <c r="F111" s="7" t="n">
        <v>3951.9</v>
      </c>
      <c r="H111" s="7" t="n">
        <v>8487.9</v>
      </c>
      <c r="J111" s="7" t="n">
        <v>6715.8</v>
      </c>
      <c r="L111" s="7" t="n">
        <v>9168.4</v>
      </c>
      <c r="N111" s="7" t="n">
        <v>5384.4</v>
      </c>
      <c r="P111" s="7" t="n">
        <v>11347.8</v>
      </c>
      <c r="R111" s="7" t="n">
        <v>9364.6</v>
      </c>
      <c r="T111" s="7" t="n">
        <v>7146.4</v>
      </c>
      <c r="V111" s="7" t="n">
        <v>8352.700000000001</v>
      </c>
      <c r="X111" s="7" t="n">
        <v>6714.7</v>
      </c>
      <c r="Z111" s="7" t="n">
        <v>3247.6</v>
      </c>
      <c r="AB111" s="7" t="n">
        <v>84328.5</v>
      </c>
    </row>
    <row r="112">
      <c r="A112" s="4" t="inlineStr">
        <is>
          <t>公积金</t>
        </is>
      </c>
      <c r="D112" s="7" t="n">
        <v>4950.4</v>
      </c>
      <c r="F112" s="7" t="n">
        <v>4865.5</v>
      </c>
      <c r="H112" s="7" t="n">
        <v>6617.6</v>
      </c>
      <c r="J112" s="7" t="n">
        <v>8016.5</v>
      </c>
      <c r="L112" s="7" t="n">
        <v>9224.700000000001</v>
      </c>
      <c r="N112" s="7" t="n">
        <v>6825.9</v>
      </c>
      <c r="P112" s="7" t="n">
        <v>6910.2</v>
      </c>
      <c r="R112" s="7" t="n">
        <v>8769.200000000001</v>
      </c>
      <c r="T112" s="7" t="n">
        <v>5152.7</v>
      </c>
      <c r="V112" s="7" t="n">
        <v>7740.3</v>
      </c>
      <c r="X112" s="7" t="n">
        <v>6069.1</v>
      </c>
      <c r="Z112" s="7" t="n">
        <v>2214.6</v>
      </c>
      <c r="AB112" s="7" t="n">
        <v>77356.7</v>
      </c>
    </row>
    <row r="113">
      <c r="A113" s="4" t="inlineStr">
        <is>
          <t>工会经费</t>
        </is>
      </c>
      <c r="D113" s="7" t="n">
        <v>5824.7</v>
      </c>
      <c r="F113" s="7" t="n">
        <v>5278.1</v>
      </c>
      <c r="H113" s="7" t="n">
        <v>9106.1</v>
      </c>
      <c r="J113" s="7" t="n">
        <v>6636.7</v>
      </c>
      <c r="L113" s="7" t="n">
        <v>11355.7</v>
      </c>
      <c r="N113" s="7" t="n">
        <v>6933.1</v>
      </c>
      <c r="P113" s="7" t="n">
        <v>7382.5</v>
      </c>
      <c r="R113" s="7" t="n">
        <v>9729.4</v>
      </c>
      <c r="T113" s="7" t="n">
        <v>6847.4</v>
      </c>
      <c r="V113" s="7" t="n">
        <v>14350.3</v>
      </c>
      <c r="X113" s="7" t="n">
        <v>5269.3</v>
      </c>
      <c r="Z113" s="7" t="n">
        <v>2556.6</v>
      </c>
      <c r="AB113" s="7" t="n">
        <v>91269.89999999999</v>
      </c>
    </row>
    <row r="114">
      <c r="A114" s="4" t="inlineStr">
        <is>
          <t>职工教育经费</t>
        </is>
      </c>
      <c r="D114" s="7" t="n">
        <v>3417.3</v>
      </c>
      <c r="F114" s="7" t="n">
        <v>2363.5</v>
      </c>
      <c r="H114" s="7" t="n">
        <v>5261.2</v>
      </c>
      <c r="J114" s="7" t="n">
        <v>4294.5</v>
      </c>
      <c r="L114" s="7" t="n">
        <v>6808.8</v>
      </c>
      <c r="N114" s="7" t="n">
        <v>3270.6</v>
      </c>
      <c r="P114" s="7" t="n">
        <v>8495.4</v>
      </c>
      <c r="R114" s="7" t="n">
        <v>4236.5</v>
      </c>
      <c r="T114" s="7" t="n">
        <v>3115.5</v>
      </c>
      <c r="V114" s="7" t="n">
        <v>7519.4</v>
      </c>
      <c r="X114" s="7" t="n">
        <v>5683.5</v>
      </c>
      <c r="Z114" s="7" t="n">
        <v>1907.3</v>
      </c>
      <c r="AB114" s="7" t="n">
        <v>56373.5</v>
      </c>
    </row>
    <row r="115">
      <c r="A115" s="4" t="inlineStr">
        <is>
          <t>福利费</t>
        </is>
      </c>
      <c r="D115" s="7" t="n">
        <v>14101.5</v>
      </c>
      <c r="F115" s="7" t="n">
        <v>12220.9</v>
      </c>
      <c r="H115" s="7" t="n">
        <v>22229.7</v>
      </c>
      <c r="J115" s="7" t="n">
        <v>24294.8</v>
      </c>
      <c r="L115" s="7" t="n">
        <v>26887.7</v>
      </c>
      <c r="N115" s="7" t="n">
        <v>16611.3</v>
      </c>
      <c r="P115" s="7" t="n">
        <v>26138.8</v>
      </c>
      <c r="R115" s="7" t="n">
        <v>24355.3</v>
      </c>
      <c r="T115" s="7" t="n">
        <v>19467.2</v>
      </c>
      <c r="V115" s="7" t="n">
        <v>32827.7</v>
      </c>
      <c r="X115" s="7" t="n">
        <v>20367.8</v>
      </c>
      <c r="Z115" s="7" t="n">
        <v>7752.5</v>
      </c>
      <c r="AB115" s="7" t="n">
        <v>247255.2</v>
      </c>
    </row>
    <row r="116">
      <c r="A116" s="4" t="inlineStr">
        <is>
          <t>职工房租</t>
        </is>
      </c>
      <c r="D116" s="7" t="n">
        <v>829.5</v>
      </c>
      <c r="F116" s="7" t="n">
        <v>644</v>
      </c>
      <c r="H116" s="7" t="n">
        <v>1027.1</v>
      </c>
      <c r="J116" s="7" t="n">
        <v>1006.6</v>
      </c>
      <c r="L116" s="7" t="n">
        <v>1285.9</v>
      </c>
      <c r="N116" s="7" t="n">
        <v>929.5</v>
      </c>
      <c r="P116" s="7" t="n">
        <v>1655.6</v>
      </c>
      <c r="R116" s="7" t="n">
        <v>1180.3</v>
      </c>
      <c r="T116" s="7" t="n">
        <v>1016.5</v>
      </c>
      <c r="V116" s="7" t="n">
        <v>1116.3</v>
      </c>
      <c r="X116" s="7" t="n">
        <v>1101.2</v>
      </c>
      <c r="Z116" s="7" t="n">
        <v>351.6</v>
      </c>
      <c r="AB116" s="7" t="n">
        <v>12144.1</v>
      </c>
    </row>
    <row r="117">
      <c r="A117" s="4" t="inlineStr">
        <is>
          <t>水电物业费</t>
        </is>
      </c>
      <c r="D117" s="7" t="n">
        <v>596.2</v>
      </c>
      <c r="F117" s="7" t="n">
        <v>331.8</v>
      </c>
      <c r="H117" s="7" t="n">
        <v>838.3</v>
      </c>
      <c r="J117" s="7" t="n">
        <v>575.2</v>
      </c>
      <c r="L117" s="7" t="n">
        <v>678</v>
      </c>
      <c r="N117" s="7" t="n">
        <v>575.6</v>
      </c>
      <c r="P117" s="7" t="n">
        <v>851.7</v>
      </c>
      <c r="R117" s="7" t="n">
        <v>797</v>
      </c>
      <c r="T117" s="7" t="n">
        <v>531.7</v>
      </c>
      <c r="V117" s="7" t="n">
        <v>1061.7</v>
      </c>
      <c r="X117" s="7" t="n">
        <v>510.2</v>
      </c>
      <c r="Z117" s="7" t="n">
        <v>302</v>
      </c>
      <c r="AB117" s="7" t="n">
        <v>7649.4</v>
      </c>
    </row>
    <row r="118">
      <c r="A118" s="4" t="inlineStr">
        <is>
          <t>员工餐</t>
        </is>
      </c>
      <c r="D118" s="7" t="n">
        <v>2532.9</v>
      </c>
      <c r="F118" s="7" t="n">
        <v>2330.9</v>
      </c>
      <c r="H118" s="7" t="n">
        <v>4294.5</v>
      </c>
      <c r="J118" s="7" t="n">
        <v>5514.2</v>
      </c>
      <c r="L118" s="7" t="n">
        <v>4628.2</v>
      </c>
      <c r="N118" s="7" t="n">
        <v>2564.5</v>
      </c>
      <c r="P118" s="7" t="n">
        <v>7050.7</v>
      </c>
      <c r="R118" s="7" t="n">
        <v>3688.3</v>
      </c>
      <c r="T118" s="7" t="n">
        <v>4499.2</v>
      </c>
      <c r="V118" s="7" t="n">
        <v>7240</v>
      </c>
      <c r="X118" s="7" t="n">
        <v>3725.3</v>
      </c>
      <c r="Z118" s="7" t="n">
        <v>1441.3</v>
      </c>
      <c r="AB118" s="7" t="n">
        <v>49510</v>
      </c>
    </row>
    <row r="119">
      <c r="A119" s="4" t="inlineStr">
        <is>
          <t>节日礼品</t>
        </is>
      </c>
      <c r="D119" s="7" t="n">
        <v>3474.5</v>
      </c>
      <c r="F119" s="7" t="n">
        <v>3234.6</v>
      </c>
      <c r="H119" s="7" t="n">
        <v>5929.2</v>
      </c>
      <c r="J119" s="7" t="n">
        <v>7296</v>
      </c>
      <c r="L119" s="7" t="n">
        <v>6104.7</v>
      </c>
      <c r="N119" s="7" t="n">
        <v>3660.1</v>
      </c>
      <c r="P119" s="7" t="n">
        <v>5359.6</v>
      </c>
      <c r="R119" s="7" t="n">
        <v>6153.2</v>
      </c>
      <c r="T119" s="7" t="n">
        <v>3398.7</v>
      </c>
      <c r="V119" s="7" t="n">
        <v>6804.3</v>
      </c>
      <c r="X119" s="7" t="n">
        <v>4649.5</v>
      </c>
      <c r="Z119" s="7" t="n">
        <v>2435.3</v>
      </c>
      <c r="AB119" s="7" t="n">
        <v>58499.7</v>
      </c>
    </row>
    <row r="120">
      <c r="A120" s="4" t="inlineStr">
        <is>
          <t>生日礼品</t>
        </is>
      </c>
      <c r="D120" s="7" t="n">
        <v>3366.1</v>
      </c>
      <c r="F120" s="7" t="n">
        <v>3327.9</v>
      </c>
      <c r="H120" s="7" t="n">
        <v>6151.1</v>
      </c>
      <c r="J120" s="7" t="n">
        <v>5769.3</v>
      </c>
      <c r="L120" s="7" t="n">
        <v>9434.4</v>
      </c>
      <c r="N120" s="7" t="n">
        <v>5569.8</v>
      </c>
      <c r="P120" s="7" t="n">
        <v>7139.6</v>
      </c>
      <c r="R120" s="7" t="n">
        <v>8020.4</v>
      </c>
      <c r="T120" s="7" t="n">
        <v>6069.3</v>
      </c>
      <c r="V120" s="7" t="n">
        <v>10566.8</v>
      </c>
      <c r="X120" s="7" t="n">
        <v>6150.8</v>
      </c>
      <c r="Z120" s="7" t="n">
        <v>1792.1</v>
      </c>
      <c r="AB120" s="7" t="n">
        <v>73357.60000000001</v>
      </c>
    </row>
    <row r="121">
      <c r="A121" s="4" t="inlineStr">
        <is>
          <t>体检</t>
        </is>
      </c>
      <c r="D121" s="7" t="n">
        <v>1035.1</v>
      </c>
      <c r="F121" s="7" t="n">
        <v>1003.8</v>
      </c>
      <c r="H121" s="7" t="n">
        <v>1515.1</v>
      </c>
      <c r="J121" s="7" t="n">
        <v>1908.9</v>
      </c>
      <c r="L121" s="7" t="n">
        <v>1884.4</v>
      </c>
      <c r="N121" s="7" t="n">
        <v>1584.6</v>
      </c>
      <c r="P121" s="7" t="n">
        <v>1825.8</v>
      </c>
      <c r="R121" s="7" t="n">
        <v>1718.6</v>
      </c>
      <c r="T121" s="7" t="n">
        <v>1412.5</v>
      </c>
      <c r="V121" s="7" t="n">
        <v>2703.9</v>
      </c>
      <c r="X121" s="7" t="n">
        <v>1769.8</v>
      </c>
      <c r="Z121" s="7" t="n">
        <v>557.7</v>
      </c>
      <c r="AB121" s="7" t="n">
        <v>18920.2</v>
      </c>
    </row>
    <row r="122">
      <c r="A122" s="4" t="inlineStr">
        <is>
          <t>其他福利支出</t>
        </is>
      </c>
      <c r="D122" s="7" t="n">
        <v>2267.2</v>
      </c>
      <c r="F122" s="7" t="n">
        <v>1347.9</v>
      </c>
      <c r="H122" s="7" t="n">
        <v>2474.4</v>
      </c>
      <c r="J122" s="7" t="n">
        <v>2224.6</v>
      </c>
      <c r="L122" s="7" t="n">
        <v>2872.1</v>
      </c>
      <c r="N122" s="7" t="n">
        <v>1727.2</v>
      </c>
      <c r="P122" s="7" t="n">
        <v>2255.8</v>
      </c>
      <c r="R122" s="7" t="n">
        <v>2797.5</v>
      </c>
      <c r="T122" s="7" t="n">
        <v>2539.3</v>
      </c>
      <c r="V122" s="7" t="n">
        <v>3334.7</v>
      </c>
      <c r="X122" s="7" t="n">
        <v>2461</v>
      </c>
      <c r="Z122" s="7" t="n">
        <v>872.5</v>
      </c>
      <c r="AB122" s="7" t="n">
        <v>27174.2</v>
      </c>
    </row>
    <row r="123">
      <c r="A123" s="4" t="inlineStr">
        <is>
          <t>招聘费</t>
        </is>
      </c>
      <c r="D123" s="7" t="n">
        <v>2203.6</v>
      </c>
      <c r="F123" s="7" t="n">
        <v>1770.4</v>
      </c>
      <c r="H123" s="7" t="n">
        <v>2484.2</v>
      </c>
      <c r="J123" s="7" t="n">
        <v>2140.8</v>
      </c>
      <c r="L123" s="7" t="n">
        <v>2942.5</v>
      </c>
      <c r="N123" s="7" t="n">
        <v>2314.9</v>
      </c>
      <c r="P123" s="7" t="n">
        <v>2978.6</v>
      </c>
      <c r="R123" s="7" t="n">
        <v>2619</v>
      </c>
      <c r="T123" s="7" t="n">
        <v>2162.5</v>
      </c>
      <c r="V123" s="7" t="n">
        <v>4422.2</v>
      </c>
      <c r="X123" s="7" t="n">
        <v>1650.2</v>
      </c>
      <c r="Z123" s="7" t="n">
        <v>877.9</v>
      </c>
      <c r="AB123" s="7" t="n">
        <v>28566.8</v>
      </c>
    </row>
    <row r="124">
      <c r="A124" s="4" t="inlineStr">
        <is>
          <t>办公费</t>
        </is>
      </c>
      <c r="D124" s="7" t="n">
        <v>24304</v>
      </c>
      <c r="F124" s="7" t="n">
        <v>20410.5</v>
      </c>
      <c r="H124" s="7" t="n">
        <v>45232.5</v>
      </c>
      <c r="J124" s="7" t="n">
        <v>41482</v>
      </c>
      <c r="L124" s="7" t="n">
        <v>33769</v>
      </c>
      <c r="N124" s="7" t="n">
        <v>21529.8</v>
      </c>
      <c r="P124" s="7" t="n">
        <v>52840.6</v>
      </c>
      <c r="R124" s="7" t="n">
        <v>38986.4</v>
      </c>
      <c r="T124" s="7" t="n">
        <v>24974.3</v>
      </c>
      <c r="V124" s="7" t="n">
        <v>71003.89999999999</v>
      </c>
      <c r="X124" s="7" t="n">
        <v>28810.5</v>
      </c>
      <c r="Z124" s="7" t="n">
        <v>9595.1</v>
      </c>
      <c r="AB124" s="7" t="n">
        <v>412938.6</v>
      </c>
    </row>
    <row r="125">
      <c r="A125" s="4" t="inlineStr">
        <is>
          <t>市内交通费</t>
        </is>
      </c>
      <c r="D125" s="7" t="n">
        <v>3126.7</v>
      </c>
      <c r="F125" s="7" t="n">
        <v>2815.4</v>
      </c>
      <c r="H125" s="7" t="n">
        <v>3325.2</v>
      </c>
      <c r="J125" s="7" t="n">
        <v>5081.1</v>
      </c>
      <c r="L125" s="7" t="n">
        <v>4296</v>
      </c>
      <c r="N125" s="7" t="n">
        <v>3078.6</v>
      </c>
      <c r="P125" s="7" t="n">
        <v>6094</v>
      </c>
      <c r="R125" s="7" t="n">
        <v>5531.9</v>
      </c>
      <c r="T125" s="7" t="n">
        <v>4391.5</v>
      </c>
      <c r="V125" s="7" t="n">
        <v>6072.3</v>
      </c>
      <c r="X125" s="7" t="n">
        <v>3085.5</v>
      </c>
      <c r="Z125" s="7" t="n">
        <v>1918.5</v>
      </c>
      <c r="AB125" s="7" t="n">
        <v>48816.7</v>
      </c>
    </row>
    <row r="126">
      <c r="A126" s="4" t="inlineStr">
        <is>
          <t>差旅费</t>
        </is>
      </c>
      <c r="D126" s="7" t="n">
        <v>50636.6</v>
      </c>
      <c r="F126" s="7" t="n">
        <v>40071.3</v>
      </c>
      <c r="H126" s="7" t="n">
        <v>65400</v>
      </c>
      <c r="J126" s="7" t="n">
        <v>78096.39999999999</v>
      </c>
      <c r="L126" s="7" t="n">
        <v>115009.9</v>
      </c>
      <c r="N126" s="7" t="n">
        <v>71935.2</v>
      </c>
      <c r="P126" s="7" t="n">
        <v>73315.2</v>
      </c>
      <c r="R126" s="7" t="n">
        <v>84407.2</v>
      </c>
      <c r="T126" s="7" t="n">
        <v>57935.7</v>
      </c>
      <c r="V126" s="7" t="n">
        <v>145853.5</v>
      </c>
      <c r="X126" s="7" t="n">
        <v>78592</v>
      </c>
      <c r="Z126" s="7" t="n">
        <v>23483.9</v>
      </c>
      <c r="AB126" s="7" t="n">
        <v>884736.9</v>
      </c>
    </row>
    <row r="127">
      <c r="A127" s="4" t="inlineStr">
        <is>
          <t>交通费</t>
        </is>
      </c>
      <c r="D127" s="7" t="n">
        <v>6202.1</v>
      </c>
      <c r="F127" s="7" t="n">
        <v>3645.2</v>
      </c>
      <c r="H127" s="7" t="n">
        <v>8186</v>
      </c>
      <c r="J127" s="7" t="n">
        <v>5917.1</v>
      </c>
      <c r="L127" s="7" t="n">
        <v>8283.299999999999</v>
      </c>
      <c r="N127" s="7" t="n">
        <v>3887.8</v>
      </c>
      <c r="P127" s="7" t="n">
        <v>7074.1</v>
      </c>
      <c r="R127" s="7" t="n">
        <v>6438.7</v>
      </c>
      <c r="T127" s="7" t="n">
        <v>6441.8</v>
      </c>
      <c r="V127" s="7" t="n">
        <v>12807.2</v>
      </c>
      <c r="X127" s="7" t="n">
        <v>4329.7</v>
      </c>
      <c r="Z127" s="7" t="n">
        <v>3021.9</v>
      </c>
      <c r="AB127" s="7" t="n">
        <v>76234.89999999999</v>
      </c>
    </row>
    <row r="128">
      <c r="A128" s="4" t="inlineStr">
        <is>
          <t>住宿费</t>
        </is>
      </c>
      <c r="D128" s="7" t="n">
        <v>3418.5</v>
      </c>
      <c r="F128" s="7" t="n">
        <v>3390.1</v>
      </c>
      <c r="H128" s="7" t="n">
        <v>7749.4</v>
      </c>
      <c r="J128" s="7" t="n">
        <v>6722</v>
      </c>
      <c r="L128" s="7" t="n">
        <v>7634.7</v>
      </c>
      <c r="N128" s="7" t="n">
        <v>5466.6</v>
      </c>
      <c r="P128" s="7" t="n">
        <v>9283.299999999999</v>
      </c>
      <c r="R128" s="7" t="n">
        <v>4799.4</v>
      </c>
      <c r="T128" s="7" t="n">
        <v>4020.1</v>
      </c>
      <c r="V128" s="7" t="n">
        <v>8643.1</v>
      </c>
      <c r="X128" s="7" t="n">
        <v>5671.1</v>
      </c>
      <c r="Z128" s="7" t="n">
        <v>1612</v>
      </c>
      <c r="AB128" s="7" t="n">
        <v>68410.3</v>
      </c>
    </row>
    <row r="129">
      <c r="A129" s="4" t="inlineStr">
        <is>
          <t>餐补</t>
        </is>
      </c>
      <c r="D129" s="7" t="n">
        <v>5956.4</v>
      </c>
      <c r="F129" s="7" t="n">
        <v>3456.5</v>
      </c>
      <c r="H129" s="7" t="n">
        <v>7023.2</v>
      </c>
      <c r="J129" s="7" t="n">
        <v>7572.9</v>
      </c>
      <c r="L129" s="7" t="n">
        <v>5780.8</v>
      </c>
      <c r="N129" s="7" t="n">
        <v>3720.9</v>
      </c>
      <c r="P129" s="7" t="n">
        <v>7544.5</v>
      </c>
      <c r="R129" s="7" t="n">
        <v>8540</v>
      </c>
      <c r="T129" s="7" t="n">
        <v>6498.3</v>
      </c>
      <c r="V129" s="7" t="n">
        <v>9998.5</v>
      </c>
      <c r="X129" s="7" t="n">
        <v>6557.1</v>
      </c>
      <c r="Z129" s="7" t="n">
        <v>3000.8</v>
      </c>
      <c r="AB129" s="7" t="n">
        <v>75649.89999999999</v>
      </c>
    </row>
    <row r="130">
      <c r="A130" s="4" t="inlineStr">
        <is>
          <t>交通补助</t>
        </is>
      </c>
      <c r="D130" s="7" t="n">
        <v>2492.3</v>
      </c>
      <c r="F130" s="7" t="n">
        <v>2200.7</v>
      </c>
      <c r="H130" s="7" t="n">
        <v>2899.7</v>
      </c>
      <c r="J130" s="7" t="n">
        <v>3016.3</v>
      </c>
      <c r="L130" s="7" t="n">
        <v>3530.9</v>
      </c>
      <c r="N130" s="7" t="n">
        <v>3472.5</v>
      </c>
      <c r="P130" s="7" t="n">
        <v>3286.9</v>
      </c>
      <c r="R130" s="7" t="n">
        <v>3884.2</v>
      </c>
      <c r="T130" s="7" t="n">
        <v>2865.7</v>
      </c>
      <c r="V130" s="7" t="n">
        <v>5334.5</v>
      </c>
      <c r="X130" s="7" t="n">
        <v>3700.7</v>
      </c>
      <c r="Z130" s="7" t="n">
        <v>1320.3</v>
      </c>
      <c r="AB130" s="7" t="n">
        <v>38004.7</v>
      </c>
    </row>
    <row r="131">
      <c r="A131" s="4" t="inlineStr">
        <is>
          <t>通讯补助</t>
        </is>
      </c>
      <c r="D131" s="7" t="n">
        <v>3191.1</v>
      </c>
      <c r="F131" s="7" t="n">
        <v>1741.8</v>
      </c>
      <c r="H131" s="7" t="n">
        <v>3936.8</v>
      </c>
      <c r="J131" s="7" t="n">
        <v>4662.4</v>
      </c>
      <c r="L131" s="7" t="n">
        <v>5614.5</v>
      </c>
      <c r="N131" s="7" t="n">
        <v>2437.9</v>
      </c>
      <c r="P131" s="7" t="n">
        <v>3725.9</v>
      </c>
      <c r="R131" s="7" t="n">
        <v>3445.3</v>
      </c>
      <c r="T131" s="7" t="n">
        <v>3826.4</v>
      </c>
      <c r="V131" s="7" t="n">
        <v>4576.1</v>
      </c>
      <c r="X131" s="7" t="n">
        <v>2759.9</v>
      </c>
      <c r="Z131" s="7" t="n">
        <v>1208.4</v>
      </c>
      <c r="AB131" s="7" t="n">
        <v>41126.5</v>
      </c>
    </row>
    <row r="132">
      <c r="A132" s="4" t="inlineStr">
        <is>
          <t>招待费</t>
        </is>
      </c>
      <c r="D132" s="7" t="n">
        <v>34853.9</v>
      </c>
      <c r="F132" s="7" t="n">
        <v>36072</v>
      </c>
      <c r="H132" s="7" t="n">
        <v>45743</v>
      </c>
      <c r="J132" s="7" t="n">
        <v>49955</v>
      </c>
      <c r="L132" s="7" t="n">
        <v>60656.6</v>
      </c>
      <c r="N132" s="7" t="n">
        <v>49414</v>
      </c>
      <c r="P132" s="7" t="n">
        <v>65487.8</v>
      </c>
      <c r="R132" s="7" t="n">
        <v>57417.6</v>
      </c>
      <c r="T132" s="7" t="n">
        <v>32366.5</v>
      </c>
      <c r="V132" s="7" t="n">
        <v>56793.1</v>
      </c>
      <c r="X132" s="7" t="n">
        <v>51037</v>
      </c>
      <c r="Z132" s="7" t="n">
        <v>18400</v>
      </c>
      <c r="AB132" s="7" t="n">
        <v>558196.5</v>
      </c>
    </row>
    <row r="133">
      <c r="A133" s="4" t="inlineStr">
        <is>
          <t>通讯费</t>
        </is>
      </c>
      <c r="D133" s="7" t="n">
        <v>6265</v>
      </c>
      <c r="F133" s="7" t="n">
        <v>4595.4</v>
      </c>
      <c r="H133" s="7" t="n">
        <v>6306.4</v>
      </c>
      <c r="J133" s="7" t="n">
        <v>9085.200000000001</v>
      </c>
      <c r="L133" s="7" t="n">
        <v>9487.1</v>
      </c>
      <c r="N133" s="7" t="n">
        <v>4242.8</v>
      </c>
      <c r="P133" s="7" t="n">
        <v>9735.1</v>
      </c>
      <c r="R133" s="7" t="n">
        <v>8453.700000000001</v>
      </c>
      <c r="T133" s="7" t="n">
        <v>4045</v>
      </c>
      <c r="V133" s="7" t="n">
        <v>10851.4</v>
      </c>
      <c r="X133" s="7" t="n">
        <v>5855.7</v>
      </c>
      <c r="Z133" s="7" t="n">
        <v>2541.1</v>
      </c>
      <c r="AB133" s="7" t="n">
        <v>81463.89999999999</v>
      </c>
    </row>
    <row r="134">
      <c r="A134" s="4" t="inlineStr">
        <is>
          <t>网络费</t>
        </is>
      </c>
      <c r="D134" s="7" t="n">
        <v>2546.7</v>
      </c>
      <c r="F134" s="7" t="n">
        <v>1228.6</v>
      </c>
      <c r="H134" s="7" t="n">
        <v>2214.4</v>
      </c>
      <c r="J134" s="7" t="n">
        <v>2655.4</v>
      </c>
      <c r="L134" s="7" t="n">
        <v>2703.3</v>
      </c>
      <c r="N134" s="7" t="n">
        <v>2705.3</v>
      </c>
      <c r="P134" s="7" t="n">
        <v>3869.9</v>
      </c>
      <c r="R134" s="7" t="n">
        <v>3310.9</v>
      </c>
      <c r="T134" s="7" t="n">
        <v>2263.7</v>
      </c>
      <c r="V134" s="7" t="n">
        <v>4267.8</v>
      </c>
      <c r="X134" s="7" t="n">
        <v>2548.4</v>
      </c>
      <c r="Z134" s="7" t="n">
        <v>1154.1</v>
      </c>
      <c r="AB134" s="7" t="n">
        <v>31468.5</v>
      </c>
    </row>
    <row r="135">
      <c r="A135" s="4" t="inlineStr">
        <is>
          <t>修理费</t>
        </is>
      </c>
      <c r="D135" s="7" t="n">
        <v>668</v>
      </c>
      <c r="F135" s="7" t="n">
        <v>403</v>
      </c>
      <c r="H135" s="7" t="n">
        <v>1114.4</v>
      </c>
      <c r="J135" s="7" t="n">
        <v>1339.3</v>
      </c>
      <c r="L135" s="7" t="n">
        <v>1099.8</v>
      </c>
      <c r="N135" s="7" t="n">
        <v>648.9</v>
      </c>
      <c r="P135" s="7" t="n">
        <v>1113.4</v>
      </c>
      <c r="R135" s="7" t="n">
        <v>1100.8</v>
      </c>
      <c r="T135" s="7" t="n">
        <v>921.2</v>
      </c>
      <c r="V135" s="7" t="n">
        <v>1484.4</v>
      </c>
      <c r="X135" s="7" t="n">
        <v>959</v>
      </c>
      <c r="Z135" s="7" t="n">
        <v>303.2</v>
      </c>
      <c r="AB135" s="7" t="n">
        <v>11155.4</v>
      </c>
    </row>
    <row r="136">
      <c r="A136" s="4" t="inlineStr">
        <is>
          <t>车辆费</t>
        </is>
      </c>
      <c r="D136" s="7" t="n">
        <v>3056.9</v>
      </c>
      <c r="F136" s="7" t="n">
        <v>4001</v>
      </c>
      <c r="H136" s="7" t="n">
        <v>4856.2</v>
      </c>
      <c r="J136" s="7" t="n">
        <v>8076.5</v>
      </c>
      <c r="L136" s="7" t="n">
        <v>5447.5</v>
      </c>
      <c r="N136" s="7" t="n">
        <v>3809.8</v>
      </c>
      <c r="P136" s="7" t="n">
        <v>5859.3</v>
      </c>
      <c r="R136" s="7" t="n">
        <v>4482.9</v>
      </c>
      <c r="T136" s="7" t="n">
        <v>3474.7</v>
      </c>
      <c r="V136" s="7" t="n">
        <v>9734.4</v>
      </c>
      <c r="X136" s="7" t="n">
        <v>6036.7</v>
      </c>
      <c r="Z136" s="7" t="n">
        <v>1557.9</v>
      </c>
      <c r="AB136" s="7" t="n">
        <v>60393.8</v>
      </c>
    </row>
    <row r="137">
      <c r="A137" s="4" t="inlineStr">
        <is>
          <t>租赁费</t>
        </is>
      </c>
      <c r="D137" s="7" t="n">
        <v>53322.9</v>
      </c>
      <c r="F137" s="7" t="n">
        <v>41732.9</v>
      </c>
      <c r="H137" s="7" t="n">
        <v>45407.4</v>
      </c>
      <c r="J137" s="7" t="n">
        <v>54639.4</v>
      </c>
      <c r="L137" s="7" t="n">
        <v>87596.2</v>
      </c>
      <c r="N137" s="7" t="n">
        <v>49348.2</v>
      </c>
      <c r="P137" s="7" t="n">
        <v>59715.8</v>
      </c>
      <c r="R137" s="7" t="n">
        <v>47731.1</v>
      </c>
      <c r="T137" s="7" t="n">
        <v>42549</v>
      </c>
      <c r="V137" s="7" t="n">
        <v>69400.5</v>
      </c>
      <c r="X137" s="7" t="n">
        <v>60969.5</v>
      </c>
      <c r="Z137" s="7" t="n">
        <v>25835.3</v>
      </c>
      <c r="AB137" s="7" t="n">
        <v>638248.2</v>
      </c>
    </row>
    <row r="138">
      <c r="A138" s="4" t="inlineStr">
        <is>
          <t>能源费</t>
        </is>
      </c>
      <c r="D138" s="7" t="n">
        <v>7191.5</v>
      </c>
      <c r="F138" s="7" t="n">
        <v>4318.7</v>
      </c>
      <c r="H138" s="7" t="n">
        <v>8546.9</v>
      </c>
      <c r="J138" s="7" t="n">
        <v>7796.5</v>
      </c>
      <c r="L138" s="7" t="n">
        <v>11110.8</v>
      </c>
      <c r="N138" s="7" t="n">
        <v>5329.9</v>
      </c>
      <c r="P138" s="7" t="n">
        <v>9471.299999999999</v>
      </c>
      <c r="R138" s="7" t="n">
        <v>7672</v>
      </c>
      <c r="T138" s="7" t="n">
        <v>6117.7</v>
      </c>
      <c r="V138" s="7" t="n">
        <v>14090.5</v>
      </c>
      <c r="X138" s="7" t="n">
        <v>6856.6</v>
      </c>
      <c r="Z138" s="7" t="n">
        <v>3675.5</v>
      </c>
      <c r="AB138" s="7" t="n">
        <v>92177.89999999999</v>
      </c>
    </row>
    <row r="139">
      <c r="A139" s="4" t="inlineStr">
        <is>
          <t>水费</t>
        </is>
      </c>
      <c r="D139" s="7" t="n">
        <v>3417.8</v>
      </c>
      <c r="F139" s="7" t="n">
        <v>2005.9</v>
      </c>
      <c r="H139" s="7" t="n">
        <v>4282.4</v>
      </c>
      <c r="J139" s="7" t="n">
        <v>3562.9</v>
      </c>
      <c r="L139" s="7" t="n">
        <v>5120.6</v>
      </c>
      <c r="N139" s="7" t="n">
        <v>2276.8</v>
      </c>
      <c r="P139" s="7" t="n">
        <v>4425.2</v>
      </c>
      <c r="R139" s="7" t="n">
        <v>3310.9</v>
      </c>
      <c r="T139" s="7" t="n">
        <v>2850.4</v>
      </c>
      <c r="V139" s="7" t="n">
        <v>7644.2</v>
      </c>
      <c r="X139" s="7" t="n">
        <v>3718.4</v>
      </c>
      <c r="Z139" s="7" t="n">
        <v>1889.6</v>
      </c>
      <c r="AB139" s="7" t="n">
        <v>44505.1</v>
      </c>
    </row>
    <row r="140">
      <c r="A140" s="4" t="inlineStr">
        <is>
          <t>电费</t>
        </is>
      </c>
      <c r="D140" s="7" t="n">
        <v>490.8</v>
      </c>
      <c r="F140" s="7" t="n">
        <v>469.1</v>
      </c>
      <c r="H140" s="7" t="n">
        <v>911</v>
      </c>
      <c r="J140" s="7" t="n">
        <v>850.7</v>
      </c>
      <c r="L140" s="7" t="n">
        <v>1015.9</v>
      </c>
      <c r="N140" s="7" t="n">
        <v>610.6</v>
      </c>
      <c r="P140" s="7" t="n">
        <v>1339.3</v>
      </c>
      <c r="R140" s="7" t="n">
        <v>647.5</v>
      </c>
      <c r="T140" s="7" t="n">
        <v>590.2</v>
      </c>
      <c r="V140" s="7" t="n">
        <v>1126.5</v>
      </c>
      <c r="X140" s="7" t="n">
        <v>594.1</v>
      </c>
      <c r="Z140" s="7" t="n">
        <v>242.7</v>
      </c>
      <c r="AB140" s="7" t="n">
        <v>8888.4</v>
      </c>
    </row>
    <row r="141">
      <c r="A141" s="4" t="inlineStr">
        <is>
          <t>燃气费</t>
        </is>
      </c>
      <c r="D141" s="7" t="n">
        <v>874.5</v>
      </c>
      <c r="F141" s="7" t="n">
        <v>414.2</v>
      </c>
      <c r="H141" s="7" t="n">
        <v>709.7</v>
      </c>
      <c r="J141" s="7" t="n">
        <v>826.5</v>
      </c>
      <c r="L141" s="7" t="n">
        <v>1276</v>
      </c>
      <c r="N141" s="7" t="n">
        <v>813.5</v>
      </c>
      <c r="P141" s="7" t="n">
        <v>1242.7</v>
      </c>
      <c r="R141" s="7" t="n">
        <v>663.4</v>
      </c>
      <c r="T141" s="7" t="n">
        <v>663</v>
      </c>
      <c r="V141" s="7" t="n">
        <v>1068.3</v>
      </c>
      <c r="X141" s="7" t="n">
        <v>713.4</v>
      </c>
      <c r="Z141" s="7" t="n">
        <v>351.7</v>
      </c>
      <c r="AB141" s="7" t="n">
        <v>9616.9</v>
      </c>
    </row>
    <row r="142">
      <c r="A142" s="4" t="inlineStr">
        <is>
          <t>蒸汽费</t>
        </is>
      </c>
      <c r="D142" s="7" t="n">
        <v>2408.4</v>
      </c>
      <c r="F142" s="7" t="n">
        <v>1429.5</v>
      </c>
      <c r="H142" s="7" t="n">
        <v>2643.8</v>
      </c>
      <c r="J142" s="7" t="n">
        <v>2556.4</v>
      </c>
      <c r="L142" s="7" t="n">
        <v>3698.3</v>
      </c>
      <c r="N142" s="7" t="n">
        <v>1629</v>
      </c>
      <c r="P142" s="7" t="n">
        <v>2464.1</v>
      </c>
      <c r="R142" s="7" t="n">
        <v>3050.2</v>
      </c>
      <c r="T142" s="7" t="n">
        <v>2014.1</v>
      </c>
      <c r="V142" s="7" t="n">
        <v>4251.5</v>
      </c>
      <c r="X142" s="7" t="n">
        <v>1830.7</v>
      </c>
      <c r="Z142" s="7" t="n">
        <v>1191.5</v>
      </c>
      <c r="AB142" s="7" t="n">
        <v>29167.5</v>
      </c>
    </row>
    <row r="143">
      <c r="A143" s="4" t="inlineStr">
        <is>
          <t>物业费</t>
        </is>
      </c>
      <c r="D143" s="7" t="n">
        <v>2252.4</v>
      </c>
      <c r="F143" s="7" t="n">
        <v>2244.3</v>
      </c>
      <c r="H143" s="7" t="n">
        <v>4419.4</v>
      </c>
      <c r="J143" s="7" t="n">
        <v>3460</v>
      </c>
      <c r="L143" s="7" t="n">
        <v>3775.6</v>
      </c>
      <c r="N143" s="7" t="n">
        <v>2968.2</v>
      </c>
      <c r="P143" s="7" t="n">
        <v>5519.1</v>
      </c>
      <c r="R143" s="7" t="n">
        <v>3036.5</v>
      </c>
      <c r="T143" s="7" t="n">
        <v>4042.7</v>
      </c>
      <c r="V143" s="7" t="n">
        <v>7783.5</v>
      </c>
      <c r="X143" s="7" t="n">
        <v>2639.1</v>
      </c>
      <c r="Z143" s="7" t="n">
        <v>1857.1</v>
      </c>
      <c r="AB143" s="7" t="n">
        <v>43997.9</v>
      </c>
    </row>
    <row r="144">
      <c r="A144" s="4" t="inlineStr">
        <is>
          <t>劳动保护费</t>
        </is>
      </c>
      <c r="D144" s="7" t="n">
        <v>2148.9</v>
      </c>
      <c r="F144" s="7" t="n">
        <v>2078.2</v>
      </c>
      <c r="H144" s="7" t="n">
        <v>2150.4</v>
      </c>
      <c r="J144" s="7" t="n">
        <v>3817</v>
      </c>
      <c r="L144" s="7" t="n">
        <v>3755.5</v>
      </c>
      <c r="N144" s="7" t="n">
        <v>1885.1</v>
      </c>
      <c r="P144" s="7" t="n">
        <v>4067.3</v>
      </c>
      <c r="R144" s="7" t="n">
        <v>2883.2</v>
      </c>
      <c r="T144" s="7" t="n">
        <v>1916.2</v>
      </c>
      <c r="V144" s="7" t="n">
        <v>4890.1</v>
      </c>
      <c r="X144" s="7" t="n">
        <v>2672.6</v>
      </c>
      <c r="Z144" s="7" t="n">
        <v>935.8</v>
      </c>
      <c r="AB144" s="7" t="n">
        <v>33200.3</v>
      </c>
    </row>
    <row r="145">
      <c r="A145" s="4" t="inlineStr">
        <is>
          <t>顾问费</t>
        </is>
      </c>
      <c r="D145" s="7" t="n">
        <v>3033.5</v>
      </c>
      <c r="F145" s="7" t="n">
        <v>2126.6</v>
      </c>
      <c r="H145" s="7" t="n">
        <v>3869.4</v>
      </c>
      <c r="J145" s="7" t="n">
        <v>3867.4</v>
      </c>
      <c r="L145" s="7" t="n">
        <v>5396.4</v>
      </c>
      <c r="N145" s="7" t="n">
        <v>2336.4</v>
      </c>
      <c r="P145" s="7" t="n">
        <v>4308.3</v>
      </c>
      <c r="R145" s="7" t="n">
        <v>3855.2</v>
      </c>
      <c r="T145" s="7" t="n">
        <v>3357.2</v>
      </c>
      <c r="V145" s="7" t="n">
        <v>4571</v>
      </c>
      <c r="X145" s="7" t="n">
        <v>2626.6</v>
      </c>
      <c r="Z145" s="7" t="n">
        <v>1023.4</v>
      </c>
      <c r="AB145" s="7" t="n">
        <v>40371.4</v>
      </c>
    </row>
    <row r="146">
      <c r="A146" s="4" t="inlineStr">
        <is>
          <t>快递费</t>
        </is>
      </c>
      <c r="D146" s="7" t="n">
        <v>453.4</v>
      </c>
      <c r="F146" s="7" t="n">
        <v>415.1</v>
      </c>
      <c r="H146" s="7" t="n">
        <v>520.6</v>
      </c>
      <c r="J146" s="7" t="n">
        <v>708.1</v>
      </c>
      <c r="L146" s="7" t="n">
        <v>527.7</v>
      </c>
      <c r="N146" s="7" t="n">
        <v>470.1</v>
      </c>
      <c r="P146" s="7" t="n">
        <v>550.5</v>
      </c>
      <c r="R146" s="7" t="n">
        <v>413</v>
      </c>
      <c r="T146" s="7" t="n">
        <v>514.4</v>
      </c>
      <c r="V146" s="7" t="n">
        <v>974.2</v>
      </c>
      <c r="X146" s="7" t="n">
        <v>582.8</v>
      </c>
      <c r="Z146" s="7" t="n">
        <v>164.7</v>
      </c>
      <c r="AB146" s="7" t="n">
        <v>6294.6</v>
      </c>
    </row>
    <row r="147">
      <c r="A147" s="4" t="inlineStr">
        <is>
          <t>诉讼费</t>
        </is>
      </c>
      <c r="D147" s="7" t="n">
        <v>3951.7</v>
      </c>
      <c r="F147" s="7" t="n">
        <v>2690.2</v>
      </c>
      <c r="H147" s="7" t="n">
        <v>4924.6</v>
      </c>
      <c r="J147" s="7" t="n">
        <v>7543.3</v>
      </c>
      <c r="L147" s="7" t="n">
        <v>6649.7</v>
      </c>
      <c r="N147" s="7" t="n">
        <v>5404.9</v>
      </c>
      <c r="P147" s="7" t="n">
        <v>5068.2</v>
      </c>
      <c r="R147" s="7" t="n">
        <v>5148.8</v>
      </c>
      <c r="T147" s="7" t="n">
        <v>5417.2</v>
      </c>
      <c r="V147" s="7" t="n">
        <v>7577.5</v>
      </c>
      <c r="X147" s="7" t="n">
        <v>4275.2</v>
      </c>
      <c r="Z147" s="7" t="n">
        <v>1801.7</v>
      </c>
      <c r="AB147" s="7" t="n">
        <v>60453</v>
      </c>
    </row>
    <row r="148">
      <c r="A148" s="4" t="inlineStr">
        <is>
          <t>会员费</t>
        </is>
      </c>
      <c r="D148" s="7" t="n">
        <v>1986.1</v>
      </c>
      <c r="F148" s="7" t="n">
        <v>2253.4</v>
      </c>
      <c r="H148" s="7" t="n">
        <v>4588.7</v>
      </c>
      <c r="J148" s="7" t="n">
        <v>3798.4</v>
      </c>
      <c r="L148" s="7" t="n">
        <v>5046.1</v>
      </c>
      <c r="N148" s="7" t="n">
        <v>2935.9</v>
      </c>
      <c r="P148" s="7" t="n">
        <v>3820.7</v>
      </c>
      <c r="R148" s="7" t="n">
        <v>4213.1</v>
      </c>
      <c r="T148" s="7" t="n">
        <v>2988.5</v>
      </c>
      <c r="V148" s="7" t="n">
        <v>4330</v>
      </c>
      <c r="X148" s="7" t="n">
        <v>3690.3</v>
      </c>
      <c r="Z148" s="7" t="n">
        <v>1480.8</v>
      </c>
      <c r="AB148" s="7" t="n">
        <v>41132</v>
      </c>
    </row>
    <row r="149">
      <c r="A149" s="4" t="inlineStr">
        <is>
          <t>广告宣传费</t>
        </is>
      </c>
      <c r="D149" s="7" t="n">
        <v>30521.8</v>
      </c>
      <c r="F149" s="7" t="n">
        <v>22630.5</v>
      </c>
      <c r="H149" s="7" t="n">
        <v>37009.3</v>
      </c>
      <c r="J149" s="7" t="n">
        <v>51986.8</v>
      </c>
      <c r="L149" s="7" t="n">
        <v>44877.6</v>
      </c>
      <c r="N149" s="7" t="n">
        <v>27457.3</v>
      </c>
      <c r="P149" s="7" t="n">
        <v>48555.4</v>
      </c>
      <c r="R149" s="7" t="n">
        <v>47617.2</v>
      </c>
      <c r="T149" s="7" t="n">
        <v>32073.8</v>
      </c>
      <c r="V149" s="7" t="n">
        <v>51317.1</v>
      </c>
      <c r="X149" s="7" t="n">
        <v>42768.1</v>
      </c>
      <c r="Z149" s="7" t="n">
        <v>11998.9</v>
      </c>
      <c r="AB149" s="7" t="n">
        <v>448813.8</v>
      </c>
    </row>
    <row r="150">
      <c r="A150" s="4" t="inlineStr">
        <is>
          <t>会务费</t>
        </is>
      </c>
      <c r="D150" s="7" t="n">
        <v>122.9</v>
      </c>
      <c r="F150" s="7" t="n">
        <v>160.4</v>
      </c>
      <c r="H150" s="7" t="n">
        <v>210.1</v>
      </c>
      <c r="J150" s="7" t="n">
        <v>302.1</v>
      </c>
      <c r="L150" s="7" t="n">
        <v>196.9</v>
      </c>
      <c r="N150" s="7" t="n">
        <v>223.1</v>
      </c>
      <c r="P150" s="7" t="n">
        <v>271.1</v>
      </c>
      <c r="R150" s="7" t="n">
        <v>173.2</v>
      </c>
      <c r="T150" s="7" t="n">
        <v>167.3</v>
      </c>
      <c r="V150" s="7" t="n">
        <v>316.7</v>
      </c>
      <c r="X150" s="7" t="n">
        <v>186.3</v>
      </c>
      <c r="Z150" s="7" t="n">
        <v>90.7</v>
      </c>
      <c r="AB150" s="7" t="n">
        <v>2420.8</v>
      </c>
    </row>
    <row r="151">
      <c r="A151" s="4" t="inlineStr">
        <is>
          <t>装修费</t>
        </is>
      </c>
      <c r="D151" s="7" t="n">
        <v>1618.7</v>
      </c>
      <c r="F151" s="7" t="n">
        <v>1239.1</v>
      </c>
      <c r="H151" s="7" t="n">
        <v>2532.9</v>
      </c>
      <c r="J151" s="7" t="n">
        <v>1715.4</v>
      </c>
      <c r="L151" s="7" t="n">
        <v>2136</v>
      </c>
      <c r="N151" s="7" t="n">
        <v>1434.8</v>
      </c>
      <c r="P151" s="7" t="n">
        <v>1876.6</v>
      </c>
      <c r="R151" s="7" t="n">
        <v>1799.8</v>
      </c>
      <c r="T151" s="7" t="n">
        <v>1584.1</v>
      </c>
      <c r="V151" s="7" t="n">
        <v>3710.8</v>
      </c>
      <c r="X151" s="7" t="n">
        <v>1872.5</v>
      </c>
      <c r="Z151" s="7" t="n">
        <v>903.1</v>
      </c>
      <c r="AB151" s="7" t="n">
        <v>22423.8</v>
      </c>
    </row>
    <row r="152">
      <c r="A152" s="4" t="inlineStr">
        <is>
          <t>推广费</t>
        </is>
      </c>
      <c r="D152" s="7" t="n">
        <v>1788.9</v>
      </c>
      <c r="F152" s="7" t="n">
        <v>1330.8</v>
      </c>
      <c r="H152" s="7" t="n">
        <v>2826.3</v>
      </c>
      <c r="J152" s="7" t="n">
        <v>2315.2</v>
      </c>
      <c r="L152" s="7" t="n">
        <v>2433.4</v>
      </c>
      <c r="N152" s="7" t="n">
        <v>1786.2</v>
      </c>
      <c r="P152" s="7" t="n">
        <v>3363.9</v>
      </c>
      <c r="R152" s="7" t="n">
        <v>1644.5</v>
      </c>
      <c r="T152" s="7" t="n">
        <v>1930.1</v>
      </c>
      <c r="V152" s="7" t="n">
        <v>2957.6</v>
      </c>
      <c r="X152" s="7" t="n">
        <v>1940.3</v>
      </c>
      <c r="Z152" s="7" t="n">
        <v>908.2</v>
      </c>
      <c r="AB152" s="7" t="n">
        <v>25225.4</v>
      </c>
    </row>
    <row r="153">
      <c r="A153" s="4" t="inlineStr">
        <is>
          <t>展会费</t>
        </is>
      </c>
      <c r="D153" s="7" t="n">
        <v>2178.9</v>
      </c>
      <c r="F153" s="7" t="n">
        <v>1477.8</v>
      </c>
      <c r="H153" s="7" t="n">
        <v>2679.9</v>
      </c>
      <c r="J153" s="7" t="n">
        <v>3176</v>
      </c>
      <c r="L153" s="7" t="n">
        <v>4008.7</v>
      </c>
      <c r="N153" s="7" t="n">
        <v>2555.4</v>
      </c>
      <c r="P153" s="7" t="n">
        <v>4353.4</v>
      </c>
      <c r="R153" s="7" t="n">
        <v>2814.7</v>
      </c>
      <c r="T153" s="7" t="n">
        <v>1940.5</v>
      </c>
      <c r="V153" s="7" t="n">
        <v>3043.5</v>
      </c>
      <c r="X153" s="7" t="n">
        <v>3201.4</v>
      </c>
      <c r="Z153" s="7" t="n">
        <v>939.3</v>
      </c>
      <c r="AB153" s="7" t="n">
        <v>32369.5</v>
      </c>
    </row>
    <row r="154">
      <c r="A154" s="4" t="inlineStr">
        <is>
          <t>设计费</t>
        </is>
      </c>
      <c r="D154" s="7" t="n">
        <v>1553.8</v>
      </c>
      <c r="F154" s="7" t="n">
        <v>808.8</v>
      </c>
      <c r="H154" s="7" t="n">
        <v>2237</v>
      </c>
      <c r="J154" s="7" t="n">
        <v>1602</v>
      </c>
      <c r="L154" s="7" t="n">
        <v>1990.9</v>
      </c>
      <c r="N154" s="7" t="n">
        <v>1073.7</v>
      </c>
      <c r="P154" s="7" t="n">
        <v>2839.7</v>
      </c>
      <c r="R154" s="7" t="n">
        <v>1805.9</v>
      </c>
      <c r="T154" s="7" t="n">
        <v>1222.1</v>
      </c>
      <c r="V154" s="7" t="n">
        <v>3272.3</v>
      </c>
      <c r="X154" s="7" t="n">
        <v>1790.4</v>
      </c>
      <c r="Z154" s="7" t="n">
        <v>585</v>
      </c>
      <c r="AB154" s="7" t="n">
        <v>20781.6</v>
      </c>
    </row>
    <row r="155">
      <c r="A155" s="4" t="inlineStr">
        <is>
          <t>折旧费</t>
        </is>
      </c>
      <c r="D155" s="7" t="n">
        <v>43305.1</v>
      </c>
      <c r="F155" s="7" t="n">
        <v>27756.8</v>
      </c>
      <c r="H155" s="7" t="n">
        <v>51269.6</v>
      </c>
      <c r="J155" s="7" t="n">
        <v>46875.8</v>
      </c>
      <c r="L155" s="7" t="n">
        <v>56104.1</v>
      </c>
      <c r="N155" s="7" t="n">
        <v>42098.1</v>
      </c>
      <c r="P155" s="7" t="n">
        <v>63124.8</v>
      </c>
      <c r="R155" s="7" t="n">
        <v>57328.5</v>
      </c>
      <c r="T155" s="7" t="n">
        <v>32303</v>
      </c>
      <c r="V155" s="7" t="n">
        <v>53374.9</v>
      </c>
      <c r="X155" s="7" t="n">
        <v>49726.1</v>
      </c>
      <c r="Z155" s="7" t="n">
        <v>21831.8</v>
      </c>
      <c r="AB155" s="7" t="n">
        <v>545098.6</v>
      </c>
    </row>
    <row r="156">
      <c r="A156" s="4" t="inlineStr">
        <is>
          <t>认证费</t>
        </is>
      </c>
      <c r="D156" s="7" t="n">
        <v>2866.7</v>
      </c>
      <c r="F156" s="7" t="n">
        <v>3493.2</v>
      </c>
      <c r="H156" s="7" t="n">
        <v>5422.9</v>
      </c>
      <c r="J156" s="7" t="n">
        <v>5299.5</v>
      </c>
      <c r="L156" s="7" t="n">
        <v>7114.1</v>
      </c>
      <c r="N156" s="7" t="n">
        <v>3776</v>
      </c>
      <c r="P156" s="7" t="n">
        <v>6563.4</v>
      </c>
      <c r="R156" s="7" t="n">
        <v>5437.2</v>
      </c>
      <c r="T156" s="7" t="n">
        <v>3628.6</v>
      </c>
      <c r="V156" s="7" t="n">
        <v>7378.9</v>
      </c>
      <c r="X156" s="7" t="n">
        <v>4509.8</v>
      </c>
      <c r="Z156" s="7" t="n">
        <v>1718.2</v>
      </c>
      <c r="AB156" s="7" t="n">
        <v>57208.5</v>
      </c>
    </row>
    <row r="157">
      <c r="A157" s="4" t="inlineStr">
        <is>
          <t>样品费</t>
        </is>
      </c>
      <c r="D157" s="7" t="n">
        <v>16820</v>
      </c>
      <c r="F157" s="7" t="n">
        <v>11404.2</v>
      </c>
      <c r="H157" s="7" t="n">
        <v>19784.5</v>
      </c>
      <c r="J157" s="7" t="n">
        <v>31759</v>
      </c>
      <c r="L157" s="7" t="n">
        <v>26227.9</v>
      </c>
      <c r="N157" s="7" t="n">
        <v>18821.8</v>
      </c>
      <c r="P157" s="7" t="n">
        <v>28940.3</v>
      </c>
      <c r="R157" s="7" t="n">
        <v>29655.9</v>
      </c>
      <c r="T157" s="7" t="n">
        <v>14758.8</v>
      </c>
      <c r="V157" s="7" t="n">
        <v>30851.9</v>
      </c>
      <c r="X157" s="7" t="n">
        <v>20995.4</v>
      </c>
      <c r="Z157" s="7" t="n">
        <v>10706.1</v>
      </c>
      <c r="AB157" s="7" t="n">
        <v>260725.8</v>
      </c>
    </row>
    <row r="158">
      <c r="A158" s="4" t="inlineStr">
        <is>
          <t>劳务费</t>
        </is>
      </c>
      <c r="D158" s="7" t="n">
        <v>3311.8</v>
      </c>
      <c r="F158" s="7" t="n">
        <v>3249</v>
      </c>
      <c r="H158" s="7" t="n">
        <v>5003.3</v>
      </c>
      <c r="J158" s="7" t="n">
        <v>4650.3</v>
      </c>
      <c r="L158" s="7" t="n">
        <v>5145.2</v>
      </c>
      <c r="N158" s="7" t="n">
        <v>3514.5</v>
      </c>
      <c r="P158" s="7" t="n">
        <v>8229</v>
      </c>
      <c r="R158" s="7" t="n">
        <v>5130.1</v>
      </c>
      <c r="T158" s="7" t="n">
        <v>4384.2</v>
      </c>
      <c r="V158" s="7" t="n">
        <v>7644.2</v>
      </c>
      <c r="X158" s="7" t="n">
        <v>5107.6</v>
      </c>
      <c r="Z158" s="7" t="n">
        <v>1371.4</v>
      </c>
      <c r="AB158" s="7" t="n">
        <v>56740.6</v>
      </c>
    </row>
    <row r="159">
      <c r="A159" s="4" t="inlineStr">
        <is>
          <t>销售佣金</t>
        </is>
      </c>
      <c r="D159" s="7" t="n">
        <v>748</v>
      </c>
      <c r="F159" s="7" t="n">
        <v>646</v>
      </c>
      <c r="H159" s="7" t="n">
        <v>1546.3</v>
      </c>
      <c r="J159" s="7" t="n">
        <v>1635.5</v>
      </c>
      <c r="L159" s="7" t="n">
        <v>1254.3</v>
      </c>
      <c r="N159" s="7" t="n">
        <v>1239.5</v>
      </c>
      <c r="P159" s="7" t="n">
        <v>2168.9</v>
      </c>
      <c r="R159" s="7" t="n">
        <v>1282.3</v>
      </c>
      <c r="T159" s="7" t="n">
        <v>743.2</v>
      </c>
      <c r="V159" s="7" t="n">
        <v>2383.7</v>
      </c>
      <c r="X159" s="7" t="n">
        <v>868.8</v>
      </c>
      <c r="Z159" s="7" t="n">
        <v>497</v>
      </c>
      <c r="AB159" s="7" t="n">
        <v>15013.5</v>
      </c>
    </row>
    <row r="160">
      <c r="A160" s="4" t="inlineStr">
        <is>
          <t>检测费</t>
        </is>
      </c>
      <c r="D160" s="7" t="n">
        <v>6457.5</v>
      </c>
      <c r="F160" s="7" t="n">
        <v>3882</v>
      </c>
      <c r="H160" s="7" t="n">
        <v>6534.6</v>
      </c>
      <c r="J160" s="7" t="n">
        <v>8893.700000000001</v>
      </c>
      <c r="L160" s="7" t="n">
        <v>6389.7</v>
      </c>
      <c r="N160" s="7" t="n">
        <v>7047.5</v>
      </c>
      <c r="P160" s="7" t="n">
        <v>10475.1</v>
      </c>
      <c r="R160" s="7" t="n">
        <v>5519.7</v>
      </c>
      <c r="T160" s="7" t="n">
        <v>4358.1</v>
      </c>
      <c r="V160" s="7" t="n">
        <v>12170.6</v>
      </c>
      <c r="X160" s="7" t="n">
        <v>7937</v>
      </c>
      <c r="Z160" s="7" t="n">
        <v>2582.5</v>
      </c>
      <c r="AB160" s="7" t="n">
        <v>82248</v>
      </c>
    </row>
    <row r="161">
      <c r="A161" s="4" t="inlineStr">
        <is>
          <t>质量赔偿</t>
        </is>
      </c>
      <c r="D161" s="7" t="n">
        <v>6319.7</v>
      </c>
      <c r="F161" s="7" t="n">
        <v>4948</v>
      </c>
      <c r="H161" s="7" t="n">
        <v>5791.1</v>
      </c>
      <c r="J161" s="7" t="n">
        <v>9560.700000000001</v>
      </c>
      <c r="L161" s="7" t="n">
        <v>6826.4</v>
      </c>
      <c r="N161" s="7" t="n">
        <v>4115.9</v>
      </c>
      <c r="P161" s="7" t="n">
        <v>10450.4</v>
      </c>
      <c r="R161" s="7" t="n">
        <v>6038.4</v>
      </c>
      <c r="T161" s="7" t="n">
        <v>5705.4</v>
      </c>
      <c r="V161" s="7" t="n">
        <v>9526.1</v>
      </c>
      <c r="X161" s="7" t="n">
        <v>6920.5</v>
      </c>
      <c r="Z161" s="7" t="n">
        <v>2050.6</v>
      </c>
      <c r="AB161" s="7" t="n">
        <v>78253.2</v>
      </c>
    </row>
    <row r="162">
      <c r="A162" s="4" t="inlineStr">
        <is>
          <t>保险费</t>
        </is>
      </c>
      <c r="D162" s="7" t="n">
        <v>1996.9</v>
      </c>
      <c r="F162" s="7" t="n">
        <v>1614.1</v>
      </c>
      <c r="H162" s="7" t="n">
        <v>4449.6</v>
      </c>
      <c r="J162" s="7" t="n">
        <v>3818.8</v>
      </c>
      <c r="L162" s="7" t="n">
        <v>3522.4</v>
      </c>
      <c r="N162" s="7" t="n">
        <v>2860.6</v>
      </c>
      <c r="P162" s="7" t="n">
        <v>4476.3</v>
      </c>
      <c r="R162" s="7" t="n">
        <v>3173.7</v>
      </c>
      <c r="T162" s="7" t="n">
        <v>3516</v>
      </c>
      <c r="V162" s="7" t="n">
        <v>4630</v>
      </c>
      <c r="X162" s="7" t="n">
        <v>2931.8</v>
      </c>
      <c r="Z162" s="7" t="n">
        <v>1379.2</v>
      </c>
      <c r="AB162" s="7" t="n">
        <v>38369.4</v>
      </c>
    </row>
    <row r="163">
      <c r="A163" s="4" t="inlineStr">
        <is>
          <t>清洁费</t>
        </is>
      </c>
      <c r="D163" s="7" t="n">
        <v>7100.1</v>
      </c>
      <c r="F163" s="7" t="n">
        <v>5764.7</v>
      </c>
      <c r="H163" s="7" t="n">
        <v>7257</v>
      </c>
      <c r="J163" s="7" t="n">
        <v>10195.2</v>
      </c>
      <c r="L163" s="7" t="n">
        <v>11226.5</v>
      </c>
      <c r="N163" s="7" t="n">
        <v>4407.3</v>
      </c>
      <c r="P163" s="7" t="n">
        <v>13129.2</v>
      </c>
      <c r="R163" s="7" t="n">
        <v>8314</v>
      </c>
      <c r="T163" s="7" t="n">
        <v>7603.7</v>
      </c>
      <c r="V163" s="7" t="n">
        <v>13006.1</v>
      </c>
      <c r="X163" s="7" t="n">
        <v>8850.200000000001</v>
      </c>
      <c r="Z163" s="7" t="n">
        <v>3155.4</v>
      </c>
      <c r="AB163" s="7" t="n">
        <v>100009.4</v>
      </c>
    </row>
    <row r="164">
      <c r="A164" s="4" t="inlineStr">
        <is>
          <t>低值易耗品</t>
        </is>
      </c>
      <c r="D164" s="7" t="n">
        <v>3996</v>
      </c>
      <c r="F164" s="7" t="n">
        <v>3858.1</v>
      </c>
      <c r="H164" s="7" t="n">
        <v>5733.6</v>
      </c>
      <c r="J164" s="7" t="n">
        <v>9425.200000000001</v>
      </c>
      <c r="L164" s="7" t="n">
        <v>7072.5</v>
      </c>
      <c r="N164" s="7" t="n">
        <v>6012.8</v>
      </c>
      <c r="P164" s="7" t="n">
        <v>6494</v>
      </c>
      <c r="R164" s="7" t="n">
        <v>7810.8</v>
      </c>
      <c r="T164" s="7" t="n">
        <v>6276.3</v>
      </c>
      <c r="V164" s="7" t="n">
        <v>9055.799999999999</v>
      </c>
      <c r="X164" s="7" t="n">
        <v>7140.1</v>
      </c>
      <c r="Z164" s="7" t="n">
        <v>2169.7</v>
      </c>
      <c r="AB164" s="7" t="n">
        <v>75044.89999999999</v>
      </c>
    </row>
    <row r="165">
      <c r="A165" s="4" t="inlineStr">
        <is>
          <t>物料消耗</t>
        </is>
      </c>
      <c r="D165" s="7" t="n">
        <v>5010.3</v>
      </c>
      <c r="F165" s="7" t="n">
        <v>3496.8</v>
      </c>
      <c r="H165" s="7" t="n">
        <v>9581.799999999999</v>
      </c>
      <c r="J165" s="7" t="n">
        <v>7710</v>
      </c>
      <c r="L165" s="7" t="n">
        <v>7894.7</v>
      </c>
      <c r="N165" s="7" t="n">
        <v>7748.8</v>
      </c>
      <c r="P165" s="7" t="n">
        <v>13011.2</v>
      </c>
      <c r="R165" s="7" t="n">
        <v>8562.299999999999</v>
      </c>
      <c r="T165" s="7" t="n">
        <v>7865.6</v>
      </c>
      <c r="V165" s="7" t="n">
        <v>13958.8</v>
      </c>
      <c r="X165" s="7" t="n">
        <v>6706</v>
      </c>
      <c r="Z165" s="7" t="n">
        <v>2070.7</v>
      </c>
      <c r="AB165" s="7" t="n">
        <v>93617</v>
      </c>
    </row>
    <row r="166">
      <c r="A166" s="4" t="inlineStr">
        <is>
          <t>盘盈盘亏</t>
        </is>
      </c>
      <c r="D166" s="7" t="n">
        <v>6210.6</v>
      </c>
      <c r="F166" s="7" t="n">
        <v>5193.6</v>
      </c>
      <c r="H166" s="7" t="n">
        <v>6988.5</v>
      </c>
      <c r="J166" s="7" t="n">
        <v>7695.3</v>
      </c>
      <c r="L166" s="7" t="n">
        <v>10198.1</v>
      </c>
      <c r="N166" s="7" t="n">
        <v>6288.1</v>
      </c>
      <c r="P166" s="7" t="n">
        <v>11310.5</v>
      </c>
      <c r="R166" s="7" t="n">
        <v>8382.6</v>
      </c>
      <c r="T166" s="7" t="n">
        <v>6780.9</v>
      </c>
      <c r="V166" s="7" t="n">
        <v>11930.1</v>
      </c>
      <c r="X166" s="7" t="n">
        <v>6319</v>
      </c>
      <c r="Z166" s="7" t="n">
        <v>2320.4</v>
      </c>
      <c r="AB166" s="7" t="n">
        <v>89617.7</v>
      </c>
    </row>
    <row r="167">
      <c r="A167" s="4" t="inlineStr">
        <is>
          <t>平台服务费</t>
        </is>
      </c>
      <c r="D167" s="7" t="n">
        <v>4294.7</v>
      </c>
      <c r="F167" s="7" t="n">
        <v>3262</v>
      </c>
      <c r="H167" s="7" t="n">
        <v>4803.6</v>
      </c>
      <c r="J167" s="7" t="n">
        <v>4042.2</v>
      </c>
      <c r="L167" s="7" t="n">
        <v>4301.8</v>
      </c>
      <c r="N167" s="7" t="n">
        <v>4194</v>
      </c>
      <c r="P167" s="7" t="n">
        <v>6911.4</v>
      </c>
      <c r="R167" s="7" t="n">
        <v>5739.6</v>
      </c>
      <c r="T167" s="7" t="n">
        <v>3083.2</v>
      </c>
      <c r="V167" s="7" t="n">
        <v>6966.7</v>
      </c>
      <c r="X167" s="7" t="n">
        <v>4711.4</v>
      </c>
      <c r="Z167" s="7" t="n">
        <v>1572</v>
      </c>
      <c r="AB167" s="7" t="n">
        <v>53882.6</v>
      </c>
    </row>
    <row r="168">
      <c r="A168" s="4" t="inlineStr">
        <is>
          <t>无形资产摊销</t>
        </is>
      </c>
      <c r="D168" s="7" t="n">
        <v>392.3</v>
      </c>
      <c r="F168" s="7" t="n">
        <v>393.7</v>
      </c>
      <c r="H168" s="7" t="n">
        <v>865.2</v>
      </c>
      <c r="J168" s="7" t="n">
        <v>923.5</v>
      </c>
      <c r="L168" s="7" t="n">
        <v>930.3</v>
      </c>
      <c r="N168" s="7" t="n">
        <v>637.8</v>
      </c>
      <c r="P168" s="7" t="n">
        <v>973.1</v>
      </c>
      <c r="R168" s="7" t="n">
        <v>784.5</v>
      </c>
      <c r="T168" s="7" t="n">
        <v>480.3</v>
      </c>
      <c r="V168" s="7" t="n">
        <v>998.6</v>
      </c>
      <c r="X168" s="7" t="n">
        <v>681.8</v>
      </c>
      <c r="Z168" s="7" t="n">
        <v>207</v>
      </c>
      <c r="AB168" s="7" t="n">
        <v>8268.1</v>
      </c>
    </row>
    <row r="169">
      <c r="A169" s="4" t="inlineStr">
        <is>
          <t>研发材料</t>
        </is>
      </c>
      <c r="D169" s="7" t="n">
        <v>4936.5</v>
      </c>
      <c r="F169" s="7" t="n">
        <v>3845.1</v>
      </c>
      <c r="H169" s="7" t="n">
        <v>4622.6</v>
      </c>
      <c r="J169" s="7" t="n">
        <v>6111.7</v>
      </c>
      <c r="L169" s="7" t="n">
        <v>5434.7</v>
      </c>
      <c r="N169" s="7" t="n">
        <v>5410.2</v>
      </c>
      <c r="P169" s="7" t="n">
        <v>9272.799999999999</v>
      </c>
      <c r="R169" s="7" t="n">
        <v>6865.6</v>
      </c>
      <c r="T169" s="7" t="n">
        <v>3759.1</v>
      </c>
      <c r="V169" s="7" t="n">
        <v>10732.6</v>
      </c>
      <c r="X169" s="7" t="n">
        <v>6262.8</v>
      </c>
      <c r="Z169" s="7" t="n">
        <v>2199</v>
      </c>
      <c r="AB169" s="7" t="n">
        <v>69452.7</v>
      </c>
    </row>
    <row r="170">
      <c r="A170" s="4" t="inlineStr">
        <is>
          <t>项目名称</t>
        </is>
      </c>
      <c r="D170" s="7" t="n">
        <v>4680.4</v>
      </c>
      <c r="F170" s="7" t="n">
        <v>3816.1</v>
      </c>
      <c r="H170" s="7" t="n">
        <v>4212.3</v>
      </c>
      <c r="J170" s="7" t="n">
        <v>6581.1</v>
      </c>
      <c r="L170" s="7" t="n">
        <v>4905.5</v>
      </c>
      <c r="N170" s="7" t="n">
        <v>3784.1</v>
      </c>
      <c r="P170" s="7" t="n">
        <v>6387.2</v>
      </c>
      <c r="R170" s="7" t="n">
        <v>4353.5</v>
      </c>
      <c r="T170" s="7" t="n">
        <v>3092.9</v>
      </c>
      <c r="V170" s="7" t="n">
        <v>7098.9</v>
      </c>
      <c r="X170" s="7" t="n">
        <v>5774.4</v>
      </c>
      <c r="Z170" s="7" t="n">
        <v>1419</v>
      </c>
      <c r="AB170" s="7" t="n">
        <v>56105.4</v>
      </c>
    </row>
    <row r="171">
      <c r="A171" s="4" t="inlineStr">
        <is>
          <t>研发费</t>
        </is>
      </c>
      <c r="D171" s="7" t="n">
        <v>4146.3</v>
      </c>
      <c r="F171" s="7" t="n">
        <v>4265.4</v>
      </c>
      <c r="H171" s="7" t="n">
        <v>5734.4</v>
      </c>
      <c r="J171" s="7" t="n">
        <v>7435.2</v>
      </c>
      <c r="L171" s="7" t="n">
        <v>5413.7</v>
      </c>
      <c r="N171" s="7" t="n">
        <v>5204.4</v>
      </c>
      <c r="P171" s="7" t="n">
        <v>6230.3</v>
      </c>
      <c r="R171" s="7" t="n">
        <v>7098</v>
      </c>
      <c r="T171" s="7" t="n">
        <v>5504.3</v>
      </c>
      <c r="V171" s="7" t="n">
        <v>7716.5</v>
      </c>
      <c r="X171" s="7" t="n">
        <v>5202.6</v>
      </c>
      <c r="Z171" s="7" t="n">
        <v>1643.5</v>
      </c>
      <c r="AB171" s="7" t="n">
        <v>65594.60000000001</v>
      </c>
    </row>
    <row r="172">
      <c r="A172" s="4" t="inlineStr">
        <is>
          <t>残保金</t>
        </is>
      </c>
      <c r="D172" s="7" t="n">
        <v>5449.9</v>
      </c>
      <c r="F172" s="7" t="n">
        <v>5266.3</v>
      </c>
      <c r="H172" s="7" t="n">
        <v>6113.6</v>
      </c>
      <c r="J172" s="7" t="n">
        <v>8877.799999999999</v>
      </c>
      <c r="L172" s="7" t="n">
        <v>7956.5</v>
      </c>
      <c r="N172" s="7" t="n">
        <v>5195.9</v>
      </c>
      <c r="P172" s="7" t="n">
        <v>7180.7</v>
      </c>
      <c r="R172" s="7" t="n">
        <v>6074.7</v>
      </c>
      <c r="T172" s="7" t="n">
        <v>4808.1</v>
      </c>
      <c r="V172" s="7" t="n">
        <v>11280.1</v>
      </c>
      <c r="X172" s="7" t="n">
        <v>7742.2</v>
      </c>
      <c r="Z172" s="7" t="n">
        <v>2320.2</v>
      </c>
      <c r="AB172" s="7" t="n">
        <v>78266</v>
      </c>
    </row>
    <row r="173">
      <c r="A173" s="4" t="inlineStr">
        <is>
          <t>环保费</t>
        </is>
      </c>
      <c r="D173" s="7" t="n">
        <v>4005</v>
      </c>
      <c r="F173" s="7" t="n">
        <v>2291</v>
      </c>
      <c r="H173" s="7" t="n">
        <v>4380.5</v>
      </c>
      <c r="J173" s="7" t="n">
        <v>5732.2</v>
      </c>
      <c r="L173" s="7" t="n">
        <v>7459.6</v>
      </c>
      <c r="N173" s="7" t="n">
        <v>4885.5</v>
      </c>
      <c r="P173" s="7" t="n">
        <v>8218</v>
      </c>
      <c r="R173" s="7" t="n">
        <v>6247.6</v>
      </c>
      <c r="T173" s="7" t="n">
        <v>5117.7</v>
      </c>
      <c r="V173" s="7" t="n">
        <v>7187.7</v>
      </c>
      <c r="X173" s="7" t="n">
        <v>3764.3</v>
      </c>
      <c r="Z173" s="7" t="n">
        <v>1478.8</v>
      </c>
      <c r="AB173" s="7" t="n">
        <v>60767.9</v>
      </c>
    </row>
    <row r="174">
      <c r="A174" s="4" t="inlineStr">
        <is>
          <t>报废损失</t>
        </is>
      </c>
      <c r="D174" s="7" t="n">
        <v>1680.5</v>
      </c>
      <c r="F174" s="7" t="n">
        <v>1964.7</v>
      </c>
      <c r="H174" s="7" t="n">
        <v>3546.5</v>
      </c>
      <c r="J174" s="7" t="n">
        <v>3941.4</v>
      </c>
      <c r="L174" s="7" t="n">
        <v>4163.8</v>
      </c>
      <c r="N174" s="7" t="n">
        <v>2262.9</v>
      </c>
      <c r="P174" s="7" t="n">
        <v>4071.9</v>
      </c>
      <c r="R174" s="7" t="n">
        <v>1964.7</v>
      </c>
      <c r="T174" s="7" t="n">
        <v>1858.3</v>
      </c>
      <c r="V174" s="7" t="n">
        <v>4389.5</v>
      </c>
      <c r="X174" s="7" t="n">
        <v>2131.8</v>
      </c>
      <c r="Z174" s="7" t="n">
        <v>916.6</v>
      </c>
      <c r="AB174" s="7" t="n">
        <v>32892.6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450195.8</v>
      </c>
      <c r="D175" s="7" t="n">
        <v>260177.3</v>
      </c>
      <c r="E175" s="7" t="n">
        <v>439104.9</v>
      </c>
      <c r="F175" s="7" t="n">
        <v>555549.5</v>
      </c>
      <c r="G175" s="7" t="n">
        <v>451878.9</v>
      </c>
      <c r="H175" s="7" t="n">
        <v>476477.9</v>
      </c>
      <c r="I175" s="7" t="n">
        <v>565383.8</v>
      </c>
      <c r="J175" s="7" t="n">
        <v>570860.7</v>
      </c>
      <c r="K175" s="7" t="n">
        <v>559756.6</v>
      </c>
      <c r="L175" s="7" t="n">
        <v>410629.4</v>
      </c>
      <c r="M175" s="7" t="n">
        <v>546483.4</v>
      </c>
      <c r="N175" s="7" t="n">
        <v>609957.9</v>
      </c>
      <c r="O175" s="7" t="n">
        <v>573709.2</v>
      </c>
      <c r="P175" s="7" t="n">
        <v>992939.7</v>
      </c>
      <c r="Q175" s="7" t="n">
        <v>475540.1</v>
      </c>
      <c r="R175" s="7" t="n">
        <v>800833.7</v>
      </c>
      <c r="S175" s="7" t="n">
        <v>566186</v>
      </c>
      <c r="T175" s="7" t="n">
        <v>275565.4</v>
      </c>
      <c r="U175" s="7" t="n">
        <v>525898.9</v>
      </c>
      <c r="V175" s="7" t="n">
        <v>476240.3</v>
      </c>
      <c r="W175" s="7" t="n">
        <v>548580.2</v>
      </c>
      <c r="X175" s="7" t="n">
        <v>474347.2</v>
      </c>
      <c r="Y175" s="7" t="n">
        <v>472615.1</v>
      </c>
      <c r="Z175" s="7" t="n">
        <v>200408.1</v>
      </c>
      <c r="AA175" s="8" t="n">
        <v>6175332.9</v>
      </c>
      <c r="AB175" s="8" t="n">
        <v>6103987.1</v>
      </c>
    </row>
    <row r="176">
      <c r="A176" s="4" t="inlineStr">
        <is>
          <t>职工薪酬</t>
        </is>
      </c>
      <c r="D176" s="7" t="n">
        <v>116154.3</v>
      </c>
      <c r="F176" s="7" t="n">
        <v>248043.4</v>
      </c>
      <c r="H176" s="7" t="n">
        <v>246891.1</v>
      </c>
      <c r="J176" s="7" t="n">
        <v>285219.3</v>
      </c>
      <c r="L176" s="7" t="n">
        <v>241597.4</v>
      </c>
      <c r="N176" s="7" t="n">
        <v>348366.7</v>
      </c>
      <c r="P176" s="7" t="n">
        <v>444657.7</v>
      </c>
      <c r="R176" s="7" t="n">
        <v>356577.4</v>
      </c>
      <c r="T176" s="7" t="n">
        <v>158917.9</v>
      </c>
      <c r="V176" s="7" t="n">
        <v>246682.3</v>
      </c>
      <c r="X176" s="7" t="n">
        <v>240042.4</v>
      </c>
      <c r="Z176" s="7" t="n">
        <v>120012.6</v>
      </c>
      <c r="AB176" s="7" t="n">
        <v>3053162.5</v>
      </c>
    </row>
    <row r="177">
      <c r="A177" s="4" t="inlineStr">
        <is>
          <t>工资</t>
        </is>
      </c>
      <c r="D177" s="7" t="n">
        <v>56316.7</v>
      </c>
      <c r="F177" s="7" t="n">
        <v>142687.5</v>
      </c>
      <c r="H177" s="7" t="n">
        <v>160608</v>
      </c>
      <c r="J177" s="7" t="n">
        <v>164726.1</v>
      </c>
      <c r="L177" s="7" t="n">
        <v>159790.8</v>
      </c>
      <c r="N177" s="7" t="n">
        <v>229891.4</v>
      </c>
      <c r="P177" s="7" t="n">
        <v>215808</v>
      </c>
      <c r="R177" s="7" t="n">
        <v>219567.5</v>
      </c>
      <c r="T177" s="7" t="n">
        <v>93037.8</v>
      </c>
      <c r="V177" s="7" t="n">
        <v>141603.3</v>
      </c>
      <c r="X177" s="7" t="n">
        <v>141705.5</v>
      </c>
      <c r="Z177" s="7" t="n">
        <v>72598</v>
      </c>
      <c r="AB177" s="7" t="n">
        <v>1798340.6</v>
      </c>
    </row>
    <row r="178">
      <c r="A178" s="4" t="inlineStr">
        <is>
          <t>奖金及提成</t>
        </is>
      </c>
      <c r="D178" s="7" t="n">
        <v>31744.9</v>
      </c>
      <c r="F178" s="7" t="n">
        <v>43010.2</v>
      </c>
      <c r="H178" s="7" t="n">
        <v>36028.7</v>
      </c>
      <c r="J178" s="7" t="n">
        <v>69696.60000000001</v>
      </c>
      <c r="L178" s="7" t="n">
        <v>33195</v>
      </c>
      <c r="N178" s="7" t="n">
        <v>48856.2</v>
      </c>
      <c r="P178" s="7" t="n">
        <v>99814.5</v>
      </c>
      <c r="R178" s="7" t="n">
        <v>69166</v>
      </c>
      <c r="T178" s="7" t="n">
        <v>34019.6</v>
      </c>
      <c r="V178" s="7" t="n">
        <v>50072.2</v>
      </c>
      <c r="X178" s="7" t="n">
        <v>49812.5</v>
      </c>
      <c r="Z178" s="7" t="n">
        <v>25711.9</v>
      </c>
      <c r="AB178" s="7" t="n">
        <v>591128.3</v>
      </c>
    </row>
    <row r="179">
      <c r="A179" s="4" t="inlineStr">
        <is>
          <t>社保</t>
        </is>
      </c>
      <c r="D179" s="7" t="n">
        <v>21139.1</v>
      </c>
      <c r="F179" s="7" t="n">
        <v>46331.6</v>
      </c>
      <c r="H179" s="7" t="n">
        <v>36206.7</v>
      </c>
      <c r="J179" s="7" t="n">
        <v>34073.6</v>
      </c>
      <c r="L179" s="7" t="n">
        <v>38137.7</v>
      </c>
      <c r="N179" s="7" t="n">
        <v>53976.2</v>
      </c>
      <c r="P179" s="7" t="n">
        <v>97897.5</v>
      </c>
      <c r="R179" s="7" t="n">
        <v>45844.7</v>
      </c>
      <c r="T179" s="7" t="n">
        <v>24443.5</v>
      </c>
      <c r="V179" s="7" t="n">
        <v>42228.6</v>
      </c>
      <c r="X179" s="7" t="n">
        <v>35538.2</v>
      </c>
      <c r="Z179" s="7" t="n">
        <v>16901.7</v>
      </c>
      <c r="AB179" s="7" t="n">
        <v>492719.1</v>
      </c>
    </row>
    <row r="180">
      <c r="A180" s="4" t="inlineStr">
        <is>
          <t>养老</t>
        </is>
      </c>
      <c r="D180" s="7" t="n">
        <v>1951</v>
      </c>
      <c r="F180" s="7" t="n">
        <v>2745.4</v>
      </c>
      <c r="H180" s="7" t="n">
        <v>2225</v>
      </c>
      <c r="J180" s="7" t="n">
        <v>4267.3</v>
      </c>
      <c r="L180" s="7" t="n">
        <v>2806.5</v>
      </c>
      <c r="N180" s="7" t="n">
        <v>3699.7</v>
      </c>
      <c r="P180" s="7" t="n">
        <v>7885</v>
      </c>
      <c r="R180" s="7" t="n">
        <v>5277.5</v>
      </c>
      <c r="T180" s="7" t="n">
        <v>1209.2</v>
      </c>
      <c r="V180" s="7" t="n">
        <v>3807.8</v>
      </c>
      <c r="X180" s="7" t="n">
        <v>3236</v>
      </c>
      <c r="Z180" s="7" t="n">
        <v>1588.2</v>
      </c>
      <c r="AB180" s="7" t="n">
        <v>40698.6</v>
      </c>
    </row>
    <row r="181">
      <c r="A181" s="4" t="inlineStr">
        <is>
          <t>医疗</t>
        </is>
      </c>
      <c r="D181" s="7" t="n">
        <v>631.3</v>
      </c>
      <c r="F181" s="7" t="n">
        <v>1350.1</v>
      </c>
      <c r="H181" s="7" t="n">
        <v>1293.8</v>
      </c>
      <c r="J181" s="7" t="n">
        <v>1266.7</v>
      </c>
      <c r="L181" s="7" t="n">
        <v>723.4</v>
      </c>
      <c r="N181" s="7" t="n">
        <v>947.7</v>
      </c>
      <c r="P181" s="7" t="n">
        <v>2297.9</v>
      </c>
      <c r="R181" s="7" t="n">
        <v>1525.2</v>
      </c>
      <c r="T181" s="7" t="n">
        <v>430.5</v>
      </c>
      <c r="V181" s="7" t="n">
        <v>753.3</v>
      </c>
      <c r="X181" s="7" t="n">
        <v>1284.7</v>
      </c>
      <c r="Z181" s="7" t="n">
        <v>396.6</v>
      </c>
      <c r="AB181" s="7" t="n">
        <v>12901.2</v>
      </c>
    </row>
    <row r="182">
      <c r="A182" s="4" t="inlineStr">
        <is>
          <t>工伤</t>
        </is>
      </c>
      <c r="D182" s="7" t="n">
        <v>549</v>
      </c>
      <c r="F182" s="7" t="n">
        <v>1858.5</v>
      </c>
      <c r="H182" s="7" t="n">
        <v>1519.5</v>
      </c>
      <c r="J182" s="7" t="n">
        <v>1125</v>
      </c>
      <c r="L182" s="7" t="n">
        <v>1301</v>
      </c>
      <c r="N182" s="7" t="n">
        <v>1272.7</v>
      </c>
      <c r="P182" s="7" t="n">
        <v>3032.5</v>
      </c>
      <c r="R182" s="7" t="n">
        <v>1824.3</v>
      </c>
      <c r="T182" s="7" t="n">
        <v>829.9</v>
      </c>
      <c r="V182" s="7" t="n">
        <v>1360.7</v>
      </c>
      <c r="X182" s="7" t="n">
        <v>958.2</v>
      </c>
      <c r="Z182" s="7" t="n">
        <v>521.3</v>
      </c>
      <c r="AB182" s="7" t="n">
        <v>16152.6</v>
      </c>
    </row>
    <row r="183">
      <c r="A183" s="4" t="inlineStr">
        <is>
          <t>失业</t>
        </is>
      </c>
      <c r="D183" s="7" t="n">
        <v>873.2</v>
      </c>
      <c r="F183" s="7" t="n">
        <v>1395.6</v>
      </c>
      <c r="H183" s="7" t="n">
        <v>1500.8</v>
      </c>
      <c r="J183" s="7" t="n">
        <v>1260.4</v>
      </c>
      <c r="L183" s="7" t="n">
        <v>1279.8</v>
      </c>
      <c r="N183" s="7" t="n">
        <v>2073.8</v>
      </c>
      <c r="P183" s="7" t="n">
        <v>2836.5</v>
      </c>
      <c r="R183" s="7" t="n">
        <v>2256.3</v>
      </c>
      <c r="T183" s="7" t="n">
        <v>961.9</v>
      </c>
      <c r="V183" s="7" t="n">
        <v>1331.1</v>
      </c>
      <c r="X183" s="7" t="n">
        <v>1395.7</v>
      </c>
      <c r="Z183" s="7" t="n">
        <v>542</v>
      </c>
      <c r="AB183" s="7" t="n">
        <v>17707.1</v>
      </c>
    </row>
    <row r="184">
      <c r="A184" s="4" t="inlineStr">
        <is>
          <t>生育</t>
        </is>
      </c>
      <c r="D184" s="7" t="n">
        <v>1531.5</v>
      </c>
      <c r="F184" s="7" t="n">
        <v>2944.1</v>
      </c>
      <c r="H184" s="7" t="n">
        <v>2270.2</v>
      </c>
      <c r="J184" s="7" t="n">
        <v>2706.1</v>
      </c>
      <c r="L184" s="7" t="n">
        <v>1475.3</v>
      </c>
      <c r="N184" s="7" t="n">
        <v>2738.4</v>
      </c>
      <c r="P184" s="7" t="n">
        <v>4817.8</v>
      </c>
      <c r="R184" s="7" t="n">
        <v>3315.3</v>
      </c>
      <c r="T184" s="7" t="n">
        <v>1519.7</v>
      </c>
      <c r="V184" s="7" t="n">
        <v>1873.5</v>
      </c>
      <c r="X184" s="7" t="n">
        <v>2346.4</v>
      </c>
      <c r="Z184" s="7" t="n">
        <v>1071.4</v>
      </c>
      <c r="AB184" s="7" t="n">
        <v>28609.7</v>
      </c>
    </row>
    <row r="185">
      <c r="A185" s="4" t="inlineStr">
        <is>
          <t>公积金</t>
        </is>
      </c>
      <c r="D185" s="7" t="n">
        <v>782.7</v>
      </c>
      <c r="F185" s="7" t="n">
        <v>1839.5</v>
      </c>
      <c r="H185" s="7" t="n">
        <v>2039.9</v>
      </c>
      <c r="J185" s="7" t="n">
        <v>1937.7</v>
      </c>
      <c r="L185" s="7" t="n">
        <v>1114.9</v>
      </c>
      <c r="N185" s="7" t="n">
        <v>1629.9</v>
      </c>
      <c r="P185" s="7" t="n">
        <v>4242.1</v>
      </c>
      <c r="R185" s="7" t="n">
        <v>3319.9</v>
      </c>
      <c r="T185" s="7" t="n">
        <v>961.2</v>
      </c>
      <c r="V185" s="7" t="n">
        <v>1437.4</v>
      </c>
      <c r="X185" s="7" t="n">
        <v>1189.1</v>
      </c>
      <c r="Z185" s="7" t="n">
        <v>514.3</v>
      </c>
      <c r="AB185" s="7" t="n">
        <v>21008.6</v>
      </c>
    </row>
    <row r="186">
      <c r="A186" s="4" t="inlineStr">
        <is>
          <t>工会经费</t>
        </is>
      </c>
      <c r="D186" s="7" t="n">
        <v>58.8</v>
      </c>
      <c r="F186" s="7" t="n">
        <v>156.9</v>
      </c>
      <c r="H186" s="7" t="n">
        <v>106.6</v>
      </c>
      <c r="J186" s="7" t="n">
        <v>185.1</v>
      </c>
      <c r="L186" s="7" t="n">
        <v>126.4</v>
      </c>
      <c r="N186" s="7" t="n">
        <v>153.7</v>
      </c>
      <c r="P186" s="7" t="n">
        <v>250.4</v>
      </c>
      <c r="R186" s="7" t="n">
        <v>177.4</v>
      </c>
      <c r="T186" s="7" t="n">
        <v>81.7</v>
      </c>
      <c r="V186" s="7" t="n">
        <v>108.2</v>
      </c>
      <c r="X186" s="7" t="n">
        <v>153.9</v>
      </c>
      <c r="Z186" s="7" t="n">
        <v>47.9</v>
      </c>
      <c r="AB186" s="7" t="n">
        <v>1607</v>
      </c>
    </row>
    <row r="187">
      <c r="A187" s="4" t="inlineStr">
        <is>
          <t>职工教育经费</t>
        </is>
      </c>
      <c r="D187" s="7" t="n">
        <v>290.9</v>
      </c>
      <c r="F187" s="7" t="n">
        <v>497.8</v>
      </c>
      <c r="H187" s="7" t="n">
        <v>698</v>
      </c>
      <c r="J187" s="7" t="n">
        <v>599.3</v>
      </c>
      <c r="L187" s="7" t="n">
        <v>516.3</v>
      </c>
      <c r="N187" s="7" t="n">
        <v>709.1</v>
      </c>
      <c r="P187" s="7" t="n">
        <v>1307.6</v>
      </c>
      <c r="R187" s="7" t="n">
        <v>1027.9</v>
      </c>
      <c r="T187" s="7" t="n">
        <v>282.8</v>
      </c>
      <c r="V187" s="7" t="n">
        <v>728.4</v>
      </c>
      <c r="X187" s="7" t="n">
        <v>693</v>
      </c>
      <c r="Z187" s="7" t="n">
        <v>194.5</v>
      </c>
      <c r="AB187" s="7" t="n">
        <v>7545.6</v>
      </c>
    </row>
    <row r="188">
      <c r="A188" s="4" t="inlineStr">
        <is>
          <t>福利费</t>
        </is>
      </c>
      <c r="D188" s="7" t="n">
        <v>5821.2</v>
      </c>
      <c r="F188" s="7" t="n">
        <v>13519.9</v>
      </c>
      <c r="H188" s="7" t="n">
        <v>11203.2</v>
      </c>
      <c r="J188" s="7" t="n">
        <v>14000.9</v>
      </c>
      <c r="L188" s="7" t="n">
        <v>8716.299999999999</v>
      </c>
      <c r="N188" s="7" t="n">
        <v>13150.2</v>
      </c>
      <c r="P188" s="7" t="n">
        <v>25337.6</v>
      </c>
      <c r="R188" s="7" t="n">
        <v>17474</v>
      </c>
      <c r="T188" s="7" t="n">
        <v>6091.3</v>
      </c>
      <c r="V188" s="7" t="n">
        <v>10504.2</v>
      </c>
      <c r="X188" s="7" t="n">
        <v>10950.2</v>
      </c>
      <c r="Z188" s="7" t="n">
        <v>4044.3</v>
      </c>
      <c r="AB188" s="7" t="n">
        <v>140813.3</v>
      </c>
    </row>
    <row r="189">
      <c r="A189" s="4" t="inlineStr">
        <is>
          <t>职工房租</t>
        </is>
      </c>
      <c r="D189" s="7" t="n">
        <v>1748.5</v>
      </c>
      <c r="F189" s="7" t="n">
        <v>3490.3</v>
      </c>
      <c r="H189" s="7" t="n">
        <v>3232.2</v>
      </c>
      <c r="J189" s="7" t="n">
        <v>4643.4</v>
      </c>
      <c r="L189" s="7" t="n">
        <v>2383.3</v>
      </c>
      <c r="N189" s="7" t="n">
        <v>4265.8</v>
      </c>
      <c r="P189" s="7" t="n">
        <v>7006.4</v>
      </c>
      <c r="R189" s="7" t="n">
        <v>4752.3</v>
      </c>
      <c r="T189" s="7" t="n">
        <v>1538.6</v>
      </c>
      <c r="V189" s="7" t="n">
        <v>2337.6</v>
      </c>
      <c r="X189" s="7" t="n">
        <v>2127.9</v>
      </c>
      <c r="Z189" s="7" t="n">
        <v>973.7</v>
      </c>
      <c r="AB189" s="7" t="n">
        <v>38500</v>
      </c>
    </row>
    <row r="190">
      <c r="A190" s="4" t="inlineStr">
        <is>
          <t>水电物业费</t>
        </is>
      </c>
      <c r="D190" s="7" t="n">
        <v>34.8</v>
      </c>
      <c r="F190" s="7" t="n">
        <v>70.3</v>
      </c>
      <c r="H190" s="7" t="n">
        <v>41</v>
      </c>
      <c r="J190" s="7" t="n">
        <v>64.8</v>
      </c>
      <c r="L190" s="7" t="n">
        <v>46.6</v>
      </c>
      <c r="N190" s="7" t="n">
        <v>61.1</v>
      </c>
      <c r="P190" s="7" t="n">
        <v>111.3</v>
      </c>
      <c r="R190" s="7" t="n">
        <v>97.90000000000001</v>
      </c>
      <c r="T190" s="7" t="n">
        <v>23.4</v>
      </c>
      <c r="V190" s="7" t="n">
        <v>43.7</v>
      </c>
      <c r="X190" s="7" t="n">
        <v>48.3</v>
      </c>
      <c r="Z190" s="7" t="n">
        <v>20.5</v>
      </c>
      <c r="AB190" s="7" t="n">
        <v>663.7</v>
      </c>
    </row>
    <row r="191">
      <c r="A191" s="4" t="inlineStr">
        <is>
          <t>员工餐</t>
        </is>
      </c>
      <c r="D191" s="7" t="n">
        <v>29.8</v>
      </c>
      <c r="F191" s="7" t="n">
        <v>62.9</v>
      </c>
      <c r="H191" s="7" t="n">
        <v>76.5</v>
      </c>
      <c r="J191" s="7" t="n">
        <v>104.4</v>
      </c>
      <c r="L191" s="7" t="n">
        <v>57.7</v>
      </c>
      <c r="N191" s="7" t="n">
        <v>106.1</v>
      </c>
      <c r="P191" s="7" t="n">
        <v>149.3</v>
      </c>
      <c r="R191" s="7" t="n">
        <v>94</v>
      </c>
      <c r="T191" s="7" t="n">
        <v>41.1</v>
      </c>
      <c r="V191" s="7" t="n">
        <v>81.8</v>
      </c>
      <c r="X191" s="7" t="n">
        <v>49.6</v>
      </c>
      <c r="Z191" s="7" t="n">
        <v>20.2</v>
      </c>
      <c r="AB191" s="7" t="n">
        <v>873.4</v>
      </c>
    </row>
    <row r="192">
      <c r="A192" s="4" t="inlineStr">
        <is>
          <t>节日礼品</t>
        </is>
      </c>
      <c r="D192" s="7" t="n">
        <v>1213</v>
      </c>
      <c r="F192" s="7" t="n">
        <v>2957.2</v>
      </c>
      <c r="H192" s="7" t="n">
        <v>2381.7</v>
      </c>
      <c r="J192" s="7" t="n">
        <v>2695.5</v>
      </c>
      <c r="L192" s="7" t="n">
        <v>1795.1</v>
      </c>
      <c r="N192" s="7" t="n">
        <v>2603.6</v>
      </c>
      <c r="P192" s="7" t="n">
        <v>3589.4</v>
      </c>
      <c r="R192" s="7" t="n">
        <v>3285.7</v>
      </c>
      <c r="T192" s="7" t="n">
        <v>1129.6</v>
      </c>
      <c r="V192" s="7" t="n">
        <v>2076.2</v>
      </c>
      <c r="X192" s="7" t="n">
        <v>2092.1</v>
      </c>
      <c r="Z192" s="7" t="n">
        <v>917.3</v>
      </c>
      <c r="AB192" s="7" t="n">
        <v>26736.4</v>
      </c>
    </row>
    <row r="193">
      <c r="A193" s="4" t="inlineStr">
        <is>
          <t>生日礼品</t>
        </is>
      </c>
      <c r="D193" s="7" t="n">
        <v>1383.2</v>
      </c>
      <c r="F193" s="7" t="n">
        <v>3357.7</v>
      </c>
      <c r="H193" s="7" t="n">
        <v>2595</v>
      </c>
      <c r="J193" s="7" t="n">
        <v>2914.1</v>
      </c>
      <c r="L193" s="7" t="n">
        <v>1956.1</v>
      </c>
      <c r="N193" s="7" t="n">
        <v>2411</v>
      </c>
      <c r="P193" s="7" t="n">
        <v>6571</v>
      </c>
      <c r="R193" s="7" t="n">
        <v>4075.5</v>
      </c>
      <c r="T193" s="7" t="n">
        <v>1452.1</v>
      </c>
      <c r="V193" s="7" t="n">
        <v>2542.5</v>
      </c>
      <c r="X193" s="7" t="n">
        <v>3209.3</v>
      </c>
      <c r="Z193" s="7" t="n">
        <v>974.6</v>
      </c>
      <c r="AB193" s="7" t="n">
        <v>33442.1</v>
      </c>
    </row>
    <row r="194">
      <c r="A194" s="4" t="inlineStr">
        <is>
          <t>体检</t>
        </is>
      </c>
      <c r="D194" s="7" t="n">
        <v>847.9</v>
      </c>
      <c r="F194" s="7" t="n">
        <v>2217.8</v>
      </c>
      <c r="H194" s="7" t="n">
        <v>1776.9</v>
      </c>
      <c r="J194" s="7" t="n">
        <v>2366.4</v>
      </c>
      <c r="L194" s="7" t="n">
        <v>1576.3</v>
      </c>
      <c r="N194" s="7" t="n">
        <v>2320.7</v>
      </c>
      <c r="P194" s="7" t="n">
        <v>5656.3</v>
      </c>
      <c r="R194" s="7" t="n">
        <v>3309.4</v>
      </c>
      <c r="T194" s="7" t="n">
        <v>1337.6</v>
      </c>
      <c r="V194" s="7" t="n">
        <v>2625.8</v>
      </c>
      <c r="X194" s="7" t="n">
        <v>2373.9</v>
      </c>
      <c r="Z194" s="7" t="n">
        <v>713.8</v>
      </c>
      <c r="AB194" s="7" t="n">
        <v>27122.8</v>
      </c>
    </row>
    <row r="195">
      <c r="A195" s="4" t="inlineStr">
        <is>
          <t>其他福利支出</t>
        </is>
      </c>
      <c r="D195" s="7" t="n">
        <v>564</v>
      </c>
      <c r="F195" s="7" t="n">
        <v>1363.7</v>
      </c>
      <c r="H195" s="7" t="n">
        <v>1099.9</v>
      </c>
      <c r="J195" s="7" t="n">
        <v>1212.3</v>
      </c>
      <c r="L195" s="7" t="n">
        <v>901.2</v>
      </c>
      <c r="N195" s="7" t="n">
        <v>1381.9</v>
      </c>
      <c r="P195" s="7" t="n">
        <v>2253.9</v>
      </c>
      <c r="R195" s="7" t="n">
        <v>1859.2</v>
      </c>
      <c r="T195" s="7" t="n">
        <v>568.9</v>
      </c>
      <c r="V195" s="7" t="n">
        <v>796.6</v>
      </c>
      <c r="X195" s="7" t="n">
        <v>1049.1</v>
      </c>
      <c r="Z195" s="7" t="n">
        <v>424.2</v>
      </c>
      <c r="AB195" s="7" t="n">
        <v>13474.9</v>
      </c>
    </row>
    <row r="196">
      <c r="A196" s="4" t="inlineStr">
        <is>
          <t>招聘费</t>
        </is>
      </c>
      <c r="D196" s="7" t="n">
        <v>180.5</v>
      </c>
      <c r="F196" s="7" t="n">
        <v>500.1</v>
      </c>
      <c r="H196" s="7" t="n">
        <v>306.8</v>
      </c>
      <c r="J196" s="7" t="n">
        <v>458.9</v>
      </c>
      <c r="L196" s="7" t="n">
        <v>450.6</v>
      </c>
      <c r="N196" s="7" t="n">
        <v>455.5</v>
      </c>
      <c r="P196" s="7" t="n">
        <v>694</v>
      </c>
      <c r="R196" s="7" t="n">
        <v>493.7</v>
      </c>
      <c r="T196" s="7" t="n">
        <v>165.8</v>
      </c>
      <c r="V196" s="7" t="n">
        <v>495.3</v>
      </c>
      <c r="X196" s="7" t="n">
        <v>367.1</v>
      </c>
      <c r="Z196" s="7" t="n">
        <v>134.9</v>
      </c>
      <c r="AB196" s="7" t="n">
        <v>4703.2</v>
      </c>
    </row>
    <row r="197">
      <c r="A197" s="4" t="inlineStr">
        <is>
          <t>办公费</t>
        </is>
      </c>
      <c r="D197" s="7" t="n">
        <v>9341.200000000001</v>
      </c>
      <c r="F197" s="7" t="n">
        <v>20611</v>
      </c>
      <c r="H197" s="7" t="n">
        <v>10280.2</v>
      </c>
      <c r="J197" s="7" t="n">
        <v>12642.3</v>
      </c>
      <c r="L197" s="7" t="n">
        <v>11806.1</v>
      </c>
      <c r="N197" s="7" t="n">
        <v>19589.5</v>
      </c>
      <c r="P197" s="7" t="n">
        <v>23008.8</v>
      </c>
      <c r="R197" s="7" t="n">
        <v>20047.8</v>
      </c>
      <c r="T197" s="7" t="n">
        <v>7065.7</v>
      </c>
      <c r="V197" s="7" t="n">
        <v>12918.4</v>
      </c>
      <c r="X197" s="7" t="n">
        <v>12994.4</v>
      </c>
      <c r="Z197" s="7" t="n">
        <v>4376.9</v>
      </c>
      <c r="AB197" s="7" t="n">
        <v>164682.3</v>
      </c>
    </row>
    <row r="198">
      <c r="A198" s="4" t="inlineStr">
        <is>
          <t>市内交通费</t>
        </is>
      </c>
      <c r="D198" s="7" t="n">
        <v>1288.5</v>
      </c>
      <c r="F198" s="7" t="n">
        <v>2528.3</v>
      </c>
      <c r="H198" s="7" t="n">
        <v>3055.2</v>
      </c>
      <c r="J198" s="7" t="n">
        <v>3315.9</v>
      </c>
      <c r="L198" s="7" t="n">
        <v>2603.7</v>
      </c>
      <c r="N198" s="7" t="n">
        <v>3945.4</v>
      </c>
      <c r="P198" s="7" t="n">
        <v>7177.8</v>
      </c>
      <c r="R198" s="7" t="n">
        <v>4437.3</v>
      </c>
      <c r="T198" s="7" t="n">
        <v>1545.2</v>
      </c>
      <c r="V198" s="7" t="n">
        <v>3302.8</v>
      </c>
      <c r="X198" s="7" t="n">
        <v>2092.8</v>
      </c>
      <c r="Z198" s="7" t="n">
        <v>880.7</v>
      </c>
      <c r="AB198" s="7" t="n">
        <v>36173.6</v>
      </c>
    </row>
    <row r="199">
      <c r="A199" s="4" t="inlineStr">
        <is>
          <t>差旅费</t>
        </is>
      </c>
      <c r="D199" s="7" t="n">
        <v>16646.3</v>
      </c>
      <c r="F199" s="7" t="n">
        <v>38976</v>
      </c>
      <c r="H199" s="7" t="n">
        <v>36262.7</v>
      </c>
      <c r="J199" s="7" t="n">
        <v>40902.2</v>
      </c>
      <c r="L199" s="7" t="n">
        <v>17866.9</v>
      </c>
      <c r="N199" s="7" t="n">
        <v>27932.9</v>
      </c>
      <c r="P199" s="7" t="n">
        <v>64220.7</v>
      </c>
      <c r="R199" s="7" t="n">
        <v>58742.2</v>
      </c>
      <c r="T199" s="7" t="n">
        <v>20611</v>
      </c>
      <c r="V199" s="7" t="n">
        <v>22694.4</v>
      </c>
      <c r="X199" s="7" t="n">
        <v>24911</v>
      </c>
      <c r="Z199" s="7" t="n">
        <v>11602.6</v>
      </c>
      <c r="AB199" s="7" t="n">
        <v>381368.9</v>
      </c>
    </row>
    <row r="200">
      <c r="A200" s="4" t="inlineStr">
        <is>
          <t>交通费</t>
        </is>
      </c>
      <c r="D200" s="7" t="n">
        <v>983.5</v>
      </c>
      <c r="F200" s="7" t="n">
        <v>1399.9</v>
      </c>
      <c r="H200" s="7" t="n">
        <v>1720.1</v>
      </c>
      <c r="J200" s="7" t="n">
        <v>1705.8</v>
      </c>
      <c r="L200" s="7" t="n">
        <v>1066.1</v>
      </c>
      <c r="N200" s="7" t="n">
        <v>2446.7</v>
      </c>
      <c r="P200" s="7" t="n">
        <v>3173.6</v>
      </c>
      <c r="R200" s="7" t="n">
        <v>2522.4</v>
      </c>
      <c r="T200" s="7" t="n">
        <v>1061.7</v>
      </c>
      <c r="V200" s="7" t="n">
        <v>1338.4</v>
      </c>
      <c r="X200" s="7" t="n">
        <v>1865.5</v>
      </c>
      <c r="Z200" s="7" t="n">
        <v>601.5</v>
      </c>
      <c r="AB200" s="7" t="n">
        <v>19885.2</v>
      </c>
    </row>
    <row r="201">
      <c r="A201" s="4" t="inlineStr">
        <is>
          <t>住宿费</t>
        </is>
      </c>
      <c r="D201" s="7" t="n">
        <v>647.2</v>
      </c>
      <c r="F201" s="7" t="n">
        <v>1699</v>
      </c>
      <c r="H201" s="7" t="n">
        <v>1819.2</v>
      </c>
      <c r="J201" s="7" t="n">
        <v>1732.4</v>
      </c>
      <c r="L201" s="7" t="n">
        <v>1494.5</v>
      </c>
      <c r="N201" s="7" t="n">
        <v>1597.7</v>
      </c>
      <c r="P201" s="7" t="n">
        <v>3788.4</v>
      </c>
      <c r="R201" s="7" t="n">
        <v>2527.5</v>
      </c>
      <c r="T201" s="7" t="n">
        <v>763.7</v>
      </c>
      <c r="V201" s="7" t="n">
        <v>1862.7</v>
      </c>
      <c r="X201" s="7" t="n">
        <v>1489.2</v>
      </c>
      <c r="Z201" s="7" t="n">
        <v>627.6</v>
      </c>
      <c r="AB201" s="7" t="n">
        <v>20049.1</v>
      </c>
    </row>
    <row r="202">
      <c r="A202" s="4" t="inlineStr">
        <is>
          <t>餐补</t>
        </is>
      </c>
      <c r="D202" s="7" t="n">
        <v>948.2</v>
      </c>
      <c r="F202" s="7" t="n">
        <v>1966.6</v>
      </c>
      <c r="H202" s="7" t="n">
        <v>1314.5</v>
      </c>
      <c r="J202" s="7" t="n">
        <v>1232.8</v>
      </c>
      <c r="L202" s="7" t="n">
        <v>972.6</v>
      </c>
      <c r="N202" s="7" t="n">
        <v>1295.4</v>
      </c>
      <c r="P202" s="7" t="n">
        <v>3535.8</v>
      </c>
      <c r="R202" s="7" t="n">
        <v>3050.3</v>
      </c>
      <c r="T202" s="7" t="n">
        <v>622.4</v>
      </c>
      <c r="V202" s="7" t="n">
        <v>1273.4</v>
      </c>
      <c r="X202" s="7" t="n">
        <v>1839.6</v>
      </c>
      <c r="Z202" s="7" t="n">
        <v>481.4</v>
      </c>
      <c r="AB202" s="7" t="n">
        <v>18533</v>
      </c>
    </row>
    <row r="203">
      <c r="A203" s="4" t="inlineStr">
        <is>
          <t>交通补助</t>
        </is>
      </c>
      <c r="D203" s="7" t="n">
        <v>121.2</v>
      </c>
      <c r="F203" s="7" t="n">
        <v>245.4</v>
      </c>
      <c r="H203" s="7" t="n">
        <v>208.4</v>
      </c>
      <c r="J203" s="7" t="n">
        <v>285.7</v>
      </c>
      <c r="L203" s="7" t="n">
        <v>121.6</v>
      </c>
      <c r="N203" s="7" t="n">
        <v>265.3</v>
      </c>
      <c r="P203" s="7" t="n">
        <v>451.5</v>
      </c>
      <c r="R203" s="7" t="n">
        <v>353.9</v>
      </c>
      <c r="T203" s="7" t="n">
        <v>112.4</v>
      </c>
      <c r="V203" s="7" t="n">
        <v>168.4</v>
      </c>
      <c r="X203" s="7" t="n">
        <v>180</v>
      </c>
      <c r="Z203" s="7" t="n">
        <v>89.5</v>
      </c>
      <c r="AB203" s="7" t="n">
        <v>2603.3</v>
      </c>
    </row>
    <row r="204">
      <c r="A204" s="4" t="inlineStr">
        <is>
          <t>通讯补助</t>
        </is>
      </c>
      <c r="D204" s="7" t="n">
        <v>833.6</v>
      </c>
      <c r="F204" s="7" t="n">
        <v>2310.5</v>
      </c>
      <c r="H204" s="7" t="n">
        <v>2154.4</v>
      </c>
      <c r="J204" s="7" t="n">
        <v>1460.5</v>
      </c>
      <c r="L204" s="7" t="n">
        <v>1293.7</v>
      </c>
      <c r="N204" s="7" t="n">
        <v>2251.2</v>
      </c>
      <c r="P204" s="7" t="n">
        <v>4513.9</v>
      </c>
      <c r="R204" s="7" t="n">
        <v>3256.6</v>
      </c>
      <c r="T204" s="7" t="n">
        <v>968.1</v>
      </c>
      <c r="V204" s="7" t="n">
        <v>1423</v>
      </c>
      <c r="X204" s="7" t="n">
        <v>1767.9</v>
      </c>
      <c r="Z204" s="7" t="n">
        <v>853.4</v>
      </c>
      <c r="AB204" s="7" t="n">
        <v>23086.8</v>
      </c>
    </row>
    <row r="205">
      <c r="A205" s="4" t="inlineStr">
        <is>
          <t>招待费</t>
        </is>
      </c>
      <c r="D205" s="7" t="n">
        <v>11356.5</v>
      </c>
      <c r="F205" s="7" t="n">
        <v>24854.9</v>
      </c>
      <c r="H205" s="7" t="n">
        <v>23492.4</v>
      </c>
      <c r="J205" s="7" t="n">
        <v>26692</v>
      </c>
      <c r="L205" s="7" t="n">
        <v>15484.1</v>
      </c>
      <c r="N205" s="7" t="n">
        <v>19967</v>
      </c>
      <c r="P205" s="7" t="n">
        <v>34988</v>
      </c>
      <c r="R205" s="7" t="n">
        <v>23133.9</v>
      </c>
      <c r="T205" s="7" t="n">
        <v>9928</v>
      </c>
      <c r="V205" s="7" t="n">
        <v>21622.4</v>
      </c>
      <c r="X205" s="7" t="n">
        <v>21706.7</v>
      </c>
      <c r="Z205" s="7" t="n">
        <v>6217.5</v>
      </c>
      <c r="AB205" s="7" t="n">
        <v>239443.4</v>
      </c>
    </row>
    <row r="206">
      <c r="A206" s="4" t="inlineStr">
        <is>
          <t>通讯费</t>
        </is>
      </c>
      <c r="D206" s="7" t="n">
        <v>1472.9</v>
      </c>
      <c r="F206" s="7" t="n">
        <v>2730.7</v>
      </c>
      <c r="H206" s="7" t="n">
        <v>3195.5</v>
      </c>
      <c r="J206" s="7" t="n">
        <v>3760.7</v>
      </c>
      <c r="L206" s="7" t="n">
        <v>3082.8</v>
      </c>
      <c r="N206" s="7" t="n">
        <v>3158.1</v>
      </c>
      <c r="P206" s="7" t="n">
        <v>4629</v>
      </c>
      <c r="R206" s="7" t="n">
        <v>6135.9</v>
      </c>
      <c r="T206" s="7" t="n">
        <v>1891.9</v>
      </c>
      <c r="V206" s="7" t="n">
        <v>2616.9</v>
      </c>
      <c r="X206" s="7" t="n">
        <v>3592.9</v>
      </c>
      <c r="Z206" s="7" t="n">
        <v>1480.7</v>
      </c>
      <c r="AB206" s="7" t="n">
        <v>37748</v>
      </c>
    </row>
    <row r="207">
      <c r="A207" s="4" t="inlineStr">
        <is>
          <t>网络费</t>
        </is>
      </c>
      <c r="D207" s="7" t="n">
        <v>1290.3</v>
      </c>
      <c r="F207" s="7" t="n">
        <v>2646.1</v>
      </c>
      <c r="H207" s="7" t="n">
        <v>2848.7</v>
      </c>
      <c r="J207" s="7" t="n">
        <v>3976</v>
      </c>
      <c r="L207" s="7" t="n">
        <v>2425.5</v>
      </c>
      <c r="N207" s="7" t="n">
        <v>2876.3</v>
      </c>
      <c r="P207" s="7" t="n">
        <v>7008.2</v>
      </c>
      <c r="R207" s="7" t="n">
        <v>4015.9</v>
      </c>
      <c r="T207" s="7" t="n">
        <v>1567.2</v>
      </c>
      <c r="V207" s="7" t="n">
        <v>3520.2</v>
      </c>
      <c r="X207" s="7" t="n">
        <v>2983.6</v>
      </c>
      <c r="Z207" s="7" t="n">
        <v>1672.8</v>
      </c>
      <c r="AB207" s="7" t="n">
        <v>36830.8</v>
      </c>
    </row>
    <row r="208">
      <c r="A208" s="4" t="inlineStr">
        <is>
          <t>修理费</t>
        </is>
      </c>
      <c r="D208" s="7" t="n">
        <v>1777.2</v>
      </c>
      <c r="F208" s="7" t="n">
        <v>3049.5</v>
      </c>
      <c r="H208" s="7" t="n">
        <v>3111.8</v>
      </c>
      <c r="J208" s="7" t="n">
        <v>3245.9</v>
      </c>
      <c r="L208" s="7" t="n">
        <v>2211.9</v>
      </c>
      <c r="N208" s="7" t="n">
        <v>3406</v>
      </c>
      <c r="P208" s="7" t="n">
        <v>4773</v>
      </c>
      <c r="R208" s="7" t="n">
        <v>3682.6</v>
      </c>
      <c r="T208" s="7" t="n">
        <v>1704</v>
      </c>
      <c r="V208" s="7" t="n">
        <v>2839.4</v>
      </c>
      <c r="X208" s="7" t="n">
        <v>2764.3</v>
      </c>
      <c r="Z208" s="7" t="n">
        <v>1194.5</v>
      </c>
      <c r="AB208" s="7" t="n">
        <v>33760.1</v>
      </c>
    </row>
    <row r="209">
      <c r="A209" s="4" t="inlineStr">
        <is>
          <t>车辆费</t>
        </is>
      </c>
      <c r="D209" s="7" t="n">
        <v>752.3</v>
      </c>
      <c r="F209" s="7" t="n">
        <v>1697.6</v>
      </c>
      <c r="H209" s="7" t="n">
        <v>1703.9</v>
      </c>
      <c r="J209" s="7" t="n">
        <v>2322.1</v>
      </c>
      <c r="L209" s="7" t="n">
        <v>1282.8</v>
      </c>
      <c r="N209" s="7" t="n">
        <v>1577.2</v>
      </c>
      <c r="P209" s="7" t="n">
        <v>3813.3</v>
      </c>
      <c r="R209" s="7" t="n">
        <v>3266.7</v>
      </c>
      <c r="T209" s="7" t="n">
        <v>703.5</v>
      </c>
      <c r="V209" s="7" t="n">
        <v>1196.6</v>
      </c>
      <c r="X209" s="7" t="n">
        <v>1993.2</v>
      </c>
      <c r="Z209" s="7" t="n">
        <v>673.2</v>
      </c>
      <c r="AB209" s="7" t="n">
        <v>20982.4</v>
      </c>
    </row>
    <row r="210">
      <c r="A210" s="4" t="inlineStr">
        <is>
          <t>租赁费</t>
        </is>
      </c>
      <c r="D210" s="7" t="n">
        <v>12588.7</v>
      </c>
      <c r="F210" s="7" t="n">
        <v>25599.1</v>
      </c>
      <c r="H210" s="7" t="n">
        <v>24199.2</v>
      </c>
      <c r="J210" s="7" t="n">
        <v>30054.2</v>
      </c>
      <c r="L210" s="7" t="n">
        <v>20764.9</v>
      </c>
      <c r="N210" s="7" t="n">
        <v>28572.5</v>
      </c>
      <c r="P210" s="7" t="n">
        <v>42607.8</v>
      </c>
      <c r="R210" s="7" t="n">
        <v>40013.5</v>
      </c>
      <c r="T210" s="7" t="n">
        <v>13145.2</v>
      </c>
      <c r="V210" s="7" t="n">
        <v>22955.9</v>
      </c>
      <c r="X210" s="7" t="n">
        <v>29851.2</v>
      </c>
      <c r="Z210" s="7" t="n">
        <v>9957.5</v>
      </c>
      <c r="AB210" s="7" t="n">
        <v>300309.7</v>
      </c>
    </row>
    <row r="211">
      <c r="A211" s="4" t="inlineStr">
        <is>
          <t>能源费</t>
        </is>
      </c>
      <c r="D211" s="7" t="n">
        <v>4215.4</v>
      </c>
      <c r="F211" s="7" t="n">
        <v>11299.5</v>
      </c>
      <c r="H211" s="7" t="n">
        <v>7985.8</v>
      </c>
      <c r="J211" s="7" t="n">
        <v>10138.1</v>
      </c>
      <c r="L211" s="7" t="n">
        <v>7159.1</v>
      </c>
      <c r="N211" s="7" t="n">
        <v>10333.5</v>
      </c>
      <c r="P211" s="7" t="n">
        <v>17606.6</v>
      </c>
      <c r="R211" s="7" t="n">
        <v>13178.8</v>
      </c>
      <c r="T211" s="7" t="n">
        <v>4362.1</v>
      </c>
      <c r="V211" s="7" t="n">
        <v>8903.6</v>
      </c>
      <c r="X211" s="7" t="n">
        <v>8559.6</v>
      </c>
      <c r="Z211" s="7" t="n">
        <v>3617.6</v>
      </c>
      <c r="AB211" s="7" t="n">
        <v>107359.7</v>
      </c>
    </row>
    <row r="212">
      <c r="A212" s="4" t="inlineStr">
        <is>
          <t>水费</t>
        </is>
      </c>
      <c r="D212" s="7" t="n">
        <v>1484.4</v>
      </c>
      <c r="F212" s="7" t="n">
        <v>4371.5</v>
      </c>
      <c r="H212" s="7" t="n">
        <v>3129.5</v>
      </c>
      <c r="J212" s="7" t="n">
        <v>3340.2</v>
      </c>
      <c r="L212" s="7" t="n">
        <v>1963.8</v>
      </c>
      <c r="N212" s="7" t="n">
        <v>3938.6</v>
      </c>
      <c r="P212" s="7" t="n">
        <v>4451.4</v>
      </c>
      <c r="R212" s="7" t="n">
        <v>3926.4</v>
      </c>
      <c r="T212" s="7" t="n">
        <v>1574.4</v>
      </c>
      <c r="V212" s="7" t="n">
        <v>3816.8</v>
      </c>
      <c r="X212" s="7" t="n">
        <v>2589.9</v>
      </c>
      <c r="Z212" s="7" t="n">
        <v>1230.2</v>
      </c>
      <c r="AB212" s="7" t="n">
        <v>35817.1</v>
      </c>
    </row>
    <row r="213">
      <c r="A213" s="4" t="inlineStr">
        <is>
          <t>电费</t>
        </is>
      </c>
      <c r="D213" s="7" t="n">
        <v>1060</v>
      </c>
      <c r="F213" s="7" t="n">
        <v>3037.3</v>
      </c>
      <c r="H213" s="7" t="n">
        <v>1802.6</v>
      </c>
      <c r="J213" s="7" t="n">
        <v>3662.4</v>
      </c>
      <c r="L213" s="7" t="n">
        <v>2627.8</v>
      </c>
      <c r="N213" s="7" t="n">
        <v>2624.6</v>
      </c>
      <c r="P213" s="7" t="n">
        <v>6138</v>
      </c>
      <c r="R213" s="7" t="n">
        <v>4127</v>
      </c>
      <c r="T213" s="7" t="n">
        <v>1105.7</v>
      </c>
      <c r="V213" s="7" t="n">
        <v>2246.5</v>
      </c>
      <c r="X213" s="7" t="n">
        <v>3008</v>
      </c>
      <c r="Z213" s="7" t="n">
        <v>988.3</v>
      </c>
      <c r="AB213" s="7" t="n">
        <v>32428.2</v>
      </c>
    </row>
    <row r="214">
      <c r="A214" s="4" t="inlineStr">
        <is>
          <t>燃气费</t>
        </is>
      </c>
      <c r="D214" s="7" t="n">
        <v>1016.3</v>
      </c>
      <c r="F214" s="7" t="n">
        <v>2589</v>
      </c>
      <c r="H214" s="7" t="n">
        <v>2092.7</v>
      </c>
      <c r="J214" s="7" t="n">
        <v>2113.3</v>
      </c>
      <c r="L214" s="7" t="n">
        <v>1746.8</v>
      </c>
      <c r="N214" s="7" t="n">
        <v>2437.5</v>
      </c>
      <c r="P214" s="7" t="n">
        <v>4317.7</v>
      </c>
      <c r="R214" s="7" t="n">
        <v>3017.9</v>
      </c>
      <c r="T214" s="7" t="n">
        <v>1011.2</v>
      </c>
      <c r="V214" s="7" t="n">
        <v>1735.8</v>
      </c>
      <c r="X214" s="7" t="n">
        <v>1728</v>
      </c>
      <c r="Z214" s="7" t="n">
        <v>918.6</v>
      </c>
      <c r="AB214" s="7" t="n">
        <v>24724.8</v>
      </c>
    </row>
    <row r="215">
      <c r="A215" s="4" t="inlineStr">
        <is>
          <t>蒸汽费</t>
        </is>
      </c>
      <c r="D215" s="7" t="n">
        <v>654.7</v>
      </c>
      <c r="F215" s="7" t="n">
        <v>1301.7</v>
      </c>
      <c r="H215" s="7" t="n">
        <v>961</v>
      </c>
      <c r="J215" s="7" t="n">
        <v>1022.2</v>
      </c>
      <c r="L215" s="7" t="n">
        <v>820.7</v>
      </c>
      <c r="N215" s="7" t="n">
        <v>1332.8</v>
      </c>
      <c r="P215" s="7" t="n">
        <v>2699.5</v>
      </c>
      <c r="R215" s="7" t="n">
        <v>2107.5</v>
      </c>
      <c r="T215" s="7" t="n">
        <v>670.8</v>
      </c>
      <c r="V215" s="7" t="n">
        <v>1104.5</v>
      </c>
      <c r="X215" s="7" t="n">
        <v>1233.7</v>
      </c>
      <c r="Z215" s="7" t="n">
        <v>480.5</v>
      </c>
      <c r="AB215" s="7" t="n">
        <v>14389.6</v>
      </c>
    </row>
    <row r="216">
      <c r="A216" s="4" t="inlineStr">
        <is>
          <t>物业费</t>
        </is>
      </c>
      <c r="D216" s="7" t="n">
        <v>1149.3</v>
      </c>
      <c r="F216" s="7" t="n">
        <v>2343</v>
      </c>
      <c r="H216" s="7" t="n">
        <v>1852.6</v>
      </c>
      <c r="J216" s="7" t="n">
        <v>1657.8</v>
      </c>
      <c r="L216" s="7" t="n">
        <v>1595</v>
      </c>
      <c r="N216" s="7" t="n">
        <v>1865.6</v>
      </c>
      <c r="P216" s="7" t="n">
        <v>3989.6</v>
      </c>
      <c r="R216" s="7" t="n">
        <v>3142.3</v>
      </c>
      <c r="T216" s="7" t="n">
        <v>756.3</v>
      </c>
      <c r="V216" s="7" t="n">
        <v>1861.6</v>
      </c>
      <c r="X216" s="7" t="n">
        <v>1447.6</v>
      </c>
      <c r="Z216" s="7" t="n">
        <v>740.8</v>
      </c>
      <c r="AB216" s="7" t="n">
        <v>22401.5</v>
      </c>
    </row>
    <row r="217">
      <c r="A217" s="4" t="inlineStr">
        <is>
          <t>劳动保护费</t>
        </is>
      </c>
      <c r="D217" s="7" t="n">
        <v>1181.5</v>
      </c>
      <c r="F217" s="7" t="n">
        <v>4122.3</v>
      </c>
      <c r="H217" s="7" t="n">
        <v>2263.7</v>
      </c>
      <c r="J217" s="7" t="n">
        <v>2388.3</v>
      </c>
      <c r="L217" s="7" t="n">
        <v>2830.4</v>
      </c>
      <c r="N217" s="7" t="n">
        <v>3039</v>
      </c>
      <c r="P217" s="7" t="n">
        <v>6560</v>
      </c>
      <c r="R217" s="7" t="n">
        <v>5805.2</v>
      </c>
      <c r="T217" s="7" t="n">
        <v>1566.4</v>
      </c>
      <c r="V217" s="7" t="n">
        <v>3316.6</v>
      </c>
      <c r="X217" s="7" t="n">
        <v>2968.5</v>
      </c>
      <c r="Z217" s="7" t="n">
        <v>1109.2</v>
      </c>
      <c r="AB217" s="7" t="n">
        <v>37151.1</v>
      </c>
    </row>
    <row r="218">
      <c r="A218" s="4" t="inlineStr">
        <is>
          <t>顾问费</t>
        </is>
      </c>
      <c r="D218" s="7" t="n">
        <v>93.40000000000001</v>
      </c>
      <c r="F218" s="7" t="n">
        <v>117</v>
      </c>
      <c r="H218" s="7" t="n">
        <v>135.2</v>
      </c>
      <c r="J218" s="7" t="n">
        <v>159.8</v>
      </c>
      <c r="L218" s="7" t="n">
        <v>147.3</v>
      </c>
      <c r="N218" s="7" t="n">
        <v>160.2</v>
      </c>
      <c r="P218" s="7" t="n">
        <v>250.2</v>
      </c>
      <c r="R218" s="7" t="n">
        <v>181.6</v>
      </c>
      <c r="T218" s="7" t="n">
        <v>61.7</v>
      </c>
      <c r="V218" s="7" t="n">
        <v>112.5</v>
      </c>
      <c r="X218" s="7" t="n">
        <v>110</v>
      </c>
      <c r="Z218" s="7" t="n">
        <v>50.4</v>
      </c>
      <c r="AB218" s="7" t="n">
        <v>1579.3</v>
      </c>
    </row>
    <row r="219">
      <c r="A219" s="4" t="inlineStr">
        <is>
          <t>快递费</t>
        </is>
      </c>
      <c r="D219" s="7" t="n">
        <v>135.2</v>
      </c>
      <c r="F219" s="7" t="n">
        <v>308.3</v>
      </c>
      <c r="H219" s="7" t="n">
        <v>224.5</v>
      </c>
      <c r="J219" s="7" t="n">
        <v>358.6</v>
      </c>
      <c r="L219" s="7" t="n">
        <v>216</v>
      </c>
      <c r="N219" s="7" t="n">
        <v>256.8</v>
      </c>
      <c r="P219" s="7" t="n">
        <v>429</v>
      </c>
      <c r="R219" s="7" t="n">
        <v>439.6</v>
      </c>
      <c r="T219" s="7" t="n">
        <v>144.5</v>
      </c>
      <c r="V219" s="7" t="n">
        <v>265.3</v>
      </c>
      <c r="X219" s="7" t="n">
        <v>249.4</v>
      </c>
      <c r="Z219" s="7" t="n">
        <v>109</v>
      </c>
      <c r="AB219" s="7" t="n">
        <v>3136.2</v>
      </c>
    </row>
    <row r="220">
      <c r="A220" s="4" t="inlineStr">
        <is>
          <t>诉讼费</t>
        </is>
      </c>
      <c r="D220" s="7" t="n">
        <v>1091</v>
      </c>
      <c r="F220" s="7" t="n">
        <v>2477.3</v>
      </c>
      <c r="H220" s="7" t="n">
        <v>2977.5</v>
      </c>
      <c r="J220" s="7" t="n">
        <v>3258.5</v>
      </c>
      <c r="L220" s="7" t="n">
        <v>2219.4</v>
      </c>
      <c r="N220" s="7" t="n">
        <v>3812.1</v>
      </c>
      <c r="P220" s="7" t="n">
        <v>5017.8</v>
      </c>
      <c r="R220" s="7" t="n">
        <v>3342.9</v>
      </c>
      <c r="T220" s="7" t="n">
        <v>1101.4</v>
      </c>
      <c r="V220" s="7" t="n">
        <v>2530.4</v>
      </c>
      <c r="X220" s="7" t="n">
        <v>2431.1</v>
      </c>
      <c r="Z220" s="7" t="n">
        <v>1077.4</v>
      </c>
      <c r="AB220" s="7" t="n">
        <v>31336.8</v>
      </c>
    </row>
    <row r="221">
      <c r="A221" s="4" t="inlineStr">
        <is>
          <t>会员费</t>
        </is>
      </c>
      <c r="D221" s="7" t="n">
        <v>584.2</v>
      </c>
      <c r="F221" s="7" t="n">
        <v>1828.4</v>
      </c>
      <c r="H221" s="7" t="n">
        <v>1096.8</v>
      </c>
      <c r="J221" s="7" t="n">
        <v>1949.6</v>
      </c>
      <c r="L221" s="7" t="n">
        <v>1212.5</v>
      </c>
      <c r="N221" s="7" t="n">
        <v>1381.8</v>
      </c>
      <c r="P221" s="7" t="n">
        <v>2740.3</v>
      </c>
      <c r="R221" s="7" t="n">
        <v>2506.1</v>
      </c>
      <c r="T221" s="7" t="n">
        <v>650</v>
      </c>
      <c r="V221" s="7" t="n">
        <v>1201.4</v>
      </c>
      <c r="X221" s="7" t="n">
        <v>951.1</v>
      </c>
      <c r="Z221" s="7" t="n">
        <v>579.1</v>
      </c>
      <c r="AB221" s="7" t="n">
        <v>16681.3</v>
      </c>
    </row>
    <row r="222">
      <c r="A222" s="4" t="inlineStr">
        <is>
          <t>广告宣传费</t>
        </is>
      </c>
      <c r="D222" s="7" t="n">
        <v>6416.6</v>
      </c>
      <c r="F222" s="7" t="n">
        <v>21345.5</v>
      </c>
      <c r="H222" s="7" t="n">
        <v>13207.7</v>
      </c>
      <c r="J222" s="7" t="n">
        <v>22112.6</v>
      </c>
      <c r="L222" s="7" t="n">
        <v>14403.4</v>
      </c>
      <c r="N222" s="7" t="n">
        <v>18710.8</v>
      </c>
      <c r="P222" s="7" t="n">
        <v>28425.4</v>
      </c>
      <c r="R222" s="7" t="n">
        <v>29956.7</v>
      </c>
      <c r="T222" s="7" t="n">
        <v>8027.6</v>
      </c>
      <c r="V222" s="7" t="n">
        <v>10009.6</v>
      </c>
      <c r="X222" s="7" t="n">
        <v>13928.6</v>
      </c>
      <c r="Z222" s="7" t="n">
        <v>7200.4</v>
      </c>
      <c r="AB222" s="7" t="n">
        <v>193744.9</v>
      </c>
    </row>
    <row r="223">
      <c r="A223" s="4" t="inlineStr">
        <is>
          <t>会务费</t>
        </is>
      </c>
      <c r="D223" s="7" t="n">
        <v>633.3</v>
      </c>
      <c r="F223" s="7" t="n">
        <v>737.9</v>
      </c>
      <c r="H223" s="7" t="n">
        <v>1138.8</v>
      </c>
      <c r="J223" s="7" t="n">
        <v>1071.2</v>
      </c>
      <c r="L223" s="7" t="n">
        <v>824.6</v>
      </c>
      <c r="N223" s="7" t="n">
        <v>1392.6</v>
      </c>
      <c r="P223" s="7" t="n">
        <v>1747.9</v>
      </c>
      <c r="R223" s="7" t="n">
        <v>1383.5</v>
      </c>
      <c r="T223" s="7" t="n">
        <v>564.1</v>
      </c>
      <c r="V223" s="7" t="n">
        <v>949.4</v>
      </c>
      <c r="X223" s="7" t="n">
        <v>905.3</v>
      </c>
      <c r="Z223" s="7" t="n">
        <v>276.5</v>
      </c>
      <c r="AB223" s="7" t="n">
        <v>11625.1</v>
      </c>
    </row>
    <row r="224">
      <c r="A224" s="4" t="inlineStr">
        <is>
          <t>装修费</t>
        </is>
      </c>
      <c r="D224" s="7" t="n">
        <v>1308.8</v>
      </c>
      <c r="F224" s="7" t="n">
        <v>2370.7</v>
      </c>
      <c r="H224" s="7" t="n">
        <v>2164.5</v>
      </c>
      <c r="J224" s="7" t="n">
        <v>2141.1</v>
      </c>
      <c r="L224" s="7" t="n">
        <v>1560</v>
      </c>
      <c r="N224" s="7" t="n">
        <v>3056.7</v>
      </c>
      <c r="P224" s="7" t="n">
        <v>4176</v>
      </c>
      <c r="R224" s="7" t="n">
        <v>3723.3</v>
      </c>
      <c r="T224" s="7" t="n">
        <v>1424.2</v>
      </c>
      <c r="V224" s="7" t="n">
        <v>2941.9</v>
      </c>
      <c r="X224" s="7" t="n">
        <v>2048.6</v>
      </c>
      <c r="Z224" s="7" t="n">
        <v>1077.5</v>
      </c>
      <c r="AB224" s="7" t="n">
        <v>27993.3</v>
      </c>
    </row>
    <row r="225">
      <c r="A225" s="4" t="inlineStr">
        <is>
          <t>推广费</t>
        </is>
      </c>
      <c r="D225" s="7" t="n">
        <v>500.9</v>
      </c>
      <c r="F225" s="7" t="n">
        <v>1437.5</v>
      </c>
      <c r="H225" s="7" t="n">
        <v>1040.2</v>
      </c>
      <c r="J225" s="7" t="n">
        <v>1087.1</v>
      </c>
      <c r="L225" s="7" t="n">
        <v>1190</v>
      </c>
      <c r="N225" s="7" t="n">
        <v>1240.2</v>
      </c>
      <c r="P225" s="7" t="n">
        <v>2177.1</v>
      </c>
      <c r="R225" s="7" t="n">
        <v>1906.7</v>
      </c>
      <c r="T225" s="7" t="n">
        <v>439.3</v>
      </c>
      <c r="V225" s="7" t="n">
        <v>1193.2</v>
      </c>
      <c r="X225" s="7" t="n">
        <v>1159.4</v>
      </c>
      <c r="Z225" s="7" t="n">
        <v>315.7</v>
      </c>
      <c r="AB225" s="7" t="n">
        <v>13687.3</v>
      </c>
    </row>
    <row r="226">
      <c r="A226" s="4" t="inlineStr">
        <is>
          <t>展会费</t>
        </is>
      </c>
      <c r="D226" s="7" t="n">
        <v>1008.8</v>
      </c>
      <c r="F226" s="7" t="n">
        <v>1915.9</v>
      </c>
      <c r="H226" s="7" t="n">
        <v>1411.3</v>
      </c>
      <c r="J226" s="7" t="n">
        <v>2206.9</v>
      </c>
      <c r="L226" s="7" t="n">
        <v>1439.6</v>
      </c>
      <c r="N226" s="7" t="n">
        <v>2206.1</v>
      </c>
      <c r="P226" s="7" t="n">
        <v>3173.7</v>
      </c>
      <c r="R226" s="7" t="n">
        <v>2933.8</v>
      </c>
      <c r="T226" s="7" t="n">
        <v>938.1</v>
      </c>
      <c r="V226" s="7" t="n">
        <v>1110.9</v>
      </c>
      <c r="X226" s="7" t="n">
        <v>1065.1</v>
      </c>
      <c r="Z226" s="7" t="n">
        <v>751</v>
      </c>
      <c r="AB226" s="7" t="n">
        <v>20161.2</v>
      </c>
    </row>
    <row r="227">
      <c r="A227" s="4" t="inlineStr">
        <is>
          <t>设计费</t>
        </is>
      </c>
      <c r="D227" s="7" t="n">
        <v>1264.2</v>
      </c>
      <c r="F227" s="7" t="n">
        <v>2230.8</v>
      </c>
      <c r="H227" s="7" t="n">
        <v>2492.2</v>
      </c>
      <c r="J227" s="7" t="n">
        <v>3008</v>
      </c>
      <c r="L227" s="7" t="n">
        <v>1654.3</v>
      </c>
      <c r="N227" s="7" t="n">
        <v>2166</v>
      </c>
      <c r="P227" s="7" t="n">
        <v>5076</v>
      </c>
      <c r="R227" s="7" t="n">
        <v>3943.8</v>
      </c>
      <c r="T227" s="7" t="n">
        <v>855.7</v>
      </c>
      <c r="V227" s="7" t="n">
        <v>2050.4</v>
      </c>
      <c r="X227" s="7" t="n">
        <v>2635.8</v>
      </c>
      <c r="Z227" s="7" t="n">
        <v>853.3</v>
      </c>
      <c r="AB227" s="7" t="n">
        <v>28230.5</v>
      </c>
    </row>
    <row r="228">
      <c r="A228" s="4" t="inlineStr">
        <is>
          <t>折旧费</t>
        </is>
      </c>
      <c r="D228" s="7" t="n">
        <v>8668.200000000001</v>
      </c>
      <c r="F228" s="7" t="n">
        <v>15819.1</v>
      </c>
      <c r="H228" s="7" t="n">
        <v>16556.3</v>
      </c>
      <c r="J228" s="7" t="n">
        <v>28607.9</v>
      </c>
      <c r="L228" s="7" t="n">
        <v>15024</v>
      </c>
      <c r="N228" s="7" t="n">
        <v>18395.8</v>
      </c>
      <c r="P228" s="7" t="n">
        <v>42421</v>
      </c>
      <c r="R228" s="7" t="n">
        <v>28250.4</v>
      </c>
      <c r="T228" s="7" t="n">
        <v>12463.1</v>
      </c>
      <c r="V228" s="7" t="n">
        <v>16012.2</v>
      </c>
      <c r="X228" s="7" t="n">
        <v>18903.4</v>
      </c>
      <c r="Z228" s="7" t="n">
        <v>7357.4</v>
      </c>
      <c r="AB228" s="7" t="n">
        <v>228478.8</v>
      </c>
    </row>
    <row r="229">
      <c r="A229" s="4" t="inlineStr">
        <is>
          <t>认证费</t>
        </is>
      </c>
      <c r="D229" s="7" t="n">
        <v>595.2</v>
      </c>
      <c r="F229" s="7" t="n">
        <v>1149.8</v>
      </c>
      <c r="H229" s="7" t="n">
        <v>724.1</v>
      </c>
      <c r="J229" s="7" t="n">
        <v>859.3</v>
      </c>
      <c r="L229" s="7" t="n">
        <v>901.6</v>
      </c>
      <c r="N229" s="7" t="n">
        <v>1052.9</v>
      </c>
      <c r="P229" s="7" t="n">
        <v>2233.8</v>
      </c>
      <c r="R229" s="7" t="n">
        <v>1535.5</v>
      </c>
      <c r="T229" s="7" t="n">
        <v>505.5</v>
      </c>
      <c r="V229" s="7" t="n">
        <v>904</v>
      </c>
      <c r="X229" s="7" t="n">
        <v>957</v>
      </c>
      <c r="Z229" s="7" t="n">
        <v>383.5</v>
      </c>
      <c r="AB229" s="7" t="n">
        <v>11802.2</v>
      </c>
    </row>
    <row r="230">
      <c r="A230" s="4" t="inlineStr">
        <is>
          <t>样品费</t>
        </is>
      </c>
      <c r="D230" s="7" t="n">
        <v>5773</v>
      </c>
      <c r="F230" s="7" t="n">
        <v>11545.3</v>
      </c>
      <c r="H230" s="7" t="n">
        <v>7044.4</v>
      </c>
      <c r="J230" s="7" t="n">
        <v>8870.6</v>
      </c>
      <c r="L230" s="7" t="n">
        <v>6069.3</v>
      </c>
      <c r="N230" s="7" t="n">
        <v>10439.7</v>
      </c>
      <c r="P230" s="7" t="n">
        <v>20691.7</v>
      </c>
      <c r="R230" s="7" t="n">
        <v>13402.4</v>
      </c>
      <c r="T230" s="7" t="n">
        <v>5587.6</v>
      </c>
      <c r="V230" s="7" t="n">
        <v>11137.8</v>
      </c>
      <c r="X230" s="7" t="n">
        <v>7732.9</v>
      </c>
      <c r="Z230" s="7" t="n">
        <v>4436.2</v>
      </c>
      <c r="AB230" s="7" t="n">
        <v>112730.9</v>
      </c>
    </row>
    <row r="231">
      <c r="A231" s="4" t="inlineStr">
        <is>
          <t>劳务费</t>
        </is>
      </c>
      <c r="D231" s="7" t="n">
        <v>1888.3</v>
      </c>
      <c r="F231" s="7" t="n">
        <v>3685</v>
      </c>
      <c r="H231" s="7" t="n">
        <v>2639.8</v>
      </c>
      <c r="J231" s="7" t="n">
        <v>3847.2</v>
      </c>
      <c r="L231" s="7" t="n">
        <v>2597.1</v>
      </c>
      <c r="N231" s="7" t="n">
        <v>5009.9</v>
      </c>
      <c r="P231" s="7" t="n">
        <v>7004.9</v>
      </c>
      <c r="R231" s="7" t="n">
        <v>6593.9</v>
      </c>
      <c r="T231" s="7" t="n">
        <v>1310.5</v>
      </c>
      <c r="V231" s="7" t="n">
        <v>3913.3</v>
      </c>
      <c r="X231" s="7" t="n">
        <v>2960.6</v>
      </c>
      <c r="Z231" s="7" t="n">
        <v>1690.8</v>
      </c>
      <c r="AB231" s="7" t="n">
        <v>43141.3</v>
      </c>
    </row>
    <row r="232">
      <c r="A232" s="4" t="inlineStr">
        <is>
          <t>销售佣金</t>
        </is>
      </c>
      <c r="D232" s="7" t="n">
        <v>518.1</v>
      </c>
      <c r="F232" s="7" t="n">
        <v>978.3</v>
      </c>
      <c r="H232" s="7" t="n">
        <v>785</v>
      </c>
      <c r="J232" s="7" t="n">
        <v>1185.2</v>
      </c>
      <c r="L232" s="7" t="n">
        <v>907.8</v>
      </c>
      <c r="N232" s="7" t="n">
        <v>914.9</v>
      </c>
      <c r="P232" s="7" t="n">
        <v>1546.5</v>
      </c>
      <c r="R232" s="7" t="n">
        <v>1370</v>
      </c>
      <c r="T232" s="7" t="n">
        <v>480</v>
      </c>
      <c r="V232" s="7" t="n">
        <v>601.7</v>
      </c>
      <c r="X232" s="7" t="n">
        <v>696.2</v>
      </c>
      <c r="Z232" s="7" t="n">
        <v>269.8</v>
      </c>
      <c r="AB232" s="7" t="n">
        <v>10253.5</v>
      </c>
    </row>
    <row r="233">
      <c r="A233" s="4" t="inlineStr">
        <is>
          <t>检测费</t>
        </is>
      </c>
      <c r="D233" s="7" t="n">
        <v>697.8</v>
      </c>
      <c r="F233" s="7" t="n">
        <v>2379.9</v>
      </c>
      <c r="H233" s="7" t="n">
        <v>2299.1</v>
      </c>
      <c r="J233" s="7" t="n">
        <v>2042.7</v>
      </c>
      <c r="L233" s="7" t="n">
        <v>1146.6</v>
      </c>
      <c r="N233" s="7" t="n">
        <v>1944</v>
      </c>
      <c r="P233" s="7" t="n">
        <v>2973.6</v>
      </c>
      <c r="R233" s="7" t="n">
        <v>2662</v>
      </c>
      <c r="T233" s="7" t="n">
        <v>1111.4</v>
      </c>
      <c r="V233" s="7" t="n">
        <v>1353.6</v>
      </c>
      <c r="X233" s="7" t="n">
        <v>1757.3</v>
      </c>
      <c r="Z233" s="7" t="n">
        <v>890.4</v>
      </c>
      <c r="AB233" s="7" t="n">
        <v>21258.4</v>
      </c>
    </row>
    <row r="234">
      <c r="A234" s="4" t="inlineStr">
        <is>
          <t>质量赔偿</t>
        </is>
      </c>
      <c r="D234" s="7" t="n">
        <v>1087.5</v>
      </c>
      <c r="F234" s="7" t="n">
        <v>1944</v>
      </c>
      <c r="H234" s="7" t="n">
        <v>1574.1</v>
      </c>
      <c r="J234" s="7" t="n">
        <v>1696.2</v>
      </c>
      <c r="L234" s="7" t="n">
        <v>1345</v>
      </c>
      <c r="N234" s="7" t="n">
        <v>2143.6</v>
      </c>
      <c r="P234" s="7" t="n">
        <v>2826.6</v>
      </c>
      <c r="R234" s="7" t="n">
        <v>2800.9</v>
      </c>
      <c r="T234" s="7" t="n">
        <v>1259.6</v>
      </c>
      <c r="V234" s="7" t="n">
        <v>2342.9</v>
      </c>
      <c r="X234" s="7" t="n">
        <v>2148</v>
      </c>
      <c r="Z234" s="7" t="n">
        <v>834.5</v>
      </c>
      <c r="AB234" s="7" t="n">
        <v>22002.9</v>
      </c>
    </row>
    <row r="235">
      <c r="A235" s="4" t="inlineStr">
        <is>
          <t>保险费</t>
        </is>
      </c>
      <c r="D235" s="7" t="n">
        <v>1401.7</v>
      </c>
      <c r="F235" s="7" t="n">
        <v>2915.4</v>
      </c>
      <c r="H235" s="7" t="n">
        <v>1793.7</v>
      </c>
      <c r="J235" s="7" t="n">
        <v>2106.4</v>
      </c>
      <c r="L235" s="7" t="n">
        <v>1481.4</v>
      </c>
      <c r="N235" s="7" t="n">
        <v>2713.8</v>
      </c>
      <c r="P235" s="7" t="n">
        <v>6013</v>
      </c>
      <c r="R235" s="7" t="n">
        <v>2965.4</v>
      </c>
      <c r="T235" s="7" t="n">
        <v>1072.2</v>
      </c>
      <c r="V235" s="7" t="n">
        <v>2986.2</v>
      </c>
      <c r="X235" s="7" t="n">
        <v>2293.9</v>
      </c>
      <c r="Z235" s="7" t="n">
        <v>884.5</v>
      </c>
      <c r="AB235" s="7" t="n">
        <v>28627.6</v>
      </c>
    </row>
    <row r="236">
      <c r="A236" s="4" t="inlineStr">
        <is>
          <t>清洁费</t>
        </is>
      </c>
      <c r="D236" s="7" t="n">
        <v>790</v>
      </c>
      <c r="F236" s="7" t="n">
        <v>2524.2</v>
      </c>
      <c r="H236" s="7" t="n">
        <v>2026</v>
      </c>
      <c r="J236" s="7" t="n">
        <v>2055.6</v>
      </c>
      <c r="L236" s="7" t="n">
        <v>1566.2</v>
      </c>
      <c r="N236" s="7" t="n">
        <v>1897.2</v>
      </c>
      <c r="P236" s="7" t="n">
        <v>4693.5</v>
      </c>
      <c r="R236" s="7" t="n">
        <v>2761.8</v>
      </c>
      <c r="T236" s="7" t="n">
        <v>1199.1</v>
      </c>
      <c r="V236" s="7" t="n">
        <v>2142.9</v>
      </c>
      <c r="X236" s="7" t="n">
        <v>1375.8</v>
      </c>
      <c r="Z236" s="7" t="n">
        <v>765.6</v>
      </c>
      <c r="AB236" s="7" t="n">
        <v>23797.9</v>
      </c>
    </row>
    <row r="237">
      <c r="A237" s="4" t="inlineStr">
        <is>
          <t>低值易耗品</t>
        </is>
      </c>
      <c r="D237" s="7" t="n">
        <v>1665.9</v>
      </c>
      <c r="F237" s="7" t="n">
        <v>3104</v>
      </c>
      <c r="H237" s="7" t="n">
        <v>2245.4</v>
      </c>
      <c r="J237" s="7" t="n">
        <v>3758.1</v>
      </c>
      <c r="L237" s="7" t="n">
        <v>2504.6</v>
      </c>
      <c r="N237" s="7" t="n">
        <v>3092.8</v>
      </c>
      <c r="P237" s="7" t="n">
        <v>4643.7</v>
      </c>
      <c r="R237" s="7" t="n">
        <v>3405.2</v>
      </c>
      <c r="T237" s="7" t="n">
        <v>1094.3</v>
      </c>
      <c r="V237" s="7" t="n">
        <v>2625</v>
      </c>
      <c r="X237" s="7" t="n">
        <v>1831.6</v>
      </c>
      <c r="Z237" s="7" t="n">
        <v>1226.4</v>
      </c>
      <c r="AB237" s="7" t="n">
        <v>31197</v>
      </c>
    </row>
    <row r="238">
      <c r="A238" s="4" t="inlineStr">
        <is>
          <t>物料消耗</t>
        </is>
      </c>
      <c r="D238" s="7" t="n">
        <v>344.8</v>
      </c>
      <c r="F238" s="7" t="n">
        <v>763.5</v>
      </c>
      <c r="H238" s="7" t="n">
        <v>516.5</v>
      </c>
      <c r="J238" s="7" t="n">
        <v>690.4</v>
      </c>
      <c r="L238" s="7" t="n">
        <v>591.6</v>
      </c>
      <c r="N238" s="7" t="n">
        <v>748.7</v>
      </c>
      <c r="P238" s="7" t="n">
        <v>1066.4</v>
      </c>
      <c r="R238" s="7" t="n">
        <v>1197.9</v>
      </c>
      <c r="T238" s="7" t="n">
        <v>257.6</v>
      </c>
      <c r="V238" s="7" t="n">
        <v>536.3</v>
      </c>
      <c r="X238" s="7" t="n">
        <v>579.1</v>
      </c>
      <c r="Z238" s="7" t="n">
        <v>324.6</v>
      </c>
      <c r="AB238" s="7" t="n">
        <v>7617.4</v>
      </c>
    </row>
    <row r="239">
      <c r="A239" s="4" t="inlineStr">
        <is>
          <t>盘盈盘亏</t>
        </is>
      </c>
      <c r="D239" s="7" t="n">
        <v>1141.2</v>
      </c>
      <c r="F239" s="7" t="n">
        <v>3383.3</v>
      </c>
      <c r="H239" s="7" t="n">
        <v>2746.6</v>
      </c>
      <c r="J239" s="7" t="n">
        <v>2226.5</v>
      </c>
      <c r="L239" s="7" t="n">
        <v>1798.1</v>
      </c>
      <c r="N239" s="7" t="n">
        <v>2732.9</v>
      </c>
      <c r="P239" s="7" t="n">
        <v>4525.2</v>
      </c>
      <c r="R239" s="7" t="n">
        <v>2792.3</v>
      </c>
      <c r="T239" s="7" t="n">
        <v>1433.8</v>
      </c>
      <c r="V239" s="7" t="n">
        <v>2607.9</v>
      </c>
      <c r="X239" s="7" t="n">
        <v>1723.2</v>
      </c>
      <c r="Z239" s="7" t="n">
        <v>995.6</v>
      </c>
      <c r="AB239" s="7" t="n">
        <v>28106.6</v>
      </c>
    </row>
    <row r="240">
      <c r="A240" s="4" t="inlineStr">
        <is>
          <t>平台服务费</t>
        </is>
      </c>
      <c r="D240" s="7" t="n">
        <v>1731.5</v>
      </c>
      <c r="F240" s="7" t="n">
        <v>2900.2</v>
      </c>
      <c r="H240" s="7" t="n">
        <v>2132.6</v>
      </c>
      <c r="J240" s="7" t="n">
        <v>2564.3</v>
      </c>
      <c r="L240" s="7" t="n">
        <v>2800</v>
      </c>
      <c r="N240" s="7" t="n">
        <v>3912.2</v>
      </c>
      <c r="P240" s="7" t="n">
        <v>4920.9</v>
      </c>
      <c r="R240" s="7" t="n">
        <v>4827.5</v>
      </c>
      <c r="T240" s="7" t="n">
        <v>1685.5</v>
      </c>
      <c r="V240" s="7" t="n">
        <v>3362.3</v>
      </c>
      <c r="X240" s="7" t="n">
        <v>2753.3</v>
      </c>
      <c r="Z240" s="7" t="n">
        <v>986.4</v>
      </c>
      <c r="AB240" s="7" t="n">
        <v>34576.7</v>
      </c>
    </row>
    <row r="241">
      <c r="A241" s="4" t="inlineStr">
        <is>
          <t>无形资产摊销</t>
        </is>
      </c>
      <c r="D241" s="7" t="n">
        <v>1261</v>
      </c>
      <c r="F241" s="7" t="n">
        <v>2253.9</v>
      </c>
      <c r="H241" s="7" t="n">
        <v>1719.1</v>
      </c>
      <c r="J241" s="7" t="n">
        <v>1726.5</v>
      </c>
      <c r="L241" s="7" t="n">
        <v>1514.8</v>
      </c>
      <c r="N241" s="7" t="n">
        <v>2714.9</v>
      </c>
      <c r="P241" s="7" t="n">
        <v>2731.6</v>
      </c>
      <c r="R241" s="7" t="n">
        <v>2526.1</v>
      </c>
      <c r="T241" s="7" t="n">
        <v>733.9</v>
      </c>
      <c r="V241" s="7" t="n">
        <v>1506.1</v>
      </c>
      <c r="X241" s="7" t="n">
        <v>1508</v>
      </c>
      <c r="Z241" s="7" t="n">
        <v>816.6</v>
      </c>
      <c r="AB241" s="7" t="n">
        <v>21012.5</v>
      </c>
    </row>
    <row r="242">
      <c r="A242" s="4" t="inlineStr">
        <is>
          <t>研发材料</t>
        </is>
      </c>
      <c r="D242" s="7" t="n">
        <v>465.2</v>
      </c>
      <c r="F242" s="7" t="n">
        <v>1107.2</v>
      </c>
      <c r="H242" s="7" t="n">
        <v>671.3</v>
      </c>
      <c r="J242" s="7" t="n">
        <v>1023.6</v>
      </c>
      <c r="L242" s="7" t="n">
        <v>529.8</v>
      </c>
      <c r="N242" s="7" t="n">
        <v>774.9</v>
      </c>
      <c r="P242" s="7" t="n">
        <v>2013.7</v>
      </c>
      <c r="R242" s="7" t="n">
        <v>1151.9</v>
      </c>
      <c r="T242" s="7" t="n">
        <v>321.4</v>
      </c>
      <c r="V242" s="7" t="n">
        <v>535.9</v>
      </c>
      <c r="X242" s="7" t="n">
        <v>571.8</v>
      </c>
      <c r="Z242" s="7" t="n">
        <v>274.6</v>
      </c>
      <c r="AB242" s="7" t="n">
        <v>9441.299999999999</v>
      </c>
    </row>
    <row r="243">
      <c r="A243" s="4" t="inlineStr">
        <is>
          <t>项目名称</t>
        </is>
      </c>
      <c r="D243" s="7" t="n">
        <v>348.7</v>
      </c>
      <c r="F243" s="7" t="n">
        <v>821</v>
      </c>
      <c r="H243" s="7" t="n">
        <v>441.2</v>
      </c>
      <c r="J243" s="7" t="n">
        <v>522.4</v>
      </c>
      <c r="L243" s="7" t="n">
        <v>428.6</v>
      </c>
      <c r="N243" s="7" t="n">
        <v>625.5</v>
      </c>
      <c r="P243" s="7" t="n">
        <v>1558.5</v>
      </c>
      <c r="R243" s="7" t="n">
        <v>1154.9</v>
      </c>
      <c r="T243" s="7" t="n">
        <v>317.5</v>
      </c>
      <c r="V243" s="7" t="n">
        <v>627</v>
      </c>
      <c r="X243" s="7" t="n">
        <v>488.1</v>
      </c>
      <c r="Z243" s="7" t="n">
        <v>182.1</v>
      </c>
      <c r="AB243" s="7" t="n">
        <v>7515.5</v>
      </c>
    </row>
    <row r="244">
      <c r="A244" s="4" t="inlineStr">
        <is>
          <t>研发费</t>
        </is>
      </c>
      <c r="D244" s="7" t="n">
        <v>1792.3</v>
      </c>
      <c r="F244" s="7" t="n">
        <v>2188.1</v>
      </c>
      <c r="H244" s="7" t="n">
        <v>2913.9</v>
      </c>
      <c r="J244" s="7" t="n">
        <v>2926</v>
      </c>
      <c r="L244" s="7" t="n">
        <v>2661</v>
      </c>
      <c r="N244" s="7" t="n">
        <v>2584.4</v>
      </c>
      <c r="P244" s="7" t="n">
        <v>6924.1</v>
      </c>
      <c r="R244" s="7" t="n">
        <v>3908.6</v>
      </c>
      <c r="T244" s="7" t="n">
        <v>1285.6</v>
      </c>
      <c r="V244" s="7" t="n">
        <v>3121</v>
      </c>
      <c r="X244" s="7" t="n">
        <v>2874.9</v>
      </c>
      <c r="Z244" s="7" t="n">
        <v>1400.9</v>
      </c>
      <c r="AB244" s="7" t="n">
        <v>34580.8</v>
      </c>
    </row>
    <row r="245">
      <c r="A245" s="4" t="inlineStr">
        <is>
          <t>残保金</t>
        </is>
      </c>
      <c r="D245" s="7" t="n">
        <v>2164.8</v>
      </c>
      <c r="F245" s="7" t="n">
        <v>4374.7</v>
      </c>
      <c r="H245" s="7" t="n">
        <v>3746</v>
      </c>
      <c r="J245" s="7" t="n">
        <v>2703.8</v>
      </c>
      <c r="L245" s="7" t="n">
        <v>2069.7</v>
      </c>
      <c r="N245" s="7" t="n">
        <v>4902.7</v>
      </c>
      <c r="P245" s="7" t="n">
        <v>7487.7</v>
      </c>
      <c r="R245" s="7" t="n">
        <v>4181.9</v>
      </c>
      <c r="T245" s="7" t="n">
        <v>1636.6</v>
      </c>
      <c r="V245" s="7" t="n">
        <v>2821.2</v>
      </c>
      <c r="X245" s="7" t="n">
        <v>3220.8</v>
      </c>
      <c r="Z245" s="7" t="n">
        <v>1651.5</v>
      </c>
      <c r="AB245" s="7" t="n">
        <v>40961.4</v>
      </c>
    </row>
    <row r="246">
      <c r="A246" s="4" t="inlineStr">
        <is>
          <t>环保费</t>
        </is>
      </c>
      <c r="D246" s="7" t="n">
        <v>303.6</v>
      </c>
      <c r="F246" s="7" t="n">
        <v>952.9</v>
      </c>
      <c r="H246" s="7" t="n">
        <v>621.6</v>
      </c>
      <c r="J246" s="7" t="n">
        <v>934.9</v>
      </c>
      <c r="L246" s="7" t="n">
        <v>772.9</v>
      </c>
      <c r="N246" s="7" t="n">
        <v>877</v>
      </c>
      <c r="P246" s="7" t="n">
        <v>1165.5</v>
      </c>
      <c r="R246" s="7" t="n">
        <v>1512</v>
      </c>
      <c r="T246" s="7" t="n">
        <v>540.8</v>
      </c>
      <c r="V246" s="7" t="n">
        <v>924.8</v>
      </c>
      <c r="X246" s="7" t="n">
        <v>974.4</v>
      </c>
      <c r="Z246" s="7" t="n">
        <v>395.8</v>
      </c>
      <c r="AB246" s="7" t="n">
        <v>9976.200000000001</v>
      </c>
    </row>
    <row r="247">
      <c r="A247" s="4" t="inlineStr">
        <is>
          <t>报废损失</t>
        </is>
      </c>
      <c r="D247" s="7" t="n">
        <v>267.3</v>
      </c>
      <c r="F247" s="7" t="n">
        <v>748.8</v>
      </c>
      <c r="H247" s="7" t="n">
        <v>717.9</v>
      </c>
      <c r="J247" s="7" t="n">
        <v>578.8</v>
      </c>
      <c r="L247" s="7" t="n">
        <v>566.3</v>
      </c>
      <c r="N247" s="7" t="n">
        <v>963.1</v>
      </c>
      <c r="P247" s="7" t="n">
        <v>1480.9</v>
      </c>
      <c r="R247" s="7" t="n">
        <v>1104.8</v>
      </c>
      <c r="T247" s="7" t="n">
        <v>377.8</v>
      </c>
      <c r="V247" s="7" t="n">
        <v>639.4</v>
      </c>
      <c r="X247" s="7" t="n">
        <v>581.3</v>
      </c>
      <c r="Z247" s="7" t="n">
        <v>254.2</v>
      </c>
      <c r="AB247" s="7" t="n">
        <v>8280.6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6666.4</v>
      </c>
      <c r="D248" s="7" t="n">
        <v>12362.7</v>
      </c>
      <c r="E248" s="7" t="n">
        <v>7903.8</v>
      </c>
      <c r="F248" s="7" t="n">
        <v>12891.2</v>
      </c>
      <c r="G248" s="7" t="n">
        <v>7229.9</v>
      </c>
      <c r="H248" s="7" t="n">
        <v>7369.8</v>
      </c>
      <c r="I248" s="7" t="n">
        <v>8003.1</v>
      </c>
      <c r="J248" s="7" t="n">
        <v>1708.4</v>
      </c>
      <c r="K248" s="7" t="n">
        <v>6811</v>
      </c>
      <c r="L248" s="7" t="n">
        <v>5023.7</v>
      </c>
      <c r="M248" s="7" t="n">
        <v>7185.7</v>
      </c>
      <c r="N248" s="7" t="n">
        <v>18029.6</v>
      </c>
      <c r="O248" s="7" t="n">
        <v>6301.8</v>
      </c>
      <c r="P248" s="7" t="n">
        <v>9599.6</v>
      </c>
      <c r="Q248" s="7" t="n">
        <v>6195</v>
      </c>
      <c r="R248" s="7" t="n">
        <v>-4084.9</v>
      </c>
      <c r="S248" s="7" t="n">
        <v>6960.5</v>
      </c>
      <c r="T248" s="7" t="n">
        <v>488.2</v>
      </c>
      <c r="U248" s="7" t="n">
        <v>6763.2</v>
      </c>
      <c r="V248" s="7" t="n">
        <v>75</v>
      </c>
      <c r="W248" s="7" t="n">
        <v>7256.6</v>
      </c>
      <c r="X248" s="7" t="n">
        <v>16579.2</v>
      </c>
      <c r="Y248" s="7" t="n">
        <v>7004.5</v>
      </c>
      <c r="Z248" s="7" t="n">
        <v>4897.5</v>
      </c>
      <c r="AA248" s="8" t="n">
        <v>84281.5</v>
      </c>
      <c r="AB248" s="8" t="n">
        <v>84940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1211.3</v>
      </c>
      <c r="E250" s="7" t="n">
        <v>0</v>
      </c>
      <c r="F250" s="7" t="n">
        <v>-739</v>
      </c>
      <c r="G250" s="7" t="n">
        <v>0</v>
      </c>
      <c r="H250" s="7" t="n">
        <v>-324.5</v>
      </c>
      <c r="I250" s="7" t="n">
        <v>0</v>
      </c>
      <c r="J250" s="7" t="n">
        <v>-910.5</v>
      </c>
      <c r="K250" s="7" t="n">
        <v>0</v>
      </c>
      <c r="L250" s="7" t="n">
        <v>3045</v>
      </c>
      <c r="M250" s="7" t="n">
        <v>0</v>
      </c>
      <c r="N250" s="7" t="n">
        <v>-1829.8</v>
      </c>
      <c r="O250" s="7" t="n">
        <v>0</v>
      </c>
      <c r="P250" s="7" t="n">
        <v>-1176.3</v>
      </c>
      <c r="Q250" s="7" t="n">
        <v>0</v>
      </c>
      <c r="R250" s="7" t="n">
        <v>-3204.3</v>
      </c>
      <c r="S250" s="7" t="n">
        <v>0</v>
      </c>
      <c r="T250" s="7" t="n">
        <v>-2662.1</v>
      </c>
      <c r="U250" s="7" t="n">
        <v>0</v>
      </c>
      <c r="V250" s="7" t="n">
        <v>1453.5</v>
      </c>
      <c r="W250" s="7" t="n">
        <v>0</v>
      </c>
      <c r="X250" s="7" t="n">
        <v>-1409.1</v>
      </c>
      <c r="Y250" s="7" t="n">
        <v>0</v>
      </c>
      <c r="Z250" s="7" t="n">
        <v>-4175.8</v>
      </c>
      <c r="AA250" s="7" t="n">
        <v>0</v>
      </c>
      <c r="AB250" s="7" t="n">
        <v>-10721.6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13542.4</v>
      </c>
      <c r="D255" s="7" t="n">
        <v>25278.1</v>
      </c>
      <c r="E255" s="7" t="n">
        <v>13052.4</v>
      </c>
      <c r="F255" s="7" t="n">
        <v>15383.7</v>
      </c>
      <c r="G255" s="7" t="n">
        <v>11534.1</v>
      </c>
      <c r="H255" s="7" t="n">
        <v>19309.6</v>
      </c>
      <c r="I255" s="7" t="n">
        <v>13134.4</v>
      </c>
      <c r="J255" s="7" t="n">
        <v>23576.2</v>
      </c>
      <c r="K255" s="7" t="n">
        <v>14219.4</v>
      </c>
      <c r="L255" s="7" t="n">
        <v>27798.2</v>
      </c>
      <c r="M255" s="7" t="n">
        <v>14221</v>
      </c>
      <c r="N255" s="7" t="n">
        <v>2952.3</v>
      </c>
      <c r="O255" s="7" t="n">
        <v>13307.9</v>
      </c>
      <c r="P255" s="7" t="n">
        <v>2140.5</v>
      </c>
      <c r="Q255" s="7" t="n">
        <v>13261.3</v>
      </c>
      <c r="R255" s="7" t="n">
        <v>1148.4</v>
      </c>
      <c r="S255" s="7" t="n">
        <v>13901.7</v>
      </c>
      <c r="T255" s="7" t="n">
        <v>6009.2</v>
      </c>
      <c r="U255" s="7" t="n">
        <v>10547.2</v>
      </c>
      <c r="V255" s="7" t="n">
        <v>5899.4</v>
      </c>
      <c r="W255" s="7" t="n">
        <v>11627</v>
      </c>
      <c r="X255" s="7" t="n">
        <v>9877.200000000001</v>
      </c>
      <c r="Y255" s="7" t="n">
        <v>13567.4</v>
      </c>
      <c r="Z255" s="7" t="n">
        <v>9081.5</v>
      </c>
      <c r="AA255" s="7" t="n">
        <v>155916.2</v>
      </c>
      <c r="AB255" s="7" t="n">
        <v>148454.3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2106996.7</v>
      </c>
      <c r="D256" s="7" t="n">
        <v>1717655.2</v>
      </c>
      <c r="E256" s="7" t="n">
        <v>2133359.7</v>
      </c>
      <c r="F256" s="7" t="n">
        <v>1346087.2</v>
      </c>
      <c r="G256" s="7" t="n">
        <v>2305440.4</v>
      </c>
      <c r="H256" s="7" t="n">
        <v>1823570.7</v>
      </c>
      <c r="I256" s="7" t="n">
        <v>2287379.7</v>
      </c>
      <c r="J256" s="7" t="n">
        <v>2312644.7</v>
      </c>
      <c r="K256" s="7" t="n">
        <v>2265014.6</v>
      </c>
      <c r="L256" s="7" t="n">
        <v>2753866</v>
      </c>
      <c r="M256" s="7" t="n">
        <v>2098692.3</v>
      </c>
      <c r="N256" s="7" t="n">
        <v>2575151.1</v>
      </c>
      <c r="O256" s="7" t="n">
        <v>2309224.2</v>
      </c>
      <c r="P256" s="7" t="n">
        <v>2858195.6</v>
      </c>
      <c r="Q256" s="7" t="n">
        <v>2004210.9</v>
      </c>
      <c r="R256" s="7" t="n">
        <v>2835670.3</v>
      </c>
      <c r="S256" s="7" t="n">
        <v>1924442.5</v>
      </c>
      <c r="T256" s="7" t="n">
        <v>1404641.3</v>
      </c>
      <c r="U256" s="7" t="n">
        <v>2295348.3</v>
      </c>
      <c r="V256" s="7" t="n">
        <v>2483830.5</v>
      </c>
      <c r="W256" s="7" t="n">
        <v>2249364.5</v>
      </c>
      <c r="X256" s="7" t="n">
        <v>1562074.4</v>
      </c>
      <c r="Y256" s="7" t="n">
        <v>1938289.4</v>
      </c>
      <c r="Z256" s="7" t="n">
        <v>1805963</v>
      </c>
      <c r="AA256" s="8" t="n">
        <v>25917763.2</v>
      </c>
      <c r="AB256" s="8" t="n">
        <v>25479350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2249.9</v>
      </c>
      <c r="E257" s="7" t="n">
        <v>0</v>
      </c>
      <c r="F257" s="7" t="n">
        <v>2792.2</v>
      </c>
      <c r="G257" s="7" t="n">
        <v>0</v>
      </c>
      <c r="H257" s="7" t="n">
        <v>1873.5</v>
      </c>
      <c r="I257" s="7" t="n">
        <v>0</v>
      </c>
      <c r="J257" s="7" t="n">
        <v>2887.5</v>
      </c>
      <c r="K257" s="7" t="n">
        <v>0</v>
      </c>
      <c r="L257" s="7" t="n">
        <v>641.7</v>
      </c>
      <c r="M257" s="7" t="n">
        <v>0</v>
      </c>
      <c r="N257" s="7" t="n">
        <v>4716.8</v>
      </c>
      <c r="O257" s="7" t="n">
        <v>0</v>
      </c>
      <c r="P257" s="7" t="n">
        <v>48.4</v>
      </c>
      <c r="Q257" s="7" t="n">
        <v>0</v>
      </c>
      <c r="R257" s="7" t="n">
        <v>4052</v>
      </c>
      <c r="S257" s="7" t="n">
        <v>0</v>
      </c>
      <c r="T257" s="7" t="n">
        <v>4171.5</v>
      </c>
      <c r="U257" s="7" t="n">
        <v>0</v>
      </c>
      <c r="V257" s="7" t="n">
        <v>1699.1</v>
      </c>
      <c r="W257" s="7" t="n">
        <v>0</v>
      </c>
      <c r="X257" s="7" t="n">
        <v>2095.7</v>
      </c>
      <c r="Y257" s="7" t="n">
        <v>0</v>
      </c>
      <c r="Z257" s="7" t="n">
        <v>3428.8</v>
      </c>
      <c r="AA257" s="7" t="n">
        <v>0</v>
      </c>
      <c r="AB257" s="7" t="n">
        <v>30657.1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1210.1</v>
      </c>
      <c r="E258" s="7" t="n">
        <v>0</v>
      </c>
      <c r="F258" s="7" t="n">
        <v>2335.9</v>
      </c>
      <c r="G258" s="7" t="n">
        <v>0</v>
      </c>
      <c r="H258" s="7" t="n">
        <v>1612.8</v>
      </c>
      <c r="I258" s="7" t="n">
        <v>0</v>
      </c>
      <c r="J258" s="7" t="n">
        <v>978.2</v>
      </c>
      <c r="K258" s="7" t="n">
        <v>0</v>
      </c>
      <c r="L258" s="7" t="n">
        <v>69.7</v>
      </c>
      <c r="M258" s="7" t="n">
        <v>0</v>
      </c>
      <c r="N258" s="7" t="n">
        <v>2356.1</v>
      </c>
      <c r="O258" s="7" t="n">
        <v>0</v>
      </c>
      <c r="P258" s="7" t="n">
        <v>2766.4</v>
      </c>
      <c r="Q258" s="7" t="n">
        <v>0</v>
      </c>
      <c r="R258" s="7" t="n">
        <v>461.1</v>
      </c>
      <c r="S258" s="7" t="n">
        <v>0</v>
      </c>
      <c r="T258" s="7" t="n">
        <v>2857.9</v>
      </c>
      <c r="U258" s="7" t="n">
        <v>0</v>
      </c>
      <c r="V258" s="7" t="n">
        <v>990.8</v>
      </c>
      <c r="W258" s="7" t="n">
        <v>0</v>
      </c>
      <c r="X258" s="7" t="n">
        <v>1889.5</v>
      </c>
      <c r="Y258" s="7" t="n">
        <v>0</v>
      </c>
      <c r="Z258" s="7" t="n">
        <v>1809</v>
      </c>
      <c r="AA258" s="7" t="n">
        <v>0</v>
      </c>
      <c r="AB258" s="7" t="n">
        <v>19337.5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1849451.9</v>
      </c>
      <c r="D259" s="7" t="n">
        <v>1754700.7</v>
      </c>
      <c r="E259" s="7" t="n">
        <v>2131872.7</v>
      </c>
      <c r="F259" s="7" t="n">
        <v>1444875.1</v>
      </c>
      <c r="G259" s="7" t="n">
        <v>1803963</v>
      </c>
      <c r="H259" s="7" t="n">
        <v>1998696.3</v>
      </c>
      <c r="I259" s="7" t="n">
        <v>2217568.3</v>
      </c>
      <c r="J259" s="7" t="n">
        <v>2175830.8</v>
      </c>
      <c r="K259" s="7" t="n">
        <v>2091395.5</v>
      </c>
      <c r="L259" s="7" t="n">
        <v>2693631.3</v>
      </c>
      <c r="M259" s="7" t="n">
        <v>1901315.2</v>
      </c>
      <c r="N259" s="7" t="n">
        <v>2592914.8</v>
      </c>
      <c r="O259" s="7" t="n">
        <v>1827529</v>
      </c>
      <c r="P259" s="7" t="n">
        <v>2680037.8</v>
      </c>
      <c r="Q259" s="7" t="n">
        <v>2390051.3</v>
      </c>
      <c r="R259" s="7" t="n">
        <v>2613715.8</v>
      </c>
      <c r="S259" s="7" t="n">
        <v>1962462.4</v>
      </c>
      <c r="T259" s="7" t="n">
        <v>1424170</v>
      </c>
      <c r="U259" s="7" t="n">
        <v>1930494</v>
      </c>
      <c r="V259" s="7" t="n">
        <v>2459754.9</v>
      </c>
      <c r="W259" s="7" t="n">
        <v>2199024.5</v>
      </c>
      <c r="X259" s="7" t="n">
        <v>1685398.2</v>
      </c>
      <c r="Y259" s="7" t="n">
        <v>1827836.5</v>
      </c>
      <c r="Z259" s="7" t="n">
        <v>1659044.8</v>
      </c>
      <c r="AA259" s="8" t="n">
        <v>24132964.3</v>
      </c>
      <c r="AB259" s="8" t="n">
        <v>25182770.5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454987.6</v>
      </c>
      <c r="D260" s="7" t="n">
        <v>438675.2</v>
      </c>
      <c r="E260" s="7" t="n">
        <v>527557.8</v>
      </c>
      <c r="F260" s="7" t="n">
        <v>361218.8</v>
      </c>
      <c r="G260" s="7" t="n">
        <v>472988.9</v>
      </c>
      <c r="H260" s="7" t="n">
        <v>499674.1</v>
      </c>
      <c r="I260" s="7" t="n">
        <v>581256.2</v>
      </c>
      <c r="J260" s="7" t="n">
        <v>543957.7</v>
      </c>
      <c r="K260" s="7" t="n">
        <v>510611.3</v>
      </c>
      <c r="L260" s="7" t="n">
        <v>673407.8</v>
      </c>
      <c r="M260" s="7" t="n">
        <v>470661.1</v>
      </c>
      <c r="N260" s="7" t="n">
        <v>648228.7</v>
      </c>
      <c r="O260" s="7" t="n">
        <v>463375.1</v>
      </c>
      <c r="P260" s="7" t="n">
        <v>670009.4</v>
      </c>
      <c r="Q260" s="7" t="n">
        <v>530378.5</v>
      </c>
      <c r="R260" s="7" t="n">
        <v>653428.9</v>
      </c>
      <c r="S260" s="7" t="n">
        <v>521217.9</v>
      </c>
      <c r="T260" s="7" t="n">
        <v>356042.5</v>
      </c>
      <c r="U260" s="7" t="n">
        <v>456767.7</v>
      </c>
      <c r="V260" s="7" t="n">
        <v>614938.7</v>
      </c>
      <c r="W260" s="7" t="n">
        <v>596269.8</v>
      </c>
      <c r="X260" s="7" t="n">
        <v>421349.5</v>
      </c>
      <c r="Y260" s="7" t="n">
        <v>582199.3</v>
      </c>
      <c r="Z260" s="7" t="n">
        <v>414761.2</v>
      </c>
      <c r="AA260" s="7" t="n">
        <v>6168271.2</v>
      </c>
      <c r="AB260" s="7" t="n">
        <v>6295692.5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1570094.3</v>
      </c>
      <c r="D261" s="7" t="n">
        <v>1316025.5</v>
      </c>
      <c r="E261" s="7" t="n">
        <v>1129604.3</v>
      </c>
      <c r="F261" s="7" t="n">
        <v>1083656.3</v>
      </c>
      <c r="G261" s="7" t="n">
        <v>1501582.4</v>
      </c>
      <c r="H261" s="7" t="n">
        <v>1499022.2</v>
      </c>
      <c r="I261" s="7" t="n">
        <v>1120055.5</v>
      </c>
      <c r="J261" s="7" t="n">
        <v>1631873.1</v>
      </c>
      <c r="K261" s="7" t="n">
        <v>1612221.2</v>
      </c>
      <c r="L261" s="7" t="n">
        <v>2020223.5</v>
      </c>
      <c r="M261" s="7" t="n">
        <v>1022447.5</v>
      </c>
      <c r="N261" s="7" t="n">
        <v>1944686.1</v>
      </c>
      <c r="O261" s="7" t="n">
        <v>1248195.6</v>
      </c>
      <c r="P261" s="7" t="n">
        <v>2010028.4</v>
      </c>
      <c r="Q261" s="7" t="n">
        <v>1644207</v>
      </c>
      <c r="R261" s="7" t="n">
        <v>1960286.9</v>
      </c>
      <c r="S261" s="7" t="n">
        <v>1080563.9</v>
      </c>
      <c r="T261" s="7" t="n">
        <v>1068127.5</v>
      </c>
      <c r="U261" s="7" t="n">
        <v>1258821</v>
      </c>
      <c r="V261" s="7" t="n">
        <v>1844816.2</v>
      </c>
      <c r="W261" s="7" t="n">
        <v>1179809.5</v>
      </c>
      <c r="X261" s="7" t="n">
        <v>1264048.7</v>
      </c>
      <c r="Y261" s="7" t="n">
        <v>928546.4</v>
      </c>
      <c r="Z261" s="7" t="n">
        <v>1244283.6</v>
      </c>
      <c r="AA261" s="8" t="n">
        <v>15296148.6</v>
      </c>
      <c r="AB261" s="8" t="n">
        <v>18887078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51298.3</v>
      </c>
      <c r="E262" s="7" t="n">
        <v>0</v>
      </c>
      <c r="F262" s="7" t="n">
        <v>66865</v>
      </c>
      <c r="G262" s="7" t="n">
        <v>0</v>
      </c>
      <c r="H262" s="7" t="n">
        <v>194363.5</v>
      </c>
      <c r="I262" s="7" t="n">
        <v>0</v>
      </c>
      <c r="J262" s="7" t="n">
        <v>347428.2</v>
      </c>
      <c r="K262" s="7" t="n">
        <v>0</v>
      </c>
      <c r="L262" s="7" t="n">
        <v>287748.5</v>
      </c>
      <c r="M262" s="7" t="n">
        <v>0</v>
      </c>
      <c r="N262" s="7" t="n">
        <v>352207.6</v>
      </c>
      <c r="O262" s="7" t="n">
        <v>0</v>
      </c>
      <c r="P262" s="7" t="n">
        <v>566318</v>
      </c>
      <c r="Q262" s="7" t="n">
        <v>0</v>
      </c>
      <c r="R262" s="7" t="n">
        <v>345495.8</v>
      </c>
      <c r="S262" s="7" t="n">
        <v>0</v>
      </c>
      <c r="T262" s="7" t="n">
        <v>161012.2</v>
      </c>
      <c r="U262" s="7" t="n">
        <v>0</v>
      </c>
      <c r="V262" s="7" t="n">
        <v>379018.9</v>
      </c>
      <c r="W262" s="7" t="n">
        <v>0</v>
      </c>
      <c r="X262" s="7" t="n">
        <v>104451.2</v>
      </c>
      <c r="Y262" s="7" t="n">
        <v>0</v>
      </c>
      <c r="Z262" s="7" t="n">
        <v>2778.5</v>
      </c>
      <c r="AA262" s="7" t="n">
        <v>0</v>
      </c>
      <c r="AB262" s="7" t="n">
        <v>2858985.7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1570094.3</v>
      </c>
      <c r="D263" s="7" t="n">
        <v>1264727.2</v>
      </c>
      <c r="E263" s="7" t="n">
        <v>1129604.3</v>
      </c>
      <c r="F263" s="7" t="n">
        <v>1016791.3</v>
      </c>
      <c r="G263" s="7" t="n">
        <v>1501582.4</v>
      </c>
      <c r="H263" s="7" t="n">
        <v>1304658.7</v>
      </c>
      <c r="I263" s="7" t="n">
        <v>1120055.5</v>
      </c>
      <c r="J263" s="7" t="n">
        <v>1284444.9</v>
      </c>
      <c r="K263" s="7" t="n">
        <v>1612221.2</v>
      </c>
      <c r="L263" s="7" t="n">
        <v>1732475</v>
      </c>
      <c r="M263" s="7" t="n">
        <v>1022447.5</v>
      </c>
      <c r="N263" s="7" t="n">
        <v>1592478.5</v>
      </c>
      <c r="O263" s="7" t="n">
        <v>1248195.6</v>
      </c>
      <c r="P263" s="7" t="n">
        <v>1443710.4</v>
      </c>
      <c r="Q263" s="7" t="n">
        <v>1644207</v>
      </c>
      <c r="R263" s="7" t="n">
        <v>1614791.1</v>
      </c>
      <c r="S263" s="7" t="n">
        <v>1080563.9</v>
      </c>
      <c r="T263" s="7" t="n">
        <v>907115.3</v>
      </c>
      <c r="U263" s="7" t="n">
        <v>1258821</v>
      </c>
      <c r="V263" s="7" t="n">
        <v>1465797.3</v>
      </c>
      <c r="W263" s="7" t="n">
        <v>1179809.5</v>
      </c>
      <c r="X263" s="7" t="n">
        <v>1159597.5</v>
      </c>
      <c r="Y263" s="7" t="n">
        <v>928546.4</v>
      </c>
      <c r="Z263" s="7" t="n">
        <v>1241505.1</v>
      </c>
      <c r="AA263" s="8" t="n">
        <v>15296148.6</v>
      </c>
      <c r="AB263" s="8" t="n">
        <v>16028092.3</v>
      </c>
    </row>
    <row r="264">
      <c r="A264" s="4" t="inlineStr">
        <is>
          <t>净利率</t>
        </is>
      </c>
      <c r="D264" s="13" t="n">
        <v>10.7</v>
      </c>
      <c r="F264" s="13" t="n">
        <v>7.6</v>
      </c>
      <c r="H264" s="13" t="n">
        <v>8.4</v>
      </c>
      <c r="J264" s="13" t="n">
        <v>7.8</v>
      </c>
      <c r="L264" s="13" t="n">
        <v>8.800000000000001</v>
      </c>
      <c r="N264" s="13" t="n">
        <v>8</v>
      </c>
      <c r="P264" s="13" t="n">
        <v>7.7</v>
      </c>
      <c r="R264" s="13" t="n">
        <v>8.9</v>
      </c>
      <c r="T264" s="13" t="n">
        <v>5.4</v>
      </c>
      <c r="V264" s="13" t="n">
        <v>7.6</v>
      </c>
      <c r="X264" s="13" t="n">
        <v>6.9</v>
      </c>
      <c r="Z264" s="13" t="n">
        <v>8.800000000000001</v>
      </c>
    </row>
    <row r="265">
      <c r="A265" s="4" t="inlineStr">
        <is>
          <t>销售达成率</t>
        </is>
      </c>
      <c r="D265" s="13" t="n">
        <v>57.5</v>
      </c>
      <c r="F265" s="13" t="n">
        <v>72.5</v>
      </c>
      <c r="H265" s="13" t="n">
        <v>88.3</v>
      </c>
      <c r="J265" s="13" t="n">
        <v>110.8</v>
      </c>
      <c r="L265" s="13" t="n">
        <v>105.9</v>
      </c>
      <c r="N265" s="13" t="n">
        <v>123</v>
      </c>
      <c r="P265" s="13" t="n">
        <v>119.4</v>
      </c>
      <c r="R265" s="13" t="n">
        <v>115.1</v>
      </c>
      <c r="T265" s="13" t="n">
        <v>87.3</v>
      </c>
      <c r="V265" s="13" t="n">
        <v>106.9</v>
      </c>
      <c r="X265" s="13" t="n">
        <v>92.90000000000001</v>
      </c>
      <c r="Z265" s="13" t="n">
        <v>75.5</v>
      </c>
    </row>
    <row r="266">
      <c r="A266" s="4" t="inlineStr">
        <is>
          <t>净利达成率</t>
        </is>
      </c>
      <c r="D266" s="13" t="n">
        <v>83.8</v>
      </c>
      <c r="F266" s="13" t="n">
        <v>95.90000000000001</v>
      </c>
      <c r="H266" s="13" t="n">
        <v>99.8</v>
      </c>
      <c r="J266" s="13" t="n">
        <v>145.7</v>
      </c>
      <c r="L266" s="13" t="n">
        <v>125.3</v>
      </c>
      <c r="N266" s="13" t="n">
        <v>190.2</v>
      </c>
      <c r="P266" s="13" t="n">
        <v>161</v>
      </c>
      <c r="R266" s="13" t="n">
        <v>119.2</v>
      </c>
      <c r="T266" s="13" t="n">
        <v>98.8</v>
      </c>
      <c r="V266" s="13" t="n">
        <v>146.6</v>
      </c>
      <c r="X266" s="13" t="n">
        <v>107.1</v>
      </c>
      <c r="Z266" s="13" t="n">
        <v>134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江苏分部利润表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4907342.2</v>
      </c>
      <c r="D6" s="7" t="n">
        <v>3418548.3</v>
      </c>
      <c r="E6" s="7" t="n">
        <v>5416536.2</v>
      </c>
      <c r="F6" s="7" t="n">
        <v>3795937.4</v>
      </c>
      <c r="G6" s="7" t="n">
        <v>5310549.6</v>
      </c>
      <c r="H6" s="7" t="n">
        <v>4737760.7</v>
      </c>
      <c r="I6" s="7" t="n">
        <v>6184923.9</v>
      </c>
      <c r="J6" s="7" t="n">
        <v>5795369.9</v>
      </c>
      <c r="K6" s="7" t="n">
        <v>5158820.4</v>
      </c>
      <c r="L6" s="7" t="n">
        <v>6179269.1</v>
      </c>
      <c r="M6" s="7" t="n">
        <v>5060987.6</v>
      </c>
      <c r="N6" s="7" t="n">
        <v>6700077.8</v>
      </c>
      <c r="O6" s="7" t="n">
        <v>5493520.9</v>
      </c>
      <c r="P6" s="7" t="n">
        <v>7539404.6</v>
      </c>
      <c r="Q6" s="7" t="n">
        <v>5448775.4</v>
      </c>
      <c r="R6" s="7" t="n">
        <v>5918030.3</v>
      </c>
      <c r="S6" s="7" t="n">
        <v>5208850.1</v>
      </c>
      <c r="T6" s="7" t="n">
        <v>5621865.5</v>
      </c>
      <c r="U6" s="7" t="n">
        <v>5160745.5</v>
      </c>
      <c r="V6" s="7" t="n">
        <v>7065618.7</v>
      </c>
      <c r="W6" s="7" t="n">
        <v>6288022.1</v>
      </c>
      <c r="X6" s="7" t="n">
        <v>5353207.5</v>
      </c>
      <c r="Y6" s="7" t="n">
        <v>5484343.4</v>
      </c>
      <c r="Z6" s="7" t="n">
        <v>4118729.5</v>
      </c>
      <c r="AA6" s="8" t="n">
        <v>65123417.3</v>
      </c>
      <c r="AB6" s="8" t="n">
        <v>66243819.3</v>
      </c>
    </row>
    <row r="7">
      <c r="A7" s="4" t="inlineStr">
        <is>
          <t>中式汤底</t>
        </is>
      </c>
      <c r="D7" s="7" t="n">
        <v>159062.2</v>
      </c>
      <c r="F7" s="7" t="n">
        <v>223212</v>
      </c>
      <c r="H7" s="7" t="n">
        <v>303316.7</v>
      </c>
      <c r="J7" s="7" t="n">
        <v>282220.6</v>
      </c>
      <c r="L7" s="7" t="n">
        <v>284385.7</v>
      </c>
      <c r="N7" s="7" t="n">
        <v>283376.7</v>
      </c>
      <c r="P7" s="7" t="n">
        <v>401419.9</v>
      </c>
      <c r="R7" s="7" t="n">
        <v>284616.8</v>
      </c>
      <c r="T7" s="7" t="n">
        <v>327376</v>
      </c>
      <c r="V7" s="7" t="n">
        <v>392346.3</v>
      </c>
      <c r="X7" s="7" t="n">
        <v>245433.3</v>
      </c>
      <c r="Z7" s="7" t="n">
        <v>241217.8</v>
      </c>
      <c r="AB7" s="7" t="n">
        <v>3427984</v>
      </c>
    </row>
    <row r="8">
      <c r="A8" s="4" t="inlineStr">
        <is>
          <t>酱料</t>
        </is>
      </c>
      <c r="D8" s="7" t="n">
        <v>198399</v>
      </c>
      <c r="F8" s="7" t="n">
        <v>287436.5</v>
      </c>
      <c r="H8" s="7" t="n">
        <v>387445.9</v>
      </c>
      <c r="J8" s="7" t="n">
        <v>468878.6</v>
      </c>
      <c r="L8" s="7" t="n">
        <v>442719.7</v>
      </c>
      <c r="N8" s="7" t="n">
        <v>495547.9</v>
      </c>
      <c r="P8" s="7" t="n">
        <v>528403.5</v>
      </c>
      <c r="R8" s="7" t="n">
        <v>354902.9</v>
      </c>
      <c r="T8" s="7" t="n">
        <v>361050.5</v>
      </c>
      <c r="V8" s="7" t="n">
        <v>422549.8</v>
      </c>
      <c r="X8" s="7" t="n">
        <v>323325.4</v>
      </c>
      <c r="Z8" s="7" t="n">
        <v>261064</v>
      </c>
      <c r="AB8" s="7" t="n">
        <v>4531723.7</v>
      </c>
    </row>
    <row r="9">
      <c r="A9" s="4" t="inlineStr">
        <is>
          <t>川味底料</t>
        </is>
      </c>
      <c r="D9" s="7" t="n">
        <v>311060.3</v>
      </c>
      <c r="F9" s="7" t="n">
        <v>423904.4</v>
      </c>
      <c r="H9" s="7" t="n">
        <v>446864.8</v>
      </c>
      <c r="J9" s="7" t="n">
        <v>494747.3</v>
      </c>
      <c r="L9" s="7" t="n">
        <v>752039.6</v>
      </c>
      <c r="N9" s="7" t="n">
        <v>701696.8</v>
      </c>
      <c r="P9" s="7" t="n">
        <v>845169.2</v>
      </c>
      <c r="R9" s="7" t="n">
        <v>560735.7</v>
      </c>
      <c r="T9" s="7" t="n">
        <v>529519.6</v>
      </c>
      <c r="V9" s="7" t="n">
        <v>606754.1</v>
      </c>
      <c r="X9" s="7" t="n">
        <v>592015.4</v>
      </c>
      <c r="Z9" s="7" t="n">
        <v>425089.5</v>
      </c>
      <c r="AB9" s="7" t="n">
        <v>6689596.7</v>
      </c>
    </row>
    <row r="10">
      <c r="A10" s="4" t="inlineStr">
        <is>
          <t>调味汁</t>
        </is>
      </c>
      <c r="D10" s="7" t="n">
        <v>969734.9</v>
      </c>
      <c r="F10" s="7" t="n">
        <v>1033709.5</v>
      </c>
      <c r="H10" s="7" t="n">
        <v>1338587.9</v>
      </c>
      <c r="J10" s="7" t="n">
        <v>1904764.3</v>
      </c>
      <c r="L10" s="7" t="n">
        <v>1604656.9</v>
      </c>
      <c r="N10" s="7" t="n">
        <v>1979440.3</v>
      </c>
      <c r="P10" s="7" t="n">
        <v>1749263.8</v>
      </c>
      <c r="R10" s="7" t="n">
        <v>1899747.6</v>
      </c>
      <c r="T10" s="7" t="n">
        <v>1592106.9</v>
      </c>
      <c r="V10" s="7" t="n">
        <v>1878551</v>
      </c>
      <c r="X10" s="7" t="n">
        <v>1496168.1</v>
      </c>
      <c r="Z10" s="7" t="n">
        <v>1316290.9</v>
      </c>
      <c r="AB10" s="7" t="n">
        <v>18763022.1</v>
      </c>
    </row>
    <row r="11">
      <c r="A11" s="4" t="inlineStr">
        <is>
          <t>复合调味粉</t>
        </is>
      </c>
      <c r="D11" s="7" t="n">
        <v>868029.7</v>
      </c>
      <c r="F11" s="7" t="n">
        <v>856027.1</v>
      </c>
      <c r="H11" s="7" t="n">
        <v>1025216.9</v>
      </c>
      <c r="J11" s="7" t="n">
        <v>1323723</v>
      </c>
      <c r="L11" s="7" t="n">
        <v>1706596.3</v>
      </c>
      <c r="N11" s="7" t="n">
        <v>1618804.9</v>
      </c>
      <c r="P11" s="7" t="n">
        <v>2042677.4</v>
      </c>
      <c r="R11" s="7" t="n">
        <v>1363949.2</v>
      </c>
      <c r="T11" s="7" t="n">
        <v>1407474.6</v>
      </c>
      <c r="V11" s="7" t="n">
        <v>1788367.1</v>
      </c>
      <c r="X11" s="7" t="n">
        <v>1349099.9</v>
      </c>
      <c r="Z11" s="7" t="n">
        <v>755481.2</v>
      </c>
      <c r="AB11" s="7" t="n">
        <v>16105447.3</v>
      </c>
    </row>
    <row r="12">
      <c r="A12" s="4" t="inlineStr">
        <is>
          <t>团餐</t>
        </is>
      </c>
      <c r="D12" s="7" t="n">
        <v>198879.7</v>
      </c>
      <c r="F12" s="7" t="n">
        <v>224308.3</v>
      </c>
      <c r="H12" s="7" t="n">
        <v>209593.3</v>
      </c>
      <c r="J12" s="7" t="n">
        <v>333486.3</v>
      </c>
      <c r="L12" s="7" t="n">
        <v>309455</v>
      </c>
      <c r="N12" s="7" t="n">
        <v>374878.4</v>
      </c>
      <c r="P12" s="7" t="n">
        <v>313112.3</v>
      </c>
      <c r="R12" s="7" t="n">
        <v>317398.4</v>
      </c>
      <c r="T12" s="7" t="n">
        <v>325053.8</v>
      </c>
      <c r="V12" s="7" t="n">
        <v>300353.1</v>
      </c>
      <c r="X12" s="7" t="n">
        <v>278035</v>
      </c>
      <c r="Z12" s="7" t="n">
        <v>183120.9</v>
      </c>
      <c r="AB12" s="7" t="n">
        <v>3367674.5</v>
      </c>
    </row>
    <row r="13">
      <c r="A13" s="4" t="inlineStr">
        <is>
          <t>预制菜</t>
        </is>
      </c>
      <c r="D13" s="7" t="n">
        <v>726173.5</v>
      </c>
      <c r="F13" s="7" t="n">
        <v>737016.5</v>
      </c>
      <c r="H13" s="7" t="n">
        <v>1044577.2</v>
      </c>
      <c r="J13" s="7" t="n">
        <v>1107043.9</v>
      </c>
      <c r="L13" s="7" t="n">
        <v>1130860.3</v>
      </c>
      <c r="N13" s="7" t="n">
        <v>1327753.9</v>
      </c>
      <c r="P13" s="7" t="n">
        <v>1845404.8</v>
      </c>
      <c r="R13" s="7" t="n">
        <v>1222056.5</v>
      </c>
      <c r="T13" s="7" t="n">
        <v>1099162</v>
      </c>
      <c r="V13" s="7" t="n">
        <v>1748650.7</v>
      </c>
      <c r="X13" s="7" t="n">
        <v>1104705.4</v>
      </c>
      <c r="Z13" s="7" t="n">
        <v>975562.2</v>
      </c>
      <c r="AB13" s="7" t="n">
        <v>14068966.9</v>
      </c>
    </row>
    <row r="14">
      <c r="A14" s="4" t="inlineStr">
        <is>
          <t>返利</t>
        </is>
      </c>
      <c r="D14" s="7" t="n">
        <v>-44105.9</v>
      </c>
      <c r="F14" s="7" t="n">
        <v>-42699.5</v>
      </c>
      <c r="H14" s="7" t="n">
        <v>-85528.3</v>
      </c>
      <c r="J14" s="7" t="n">
        <v>-154681.5</v>
      </c>
      <c r="L14" s="7" t="n">
        <v>-127836.4</v>
      </c>
      <c r="N14" s="7" t="n">
        <v>-191279.3</v>
      </c>
      <c r="P14" s="7" t="n">
        <v>-213104.9</v>
      </c>
      <c r="R14" s="7" t="n">
        <v>-115290</v>
      </c>
      <c r="T14" s="7" t="n">
        <v>-121425.3</v>
      </c>
      <c r="V14" s="7" t="n">
        <v>-176625</v>
      </c>
      <c r="X14" s="7" t="n">
        <v>-84917.7</v>
      </c>
      <c r="Z14" s="7" t="n">
        <v>-114838.7</v>
      </c>
      <c r="AB14" s="7" t="n">
        <v>-1472332.5</v>
      </c>
    </row>
    <row r="15">
      <c r="A15" s="4" t="inlineStr">
        <is>
          <t>其他</t>
        </is>
      </c>
      <c r="D15" s="7" t="n">
        <v>31314.9</v>
      </c>
      <c r="F15" s="7" t="n">
        <v>53022.6</v>
      </c>
      <c r="H15" s="7" t="n">
        <v>67686.3</v>
      </c>
      <c r="J15" s="7" t="n">
        <v>35187.4</v>
      </c>
      <c r="L15" s="7" t="n">
        <v>76392</v>
      </c>
      <c r="N15" s="7" t="n">
        <v>109858.2</v>
      </c>
      <c r="P15" s="7" t="n">
        <v>27058.6</v>
      </c>
      <c r="R15" s="7" t="n">
        <v>29913.2</v>
      </c>
      <c r="T15" s="7" t="n">
        <v>101547.4</v>
      </c>
      <c r="V15" s="7" t="n">
        <v>104671.6</v>
      </c>
      <c r="X15" s="7" t="n">
        <v>49342.7</v>
      </c>
      <c r="Z15" s="7" t="n">
        <v>75741.7</v>
      </c>
      <c r="AB15" s="7" t="n">
        <v>761736.6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3635239.5</v>
      </c>
      <c r="D16" s="7" t="n">
        <v>2408155.1</v>
      </c>
      <c r="E16" s="7" t="n">
        <v>3964412.7</v>
      </c>
      <c r="F16" s="7" t="n">
        <v>2684048.1</v>
      </c>
      <c r="G16" s="7" t="n">
        <v>4558930.5</v>
      </c>
      <c r="H16" s="7" t="n">
        <v>3352336</v>
      </c>
      <c r="I16" s="7" t="n">
        <v>4035121</v>
      </c>
      <c r="J16" s="7" t="n">
        <v>4260834.6</v>
      </c>
      <c r="K16" s="7" t="n">
        <v>4562418</v>
      </c>
      <c r="L16" s="7" t="n">
        <v>4366697</v>
      </c>
      <c r="M16" s="7" t="n">
        <v>3467548.7</v>
      </c>
      <c r="N16" s="7" t="n">
        <v>4882988.6</v>
      </c>
      <c r="O16" s="7" t="n">
        <v>3501738.3</v>
      </c>
      <c r="P16" s="7" t="n">
        <v>5458540.9</v>
      </c>
      <c r="Q16" s="7" t="n">
        <v>4289795.1</v>
      </c>
      <c r="R16" s="7" t="n">
        <v>4278294.7</v>
      </c>
      <c r="S16" s="7" t="n">
        <v>3764841.5</v>
      </c>
      <c r="T16" s="7" t="n">
        <v>3961597.3</v>
      </c>
      <c r="U16" s="7" t="n">
        <v>3913706</v>
      </c>
      <c r="V16" s="7" t="n">
        <v>5180934.6</v>
      </c>
      <c r="W16" s="7" t="n">
        <v>3677557.1</v>
      </c>
      <c r="X16" s="7" t="n">
        <v>3858594.2</v>
      </c>
      <c r="Y16" s="7" t="n">
        <v>3979400.1</v>
      </c>
      <c r="Z16" s="7" t="n">
        <v>2973058.2</v>
      </c>
      <c r="AA16" s="8" t="n">
        <v>47350708.5</v>
      </c>
      <c r="AB16" s="8" t="n">
        <v>47666079.3</v>
      </c>
    </row>
    <row r="17">
      <c r="A17" s="4" t="inlineStr">
        <is>
          <t>中式汤底</t>
        </is>
      </c>
      <c r="D17" s="7" t="n">
        <v>90567.8</v>
      </c>
      <c r="F17" s="7" t="n">
        <v>127093.8</v>
      </c>
      <c r="H17" s="7" t="n">
        <v>172704.3</v>
      </c>
      <c r="J17" s="7" t="n">
        <v>160692.5</v>
      </c>
      <c r="L17" s="7" t="n">
        <v>161925.3</v>
      </c>
      <c r="N17" s="7" t="n">
        <v>161350.8</v>
      </c>
      <c r="P17" s="7" t="n">
        <v>228562.9</v>
      </c>
      <c r="R17" s="7" t="n">
        <v>162056.9</v>
      </c>
      <c r="T17" s="7" t="n">
        <v>186403.4</v>
      </c>
      <c r="V17" s="7" t="n">
        <v>223396.6</v>
      </c>
      <c r="X17" s="7" t="n">
        <v>139746.3</v>
      </c>
      <c r="Z17" s="7" t="n">
        <v>137346.1</v>
      </c>
      <c r="AB17" s="7" t="n">
        <v>1951846.7</v>
      </c>
    </row>
    <row r="18">
      <c r="A18" s="4" t="inlineStr">
        <is>
          <t>酱料</t>
        </is>
      </c>
      <c r="D18" s="7" t="n">
        <v>126223.5</v>
      </c>
      <c r="F18" s="7" t="n">
        <v>182870</v>
      </c>
      <c r="H18" s="7" t="n">
        <v>246497</v>
      </c>
      <c r="J18" s="7" t="n">
        <v>298305.4</v>
      </c>
      <c r="L18" s="7" t="n">
        <v>281662.8</v>
      </c>
      <c r="N18" s="7" t="n">
        <v>315272.6</v>
      </c>
      <c r="P18" s="7" t="n">
        <v>336175.7</v>
      </c>
      <c r="R18" s="7" t="n">
        <v>225792.9</v>
      </c>
      <c r="T18" s="7" t="n">
        <v>229704</v>
      </c>
      <c r="V18" s="7" t="n">
        <v>268830.5</v>
      </c>
      <c r="X18" s="7" t="n">
        <v>205702.9</v>
      </c>
      <c r="Z18" s="7" t="n">
        <v>166091.6</v>
      </c>
      <c r="AB18" s="7" t="n">
        <v>2883128.9</v>
      </c>
    </row>
    <row r="19">
      <c r="A19" s="4" t="inlineStr">
        <is>
          <t>川味底料</t>
        </is>
      </c>
      <c r="D19" s="7" t="n">
        <v>197434.9</v>
      </c>
      <c r="F19" s="7" t="n">
        <v>269058.8</v>
      </c>
      <c r="H19" s="7" t="n">
        <v>283632.1</v>
      </c>
      <c r="J19" s="7" t="n">
        <v>314023.9</v>
      </c>
      <c r="L19" s="7" t="n">
        <v>477331.4</v>
      </c>
      <c r="N19" s="7" t="n">
        <v>445378</v>
      </c>
      <c r="P19" s="7" t="n">
        <v>536442.2</v>
      </c>
      <c r="R19" s="7" t="n">
        <v>355907.8</v>
      </c>
      <c r="T19" s="7" t="n">
        <v>336094.4</v>
      </c>
      <c r="V19" s="7" t="n">
        <v>385116.4</v>
      </c>
      <c r="X19" s="7" t="n">
        <v>375761.5</v>
      </c>
      <c r="Z19" s="7" t="n">
        <v>269811</v>
      </c>
      <c r="AB19" s="7" t="n">
        <v>4245992.4</v>
      </c>
    </row>
    <row r="20">
      <c r="A20" s="4" t="inlineStr">
        <is>
          <t>调味汁</t>
        </is>
      </c>
      <c r="D20" s="7" t="n">
        <v>623932.2</v>
      </c>
      <c r="F20" s="7" t="n">
        <v>665093.8</v>
      </c>
      <c r="H20" s="7" t="n">
        <v>861254.1</v>
      </c>
      <c r="J20" s="7" t="n">
        <v>1225534.7</v>
      </c>
      <c r="L20" s="7" t="n">
        <v>1032444.2</v>
      </c>
      <c r="N20" s="7" t="n">
        <v>1273581.7</v>
      </c>
      <c r="P20" s="7" t="n">
        <v>1125485</v>
      </c>
      <c r="R20" s="7" t="n">
        <v>1222307</v>
      </c>
      <c r="T20" s="7" t="n">
        <v>1024369.4</v>
      </c>
      <c r="V20" s="7" t="n">
        <v>1208669</v>
      </c>
      <c r="X20" s="7" t="n">
        <v>962641.9</v>
      </c>
      <c r="Z20" s="7" t="n">
        <v>846908.1</v>
      </c>
      <c r="AB20" s="7" t="n">
        <v>12072221.1</v>
      </c>
    </row>
    <row r="21">
      <c r="A21" s="4" t="inlineStr">
        <is>
          <t>复合调味粉</t>
        </is>
      </c>
      <c r="D21" s="7" t="n">
        <v>603988.2</v>
      </c>
      <c r="F21" s="7" t="n">
        <v>595636.6</v>
      </c>
      <c r="H21" s="7" t="n">
        <v>713361.5</v>
      </c>
      <c r="J21" s="7" t="n">
        <v>921066.5</v>
      </c>
      <c r="L21" s="7" t="n">
        <v>1187475.6</v>
      </c>
      <c r="N21" s="7" t="n">
        <v>1126389</v>
      </c>
      <c r="P21" s="7" t="n">
        <v>1421325.9</v>
      </c>
      <c r="R21" s="7" t="n">
        <v>949056.5</v>
      </c>
      <c r="T21" s="7" t="n">
        <v>979342.2</v>
      </c>
      <c r="V21" s="7" t="n">
        <v>1244373</v>
      </c>
      <c r="X21" s="7" t="n">
        <v>938724.2</v>
      </c>
      <c r="Z21" s="7" t="n">
        <v>525675.3</v>
      </c>
      <c r="AB21" s="7" t="n">
        <v>11206414.5</v>
      </c>
    </row>
    <row r="22">
      <c r="A22" s="4" t="inlineStr">
        <is>
          <t>团餐</t>
        </is>
      </c>
      <c r="D22" s="7" t="n">
        <v>136167.5</v>
      </c>
      <c r="F22" s="7" t="n">
        <v>153577.8</v>
      </c>
      <c r="H22" s="7" t="n">
        <v>143502.9</v>
      </c>
      <c r="J22" s="7" t="n">
        <v>228329</v>
      </c>
      <c r="L22" s="7" t="n">
        <v>211875.5</v>
      </c>
      <c r="N22" s="7" t="n">
        <v>256669.1</v>
      </c>
      <c r="P22" s="7" t="n">
        <v>214379.5</v>
      </c>
      <c r="R22" s="7" t="n">
        <v>217314.1</v>
      </c>
      <c r="T22" s="7" t="n">
        <v>222555.5</v>
      </c>
      <c r="V22" s="7" t="n">
        <v>205643.6</v>
      </c>
      <c r="X22" s="7" t="n">
        <v>190363</v>
      </c>
      <c r="Z22" s="7" t="n">
        <v>125377.9</v>
      </c>
      <c r="AB22" s="7" t="n">
        <v>2305755.4</v>
      </c>
    </row>
    <row r="23">
      <c r="A23" s="4" t="inlineStr">
        <is>
          <t>预制菜</t>
        </is>
      </c>
      <c r="D23" s="7" t="n">
        <v>542330.4</v>
      </c>
      <c r="F23" s="7" t="n">
        <v>550428.3</v>
      </c>
      <c r="H23" s="7" t="n">
        <v>780124.8</v>
      </c>
      <c r="J23" s="7" t="n">
        <v>826777</v>
      </c>
      <c r="L23" s="7" t="n">
        <v>844563.8</v>
      </c>
      <c r="N23" s="7" t="n">
        <v>991610.5</v>
      </c>
      <c r="P23" s="7" t="n">
        <v>1378209.3</v>
      </c>
      <c r="R23" s="7" t="n">
        <v>912672.2</v>
      </c>
      <c r="T23" s="7" t="n">
        <v>820890.5</v>
      </c>
      <c r="V23" s="7" t="n">
        <v>1305950.1</v>
      </c>
      <c r="X23" s="7" t="n">
        <v>825030.5</v>
      </c>
      <c r="Z23" s="7" t="n">
        <v>728582.1</v>
      </c>
      <c r="AB23" s="7" t="n">
        <v>10507169.5</v>
      </c>
    </row>
    <row r="24">
      <c r="A24" s="4" t="inlineStr">
        <is>
          <t>其他</t>
        </is>
      </c>
      <c r="D24" s="7" t="n">
        <v>21450.5</v>
      </c>
      <c r="F24" s="7" t="n">
        <v>3723.8</v>
      </c>
      <c r="H24" s="7" t="n">
        <v>44462</v>
      </c>
      <c r="J24" s="7" t="n">
        <v>59600</v>
      </c>
      <c r="L24" s="7" t="n">
        <v>31996.3</v>
      </c>
      <c r="N24" s="7" t="n">
        <v>68184.3</v>
      </c>
      <c r="P24" s="7" t="n">
        <v>89695</v>
      </c>
      <c r="R24" s="7" t="n">
        <v>32091.8</v>
      </c>
      <c r="T24" s="7" t="n">
        <v>815.9</v>
      </c>
      <c r="V24" s="7" t="n">
        <v>11105.8</v>
      </c>
      <c r="X24" s="7" t="n">
        <v>66730.3</v>
      </c>
      <c r="Z24" s="7" t="n">
        <v>18316.8</v>
      </c>
      <c r="AB24" s="7" t="n">
        <v>448172.5</v>
      </c>
    </row>
    <row r="25">
      <c r="A25" s="4" t="inlineStr">
        <is>
          <t>运费</t>
        </is>
      </c>
      <c r="D25" s="7" t="n">
        <v>87510.60000000001</v>
      </c>
      <c r="F25" s="7" t="n">
        <v>140289</v>
      </c>
      <c r="H25" s="7" t="n">
        <v>151259.3</v>
      </c>
      <c r="J25" s="7" t="n">
        <v>286105.6</v>
      </c>
      <c r="L25" s="7" t="n">
        <v>169418.4</v>
      </c>
      <c r="N25" s="7" t="n">
        <v>312736.9</v>
      </c>
      <c r="P25" s="7" t="n">
        <v>217960.4</v>
      </c>
      <c r="R25" s="7" t="n">
        <v>233187.3</v>
      </c>
      <c r="T25" s="7" t="n">
        <v>162237.9</v>
      </c>
      <c r="V25" s="7" t="n">
        <v>338955.4</v>
      </c>
      <c r="X25" s="7" t="n">
        <v>220623.9</v>
      </c>
      <c r="Z25" s="7" t="n">
        <v>173266.1</v>
      </c>
      <c r="AB25" s="7" t="n">
        <v>2493550.8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1272102.7</v>
      </c>
      <c r="D26" s="7" t="n">
        <v>1010393.2</v>
      </c>
      <c r="E26" s="7" t="n">
        <v>1452123.5</v>
      </c>
      <c r="F26" s="7" t="n">
        <v>1111889.3</v>
      </c>
      <c r="G26" s="7" t="n">
        <v>751619.1</v>
      </c>
      <c r="H26" s="7" t="n">
        <v>1385424.7</v>
      </c>
      <c r="I26" s="7" t="n">
        <v>2149802.9</v>
      </c>
      <c r="J26" s="7" t="n">
        <v>1534535.3</v>
      </c>
      <c r="K26" s="7" t="n">
        <v>596402.4</v>
      </c>
      <c r="L26" s="7" t="n">
        <v>1812572.1</v>
      </c>
      <c r="M26" s="7" t="n">
        <v>1593438.9</v>
      </c>
      <c r="N26" s="7" t="n">
        <v>1817089.2</v>
      </c>
      <c r="O26" s="7" t="n">
        <v>1991782.6</v>
      </c>
      <c r="P26" s="7" t="n">
        <v>2080863.7</v>
      </c>
      <c r="Q26" s="7" t="n">
        <v>1158980.3</v>
      </c>
      <c r="R26" s="7" t="n">
        <v>1639735.6</v>
      </c>
      <c r="S26" s="7" t="n">
        <v>1444008.6</v>
      </c>
      <c r="T26" s="7" t="n">
        <v>1660268.2</v>
      </c>
      <c r="U26" s="7" t="n">
        <v>1247039.5</v>
      </c>
      <c r="V26" s="7" t="n">
        <v>1884684.1</v>
      </c>
      <c r="W26" s="7" t="n">
        <v>2610465</v>
      </c>
      <c r="X26" s="7" t="n">
        <v>1494613.3</v>
      </c>
      <c r="Y26" s="7" t="n">
        <v>1504943.3</v>
      </c>
      <c r="Z26" s="7" t="n">
        <v>1145671.3</v>
      </c>
      <c r="AA26" s="8" t="n">
        <v>17772708.8</v>
      </c>
      <c r="AB26" s="8" t="n">
        <v>18577740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25.9</v>
      </c>
      <c r="D27" s="13" t="n">
        <v>29.6</v>
      </c>
      <c r="E27" s="13" t="n">
        <v>26.8</v>
      </c>
      <c r="F27" s="13" t="n">
        <v>29.3</v>
      </c>
      <c r="G27" s="13" t="n">
        <v>14.2</v>
      </c>
      <c r="H27" s="13" t="n">
        <v>29.2</v>
      </c>
      <c r="I27" s="13" t="n">
        <v>34.8</v>
      </c>
      <c r="J27" s="13" t="n">
        <v>26.5</v>
      </c>
      <c r="K27" s="13" t="n">
        <v>11.6</v>
      </c>
      <c r="L27" s="13" t="n">
        <v>29.3</v>
      </c>
      <c r="M27" s="13" t="n">
        <v>31.5</v>
      </c>
      <c r="N27" s="13" t="n">
        <v>27.1</v>
      </c>
      <c r="O27" s="13" t="n">
        <v>36.3</v>
      </c>
      <c r="P27" s="13" t="n">
        <v>27.6</v>
      </c>
      <c r="Q27" s="13" t="n">
        <v>21.3</v>
      </c>
      <c r="R27" s="13" t="n">
        <v>27.7</v>
      </c>
      <c r="S27" s="13" t="n">
        <v>27.7</v>
      </c>
      <c r="T27" s="13" t="n">
        <v>29.5</v>
      </c>
      <c r="U27" s="13" t="n">
        <v>24.2</v>
      </c>
      <c r="V27" s="13" t="n">
        <v>26.7</v>
      </c>
      <c r="W27" s="13" t="n">
        <v>41.5</v>
      </c>
      <c r="X27" s="13" t="n">
        <v>27.9</v>
      </c>
      <c r="Y27" s="13" t="n">
        <v>27.4</v>
      </c>
      <c r="Z27" s="13" t="n">
        <v>27.8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47885.9</v>
      </c>
      <c r="D28" s="7" t="n">
        <v>42686.6</v>
      </c>
      <c r="E28" s="7" t="n">
        <v>51568.4</v>
      </c>
      <c r="F28" s="7" t="n">
        <v>37380.8</v>
      </c>
      <c r="G28" s="7" t="n">
        <v>49366.6</v>
      </c>
      <c r="H28" s="7" t="n">
        <v>26921.7</v>
      </c>
      <c r="I28" s="7" t="n">
        <v>44570.1</v>
      </c>
      <c r="J28" s="7" t="n">
        <v>60760.3</v>
      </c>
      <c r="K28" s="7" t="n">
        <v>55073.7</v>
      </c>
      <c r="L28" s="7" t="n">
        <v>45868.3</v>
      </c>
      <c r="M28" s="7" t="n">
        <v>53753.8</v>
      </c>
      <c r="N28" s="7" t="n">
        <v>97152.39999999999</v>
      </c>
      <c r="O28" s="7" t="n">
        <v>45732.4</v>
      </c>
      <c r="P28" s="7" t="n">
        <v>48271.5</v>
      </c>
      <c r="Q28" s="7" t="n">
        <v>48864.9</v>
      </c>
      <c r="R28" s="7" t="n">
        <v>78143.3</v>
      </c>
      <c r="S28" s="7" t="n">
        <v>46699.7</v>
      </c>
      <c r="T28" s="7" t="n">
        <v>75420.8</v>
      </c>
      <c r="U28" s="7" t="n">
        <v>43909.5</v>
      </c>
      <c r="V28" s="7" t="n">
        <v>47381.3</v>
      </c>
      <c r="W28" s="7" t="n">
        <v>53718</v>
      </c>
      <c r="X28" s="7" t="n">
        <v>27733.2</v>
      </c>
      <c r="Y28" s="7" t="n">
        <v>46691.9</v>
      </c>
      <c r="Z28" s="7" t="n">
        <v>24733.6</v>
      </c>
      <c r="AA28" s="8" t="n">
        <v>587834.9</v>
      </c>
      <c r="AB28" s="8" t="n">
        <v>612453.8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1130170.2</v>
      </c>
      <c r="D29" s="7" t="n">
        <v>699131.9</v>
      </c>
      <c r="E29" s="7" t="n">
        <v>963693</v>
      </c>
      <c r="F29" s="7" t="n">
        <v>855889.6</v>
      </c>
      <c r="G29" s="7" t="n">
        <v>922806.5</v>
      </c>
      <c r="H29" s="7" t="n">
        <v>1050488.4</v>
      </c>
      <c r="I29" s="7" t="n">
        <v>878600.7</v>
      </c>
      <c r="J29" s="7" t="n">
        <v>1136772.4</v>
      </c>
      <c r="K29" s="7" t="n">
        <v>977823.4</v>
      </c>
      <c r="L29" s="7" t="n">
        <v>1281960.8</v>
      </c>
      <c r="M29" s="7" t="n">
        <v>1148335.7</v>
      </c>
      <c r="N29" s="7" t="n">
        <v>1571513.2</v>
      </c>
      <c r="O29" s="7" t="n">
        <v>952419.3</v>
      </c>
      <c r="P29" s="7" t="n">
        <v>1195695</v>
      </c>
      <c r="Q29" s="7" t="n">
        <v>908871.2</v>
      </c>
      <c r="R29" s="7" t="n">
        <v>865503.9</v>
      </c>
      <c r="S29" s="7" t="n">
        <v>1052103.6</v>
      </c>
      <c r="T29" s="7" t="n">
        <v>606387.3</v>
      </c>
      <c r="U29" s="7" t="n">
        <v>917407.5</v>
      </c>
      <c r="V29" s="7" t="n">
        <v>711506.8</v>
      </c>
      <c r="W29" s="7" t="n">
        <v>1116191</v>
      </c>
      <c r="X29" s="7" t="n">
        <v>1155551.2</v>
      </c>
      <c r="Y29" s="7" t="n">
        <v>1090547.9</v>
      </c>
      <c r="Z29" s="7" t="n">
        <v>885803.4</v>
      </c>
      <c r="AA29" s="8" t="n">
        <v>12058970</v>
      </c>
      <c r="AB29" s="8" t="n">
        <v>12016203.9</v>
      </c>
    </row>
    <row r="30">
      <c r="A30" s="4" t="inlineStr">
        <is>
          <t>职工薪酬</t>
        </is>
      </c>
      <c r="D30" s="7" t="n">
        <v>324989.2</v>
      </c>
      <c r="F30" s="7" t="n">
        <v>422702.6</v>
      </c>
      <c r="H30" s="7" t="n">
        <v>518726.9</v>
      </c>
      <c r="J30" s="7" t="n">
        <v>617731.3</v>
      </c>
      <c r="L30" s="7" t="n">
        <v>589614.7</v>
      </c>
      <c r="N30" s="7" t="n">
        <v>807017.5</v>
      </c>
      <c r="P30" s="7" t="n">
        <v>676825.4</v>
      </c>
      <c r="R30" s="7" t="n">
        <v>398437.8</v>
      </c>
      <c r="T30" s="7" t="n">
        <v>349229.8</v>
      </c>
      <c r="V30" s="7" t="n">
        <v>412682.5</v>
      </c>
      <c r="X30" s="7" t="n">
        <v>579479.5</v>
      </c>
      <c r="Z30" s="7" t="n">
        <v>427183.9</v>
      </c>
      <c r="AB30" s="7" t="n">
        <v>6124621.1</v>
      </c>
    </row>
    <row r="31">
      <c r="A31" s="4" t="inlineStr">
        <is>
          <t>工资</t>
        </is>
      </c>
      <c r="D31" s="7" t="n">
        <v>173720.6</v>
      </c>
      <c r="F31" s="7" t="n">
        <v>234671</v>
      </c>
      <c r="H31" s="7" t="n">
        <v>253432.3</v>
      </c>
      <c r="J31" s="7" t="n">
        <v>321007.6</v>
      </c>
      <c r="L31" s="7" t="n">
        <v>342185.1</v>
      </c>
      <c r="N31" s="7" t="n">
        <v>440107.9</v>
      </c>
      <c r="P31" s="7" t="n">
        <v>349836</v>
      </c>
      <c r="R31" s="7" t="n">
        <v>192040.5</v>
      </c>
      <c r="T31" s="7" t="n">
        <v>216307.6</v>
      </c>
      <c r="V31" s="7" t="n">
        <v>232655.7</v>
      </c>
      <c r="X31" s="7" t="n">
        <v>319413.3</v>
      </c>
      <c r="Z31" s="7" t="n">
        <v>196754.3</v>
      </c>
      <c r="AB31" s="7" t="n">
        <v>3272131.9</v>
      </c>
    </row>
    <row r="32">
      <c r="A32" s="4" t="inlineStr">
        <is>
          <t>奖金及提成</t>
        </is>
      </c>
      <c r="D32" s="7" t="n">
        <v>58107.4</v>
      </c>
      <c r="F32" s="7" t="n">
        <v>75397.10000000001</v>
      </c>
      <c r="H32" s="7" t="n">
        <v>111280.5</v>
      </c>
      <c r="J32" s="7" t="n">
        <v>146627.9</v>
      </c>
      <c r="L32" s="7" t="n">
        <v>97568.5</v>
      </c>
      <c r="N32" s="7" t="n">
        <v>160562.9</v>
      </c>
      <c r="P32" s="7" t="n">
        <v>154761</v>
      </c>
      <c r="R32" s="7" t="n">
        <v>104750.1</v>
      </c>
      <c r="T32" s="7" t="n">
        <v>48685.3</v>
      </c>
      <c r="V32" s="7" t="n">
        <v>90747.10000000001</v>
      </c>
      <c r="X32" s="7" t="n">
        <v>122479.2</v>
      </c>
      <c r="Z32" s="7" t="n">
        <v>114166.7</v>
      </c>
      <c r="AB32" s="7" t="n">
        <v>1285133.7</v>
      </c>
    </row>
    <row r="33">
      <c r="A33" s="4" t="inlineStr">
        <is>
          <t>社保</t>
        </is>
      </c>
      <c r="D33" s="7" t="n">
        <v>62518.6</v>
      </c>
      <c r="F33" s="7" t="n">
        <v>75779.8</v>
      </c>
      <c r="H33" s="7" t="n">
        <v>107857.4</v>
      </c>
      <c r="J33" s="7" t="n">
        <v>101512.2</v>
      </c>
      <c r="L33" s="7" t="n">
        <v>92222</v>
      </c>
      <c r="N33" s="7" t="n">
        <v>135931.1</v>
      </c>
      <c r="P33" s="7" t="n">
        <v>117692.8</v>
      </c>
      <c r="R33" s="7" t="n">
        <v>61677.9</v>
      </c>
      <c r="T33" s="7" t="n">
        <v>58743.5</v>
      </c>
      <c r="V33" s="7" t="n">
        <v>56310.3</v>
      </c>
      <c r="X33" s="7" t="n">
        <v>83298</v>
      </c>
      <c r="Z33" s="7" t="n">
        <v>75479</v>
      </c>
      <c r="AB33" s="7" t="n">
        <v>1029022.6</v>
      </c>
    </row>
    <row r="34">
      <c r="A34" s="4" t="inlineStr">
        <is>
          <t>养老</t>
        </is>
      </c>
      <c r="D34" s="7" t="n">
        <v>2492.8</v>
      </c>
      <c r="F34" s="7" t="n">
        <v>3560.4</v>
      </c>
      <c r="H34" s="7" t="n">
        <v>3383</v>
      </c>
      <c r="J34" s="7" t="n">
        <v>4589.9</v>
      </c>
      <c r="L34" s="7" t="n">
        <v>6359.1</v>
      </c>
      <c r="N34" s="7" t="n">
        <v>5061.6</v>
      </c>
      <c r="P34" s="7" t="n">
        <v>4907.3</v>
      </c>
      <c r="R34" s="7" t="n">
        <v>4110.8</v>
      </c>
      <c r="T34" s="7" t="n">
        <v>2059.5</v>
      </c>
      <c r="V34" s="7" t="n">
        <v>3119.2</v>
      </c>
      <c r="X34" s="7" t="n">
        <v>5117.3</v>
      </c>
      <c r="Z34" s="7" t="n">
        <v>3642.4</v>
      </c>
      <c r="AB34" s="7" t="n">
        <v>48403.3</v>
      </c>
    </row>
    <row r="35">
      <c r="A35" s="4" t="inlineStr">
        <is>
          <t>医疗</t>
        </is>
      </c>
      <c r="D35" s="7" t="n">
        <v>254</v>
      </c>
      <c r="F35" s="7" t="n">
        <v>295.3</v>
      </c>
      <c r="H35" s="7" t="n">
        <v>326.5</v>
      </c>
      <c r="J35" s="7" t="n">
        <v>367.5</v>
      </c>
      <c r="L35" s="7" t="n">
        <v>364.1</v>
      </c>
      <c r="N35" s="7" t="n">
        <v>774.4</v>
      </c>
      <c r="P35" s="7" t="n">
        <v>497.5</v>
      </c>
      <c r="R35" s="7" t="n">
        <v>431.1</v>
      </c>
      <c r="T35" s="7" t="n">
        <v>272.5</v>
      </c>
      <c r="V35" s="7" t="n">
        <v>250.8</v>
      </c>
      <c r="X35" s="7" t="n">
        <v>393.6</v>
      </c>
      <c r="Z35" s="7" t="n">
        <v>378.1</v>
      </c>
      <c r="AB35" s="7" t="n">
        <v>4605.4</v>
      </c>
    </row>
    <row r="36">
      <c r="A36" s="4" t="inlineStr">
        <is>
          <t>工伤</t>
        </is>
      </c>
      <c r="D36" s="7" t="n">
        <v>3530.1</v>
      </c>
      <c r="F36" s="7" t="n">
        <v>5491.2</v>
      </c>
      <c r="H36" s="7" t="n">
        <v>5704</v>
      </c>
      <c r="J36" s="7" t="n">
        <v>4949.4</v>
      </c>
      <c r="L36" s="7" t="n">
        <v>4565.9</v>
      </c>
      <c r="N36" s="7" t="n">
        <v>9468.200000000001</v>
      </c>
      <c r="P36" s="7" t="n">
        <v>5359.1</v>
      </c>
      <c r="R36" s="7" t="n">
        <v>3648.6</v>
      </c>
      <c r="T36" s="7" t="n">
        <v>3095.3</v>
      </c>
      <c r="V36" s="7" t="n">
        <v>4413.9</v>
      </c>
      <c r="X36" s="7" t="n">
        <v>6333.1</v>
      </c>
      <c r="Z36" s="7" t="n">
        <v>3750.4</v>
      </c>
      <c r="AB36" s="7" t="n">
        <v>60309.2</v>
      </c>
    </row>
    <row r="37">
      <c r="A37" s="4" t="inlineStr">
        <is>
          <t>失业</t>
        </is>
      </c>
      <c r="D37" s="7" t="n">
        <v>3566.1</v>
      </c>
      <c r="F37" s="7" t="n">
        <v>4107.8</v>
      </c>
      <c r="H37" s="7" t="n">
        <v>4398.1</v>
      </c>
      <c r="J37" s="7" t="n">
        <v>4575.3</v>
      </c>
      <c r="L37" s="7" t="n">
        <v>5578.2</v>
      </c>
      <c r="N37" s="7" t="n">
        <v>4983.9</v>
      </c>
      <c r="P37" s="7" t="n">
        <v>6585.2</v>
      </c>
      <c r="R37" s="7" t="n">
        <v>2894.5</v>
      </c>
      <c r="T37" s="7" t="n">
        <v>2228.8</v>
      </c>
      <c r="V37" s="7" t="n">
        <v>3465.5</v>
      </c>
      <c r="X37" s="7" t="n">
        <v>4088.1</v>
      </c>
      <c r="Z37" s="7" t="n">
        <v>3284</v>
      </c>
      <c r="AB37" s="7" t="n">
        <v>49755.5</v>
      </c>
    </row>
    <row r="38">
      <c r="A38" s="4" t="inlineStr">
        <is>
          <t>生育</t>
        </is>
      </c>
      <c r="D38" s="7" t="n">
        <v>444</v>
      </c>
      <c r="F38" s="7" t="n">
        <v>617.3</v>
      </c>
      <c r="H38" s="7" t="n">
        <v>795.8</v>
      </c>
      <c r="J38" s="7" t="n">
        <v>575.8</v>
      </c>
      <c r="L38" s="7" t="n">
        <v>576.1</v>
      </c>
      <c r="N38" s="7" t="n">
        <v>1073.2</v>
      </c>
      <c r="P38" s="7" t="n">
        <v>638.1</v>
      </c>
      <c r="R38" s="7" t="n">
        <v>590</v>
      </c>
      <c r="T38" s="7" t="n">
        <v>309</v>
      </c>
      <c r="V38" s="7" t="n">
        <v>345</v>
      </c>
      <c r="X38" s="7" t="n">
        <v>590.6</v>
      </c>
      <c r="Z38" s="7" t="n">
        <v>464.3</v>
      </c>
      <c r="AB38" s="7" t="n">
        <v>7019.2</v>
      </c>
    </row>
    <row r="39">
      <c r="A39" s="4" t="inlineStr">
        <is>
          <t>公积金</t>
        </is>
      </c>
      <c r="D39" s="7" t="n">
        <v>2222.3</v>
      </c>
      <c r="F39" s="7" t="n">
        <v>2171.5</v>
      </c>
      <c r="H39" s="7" t="n">
        <v>3609</v>
      </c>
      <c r="J39" s="7" t="n">
        <v>2499.5</v>
      </c>
      <c r="L39" s="7" t="n">
        <v>4836.7</v>
      </c>
      <c r="N39" s="7" t="n">
        <v>4337.4</v>
      </c>
      <c r="P39" s="7" t="n">
        <v>2814.1</v>
      </c>
      <c r="R39" s="7" t="n">
        <v>2454.6</v>
      </c>
      <c r="T39" s="7" t="n">
        <v>1788.1</v>
      </c>
      <c r="V39" s="7" t="n">
        <v>2386.3</v>
      </c>
      <c r="X39" s="7" t="n">
        <v>3927.3</v>
      </c>
      <c r="Z39" s="7" t="n">
        <v>3103.1</v>
      </c>
      <c r="AB39" s="7" t="n">
        <v>36149.9</v>
      </c>
    </row>
    <row r="40">
      <c r="A40" s="4" t="inlineStr">
        <is>
          <t>工会经费</t>
        </is>
      </c>
      <c r="D40" s="7" t="n">
        <v>2589.9</v>
      </c>
      <c r="F40" s="7" t="n">
        <v>4136.9</v>
      </c>
      <c r="H40" s="7" t="n">
        <v>6627.6</v>
      </c>
      <c r="J40" s="7" t="n">
        <v>6834.1</v>
      </c>
      <c r="L40" s="7" t="n">
        <v>8358.1</v>
      </c>
      <c r="N40" s="7" t="n">
        <v>8644.6</v>
      </c>
      <c r="P40" s="7" t="n">
        <v>4925.8</v>
      </c>
      <c r="R40" s="7" t="n">
        <v>5116.3</v>
      </c>
      <c r="T40" s="7" t="n">
        <v>2695.9</v>
      </c>
      <c r="V40" s="7" t="n">
        <v>3621.7</v>
      </c>
      <c r="X40" s="7" t="n">
        <v>5845.7</v>
      </c>
      <c r="Z40" s="7" t="n">
        <v>4264.1</v>
      </c>
      <c r="AB40" s="7" t="n">
        <v>63660.7</v>
      </c>
    </row>
    <row r="41">
      <c r="A41" s="4" t="inlineStr">
        <is>
          <t>职工教育经费</t>
        </is>
      </c>
      <c r="D41" s="7" t="n">
        <v>2064.7</v>
      </c>
      <c r="F41" s="7" t="n">
        <v>2659.8</v>
      </c>
      <c r="H41" s="7" t="n">
        <v>4097.6</v>
      </c>
      <c r="J41" s="7" t="n">
        <v>3581.6</v>
      </c>
      <c r="L41" s="7" t="n">
        <v>4145.7</v>
      </c>
      <c r="N41" s="7" t="n">
        <v>4419.7</v>
      </c>
      <c r="P41" s="7" t="n">
        <v>4753.6</v>
      </c>
      <c r="R41" s="7" t="n">
        <v>3904.5</v>
      </c>
      <c r="T41" s="7" t="n">
        <v>2397.4</v>
      </c>
      <c r="V41" s="7" t="n">
        <v>3549.7</v>
      </c>
      <c r="X41" s="7" t="n">
        <v>5805.2</v>
      </c>
      <c r="Z41" s="7" t="n">
        <v>4513.8</v>
      </c>
      <c r="AB41" s="7" t="n">
        <v>45893.3</v>
      </c>
    </row>
    <row r="42">
      <c r="A42" s="4" t="inlineStr">
        <is>
          <t>福利费</t>
        </is>
      </c>
      <c r="D42" s="7" t="n">
        <v>23765.7</v>
      </c>
      <c r="F42" s="7" t="n">
        <v>27886.5</v>
      </c>
      <c r="H42" s="7" t="n">
        <v>31822.5</v>
      </c>
      <c r="J42" s="7" t="n">
        <v>35668.4</v>
      </c>
      <c r="L42" s="7" t="n">
        <v>40298.6</v>
      </c>
      <c r="N42" s="7" t="n">
        <v>53013.9</v>
      </c>
      <c r="P42" s="7" t="n">
        <v>42042.1</v>
      </c>
      <c r="R42" s="7" t="n">
        <v>28493.9</v>
      </c>
      <c r="T42" s="7" t="n">
        <v>18612</v>
      </c>
      <c r="V42" s="7" t="n">
        <v>23411.7</v>
      </c>
      <c r="X42" s="7" t="n">
        <v>38710.8</v>
      </c>
      <c r="Z42" s="7" t="n">
        <v>28902.9</v>
      </c>
      <c r="AB42" s="7" t="n">
        <v>392629</v>
      </c>
    </row>
    <row r="43">
      <c r="A43" s="4" t="inlineStr">
        <is>
          <t>职工房租</t>
        </is>
      </c>
      <c r="D43" s="7" t="n">
        <v>4744.2</v>
      </c>
      <c r="F43" s="7" t="n">
        <v>5154.1</v>
      </c>
      <c r="H43" s="7" t="n">
        <v>6246.8</v>
      </c>
      <c r="J43" s="7" t="n">
        <v>7576.1</v>
      </c>
      <c r="L43" s="7" t="n">
        <v>8580.4</v>
      </c>
      <c r="N43" s="7" t="n">
        <v>10261.3</v>
      </c>
      <c r="P43" s="7" t="n">
        <v>8991.299999999999</v>
      </c>
      <c r="R43" s="7" t="n">
        <v>5914.9</v>
      </c>
      <c r="T43" s="7" t="n">
        <v>3069.4</v>
      </c>
      <c r="V43" s="7" t="n">
        <v>3070.3</v>
      </c>
      <c r="X43" s="7" t="n">
        <v>8218.700000000001</v>
      </c>
      <c r="Z43" s="7" t="n">
        <v>5720.4</v>
      </c>
      <c r="AB43" s="7" t="n">
        <v>77547.89999999999</v>
      </c>
    </row>
    <row r="44">
      <c r="A44" s="4" t="inlineStr">
        <is>
          <t>水电物业费</t>
        </is>
      </c>
      <c r="D44" s="7" t="n">
        <v>3468.5</v>
      </c>
      <c r="F44" s="7" t="n">
        <v>4127.4</v>
      </c>
      <c r="H44" s="7" t="n">
        <v>3992.3</v>
      </c>
      <c r="J44" s="7" t="n">
        <v>4907.5</v>
      </c>
      <c r="L44" s="7" t="n">
        <v>6304</v>
      </c>
      <c r="N44" s="7" t="n">
        <v>5942.9</v>
      </c>
      <c r="P44" s="7" t="n">
        <v>5628.7</v>
      </c>
      <c r="R44" s="7" t="n">
        <v>4879.6</v>
      </c>
      <c r="T44" s="7" t="n">
        <v>3240.8</v>
      </c>
      <c r="V44" s="7" t="n">
        <v>2232.5</v>
      </c>
      <c r="X44" s="7" t="n">
        <v>5958.9</v>
      </c>
      <c r="Z44" s="7" t="n">
        <v>4269.5</v>
      </c>
      <c r="AB44" s="7" t="n">
        <v>54952.6</v>
      </c>
    </row>
    <row r="45">
      <c r="A45" s="4" t="inlineStr">
        <is>
          <t>员工餐</t>
        </is>
      </c>
      <c r="D45" s="7" t="n">
        <v>3945.3</v>
      </c>
      <c r="F45" s="7" t="n">
        <v>5411.9</v>
      </c>
      <c r="H45" s="7" t="n">
        <v>7835.5</v>
      </c>
      <c r="J45" s="7" t="n">
        <v>6910.7</v>
      </c>
      <c r="L45" s="7" t="n">
        <v>6268.5</v>
      </c>
      <c r="N45" s="7" t="n">
        <v>9011.6</v>
      </c>
      <c r="P45" s="7" t="n">
        <v>8611.299999999999</v>
      </c>
      <c r="R45" s="7" t="n">
        <v>4432.1</v>
      </c>
      <c r="T45" s="7" t="n">
        <v>3213.2</v>
      </c>
      <c r="V45" s="7" t="n">
        <v>5478.2</v>
      </c>
      <c r="X45" s="7" t="n">
        <v>7608.2</v>
      </c>
      <c r="Z45" s="7" t="n">
        <v>4951.2</v>
      </c>
      <c r="AB45" s="7" t="n">
        <v>73677.7</v>
      </c>
    </row>
    <row r="46">
      <c r="A46" s="4" t="inlineStr">
        <is>
          <t>节日礼品</t>
        </is>
      </c>
      <c r="D46" s="7" t="n">
        <v>1337</v>
      </c>
      <c r="F46" s="7" t="n">
        <v>2118.9</v>
      </c>
      <c r="H46" s="7" t="n">
        <v>2411.3</v>
      </c>
      <c r="J46" s="7" t="n">
        <v>1729.4</v>
      </c>
      <c r="L46" s="7" t="n">
        <v>2800.5</v>
      </c>
      <c r="N46" s="7" t="n">
        <v>3700.6</v>
      </c>
      <c r="P46" s="7" t="n">
        <v>2189.3</v>
      </c>
      <c r="R46" s="7" t="n">
        <v>1373.2</v>
      </c>
      <c r="T46" s="7" t="n">
        <v>1407.4</v>
      </c>
      <c r="V46" s="7" t="n">
        <v>1807.6</v>
      </c>
      <c r="X46" s="7" t="n">
        <v>2190.8</v>
      </c>
      <c r="Z46" s="7" t="n">
        <v>1582.9</v>
      </c>
      <c r="AB46" s="7" t="n">
        <v>24648.9</v>
      </c>
    </row>
    <row r="47">
      <c r="A47" s="4" t="inlineStr">
        <is>
          <t>生日礼品</t>
        </is>
      </c>
      <c r="D47" s="7" t="n">
        <v>5384</v>
      </c>
      <c r="F47" s="7" t="n">
        <v>3882.9</v>
      </c>
      <c r="H47" s="7" t="n">
        <v>5044.3</v>
      </c>
      <c r="J47" s="7" t="n">
        <v>8224.200000000001</v>
      </c>
      <c r="L47" s="7" t="n">
        <v>8421.5</v>
      </c>
      <c r="N47" s="7" t="n">
        <v>11114.3</v>
      </c>
      <c r="P47" s="7" t="n">
        <v>8821</v>
      </c>
      <c r="R47" s="7" t="n">
        <v>4494.8</v>
      </c>
      <c r="T47" s="7" t="n">
        <v>3629.5</v>
      </c>
      <c r="V47" s="7" t="n">
        <v>5168.9</v>
      </c>
      <c r="X47" s="7" t="n">
        <v>6124</v>
      </c>
      <c r="Z47" s="7" t="n">
        <v>4639.2</v>
      </c>
      <c r="AB47" s="7" t="n">
        <v>74948.60000000001</v>
      </c>
    </row>
    <row r="48">
      <c r="A48" s="4" t="inlineStr">
        <is>
          <t>体检</t>
        </is>
      </c>
      <c r="D48" s="7" t="n">
        <v>4219.6</v>
      </c>
      <c r="F48" s="7" t="n">
        <v>6327.3</v>
      </c>
      <c r="H48" s="7" t="n">
        <v>5301.2</v>
      </c>
      <c r="J48" s="7" t="n">
        <v>5199.4</v>
      </c>
      <c r="L48" s="7" t="n">
        <v>6455.4</v>
      </c>
      <c r="N48" s="7" t="n">
        <v>11294</v>
      </c>
      <c r="P48" s="7" t="n">
        <v>6362.9</v>
      </c>
      <c r="R48" s="7" t="n">
        <v>6682.3</v>
      </c>
      <c r="T48" s="7" t="n">
        <v>3565.1</v>
      </c>
      <c r="V48" s="7" t="n">
        <v>4762</v>
      </c>
      <c r="X48" s="7" t="n">
        <v>7723.6</v>
      </c>
      <c r="Z48" s="7" t="n">
        <v>6727</v>
      </c>
      <c r="AB48" s="7" t="n">
        <v>74619.8</v>
      </c>
    </row>
    <row r="49">
      <c r="A49" s="4" t="inlineStr">
        <is>
          <t>其他福利支出</t>
        </is>
      </c>
      <c r="D49" s="7" t="n">
        <v>667.1</v>
      </c>
      <c r="F49" s="7" t="n">
        <v>864</v>
      </c>
      <c r="H49" s="7" t="n">
        <v>991.1</v>
      </c>
      <c r="J49" s="7" t="n">
        <v>1121.1</v>
      </c>
      <c r="L49" s="7" t="n">
        <v>1468.3</v>
      </c>
      <c r="N49" s="7" t="n">
        <v>1689.2</v>
      </c>
      <c r="P49" s="7" t="n">
        <v>1437.6</v>
      </c>
      <c r="R49" s="7" t="n">
        <v>717</v>
      </c>
      <c r="T49" s="7" t="n">
        <v>486.6</v>
      </c>
      <c r="V49" s="7" t="n">
        <v>892.2</v>
      </c>
      <c r="X49" s="7" t="n">
        <v>886.6</v>
      </c>
      <c r="Z49" s="7" t="n">
        <v>1012.7</v>
      </c>
      <c r="AB49" s="7" t="n">
        <v>12233.5</v>
      </c>
    </row>
    <row r="50">
      <c r="A50" s="4" t="inlineStr">
        <is>
          <t>招聘费</t>
        </is>
      </c>
      <c r="D50" s="7" t="n">
        <v>3432.5</v>
      </c>
      <c r="F50" s="7" t="n">
        <v>5617.2</v>
      </c>
      <c r="H50" s="7" t="n">
        <v>4791.9</v>
      </c>
      <c r="J50" s="7" t="n">
        <v>7816.9</v>
      </c>
      <c r="L50" s="7" t="n">
        <v>10727.6</v>
      </c>
      <c r="N50" s="7" t="n">
        <v>11773.4</v>
      </c>
      <c r="P50" s="7" t="n">
        <v>9751.299999999999</v>
      </c>
      <c r="R50" s="7" t="n">
        <v>5515.1</v>
      </c>
      <c r="T50" s="7" t="n">
        <v>3543.1</v>
      </c>
      <c r="V50" s="7" t="n">
        <v>4412.8</v>
      </c>
      <c r="X50" s="7" t="n">
        <v>6903.4</v>
      </c>
      <c r="Z50" s="7" t="n">
        <v>7079.5</v>
      </c>
      <c r="AB50" s="7" t="n">
        <v>81364.7</v>
      </c>
    </row>
    <row r="51">
      <c r="A51" s="4" t="inlineStr">
        <is>
          <t>办公费</t>
        </is>
      </c>
      <c r="D51" s="7" t="n">
        <v>27259.2</v>
      </c>
      <c r="F51" s="7" t="n">
        <v>30558</v>
      </c>
      <c r="H51" s="7" t="n">
        <v>39853.3</v>
      </c>
      <c r="J51" s="7" t="n">
        <v>37481</v>
      </c>
      <c r="L51" s="7" t="n">
        <v>35653.7</v>
      </c>
      <c r="N51" s="7" t="n">
        <v>34621</v>
      </c>
      <c r="P51" s="7" t="n">
        <v>32772.2</v>
      </c>
      <c r="R51" s="7" t="n">
        <v>23320.7</v>
      </c>
      <c r="T51" s="7" t="n">
        <v>13827.6</v>
      </c>
      <c r="V51" s="7" t="n">
        <v>20793.5</v>
      </c>
      <c r="X51" s="7" t="n">
        <v>38791.3</v>
      </c>
      <c r="Z51" s="7" t="n">
        <v>30165.1</v>
      </c>
      <c r="AB51" s="7" t="n">
        <v>365096.6</v>
      </c>
    </row>
    <row r="52">
      <c r="A52" s="4" t="inlineStr">
        <is>
          <t>市内交通费</t>
        </is>
      </c>
      <c r="D52" s="7" t="n">
        <v>3188.8</v>
      </c>
      <c r="F52" s="7" t="n">
        <v>5288.4</v>
      </c>
      <c r="H52" s="7" t="n">
        <v>7471</v>
      </c>
      <c r="J52" s="7" t="n">
        <v>5743.3</v>
      </c>
      <c r="L52" s="7" t="n">
        <v>8357</v>
      </c>
      <c r="N52" s="7" t="n">
        <v>10880.3</v>
      </c>
      <c r="P52" s="7" t="n">
        <v>6412.6</v>
      </c>
      <c r="R52" s="7" t="n">
        <v>5397.5</v>
      </c>
      <c r="T52" s="7" t="n">
        <v>3867.4</v>
      </c>
      <c r="V52" s="7" t="n">
        <v>4081.3</v>
      </c>
      <c r="X52" s="7" t="n">
        <v>6377.8</v>
      </c>
      <c r="Z52" s="7" t="n">
        <v>4192.1</v>
      </c>
      <c r="AB52" s="7" t="n">
        <v>71257.5</v>
      </c>
    </row>
    <row r="53">
      <c r="A53" s="4" t="inlineStr">
        <is>
          <t>差旅费</t>
        </is>
      </c>
      <c r="D53" s="7" t="n">
        <v>54184.5</v>
      </c>
      <c r="F53" s="7" t="n">
        <v>65451.3</v>
      </c>
      <c r="H53" s="7" t="n">
        <v>74851.8</v>
      </c>
      <c r="J53" s="7" t="n">
        <v>48425</v>
      </c>
      <c r="L53" s="7" t="n">
        <v>70466.10000000001</v>
      </c>
      <c r="N53" s="7" t="n">
        <v>68592.10000000001</v>
      </c>
      <c r="P53" s="7" t="n">
        <v>84980.5</v>
      </c>
      <c r="R53" s="7" t="n">
        <v>46493.9</v>
      </c>
      <c r="T53" s="7" t="n">
        <v>35167.4</v>
      </c>
      <c r="V53" s="7" t="n">
        <v>45425.1</v>
      </c>
      <c r="X53" s="7" t="n">
        <v>65180</v>
      </c>
      <c r="Z53" s="7" t="n">
        <v>56738.7</v>
      </c>
      <c r="AB53" s="7" t="n">
        <v>715956.4</v>
      </c>
    </row>
    <row r="54">
      <c r="A54" s="4" t="inlineStr">
        <is>
          <t>交通费</t>
        </is>
      </c>
      <c r="D54" s="7" t="n">
        <v>356.9</v>
      </c>
      <c r="F54" s="7" t="n">
        <v>574.9</v>
      </c>
      <c r="H54" s="7" t="n">
        <v>705.4</v>
      </c>
      <c r="J54" s="7" t="n">
        <v>783.7</v>
      </c>
      <c r="L54" s="7" t="n">
        <v>830.6</v>
      </c>
      <c r="N54" s="7" t="n">
        <v>1042.4</v>
      </c>
      <c r="P54" s="7" t="n">
        <v>727.7</v>
      </c>
      <c r="R54" s="7" t="n">
        <v>404.7</v>
      </c>
      <c r="T54" s="7" t="n">
        <v>264.4</v>
      </c>
      <c r="V54" s="7" t="n">
        <v>298.4</v>
      </c>
      <c r="X54" s="7" t="n">
        <v>624</v>
      </c>
      <c r="Z54" s="7" t="n">
        <v>493</v>
      </c>
      <c r="AB54" s="7" t="n">
        <v>7106.1</v>
      </c>
    </row>
    <row r="55">
      <c r="A55" s="4" t="inlineStr">
        <is>
          <t>住宿费</t>
        </is>
      </c>
      <c r="D55" s="7" t="n">
        <v>3938.9</v>
      </c>
      <c r="F55" s="7" t="n">
        <v>3735</v>
      </c>
      <c r="H55" s="7" t="n">
        <v>6953.1</v>
      </c>
      <c r="J55" s="7" t="n">
        <v>5625.6</v>
      </c>
      <c r="L55" s="7" t="n">
        <v>7950.4</v>
      </c>
      <c r="N55" s="7" t="n">
        <v>9087.6</v>
      </c>
      <c r="P55" s="7" t="n">
        <v>8228.5</v>
      </c>
      <c r="R55" s="7" t="n">
        <v>3894.2</v>
      </c>
      <c r="T55" s="7" t="n">
        <v>3297.1</v>
      </c>
      <c r="V55" s="7" t="n">
        <v>3075.7</v>
      </c>
      <c r="X55" s="7" t="n">
        <v>7125.9</v>
      </c>
      <c r="Z55" s="7" t="n">
        <v>4203.1</v>
      </c>
      <c r="AB55" s="7" t="n">
        <v>67115.10000000001</v>
      </c>
    </row>
    <row r="56">
      <c r="A56" s="4" t="inlineStr">
        <is>
          <t>餐补</t>
        </is>
      </c>
      <c r="D56" s="7" t="n">
        <v>1117.7</v>
      </c>
      <c r="F56" s="7" t="n">
        <v>1301.7</v>
      </c>
      <c r="H56" s="7" t="n">
        <v>1098.7</v>
      </c>
      <c r="J56" s="7" t="n">
        <v>1516</v>
      </c>
      <c r="L56" s="7" t="n">
        <v>2009.4</v>
      </c>
      <c r="N56" s="7" t="n">
        <v>1736.4</v>
      </c>
      <c r="P56" s="7" t="n">
        <v>2086.5</v>
      </c>
      <c r="R56" s="7" t="n">
        <v>1491.3</v>
      </c>
      <c r="T56" s="7" t="n">
        <v>976</v>
      </c>
      <c r="V56" s="7" t="n">
        <v>821.8</v>
      </c>
      <c r="X56" s="7" t="n">
        <v>1370.5</v>
      </c>
      <c r="Z56" s="7" t="n">
        <v>1211.8</v>
      </c>
      <c r="AB56" s="7" t="n">
        <v>16737.8</v>
      </c>
    </row>
    <row r="57">
      <c r="A57" s="4" t="inlineStr">
        <is>
          <t>交通补助</t>
        </is>
      </c>
      <c r="D57" s="7" t="n">
        <v>3184.1</v>
      </c>
      <c r="F57" s="7" t="n">
        <v>3936.3</v>
      </c>
      <c r="H57" s="7" t="n">
        <v>6310.6</v>
      </c>
      <c r="J57" s="7" t="n">
        <v>7595.1</v>
      </c>
      <c r="L57" s="7" t="n">
        <v>5690.7</v>
      </c>
      <c r="N57" s="7" t="n">
        <v>10313.1</v>
      </c>
      <c r="P57" s="7" t="n">
        <v>8607.5</v>
      </c>
      <c r="R57" s="7" t="n">
        <v>6413.4</v>
      </c>
      <c r="T57" s="7" t="n">
        <v>4139.1</v>
      </c>
      <c r="V57" s="7" t="n">
        <v>4440.4</v>
      </c>
      <c r="X57" s="7" t="n">
        <v>7388.3</v>
      </c>
      <c r="Z57" s="7" t="n">
        <v>4828.5</v>
      </c>
      <c r="AB57" s="7" t="n">
        <v>72847.10000000001</v>
      </c>
    </row>
    <row r="58">
      <c r="A58" s="4" t="inlineStr">
        <is>
          <t>通讯补助</t>
        </is>
      </c>
      <c r="D58" s="7" t="n">
        <v>3754.8</v>
      </c>
      <c r="F58" s="7" t="n">
        <v>3740.6</v>
      </c>
      <c r="H58" s="7" t="n">
        <v>5363.4</v>
      </c>
      <c r="J58" s="7" t="n">
        <v>5546.6</v>
      </c>
      <c r="L58" s="7" t="n">
        <v>7319.8</v>
      </c>
      <c r="N58" s="7" t="n">
        <v>8761.5</v>
      </c>
      <c r="P58" s="7" t="n">
        <v>4692.1</v>
      </c>
      <c r="R58" s="7" t="n">
        <v>3132.9</v>
      </c>
      <c r="T58" s="7" t="n">
        <v>2147</v>
      </c>
      <c r="V58" s="7" t="n">
        <v>2522.1</v>
      </c>
      <c r="X58" s="7" t="n">
        <v>6221.1</v>
      </c>
      <c r="Z58" s="7" t="n">
        <v>5260.5</v>
      </c>
      <c r="AB58" s="7" t="n">
        <v>58462.4</v>
      </c>
    </row>
    <row r="59">
      <c r="A59" s="4" t="inlineStr">
        <is>
          <t>招待费</t>
        </is>
      </c>
      <c r="D59" s="7" t="n">
        <v>32069.8</v>
      </c>
      <c r="F59" s="7" t="n">
        <v>26349.9</v>
      </c>
      <c r="H59" s="7" t="n">
        <v>38685</v>
      </c>
      <c r="J59" s="7" t="n">
        <v>55110.6</v>
      </c>
      <c r="L59" s="7" t="n">
        <v>65248.8</v>
      </c>
      <c r="N59" s="7" t="n">
        <v>65761.5</v>
      </c>
      <c r="P59" s="7" t="n">
        <v>33527.6</v>
      </c>
      <c r="R59" s="7" t="n">
        <v>25519.6</v>
      </c>
      <c r="T59" s="7" t="n">
        <v>24773.6</v>
      </c>
      <c r="V59" s="7" t="n">
        <v>34387.7</v>
      </c>
      <c r="X59" s="7" t="n">
        <v>59529.8</v>
      </c>
      <c r="Z59" s="7" t="n">
        <v>31597.9</v>
      </c>
      <c r="AB59" s="7" t="n">
        <v>492561.8</v>
      </c>
    </row>
    <row r="60">
      <c r="A60" s="4" t="inlineStr">
        <is>
          <t>通讯费</t>
        </is>
      </c>
      <c r="D60" s="7" t="n">
        <v>1853.5</v>
      </c>
      <c r="F60" s="7" t="n">
        <v>2413.2</v>
      </c>
      <c r="H60" s="7" t="n">
        <v>2544.2</v>
      </c>
      <c r="J60" s="7" t="n">
        <v>2886.9</v>
      </c>
      <c r="L60" s="7" t="n">
        <v>2556.9</v>
      </c>
      <c r="N60" s="7" t="n">
        <v>3525.3</v>
      </c>
      <c r="P60" s="7" t="n">
        <v>2927.8</v>
      </c>
      <c r="R60" s="7" t="n">
        <v>2022.7</v>
      </c>
      <c r="T60" s="7" t="n">
        <v>1142</v>
      </c>
      <c r="V60" s="7" t="n">
        <v>2155.6</v>
      </c>
      <c r="X60" s="7" t="n">
        <v>3325.6</v>
      </c>
      <c r="Z60" s="7" t="n">
        <v>2120</v>
      </c>
      <c r="AB60" s="7" t="n">
        <v>29473.7</v>
      </c>
    </row>
    <row r="61">
      <c r="A61" s="4" t="inlineStr">
        <is>
          <t>网络费</t>
        </is>
      </c>
      <c r="D61" s="7" t="n">
        <v>2216.7</v>
      </c>
      <c r="F61" s="7" t="n">
        <v>2014.5</v>
      </c>
      <c r="H61" s="7" t="n">
        <v>3451.1</v>
      </c>
      <c r="J61" s="7" t="n">
        <v>4011.7</v>
      </c>
      <c r="L61" s="7" t="n">
        <v>4298.1</v>
      </c>
      <c r="N61" s="7" t="n">
        <v>4975.5</v>
      </c>
      <c r="P61" s="7" t="n">
        <v>3163.9</v>
      </c>
      <c r="R61" s="7" t="n">
        <v>3347.8</v>
      </c>
      <c r="T61" s="7" t="n">
        <v>1402.9</v>
      </c>
      <c r="V61" s="7" t="n">
        <v>2760.5</v>
      </c>
      <c r="X61" s="7" t="n">
        <v>3881.6</v>
      </c>
      <c r="Z61" s="7" t="n">
        <v>2612.9</v>
      </c>
      <c r="AB61" s="7" t="n">
        <v>38137.2</v>
      </c>
    </row>
    <row r="62">
      <c r="A62" s="4" t="inlineStr">
        <is>
          <t>修理费</t>
        </is>
      </c>
      <c r="D62" s="7" t="n">
        <v>3787.8</v>
      </c>
      <c r="F62" s="7" t="n">
        <v>5220.6</v>
      </c>
      <c r="H62" s="7" t="n">
        <v>5286.1</v>
      </c>
      <c r="J62" s="7" t="n">
        <v>7960.5</v>
      </c>
      <c r="L62" s="7" t="n">
        <v>6268.8</v>
      </c>
      <c r="N62" s="7" t="n">
        <v>10219.6</v>
      </c>
      <c r="P62" s="7" t="n">
        <v>5369.3</v>
      </c>
      <c r="R62" s="7" t="n">
        <v>5359.7</v>
      </c>
      <c r="T62" s="7" t="n">
        <v>3908.8</v>
      </c>
      <c r="V62" s="7" t="n">
        <v>4331.2</v>
      </c>
      <c r="X62" s="7" t="n">
        <v>4593.5</v>
      </c>
      <c r="Z62" s="7" t="n">
        <v>5868.9</v>
      </c>
      <c r="AB62" s="7" t="n">
        <v>68174.8</v>
      </c>
    </row>
    <row r="63">
      <c r="A63" s="4" t="inlineStr">
        <is>
          <t>车辆费</t>
        </is>
      </c>
      <c r="D63" s="7" t="n">
        <v>814.6</v>
      </c>
      <c r="F63" s="7" t="n">
        <v>939.5</v>
      </c>
      <c r="H63" s="7" t="n">
        <v>1591.6</v>
      </c>
      <c r="J63" s="7" t="n">
        <v>1462</v>
      </c>
      <c r="L63" s="7" t="n">
        <v>1819.6</v>
      </c>
      <c r="N63" s="7" t="n">
        <v>2388.4</v>
      </c>
      <c r="P63" s="7" t="n">
        <v>1444</v>
      </c>
      <c r="R63" s="7" t="n">
        <v>916.9</v>
      </c>
      <c r="T63" s="7" t="n">
        <v>787.8</v>
      </c>
      <c r="V63" s="7" t="n">
        <v>1081</v>
      </c>
      <c r="X63" s="7" t="n">
        <v>1566.3</v>
      </c>
      <c r="Z63" s="7" t="n">
        <v>971.9</v>
      </c>
      <c r="AB63" s="7" t="n">
        <v>15783.6</v>
      </c>
    </row>
    <row r="64">
      <c r="A64" s="4" t="inlineStr">
        <is>
          <t>租赁费</t>
        </is>
      </c>
      <c r="D64" s="7" t="n">
        <v>35540.6</v>
      </c>
      <c r="F64" s="7" t="n">
        <v>37223.7</v>
      </c>
      <c r="H64" s="7" t="n">
        <v>58713.2</v>
      </c>
      <c r="J64" s="7" t="n">
        <v>46440.3</v>
      </c>
      <c r="L64" s="7" t="n">
        <v>77799.10000000001</v>
      </c>
      <c r="N64" s="7" t="n">
        <v>73567.5</v>
      </c>
      <c r="P64" s="7" t="n">
        <v>46544.8</v>
      </c>
      <c r="R64" s="7" t="n">
        <v>49825.3</v>
      </c>
      <c r="T64" s="7" t="n">
        <v>31781.7</v>
      </c>
      <c r="V64" s="7" t="n">
        <v>42087.2</v>
      </c>
      <c r="X64" s="7" t="n">
        <v>69904.3</v>
      </c>
      <c r="Z64" s="7" t="n">
        <v>49859.8</v>
      </c>
      <c r="AB64" s="7" t="n">
        <v>619287.5</v>
      </c>
    </row>
    <row r="65">
      <c r="A65" s="4" t="inlineStr">
        <is>
          <t>能源费</t>
        </is>
      </c>
      <c r="D65" s="7" t="n">
        <v>13771.6</v>
      </c>
      <c r="F65" s="7" t="n">
        <v>13870.3</v>
      </c>
      <c r="H65" s="7" t="n">
        <v>19260.7</v>
      </c>
      <c r="J65" s="7" t="n">
        <v>17293.9</v>
      </c>
      <c r="L65" s="7" t="n">
        <v>21023.2</v>
      </c>
      <c r="N65" s="7" t="n">
        <v>26944.3</v>
      </c>
      <c r="P65" s="7" t="n">
        <v>18075</v>
      </c>
      <c r="R65" s="7" t="n">
        <v>15155.3</v>
      </c>
      <c r="T65" s="7" t="n">
        <v>9732</v>
      </c>
      <c r="V65" s="7" t="n">
        <v>10290.9</v>
      </c>
      <c r="X65" s="7" t="n">
        <v>19858.4</v>
      </c>
      <c r="Z65" s="7" t="n">
        <v>15227.5</v>
      </c>
      <c r="AB65" s="7" t="n">
        <v>200503.1</v>
      </c>
    </row>
    <row r="66">
      <c r="A66" s="4" t="inlineStr">
        <is>
          <t>水费</t>
        </is>
      </c>
      <c r="D66" s="7" t="n">
        <v>4021.2</v>
      </c>
      <c r="F66" s="7" t="n">
        <v>3002</v>
      </c>
      <c r="H66" s="7" t="n">
        <v>5935.3</v>
      </c>
      <c r="J66" s="7" t="n">
        <v>4835.2</v>
      </c>
      <c r="L66" s="7" t="n">
        <v>6871.1</v>
      </c>
      <c r="N66" s="7" t="n">
        <v>8776.700000000001</v>
      </c>
      <c r="P66" s="7" t="n">
        <v>4029.4</v>
      </c>
      <c r="R66" s="7" t="n">
        <v>4945</v>
      </c>
      <c r="T66" s="7" t="n">
        <v>2178.7</v>
      </c>
      <c r="V66" s="7" t="n">
        <v>2315</v>
      </c>
      <c r="X66" s="7" t="n">
        <v>6621</v>
      </c>
      <c r="Z66" s="7" t="n">
        <v>4294.9</v>
      </c>
      <c r="AB66" s="7" t="n">
        <v>57825.5</v>
      </c>
    </row>
    <row r="67">
      <c r="A67" s="4" t="inlineStr">
        <is>
          <t>电费</t>
        </is>
      </c>
      <c r="D67" s="7" t="n">
        <v>3487.1</v>
      </c>
      <c r="F67" s="7" t="n">
        <v>3584.1</v>
      </c>
      <c r="H67" s="7" t="n">
        <v>3852.1</v>
      </c>
      <c r="J67" s="7" t="n">
        <v>3186.5</v>
      </c>
      <c r="L67" s="7" t="n">
        <v>4212.6</v>
      </c>
      <c r="N67" s="7" t="n">
        <v>6073.2</v>
      </c>
      <c r="P67" s="7" t="n">
        <v>5177.3</v>
      </c>
      <c r="R67" s="7" t="n">
        <v>4286.3</v>
      </c>
      <c r="T67" s="7" t="n">
        <v>2575.8</v>
      </c>
      <c r="V67" s="7" t="n">
        <v>2561.5</v>
      </c>
      <c r="X67" s="7" t="n">
        <v>5013.8</v>
      </c>
      <c r="Z67" s="7" t="n">
        <v>4057.5</v>
      </c>
      <c r="AB67" s="7" t="n">
        <v>48067.8</v>
      </c>
    </row>
    <row r="68">
      <c r="A68" s="4" t="inlineStr">
        <is>
          <t>燃气费</t>
        </is>
      </c>
      <c r="D68" s="7" t="n">
        <v>3522</v>
      </c>
      <c r="F68" s="7" t="n">
        <v>4505</v>
      </c>
      <c r="H68" s="7" t="n">
        <v>4945.3</v>
      </c>
      <c r="J68" s="7" t="n">
        <v>4246.7</v>
      </c>
      <c r="L68" s="7" t="n">
        <v>6044.5</v>
      </c>
      <c r="N68" s="7" t="n">
        <v>6245.8</v>
      </c>
      <c r="P68" s="7" t="n">
        <v>3986</v>
      </c>
      <c r="R68" s="7" t="n">
        <v>2801.5</v>
      </c>
      <c r="T68" s="7" t="n">
        <v>2601.5</v>
      </c>
      <c r="V68" s="7" t="n">
        <v>3383.6</v>
      </c>
      <c r="X68" s="7" t="n">
        <v>5019</v>
      </c>
      <c r="Z68" s="7" t="n">
        <v>2730.4</v>
      </c>
      <c r="AB68" s="7" t="n">
        <v>50031.3</v>
      </c>
    </row>
    <row r="69">
      <c r="A69" s="4" t="inlineStr">
        <is>
          <t>蒸汽费</t>
        </is>
      </c>
      <c r="D69" s="7" t="n">
        <v>2741.3</v>
      </c>
      <c r="F69" s="7" t="n">
        <v>2779.2</v>
      </c>
      <c r="H69" s="7" t="n">
        <v>4528</v>
      </c>
      <c r="J69" s="7" t="n">
        <v>5025.5</v>
      </c>
      <c r="L69" s="7" t="n">
        <v>3895</v>
      </c>
      <c r="N69" s="7" t="n">
        <v>5848.6</v>
      </c>
      <c r="P69" s="7" t="n">
        <v>4882.3</v>
      </c>
      <c r="R69" s="7" t="n">
        <v>3122.5</v>
      </c>
      <c r="T69" s="7" t="n">
        <v>2376</v>
      </c>
      <c r="V69" s="7" t="n">
        <v>2030.8</v>
      </c>
      <c r="X69" s="7" t="n">
        <v>3204.6</v>
      </c>
      <c r="Z69" s="7" t="n">
        <v>4144.7</v>
      </c>
      <c r="AB69" s="7" t="n">
        <v>44578.5</v>
      </c>
    </row>
    <row r="70">
      <c r="A70" s="4" t="inlineStr">
        <is>
          <t>物业费</t>
        </is>
      </c>
      <c r="D70" s="7" t="n">
        <v>2956.4</v>
      </c>
      <c r="F70" s="7" t="n">
        <v>5300.9</v>
      </c>
      <c r="H70" s="7" t="n">
        <v>3899.4</v>
      </c>
      <c r="J70" s="7" t="n">
        <v>6127.2</v>
      </c>
      <c r="L70" s="7" t="n">
        <v>6831</v>
      </c>
      <c r="N70" s="7" t="n">
        <v>9729.799999999999</v>
      </c>
      <c r="P70" s="7" t="n">
        <v>6192.3</v>
      </c>
      <c r="R70" s="7" t="n">
        <v>4564.4</v>
      </c>
      <c r="T70" s="7" t="n">
        <v>3322.8</v>
      </c>
      <c r="V70" s="7" t="n">
        <v>4186</v>
      </c>
      <c r="X70" s="7" t="n">
        <v>7074.4</v>
      </c>
      <c r="Z70" s="7" t="n">
        <v>3577.3</v>
      </c>
      <c r="AB70" s="7" t="n">
        <v>63761.9</v>
      </c>
    </row>
    <row r="71">
      <c r="A71" s="4" t="inlineStr">
        <is>
          <t>劳动保护费</t>
        </is>
      </c>
      <c r="D71" s="7" t="n">
        <v>4416.6</v>
      </c>
      <c r="F71" s="7" t="n">
        <v>5234.2</v>
      </c>
      <c r="H71" s="7" t="n">
        <v>4193.1</v>
      </c>
      <c r="J71" s="7" t="n">
        <v>5946.7</v>
      </c>
      <c r="L71" s="7" t="n">
        <v>5114.3</v>
      </c>
      <c r="N71" s="7" t="n">
        <v>8014.3</v>
      </c>
      <c r="P71" s="7" t="n">
        <v>6968.4</v>
      </c>
      <c r="R71" s="7" t="n">
        <v>3307</v>
      </c>
      <c r="T71" s="7" t="n">
        <v>2327.3</v>
      </c>
      <c r="V71" s="7" t="n">
        <v>2893.9</v>
      </c>
      <c r="X71" s="7" t="n">
        <v>4545.9</v>
      </c>
      <c r="Z71" s="7" t="n">
        <v>4537.8</v>
      </c>
      <c r="AB71" s="7" t="n">
        <v>57499.5</v>
      </c>
    </row>
    <row r="72">
      <c r="A72" s="4" t="inlineStr">
        <is>
          <t>顾问费</t>
        </is>
      </c>
      <c r="D72" s="7" t="n">
        <v>2814.4</v>
      </c>
      <c r="F72" s="7" t="n">
        <v>6154.7</v>
      </c>
      <c r="H72" s="7" t="n">
        <v>5886.8</v>
      </c>
      <c r="J72" s="7" t="n">
        <v>5827.3</v>
      </c>
      <c r="L72" s="7" t="n">
        <v>7348.3</v>
      </c>
      <c r="N72" s="7" t="n">
        <v>8369.1</v>
      </c>
      <c r="P72" s="7" t="n">
        <v>8459.299999999999</v>
      </c>
      <c r="R72" s="7" t="n">
        <v>3382.9</v>
      </c>
      <c r="T72" s="7" t="n">
        <v>2980.6</v>
      </c>
      <c r="V72" s="7" t="n">
        <v>5036.1</v>
      </c>
      <c r="X72" s="7" t="n">
        <v>6527</v>
      </c>
      <c r="Z72" s="7" t="n">
        <v>5784.9</v>
      </c>
      <c r="AB72" s="7" t="n">
        <v>68571.39999999999</v>
      </c>
    </row>
    <row r="73">
      <c r="A73" s="4" t="inlineStr">
        <is>
          <t>快递费</t>
        </is>
      </c>
      <c r="D73" s="7" t="n">
        <v>2922</v>
      </c>
      <c r="F73" s="7" t="n">
        <v>3870.5</v>
      </c>
      <c r="H73" s="7" t="n">
        <v>5072.1</v>
      </c>
      <c r="J73" s="7" t="n">
        <v>4980.3</v>
      </c>
      <c r="L73" s="7" t="n">
        <v>7156.9</v>
      </c>
      <c r="N73" s="7" t="n">
        <v>6189.9</v>
      </c>
      <c r="P73" s="7" t="n">
        <v>5286.7</v>
      </c>
      <c r="R73" s="7" t="n">
        <v>3089.7</v>
      </c>
      <c r="T73" s="7" t="n">
        <v>1990.4</v>
      </c>
      <c r="V73" s="7" t="n">
        <v>3665.4</v>
      </c>
      <c r="X73" s="7" t="n">
        <v>4206.8</v>
      </c>
      <c r="Z73" s="7" t="n">
        <v>3112.2</v>
      </c>
      <c r="AB73" s="7" t="n">
        <v>51542.9</v>
      </c>
    </row>
    <row r="74">
      <c r="A74" s="4" t="inlineStr">
        <is>
          <t>诉讼费</t>
        </is>
      </c>
      <c r="D74" s="7" t="n">
        <v>1648.2</v>
      </c>
      <c r="F74" s="7" t="n">
        <v>2143.7</v>
      </c>
      <c r="H74" s="7" t="n">
        <v>2191.1</v>
      </c>
      <c r="J74" s="7" t="n">
        <v>1853.5</v>
      </c>
      <c r="L74" s="7" t="n">
        <v>2306.4</v>
      </c>
      <c r="N74" s="7" t="n">
        <v>2400.1</v>
      </c>
      <c r="P74" s="7" t="n">
        <v>2522.4</v>
      </c>
      <c r="R74" s="7" t="n">
        <v>1266.6</v>
      </c>
      <c r="T74" s="7" t="n">
        <v>1016.5</v>
      </c>
      <c r="V74" s="7" t="n">
        <v>1299.1</v>
      </c>
      <c r="X74" s="7" t="n">
        <v>2821</v>
      </c>
      <c r="Z74" s="7" t="n">
        <v>1636.5</v>
      </c>
      <c r="AB74" s="7" t="n">
        <v>23105.1</v>
      </c>
    </row>
    <row r="75">
      <c r="A75" s="4" t="inlineStr">
        <is>
          <t>会员费</t>
        </is>
      </c>
      <c r="D75" s="7" t="n">
        <v>325.4</v>
      </c>
      <c r="F75" s="7" t="n">
        <v>446.3</v>
      </c>
      <c r="H75" s="7" t="n">
        <v>640.4</v>
      </c>
      <c r="J75" s="7" t="n">
        <v>634</v>
      </c>
      <c r="L75" s="7" t="n">
        <v>519.5</v>
      </c>
      <c r="N75" s="7" t="n">
        <v>977.7</v>
      </c>
      <c r="P75" s="7" t="n">
        <v>846.8</v>
      </c>
      <c r="R75" s="7" t="n">
        <v>528.3</v>
      </c>
      <c r="T75" s="7" t="n">
        <v>270</v>
      </c>
      <c r="V75" s="7" t="n">
        <v>358.6</v>
      </c>
      <c r="X75" s="7" t="n">
        <v>690.4</v>
      </c>
      <c r="Z75" s="7" t="n">
        <v>576.6</v>
      </c>
      <c r="AB75" s="7" t="n">
        <v>6814</v>
      </c>
    </row>
    <row r="76">
      <c r="A76" s="4" t="inlineStr">
        <is>
          <t>广告宣传费</t>
        </is>
      </c>
      <c r="D76" s="7" t="n">
        <v>22294.6</v>
      </c>
      <c r="F76" s="7" t="n">
        <v>24439.4</v>
      </c>
      <c r="H76" s="7" t="n">
        <v>24962.6</v>
      </c>
      <c r="J76" s="7" t="n">
        <v>44179.6</v>
      </c>
      <c r="L76" s="7" t="n">
        <v>36927.3</v>
      </c>
      <c r="N76" s="7" t="n">
        <v>33734.7</v>
      </c>
      <c r="P76" s="7" t="n">
        <v>38100.7</v>
      </c>
      <c r="R76" s="7" t="n">
        <v>19383.3</v>
      </c>
      <c r="T76" s="7" t="n">
        <v>14094.4</v>
      </c>
      <c r="V76" s="7" t="n">
        <v>16350.3</v>
      </c>
      <c r="X76" s="7" t="n">
        <v>35672.6</v>
      </c>
      <c r="Z76" s="7" t="n">
        <v>19653.6</v>
      </c>
      <c r="AB76" s="7" t="n">
        <v>329793.1</v>
      </c>
    </row>
    <row r="77">
      <c r="A77" s="4" t="inlineStr">
        <is>
          <t>会务费</t>
        </is>
      </c>
      <c r="D77" s="7" t="n">
        <v>2693.3</v>
      </c>
      <c r="F77" s="7" t="n">
        <v>3234</v>
      </c>
      <c r="H77" s="7" t="n">
        <v>3809.9</v>
      </c>
      <c r="J77" s="7" t="n">
        <v>5828.2</v>
      </c>
      <c r="L77" s="7" t="n">
        <v>4496</v>
      </c>
      <c r="N77" s="7" t="n">
        <v>4657</v>
      </c>
      <c r="P77" s="7" t="n">
        <v>4649.4</v>
      </c>
      <c r="R77" s="7" t="n">
        <v>4655.2</v>
      </c>
      <c r="T77" s="7" t="n">
        <v>2360.2</v>
      </c>
      <c r="V77" s="7" t="n">
        <v>2279</v>
      </c>
      <c r="X77" s="7" t="n">
        <v>6089.7</v>
      </c>
      <c r="Z77" s="7" t="n">
        <v>2995</v>
      </c>
      <c r="AB77" s="7" t="n">
        <v>47746.9</v>
      </c>
    </row>
    <row r="78">
      <c r="A78" s="4" t="inlineStr">
        <is>
          <t>装修费</t>
        </is>
      </c>
      <c r="D78" s="7" t="n">
        <v>2951.4</v>
      </c>
      <c r="F78" s="7" t="n">
        <v>4875.8</v>
      </c>
      <c r="H78" s="7" t="n">
        <v>4985.8</v>
      </c>
      <c r="J78" s="7" t="n">
        <v>5523.5</v>
      </c>
      <c r="L78" s="7" t="n">
        <v>6858.9</v>
      </c>
      <c r="N78" s="7" t="n">
        <v>9150.9</v>
      </c>
      <c r="P78" s="7" t="n">
        <v>5887.1</v>
      </c>
      <c r="R78" s="7" t="n">
        <v>4400.1</v>
      </c>
      <c r="T78" s="7" t="n">
        <v>3585.1</v>
      </c>
      <c r="V78" s="7" t="n">
        <v>2726.8</v>
      </c>
      <c r="X78" s="7" t="n">
        <v>6997.3</v>
      </c>
      <c r="Z78" s="7" t="n">
        <v>3950.2</v>
      </c>
      <c r="AB78" s="7" t="n">
        <v>61892.9</v>
      </c>
    </row>
    <row r="79">
      <c r="A79" s="4" t="inlineStr">
        <is>
          <t>推广费</t>
        </is>
      </c>
      <c r="D79" s="7" t="n">
        <v>1811.5</v>
      </c>
      <c r="F79" s="7" t="n">
        <v>2481.2</v>
      </c>
      <c r="H79" s="7" t="n">
        <v>2422.9</v>
      </c>
      <c r="J79" s="7" t="n">
        <v>2719.1</v>
      </c>
      <c r="L79" s="7" t="n">
        <v>3510.3</v>
      </c>
      <c r="N79" s="7" t="n">
        <v>3507.6</v>
      </c>
      <c r="P79" s="7" t="n">
        <v>2101.6</v>
      </c>
      <c r="R79" s="7" t="n">
        <v>1382.5</v>
      </c>
      <c r="T79" s="7" t="n">
        <v>1383.7</v>
      </c>
      <c r="V79" s="7" t="n">
        <v>1277.6</v>
      </c>
      <c r="X79" s="7" t="n">
        <v>2029.2</v>
      </c>
      <c r="Z79" s="7" t="n">
        <v>1859.2</v>
      </c>
      <c r="AB79" s="7" t="n">
        <v>26486.4</v>
      </c>
    </row>
    <row r="80">
      <c r="A80" s="4" t="inlineStr">
        <is>
          <t>展会费</t>
        </is>
      </c>
      <c r="D80" s="7" t="n">
        <v>2467</v>
      </c>
      <c r="F80" s="7" t="n">
        <v>4685.7</v>
      </c>
      <c r="H80" s="7" t="n">
        <v>6508.2</v>
      </c>
      <c r="J80" s="7" t="n">
        <v>6164.5</v>
      </c>
      <c r="L80" s="7" t="n">
        <v>5251.6</v>
      </c>
      <c r="N80" s="7" t="n">
        <v>8072.8</v>
      </c>
      <c r="P80" s="7" t="n">
        <v>6481.6</v>
      </c>
      <c r="R80" s="7" t="n">
        <v>3380.2</v>
      </c>
      <c r="T80" s="7" t="n">
        <v>3777.4</v>
      </c>
      <c r="V80" s="7" t="n">
        <v>4045.7</v>
      </c>
      <c r="X80" s="7" t="n">
        <v>5580</v>
      </c>
      <c r="Z80" s="7" t="n">
        <v>3697.2</v>
      </c>
      <c r="AB80" s="7" t="n">
        <v>60111.9</v>
      </c>
    </row>
    <row r="81">
      <c r="A81" s="4" t="inlineStr">
        <is>
          <t>设计费</t>
        </is>
      </c>
      <c r="D81" s="7" t="n">
        <v>2480.8</v>
      </c>
      <c r="F81" s="7" t="n">
        <v>2950.2</v>
      </c>
      <c r="H81" s="7" t="n">
        <v>3501.8</v>
      </c>
      <c r="J81" s="7" t="n">
        <v>2816</v>
      </c>
      <c r="L81" s="7" t="n">
        <v>4368.2</v>
      </c>
      <c r="N81" s="7" t="n">
        <v>5591.6</v>
      </c>
      <c r="P81" s="7" t="n">
        <v>3165.8</v>
      </c>
      <c r="R81" s="7" t="n">
        <v>2155</v>
      </c>
      <c r="T81" s="7" t="n">
        <v>1282.6</v>
      </c>
      <c r="V81" s="7" t="n">
        <v>1492.2</v>
      </c>
      <c r="X81" s="7" t="n">
        <v>3688.6</v>
      </c>
      <c r="Z81" s="7" t="n">
        <v>3147.9</v>
      </c>
      <c r="AB81" s="7" t="n">
        <v>36640.7</v>
      </c>
    </row>
    <row r="82">
      <c r="A82" s="4" t="inlineStr">
        <is>
          <t>折旧费</t>
        </is>
      </c>
      <c r="D82" s="7" t="n">
        <v>22346.2</v>
      </c>
      <c r="F82" s="7" t="n">
        <v>25144.2</v>
      </c>
      <c r="H82" s="7" t="n">
        <v>48156.3</v>
      </c>
      <c r="J82" s="7" t="n">
        <v>46948.5</v>
      </c>
      <c r="L82" s="7" t="n">
        <v>51058.5</v>
      </c>
      <c r="N82" s="7" t="n">
        <v>76979.7</v>
      </c>
      <c r="P82" s="7" t="n">
        <v>61090.4</v>
      </c>
      <c r="R82" s="7" t="n">
        <v>33041.1</v>
      </c>
      <c r="T82" s="7" t="n">
        <v>24381.8</v>
      </c>
      <c r="V82" s="7" t="n">
        <v>32401.4</v>
      </c>
      <c r="X82" s="7" t="n">
        <v>45657.8</v>
      </c>
      <c r="Z82" s="7" t="n">
        <v>35751.3</v>
      </c>
      <c r="AB82" s="7" t="n">
        <v>502957.2</v>
      </c>
    </row>
    <row r="83">
      <c r="A83" s="4" t="inlineStr">
        <is>
          <t>认证费</t>
        </is>
      </c>
      <c r="D83" s="7" t="n">
        <v>5640.4</v>
      </c>
      <c r="F83" s="7" t="n">
        <v>6265.9</v>
      </c>
      <c r="H83" s="7" t="n">
        <v>6484.5</v>
      </c>
      <c r="J83" s="7" t="n">
        <v>7958</v>
      </c>
      <c r="L83" s="7" t="n">
        <v>10457.3</v>
      </c>
      <c r="N83" s="7" t="n">
        <v>11801.3</v>
      </c>
      <c r="P83" s="7" t="n">
        <v>8830</v>
      </c>
      <c r="R83" s="7" t="n">
        <v>6352.3</v>
      </c>
      <c r="T83" s="7" t="n">
        <v>4562.6</v>
      </c>
      <c r="V83" s="7" t="n">
        <v>3941.5</v>
      </c>
      <c r="X83" s="7" t="n">
        <v>8646.200000000001</v>
      </c>
      <c r="Z83" s="7" t="n">
        <v>7364.8</v>
      </c>
      <c r="AB83" s="7" t="n">
        <v>88304.8</v>
      </c>
    </row>
    <row r="84">
      <c r="A84" s="4" t="inlineStr">
        <is>
          <t>样品费</t>
        </is>
      </c>
      <c r="D84" s="7" t="n">
        <v>16695.5</v>
      </c>
      <c r="F84" s="7" t="n">
        <v>21024.1</v>
      </c>
      <c r="H84" s="7" t="n">
        <v>21364.1</v>
      </c>
      <c r="J84" s="7" t="n">
        <v>24225</v>
      </c>
      <c r="L84" s="7" t="n">
        <v>27291</v>
      </c>
      <c r="N84" s="7" t="n">
        <v>40192.7</v>
      </c>
      <c r="P84" s="7" t="n">
        <v>26418</v>
      </c>
      <c r="R84" s="7" t="n">
        <v>21276.8</v>
      </c>
      <c r="T84" s="7" t="n">
        <v>12298.9</v>
      </c>
      <c r="V84" s="7" t="n">
        <v>11882.7</v>
      </c>
      <c r="X84" s="7" t="n">
        <v>17219.4</v>
      </c>
      <c r="Z84" s="7" t="n">
        <v>21323.9</v>
      </c>
      <c r="AB84" s="7" t="n">
        <v>261212.1</v>
      </c>
    </row>
    <row r="85">
      <c r="A85" s="4" t="inlineStr">
        <is>
          <t>劳务费</t>
        </is>
      </c>
      <c r="D85" s="7" t="n">
        <v>2994.3</v>
      </c>
      <c r="F85" s="7" t="n">
        <v>2749.3</v>
      </c>
      <c r="H85" s="7" t="n">
        <v>3281.8</v>
      </c>
      <c r="J85" s="7" t="n">
        <v>3538</v>
      </c>
      <c r="L85" s="7" t="n">
        <v>3316.1</v>
      </c>
      <c r="N85" s="7" t="n">
        <v>6608.6</v>
      </c>
      <c r="P85" s="7" t="n">
        <v>3422.9</v>
      </c>
      <c r="R85" s="7" t="n">
        <v>2983.8</v>
      </c>
      <c r="T85" s="7" t="n">
        <v>2369.1</v>
      </c>
      <c r="V85" s="7" t="n">
        <v>1847.1</v>
      </c>
      <c r="X85" s="7" t="n">
        <v>3423.4</v>
      </c>
      <c r="Z85" s="7" t="n">
        <v>2614.2</v>
      </c>
      <c r="AB85" s="7" t="n">
        <v>39148.6</v>
      </c>
    </row>
    <row r="86">
      <c r="A86" s="4" t="inlineStr">
        <is>
          <t>销售佣金</t>
        </is>
      </c>
      <c r="D86" s="7" t="n">
        <v>1116.3</v>
      </c>
      <c r="F86" s="7" t="n">
        <v>1245.2</v>
      </c>
      <c r="H86" s="7" t="n">
        <v>1218.9</v>
      </c>
      <c r="J86" s="7" t="n">
        <v>1402.2</v>
      </c>
      <c r="L86" s="7" t="n">
        <v>2256.5</v>
      </c>
      <c r="N86" s="7" t="n">
        <v>2384</v>
      </c>
      <c r="P86" s="7" t="n">
        <v>1997.1</v>
      </c>
      <c r="R86" s="7" t="n">
        <v>872.2</v>
      </c>
      <c r="T86" s="7" t="n">
        <v>828.4</v>
      </c>
      <c r="V86" s="7" t="n">
        <v>1064.3</v>
      </c>
      <c r="X86" s="7" t="n">
        <v>1603.1</v>
      </c>
      <c r="Z86" s="7" t="n">
        <v>1130.5</v>
      </c>
      <c r="AB86" s="7" t="n">
        <v>17118.7</v>
      </c>
    </row>
    <row r="87">
      <c r="A87" s="4" t="inlineStr">
        <is>
          <t>检测费</t>
        </is>
      </c>
      <c r="D87" s="7" t="n">
        <v>2531.6</v>
      </c>
      <c r="F87" s="7" t="n">
        <v>3151.8</v>
      </c>
      <c r="H87" s="7" t="n">
        <v>2981.1</v>
      </c>
      <c r="J87" s="7" t="n">
        <v>5662.5</v>
      </c>
      <c r="L87" s="7" t="n">
        <v>4200</v>
      </c>
      <c r="N87" s="7" t="n">
        <v>5789.4</v>
      </c>
      <c r="P87" s="7" t="n">
        <v>3671.7</v>
      </c>
      <c r="R87" s="7" t="n">
        <v>3476.7</v>
      </c>
      <c r="T87" s="7" t="n">
        <v>1837.7</v>
      </c>
      <c r="V87" s="7" t="n">
        <v>2896.5</v>
      </c>
      <c r="X87" s="7" t="n">
        <v>3695</v>
      </c>
      <c r="Z87" s="7" t="n">
        <v>2768.4</v>
      </c>
      <c r="AB87" s="7" t="n">
        <v>42662.4</v>
      </c>
    </row>
    <row r="88">
      <c r="A88" s="4" t="inlineStr">
        <is>
          <t>质量赔偿</t>
        </is>
      </c>
      <c r="D88" s="7" t="n">
        <v>1772.8</v>
      </c>
      <c r="F88" s="7" t="n">
        <v>2992.6</v>
      </c>
      <c r="H88" s="7" t="n">
        <v>2805.7</v>
      </c>
      <c r="J88" s="7" t="n">
        <v>3405.2</v>
      </c>
      <c r="L88" s="7" t="n">
        <v>3603.9</v>
      </c>
      <c r="N88" s="7" t="n">
        <v>4806.8</v>
      </c>
      <c r="P88" s="7" t="n">
        <v>3092.9</v>
      </c>
      <c r="R88" s="7" t="n">
        <v>3283.4</v>
      </c>
      <c r="T88" s="7" t="n">
        <v>1483.1</v>
      </c>
      <c r="V88" s="7" t="n">
        <v>2190.3</v>
      </c>
      <c r="X88" s="7" t="n">
        <v>4445.3</v>
      </c>
      <c r="Z88" s="7" t="n">
        <v>2256.7</v>
      </c>
      <c r="AB88" s="7" t="n">
        <v>36138.7</v>
      </c>
    </row>
    <row r="89">
      <c r="A89" s="4" t="inlineStr">
        <is>
          <t>保险费</t>
        </is>
      </c>
      <c r="D89" s="7" t="n">
        <v>1557.4</v>
      </c>
      <c r="F89" s="7" t="n">
        <v>1817.6</v>
      </c>
      <c r="H89" s="7" t="n">
        <v>2978.4</v>
      </c>
      <c r="J89" s="7" t="n">
        <v>2159.8</v>
      </c>
      <c r="L89" s="7" t="n">
        <v>2419.8</v>
      </c>
      <c r="N89" s="7" t="n">
        <v>2639.7</v>
      </c>
      <c r="P89" s="7" t="n">
        <v>2598</v>
      </c>
      <c r="R89" s="7" t="n">
        <v>2301.4</v>
      </c>
      <c r="T89" s="7" t="n">
        <v>1745</v>
      </c>
      <c r="V89" s="7" t="n">
        <v>1314</v>
      </c>
      <c r="X89" s="7" t="n">
        <v>2196.3</v>
      </c>
      <c r="Z89" s="7" t="n">
        <v>2029.2</v>
      </c>
      <c r="AB89" s="7" t="n">
        <v>25756.6</v>
      </c>
    </row>
    <row r="90">
      <c r="A90" s="4" t="inlineStr">
        <is>
          <t>清洁费</t>
        </is>
      </c>
      <c r="D90" s="7" t="n">
        <v>2621.2</v>
      </c>
      <c r="F90" s="7" t="n">
        <v>3556.8</v>
      </c>
      <c r="H90" s="7" t="n">
        <v>4720.3</v>
      </c>
      <c r="J90" s="7" t="n">
        <v>5850.9</v>
      </c>
      <c r="L90" s="7" t="n">
        <v>6311.4</v>
      </c>
      <c r="N90" s="7" t="n">
        <v>6135.1</v>
      </c>
      <c r="P90" s="7" t="n">
        <v>6043.3</v>
      </c>
      <c r="R90" s="7" t="n">
        <v>4640.4</v>
      </c>
      <c r="T90" s="7" t="n">
        <v>2648.2</v>
      </c>
      <c r="V90" s="7" t="n">
        <v>3892.6</v>
      </c>
      <c r="X90" s="7" t="n">
        <v>6078.4</v>
      </c>
      <c r="Z90" s="7" t="n">
        <v>3606.4</v>
      </c>
      <c r="AB90" s="7" t="n">
        <v>56105</v>
      </c>
    </row>
    <row r="91">
      <c r="A91" s="4" t="inlineStr">
        <is>
          <t>低值易耗品</t>
        </is>
      </c>
      <c r="D91" s="7" t="n">
        <v>384.7</v>
      </c>
      <c r="F91" s="7" t="n">
        <v>438.9</v>
      </c>
      <c r="H91" s="7" t="n">
        <v>599.7</v>
      </c>
      <c r="J91" s="7" t="n">
        <v>818</v>
      </c>
      <c r="L91" s="7" t="n">
        <v>1070.4</v>
      </c>
      <c r="N91" s="7" t="n">
        <v>952</v>
      </c>
      <c r="P91" s="7" t="n">
        <v>952.4</v>
      </c>
      <c r="R91" s="7" t="n">
        <v>563.8</v>
      </c>
      <c r="T91" s="7" t="n">
        <v>561.1</v>
      </c>
      <c r="V91" s="7" t="n">
        <v>584.9</v>
      </c>
      <c r="X91" s="7" t="n">
        <v>798.7</v>
      </c>
      <c r="Z91" s="7" t="n">
        <v>556.9</v>
      </c>
      <c r="AB91" s="7" t="n">
        <v>8281.5</v>
      </c>
    </row>
    <row r="92">
      <c r="A92" s="4" t="inlineStr">
        <is>
          <t>物料消耗</t>
        </is>
      </c>
      <c r="D92" s="7" t="n">
        <v>2576.5</v>
      </c>
      <c r="F92" s="7" t="n">
        <v>2314.5</v>
      </c>
      <c r="H92" s="7" t="n">
        <v>2649.4</v>
      </c>
      <c r="J92" s="7" t="n">
        <v>3646.7</v>
      </c>
      <c r="L92" s="7" t="n">
        <v>3470.8</v>
      </c>
      <c r="N92" s="7" t="n">
        <v>5808.9</v>
      </c>
      <c r="P92" s="7" t="n">
        <v>4642.5</v>
      </c>
      <c r="R92" s="7" t="n">
        <v>3575.7</v>
      </c>
      <c r="T92" s="7" t="n">
        <v>1639.3</v>
      </c>
      <c r="V92" s="7" t="n">
        <v>2703.3</v>
      </c>
      <c r="X92" s="7" t="n">
        <v>3015.8</v>
      </c>
      <c r="Z92" s="7" t="n">
        <v>3172.2</v>
      </c>
      <c r="AB92" s="7" t="n">
        <v>39215.6</v>
      </c>
    </row>
    <row r="93">
      <c r="A93" s="4" t="inlineStr">
        <is>
          <t>盘盈盘亏</t>
        </is>
      </c>
      <c r="D93" s="7" t="n">
        <v>4161.3</v>
      </c>
      <c r="F93" s="7" t="n">
        <v>4552.1</v>
      </c>
      <c r="H93" s="7" t="n">
        <v>4512.1</v>
      </c>
      <c r="J93" s="7" t="n">
        <v>7821.9</v>
      </c>
      <c r="L93" s="7" t="n">
        <v>7181.3</v>
      </c>
      <c r="N93" s="7" t="n">
        <v>9020</v>
      </c>
      <c r="P93" s="7" t="n">
        <v>5319.4</v>
      </c>
      <c r="R93" s="7" t="n">
        <v>3582.7</v>
      </c>
      <c r="T93" s="7" t="n">
        <v>2328.6</v>
      </c>
      <c r="V93" s="7" t="n">
        <v>4890.8</v>
      </c>
      <c r="X93" s="7" t="n">
        <v>7717.4</v>
      </c>
      <c r="Z93" s="7" t="n">
        <v>4496.6</v>
      </c>
      <c r="AB93" s="7" t="n">
        <v>65584.2</v>
      </c>
    </row>
    <row r="94">
      <c r="A94" s="4" t="inlineStr">
        <is>
          <t>平台服务费</t>
        </is>
      </c>
      <c r="D94" s="7" t="n">
        <v>2132.5</v>
      </c>
      <c r="F94" s="7" t="n">
        <v>2527.7</v>
      </c>
      <c r="H94" s="7" t="n">
        <v>4010.3</v>
      </c>
      <c r="J94" s="7" t="n">
        <v>4061.6</v>
      </c>
      <c r="L94" s="7" t="n">
        <v>5596.7</v>
      </c>
      <c r="N94" s="7" t="n">
        <v>5329</v>
      </c>
      <c r="P94" s="7" t="n">
        <v>4358.4</v>
      </c>
      <c r="R94" s="7" t="n">
        <v>3455</v>
      </c>
      <c r="T94" s="7" t="n">
        <v>2465.8</v>
      </c>
      <c r="V94" s="7" t="n">
        <v>3124.5</v>
      </c>
      <c r="X94" s="7" t="n">
        <v>4122.7</v>
      </c>
      <c r="Z94" s="7" t="n">
        <v>3085</v>
      </c>
      <c r="AB94" s="7" t="n">
        <v>44269.2</v>
      </c>
    </row>
    <row r="95">
      <c r="A95" s="4" t="inlineStr">
        <is>
          <t>无形资产摊销</t>
        </is>
      </c>
      <c r="D95" s="7" t="n">
        <v>1171.2</v>
      </c>
      <c r="F95" s="7" t="n">
        <v>1497.2</v>
      </c>
      <c r="H95" s="7" t="n">
        <v>1723.7</v>
      </c>
      <c r="J95" s="7" t="n">
        <v>1523.6</v>
      </c>
      <c r="L95" s="7" t="n">
        <v>1708.8</v>
      </c>
      <c r="N95" s="7" t="n">
        <v>2114.2</v>
      </c>
      <c r="P95" s="7" t="n">
        <v>2522.8</v>
      </c>
      <c r="R95" s="7" t="n">
        <v>1317.1</v>
      </c>
      <c r="T95" s="7" t="n">
        <v>1096.9</v>
      </c>
      <c r="V95" s="7" t="n">
        <v>1629.8</v>
      </c>
      <c r="X95" s="7" t="n">
        <v>1616.6</v>
      </c>
      <c r="Z95" s="7" t="n">
        <v>1321.5</v>
      </c>
      <c r="AB95" s="7" t="n">
        <v>19243.4</v>
      </c>
    </row>
    <row r="96">
      <c r="A96" s="4" t="inlineStr">
        <is>
          <t>研发材料</t>
        </is>
      </c>
      <c r="D96" s="7" t="n">
        <v>3991.7</v>
      </c>
      <c r="F96" s="7" t="n">
        <v>4697.6</v>
      </c>
      <c r="H96" s="7" t="n">
        <v>4952.5</v>
      </c>
      <c r="J96" s="7" t="n">
        <v>5006.3</v>
      </c>
      <c r="L96" s="7" t="n">
        <v>8219.5</v>
      </c>
      <c r="N96" s="7" t="n">
        <v>11895</v>
      </c>
      <c r="P96" s="7" t="n">
        <v>6682.5</v>
      </c>
      <c r="R96" s="7" t="n">
        <v>6161.4</v>
      </c>
      <c r="T96" s="7" t="n">
        <v>3457.2</v>
      </c>
      <c r="V96" s="7" t="n">
        <v>5164.7</v>
      </c>
      <c r="X96" s="7" t="n">
        <v>7310.3</v>
      </c>
      <c r="Z96" s="7" t="n">
        <v>5084</v>
      </c>
      <c r="AB96" s="7" t="n">
        <v>72622.7</v>
      </c>
    </row>
    <row r="97">
      <c r="A97" s="4" t="inlineStr">
        <is>
          <t>项目名称</t>
        </is>
      </c>
      <c r="D97" s="7" t="n">
        <v>2462.4</v>
      </c>
      <c r="F97" s="7" t="n">
        <v>3395.6</v>
      </c>
      <c r="H97" s="7" t="n">
        <v>5519.8</v>
      </c>
      <c r="J97" s="7" t="n">
        <v>3772.5</v>
      </c>
      <c r="L97" s="7" t="n">
        <v>6261.8</v>
      </c>
      <c r="N97" s="7" t="n">
        <v>5174.5</v>
      </c>
      <c r="P97" s="7" t="n">
        <v>5363.1</v>
      </c>
      <c r="R97" s="7" t="n">
        <v>4603.1</v>
      </c>
      <c r="T97" s="7" t="n">
        <v>2825</v>
      </c>
      <c r="V97" s="7" t="n">
        <v>2470.3</v>
      </c>
      <c r="X97" s="7" t="n">
        <v>5532.2</v>
      </c>
      <c r="Z97" s="7" t="n">
        <v>4741.3</v>
      </c>
      <c r="AB97" s="7" t="n">
        <v>52121.6</v>
      </c>
    </row>
    <row r="98">
      <c r="A98" s="4" t="inlineStr">
        <is>
          <t>研发费</t>
        </is>
      </c>
      <c r="D98" s="7" t="n">
        <v>352.9</v>
      </c>
      <c r="F98" s="7" t="n">
        <v>380.6</v>
      </c>
      <c r="H98" s="7" t="n">
        <v>585.5</v>
      </c>
      <c r="J98" s="7" t="n">
        <v>722.2</v>
      </c>
      <c r="L98" s="7" t="n">
        <v>516.9</v>
      </c>
      <c r="N98" s="7" t="n">
        <v>873.8</v>
      </c>
      <c r="P98" s="7" t="n">
        <v>426.4</v>
      </c>
      <c r="R98" s="7" t="n">
        <v>346.4</v>
      </c>
      <c r="T98" s="7" t="n">
        <v>306.8</v>
      </c>
      <c r="V98" s="7" t="n">
        <v>297.5</v>
      </c>
      <c r="X98" s="7" t="n">
        <v>695.8</v>
      </c>
      <c r="Z98" s="7" t="n">
        <v>527.2</v>
      </c>
      <c r="AB98" s="7" t="n">
        <v>6032</v>
      </c>
    </row>
    <row r="99">
      <c r="A99" s="4" t="inlineStr">
        <is>
          <t>残保金</t>
        </is>
      </c>
      <c r="D99" s="7" t="n">
        <v>5342.4</v>
      </c>
      <c r="F99" s="7" t="n">
        <v>6295.3</v>
      </c>
      <c r="H99" s="7" t="n">
        <v>6053.5</v>
      </c>
      <c r="J99" s="7" t="n">
        <v>7641</v>
      </c>
      <c r="L99" s="7" t="n">
        <v>9502.1</v>
      </c>
      <c r="N99" s="7" t="n">
        <v>6920.9</v>
      </c>
      <c r="P99" s="7" t="n">
        <v>6764.5</v>
      </c>
      <c r="R99" s="7" t="n">
        <v>6478.5</v>
      </c>
      <c r="T99" s="7" t="n">
        <v>3614.1</v>
      </c>
      <c r="V99" s="7" t="n">
        <v>3017.1</v>
      </c>
      <c r="X99" s="7" t="n">
        <v>7280.1</v>
      </c>
      <c r="Z99" s="7" t="n">
        <v>5888.9</v>
      </c>
      <c r="AB99" s="7" t="n">
        <v>74798.39999999999</v>
      </c>
    </row>
    <row r="100">
      <c r="A100" s="4" t="inlineStr">
        <is>
          <t>环保费</t>
        </is>
      </c>
      <c r="D100" s="7" t="n">
        <v>429.9</v>
      </c>
      <c r="F100" s="7" t="n">
        <v>752.4</v>
      </c>
      <c r="H100" s="7" t="n">
        <v>1045</v>
      </c>
      <c r="J100" s="7" t="n">
        <v>1072.9</v>
      </c>
      <c r="L100" s="7" t="n">
        <v>1240.4</v>
      </c>
      <c r="N100" s="7" t="n">
        <v>1246.9</v>
      </c>
      <c r="P100" s="7" t="n">
        <v>1123</v>
      </c>
      <c r="R100" s="7" t="n">
        <v>894.3</v>
      </c>
      <c r="T100" s="7" t="n">
        <v>657.7</v>
      </c>
      <c r="V100" s="7" t="n">
        <v>480.8</v>
      </c>
      <c r="X100" s="7" t="n">
        <v>1124</v>
      </c>
      <c r="Z100" s="7" t="n">
        <v>696.9</v>
      </c>
      <c r="AB100" s="7" t="n">
        <v>10764.2</v>
      </c>
    </row>
    <row r="101">
      <c r="A101" s="4" t="inlineStr">
        <is>
          <t>报废损失</t>
        </is>
      </c>
      <c r="D101" s="7" t="n">
        <v>3360.4</v>
      </c>
      <c r="F101" s="7" t="n">
        <v>3774.4</v>
      </c>
      <c r="H101" s="7" t="n">
        <v>4351</v>
      </c>
      <c r="J101" s="7" t="n">
        <v>4624.5</v>
      </c>
      <c r="L101" s="7" t="n">
        <v>5442.3</v>
      </c>
      <c r="N101" s="7" t="n">
        <v>8979.4</v>
      </c>
      <c r="P101" s="7" t="n">
        <v>7500.9</v>
      </c>
      <c r="R101" s="7" t="n">
        <v>5194.6</v>
      </c>
      <c r="T101" s="7" t="n">
        <v>3016.2</v>
      </c>
      <c r="V101" s="7" t="n">
        <v>4089.5</v>
      </c>
      <c r="X101" s="7" t="n">
        <v>5994.4</v>
      </c>
      <c r="Z101" s="7" t="n">
        <v>3993</v>
      </c>
      <c r="AB101" s="7" t="n">
        <v>60320.6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287044.9</v>
      </c>
      <c r="D102" s="7" t="n">
        <v>140218</v>
      </c>
      <c r="E102" s="7" t="n">
        <v>254555.5</v>
      </c>
      <c r="F102" s="7" t="n">
        <v>248302.6</v>
      </c>
      <c r="G102" s="7" t="n">
        <v>301992.5</v>
      </c>
      <c r="H102" s="7" t="n">
        <v>272930.8</v>
      </c>
      <c r="I102" s="7" t="n">
        <v>278140.7</v>
      </c>
      <c r="J102" s="7" t="n">
        <v>223443.1</v>
      </c>
      <c r="K102" s="7" t="n">
        <v>234106.7</v>
      </c>
      <c r="L102" s="7" t="n">
        <v>199470.7</v>
      </c>
      <c r="M102" s="7" t="n">
        <v>262686.3</v>
      </c>
      <c r="N102" s="7" t="n">
        <v>280805.9</v>
      </c>
      <c r="O102" s="7" t="n">
        <v>283968.3</v>
      </c>
      <c r="P102" s="7" t="n">
        <v>240918.2</v>
      </c>
      <c r="Q102" s="7" t="n">
        <v>264474.1</v>
      </c>
      <c r="R102" s="7" t="n">
        <v>221375.6</v>
      </c>
      <c r="S102" s="7" t="n">
        <v>240866</v>
      </c>
      <c r="T102" s="7" t="n">
        <v>417030.7</v>
      </c>
      <c r="U102" s="7" t="n">
        <v>292251.7</v>
      </c>
      <c r="V102" s="7" t="n">
        <v>539547.6</v>
      </c>
      <c r="W102" s="7" t="n">
        <v>279353</v>
      </c>
      <c r="X102" s="7" t="n">
        <v>232980.9</v>
      </c>
      <c r="Y102" s="7" t="n">
        <v>293624.1</v>
      </c>
      <c r="Z102" s="7" t="n">
        <v>286379.7</v>
      </c>
      <c r="AA102" s="8" t="n">
        <v>3273063.8</v>
      </c>
      <c r="AB102" s="8" t="n">
        <v>3303403.8</v>
      </c>
    </row>
    <row r="103">
      <c r="A103" s="4" t="inlineStr">
        <is>
          <t>职工薪酬</t>
        </is>
      </c>
      <c r="D103" s="7" t="n">
        <v>76060.39999999999</v>
      </c>
      <c r="F103" s="7" t="n">
        <v>142274.1</v>
      </c>
      <c r="H103" s="7" t="n">
        <v>126427.9</v>
      </c>
      <c r="J103" s="7" t="n">
        <v>118730.7</v>
      </c>
      <c r="L103" s="7" t="n">
        <v>88967.60000000001</v>
      </c>
      <c r="N103" s="7" t="n">
        <v>149507.8</v>
      </c>
      <c r="P103" s="7" t="n">
        <v>131315</v>
      </c>
      <c r="R103" s="7" t="n">
        <v>120818.3</v>
      </c>
      <c r="T103" s="7" t="n">
        <v>205652.4</v>
      </c>
      <c r="V103" s="7" t="n">
        <v>281689.1</v>
      </c>
      <c r="X103" s="7" t="n">
        <v>97290.89999999999</v>
      </c>
      <c r="Z103" s="7" t="n">
        <v>135797.9</v>
      </c>
      <c r="AB103" s="7" t="n">
        <v>1674532.1</v>
      </c>
    </row>
    <row r="104">
      <c r="A104" s="4" t="inlineStr">
        <is>
          <t>工资</t>
        </is>
      </c>
      <c r="D104" s="7" t="n">
        <v>49086.6</v>
      </c>
      <c r="F104" s="7" t="n">
        <v>87028.2</v>
      </c>
      <c r="H104" s="7" t="n">
        <v>62544.7</v>
      </c>
      <c r="J104" s="7" t="n">
        <v>76917.7</v>
      </c>
      <c r="L104" s="7" t="n">
        <v>55603.8</v>
      </c>
      <c r="N104" s="7" t="n">
        <v>92016.8</v>
      </c>
      <c r="P104" s="7" t="n">
        <v>88321.7</v>
      </c>
      <c r="R104" s="7" t="n">
        <v>71764.39999999999</v>
      </c>
      <c r="T104" s="7" t="n">
        <v>128928.4</v>
      </c>
      <c r="V104" s="7" t="n">
        <v>192636</v>
      </c>
      <c r="X104" s="7" t="n">
        <v>58178.8</v>
      </c>
      <c r="Z104" s="7" t="n">
        <v>73995.60000000001</v>
      </c>
      <c r="AB104" s="7" t="n">
        <v>1037022.7</v>
      </c>
    </row>
    <row r="105">
      <c r="A105" s="4" t="inlineStr">
        <is>
          <t>奖金及提成</t>
        </is>
      </c>
      <c r="D105" s="7" t="n">
        <v>14708.8</v>
      </c>
      <c r="F105" s="7" t="n">
        <v>29414.9</v>
      </c>
      <c r="H105" s="7" t="n">
        <v>31434.5</v>
      </c>
      <c r="J105" s="7" t="n">
        <v>17727.6</v>
      </c>
      <c r="L105" s="7" t="n">
        <v>16736.3</v>
      </c>
      <c r="N105" s="7" t="n">
        <v>31893.1</v>
      </c>
      <c r="P105" s="7" t="n">
        <v>22193</v>
      </c>
      <c r="R105" s="7" t="n">
        <v>27479.4</v>
      </c>
      <c r="T105" s="7" t="n">
        <v>31536.5</v>
      </c>
      <c r="V105" s="7" t="n">
        <v>43644.4</v>
      </c>
      <c r="X105" s="7" t="n">
        <v>18895.1</v>
      </c>
      <c r="Z105" s="7" t="n">
        <v>34864.2</v>
      </c>
      <c r="AB105" s="7" t="n">
        <v>320527.8</v>
      </c>
    </row>
    <row r="106">
      <c r="A106" s="4" t="inlineStr">
        <is>
          <t>社保</t>
        </is>
      </c>
      <c r="D106" s="7" t="n">
        <v>9123.299999999999</v>
      </c>
      <c r="F106" s="7" t="n">
        <v>19751.2</v>
      </c>
      <c r="H106" s="7" t="n">
        <v>24840.8</v>
      </c>
      <c r="J106" s="7" t="n">
        <v>19458.1</v>
      </c>
      <c r="L106" s="7" t="n">
        <v>11371.9</v>
      </c>
      <c r="N106" s="7" t="n">
        <v>17921.1</v>
      </c>
      <c r="P106" s="7" t="n">
        <v>15546.8</v>
      </c>
      <c r="R106" s="7" t="n">
        <v>16585.8</v>
      </c>
      <c r="T106" s="7" t="n">
        <v>35520.8</v>
      </c>
      <c r="V106" s="7" t="n">
        <v>32013.4</v>
      </c>
      <c r="X106" s="7" t="n">
        <v>13852.7</v>
      </c>
      <c r="Z106" s="7" t="n">
        <v>19408.6</v>
      </c>
      <c r="AB106" s="7" t="n">
        <v>235394.5</v>
      </c>
    </row>
    <row r="107">
      <c r="A107" s="4" t="inlineStr">
        <is>
          <t>养老</t>
        </is>
      </c>
      <c r="D107" s="7" t="n">
        <v>1071.8</v>
      </c>
      <c r="F107" s="7" t="n">
        <v>1125.2</v>
      </c>
      <c r="H107" s="7" t="n">
        <v>1653.2</v>
      </c>
      <c r="J107" s="7" t="n">
        <v>1513.3</v>
      </c>
      <c r="L107" s="7" t="n">
        <v>1408.9</v>
      </c>
      <c r="N107" s="7" t="n">
        <v>1777.8</v>
      </c>
      <c r="P107" s="7" t="n">
        <v>1331</v>
      </c>
      <c r="R107" s="7" t="n">
        <v>940.2</v>
      </c>
      <c r="T107" s="7" t="n">
        <v>2973.3</v>
      </c>
      <c r="V107" s="7" t="n">
        <v>3724.9</v>
      </c>
      <c r="X107" s="7" t="n">
        <v>1509.3</v>
      </c>
      <c r="Z107" s="7" t="n">
        <v>1239.9</v>
      </c>
      <c r="AB107" s="7" t="n">
        <v>20268.8</v>
      </c>
    </row>
    <row r="108">
      <c r="A108" s="4" t="inlineStr">
        <is>
          <t>医疗</t>
        </is>
      </c>
      <c r="D108" s="7" t="n">
        <v>171.3</v>
      </c>
      <c r="F108" s="7" t="n">
        <v>317.7</v>
      </c>
      <c r="H108" s="7" t="n">
        <v>478.4</v>
      </c>
      <c r="J108" s="7" t="n">
        <v>257.7</v>
      </c>
      <c r="L108" s="7" t="n">
        <v>415.7</v>
      </c>
      <c r="N108" s="7" t="n">
        <v>582.8</v>
      </c>
      <c r="P108" s="7" t="n">
        <v>299.7</v>
      </c>
      <c r="R108" s="7" t="n">
        <v>411.6</v>
      </c>
      <c r="T108" s="7" t="n">
        <v>613.3</v>
      </c>
      <c r="V108" s="7" t="n">
        <v>988</v>
      </c>
      <c r="X108" s="7" t="n">
        <v>311.6</v>
      </c>
      <c r="Z108" s="7" t="n">
        <v>460.9</v>
      </c>
      <c r="AB108" s="7" t="n">
        <v>5308.7</v>
      </c>
    </row>
    <row r="109">
      <c r="A109" s="4" t="inlineStr">
        <is>
          <t>工伤</t>
        </is>
      </c>
      <c r="D109" s="7" t="n">
        <v>500.2</v>
      </c>
      <c r="F109" s="7" t="n">
        <v>731.2</v>
      </c>
      <c r="H109" s="7" t="n">
        <v>905.7</v>
      </c>
      <c r="J109" s="7" t="n">
        <v>653.7</v>
      </c>
      <c r="L109" s="7" t="n">
        <v>540</v>
      </c>
      <c r="N109" s="7" t="n">
        <v>1155.8</v>
      </c>
      <c r="P109" s="7" t="n">
        <v>957.2</v>
      </c>
      <c r="R109" s="7" t="n">
        <v>632.3</v>
      </c>
      <c r="T109" s="7" t="n">
        <v>1839.3</v>
      </c>
      <c r="V109" s="7" t="n">
        <v>1516.8</v>
      </c>
      <c r="X109" s="7" t="n">
        <v>755</v>
      </c>
      <c r="Z109" s="7" t="n">
        <v>1064.3</v>
      </c>
      <c r="AB109" s="7" t="n">
        <v>11251.5</v>
      </c>
    </row>
    <row r="110">
      <c r="A110" s="4" t="inlineStr">
        <is>
          <t>失业</t>
        </is>
      </c>
      <c r="D110" s="7" t="n">
        <v>603.8</v>
      </c>
      <c r="F110" s="7" t="n">
        <v>1698.8</v>
      </c>
      <c r="H110" s="7" t="n">
        <v>1069.5</v>
      </c>
      <c r="J110" s="7" t="n">
        <v>1172</v>
      </c>
      <c r="L110" s="7" t="n">
        <v>862.6</v>
      </c>
      <c r="N110" s="7" t="n">
        <v>1683.8</v>
      </c>
      <c r="P110" s="7" t="n">
        <v>1104.1</v>
      </c>
      <c r="R110" s="7" t="n">
        <v>1490.4</v>
      </c>
      <c r="T110" s="7" t="n">
        <v>2129.3</v>
      </c>
      <c r="V110" s="7" t="n">
        <v>3641.8</v>
      </c>
      <c r="X110" s="7" t="n">
        <v>1525.4</v>
      </c>
      <c r="Z110" s="7" t="n">
        <v>1205.5</v>
      </c>
      <c r="AB110" s="7" t="n">
        <v>18187</v>
      </c>
    </row>
    <row r="111">
      <c r="A111" s="4" t="inlineStr">
        <is>
          <t>生育</t>
        </is>
      </c>
      <c r="D111" s="7" t="n">
        <v>119.4</v>
      </c>
      <c r="F111" s="7" t="n">
        <v>210.1</v>
      </c>
      <c r="H111" s="7" t="n">
        <v>386.5</v>
      </c>
      <c r="J111" s="7" t="n">
        <v>227.2</v>
      </c>
      <c r="L111" s="7" t="n">
        <v>237.2</v>
      </c>
      <c r="N111" s="7" t="n">
        <v>240.7</v>
      </c>
      <c r="P111" s="7" t="n">
        <v>335.9</v>
      </c>
      <c r="R111" s="7" t="n">
        <v>308.1</v>
      </c>
      <c r="T111" s="7" t="n">
        <v>573.7</v>
      </c>
      <c r="V111" s="7" t="n">
        <v>637.5</v>
      </c>
      <c r="X111" s="7" t="n">
        <v>209</v>
      </c>
      <c r="Z111" s="7" t="n">
        <v>324.2</v>
      </c>
      <c r="AB111" s="7" t="n">
        <v>3809.5</v>
      </c>
    </row>
    <row r="112">
      <c r="A112" s="4" t="inlineStr">
        <is>
          <t>公积金</t>
        </is>
      </c>
      <c r="D112" s="7" t="n">
        <v>610.7</v>
      </c>
      <c r="F112" s="7" t="n">
        <v>771.4</v>
      </c>
      <c r="H112" s="7" t="n">
        <v>1180.8</v>
      </c>
      <c r="J112" s="7" t="n">
        <v>773.9</v>
      </c>
      <c r="L112" s="7" t="n">
        <v>933.7</v>
      </c>
      <c r="N112" s="7" t="n">
        <v>1003.7</v>
      </c>
      <c r="P112" s="7" t="n">
        <v>722.1</v>
      </c>
      <c r="R112" s="7" t="n">
        <v>1087.8</v>
      </c>
      <c r="T112" s="7" t="n">
        <v>1798.8</v>
      </c>
      <c r="V112" s="7" t="n">
        <v>2672.4</v>
      </c>
      <c r="X112" s="7" t="n">
        <v>1086.8</v>
      </c>
      <c r="Z112" s="7" t="n">
        <v>1268.8</v>
      </c>
      <c r="AB112" s="7" t="n">
        <v>13910.9</v>
      </c>
    </row>
    <row r="113">
      <c r="A113" s="4" t="inlineStr">
        <is>
          <t>工会经费</t>
        </is>
      </c>
      <c r="D113" s="7" t="n">
        <v>49.2</v>
      </c>
      <c r="F113" s="7" t="n">
        <v>156.7</v>
      </c>
      <c r="H113" s="7" t="n">
        <v>107.9</v>
      </c>
      <c r="J113" s="7" t="n">
        <v>122.4</v>
      </c>
      <c r="L113" s="7" t="n">
        <v>89.09999999999999</v>
      </c>
      <c r="N113" s="7" t="n">
        <v>131.4</v>
      </c>
      <c r="P113" s="7" t="n">
        <v>136.7</v>
      </c>
      <c r="R113" s="7" t="n">
        <v>129.9</v>
      </c>
      <c r="T113" s="7" t="n">
        <v>206.1</v>
      </c>
      <c r="V113" s="7" t="n">
        <v>200.1</v>
      </c>
      <c r="X113" s="7" t="n">
        <v>122.1</v>
      </c>
      <c r="Z113" s="7" t="n">
        <v>183</v>
      </c>
      <c r="AB113" s="7" t="n">
        <v>1634.6</v>
      </c>
    </row>
    <row r="114">
      <c r="A114" s="4" t="inlineStr">
        <is>
          <t>职工教育经费</t>
        </is>
      </c>
      <c r="D114" s="7" t="n">
        <v>193.1</v>
      </c>
      <c r="F114" s="7" t="n">
        <v>588</v>
      </c>
      <c r="H114" s="7" t="n">
        <v>403.3</v>
      </c>
      <c r="J114" s="7" t="n">
        <v>379.9</v>
      </c>
      <c r="L114" s="7" t="n">
        <v>324.8</v>
      </c>
      <c r="N114" s="7" t="n">
        <v>489.3</v>
      </c>
      <c r="P114" s="7" t="n">
        <v>491</v>
      </c>
      <c r="R114" s="7" t="n">
        <v>383.4</v>
      </c>
      <c r="T114" s="7" t="n">
        <v>895.6</v>
      </c>
      <c r="V114" s="7" t="n">
        <v>886.8</v>
      </c>
      <c r="X114" s="7" t="n">
        <v>502.6</v>
      </c>
      <c r="Z114" s="7" t="n">
        <v>571.3</v>
      </c>
      <c r="AB114" s="7" t="n">
        <v>6109.1</v>
      </c>
    </row>
    <row r="115">
      <c r="A115" s="4" t="inlineStr">
        <is>
          <t>福利费</t>
        </is>
      </c>
      <c r="D115" s="7" t="n">
        <v>2288.7</v>
      </c>
      <c r="F115" s="7" t="n">
        <v>4563.7</v>
      </c>
      <c r="H115" s="7" t="n">
        <v>5915.9</v>
      </c>
      <c r="J115" s="7" t="n">
        <v>3351.1</v>
      </c>
      <c r="L115" s="7" t="n">
        <v>3908</v>
      </c>
      <c r="N115" s="7" t="n">
        <v>6052.4</v>
      </c>
      <c r="P115" s="7" t="n">
        <v>3903.7</v>
      </c>
      <c r="R115" s="7" t="n">
        <v>3387.6</v>
      </c>
      <c r="T115" s="7" t="n">
        <v>6766.2</v>
      </c>
      <c r="V115" s="7" t="n">
        <v>9636</v>
      </c>
      <c r="X115" s="7" t="n">
        <v>4652.8</v>
      </c>
      <c r="Z115" s="7" t="n">
        <v>5506.4</v>
      </c>
      <c r="AB115" s="7" t="n">
        <v>59932.5</v>
      </c>
    </row>
    <row r="116">
      <c r="A116" s="4" t="inlineStr">
        <is>
          <t>职工房租</t>
        </is>
      </c>
      <c r="D116" s="7" t="n">
        <v>543.8</v>
      </c>
      <c r="F116" s="7" t="n">
        <v>803.3</v>
      </c>
      <c r="H116" s="7" t="n">
        <v>1631.2</v>
      </c>
      <c r="J116" s="7" t="n">
        <v>731.7</v>
      </c>
      <c r="L116" s="7" t="n">
        <v>951.9</v>
      </c>
      <c r="N116" s="7" t="n">
        <v>1650.1</v>
      </c>
      <c r="P116" s="7" t="n">
        <v>1391.3</v>
      </c>
      <c r="R116" s="7" t="n">
        <v>750.9</v>
      </c>
      <c r="T116" s="7" t="n">
        <v>1748.9</v>
      </c>
      <c r="V116" s="7" t="n">
        <v>3008.1</v>
      </c>
      <c r="X116" s="7" t="n">
        <v>1310.5</v>
      </c>
      <c r="Z116" s="7" t="n">
        <v>1573.1</v>
      </c>
      <c r="AB116" s="7" t="n">
        <v>16094.8</v>
      </c>
    </row>
    <row r="117">
      <c r="A117" s="4" t="inlineStr">
        <is>
          <t>水电物业费</t>
        </is>
      </c>
      <c r="D117" s="7" t="n">
        <v>213.1</v>
      </c>
      <c r="F117" s="7" t="n">
        <v>581.5</v>
      </c>
      <c r="H117" s="7" t="n">
        <v>676.7</v>
      </c>
      <c r="J117" s="7" t="n">
        <v>538.8</v>
      </c>
      <c r="L117" s="7" t="n">
        <v>325.9</v>
      </c>
      <c r="N117" s="7" t="n">
        <v>649.4</v>
      </c>
      <c r="P117" s="7" t="n">
        <v>341.5</v>
      </c>
      <c r="R117" s="7" t="n">
        <v>334.8</v>
      </c>
      <c r="T117" s="7" t="n">
        <v>1029.3</v>
      </c>
      <c r="V117" s="7" t="n">
        <v>1170.2</v>
      </c>
      <c r="X117" s="7" t="n">
        <v>417.1</v>
      </c>
      <c r="Z117" s="7" t="n">
        <v>396.1</v>
      </c>
      <c r="AB117" s="7" t="n">
        <v>6674.4</v>
      </c>
    </row>
    <row r="118">
      <c r="A118" s="4" t="inlineStr">
        <is>
          <t>员工餐</t>
        </is>
      </c>
      <c r="D118" s="7" t="n">
        <v>818.9</v>
      </c>
      <c r="F118" s="7" t="n">
        <v>1760.9</v>
      </c>
      <c r="H118" s="7" t="n">
        <v>1895.5</v>
      </c>
      <c r="J118" s="7" t="n">
        <v>1052.2</v>
      </c>
      <c r="L118" s="7" t="n">
        <v>1517.6</v>
      </c>
      <c r="N118" s="7" t="n">
        <v>2171.7</v>
      </c>
      <c r="P118" s="7" t="n">
        <v>1094.7</v>
      </c>
      <c r="R118" s="7" t="n">
        <v>1287.5</v>
      </c>
      <c r="T118" s="7" t="n">
        <v>1972.1</v>
      </c>
      <c r="V118" s="7" t="n">
        <v>2547.6</v>
      </c>
      <c r="X118" s="7" t="n">
        <v>1535.3</v>
      </c>
      <c r="Z118" s="7" t="n">
        <v>2153.1</v>
      </c>
      <c r="AB118" s="7" t="n">
        <v>19807.1</v>
      </c>
    </row>
    <row r="119">
      <c r="A119" s="4" t="inlineStr">
        <is>
          <t>节日礼品</t>
        </is>
      </c>
      <c r="D119" s="7" t="n">
        <v>111.4</v>
      </c>
      <c r="F119" s="7" t="n">
        <v>279.4</v>
      </c>
      <c r="H119" s="7" t="n">
        <v>307.8</v>
      </c>
      <c r="J119" s="7" t="n">
        <v>245.5</v>
      </c>
      <c r="L119" s="7" t="n">
        <v>172.3</v>
      </c>
      <c r="N119" s="7" t="n">
        <v>261</v>
      </c>
      <c r="P119" s="7" t="n">
        <v>213.4</v>
      </c>
      <c r="R119" s="7" t="n">
        <v>254</v>
      </c>
      <c r="T119" s="7" t="n">
        <v>457.4</v>
      </c>
      <c r="V119" s="7" t="n">
        <v>461.9</v>
      </c>
      <c r="X119" s="7" t="n">
        <v>181.5</v>
      </c>
      <c r="Z119" s="7" t="n">
        <v>345.5</v>
      </c>
      <c r="AB119" s="7" t="n">
        <v>3291.1</v>
      </c>
    </row>
    <row r="120">
      <c r="A120" s="4" t="inlineStr">
        <is>
          <t>生日礼品</t>
        </is>
      </c>
      <c r="D120" s="7" t="n">
        <v>34</v>
      </c>
      <c r="F120" s="7" t="n">
        <v>52.4</v>
      </c>
      <c r="H120" s="7" t="n">
        <v>40.6</v>
      </c>
      <c r="J120" s="7" t="n">
        <v>56.5</v>
      </c>
      <c r="L120" s="7" t="n">
        <v>46.5</v>
      </c>
      <c r="N120" s="7" t="n">
        <v>72.5</v>
      </c>
      <c r="P120" s="7" t="n">
        <v>52.4</v>
      </c>
      <c r="R120" s="7" t="n">
        <v>55.8</v>
      </c>
      <c r="T120" s="7" t="n">
        <v>109.9</v>
      </c>
      <c r="V120" s="7" t="n">
        <v>113.8</v>
      </c>
      <c r="X120" s="7" t="n">
        <v>55.2</v>
      </c>
      <c r="Z120" s="7" t="n">
        <v>57.6</v>
      </c>
      <c r="AB120" s="7" t="n">
        <v>747.2</v>
      </c>
    </row>
    <row r="121">
      <c r="A121" s="4" t="inlineStr">
        <is>
          <t>体检</t>
        </is>
      </c>
      <c r="D121" s="7" t="n">
        <v>185.1</v>
      </c>
      <c r="F121" s="7" t="n">
        <v>258.6</v>
      </c>
      <c r="H121" s="7" t="n">
        <v>361.1</v>
      </c>
      <c r="J121" s="7" t="n">
        <v>178.1</v>
      </c>
      <c r="L121" s="7" t="n">
        <v>169.6</v>
      </c>
      <c r="N121" s="7" t="n">
        <v>309.3</v>
      </c>
      <c r="P121" s="7" t="n">
        <v>205.9</v>
      </c>
      <c r="R121" s="7" t="n">
        <v>184.4</v>
      </c>
      <c r="T121" s="7" t="n">
        <v>492.1</v>
      </c>
      <c r="V121" s="7" t="n">
        <v>574.5</v>
      </c>
      <c r="X121" s="7" t="n">
        <v>288.7</v>
      </c>
      <c r="Z121" s="7" t="n">
        <v>350.4</v>
      </c>
      <c r="AB121" s="7" t="n">
        <v>3557.8</v>
      </c>
    </row>
    <row r="122">
      <c r="A122" s="4" t="inlineStr">
        <is>
          <t>其他福利支出</t>
        </is>
      </c>
      <c r="D122" s="7" t="n">
        <v>382.4</v>
      </c>
      <c r="F122" s="7" t="n">
        <v>827.6</v>
      </c>
      <c r="H122" s="7" t="n">
        <v>1003</v>
      </c>
      <c r="J122" s="7" t="n">
        <v>548.3</v>
      </c>
      <c r="L122" s="7" t="n">
        <v>724.2</v>
      </c>
      <c r="N122" s="7" t="n">
        <v>938.4</v>
      </c>
      <c r="P122" s="7" t="n">
        <v>604.5</v>
      </c>
      <c r="R122" s="7" t="n">
        <v>520.2</v>
      </c>
      <c r="T122" s="7" t="n">
        <v>956.5</v>
      </c>
      <c r="V122" s="7" t="n">
        <v>1759.9</v>
      </c>
      <c r="X122" s="7" t="n">
        <v>864.5</v>
      </c>
      <c r="Z122" s="7" t="n">
        <v>630.6</v>
      </c>
      <c r="AB122" s="7" t="n">
        <v>9760.1</v>
      </c>
    </row>
    <row r="123">
      <c r="A123" s="4" t="inlineStr">
        <is>
          <t>招聘费</t>
        </is>
      </c>
      <c r="D123" s="7" t="n">
        <v>266</v>
      </c>
      <c r="F123" s="7" t="n">
        <v>339.7</v>
      </c>
      <c r="H123" s="7" t="n">
        <v>534.5</v>
      </c>
      <c r="J123" s="7" t="n">
        <v>477.1</v>
      </c>
      <c r="L123" s="7" t="n">
        <v>326.9</v>
      </c>
      <c r="N123" s="7" t="n">
        <v>535.8</v>
      </c>
      <c r="P123" s="7" t="n">
        <v>482.8</v>
      </c>
      <c r="R123" s="7" t="n">
        <v>294.7</v>
      </c>
      <c r="T123" s="7" t="n">
        <v>664.8</v>
      </c>
      <c r="V123" s="7" t="n">
        <v>1284</v>
      </c>
      <c r="X123" s="7" t="n">
        <v>447.9</v>
      </c>
      <c r="Z123" s="7" t="n">
        <v>550.2</v>
      </c>
      <c r="AB123" s="7" t="n">
        <v>6204.4</v>
      </c>
    </row>
    <row r="124">
      <c r="A124" s="4" t="inlineStr">
        <is>
          <t>办公费</t>
        </is>
      </c>
      <c r="D124" s="7" t="n">
        <v>4939</v>
      </c>
      <c r="F124" s="7" t="n">
        <v>5418.5</v>
      </c>
      <c r="H124" s="7" t="n">
        <v>7277</v>
      </c>
      <c r="J124" s="7" t="n">
        <v>8487.1</v>
      </c>
      <c r="L124" s="7" t="n">
        <v>4219.3</v>
      </c>
      <c r="N124" s="7" t="n">
        <v>7699.6</v>
      </c>
      <c r="P124" s="7" t="n">
        <v>6283.9</v>
      </c>
      <c r="R124" s="7" t="n">
        <v>6235.4</v>
      </c>
      <c r="T124" s="7" t="n">
        <v>10220.5</v>
      </c>
      <c r="V124" s="7" t="n">
        <v>18632.3</v>
      </c>
      <c r="X124" s="7" t="n">
        <v>7935.9</v>
      </c>
      <c r="Z124" s="7" t="n">
        <v>11034</v>
      </c>
      <c r="AB124" s="7" t="n">
        <v>98382.5</v>
      </c>
    </row>
    <row r="125">
      <c r="A125" s="4" t="inlineStr">
        <is>
          <t>市内交通费</t>
        </is>
      </c>
      <c r="D125" s="7" t="n">
        <v>490</v>
      </c>
      <c r="F125" s="7" t="n">
        <v>1080.4</v>
      </c>
      <c r="H125" s="7" t="n">
        <v>1439.7</v>
      </c>
      <c r="J125" s="7" t="n">
        <v>783.1</v>
      </c>
      <c r="L125" s="7" t="n">
        <v>1088.6</v>
      </c>
      <c r="N125" s="7" t="n">
        <v>1022.3</v>
      </c>
      <c r="P125" s="7" t="n">
        <v>1168.1</v>
      </c>
      <c r="R125" s="7" t="n">
        <v>947.9</v>
      </c>
      <c r="T125" s="7" t="n">
        <v>2021.1</v>
      </c>
      <c r="V125" s="7" t="n">
        <v>3011.1</v>
      </c>
      <c r="X125" s="7" t="n">
        <v>938.3</v>
      </c>
      <c r="Z125" s="7" t="n">
        <v>1043.6</v>
      </c>
      <c r="AB125" s="7" t="n">
        <v>15034.2</v>
      </c>
    </row>
    <row r="126">
      <c r="A126" s="4" t="inlineStr">
        <is>
          <t>差旅费</t>
        </is>
      </c>
      <c r="D126" s="7" t="n">
        <v>8226.799999999999</v>
      </c>
      <c r="F126" s="7" t="n">
        <v>18341.5</v>
      </c>
      <c r="H126" s="7" t="n">
        <v>12379.7</v>
      </c>
      <c r="J126" s="7" t="n">
        <v>15163.9</v>
      </c>
      <c r="L126" s="7" t="n">
        <v>14728.6</v>
      </c>
      <c r="N126" s="7" t="n">
        <v>19956.6</v>
      </c>
      <c r="P126" s="7" t="n">
        <v>15792.7</v>
      </c>
      <c r="R126" s="7" t="n">
        <v>15424.9</v>
      </c>
      <c r="T126" s="7" t="n">
        <v>19933.1</v>
      </c>
      <c r="V126" s="7" t="n">
        <v>41379</v>
      </c>
      <c r="X126" s="7" t="n">
        <v>14115.6</v>
      </c>
      <c r="Z126" s="7" t="n">
        <v>19540.8</v>
      </c>
      <c r="AB126" s="7" t="n">
        <v>214983.2</v>
      </c>
    </row>
    <row r="127">
      <c r="A127" s="4" t="inlineStr">
        <is>
          <t>交通费</t>
        </is>
      </c>
      <c r="D127" s="7" t="n">
        <v>753.5</v>
      </c>
      <c r="F127" s="7" t="n">
        <v>959.7</v>
      </c>
      <c r="H127" s="7" t="n">
        <v>1365.4</v>
      </c>
      <c r="J127" s="7" t="n">
        <v>862.2</v>
      </c>
      <c r="L127" s="7" t="n">
        <v>780.6</v>
      </c>
      <c r="N127" s="7" t="n">
        <v>1455.6</v>
      </c>
      <c r="P127" s="7" t="n">
        <v>986.4</v>
      </c>
      <c r="R127" s="7" t="n">
        <v>1167.2</v>
      </c>
      <c r="T127" s="7" t="n">
        <v>2074.4</v>
      </c>
      <c r="V127" s="7" t="n">
        <v>2149.3</v>
      </c>
      <c r="X127" s="7" t="n">
        <v>821.3</v>
      </c>
      <c r="Z127" s="7" t="n">
        <v>1304.3</v>
      </c>
      <c r="AB127" s="7" t="n">
        <v>14679.9</v>
      </c>
    </row>
    <row r="128">
      <c r="A128" s="4" t="inlineStr">
        <is>
          <t>住宿费</t>
        </is>
      </c>
      <c r="D128" s="7" t="n">
        <v>54.6</v>
      </c>
      <c r="F128" s="7" t="n">
        <v>131.5</v>
      </c>
      <c r="H128" s="7" t="n">
        <v>134</v>
      </c>
      <c r="J128" s="7" t="n">
        <v>130</v>
      </c>
      <c r="L128" s="7" t="n">
        <v>77.09999999999999</v>
      </c>
      <c r="N128" s="7" t="n">
        <v>168.8</v>
      </c>
      <c r="P128" s="7" t="n">
        <v>121.8</v>
      </c>
      <c r="R128" s="7" t="n">
        <v>139.5</v>
      </c>
      <c r="T128" s="7" t="n">
        <v>239.7</v>
      </c>
      <c r="V128" s="7" t="n">
        <v>199.6</v>
      </c>
      <c r="X128" s="7" t="n">
        <v>86.7</v>
      </c>
      <c r="Z128" s="7" t="n">
        <v>125.1</v>
      </c>
      <c r="AB128" s="7" t="n">
        <v>1608.4</v>
      </c>
    </row>
    <row r="129">
      <c r="A129" s="4" t="inlineStr">
        <is>
          <t>餐补</t>
        </is>
      </c>
      <c r="D129" s="7" t="n">
        <v>684.4</v>
      </c>
      <c r="F129" s="7" t="n">
        <v>1320.2</v>
      </c>
      <c r="H129" s="7" t="n">
        <v>1534.6</v>
      </c>
      <c r="J129" s="7" t="n">
        <v>1031.3</v>
      </c>
      <c r="L129" s="7" t="n">
        <v>986.6</v>
      </c>
      <c r="N129" s="7" t="n">
        <v>2000.6</v>
      </c>
      <c r="P129" s="7" t="n">
        <v>1261.3</v>
      </c>
      <c r="R129" s="7" t="n">
        <v>1334.2</v>
      </c>
      <c r="T129" s="7" t="n">
        <v>2180.4</v>
      </c>
      <c r="V129" s="7" t="n">
        <v>4051.6</v>
      </c>
      <c r="X129" s="7" t="n">
        <v>1555.7</v>
      </c>
      <c r="Z129" s="7" t="n">
        <v>1375.7</v>
      </c>
      <c r="AB129" s="7" t="n">
        <v>19316.6</v>
      </c>
    </row>
    <row r="130">
      <c r="A130" s="4" t="inlineStr">
        <is>
          <t>交通补助</t>
        </is>
      </c>
      <c r="D130" s="7" t="n">
        <v>118.7</v>
      </c>
      <c r="F130" s="7" t="n">
        <v>146.1</v>
      </c>
      <c r="H130" s="7" t="n">
        <v>269.7</v>
      </c>
      <c r="J130" s="7" t="n">
        <v>170.8</v>
      </c>
      <c r="L130" s="7" t="n">
        <v>196.9</v>
      </c>
      <c r="N130" s="7" t="n">
        <v>285.4</v>
      </c>
      <c r="P130" s="7" t="n">
        <v>152.2</v>
      </c>
      <c r="R130" s="7" t="n">
        <v>165.6</v>
      </c>
      <c r="T130" s="7" t="n">
        <v>409.1</v>
      </c>
      <c r="V130" s="7" t="n">
        <v>557.6</v>
      </c>
      <c r="X130" s="7" t="n">
        <v>175</v>
      </c>
      <c r="Z130" s="7" t="n">
        <v>258.2</v>
      </c>
      <c r="AB130" s="7" t="n">
        <v>2905.3</v>
      </c>
    </row>
    <row r="131">
      <c r="A131" s="4" t="inlineStr">
        <is>
          <t>通讯补助</t>
        </is>
      </c>
      <c r="D131" s="7" t="n">
        <v>399</v>
      </c>
      <c r="F131" s="7" t="n">
        <v>1009.4</v>
      </c>
      <c r="H131" s="7" t="n">
        <v>1004.7</v>
      </c>
      <c r="J131" s="7" t="n">
        <v>795</v>
      </c>
      <c r="L131" s="7" t="n">
        <v>718.9</v>
      </c>
      <c r="N131" s="7" t="n">
        <v>1066.4</v>
      </c>
      <c r="P131" s="7" t="n">
        <v>676.9</v>
      </c>
      <c r="R131" s="7" t="n">
        <v>876</v>
      </c>
      <c r="T131" s="7" t="n">
        <v>975.1</v>
      </c>
      <c r="V131" s="7" t="n">
        <v>2169.2</v>
      </c>
      <c r="X131" s="7" t="n">
        <v>675.9</v>
      </c>
      <c r="Z131" s="7" t="n">
        <v>755.3</v>
      </c>
      <c r="AB131" s="7" t="n">
        <v>11121.8</v>
      </c>
    </row>
    <row r="132">
      <c r="A132" s="4" t="inlineStr">
        <is>
          <t>招待费</t>
        </is>
      </c>
      <c r="D132" s="7" t="n">
        <v>5269.8</v>
      </c>
      <c r="F132" s="7" t="n">
        <v>7387.4</v>
      </c>
      <c r="H132" s="7" t="n">
        <v>10185.1</v>
      </c>
      <c r="J132" s="7" t="n">
        <v>8735.4</v>
      </c>
      <c r="L132" s="7" t="n">
        <v>6032.8</v>
      </c>
      <c r="N132" s="7" t="n">
        <v>11002.3</v>
      </c>
      <c r="P132" s="7" t="n">
        <v>10460.6</v>
      </c>
      <c r="R132" s="7" t="n">
        <v>10980.9</v>
      </c>
      <c r="T132" s="7" t="n">
        <v>16329.5</v>
      </c>
      <c r="V132" s="7" t="n">
        <v>16218.7</v>
      </c>
      <c r="X132" s="7" t="n">
        <v>10615.2</v>
      </c>
      <c r="Z132" s="7" t="n">
        <v>14324.4</v>
      </c>
      <c r="AB132" s="7" t="n">
        <v>127542.1</v>
      </c>
    </row>
    <row r="133">
      <c r="A133" s="4" t="inlineStr">
        <is>
          <t>通讯费</t>
        </is>
      </c>
      <c r="D133" s="7" t="n">
        <v>984.7</v>
      </c>
      <c r="F133" s="7" t="n">
        <v>1231.2</v>
      </c>
      <c r="H133" s="7" t="n">
        <v>1481.3</v>
      </c>
      <c r="J133" s="7" t="n">
        <v>1203.5</v>
      </c>
      <c r="L133" s="7" t="n">
        <v>1566</v>
      </c>
      <c r="N133" s="7" t="n">
        <v>1684.7</v>
      </c>
      <c r="P133" s="7" t="n">
        <v>1634.2</v>
      </c>
      <c r="R133" s="7" t="n">
        <v>1320</v>
      </c>
      <c r="T133" s="7" t="n">
        <v>2187.2</v>
      </c>
      <c r="V133" s="7" t="n">
        <v>2359.6</v>
      </c>
      <c r="X133" s="7" t="n">
        <v>1118.2</v>
      </c>
      <c r="Z133" s="7" t="n">
        <v>1701.1</v>
      </c>
      <c r="AB133" s="7" t="n">
        <v>18471.7</v>
      </c>
    </row>
    <row r="134">
      <c r="A134" s="4" t="inlineStr">
        <is>
          <t>网络费</t>
        </is>
      </c>
      <c r="D134" s="7" t="n">
        <v>525.1</v>
      </c>
      <c r="F134" s="7" t="n">
        <v>749.3</v>
      </c>
      <c r="H134" s="7" t="n">
        <v>1215.3</v>
      </c>
      <c r="J134" s="7" t="n">
        <v>870.7</v>
      </c>
      <c r="L134" s="7" t="n">
        <v>1056.7</v>
      </c>
      <c r="N134" s="7" t="n">
        <v>1080.9</v>
      </c>
      <c r="P134" s="7" t="n">
        <v>969</v>
      </c>
      <c r="R134" s="7" t="n">
        <v>914.5</v>
      </c>
      <c r="T134" s="7" t="n">
        <v>1282.3</v>
      </c>
      <c r="V134" s="7" t="n">
        <v>2765.3</v>
      </c>
      <c r="X134" s="7" t="n">
        <v>1243.7</v>
      </c>
      <c r="Z134" s="7" t="n">
        <v>1334.8</v>
      </c>
      <c r="AB134" s="7" t="n">
        <v>14007.6</v>
      </c>
    </row>
    <row r="135">
      <c r="A135" s="4" t="inlineStr">
        <is>
          <t>修理费</t>
        </is>
      </c>
      <c r="D135" s="7" t="n">
        <v>268.3</v>
      </c>
      <c r="F135" s="7" t="n">
        <v>329.6</v>
      </c>
      <c r="H135" s="7" t="n">
        <v>358.1</v>
      </c>
      <c r="J135" s="7" t="n">
        <v>372.9</v>
      </c>
      <c r="L135" s="7" t="n">
        <v>310.3</v>
      </c>
      <c r="N135" s="7" t="n">
        <v>560.2</v>
      </c>
      <c r="P135" s="7" t="n">
        <v>521.3</v>
      </c>
      <c r="R135" s="7" t="n">
        <v>397.5</v>
      </c>
      <c r="T135" s="7" t="n">
        <v>813</v>
      </c>
      <c r="V135" s="7" t="n">
        <v>816.9</v>
      </c>
      <c r="X135" s="7" t="n">
        <v>494</v>
      </c>
      <c r="Z135" s="7" t="n">
        <v>382.8</v>
      </c>
      <c r="AB135" s="7" t="n">
        <v>5624.9</v>
      </c>
    </row>
    <row r="136">
      <c r="A136" s="4" t="inlineStr">
        <is>
          <t>车辆费</t>
        </is>
      </c>
      <c r="D136" s="7" t="n">
        <v>750.4</v>
      </c>
      <c r="F136" s="7" t="n">
        <v>1691.1</v>
      </c>
      <c r="H136" s="7" t="n">
        <v>1288.9</v>
      </c>
      <c r="J136" s="7" t="n">
        <v>1201.6</v>
      </c>
      <c r="L136" s="7" t="n">
        <v>1122.1</v>
      </c>
      <c r="N136" s="7" t="n">
        <v>1635.8</v>
      </c>
      <c r="P136" s="7" t="n">
        <v>1585.8</v>
      </c>
      <c r="R136" s="7" t="n">
        <v>1042.4</v>
      </c>
      <c r="T136" s="7" t="n">
        <v>2756.6</v>
      </c>
      <c r="V136" s="7" t="n">
        <v>2911.9</v>
      </c>
      <c r="X136" s="7" t="n">
        <v>1536.9</v>
      </c>
      <c r="Z136" s="7" t="n">
        <v>1580.6</v>
      </c>
      <c r="AB136" s="7" t="n">
        <v>19104.1</v>
      </c>
    </row>
    <row r="137">
      <c r="A137" s="4" t="inlineStr">
        <is>
          <t>租赁费</t>
        </is>
      </c>
      <c r="D137" s="7" t="n">
        <v>4949.4</v>
      </c>
      <c r="F137" s="7" t="n">
        <v>14523.8</v>
      </c>
      <c r="H137" s="7" t="n">
        <v>14441.8</v>
      </c>
      <c r="J137" s="7" t="n">
        <v>8342.1</v>
      </c>
      <c r="L137" s="7" t="n">
        <v>10978.6</v>
      </c>
      <c r="N137" s="7" t="n">
        <v>15021.8</v>
      </c>
      <c r="P137" s="7" t="n">
        <v>10771.9</v>
      </c>
      <c r="R137" s="7" t="n">
        <v>14298.9</v>
      </c>
      <c r="T137" s="7" t="n">
        <v>26343.4</v>
      </c>
      <c r="V137" s="7" t="n">
        <v>30908</v>
      </c>
      <c r="X137" s="7" t="n">
        <v>13303.6</v>
      </c>
      <c r="Z137" s="7" t="n">
        <v>12742.6</v>
      </c>
      <c r="AB137" s="7" t="n">
        <v>176625.9</v>
      </c>
    </row>
    <row r="138">
      <c r="A138" s="4" t="inlineStr">
        <is>
          <t>能源费</t>
        </is>
      </c>
      <c r="D138" s="7" t="n">
        <v>2118.3</v>
      </c>
      <c r="F138" s="7" t="n">
        <v>3528.9</v>
      </c>
      <c r="H138" s="7" t="n">
        <v>3970.3</v>
      </c>
      <c r="J138" s="7" t="n">
        <v>2805.7</v>
      </c>
      <c r="L138" s="7" t="n">
        <v>2958.9</v>
      </c>
      <c r="N138" s="7" t="n">
        <v>4147</v>
      </c>
      <c r="P138" s="7" t="n">
        <v>3098.8</v>
      </c>
      <c r="R138" s="7" t="n">
        <v>3305.3</v>
      </c>
      <c r="T138" s="7" t="n">
        <v>6394.8</v>
      </c>
      <c r="V138" s="7" t="n">
        <v>8785.1</v>
      </c>
      <c r="X138" s="7" t="n">
        <v>2994</v>
      </c>
      <c r="Z138" s="7" t="n">
        <v>4129.6</v>
      </c>
      <c r="AB138" s="7" t="n">
        <v>48236.7</v>
      </c>
    </row>
    <row r="139">
      <c r="A139" s="4" t="inlineStr">
        <is>
          <t>水费</t>
        </is>
      </c>
      <c r="D139" s="7" t="n">
        <v>529.5</v>
      </c>
      <c r="F139" s="7" t="n">
        <v>554.9</v>
      </c>
      <c r="H139" s="7" t="n">
        <v>668.4</v>
      </c>
      <c r="J139" s="7" t="n">
        <v>847.6</v>
      </c>
      <c r="L139" s="7" t="n">
        <v>559.6</v>
      </c>
      <c r="N139" s="7" t="n">
        <v>850.2</v>
      </c>
      <c r="P139" s="7" t="n">
        <v>567.6</v>
      </c>
      <c r="R139" s="7" t="n">
        <v>604.3</v>
      </c>
      <c r="T139" s="7" t="n">
        <v>1116.7</v>
      </c>
      <c r="V139" s="7" t="n">
        <v>2021.2</v>
      </c>
      <c r="X139" s="7" t="n">
        <v>880.8</v>
      </c>
      <c r="Z139" s="7" t="n">
        <v>882.7</v>
      </c>
      <c r="AB139" s="7" t="n">
        <v>10083.5</v>
      </c>
    </row>
    <row r="140">
      <c r="A140" s="4" t="inlineStr">
        <is>
          <t>电费</t>
        </is>
      </c>
      <c r="D140" s="7" t="n">
        <v>15.7</v>
      </c>
      <c r="F140" s="7" t="n">
        <v>16.6</v>
      </c>
      <c r="H140" s="7" t="n">
        <v>31.8</v>
      </c>
      <c r="J140" s="7" t="n">
        <v>21.1</v>
      </c>
      <c r="L140" s="7" t="n">
        <v>22.9</v>
      </c>
      <c r="N140" s="7" t="n">
        <v>29.6</v>
      </c>
      <c r="P140" s="7" t="n">
        <v>24.7</v>
      </c>
      <c r="R140" s="7" t="n">
        <v>20.3</v>
      </c>
      <c r="T140" s="7" t="n">
        <v>37.2</v>
      </c>
      <c r="V140" s="7" t="n">
        <v>46.3</v>
      </c>
      <c r="X140" s="7" t="n">
        <v>22.5</v>
      </c>
      <c r="Z140" s="7" t="n">
        <v>27.4</v>
      </c>
      <c r="AB140" s="7" t="n">
        <v>316.1</v>
      </c>
    </row>
    <row r="141">
      <c r="A141" s="4" t="inlineStr">
        <is>
          <t>燃气费</t>
        </is>
      </c>
      <c r="D141" s="7" t="n">
        <v>540.3</v>
      </c>
      <c r="F141" s="7" t="n">
        <v>1003.4</v>
      </c>
      <c r="H141" s="7" t="n">
        <v>1310.4</v>
      </c>
      <c r="J141" s="7" t="n">
        <v>903.7</v>
      </c>
      <c r="L141" s="7" t="n">
        <v>1057.7</v>
      </c>
      <c r="N141" s="7" t="n">
        <v>1444.9</v>
      </c>
      <c r="P141" s="7" t="n">
        <v>1122.8</v>
      </c>
      <c r="R141" s="7" t="n">
        <v>1340.6</v>
      </c>
      <c r="T141" s="7" t="n">
        <v>2328.9</v>
      </c>
      <c r="V141" s="7" t="n">
        <v>2605.4</v>
      </c>
      <c r="X141" s="7" t="n">
        <v>1016.8</v>
      </c>
      <c r="Z141" s="7" t="n">
        <v>1540.5</v>
      </c>
      <c r="AB141" s="7" t="n">
        <v>16215.4</v>
      </c>
    </row>
    <row r="142">
      <c r="A142" s="4" t="inlineStr">
        <is>
          <t>蒸汽费</t>
        </is>
      </c>
      <c r="D142" s="7" t="n">
        <v>1032.8</v>
      </c>
      <c r="F142" s="7" t="n">
        <v>1954</v>
      </c>
      <c r="H142" s="7" t="n">
        <v>1959.7</v>
      </c>
      <c r="J142" s="7" t="n">
        <v>1033.3</v>
      </c>
      <c r="L142" s="7" t="n">
        <v>1318.7</v>
      </c>
      <c r="N142" s="7" t="n">
        <v>1822.3</v>
      </c>
      <c r="P142" s="7" t="n">
        <v>1383.7</v>
      </c>
      <c r="R142" s="7" t="n">
        <v>1340.1</v>
      </c>
      <c r="T142" s="7" t="n">
        <v>2912</v>
      </c>
      <c r="V142" s="7" t="n">
        <v>4112.2</v>
      </c>
      <c r="X142" s="7" t="n">
        <v>1073.9</v>
      </c>
      <c r="Z142" s="7" t="n">
        <v>1679</v>
      </c>
      <c r="AB142" s="7" t="n">
        <v>21621.7</v>
      </c>
    </row>
    <row r="143">
      <c r="A143" s="4" t="inlineStr">
        <is>
          <t>物业费</t>
        </is>
      </c>
      <c r="D143" s="7" t="n">
        <v>384.6</v>
      </c>
      <c r="F143" s="7" t="n">
        <v>827.1</v>
      </c>
      <c r="H143" s="7" t="n">
        <v>990.7</v>
      </c>
      <c r="J143" s="7" t="n">
        <v>710</v>
      </c>
      <c r="L143" s="7" t="n">
        <v>739.6</v>
      </c>
      <c r="N143" s="7" t="n">
        <v>993.9</v>
      </c>
      <c r="P143" s="7" t="n">
        <v>750.5</v>
      </c>
      <c r="R143" s="7" t="n">
        <v>828.3</v>
      </c>
      <c r="T143" s="7" t="n">
        <v>1231.3</v>
      </c>
      <c r="V143" s="7" t="n">
        <v>2633.4</v>
      </c>
      <c r="X143" s="7" t="n">
        <v>1108.6</v>
      </c>
      <c r="Z143" s="7" t="n">
        <v>1034.5</v>
      </c>
      <c r="AB143" s="7" t="n">
        <v>12232.5</v>
      </c>
    </row>
    <row r="144">
      <c r="A144" s="4" t="inlineStr">
        <is>
          <t>劳动保护费</t>
        </is>
      </c>
      <c r="D144" s="7" t="n">
        <v>846.6</v>
      </c>
      <c r="F144" s="7" t="n">
        <v>1529.1</v>
      </c>
      <c r="H144" s="7" t="n">
        <v>1034.5</v>
      </c>
      <c r="J144" s="7" t="n">
        <v>1111.7</v>
      </c>
      <c r="L144" s="7" t="n">
        <v>895.4</v>
      </c>
      <c r="N144" s="7" t="n">
        <v>1314.5</v>
      </c>
      <c r="P144" s="7" t="n">
        <v>1591.3</v>
      </c>
      <c r="R144" s="7" t="n">
        <v>1022.7</v>
      </c>
      <c r="T144" s="7" t="n">
        <v>2699.2</v>
      </c>
      <c r="V144" s="7" t="n">
        <v>3416.7</v>
      </c>
      <c r="X144" s="7" t="n">
        <v>1189.3</v>
      </c>
      <c r="Z144" s="7" t="n">
        <v>1301.8</v>
      </c>
      <c r="AB144" s="7" t="n">
        <v>17952.8</v>
      </c>
    </row>
    <row r="145">
      <c r="A145" s="4" t="inlineStr">
        <is>
          <t>顾问费</t>
        </is>
      </c>
      <c r="D145" s="7" t="n">
        <v>785.3</v>
      </c>
      <c r="F145" s="7" t="n">
        <v>1039.6</v>
      </c>
      <c r="H145" s="7" t="n">
        <v>1276</v>
      </c>
      <c r="J145" s="7" t="n">
        <v>1219.6</v>
      </c>
      <c r="L145" s="7" t="n">
        <v>1401.2</v>
      </c>
      <c r="N145" s="7" t="n">
        <v>1975.8</v>
      </c>
      <c r="P145" s="7" t="n">
        <v>1507.4</v>
      </c>
      <c r="R145" s="7" t="n">
        <v>1177.5</v>
      </c>
      <c r="T145" s="7" t="n">
        <v>3139.9</v>
      </c>
      <c r="V145" s="7" t="n">
        <v>4126.6</v>
      </c>
      <c r="X145" s="7" t="n">
        <v>1162.2</v>
      </c>
      <c r="Z145" s="7" t="n">
        <v>2170.7</v>
      </c>
      <c r="AB145" s="7" t="n">
        <v>20981.8</v>
      </c>
    </row>
    <row r="146">
      <c r="A146" s="4" t="inlineStr">
        <is>
          <t>快递费</t>
        </is>
      </c>
      <c r="D146" s="7" t="n">
        <v>192.5</v>
      </c>
      <c r="F146" s="7" t="n">
        <v>375.5</v>
      </c>
      <c r="H146" s="7" t="n">
        <v>407.1</v>
      </c>
      <c r="J146" s="7" t="n">
        <v>295.5</v>
      </c>
      <c r="L146" s="7" t="n">
        <v>195.9</v>
      </c>
      <c r="N146" s="7" t="n">
        <v>383.8</v>
      </c>
      <c r="P146" s="7" t="n">
        <v>391.5</v>
      </c>
      <c r="R146" s="7" t="n">
        <v>224.9</v>
      </c>
      <c r="T146" s="7" t="n">
        <v>654.6</v>
      </c>
      <c r="V146" s="7" t="n">
        <v>688.7</v>
      </c>
      <c r="X146" s="7" t="n">
        <v>283.3</v>
      </c>
      <c r="Z146" s="7" t="n">
        <v>274.9</v>
      </c>
      <c r="AB146" s="7" t="n">
        <v>4368.2</v>
      </c>
    </row>
    <row r="147">
      <c r="A147" s="4" t="inlineStr">
        <is>
          <t>诉讼费</t>
        </is>
      </c>
      <c r="D147" s="7" t="n">
        <v>738.5</v>
      </c>
      <c r="F147" s="7" t="n">
        <v>1407.4</v>
      </c>
      <c r="H147" s="7" t="n">
        <v>1678.4</v>
      </c>
      <c r="J147" s="7" t="n">
        <v>1415.5</v>
      </c>
      <c r="L147" s="7" t="n">
        <v>1128</v>
      </c>
      <c r="N147" s="7" t="n">
        <v>1263</v>
      </c>
      <c r="P147" s="7" t="n">
        <v>1305.9</v>
      </c>
      <c r="R147" s="7" t="n">
        <v>1476.1</v>
      </c>
      <c r="T147" s="7" t="n">
        <v>1801.5</v>
      </c>
      <c r="V147" s="7" t="n">
        <v>2142.8</v>
      </c>
      <c r="X147" s="7" t="n">
        <v>1178</v>
      </c>
      <c r="Z147" s="7" t="n">
        <v>1620.9</v>
      </c>
      <c r="AB147" s="7" t="n">
        <v>17156</v>
      </c>
    </row>
    <row r="148">
      <c r="A148" s="4" t="inlineStr">
        <is>
          <t>会员费</t>
        </is>
      </c>
      <c r="D148" s="7" t="n">
        <v>391</v>
      </c>
      <c r="F148" s="7" t="n">
        <v>1086.3</v>
      </c>
      <c r="H148" s="7" t="n">
        <v>1329.8</v>
      </c>
      <c r="J148" s="7" t="n">
        <v>649.6</v>
      </c>
      <c r="L148" s="7" t="n">
        <v>721.3</v>
      </c>
      <c r="N148" s="7" t="n">
        <v>1251.3</v>
      </c>
      <c r="P148" s="7" t="n">
        <v>729.5</v>
      </c>
      <c r="R148" s="7" t="n">
        <v>837.3</v>
      </c>
      <c r="T148" s="7" t="n">
        <v>1750.4</v>
      </c>
      <c r="V148" s="7" t="n">
        <v>1920.4</v>
      </c>
      <c r="X148" s="7" t="n">
        <v>764.8</v>
      </c>
      <c r="Z148" s="7" t="n">
        <v>1380.1</v>
      </c>
      <c r="AB148" s="7" t="n">
        <v>12811.8</v>
      </c>
    </row>
    <row r="149">
      <c r="A149" s="4" t="inlineStr">
        <is>
          <t>广告宣传费</t>
        </is>
      </c>
      <c r="D149" s="7" t="n">
        <v>3694</v>
      </c>
      <c r="F149" s="7" t="n">
        <v>7607.4</v>
      </c>
      <c r="H149" s="7" t="n">
        <v>6936.4</v>
      </c>
      <c r="J149" s="7" t="n">
        <v>7829.6</v>
      </c>
      <c r="L149" s="7" t="n">
        <v>7011.2</v>
      </c>
      <c r="N149" s="7" t="n">
        <v>9790.9</v>
      </c>
      <c r="P149" s="7" t="n">
        <v>7918.2</v>
      </c>
      <c r="R149" s="7" t="n">
        <v>5744.6</v>
      </c>
      <c r="T149" s="7" t="n">
        <v>15776.1</v>
      </c>
      <c r="V149" s="7" t="n">
        <v>17424.1</v>
      </c>
      <c r="X149" s="7" t="n">
        <v>7569.8</v>
      </c>
      <c r="Z149" s="7" t="n">
        <v>9000.5</v>
      </c>
      <c r="AB149" s="7" t="n">
        <v>106302.8</v>
      </c>
    </row>
    <row r="150">
      <c r="A150" s="4" t="inlineStr">
        <is>
          <t>会务费</t>
        </is>
      </c>
      <c r="D150" s="7" t="n">
        <v>92.8</v>
      </c>
      <c r="F150" s="7" t="n">
        <v>178.1</v>
      </c>
      <c r="H150" s="7" t="n">
        <v>141.5</v>
      </c>
      <c r="J150" s="7" t="n">
        <v>131.8</v>
      </c>
      <c r="L150" s="7" t="n">
        <v>167.3</v>
      </c>
      <c r="N150" s="7" t="n">
        <v>143.9</v>
      </c>
      <c r="P150" s="7" t="n">
        <v>162.8</v>
      </c>
      <c r="R150" s="7" t="n">
        <v>137.6</v>
      </c>
      <c r="T150" s="7" t="n">
        <v>340.2</v>
      </c>
      <c r="V150" s="7" t="n">
        <v>341.9</v>
      </c>
      <c r="X150" s="7" t="n">
        <v>157.1</v>
      </c>
      <c r="Z150" s="7" t="n">
        <v>138.5</v>
      </c>
      <c r="AB150" s="7" t="n">
        <v>2133.5</v>
      </c>
    </row>
    <row r="151">
      <c r="A151" s="4" t="inlineStr">
        <is>
          <t>装修费</t>
        </is>
      </c>
      <c r="D151" s="7" t="n">
        <v>86.3</v>
      </c>
      <c r="F151" s="7" t="n">
        <v>89.3</v>
      </c>
      <c r="H151" s="7" t="n">
        <v>146.5</v>
      </c>
      <c r="J151" s="7" t="n">
        <v>99.7</v>
      </c>
      <c r="L151" s="7" t="n">
        <v>85.5</v>
      </c>
      <c r="N151" s="7" t="n">
        <v>168.7</v>
      </c>
      <c r="P151" s="7" t="n">
        <v>137.8</v>
      </c>
      <c r="R151" s="7" t="n">
        <v>86.3</v>
      </c>
      <c r="T151" s="7" t="n">
        <v>142.1</v>
      </c>
      <c r="V151" s="7" t="n">
        <v>210.1</v>
      </c>
      <c r="X151" s="7" t="n">
        <v>116.9</v>
      </c>
      <c r="Z151" s="7" t="n">
        <v>147</v>
      </c>
      <c r="AB151" s="7" t="n">
        <v>1516.2</v>
      </c>
    </row>
    <row r="152">
      <c r="A152" s="4" t="inlineStr">
        <is>
          <t>推广费</t>
        </is>
      </c>
      <c r="D152" s="7" t="n">
        <v>37.2</v>
      </c>
      <c r="F152" s="7" t="n">
        <v>66.40000000000001</v>
      </c>
      <c r="H152" s="7" t="n">
        <v>55.7</v>
      </c>
      <c r="J152" s="7" t="n">
        <v>49.2</v>
      </c>
      <c r="L152" s="7" t="n">
        <v>42.3</v>
      </c>
      <c r="N152" s="7" t="n">
        <v>46</v>
      </c>
      <c r="P152" s="7" t="n">
        <v>56.9</v>
      </c>
      <c r="R152" s="7" t="n">
        <v>57.3</v>
      </c>
      <c r="T152" s="7" t="n">
        <v>70.2</v>
      </c>
      <c r="V152" s="7" t="n">
        <v>79.90000000000001</v>
      </c>
      <c r="X152" s="7" t="n">
        <v>34.3</v>
      </c>
      <c r="Z152" s="7" t="n">
        <v>59.5</v>
      </c>
      <c r="AB152" s="7" t="n">
        <v>654.9</v>
      </c>
    </row>
    <row r="153">
      <c r="A153" s="4" t="inlineStr">
        <is>
          <t>展会费</t>
        </is>
      </c>
      <c r="D153" s="7" t="n">
        <v>170.9</v>
      </c>
      <c r="F153" s="7" t="n">
        <v>190.7</v>
      </c>
      <c r="H153" s="7" t="n">
        <v>226.4</v>
      </c>
      <c r="J153" s="7" t="n">
        <v>200.1</v>
      </c>
      <c r="L153" s="7" t="n">
        <v>165.8</v>
      </c>
      <c r="N153" s="7" t="n">
        <v>318.9</v>
      </c>
      <c r="P153" s="7" t="n">
        <v>304.2</v>
      </c>
      <c r="R153" s="7" t="n">
        <v>190.3</v>
      </c>
      <c r="T153" s="7" t="n">
        <v>412</v>
      </c>
      <c r="V153" s="7" t="n">
        <v>685.6</v>
      </c>
      <c r="X153" s="7" t="n">
        <v>211.6</v>
      </c>
      <c r="Z153" s="7" t="n">
        <v>294.9</v>
      </c>
      <c r="AB153" s="7" t="n">
        <v>3371.4</v>
      </c>
    </row>
    <row r="154">
      <c r="A154" s="4" t="inlineStr">
        <is>
          <t>设计费</t>
        </is>
      </c>
      <c r="D154" s="7" t="n">
        <v>310.4</v>
      </c>
      <c r="F154" s="7" t="n">
        <v>478</v>
      </c>
      <c r="H154" s="7" t="n">
        <v>530.7</v>
      </c>
      <c r="J154" s="7" t="n">
        <v>405.3</v>
      </c>
      <c r="L154" s="7" t="n">
        <v>314.1</v>
      </c>
      <c r="N154" s="7" t="n">
        <v>435.6</v>
      </c>
      <c r="P154" s="7" t="n">
        <v>517.2</v>
      </c>
      <c r="R154" s="7" t="n">
        <v>526.5</v>
      </c>
      <c r="T154" s="7" t="n">
        <v>699.1</v>
      </c>
      <c r="V154" s="7" t="n">
        <v>974.4</v>
      </c>
      <c r="X154" s="7" t="n">
        <v>472.2</v>
      </c>
      <c r="Z154" s="7" t="n">
        <v>641.1</v>
      </c>
      <c r="AB154" s="7" t="n">
        <v>6304.6</v>
      </c>
    </row>
    <row r="155">
      <c r="A155" s="4" t="inlineStr">
        <is>
          <t>折旧费</t>
        </is>
      </c>
      <c r="D155" s="7" t="n">
        <v>4974.7</v>
      </c>
      <c r="F155" s="7" t="n">
        <v>11684.7</v>
      </c>
      <c r="H155" s="7" t="n">
        <v>13889.5</v>
      </c>
      <c r="J155" s="7" t="n">
        <v>8872.5</v>
      </c>
      <c r="L155" s="7" t="n">
        <v>9811.700000000001</v>
      </c>
      <c r="N155" s="7" t="n">
        <v>10718.3</v>
      </c>
      <c r="P155" s="7" t="n">
        <v>11065.3</v>
      </c>
      <c r="R155" s="7" t="n">
        <v>10533.4</v>
      </c>
      <c r="T155" s="7" t="n">
        <v>17911.4</v>
      </c>
      <c r="V155" s="7" t="n">
        <v>22971.3</v>
      </c>
      <c r="X155" s="7" t="n">
        <v>8924</v>
      </c>
      <c r="Z155" s="7" t="n">
        <v>11916.7</v>
      </c>
      <c r="AB155" s="7" t="n">
        <v>143273.5</v>
      </c>
    </row>
    <row r="156">
      <c r="A156" s="4" t="inlineStr">
        <is>
          <t>认证费</t>
        </is>
      </c>
      <c r="D156" s="7" t="n">
        <v>371.2</v>
      </c>
      <c r="F156" s="7" t="n">
        <v>449.7</v>
      </c>
      <c r="H156" s="7" t="n">
        <v>535.7</v>
      </c>
      <c r="J156" s="7" t="n">
        <v>394.6</v>
      </c>
      <c r="L156" s="7" t="n">
        <v>492.5</v>
      </c>
      <c r="N156" s="7" t="n">
        <v>724.5</v>
      </c>
      <c r="P156" s="7" t="n">
        <v>517.6</v>
      </c>
      <c r="R156" s="7" t="n">
        <v>649.3</v>
      </c>
      <c r="T156" s="7" t="n">
        <v>1111.7</v>
      </c>
      <c r="V156" s="7" t="n">
        <v>1692.3</v>
      </c>
      <c r="X156" s="7" t="n">
        <v>520.7</v>
      </c>
      <c r="Z156" s="7" t="n">
        <v>504.2</v>
      </c>
      <c r="AB156" s="7" t="n">
        <v>7964</v>
      </c>
    </row>
    <row r="157">
      <c r="A157" s="4" t="inlineStr">
        <is>
          <t>样品费</t>
        </is>
      </c>
      <c r="D157" s="7" t="n">
        <v>2265.8</v>
      </c>
      <c r="F157" s="7" t="n">
        <v>4437.7</v>
      </c>
      <c r="H157" s="7" t="n">
        <v>6411.4</v>
      </c>
      <c r="J157" s="7" t="n">
        <v>4087.4</v>
      </c>
      <c r="L157" s="7" t="n">
        <v>2966.5</v>
      </c>
      <c r="N157" s="7" t="n">
        <v>6145</v>
      </c>
      <c r="P157" s="7" t="n">
        <v>4448.2</v>
      </c>
      <c r="R157" s="7" t="n">
        <v>5170</v>
      </c>
      <c r="T157" s="7" t="n">
        <v>6450.5</v>
      </c>
      <c r="V157" s="7" t="n">
        <v>9616.4</v>
      </c>
      <c r="X157" s="7" t="n">
        <v>3292.2</v>
      </c>
      <c r="Z157" s="7" t="n">
        <v>5139.5</v>
      </c>
      <c r="AB157" s="7" t="n">
        <v>60430.6</v>
      </c>
    </row>
    <row r="158">
      <c r="A158" s="4" t="inlineStr">
        <is>
          <t>劳务费</t>
        </is>
      </c>
      <c r="D158" s="7" t="n">
        <v>503.7</v>
      </c>
      <c r="F158" s="7" t="n">
        <v>939</v>
      </c>
      <c r="H158" s="7" t="n">
        <v>863.7</v>
      </c>
      <c r="J158" s="7" t="n">
        <v>635.1</v>
      </c>
      <c r="L158" s="7" t="n">
        <v>645.9</v>
      </c>
      <c r="N158" s="7" t="n">
        <v>870.9</v>
      </c>
      <c r="P158" s="7" t="n">
        <v>560</v>
      </c>
      <c r="R158" s="7" t="n">
        <v>585.6</v>
      </c>
      <c r="T158" s="7" t="n">
        <v>1355</v>
      </c>
      <c r="V158" s="7" t="n">
        <v>2025.2</v>
      </c>
      <c r="X158" s="7" t="n">
        <v>864.5</v>
      </c>
      <c r="Z158" s="7" t="n">
        <v>651</v>
      </c>
      <c r="AB158" s="7" t="n">
        <v>10499.6</v>
      </c>
    </row>
    <row r="159">
      <c r="A159" s="4" t="inlineStr">
        <is>
          <t>销售佣金</t>
        </is>
      </c>
      <c r="D159" s="7" t="n">
        <v>782.2</v>
      </c>
      <c r="F159" s="7" t="n">
        <v>1676.9</v>
      </c>
      <c r="H159" s="7" t="n">
        <v>1422.9</v>
      </c>
      <c r="J159" s="7" t="n">
        <v>1166.8</v>
      </c>
      <c r="L159" s="7" t="n">
        <v>955.4</v>
      </c>
      <c r="N159" s="7" t="n">
        <v>1942.3</v>
      </c>
      <c r="P159" s="7" t="n">
        <v>1409.1</v>
      </c>
      <c r="R159" s="7" t="n">
        <v>1677</v>
      </c>
      <c r="T159" s="7" t="n">
        <v>2325.7</v>
      </c>
      <c r="V159" s="7" t="n">
        <v>2445.9</v>
      </c>
      <c r="X159" s="7" t="n">
        <v>1094.7</v>
      </c>
      <c r="Z159" s="7" t="n">
        <v>1502.2</v>
      </c>
      <c r="AB159" s="7" t="n">
        <v>18401.1</v>
      </c>
    </row>
    <row r="160">
      <c r="A160" s="4" t="inlineStr">
        <is>
          <t>检测费</t>
        </is>
      </c>
      <c r="D160" s="7" t="n">
        <v>368.2</v>
      </c>
      <c r="F160" s="7" t="n">
        <v>543</v>
      </c>
      <c r="H160" s="7" t="n">
        <v>744.3</v>
      </c>
      <c r="J160" s="7" t="n">
        <v>680.8</v>
      </c>
      <c r="L160" s="7" t="n">
        <v>647.4</v>
      </c>
      <c r="N160" s="7" t="n">
        <v>879.1</v>
      </c>
      <c r="P160" s="7" t="n">
        <v>526.6</v>
      </c>
      <c r="R160" s="7" t="n">
        <v>669.7</v>
      </c>
      <c r="T160" s="7" t="n">
        <v>985.9</v>
      </c>
      <c r="V160" s="7" t="n">
        <v>1676.3</v>
      </c>
      <c r="X160" s="7" t="n">
        <v>731.6</v>
      </c>
      <c r="Z160" s="7" t="n">
        <v>520.2</v>
      </c>
      <c r="AB160" s="7" t="n">
        <v>8973.1</v>
      </c>
    </row>
    <row r="161">
      <c r="A161" s="4" t="inlineStr">
        <is>
          <t>质量赔偿</t>
        </is>
      </c>
      <c r="D161" s="7" t="n">
        <v>439.7</v>
      </c>
      <c r="F161" s="7" t="n">
        <v>794.8</v>
      </c>
      <c r="H161" s="7" t="n">
        <v>1363.4</v>
      </c>
      <c r="J161" s="7" t="n">
        <v>1071.3</v>
      </c>
      <c r="L161" s="7" t="n">
        <v>729.3</v>
      </c>
      <c r="N161" s="7" t="n">
        <v>1368</v>
      </c>
      <c r="P161" s="7" t="n">
        <v>957.7</v>
      </c>
      <c r="R161" s="7" t="n">
        <v>967.7</v>
      </c>
      <c r="T161" s="7" t="n">
        <v>1565.6</v>
      </c>
      <c r="V161" s="7" t="n">
        <v>2435</v>
      </c>
      <c r="X161" s="7" t="n">
        <v>922</v>
      </c>
      <c r="Z161" s="7" t="n">
        <v>1353.5</v>
      </c>
      <c r="AB161" s="7" t="n">
        <v>13968</v>
      </c>
    </row>
    <row r="162">
      <c r="A162" s="4" t="inlineStr">
        <is>
          <t>保险费</t>
        </is>
      </c>
      <c r="D162" s="7" t="n">
        <v>505.4</v>
      </c>
      <c r="F162" s="7" t="n">
        <v>947.6</v>
      </c>
      <c r="H162" s="7" t="n">
        <v>628.8</v>
      </c>
      <c r="J162" s="7" t="n">
        <v>615.7</v>
      </c>
      <c r="L162" s="7" t="n">
        <v>636.7</v>
      </c>
      <c r="N162" s="7" t="n">
        <v>600.6</v>
      </c>
      <c r="P162" s="7" t="n">
        <v>523.3</v>
      </c>
      <c r="R162" s="7" t="n">
        <v>466</v>
      </c>
      <c r="T162" s="7" t="n">
        <v>948.6</v>
      </c>
      <c r="V162" s="7" t="n">
        <v>1437.4</v>
      </c>
      <c r="X162" s="7" t="n">
        <v>772.7</v>
      </c>
      <c r="Z162" s="7" t="n">
        <v>820.7</v>
      </c>
      <c r="AB162" s="7" t="n">
        <v>8903.5</v>
      </c>
    </row>
    <row r="163">
      <c r="A163" s="4" t="inlineStr">
        <is>
          <t>清洁费</t>
        </is>
      </c>
      <c r="D163" s="7" t="n">
        <v>127.5</v>
      </c>
      <c r="F163" s="7" t="n">
        <v>344</v>
      </c>
      <c r="H163" s="7" t="n">
        <v>280.6</v>
      </c>
      <c r="J163" s="7" t="n">
        <v>309.6</v>
      </c>
      <c r="L163" s="7" t="n">
        <v>288</v>
      </c>
      <c r="N163" s="7" t="n">
        <v>395</v>
      </c>
      <c r="P163" s="7" t="n">
        <v>328.2</v>
      </c>
      <c r="R163" s="7" t="n">
        <v>211.4</v>
      </c>
      <c r="T163" s="7" t="n">
        <v>545</v>
      </c>
      <c r="V163" s="7" t="n">
        <v>461.5</v>
      </c>
      <c r="X163" s="7" t="n">
        <v>329.8</v>
      </c>
      <c r="Z163" s="7" t="n">
        <v>238.1</v>
      </c>
      <c r="AB163" s="7" t="n">
        <v>3858.7</v>
      </c>
    </row>
    <row r="164">
      <c r="A164" s="4" t="inlineStr">
        <is>
          <t>低值易耗品</t>
        </is>
      </c>
      <c r="D164" s="7" t="n">
        <v>323.3</v>
      </c>
      <c r="F164" s="7" t="n">
        <v>636.8</v>
      </c>
      <c r="H164" s="7" t="n">
        <v>508</v>
      </c>
      <c r="J164" s="7" t="n">
        <v>387.1</v>
      </c>
      <c r="L164" s="7" t="n">
        <v>337.1</v>
      </c>
      <c r="N164" s="7" t="n">
        <v>592.1</v>
      </c>
      <c r="P164" s="7" t="n">
        <v>403.6</v>
      </c>
      <c r="R164" s="7" t="n">
        <v>581.9</v>
      </c>
      <c r="T164" s="7" t="n">
        <v>1037.3</v>
      </c>
      <c r="V164" s="7" t="n">
        <v>1436.3</v>
      </c>
      <c r="X164" s="7" t="n">
        <v>643.8</v>
      </c>
      <c r="Z164" s="7" t="n">
        <v>586.3</v>
      </c>
      <c r="AB164" s="7" t="n">
        <v>7473.6</v>
      </c>
    </row>
    <row r="165">
      <c r="A165" s="4" t="inlineStr">
        <is>
          <t>物料消耗</t>
        </is>
      </c>
      <c r="D165" s="7" t="n">
        <v>317.7</v>
      </c>
      <c r="F165" s="7" t="n">
        <v>739.5</v>
      </c>
      <c r="H165" s="7" t="n">
        <v>837</v>
      </c>
      <c r="J165" s="7" t="n">
        <v>718</v>
      </c>
      <c r="L165" s="7" t="n">
        <v>751.4</v>
      </c>
      <c r="N165" s="7" t="n">
        <v>734.8</v>
      </c>
      <c r="P165" s="7" t="n">
        <v>803.6</v>
      </c>
      <c r="R165" s="7" t="n">
        <v>541.9</v>
      </c>
      <c r="T165" s="7" t="n">
        <v>1048.6</v>
      </c>
      <c r="V165" s="7" t="n">
        <v>1387.5</v>
      </c>
      <c r="X165" s="7" t="n">
        <v>511.7</v>
      </c>
      <c r="Z165" s="7" t="n">
        <v>868.5</v>
      </c>
      <c r="AB165" s="7" t="n">
        <v>9260.200000000001</v>
      </c>
    </row>
    <row r="166">
      <c r="A166" s="4" t="inlineStr">
        <is>
          <t>盘盈盘亏</t>
        </is>
      </c>
      <c r="D166" s="7" t="n">
        <v>879.4</v>
      </c>
      <c r="F166" s="7" t="n">
        <v>1621.8</v>
      </c>
      <c r="H166" s="7" t="n">
        <v>1286.5</v>
      </c>
      <c r="J166" s="7" t="n">
        <v>955.1</v>
      </c>
      <c r="L166" s="7" t="n">
        <v>1464.9</v>
      </c>
      <c r="N166" s="7" t="n">
        <v>1183.2</v>
      </c>
      <c r="P166" s="7" t="n">
        <v>976.1</v>
      </c>
      <c r="R166" s="7" t="n">
        <v>1051.3</v>
      </c>
      <c r="T166" s="7" t="n">
        <v>2843.1</v>
      </c>
      <c r="V166" s="7" t="n">
        <v>2510</v>
      </c>
      <c r="X166" s="7" t="n">
        <v>1017.1</v>
      </c>
      <c r="Z166" s="7" t="n">
        <v>1352.6</v>
      </c>
      <c r="AB166" s="7" t="n">
        <v>17141.1</v>
      </c>
    </row>
    <row r="167">
      <c r="A167" s="4" t="inlineStr">
        <is>
          <t>平台服务费</t>
        </is>
      </c>
      <c r="D167" s="7" t="n">
        <v>552</v>
      </c>
      <c r="F167" s="7" t="n">
        <v>1168.3</v>
      </c>
      <c r="H167" s="7" t="n">
        <v>1222</v>
      </c>
      <c r="J167" s="7" t="n">
        <v>767.5</v>
      </c>
      <c r="L167" s="7" t="n">
        <v>751.1</v>
      </c>
      <c r="N167" s="7" t="n">
        <v>861.6</v>
      </c>
      <c r="P167" s="7" t="n">
        <v>935.4</v>
      </c>
      <c r="R167" s="7" t="n">
        <v>1070.2</v>
      </c>
      <c r="T167" s="7" t="n">
        <v>1342.4</v>
      </c>
      <c r="V167" s="7" t="n">
        <v>1918.3</v>
      </c>
      <c r="X167" s="7" t="n">
        <v>1159.3</v>
      </c>
      <c r="Z167" s="7" t="n">
        <v>1353.7</v>
      </c>
      <c r="AB167" s="7" t="n">
        <v>13101.8</v>
      </c>
    </row>
    <row r="168">
      <c r="A168" s="4" t="inlineStr">
        <is>
          <t>无形资产摊销</t>
        </is>
      </c>
      <c r="D168" s="7" t="n">
        <v>551.4</v>
      </c>
      <c r="F168" s="7" t="n">
        <v>679.5</v>
      </c>
      <c r="H168" s="7" t="n">
        <v>796.5</v>
      </c>
      <c r="J168" s="7" t="n">
        <v>600.7</v>
      </c>
      <c r="L168" s="7" t="n">
        <v>593.9</v>
      </c>
      <c r="N168" s="7" t="n">
        <v>1155.3</v>
      </c>
      <c r="P168" s="7" t="n">
        <v>883.4</v>
      </c>
      <c r="R168" s="7" t="n">
        <v>587.6</v>
      </c>
      <c r="T168" s="7" t="n">
        <v>1721.1</v>
      </c>
      <c r="V168" s="7" t="n">
        <v>2083.7</v>
      </c>
      <c r="X168" s="7" t="n">
        <v>662.3</v>
      </c>
      <c r="Z168" s="7" t="n">
        <v>1192.2</v>
      </c>
      <c r="AB168" s="7" t="n">
        <v>11507.6</v>
      </c>
    </row>
    <row r="169">
      <c r="A169" s="4" t="inlineStr">
        <is>
          <t>研发材料</t>
        </is>
      </c>
      <c r="D169" s="7" t="n">
        <v>123.3</v>
      </c>
      <c r="F169" s="7" t="n">
        <v>334.1</v>
      </c>
      <c r="H169" s="7" t="n">
        <v>325.2</v>
      </c>
      <c r="J169" s="7" t="n">
        <v>235.5</v>
      </c>
      <c r="L169" s="7" t="n">
        <v>307.3</v>
      </c>
      <c r="N169" s="7" t="n">
        <v>258.4</v>
      </c>
      <c r="P169" s="7" t="n">
        <v>283.3</v>
      </c>
      <c r="R169" s="7" t="n">
        <v>214.6</v>
      </c>
      <c r="T169" s="7" t="n">
        <v>512.1</v>
      </c>
      <c r="V169" s="7" t="n">
        <v>664.9</v>
      </c>
      <c r="X169" s="7" t="n">
        <v>209.1</v>
      </c>
      <c r="Z169" s="7" t="n">
        <v>303.3</v>
      </c>
      <c r="AB169" s="7" t="n">
        <v>3771.1</v>
      </c>
    </row>
    <row r="170">
      <c r="A170" s="4" t="inlineStr">
        <is>
          <t>项目名称</t>
        </is>
      </c>
      <c r="D170" s="7" t="n">
        <v>98</v>
      </c>
      <c r="F170" s="7" t="n">
        <v>181.4</v>
      </c>
      <c r="H170" s="7" t="n">
        <v>166.9</v>
      </c>
      <c r="J170" s="7" t="n">
        <v>125.6</v>
      </c>
      <c r="L170" s="7" t="n">
        <v>120.5</v>
      </c>
      <c r="N170" s="7" t="n">
        <v>190.3</v>
      </c>
      <c r="P170" s="7" t="n">
        <v>157.3</v>
      </c>
      <c r="R170" s="7" t="n">
        <v>141.4</v>
      </c>
      <c r="T170" s="7" t="n">
        <v>256.8</v>
      </c>
      <c r="V170" s="7" t="n">
        <v>383.7</v>
      </c>
      <c r="X170" s="7" t="n">
        <v>162.6</v>
      </c>
      <c r="Z170" s="7" t="n">
        <v>234.3</v>
      </c>
      <c r="AB170" s="7" t="n">
        <v>2218.8</v>
      </c>
    </row>
    <row r="171">
      <c r="A171" s="4" t="inlineStr">
        <is>
          <t>研发费</t>
        </is>
      </c>
      <c r="D171" s="7" t="n">
        <v>147.8</v>
      </c>
      <c r="F171" s="7" t="n">
        <v>257.9</v>
      </c>
      <c r="H171" s="7" t="n">
        <v>337.9</v>
      </c>
      <c r="J171" s="7" t="n">
        <v>237.9</v>
      </c>
      <c r="L171" s="7" t="n">
        <v>218.5</v>
      </c>
      <c r="N171" s="7" t="n">
        <v>338</v>
      </c>
      <c r="P171" s="7" t="n">
        <v>371.9</v>
      </c>
      <c r="R171" s="7" t="n">
        <v>360</v>
      </c>
      <c r="T171" s="7" t="n">
        <v>561.5</v>
      </c>
      <c r="V171" s="7" t="n">
        <v>591</v>
      </c>
      <c r="X171" s="7" t="n">
        <v>382.5</v>
      </c>
      <c r="Z171" s="7" t="n">
        <v>506.2</v>
      </c>
      <c r="AB171" s="7" t="n">
        <v>4311.1</v>
      </c>
    </row>
    <row r="172">
      <c r="A172" s="4" t="inlineStr">
        <is>
          <t>残保金</t>
        </is>
      </c>
      <c r="D172" s="7" t="n">
        <v>203.1</v>
      </c>
      <c r="F172" s="7" t="n">
        <v>511.7</v>
      </c>
      <c r="H172" s="7" t="n">
        <v>436.2</v>
      </c>
      <c r="J172" s="7" t="n">
        <v>343.1</v>
      </c>
      <c r="L172" s="7" t="n">
        <v>371.2</v>
      </c>
      <c r="N172" s="7" t="n">
        <v>563.3</v>
      </c>
      <c r="P172" s="7" t="n">
        <v>320.6</v>
      </c>
      <c r="R172" s="7" t="n">
        <v>390.2</v>
      </c>
      <c r="T172" s="7" t="n">
        <v>821.9</v>
      </c>
      <c r="V172" s="7" t="n">
        <v>935.9</v>
      </c>
      <c r="X172" s="7" t="n">
        <v>362</v>
      </c>
      <c r="Z172" s="7" t="n">
        <v>626.7</v>
      </c>
      <c r="AB172" s="7" t="n">
        <v>5885.9</v>
      </c>
    </row>
    <row r="173">
      <c r="A173" s="4" t="inlineStr">
        <is>
          <t>环保费</t>
        </is>
      </c>
      <c r="D173" s="7" t="n">
        <v>195.1</v>
      </c>
      <c r="F173" s="7" t="n">
        <v>288.2</v>
      </c>
      <c r="H173" s="7" t="n">
        <v>346.9</v>
      </c>
      <c r="J173" s="7" t="n">
        <v>433.5</v>
      </c>
      <c r="L173" s="7" t="n">
        <v>245</v>
      </c>
      <c r="N173" s="7" t="n">
        <v>310.9</v>
      </c>
      <c r="P173" s="7" t="n">
        <v>371.2</v>
      </c>
      <c r="R173" s="7" t="n">
        <v>311.9</v>
      </c>
      <c r="T173" s="7" t="n">
        <v>526.3</v>
      </c>
      <c r="V173" s="7" t="n">
        <v>724.6</v>
      </c>
      <c r="X173" s="7" t="n">
        <v>272</v>
      </c>
      <c r="Z173" s="7" t="n">
        <v>496.3</v>
      </c>
      <c r="AB173" s="7" t="n">
        <v>4521.9</v>
      </c>
    </row>
    <row r="174">
      <c r="A174" s="4" t="inlineStr">
        <is>
          <t>报废损失</t>
        </is>
      </c>
      <c r="D174" s="7" t="n">
        <v>828.6</v>
      </c>
      <c r="F174" s="7" t="n">
        <v>1780.3</v>
      </c>
      <c r="H174" s="7" t="n">
        <v>1603</v>
      </c>
      <c r="J174" s="7" t="n">
        <v>1241.2</v>
      </c>
      <c r="L174" s="7" t="n">
        <v>946.8</v>
      </c>
      <c r="N174" s="7" t="n">
        <v>1202.7</v>
      </c>
      <c r="P174" s="7" t="n">
        <v>1605.6</v>
      </c>
      <c r="R174" s="7" t="n">
        <v>1288.4</v>
      </c>
      <c r="T174" s="7" t="n">
        <v>3019.3</v>
      </c>
      <c r="V174" s="7" t="n">
        <v>3625.6</v>
      </c>
      <c r="X174" s="7" t="n">
        <v>1323.1</v>
      </c>
      <c r="Z174" s="7" t="n">
        <v>1282.2</v>
      </c>
      <c r="AB174" s="7" t="n">
        <v>19746.8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138695.5</v>
      </c>
      <c r="D175" s="7" t="n">
        <v>49218.5</v>
      </c>
      <c r="E175" s="7" t="n">
        <v>145788.4</v>
      </c>
      <c r="F175" s="7" t="n">
        <v>48653.7</v>
      </c>
      <c r="G175" s="7" t="n">
        <v>141215</v>
      </c>
      <c r="H175" s="7" t="n">
        <v>90671.60000000001</v>
      </c>
      <c r="I175" s="7" t="n">
        <v>144441.4</v>
      </c>
      <c r="J175" s="7" t="n">
        <v>185947.9</v>
      </c>
      <c r="K175" s="7" t="n">
        <v>146211</v>
      </c>
      <c r="L175" s="7" t="n">
        <v>145697.8</v>
      </c>
      <c r="M175" s="7" t="n">
        <v>134217.3</v>
      </c>
      <c r="N175" s="7" t="n">
        <v>214700.3</v>
      </c>
      <c r="O175" s="7" t="n">
        <v>115312.9</v>
      </c>
      <c r="P175" s="7" t="n">
        <v>299267.6</v>
      </c>
      <c r="Q175" s="7" t="n">
        <v>137741.5</v>
      </c>
      <c r="R175" s="7" t="n">
        <v>104868.6</v>
      </c>
      <c r="S175" s="7" t="n">
        <v>139402.3</v>
      </c>
      <c r="T175" s="7" t="n">
        <v>138268.7</v>
      </c>
      <c r="U175" s="7" t="n">
        <v>111710.6</v>
      </c>
      <c r="V175" s="7" t="n">
        <v>147874.1</v>
      </c>
      <c r="W175" s="7" t="n">
        <v>149204.1</v>
      </c>
      <c r="X175" s="7" t="n">
        <v>55709.9</v>
      </c>
      <c r="Y175" s="7" t="n">
        <v>144414.3</v>
      </c>
      <c r="Z175" s="7" t="n">
        <v>84758.5</v>
      </c>
      <c r="AA175" s="8" t="n">
        <v>1648354.3</v>
      </c>
      <c r="AB175" s="8" t="n">
        <v>1565637.2</v>
      </c>
    </row>
    <row r="176">
      <c r="A176" s="4" t="inlineStr">
        <is>
          <t>职工薪酬</t>
        </is>
      </c>
      <c r="D176" s="7" t="n">
        <v>28876.6</v>
      </c>
      <c r="F176" s="7" t="n">
        <v>25599.6</v>
      </c>
      <c r="H176" s="7" t="n">
        <v>52704.6</v>
      </c>
      <c r="J176" s="7" t="n">
        <v>98405.39999999999</v>
      </c>
      <c r="L176" s="7" t="n">
        <v>90306.5</v>
      </c>
      <c r="N176" s="7" t="n">
        <v>113766.2</v>
      </c>
      <c r="P176" s="7" t="n">
        <v>139772.1</v>
      </c>
      <c r="R176" s="7" t="n">
        <v>60300.1</v>
      </c>
      <c r="T176" s="7" t="n">
        <v>86547.5</v>
      </c>
      <c r="V176" s="7" t="n">
        <v>68941.8</v>
      </c>
      <c r="X176" s="7" t="n">
        <v>28388.9</v>
      </c>
      <c r="Z176" s="7" t="n">
        <v>51015.4</v>
      </c>
      <c r="AB176" s="7" t="n">
        <v>844624.7</v>
      </c>
    </row>
    <row r="177">
      <c r="A177" s="4" t="inlineStr">
        <is>
          <t>工资</t>
        </is>
      </c>
      <c r="D177" s="7" t="n">
        <v>18106.8</v>
      </c>
      <c r="F177" s="7" t="n">
        <v>16162</v>
      </c>
      <c r="H177" s="7" t="n">
        <v>33717.1</v>
      </c>
      <c r="J177" s="7" t="n">
        <v>54086.4</v>
      </c>
      <c r="L177" s="7" t="n">
        <v>55728.7</v>
      </c>
      <c r="N177" s="7" t="n">
        <v>65449.9</v>
      </c>
      <c r="P177" s="7" t="n">
        <v>77137.89999999999</v>
      </c>
      <c r="R177" s="7" t="n">
        <v>34840.7</v>
      </c>
      <c r="T177" s="7" t="n">
        <v>51137.2</v>
      </c>
      <c r="V177" s="7" t="n">
        <v>41461.6</v>
      </c>
      <c r="X177" s="7" t="n">
        <v>15883.6</v>
      </c>
      <c r="Z177" s="7" t="n">
        <v>32963.4</v>
      </c>
      <c r="AB177" s="7" t="n">
        <v>496675.3</v>
      </c>
    </row>
    <row r="178">
      <c r="A178" s="4" t="inlineStr">
        <is>
          <t>奖金及提成</t>
        </is>
      </c>
      <c r="D178" s="7" t="n">
        <v>4358.8</v>
      </c>
      <c r="F178" s="7" t="n">
        <v>3525.7</v>
      </c>
      <c r="H178" s="7" t="n">
        <v>9176.4</v>
      </c>
      <c r="J178" s="7" t="n">
        <v>16846.2</v>
      </c>
      <c r="L178" s="7" t="n">
        <v>15552.1</v>
      </c>
      <c r="N178" s="7" t="n">
        <v>20612.9</v>
      </c>
      <c r="P178" s="7" t="n">
        <v>29119.2</v>
      </c>
      <c r="R178" s="7" t="n">
        <v>13432.5</v>
      </c>
      <c r="T178" s="7" t="n">
        <v>16252.2</v>
      </c>
      <c r="V178" s="7" t="n">
        <v>12910.1</v>
      </c>
      <c r="X178" s="7" t="n">
        <v>7140.2</v>
      </c>
      <c r="Z178" s="7" t="n">
        <v>8470.4</v>
      </c>
      <c r="AB178" s="7" t="n">
        <v>157396.7</v>
      </c>
    </row>
    <row r="179">
      <c r="A179" s="4" t="inlineStr">
        <is>
          <t>社保</t>
        </is>
      </c>
      <c r="D179" s="7" t="n">
        <v>4375.8</v>
      </c>
      <c r="F179" s="7" t="n">
        <v>3813.6</v>
      </c>
      <c r="H179" s="7" t="n">
        <v>5731.4</v>
      </c>
      <c r="J179" s="7" t="n">
        <v>19041.1</v>
      </c>
      <c r="L179" s="7" t="n">
        <v>12521.6</v>
      </c>
      <c r="N179" s="7" t="n">
        <v>18869.4</v>
      </c>
      <c r="P179" s="7" t="n">
        <v>21120.8</v>
      </c>
      <c r="R179" s="7" t="n">
        <v>7323.7</v>
      </c>
      <c r="T179" s="7" t="n">
        <v>13051.1</v>
      </c>
      <c r="V179" s="7" t="n">
        <v>8391.6</v>
      </c>
      <c r="X179" s="7" t="n">
        <v>3229.3</v>
      </c>
      <c r="Z179" s="7" t="n">
        <v>5897.9</v>
      </c>
      <c r="AB179" s="7" t="n">
        <v>123367.3</v>
      </c>
    </row>
    <row r="180">
      <c r="A180" s="4" t="inlineStr">
        <is>
          <t>养老</t>
        </is>
      </c>
      <c r="D180" s="7" t="n">
        <v>140.1</v>
      </c>
      <c r="F180" s="7" t="n">
        <v>167.2</v>
      </c>
      <c r="H180" s="7" t="n">
        <v>337.9</v>
      </c>
      <c r="J180" s="7" t="n">
        <v>792.7</v>
      </c>
      <c r="L180" s="7" t="n">
        <v>396.9</v>
      </c>
      <c r="N180" s="7" t="n">
        <v>710.4</v>
      </c>
      <c r="P180" s="7" t="n">
        <v>1059.3</v>
      </c>
      <c r="R180" s="7" t="n">
        <v>354.8</v>
      </c>
      <c r="T180" s="7" t="n">
        <v>653.6</v>
      </c>
      <c r="V180" s="7" t="n">
        <v>632.1</v>
      </c>
      <c r="X180" s="7" t="n">
        <v>251.6</v>
      </c>
      <c r="Z180" s="7" t="n">
        <v>261.4</v>
      </c>
      <c r="AB180" s="7" t="n">
        <v>5758</v>
      </c>
    </row>
    <row r="181">
      <c r="A181" s="4" t="inlineStr">
        <is>
          <t>医疗</t>
        </is>
      </c>
      <c r="D181" s="7" t="n">
        <v>23.9</v>
      </c>
      <c r="F181" s="7" t="n">
        <v>35.6</v>
      </c>
      <c r="H181" s="7" t="n">
        <v>41.8</v>
      </c>
      <c r="J181" s="7" t="n">
        <v>110.2</v>
      </c>
      <c r="L181" s="7" t="n">
        <v>61.5</v>
      </c>
      <c r="N181" s="7" t="n">
        <v>100.7</v>
      </c>
      <c r="P181" s="7" t="n">
        <v>166.1</v>
      </c>
      <c r="R181" s="7" t="n">
        <v>54</v>
      </c>
      <c r="T181" s="7" t="n">
        <v>92.59999999999999</v>
      </c>
      <c r="V181" s="7" t="n">
        <v>90.3</v>
      </c>
      <c r="X181" s="7" t="n">
        <v>30</v>
      </c>
      <c r="Z181" s="7" t="n">
        <v>61.2</v>
      </c>
      <c r="AB181" s="7" t="n">
        <v>867.9</v>
      </c>
    </row>
    <row r="182">
      <c r="A182" s="4" t="inlineStr">
        <is>
          <t>工伤</t>
        </is>
      </c>
      <c r="D182" s="7" t="n">
        <v>27.1</v>
      </c>
      <c r="F182" s="7" t="n">
        <v>27.6</v>
      </c>
      <c r="H182" s="7" t="n">
        <v>51.7</v>
      </c>
      <c r="J182" s="7" t="n">
        <v>124.3</v>
      </c>
      <c r="L182" s="7" t="n">
        <v>103.8</v>
      </c>
      <c r="N182" s="7" t="n">
        <v>123.5</v>
      </c>
      <c r="P182" s="7" t="n">
        <v>201.6</v>
      </c>
      <c r="R182" s="7" t="n">
        <v>74.90000000000001</v>
      </c>
      <c r="T182" s="7" t="n">
        <v>72.90000000000001</v>
      </c>
      <c r="V182" s="7" t="n">
        <v>74.40000000000001</v>
      </c>
      <c r="X182" s="7" t="n">
        <v>37</v>
      </c>
      <c r="Z182" s="7" t="n">
        <v>48</v>
      </c>
      <c r="AB182" s="7" t="n">
        <v>966.8</v>
      </c>
    </row>
    <row r="183">
      <c r="A183" s="4" t="inlineStr">
        <is>
          <t>失业</t>
        </is>
      </c>
      <c r="D183" s="7" t="n">
        <v>28.7</v>
      </c>
      <c r="F183" s="7" t="n">
        <v>29.4</v>
      </c>
      <c r="H183" s="7" t="n">
        <v>52.3</v>
      </c>
      <c r="J183" s="7" t="n">
        <v>96.59999999999999</v>
      </c>
      <c r="L183" s="7" t="n">
        <v>100.2</v>
      </c>
      <c r="N183" s="7" t="n">
        <v>115.9</v>
      </c>
      <c r="P183" s="7" t="n">
        <v>131.6</v>
      </c>
      <c r="R183" s="7" t="n">
        <v>56.8</v>
      </c>
      <c r="T183" s="7" t="n">
        <v>68.90000000000001</v>
      </c>
      <c r="V183" s="7" t="n">
        <v>104.7</v>
      </c>
      <c r="X183" s="7" t="n">
        <v>35.3</v>
      </c>
      <c r="Z183" s="7" t="n">
        <v>46.7</v>
      </c>
      <c r="AB183" s="7" t="n">
        <v>867.1</v>
      </c>
    </row>
    <row r="184">
      <c r="A184" s="4" t="inlineStr">
        <is>
          <t>生育</t>
        </is>
      </c>
      <c r="D184" s="7" t="n">
        <v>131.4</v>
      </c>
      <c r="F184" s="7" t="n">
        <v>129.1</v>
      </c>
      <c r="H184" s="7" t="n">
        <v>182.2</v>
      </c>
      <c r="J184" s="7" t="n">
        <v>539.9</v>
      </c>
      <c r="L184" s="7" t="n">
        <v>520.7</v>
      </c>
      <c r="N184" s="7" t="n">
        <v>573.5</v>
      </c>
      <c r="P184" s="7" t="n">
        <v>968.1</v>
      </c>
      <c r="R184" s="7" t="n">
        <v>314.4</v>
      </c>
      <c r="T184" s="7" t="n">
        <v>341.8</v>
      </c>
      <c r="V184" s="7" t="n">
        <v>350.7</v>
      </c>
      <c r="X184" s="7" t="n">
        <v>157.4</v>
      </c>
      <c r="Z184" s="7" t="n">
        <v>184.5</v>
      </c>
      <c r="AB184" s="7" t="n">
        <v>4393.7</v>
      </c>
    </row>
    <row r="185">
      <c r="A185" s="4" t="inlineStr">
        <is>
          <t>公积金</t>
        </is>
      </c>
      <c r="D185" s="7" t="n">
        <v>182.2</v>
      </c>
      <c r="F185" s="7" t="n">
        <v>151.8</v>
      </c>
      <c r="H185" s="7" t="n">
        <v>372.5</v>
      </c>
      <c r="J185" s="7" t="n">
        <v>619.8</v>
      </c>
      <c r="L185" s="7" t="n">
        <v>488.8</v>
      </c>
      <c r="N185" s="7" t="n">
        <v>538.1</v>
      </c>
      <c r="P185" s="7" t="n">
        <v>1262.8</v>
      </c>
      <c r="R185" s="7" t="n">
        <v>457.6</v>
      </c>
      <c r="T185" s="7" t="n">
        <v>480.8</v>
      </c>
      <c r="V185" s="7" t="n">
        <v>385.9</v>
      </c>
      <c r="X185" s="7" t="n">
        <v>145.4</v>
      </c>
      <c r="Z185" s="7" t="n">
        <v>361.7</v>
      </c>
      <c r="AB185" s="7" t="n">
        <v>5447.4</v>
      </c>
    </row>
    <row r="186">
      <c r="A186" s="4" t="inlineStr">
        <is>
          <t>工会经费</t>
        </is>
      </c>
      <c r="D186" s="7" t="n">
        <v>188.8</v>
      </c>
      <c r="F186" s="7" t="n">
        <v>157.3</v>
      </c>
      <c r="H186" s="7" t="n">
        <v>337.8</v>
      </c>
      <c r="J186" s="7" t="n">
        <v>783.6</v>
      </c>
      <c r="L186" s="7" t="n">
        <v>558</v>
      </c>
      <c r="N186" s="7" t="n">
        <v>673.9</v>
      </c>
      <c r="P186" s="7" t="n">
        <v>1459.3</v>
      </c>
      <c r="R186" s="7" t="n">
        <v>493.7</v>
      </c>
      <c r="T186" s="7" t="n">
        <v>673.9</v>
      </c>
      <c r="V186" s="7" t="n">
        <v>461.2</v>
      </c>
      <c r="X186" s="7" t="n">
        <v>195.4</v>
      </c>
      <c r="Z186" s="7" t="n">
        <v>284.1</v>
      </c>
      <c r="AB186" s="7" t="n">
        <v>6267</v>
      </c>
    </row>
    <row r="187">
      <c r="A187" s="4" t="inlineStr">
        <is>
          <t>职工教育经费</t>
        </is>
      </c>
      <c r="D187" s="7" t="n">
        <v>238.3</v>
      </c>
      <c r="F187" s="7" t="n">
        <v>197</v>
      </c>
      <c r="H187" s="7" t="n">
        <v>486.6</v>
      </c>
      <c r="J187" s="7" t="n">
        <v>1093.6</v>
      </c>
      <c r="L187" s="7" t="n">
        <v>622.9</v>
      </c>
      <c r="N187" s="7" t="n">
        <v>924.1</v>
      </c>
      <c r="P187" s="7" t="n">
        <v>1879.5</v>
      </c>
      <c r="R187" s="7" t="n">
        <v>358.4</v>
      </c>
      <c r="T187" s="7" t="n">
        <v>665.3</v>
      </c>
      <c r="V187" s="7" t="n">
        <v>798.9</v>
      </c>
      <c r="X187" s="7" t="n">
        <v>208</v>
      </c>
      <c r="Z187" s="7" t="n">
        <v>288.1</v>
      </c>
      <c r="AB187" s="7" t="n">
        <v>7760.7</v>
      </c>
    </row>
    <row r="188">
      <c r="A188" s="4" t="inlineStr">
        <is>
          <t>福利费</t>
        </is>
      </c>
      <c r="D188" s="7" t="n">
        <v>1425.9</v>
      </c>
      <c r="F188" s="7" t="n">
        <v>1592.2</v>
      </c>
      <c r="H188" s="7" t="n">
        <v>2882.8</v>
      </c>
      <c r="J188" s="7" t="n">
        <v>5934.7</v>
      </c>
      <c r="L188" s="7" t="n">
        <v>4834.4</v>
      </c>
      <c r="N188" s="7" t="n">
        <v>6697.9</v>
      </c>
      <c r="P188" s="7" t="n">
        <v>7792.6</v>
      </c>
      <c r="R188" s="7" t="n">
        <v>3393.5</v>
      </c>
      <c r="T188" s="7" t="n">
        <v>4287</v>
      </c>
      <c r="V188" s="7" t="n">
        <v>4532.5</v>
      </c>
      <c r="X188" s="7" t="n">
        <v>1587</v>
      </c>
      <c r="Z188" s="7" t="n">
        <v>2749.8</v>
      </c>
      <c r="AB188" s="7" t="n">
        <v>47710.3</v>
      </c>
    </row>
    <row r="189">
      <c r="A189" s="4" t="inlineStr">
        <is>
          <t>职工房租</t>
        </is>
      </c>
      <c r="D189" s="7" t="n">
        <v>279.3</v>
      </c>
      <c r="F189" s="7" t="n">
        <v>320.4</v>
      </c>
      <c r="H189" s="7" t="n">
        <v>554.9</v>
      </c>
      <c r="J189" s="7" t="n">
        <v>1247.6</v>
      </c>
      <c r="L189" s="7" t="n">
        <v>860.7</v>
      </c>
      <c r="N189" s="7" t="n">
        <v>1136.9</v>
      </c>
      <c r="P189" s="7" t="n">
        <v>1786.8</v>
      </c>
      <c r="R189" s="7" t="n">
        <v>469.4</v>
      </c>
      <c r="T189" s="7" t="n">
        <v>909</v>
      </c>
      <c r="V189" s="7" t="n">
        <v>893.3</v>
      </c>
      <c r="X189" s="7" t="n">
        <v>246.7</v>
      </c>
      <c r="Z189" s="7" t="n">
        <v>535.7</v>
      </c>
      <c r="AB189" s="7" t="n">
        <v>9240.700000000001</v>
      </c>
    </row>
    <row r="190">
      <c r="A190" s="4" t="inlineStr">
        <is>
          <t>水电物业费</t>
        </is>
      </c>
      <c r="D190" s="7" t="n">
        <v>173.9</v>
      </c>
      <c r="F190" s="7" t="n">
        <v>152.4</v>
      </c>
      <c r="H190" s="7" t="n">
        <v>357.7</v>
      </c>
      <c r="J190" s="7" t="n">
        <v>850.2</v>
      </c>
      <c r="L190" s="7" t="n">
        <v>520.1</v>
      </c>
      <c r="N190" s="7" t="n">
        <v>847.1</v>
      </c>
      <c r="P190" s="7" t="n">
        <v>1002.8</v>
      </c>
      <c r="R190" s="7" t="n">
        <v>420.5</v>
      </c>
      <c r="T190" s="7" t="n">
        <v>378.9</v>
      </c>
      <c r="V190" s="7" t="n">
        <v>503.7</v>
      </c>
      <c r="X190" s="7" t="n">
        <v>190.7</v>
      </c>
      <c r="Z190" s="7" t="n">
        <v>217.8</v>
      </c>
      <c r="AB190" s="7" t="n">
        <v>5615.8</v>
      </c>
    </row>
    <row r="191">
      <c r="A191" s="4" t="inlineStr">
        <is>
          <t>员工餐</t>
        </is>
      </c>
      <c r="D191" s="7" t="n">
        <v>153.2</v>
      </c>
      <c r="F191" s="7" t="n">
        <v>103</v>
      </c>
      <c r="H191" s="7" t="n">
        <v>239.6</v>
      </c>
      <c r="J191" s="7" t="n">
        <v>605.9</v>
      </c>
      <c r="L191" s="7" t="n">
        <v>539.7</v>
      </c>
      <c r="N191" s="7" t="n">
        <v>689.8</v>
      </c>
      <c r="P191" s="7" t="n">
        <v>650.8</v>
      </c>
      <c r="R191" s="7" t="n">
        <v>391.1</v>
      </c>
      <c r="T191" s="7" t="n">
        <v>529.5</v>
      </c>
      <c r="V191" s="7" t="n">
        <v>434.7</v>
      </c>
      <c r="X191" s="7" t="n">
        <v>189.3</v>
      </c>
      <c r="Z191" s="7" t="n">
        <v>220</v>
      </c>
      <c r="AB191" s="7" t="n">
        <v>4746.6</v>
      </c>
    </row>
    <row r="192">
      <c r="A192" s="4" t="inlineStr">
        <is>
          <t>节日礼品</t>
        </is>
      </c>
      <c r="D192" s="7" t="n">
        <v>289.8</v>
      </c>
      <c r="F192" s="7" t="n">
        <v>380.1</v>
      </c>
      <c r="H192" s="7" t="n">
        <v>584.8</v>
      </c>
      <c r="J192" s="7" t="n">
        <v>1088.5</v>
      </c>
      <c r="L192" s="7" t="n">
        <v>1054</v>
      </c>
      <c r="N192" s="7" t="n">
        <v>1291.5</v>
      </c>
      <c r="P192" s="7" t="n">
        <v>1421.2</v>
      </c>
      <c r="R192" s="7" t="n">
        <v>738.3</v>
      </c>
      <c r="T192" s="7" t="n">
        <v>811</v>
      </c>
      <c r="V192" s="7" t="n">
        <v>1077.2</v>
      </c>
      <c r="X192" s="7" t="n">
        <v>324.1</v>
      </c>
      <c r="Z192" s="7" t="n">
        <v>616.1</v>
      </c>
      <c r="AB192" s="7" t="n">
        <v>9676.6</v>
      </c>
    </row>
    <row r="193">
      <c r="A193" s="4" t="inlineStr">
        <is>
          <t>生日礼品</t>
        </is>
      </c>
      <c r="D193" s="7" t="n">
        <v>220.1</v>
      </c>
      <c r="F193" s="7" t="n">
        <v>290.5</v>
      </c>
      <c r="H193" s="7" t="n">
        <v>412.4</v>
      </c>
      <c r="J193" s="7" t="n">
        <v>898.2</v>
      </c>
      <c r="L193" s="7" t="n">
        <v>939.3</v>
      </c>
      <c r="N193" s="7" t="n">
        <v>1204</v>
      </c>
      <c r="P193" s="7" t="n">
        <v>1429.4</v>
      </c>
      <c r="R193" s="7" t="n">
        <v>531.8</v>
      </c>
      <c r="T193" s="7" t="n">
        <v>781.3</v>
      </c>
      <c r="V193" s="7" t="n">
        <v>797.6</v>
      </c>
      <c r="X193" s="7" t="n">
        <v>361.1</v>
      </c>
      <c r="Z193" s="7" t="n">
        <v>509.5</v>
      </c>
      <c r="AB193" s="7" t="n">
        <v>8375.200000000001</v>
      </c>
    </row>
    <row r="194">
      <c r="A194" s="4" t="inlineStr">
        <is>
          <t>体检</t>
        </is>
      </c>
      <c r="D194" s="7" t="n">
        <v>131.9</v>
      </c>
      <c r="F194" s="7" t="n">
        <v>149.9</v>
      </c>
      <c r="H194" s="7" t="n">
        <v>397.7</v>
      </c>
      <c r="J194" s="7" t="n">
        <v>582.3</v>
      </c>
      <c r="L194" s="7" t="n">
        <v>537.4</v>
      </c>
      <c r="N194" s="7" t="n">
        <v>697</v>
      </c>
      <c r="P194" s="7" t="n">
        <v>749.6</v>
      </c>
      <c r="R194" s="7" t="n">
        <v>437.6</v>
      </c>
      <c r="T194" s="7" t="n">
        <v>379</v>
      </c>
      <c r="V194" s="7" t="n">
        <v>386.2</v>
      </c>
      <c r="X194" s="7" t="n">
        <v>146.6</v>
      </c>
      <c r="Z194" s="7" t="n">
        <v>368.1</v>
      </c>
      <c r="AB194" s="7" t="n">
        <v>4963.3</v>
      </c>
    </row>
    <row r="195">
      <c r="A195" s="4" t="inlineStr">
        <is>
          <t>其他福利支出</t>
        </is>
      </c>
      <c r="D195" s="7" t="n">
        <v>177.7</v>
      </c>
      <c r="F195" s="7" t="n">
        <v>195.9</v>
      </c>
      <c r="H195" s="7" t="n">
        <v>335.7</v>
      </c>
      <c r="J195" s="7" t="n">
        <v>662</v>
      </c>
      <c r="L195" s="7" t="n">
        <v>383.2</v>
      </c>
      <c r="N195" s="7" t="n">
        <v>831.6</v>
      </c>
      <c r="P195" s="7" t="n">
        <v>752</v>
      </c>
      <c r="R195" s="7" t="n">
        <v>404.8</v>
      </c>
      <c r="T195" s="7" t="n">
        <v>498.3</v>
      </c>
      <c r="V195" s="7" t="n">
        <v>439.8</v>
      </c>
      <c r="X195" s="7" t="n">
        <v>128.5</v>
      </c>
      <c r="Z195" s="7" t="n">
        <v>282.6</v>
      </c>
      <c r="AB195" s="7" t="n">
        <v>5092.1</v>
      </c>
    </row>
    <row r="196">
      <c r="A196" s="4" t="inlineStr">
        <is>
          <t>招聘费</t>
        </is>
      </c>
      <c r="D196" s="7" t="n">
        <v>44.6</v>
      </c>
      <c r="F196" s="7" t="n">
        <v>27.2</v>
      </c>
      <c r="H196" s="7" t="n">
        <v>78.8</v>
      </c>
      <c r="J196" s="7" t="n">
        <v>148.5</v>
      </c>
      <c r="L196" s="7" t="n">
        <v>131.7</v>
      </c>
      <c r="N196" s="7" t="n">
        <v>202.1</v>
      </c>
      <c r="P196" s="7" t="n">
        <v>200.5</v>
      </c>
      <c r="R196" s="7" t="n">
        <v>88.09999999999999</v>
      </c>
      <c r="T196" s="7" t="n">
        <v>96.2</v>
      </c>
      <c r="V196" s="7" t="n">
        <v>143.6</v>
      </c>
      <c r="X196" s="7" t="n">
        <v>43.7</v>
      </c>
      <c r="Z196" s="7" t="n">
        <v>52.2</v>
      </c>
      <c r="AB196" s="7" t="n">
        <v>1257.2</v>
      </c>
    </row>
    <row r="197">
      <c r="A197" s="4" t="inlineStr">
        <is>
          <t>办公费</t>
        </is>
      </c>
      <c r="D197" s="7" t="n">
        <v>1257.3</v>
      </c>
      <c r="F197" s="7" t="n">
        <v>1404.9</v>
      </c>
      <c r="H197" s="7" t="n">
        <v>2371</v>
      </c>
      <c r="J197" s="7" t="n">
        <v>4578.3</v>
      </c>
      <c r="L197" s="7" t="n">
        <v>3484.7</v>
      </c>
      <c r="N197" s="7" t="n">
        <v>7653.9</v>
      </c>
      <c r="P197" s="7" t="n">
        <v>10640.8</v>
      </c>
      <c r="R197" s="7" t="n">
        <v>2565.2</v>
      </c>
      <c r="T197" s="7" t="n">
        <v>4352.4</v>
      </c>
      <c r="V197" s="7" t="n">
        <v>4779.9</v>
      </c>
      <c r="X197" s="7" t="n">
        <v>1840.4</v>
      </c>
      <c r="Z197" s="7" t="n">
        <v>2090.5</v>
      </c>
      <c r="AB197" s="7" t="n">
        <v>47019.3</v>
      </c>
    </row>
    <row r="198">
      <c r="A198" s="4" t="inlineStr">
        <is>
          <t>市内交通费</t>
        </is>
      </c>
      <c r="D198" s="7" t="n">
        <v>323.1</v>
      </c>
      <c r="F198" s="7" t="n">
        <v>236.6</v>
      </c>
      <c r="H198" s="7" t="n">
        <v>455</v>
      </c>
      <c r="J198" s="7" t="n">
        <v>1015.3</v>
      </c>
      <c r="L198" s="7" t="n">
        <v>575.1</v>
      </c>
      <c r="N198" s="7" t="n">
        <v>925.1</v>
      </c>
      <c r="P198" s="7" t="n">
        <v>1808.9</v>
      </c>
      <c r="R198" s="7" t="n">
        <v>694.4</v>
      </c>
      <c r="T198" s="7" t="n">
        <v>797.1</v>
      </c>
      <c r="V198" s="7" t="n">
        <v>783.6</v>
      </c>
      <c r="X198" s="7" t="n">
        <v>354.9</v>
      </c>
      <c r="Z198" s="7" t="n">
        <v>469.2</v>
      </c>
      <c r="AB198" s="7" t="n">
        <v>8438.299999999999</v>
      </c>
    </row>
    <row r="199">
      <c r="A199" s="4" t="inlineStr">
        <is>
          <t>差旅费</t>
        </is>
      </c>
      <c r="D199" s="7" t="n">
        <v>2906.6</v>
      </c>
      <c r="F199" s="7" t="n">
        <v>2660.2</v>
      </c>
      <c r="H199" s="7" t="n">
        <v>5827</v>
      </c>
      <c r="J199" s="7" t="n">
        <v>11549.8</v>
      </c>
      <c r="L199" s="7" t="n">
        <v>6842.5</v>
      </c>
      <c r="N199" s="7" t="n">
        <v>9536.5</v>
      </c>
      <c r="P199" s="7" t="n">
        <v>17175.1</v>
      </c>
      <c r="R199" s="7" t="n">
        <v>5824.4</v>
      </c>
      <c r="T199" s="7" t="n">
        <v>6160</v>
      </c>
      <c r="V199" s="7" t="n">
        <v>6626.7</v>
      </c>
      <c r="X199" s="7" t="n">
        <v>3908.9</v>
      </c>
      <c r="Z199" s="7" t="n">
        <v>4469.8</v>
      </c>
      <c r="AB199" s="7" t="n">
        <v>83487.5</v>
      </c>
    </row>
    <row r="200">
      <c r="A200" s="4" t="inlineStr">
        <is>
          <t>交通费</t>
        </is>
      </c>
      <c r="D200" s="7" t="n">
        <v>31.9</v>
      </c>
      <c r="F200" s="7" t="n">
        <v>39.9</v>
      </c>
      <c r="H200" s="7" t="n">
        <v>63</v>
      </c>
      <c r="J200" s="7" t="n">
        <v>120</v>
      </c>
      <c r="L200" s="7" t="n">
        <v>142.5</v>
      </c>
      <c r="N200" s="7" t="n">
        <v>208.1</v>
      </c>
      <c r="P200" s="7" t="n">
        <v>196.9</v>
      </c>
      <c r="R200" s="7" t="n">
        <v>91</v>
      </c>
      <c r="T200" s="7" t="n">
        <v>79.2</v>
      </c>
      <c r="V200" s="7" t="n">
        <v>139.8</v>
      </c>
      <c r="X200" s="7" t="n">
        <v>55.2</v>
      </c>
      <c r="Z200" s="7" t="n">
        <v>48.8</v>
      </c>
      <c r="AB200" s="7" t="n">
        <v>1216.3</v>
      </c>
    </row>
    <row r="201">
      <c r="A201" s="4" t="inlineStr">
        <is>
          <t>住宿费</t>
        </is>
      </c>
      <c r="D201" s="7" t="n">
        <v>225</v>
      </c>
      <c r="F201" s="7" t="n">
        <v>231.1</v>
      </c>
      <c r="H201" s="7" t="n">
        <v>342.1</v>
      </c>
      <c r="J201" s="7" t="n">
        <v>659.1</v>
      </c>
      <c r="L201" s="7" t="n">
        <v>403.5</v>
      </c>
      <c r="N201" s="7" t="n">
        <v>906</v>
      </c>
      <c r="P201" s="7" t="n">
        <v>865.5</v>
      </c>
      <c r="R201" s="7" t="n">
        <v>388.8</v>
      </c>
      <c r="T201" s="7" t="n">
        <v>652.3</v>
      </c>
      <c r="V201" s="7" t="n">
        <v>478.6</v>
      </c>
      <c r="X201" s="7" t="n">
        <v>150.9</v>
      </c>
      <c r="Z201" s="7" t="n">
        <v>288.7</v>
      </c>
      <c r="AB201" s="7" t="n">
        <v>5591.6</v>
      </c>
    </row>
    <row r="202">
      <c r="A202" s="4" t="inlineStr">
        <is>
          <t>餐补</t>
        </is>
      </c>
      <c r="D202" s="7" t="n">
        <v>75.8</v>
      </c>
      <c r="F202" s="7" t="n">
        <v>96.5</v>
      </c>
      <c r="H202" s="7" t="n">
        <v>121.5</v>
      </c>
      <c r="J202" s="7" t="n">
        <v>327.1</v>
      </c>
      <c r="L202" s="7" t="n">
        <v>284.2</v>
      </c>
      <c r="N202" s="7" t="n">
        <v>460.8</v>
      </c>
      <c r="P202" s="7" t="n">
        <v>562.1</v>
      </c>
      <c r="R202" s="7" t="n">
        <v>220.1</v>
      </c>
      <c r="T202" s="7" t="n">
        <v>199</v>
      </c>
      <c r="V202" s="7" t="n">
        <v>188.1</v>
      </c>
      <c r="X202" s="7" t="n">
        <v>120.9</v>
      </c>
      <c r="Z202" s="7" t="n">
        <v>180.2</v>
      </c>
      <c r="AB202" s="7" t="n">
        <v>2836.3</v>
      </c>
    </row>
    <row r="203">
      <c r="A203" s="4" t="inlineStr">
        <is>
          <t>交通补助</t>
        </is>
      </c>
      <c r="D203" s="7" t="n">
        <v>263.1</v>
      </c>
      <c r="F203" s="7" t="n">
        <v>161.8</v>
      </c>
      <c r="H203" s="7" t="n">
        <v>538.7</v>
      </c>
      <c r="J203" s="7" t="n">
        <v>1088.7</v>
      </c>
      <c r="L203" s="7" t="n">
        <v>711.3</v>
      </c>
      <c r="N203" s="7" t="n">
        <v>1056.6</v>
      </c>
      <c r="P203" s="7" t="n">
        <v>1032.5</v>
      </c>
      <c r="R203" s="7" t="n">
        <v>498.4</v>
      </c>
      <c r="T203" s="7" t="n">
        <v>808.3</v>
      </c>
      <c r="V203" s="7" t="n">
        <v>587.9</v>
      </c>
      <c r="X203" s="7" t="n">
        <v>186.2</v>
      </c>
      <c r="Z203" s="7" t="n">
        <v>281.9</v>
      </c>
      <c r="AB203" s="7" t="n">
        <v>7215.4</v>
      </c>
    </row>
    <row r="204">
      <c r="A204" s="4" t="inlineStr">
        <is>
          <t>通讯补助</t>
        </is>
      </c>
      <c r="D204" s="7" t="n">
        <v>178.6</v>
      </c>
      <c r="F204" s="7" t="n">
        <v>155.3</v>
      </c>
      <c r="H204" s="7" t="n">
        <v>266.2</v>
      </c>
      <c r="J204" s="7" t="n">
        <v>748.9</v>
      </c>
      <c r="L204" s="7" t="n">
        <v>622.1</v>
      </c>
      <c r="N204" s="7" t="n">
        <v>509.4</v>
      </c>
      <c r="P204" s="7" t="n">
        <v>730.4</v>
      </c>
      <c r="R204" s="7" t="n">
        <v>406.4</v>
      </c>
      <c r="T204" s="7" t="n">
        <v>546.2</v>
      </c>
      <c r="V204" s="7" t="n">
        <v>502.3</v>
      </c>
      <c r="X204" s="7" t="n">
        <v>225.5</v>
      </c>
      <c r="Z204" s="7" t="n">
        <v>312.9</v>
      </c>
      <c r="AB204" s="7" t="n">
        <v>5204.2</v>
      </c>
    </row>
    <row r="205">
      <c r="A205" s="4" t="inlineStr">
        <is>
          <t>招待费</t>
        </is>
      </c>
      <c r="D205" s="7" t="n">
        <v>2249.8</v>
      </c>
      <c r="F205" s="7" t="n">
        <v>2007.4</v>
      </c>
      <c r="H205" s="7" t="n">
        <v>2652.3</v>
      </c>
      <c r="J205" s="7" t="n">
        <v>8623.6</v>
      </c>
      <c r="L205" s="7" t="n">
        <v>6511.3</v>
      </c>
      <c r="N205" s="7" t="n">
        <v>8225.9</v>
      </c>
      <c r="P205" s="7" t="n">
        <v>11445.2</v>
      </c>
      <c r="R205" s="7" t="n">
        <v>3283.1</v>
      </c>
      <c r="T205" s="7" t="n">
        <v>5324.8</v>
      </c>
      <c r="V205" s="7" t="n">
        <v>7324.4</v>
      </c>
      <c r="X205" s="7" t="n">
        <v>2873.6</v>
      </c>
      <c r="Z205" s="7" t="n">
        <v>3121.2</v>
      </c>
      <c r="AB205" s="7" t="n">
        <v>63642.6</v>
      </c>
    </row>
    <row r="206">
      <c r="A206" s="4" t="inlineStr">
        <is>
          <t>通讯费</t>
        </is>
      </c>
      <c r="D206" s="7" t="n">
        <v>60.1</v>
      </c>
      <c r="F206" s="7" t="n">
        <v>45.4</v>
      </c>
      <c r="H206" s="7" t="n">
        <v>96.59999999999999</v>
      </c>
      <c r="J206" s="7" t="n">
        <v>248.7</v>
      </c>
      <c r="L206" s="7" t="n">
        <v>154.7</v>
      </c>
      <c r="N206" s="7" t="n">
        <v>313.1</v>
      </c>
      <c r="P206" s="7" t="n">
        <v>468.6</v>
      </c>
      <c r="R206" s="7" t="n">
        <v>156.6</v>
      </c>
      <c r="T206" s="7" t="n">
        <v>182.7</v>
      </c>
      <c r="V206" s="7" t="n">
        <v>243.1</v>
      </c>
      <c r="X206" s="7" t="n">
        <v>50.2</v>
      </c>
      <c r="Z206" s="7" t="n">
        <v>121.8</v>
      </c>
      <c r="AB206" s="7" t="n">
        <v>2141.6</v>
      </c>
    </row>
    <row r="207">
      <c r="A207" s="4" t="inlineStr">
        <is>
          <t>网络费</t>
        </is>
      </c>
      <c r="D207" s="7" t="n">
        <v>195.6</v>
      </c>
      <c r="F207" s="7" t="n">
        <v>201.2</v>
      </c>
      <c r="H207" s="7" t="n">
        <v>390.6</v>
      </c>
      <c r="J207" s="7" t="n">
        <v>719.6</v>
      </c>
      <c r="L207" s="7" t="n">
        <v>706.3</v>
      </c>
      <c r="N207" s="7" t="n">
        <v>1250.6</v>
      </c>
      <c r="P207" s="7" t="n">
        <v>1350</v>
      </c>
      <c r="R207" s="7" t="n">
        <v>489.2</v>
      </c>
      <c r="T207" s="7" t="n">
        <v>783.7</v>
      </c>
      <c r="V207" s="7" t="n">
        <v>777.9</v>
      </c>
      <c r="X207" s="7" t="n">
        <v>229.6</v>
      </c>
      <c r="Z207" s="7" t="n">
        <v>337</v>
      </c>
      <c r="AB207" s="7" t="n">
        <v>7431.3</v>
      </c>
    </row>
    <row r="208">
      <c r="A208" s="4" t="inlineStr">
        <is>
          <t>修理费</t>
        </is>
      </c>
      <c r="D208" s="7" t="n">
        <v>82.90000000000001</v>
      </c>
      <c r="F208" s="7" t="n">
        <v>79.59999999999999</v>
      </c>
      <c r="H208" s="7" t="n">
        <v>169.8</v>
      </c>
      <c r="J208" s="7" t="n">
        <v>278.9</v>
      </c>
      <c r="L208" s="7" t="n">
        <v>298.6</v>
      </c>
      <c r="N208" s="7" t="n">
        <v>293.1</v>
      </c>
      <c r="P208" s="7" t="n">
        <v>553.8</v>
      </c>
      <c r="R208" s="7" t="n">
        <v>217.6</v>
      </c>
      <c r="T208" s="7" t="n">
        <v>265</v>
      </c>
      <c r="V208" s="7" t="n">
        <v>212.4</v>
      </c>
      <c r="X208" s="7" t="n">
        <v>99.8</v>
      </c>
      <c r="Z208" s="7" t="n">
        <v>141.3</v>
      </c>
      <c r="AB208" s="7" t="n">
        <v>2692.8</v>
      </c>
    </row>
    <row r="209">
      <c r="A209" s="4" t="inlineStr">
        <is>
          <t>车辆费</t>
        </is>
      </c>
      <c r="D209" s="7" t="n">
        <v>96.59999999999999</v>
      </c>
      <c r="F209" s="7" t="n">
        <v>85.5</v>
      </c>
      <c r="H209" s="7" t="n">
        <v>116.5</v>
      </c>
      <c r="J209" s="7" t="n">
        <v>404.6</v>
      </c>
      <c r="L209" s="7" t="n">
        <v>287.1</v>
      </c>
      <c r="N209" s="7" t="n">
        <v>404.2</v>
      </c>
      <c r="P209" s="7" t="n">
        <v>455.6</v>
      </c>
      <c r="R209" s="7" t="n">
        <v>151.3</v>
      </c>
      <c r="T209" s="7" t="n">
        <v>189.8</v>
      </c>
      <c r="V209" s="7" t="n">
        <v>333.5</v>
      </c>
      <c r="X209" s="7" t="n">
        <v>81.90000000000001</v>
      </c>
      <c r="Z209" s="7" t="n">
        <v>170.3</v>
      </c>
      <c r="AB209" s="7" t="n">
        <v>2776.9</v>
      </c>
    </row>
    <row r="210">
      <c r="A210" s="4" t="inlineStr">
        <is>
          <t>租赁费</t>
        </is>
      </c>
      <c r="D210" s="7" t="n">
        <v>2033.9</v>
      </c>
      <c r="F210" s="7" t="n">
        <v>2246.4</v>
      </c>
      <c r="H210" s="7" t="n">
        <v>5394.2</v>
      </c>
      <c r="J210" s="7" t="n">
        <v>7300.1</v>
      </c>
      <c r="L210" s="7" t="n">
        <v>9373.799999999999</v>
      </c>
      <c r="N210" s="7" t="n">
        <v>12012.5</v>
      </c>
      <c r="P210" s="7" t="n">
        <v>16309.3</v>
      </c>
      <c r="R210" s="7" t="n">
        <v>5098</v>
      </c>
      <c r="T210" s="7" t="n">
        <v>5313.3</v>
      </c>
      <c r="V210" s="7" t="n">
        <v>7388.9</v>
      </c>
      <c r="X210" s="7" t="n">
        <v>2006.3</v>
      </c>
      <c r="Z210" s="7" t="n">
        <v>3673.4</v>
      </c>
      <c r="AB210" s="7" t="n">
        <v>78150.10000000001</v>
      </c>
    </row>
    <row r="211">
      <c r="A211" s="4" t="inlineStr">
        <is>
          <t>能源费</t>
        </is>
      </c>
      <c r="D211" s="7" t="n">
        <v>622.4</v>
      </c>
      <c r="F211" s="7" t="n">
        <v>617.2</v>
      </c>
      <c r="H211" s="7" t="n">
        <v>1205.6</v>
      </c>
      <c r="J211" s="7" t="n">
        <v>2454.9</v>
      </c>
      <c r="L211" s="7" t="n">
        <v>1830.7</v>
      </c>
      <c r="N211" s="7" t="n">
        <v>2889.9</v>
      </c>
      <c r="P211" s="7" t="n">
        <v>3785.7</v>
      </c>
      <c r="R211" s="7" t="n">
        <v>1367.4</v>
      </c>
      <c r="T211" s="7" t="n">
        <v>1882</v>
      </c>
      <c r="V211" s="7" t="n">
        <v>2284</v>
      </c>
      <c r="X211" s="7" t="n">
        <v>738.7</v>
      </c>
      <c r="Z211" s="7" t="n">
        <v>1006.7</v>
      </c>
      <c r="AB211" s="7" t="n">
        <v>20685.2</v>
      </c>
    </row>
    <row r="212">
      <c r="A212" s="4" t="inlineStr">
        <is>
          <t>水费</t>
        </is>
      </c>
      <c r="D212" s="7" t="n">
        <v>14.9</v>
      </c>
      <c r="F212" s="7" t="n">
        <v>17.1</v>
      </c>
      <c r="H212" s="7" t="n">
        <v>28.2</v>
      </c>
      <c r="J212" s="7" t="n">
        <v>45.6</v>
      </c>
      <c r="L212" s="7" t="n">
        <v>53.2</v>
      </c>
      <c r="N212" s="7" t="n">
        <v>90.90000000000001</v>
      </c>
      <c r="P212" s="7" t="n">
        <v>128.6</v>
      </c>
      <c r="R212" s="7" t="n">
        <v>44.7</v>
      </c>
      <c r="T212" s="7" t="n">
        <v>56.2</v>
      </c>
      <c r="V212" s="7" t="n">
        <v>53.4</v>
      </c>
      <c r="X212" s="7" t="n">
        <v>22</v>
      </c>
      <c r="Z212" s="7" t="n">
        <v>26.3</v>
      </c>
      <c r="AB212" s="7" t="n">
        <v>581.1</v>
      </c>
    </row>
    <row r="213">
      <c r="A213" s="4" t="inlineStr">
        <is>
          <t>电费</t>
        </is>
      </c>
      <c r="D213" s="7" t="n">
        <v>257</v>
      </c>
      <c r="F213" s="7" t="n">
        <v>253.1</v>
      </c>
      <c r="H213" s="7" t="n">
        <v>560.8</v>
      </c>
      <c r="J213" s="7" t="n">
        <v>1153.9</v>
      </c>
      <c r="L213" s="7" t="n">
        <v>581.7</v>
      </c>
      <c r="N213" s="7" t="n">
        <v>893.7</v>
      </c>
      <c r="P213" s="7" t="n">
        <v>1518.1</v>
      </c>
      <c r="R213" s="7" t="n">
        <v>646</v>
      </c>
      <c r="T213" s="7" t="n">
        <v>832.1</v>
      </c>
      <c r="V213" s="7" t="n">
        <v>977.1</v>
      </c>
      <c r="X213" s="7" t="n">
        <v>382.5</v>
      </c>
      <c r="Z213" s="7" t="n">
        <v>450.8</v>
      </c>
      <c r="AB213" s="7" t="n">
        <v>8506.799999999999</v>
      </c>
    </row>
    <row r="214">
      <c r="A214" s="4" t="inlineStr">
        <is>
          <t>燃气费</t>
        </is>
      </c>
      <c r="D214" s="7" t="n">
        <v>192.4</v>
      </c>
      <c r="F214" s="7" t="n">
        <v>184.8</v>
      </c>
      <c r="H214" s="7" t="n">
        <v>271.5</v>
      </c>
      <c r="J214" s="7" t="n">
        <v>648.5</v>
      </c>
      <c r="L214" s="7" t="n">
        <v>627.7</v>
      </c>
      <c r="N214" s="7" t="n">
        <v>1011.6</v>
      </c>
      <c r="P214" s="7" t="n">
        <v>875.5</v>
      </c>
      <c r="R214" s="7" t="n">
        <v>279.2</v>
      </c>
      <c r="T214" s="7" t="n">
        <v>612.5</v>
      </c>
      <c r="V214" s="7" t="n">
        <v>705.5</v>
      </c>
      <c r="X214" s="7" t="n">
        <v>157.2</v>
      </c>
      <c r="Z214" s="7" t="n">
        <v>270.5</v>
      </c>
      <c r="AB214" s="7" t="n">
        <v>5836.9</v>
      </c>
    </row>
    <row r="215">
      <c r="A215" s="4" t="inlineStr">
        <is>
          <t>蒸汽费</t>
        </is>
      </c>
      <c r="D215" s="7" t="n">
        <v>158.1</v>
      </c>
      <c r="F215" s="7" t="n">
        <v>162.2</v>
      </c>
      <c r="H215" s="7" t="n">
        <v>345.1</v>
      </c>
      <c r="J215" s="7" t="n">
        <v>606.9</v>
      </c>
      <c r="L215" s="7" t="n">
        <v>568.1</v>
      </c>
      <c r="N215" s="7" t="n">
        <v>893.7</v>
      </c>
      <c r="P215" s="7" t="n">
        <v>1263.5</v>
      </c>
      <c r="R215" s="7" t="n">
        <v>397.5</v>
      </c>
      <c r="T215" s="7" t="n">
        <v>381.2</v>
      </c>
      <c r="V215" s="7" t="n">
        <v>548</v>
      </c>
      <c r="X215" s="7" t="n">
        <v>177</v>
      </c>
      <c r="Z215" s="7" t="n">
        <v>259.1</v>
      </c>
      <c r="AB215" s="7" t="n">
        <v>5760.4</v>
      </c>
    </row>
    <row r="216">
      <c r="A216" s="4" t="inlineStr">
        <is>
          <t>物业费</t>
        </is>
      </c>
      <c r="D216" s="7" t="n">
        <v>56.4</v>
      </c>
      <c r="F216" s="7" t="n">
        <v>55</v>
      </c>
      <c r="H216" s="7" t="n">
        <v>104.2</v>
      </c>
      <c r="J216" s="7" t="n">
        <v>278.9</v>
      </c>
      <c r="L216" s="7" t="n">
        <v>168.8</v>
      </c>
      <c r="N216" s="7" t="n">
        <v>303.7</v>
      </c>
      <c r="P216" s="7" t="n">
        <v>291.5</v>
      </c>
      <c r="R216" s="7" t="n">
        <v>90.40000000000001</v>
      </c>
      <c r="T216" s="7" t="n">
        <v>204.8</v>
      </c>
      <c r="V216" s="7" t="n">
        <v>150.1</v>
      </c>
      <c r="X216" s="7" t="n">
        <v>69.59999999999999</v>
      </c>
      <c r="Z216" s="7" t="n">
        <v>88.3</v>
      </c>
      <c r="AB216" s="7" t="n">
        <v>1861.7</v>
      </c>
    </row>
    <row r="217">
      <c r="A217" s="4" t="inlineStr">
        <is>
          <t>劳动保护费</t>
        </is>
      </c>
      <c r="D217" s="7" t="n">
        <v>16.7</v>
      </c>
      <c r="F217" s="7" t="n">
        <v>23.7</v>
      </c>
      <c r="H217" s="7" t="n">
        <v>33</v>
      </c>
      <c r="J217" s="7" t="n">
        <v>95.40000000000001</v>
      </c>
      <c r="L217" s="7" t="n">
        <v>47.5</v>
      </c>
      <c r="N217" s="7" t="n">
        <v>97.2</v>
      </c>
      <c r="P217" s="7" t="n">
        <v>99.09999999999999</v>
      </c>
      <c r="R217" s="7" t="n">
        <v>47.2</v>
      </c>
      <c r="T217" s="7" t="n">
        <v>42.4</v>
      </c>
      <c r="V217" s="7" t="n">
        <v>47.7</v>
      </c>
      <c r="X217" s="7" t="n">
        <v>16.9</v>
      </c>
      <c r="Z217" s="7" t="n">
        <v>39.5</v>
      </c>
      <c r="AB217" s="7" t="n">
        <v>606.3</v>
      </c>
    </row>
    <row r="218">
      <c r="A218" s="4" t="inlineStr">
        <is>
          <t>顾问费</t>
        </is>
      </c>
      <c r="D218" s="7" t="n">
        <v>291.1</v>
      </c>
      <c r="F218" s="7" t="n">
        <v>199.1</v>
      </c>
      <c r="H218" s="7" t="n">
        <v>578.4</v>
      </c>
      <c r="J218" s="7" t="n">
        <v>772.8</v>
      </c>
      <c r="L218" s="7" t="n">
        <v>928</v>
      </c>
      <c r="N218" s="7" t="n">
        <v>1036.4</v>
      </c>
      <c r="P218" s="7" t="n">
        <v>1443</v>
      </c>
      <c r="R218" s="7" t="n">
        <v>655.1</v>
      </c>
      <c r="T218" s="7" t="n">
        <v>947.6</v>
      </c>
      <c r="V218" s="7" t="n">
        <v>761</v>
      </c>
      <c r="X218" s="7" t="n">
        <v>355.6</v>
      </c>
      <c r="Z218" s="7" t="n">
        <v>507.2</v>
      </c>
      <c r="AB218" s="7" t="n">
        <v>8475.299999999999</v>
      </c>
    </row>
    <row r="219">
      <c r="A219" s="4" t="inlineStr">
        <is>
          <t>快递费</t>
        </is>
      </c>
      <c r="D219" s="7" t="n">
        <v>84.3</v>
      </c>
      <c r="F219" s="7" t="n">
        <v>107.8</v>
      </c>
      <c r="H219" s="7" t="n">
        <v>209.3</v>
      </c>
      <c r="J219" s="7" t="n">
        <v>359.1</v>
      </c>
      <c r="L219" s="7" t="n">
        <v>299.2</v>
      </c>
      <c r="N219" s="7" t="n">
        <v>454.4</v>
      </c>
      <c r="P219" s="7" t="n">
        <v>819.2</v>
      </c>
      <c r="R219" s="7" t="n">
        <v>228.4</v>
      </c>
      <c r="T219" s="7" t="n">
        <v>344.1</v>
      </c>
      <c r="V219" s="7" t="n">
        <v>415.6</v>
      </c>
      <c r="X219" s="7" t="n">
        <v>100.4</v>
      </c>
      <c r="Z219" s="7" t="n">
        <v>174.1</v>
      </c>
      <c r="AB219" s="7" t="n">
        <v>3595.9</v>
      </c>
    </row>
    <row r="220">
      <c r="A220" s="4" t="inlineStr">
        <is>
          <t>诉讼费</t>
        </is>
      </c>
      <c r="D220" s="7" t="n">
        <v>229.2</v>
      </c>
      <c r="F220" s="7" t="n">
        <v>237.6</v>
      </c>
      <c r="H220" s="7" t="n">
        <v>511.3</v>
      </c>
      <c r="J220" s="7" t="n">
        <v>944.1</v>
      </c>
      <c r="L220" s="7" t="n">
        <v>966.9</v>
      </c>
      <c r="N220" s="7" t="n">
        <v>1190.8</v>
      </c>
      <c r="P220" s="7" t="n">
        <v>1231.5</v>
      </c>
      <c r="R220" s="7" t="n">
        <v>393.9</v>
      </c>
      <c r="T220" s="7" t="n">
        <v>899.1</v>
      </c>
      <c r="V220" s="7" t="n">
        <v>953.1</v>
      </c>
      <c r="X220" s="7" t="n">
        <v>206</v>
      </c>
      <c r="Z220" s="7" t="n">
        <v>466.7</v>
      </c>
      <c r="AB220" s="7" t="n">
        <v>8230.200000000001</v>
      </c>
    </row>
    <row r="221">
      <c r="A221" s="4" t="inlineStr">
        <is>
          <t>会员费</t>
        </is>
      </c>
      <c r="D221" s="7" t="n">
        <v>262.5</v>
      </c>
      <c r="F221" s="7" t="n">
        <v>301.2</v>
      </c>
      <c r="H221" s="7" t="n">
        <v>482.8</v>
      </c>
      <c r="J221" s="7" t="n">
        <v>1033.4</v>
      </c>
      <c r="L221" s="7" t="n">
        <v>699.8</v>
      </c>
      <c r="N221" s="7" t="n">
        <v>943</v>
      </c>
      <c r="P221" s="7" t="n">
        <v>1900.4</v>
      </c>
      <c r="R221" s="7" t="n">
        <v>399.8</v>
      </c>
      <c r="T221" s="7" t="n">
        <v>832.1</v>
      </c>
      <c r="V221" s="7" t="n">
        <v>727.6</v>
      </c>
      <c r="X221" s="7" t="n">
        <v>383.4</v>
      </c>
      <c r="Z221" s="7" t="n">
        <v>335.5</v>
      </c>
      <c r="AB221" s="7" t="n">
        <v>8301.5</v>
      </c>
    </row>
    <row r="222">
      <c r="A222" s="4" t="inlineStr">
        <is>
          <t>广告宣传费</t>
        </is>
      </c>
      <c r="D222" s="7" t="n">
        <v>1102.1</v>
      </c>
      <c r="F222" s="7" t="n">
        <v>1841</v>
      </c>
      <c r="H222" s="7" t="n">
        <v>2270.6</v>
      </c>
      <c r="J222" s="7" t="n">
        <v>5590.1</v>
      </c>
      <c r="L222" s="7" t="n">
        <v>4566.2</v>
      </c>
      <c r="N222" s="7" t="n">
        <v>6627.4</v>
      </c>
      <c r="P222" s="7" t="n">
        <v>8536.700000000001</v>
      </c>
      <c r="R222" s="7" t="n">
        <v>3586</v>
      </c>
      <c r="T222" s="7" t="n">
        <v>5013.2</v>
      </c>
      <c r="V222" s="7" t="n">
        <v>4510.1</v>
      </c>
      <c r="X222" s="7" t="n">
        <v>1221.5</v>
      </c>
      <c r="Z222" s="7" t="n">
        <v>2500.5</v>
      </c>
      <c r="AB222" s="7" t="n">
        <v>47365.4</v>
      </c>
    </row>
    <row r="223">
      <c r="A223" s="4" t="inlineStr">
        <is>
          <t>会务费</t>
        </is>
      </c>
      <c r="D223" s="7" t="n">
        <v>163.3</v>
      </c>
      <c r="F223" s="7" t="n">
        <v>144.1</v>
      </c>
      <c r="H223" s="7" t="n">
        <v>374.7</v>
      </c>
      <c r="J223" s="7" t="n">
        <v>560.1</v>
      </c>
      <c r="L223" s="7" t="n">
        <v>424.1</v>
      </c>
      <c r="N223" s="7" t="n">
        <v>624.5</v>
      </c>
      <c r="P223" s="7" t="n">
        <v>1194.5</v>
      </c>
      <c r="R223" s="7" t="n">
        <v>330.8</v>
      </c>
      <c r="T223" s="7" t="n">
        <v>462.9</v>
      </c>
      <c r="V223" s="7" t="n">
        <v>584.3</v>
      </c>
      <c r="X223" s="7" t="n">
        <v>147.4</v>
      </c>
      <c r="Z223" s="7" t="n">
        <v>246.2</v>
      </c>
      <c r="AB223" s="7" t="n">
        <v>5256.9</v>
      </c>
    </row>
    <row r="224">
      <c r="A224" s="4" t="inlineStr">
        <is>
          <t>装修费</t>
        </is>
      </c>
      <c r="D224" s="7" t="n">
        <v>290.5</v>
      </c>
      <c r="F224" s="7" t="n">
        <v>214.4</v>
      </c>
      <c r="H224" s="7" t="n">
        <v>397</v>
      </c>
      <c r="J224" s="7" t="n">
        <v>896.5</v>
      </c>
      <c r="L224" s="7" t="n">
        <v>874.3</v>
      </c>
      <c r="N224" s="7" t="n">
        <v>1126.6</v>
      </c>
      <c r="P224" s="7" t="n">
        <v>1528.8</v>
      </c>
      <c r="R224" s="7" t="n">
        <v>488.5</v>
      </c>
      <c r="T224" s="7" t="n">
        <v>632.1</v>
      </c>
      <c r="V224" s="7" t="n">
        <v>740.1</v>
      </c>
      <c r="X224" s="7" t="n">
        <v>320.2</v>
      </c>
      <c r="Z224" s="7" t="n">
        <v>315.7</v>
      </c>
      <c r="AB224" s="7" t="n">
        <v>7824.7</v>
      </c>
    </row>
    <row r="225">
      <c r="A225" s="4" t="inlineStr">
        <is>
          <t>推广费</t>
        </is>
      </c>
      <c r="D225" s="7" t="n">
        <v>202.3</v>
      </c>
      <c r="F225" s="7" t="n">
        <v>162</v>
      </c>
      <c r="H225" s="7" t="n">
        <v>335.9</v>
      </c>
      <c r="J225" s="7" t="n">
        <v>513.2</v>
      </c>
      <c r="L225" s="7" t="n">
        <v>439.8</v>
      </c>
      <c r="N225" s="7" t="n">
        <v>660.1</v>
      </c>
      <c r="P225" s="7" t="n">
        <v>937.2</v>
      </c>
      <c r="R225" s="7" t="n">
        <v>276.9</v>
      </c>
      <c r="T225" s="7" t="n">
        <v>464.3</v>
      </c>
      <c r="V225" s="7" t="n">
        <v>672.5</v>
      </c>
      <c r="X225" s="7" t="n">
        <v>205.4</v>
      </c>
      <c r="Z225" s="7" t="n">
        <v>322.6</v>
      </c>
      <c r="AB225" s="7" t="n">
        <v>5192.2</v>
      </c>
    </row>
    <row r="226">
      <c r="A226" s="4" t="inlineStr">
        <is>
          <t>展会费</t>
        </is>
      </c>
      <c r="D226" s="7" t="n">
        <v>309.2</v>
      </c>
      <c r="F226" s="7" t="n">
        <v>302.2</v>
      </c>
      <c r="H226" s="7" t="n">
        <v>325.8</v>
      </c>
      <c r="J226" s="7" t="n">
        <v>727.8</v>
      </c>
      <c r="L226" s="7" t="n">
        <v>633.4</v>
      </c>
      <c r="N226" s="7" t="n">
        <v>1123.4</v>
      </c>
      <c r="P226" s="7" t="n">
        <v>1907.6</v>
      </c>
      <c r="R226" s="7" t="n">
        <v>608.7</v>
      </c>
      <c r="T226" s="7" t="n">
        <v>543.5</v>
      </c>
      <c r="V226" s="7" t="n">
        <v>539.8</v>
      </c>
      <c r="X226" s="7" t="n">
        <v>270.6</v>
      </c>
      <c r="Z226" s="7" t="n">
        <v>478.4</v>
      </c>
      <c r="AB226" s="7" t="n">
        <v>7770.4</v>
      </c>
    </row>
    <row r="227">
      <c r="A227" s="4" t="inlineStr">
        <is>
          <t>设计费</t>
        </is>
      </c>
      <c r="D227" s="7" t="n">
        <v>249</v>
      </c>
      <c r="F227" s="7" t="n">
        <v>385.4</v>
      </c>
      <c r="H227" s="7" t="n">
        <v>736.4</v>
      </c>
      <c r="J227" s="7" t="n">
        <v>1499.8</v>
      </c>
      <c r="L227" s="7" t="n">
        <v>863.1</v>
      </c>
      <c r="N227" s="7" t="n">
        <v>1312</v>
      </c>
      <c r="P227" s="7" t="n">
        <v>2009</v>
      </c>
      <c r="R227" s="7" t="n">
        <v>767.3</v>
      </c>
      <c r="T227" s="7" t="n">
        <v>692.4</v>
      </c>
      <c r="V227" s="7" t="n">
        <v>1188.8</v>
      </c>
      <c r="X227" s="7" t="n">
        <v>448.1</v>
      </c>
      <c r="Z227" s="7" t="n">
        <v>580.4</v>
      </c>
      <c r="AB227" s="7" t="n">
        <v>10731.7</v>
      </c>
    </row>
    <row r="228">
      <c r="A228" s="4" t="inlineStr">
        <is>
          <t>折旧费</t>
        </is>
      </c>
      <c r="D228" s="7" t="n">
        <v>2106.5</v>
      </c>
      <c r="F228" s="7" t="n">
        <v>2523.1</v>
      </c>
      <c r="H228" s="7" t="n">
        <v>2637.2</v>
      </c>
      <c r="J228" s="7" t="n">
        <v>8503.4</v>
      </c>
      <c r="L228" s="7" t="n">
        <v>5320.7</v>
      </c>
      <c r="N228" s="7" t="n">
        <v>8324.700000000001</v>
      </c>
      <c r="P228" s="7" t="n">
        <v>11316.2</v>
      </c>
      <c r="R228" s="7" t="n">
        <v>4068.3</v>
      </c>
      <c r="T228" s="7" t="n">
        <v>6641.8</v>
      </c>
      <c r="V228" s="7" t="n">
        <v>5167.2</v>
      </c>
      <c r="X228" s="7" t="n">
        <v>2197.8</v>
      </c>
      <c r="Z228" s="7" t="n">
        <v>2647.1</v>
      </c>
      <c r="AB228" s="7" t="n">
        <v>61454</v>
      </c>
    </row>
    <row r="229">
      <c r="A229" s="4" t="inlineStr">
        <is>
          <t>认证费</t>
        </is>
      </c>
      <c r="D229" s="7" t="n">
        <v>68.7</v>
      </c>
      <c r="F229" s="7" t="n">
        <v>73.09999999999999</v>
      </c>
      <c r="H229" s="7" t="n">
        <v>137.6</v>
      </c>
      <c r="J229" s="7" t="n">
        <v>167.8</v>
      </c>
      <c r="L229" s="7" t="n">
        <v>216.9</v>
      </c>
      <c r="N229" s="7" t="n">
        <v>272.8</v>
      </c>
      <c r="P229" s="7" t="n">
        <v>331.9</v>
      </c>
      <c r="R229" s="7" t="n">
        <v>137.5</v>
      </c>
      <c r="T229" s="7" t="n">
        <v>154.3</v>
      </c>
      <c r="V229" s="7" t="n">
        <v>171.3</v>
      </c>
      <c r="X229" s="7" t="n">
        <v>67.40000000000001</v>
      </c>
      <c r="Z229" s="7" t="n">
        <v>107.3</v>
      </c>
      <c r="AB229" s="7" t="n">
        <v>1906.6</v>
      </c>
    </row>
    <row r="230">
      <c r="A230" s="4" t="inlineStr">
        <is>
          <t>样品费</t>
        </is>
      </c>
      <c r="D230" s="7" t="n">
        <v>1247.1</v>
      </c>
      <c r="F230" s="7" t="n">
        <v>737.7</v>
      </c>
      <c r="H230" s="7" t="n">
        <v>1592.9</v>
      </c>
      <c r="J230" s="7" t="n">
        <v>3364.4</v>
      </c>
      <c r="L230" s="7" t="n">
        <v>3026.1</v>
      </c>
      <c r="N230" s="7" t="n">
        <v>5317.6</v>
      </c>
      <c r="P230" s="7" t="n">
        <v>6272</v>
      </c>
      <c r="R230" s="7" t="n">
        <v>2530.4</v>
      </c>
      <c r="T230" s="7" t="n">
        <v>2643.7</v>
      </c>
      <c r="V230" s="7" t="n">
        <v>2643</v>
      </c>
      <c r="X230" s="7" t="n">
        <v>992.9</v>
      </c>
      <c r="Z230" s="7" t="n">
        <v>1368.1</v>
      </c>
      <c r="AB230" s="7" t="n">
        <v>31735.9</v>
      </c>
    </row>
    <row r="231">
      <c r="A231" s="4" t="inlineStr">
        <is>
          <t>劳务费</t>
        </is>
      </c>
      <c r="D231" s="7" t="n">
        <v>54.9</v>
      </c>
      <c r="F231" s="7" t="n">
        <v>52.1</v>
      </c>
      <c r="H231" s="7" t="n">
        <v>110.1</v>
      </c>
      <c r="J231" s="7" t="n">
        <v>144.3</v>
      </c>
      <c r="L231" s="7" t="n">
        <v>138.4</v>
      </c>
      <c r="N231" s="7" t="n">
        <v>210.7</v>
      </c>
      <c r="P231" s="7" t="n">
        <v>300.5</v>
      </c>
      <c r="R231" s="7" t="n">
        <v>74.8</v>
      </c>
      <c r="T231" s="7" t="n">
        <v>113.1</v>
      </c>
      <c r="V231" s="7" t="n">
        <v>107.1</v>
      </c>
      <c r="X231" s="7" t="n">
        <v>45.2</v>
      </c>
      <c r="Z231" s="7" t="n">
        <v>76.7</v>
      </c>
      <c r="AB231" s="7" t="n">
        <v>1427.9</v>
      </c>
    </row>
    <row r="232">
      <c r="A232" s="4" t="inlineStr">
        <is>
          <t>销售佣金</t>
        </is>
      </c>
      <c r="D232" s="7" t="n">
        <v>249.5</v>
      </c>
      <c r="F232" s="7" t="n">
        <v>353.3</v>
      </c>
      <c r="H232" s="7" t="n">
        <v>680.8</v>
      </c>
      <c r="J232" s="7" t="n">
        <v>1243.7</v>
      </c>
      <c r="L232" s="7" t="n">
        <v>1061.3</v>
      </c>
      <c r="N232" s="7" t="n">
        <v>1370.9</v>
      </c>
      <c r="P232" s="7" t="n">
        <v>1363.2</v>
      </c>
      <c r="R232" s="7" t="n">
        <v>501.7</v>
      </c>
      <c r="T232" s="7" t="n">
        <v>965.9</v>
      </c>
      <c r="V232" s="7" t="n">
        <v>989.8</v>
      </c>
      <c r="X232" s="7" t="n">
        <v>231.7</v>
      </c>
      <c r="Z232" s="7" t="n">
        <v>610.9</v>
      </c>
      <c r="AB232" s="7" t="n">
        <v>9622.700000000001</v>
      </c>
    </row>
    <row r="233">
      <c r="A233" s="4" t="inlineStr">
        <is>
          <t>检测费</t>
        </is>
      </c>
      <c r="D233" s="7" t="n">
        <v>317.2</v>
      </c>
      <c r="F233" s="7" t="n">
        <v>361.2</v>
      </c>
      <c r="H233" s="7" t="n">
        <v>401.8</v>
      </c>
      <c r="J233" s="7" t="n">
        <v>1403.9</v>
      </c>
      <c r="L233" s="7" t="n">
        <v>656.1</v>
      </c>
      <c r="N233" s="7" t="n">
        <v>1110.7</v>
      </c>
      <c r="P233" s="7" t="n">
        <v>2383</v>
      </c>
      <c r="R233" s="7" t="n">
        <v>688.2</v>
      </c>
      <c r="T233" s="7" t="n">
        <v>991.5</v>
      </c>
      <c r="V233" s="7" t="n">
        <v>942.4</v>
      </c>
      <c r="X233" s="7" t="n">
        <v>420.3</v>
      </c>
      <c r="Z233" s="7" t="n">
        <v>467.8</v>
      </c>
      <c r="AB233" s="7" t="n">
        <v>10144.1</v>
      </c>
    </row>
    <row r="234">
      <c r="A234" s="4" t="inlineStr">
        <is>
          <t>质量赔偿</t>
        </is>
      </c>
      <c r="D234" s="7" t="n">
        <v>39.8</v>
      </c>
      <c r="F234" s="7" t="n">
        <v>42.2</v>
      </c>
      <c r="H234" s="7" t="n">
        <v>63</v>
      </c>
      <c r="J234" s="7" t="n">
        <v>128.2</v>
      </c>
      <c r="L234" s="7" t="n">
        <v>89.8</v>
      </c>
      <c r="N234" s="7" t="n">
        <v>188.1</v>
      </c>
      <c r="P234" s="7" t="n">
        <v>278.7</v>
      </c>
      <c r="R234" s="7" t="n">
        <v>85.90000000000001</v>
      </c>
      <c r="T234" s="7" t="n">
        <v>76.5</v>
      </c>
      <c r="V234" s="7" t="n">
        <v>97</v>
      </c>
      <c r="X234" s="7" t="n">
        <v>29.9</v>
      </c>
      <c r="Z234" s="7" t="n">
        <v>71.59999999999999</v>
      </c>
      <c r="AB234" s="7" t="n">
        <v>1190.7</v>
      </c>
    </row>
    <row r="235">
      <c r="A235" s="4" t="inlineStr">
        <is>
          <t>保险费</t>
        </is>
      </c>
      <c r="D235" s="7" t="n">
        <v>210.4</v>
      </c>
      <c r="F235" s="7" t="n">
        <v>233</v>
      </c>
      <c r="H235" s="7" t="n">
        <v>374.4</v>
      </c>
      <c r="J235" s="7" t="n">
        <v>956.4</v>
      </c>
      <c r="L235" s="7" t="n">
        <v>700.3</v>
      </c>
      <c r="N235" s="7" t="n">
        <v>1194.3</v>
      </c>
      <c r="P235" s="7" t="n">
        <v>1604.5</v>
      </c>
      <c r="R235" s="7" t="n">
        <v>444.6</v>
      </c>
      <c r="T235" s="7" t="n">
        <v>827.5</v>
      </c>
      <c r="V235" s="7" t="n">
        <v>677.1</v>
      </c>
      <c r="X235" s="7" t="n">
        <v>334.6</v>
      </c>
      <c r="Z235" s="7" t="n">
        <v>475.6</v>
      </c>
      <c r="AB235" s="7" t="n">
        <v>8032.7</v>
      </c>
    </row>
    <row r="236">
      <c r="A236" s="4" t="inlineStr">
        <is>
          <t>清洁费</t>
        </is>
      </c>
      <c r="D236" s="7" t="n">
        <v>123.5</v>
      </c>
      <c r="F236" s="7" t="n">
        <v>111.1</v>
      </c>
      <c r="H236" s="7" t="n">
        <v>231.6</v>
      </c>
      <c r="J236" s="7" t="n">
        <v>279.3</v>
      </c>
      <c r="L236" s="7" t="n">
        <v>327.8</v>
      </c>
      <c r="N236" s="7" t="n">
        <v>315.1</v>
      </c>
      <c r="P236" s="7" t="n">
        <v>487.4</v>
      </c>
      <c r="R236" s="7" t="n">
        <v>202.1</v>
      </c>
      <c r="T236" s="7" t="n">
        <v>364.4</v>
      </c>
      <c r="V236" s="7" t="n">
        <v>339.9</v>
      </c>
      <c r="X236" s="7" t="n">
        <v>99.7</v>
      </c>
      <c r="Z236" s="7" t="n">
        <v>139.6</v>
      </c>
      <c r="AB236" s="7" t="n">
        <v>3021.5</v>
      </c>
    </row>
    <row r="237">
      <c r="A237" s="4" t="inlineStr">
        <is>
          <t>低值易耗品</t>
        </is>
      </c>
      <c r="D237" s="7" t="n">
        <v>299.5</v>
      </c>
      <c r="F237" s="7" t="n">
        <v>225.8</v>
      </c>
      <c r="H237" s="7" t="n">
        <v>396.4</v>
      </c>
      <c r="J237" s="7" t="n">
        <v>1216.2</v>
      </c>
      <c r="L237" s="7" t="n">
        <v>987.9</v>
      </c>
      <c r="N237" s="7" t="n">
        <v>1391.4</v>
      </c>
      <c r="P237" s="7" t="n">
        <v>1836.2</v>
      </c>
      <c r="R237" s="7" t="n">
        <v>392.8</v>
      </c>
      <c r="T237" s="7" t="n">
        <v>546.3</v>
      </c>
      <c r="V237" s="7" t="n">
        <v>816.5</v>
      </c>
      <c r="X237" s="7" t="n">
        <v>245.3</v>
      </c>
      <c r="Z237" s="7" t="n">
        <v>365</v>
      </c>
      <c r="AB237" s="7" t="n">
        <v>8719.299999999999</v>
      </c>
    </row>
    <row r="238">
      <c r="A238" s="4" t="inlineStr">
        <is>
          <t>物料消耗</t>
        </is>
      </c>
      <c r="D238" s="7" t="n">
        <v>115.8</v>
      </c>
      <c r="F238" s="7" t="n">
        <v>123.8</v>
      </c>
      <c r="H238" s="7" t="n">
        <v>261.1</v>
      </c>
      <c r="J238" s="7" t="n">
        <v>552</v>
      </c>
      <c r="L238" s="7" t="n">
        <v>395.7</v>
      </c>
      <c r="N238" s="7" t="n">
        <v>644.2</v>
      </c>
      <c r="P238" s="7" t="n">
        <v>663.1</v>
      </c>
      <c r="R238" s="7" t="n">
        <v>253.1</v>
      </c>
      <c r="T238" s="7" t="n">
        <v>318.1</v>
      </c>
      <c r="V238" s="7" t="n">
        <v>354.9</v>
      </c>
      <c r="X238" s="7" t="n">
        <v>151.4</v>
      </c>
      <c r="Z238" s="7" t="n">
        <v>273.8</v>
      </c>
      <c r="AB238" s="7" t="n">
        <v>4107</v>
      </c>
    </row>
    <row r="239">
      <c r="A239" s="4" t="inlineStr">
        <is>
          <t>盘盈盘亏</t>
        </is>
      </c>
      <c r="D239" s="7" t="n">
        <v>115.7</v>
      </c>
      <c r="F239" s="7" t="n">
        <v>123.7</v>
      </c>
      <c r="H239" s="7" t="n">
        <v>176.7</v>
      </c>
      <c r="J239" s="7" t="n">
        <v>367</v>
      </c>
      <c r="L239" s="7" t="n">
        <v>460.4</v>
      </c>
      <c r="N239" s="7" t="n">
        <v>636.7</v>
      </c>
      <c r="P239" s="7" t="n">
        <v>671.4</v>
      </c>
      <c r="R239" s="7" t="n">
        <v>345.7</v>
      </c>
      <c r="T239" s="7" t="n">
        <v>318.4</v>
      </c>
      <c r="V239" s="7" t="n">
        <v>417.4</v>
      </c>
      <c r="X239" s="7" t="n">
        <v>110.3</v>
      </c>
      <c r="Z239" s="7" t="n">
        <v>213.4</v>
      </c>
      <c r="AB239" s="7" t="n">
        <v>3956.8</v>
      </c>
    </row>
    <row r="240">
      <c r="A240" s="4" t="inlineStr">
        <is>
          <t>平台服务费</t>
        </is>
      </c>
      <c r="D240" s="7" t="n">
        <v>79.09999999999999</v>
      </c>
      <c r="F240" s="7" t="n">
        <v>113.8</v>
      </c>
      <c r="H240" s="7" t="n">
        <v>212.9</v>
      </c>
      <c r="J240" s="7" t="n">
        <v>452.7</v>
      </c>
      <c r="L240" s="7" t="n">
        <v>301.7</v>
      </c>
      <c r="N240" s="7" t="n">
        <v>531.1</v>
      </c>
      <c r="P240" s="7" t="n">
        <v>621.8</v>
      </c>
      <c r="R240" s="7" t="n">
        <v>207.7</v>
      </c>
      <c r="T240" s="7" t="n">
        <v>243.1</v>
      </c>
      <c r="V240" s="7" t="n">
        <v>270.4</v>
      </c>
      <c r="X240" s="7" t="n">
        <v>117</v>
      </c>
      <c r="Z240" s="7" t="n">
        <v>218.7</v>
      </c>
      <c r="AB240" s="7" t="n">
        <v>3370</v>
      </c>
    </row>
    <row r="241">
      <c r="A241" s="4" t="inlineStr">
        <is>
          <t>无形资产摊销</t>
        </is>
      </c>
      <c r="D241" s="7" t="n">
        <v>186.1</v>
      </c>
      <c r="F241" s="7" t="n">
        <v>290.5</v>
      </c>
      <c r="H241" s="7" t="n">
        <v>398.9</v>
      </c>
      <c r="J241" s="7" t="n">
        <v>850.1</v>
      </c>
      <c r="L241" s="7" t="n">
        <v>699.2</v>
      </c>
      <c r="N241" s="7" t="n">
        <v>1063.7</v>
      </c>
      <c r="P241" s="7" t="n">
        <v>1442.8</v>
      </c>
      <c r="R241" s="7" t="n">
        <v>671.5</v>
      </c>
      <c r="T241" s="7" t="n">
        <v>611.1</v>
      </c>
      <c r="V241" s="7" t="n">
        <v>863</v>
      </c>
      <c r="X241" s="7" t="n">
        <v>258.5</v>
      </c>
      <c r="Z241" s="7" t="n">
        <v>518.2</v>
      </c>
      <c r="AB241" s="7" t="n">
        <v>7853.6</v>
      </c>
    </row>
    <row r="242">
      <c r="A242" s="4" t="inlineStr">
        <is>
          <t>研发材料</t>
        </is>
      </c>
      <c r="D242" s="7" t="n">
        <v>94.2</v>
      </c>
      <c r="F242" s="7" t="n">
        <v>102.7</v>
      </c>
      <c r="H242" s="7" t="n">
        <v>146.7</v>
      </c>
      <c r="J242" s="7" t="n">
        <v>309.9</v>
      </c>
      <c r="L242" s="7" t="n">
        <v>316.9</v>
      </c>
      <c r="N242" s="7" t="n">
        <v>551.1</v>
      </c>
      <c r="P242" s="7" t="n">
        <v>646.6</v>
      </c>
      <c r="R242" s="7" t="n">
        <v>190.5</v>
      </c>
      <c r="T242" s="7" t="n">
        <v>297.3</v>
      </c>
      <c r="V242" s="7" t="n">
        <v>213</v>
      </c>
      <c r="X242" s="7" t="n">
        <v>127.7</v>
      </c>
      <c r="Z242" s="7" t="n">
        <v>202.6</v>
      </c>
      <c r="AB242" s="7" t="n">
        <v>3199.2</v>
      </c>
    </row>
    <row r="243">
      <c r="A243" s="4" t="inlineStr">
        <is>
          <t>项目名称</t>
        </is>
      </c>
      <c r="D243" s="7" t="n">
        <v>32.7</v>
      </c>
      <c r="F243" s="7" t="n">
        <v>35.9</v>
      </c>
      <c r="H243" s="7" t="n">
        <v>62.3</v>
      </c>
      <c r="J243" s="7" t="n">
        <v>113.5</v>
      </c>
      <c r="L243" s="7" t="n">
        <v>94.2</v>
      </c>
      <c r="N243" s="7" t="n">
        <v>128.5</v>
      </c>
      <c r="P243" s="7" t="n">
        <v>162.5</v>
      </c>
      <c r="R243" s="7" t="n">
        <v>50.8</v>
      </c>
      <c r="T243" s="7" t="n">
        <v>65</v>
      </c>
      <c r="V243" s="7" t="n">
        <v>89.40000000000001</v>
      </c>
      <c r="X243" s="7" t="n">
        <v>40.1</v>
      </c>
      <c r="Z243" s="7" t="n">
        <v>42</v>
      </c>
      <c r="AB243" s="7" t="n">
        <v>916.9</v>
      </c>
    </row>
    <row r="244">
      <c r="A244" s="4" t="inlineStr">
        <is>
          <t>研发费</t>
        </is>
      </c>
      <c r="D244" s="7" t="n">
        <v>322.3</v>
      </c>
      <c r="F244" s="7" t="n">
        <v>229.8</v>
      </c>
      <c r="H244" s="7" t="n">
        <v>395.1</v>
      </c>
      <c r="J244" s="7" t="n">
        <v>1113.8</v>
      </c>
      <c r="L244" s="7" t="n">
        <v>967.7</v>
      </c>
      <c r="N244" s="7" t="n">
        <v>814.1</v>
      </c>
      <c r="P244" s="7" t="n">
        <v>1119.6</v>
      </c>
      <c r="R244" s="7" t="n">
        <v>696.6</v>
      </c>
      <c r="T244" s="7" t="n">
        <v>553.2</v>
      </c>
      <c r="V244" s="7" t="n">
        <v>729.4</v>
      </c>
      <c r="X244" s="7" t="n">
        <v>290.1</v>
      </c>
      <c r="Z244" s="7" t="n">
        <v>353.7</v>
      </c>
      <c r="AB244" s="7" t="n">
        <v>7585.4</v>
      </c>
    </row>
    <row r="245">
      <c r="A245" s="4" t="inlineStr">
        <is>
          <t>残保金</t>
        </is>
      </c>
      <c r="D245" s="7" t="n">
        <v>81.5</v>
      </c>
      <c r="F245" s="7" t="n">
        <v>111.9</v>
      </c>
      <c r="H245" s="7" t="n">
        <v>152.1</v>
      </c>
      <c r="J245" s="7" t="n">
        <v>317.4</v>
      </c>
      <c r="L245" s="7" t="n">
        <v>223</v>
      </c>
      <c r="N245" s="7" t="n">
        <v>496.8</v>
      </c>
      <c r="P245" s="7" t="n">
        <v>646.7</v>
      </c>
      <c r="R245" s="7" t="n">
        <v>161.4</v>
      </c>
      <c r="T245" s="7" t="n">
        <v>312.8</v>
      </c>
      <c r="V245" s="7" t="n">
        <v>252</v>
      </c>
      <c r="X245" s="7" t="n">
        <v>82.7</v>
      </c>
      <c r="Z245" s="7" t="n">
        <v>124.7</v>
      </c>
      <c r="AB245" s="7" t="n">
        <v>2963</v>
      </c>
    </row>
    <row r="246">
      <c r="A246" s="4" t="inlineStr">
        <is>
          <t>环保费</t>
        </is>
      </c>
      <c r="D246" s="7" t="n">
        <v>269.7</v>
      </c>
      <c r="F246" s="7" t="n">
        <v>218.7</v>
      </c>
      <c r="H246" s="7" t="n">
        <v>304.3</v>
      </c>
      <c r="J246" s="7" t="n">
        <v>1055</v>
      </c>
      <c r="L246" s="7" t="n">
        <v>733.3</v>
      </c>
      <c r="N246" s="7" t="n">
        <v>804.3</v>
      </c>
      <c r="P246" s="7" t="n">
        <v>1617.6</v>
      </c>
      <c r="R246" s="7" t="n">
        <v>583.8</v>
      </c>
      <c r="T246" s="7" t="n">
        <v>534.6</v>
      </c>
      <c r="V246" s="7" t="n">
        <v>744.6</v>
      </c>
      <c r="X246" s="7" t="n">
        <v>234.1</v>
      </c>
      <c r="Z246" s="7" t="n">
        <v>358.9</v>
      </c>
      <c r="AB246" s="7" t="n">
        <v>7458.9</v>
      </c>
    </row>
    <row r="247">
      <c r="A247" s="4" t="inlineStr">
        <is>
          <t>报废损失</t>
        </is>
      </c>
      <c r="D247" s="7" t="n">
        <v>118.1</v>
      </c>
      <c r="F247" s="7" t="n">
        <v>141.3</v>
      </c>
      <c r="H247" s="7" t="n">
        <v>250.3</v>
      </c>
      <c r="J247" s="7" t="n">
        <v>536.4</v>
      </c>
      <c r="L247" s="7" t="n">
        <v>535.3</v>
      </c>
      <c r="N247" s="7" t="n">
        <v>709</v>
      </c>
      <c r="P247" s="7" t="n">
        <v>879.5</v>
      </c>
      <c r="R247" s="7" t="n">
        <v>266.3</v>
      </c>
      <c r="T247" s="7" t="n">
        <v>594.7</v>
      </c>
      <c r="V247" s="7" t="n">
        <v>515</v>
      </c>
      <c r="X247" s="7" t="n">
        <v>185.3</v>
      </c>
      <c r="Z247" s="7" t="n">
        <v>354.4</v>
      </c>
      <c r="AB247" s="7" t="n">
        <v>5085.6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4288.3</v>
      </c>
      <c r="D248" s="7" t="n">
        <v>8330.1</v>
      </c>
      <c r="E248" s="7" t="n">
        <v>4547.1</v>
      </c>
      <c r="F248" s="7" t="n">
        <v>1115.4</v>
      </c>
      <c r="G248" s="7" t="n">
        <v>4653.8</v>
      </c>
      <c r="H248" s="7" t="n">
        <v>-4569.7</v>
      </c>
      <c r="I248" s="7" t="n">
        <v>4238.3</v>
      </c>
      <c r="J248" s="7" t="n">
        <v>7425.9</v>
      </c>
      <c r="K248" s="7" t="n">
        <v>4877.2</v>
      </c>
      <c r="L248" s="7" t="n">
        <v>4841.1</v>
      </c>
      <c r="M248" s="7" t="n">
        <v>5099.6</v>
      </c>
      <c r="N248" s="7" t="n">
        <v>4318.4</v>
      </c>
      <c r="O248" s="7" t="n">
        <v>3920.9</v>
      </c>
      <c r="P248" s="7" t="n">
        <v>8664.5</v>
      </c>
      <c r="Q248" s="7" t="n">
        <v>4019.8</v>
      </c>
      <c r="R248" s="7" t="n">
        <v>-2292.4</v>
      </c>
      <c r="S248" s="7" t="n">
        <v>4951</v>
      </c>
      <c r="T248" s="7" t="n">
        <v>601.5</v>
      </c>
      <c r="U248" s="7" t="n">
        <v>4449</v>
      </c>
      <c r="V248" s="7" t="n">
        <v>19379.8</v>
      </c>
      <c r="W248" s="7" t="n">
        <v>4127.9</v>
      </c>
      <c r="X248" s="7" t="n">
        <v>4933.7</v>
      </c>
      <c r="Y248" s="7" t="n">
        <v>3982.4</v>
      </c>
      <c r="Z248" s="7" t="n">
        <v>802.9</v>
      </c>
      <c r="AA248" s="8" t="n">
        <v>53155.3</v>
      </c>
      <c r="AB248" s="8" t="n">
        <v>53551.2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1164.9</v>
      </c>
      <c r="E250" s="7" t="n">
        <v>0</v>
      </c>
      <c r="F250" s="7" t="n">
        <v>-264.9</v>
      </c>
      <c r="G250" s="7" t="n">
        <v>0</v>
      </c>
      <c r="H250" s="7" t="n">
        <v>2230.3</v>
      </c>
      <c r="I250" s="7" t="n">
        <v>0</v>
      </c>
      <c r="J250" s="7" t="n">
        <v>666.4</v>
      </c>
      <c r="K250" s="7" t="n">
        <v>0</v>
      </c>
      <c r="L250" s="7" t="n">
        <v>-2675.7</v>
      </c>
      <c r="M250" s="7" t="n">
        <v>0</v>
      </c>
      <c r="N250" s="7" t="n">
        <v>2674.1</v>
      </c>
      <c r="O250" s="7" t="n">
        <v>0</v>
      </c>
      <c r="P250" s="7" t="n">
        <v>-2479.8</v>
      </c>
      <c r="Q250" s="7" t="n">
        <v>0</v>
      </c>
      <c r="R250" s="7" t="n">
        <v>-1885.5</v>
      </c>
      <c r="S250" s="7" t="n">
        <v>0</v>
      </c>
      <c r="T250" s="7" t="n">
        <v>-1621.3</v>
      </c>
      <c r="U250" s="7" t="n">
        <v>0</v>
      </c>
      <c r="V250" s="7" t="n">
        <v>-3493.9</v>
      </c>
      <c r="W250" s="7" t="n">
        <v>0</v>
      </c>
      <c r="X250" s="7" t="n">
        <v>-1785.6</v>
      </c>
      <c r="Y250" s="7" t="n">
        <v>0</v>
      </c>
      <c r="Z250" s="7" t="n">
        <v>653.1</v>
      </c>
      <c r="AA250" s="7" t="n">
        <v>0</v>
      </c>
      <c r="AB250" s="7" t="n">
        <v>-6817.9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18843.4</v>
      </c>
      <c r="D255" s="7" t="n">
        <v>12196</v>
      </c>
      <c r="E255" s="7" t="n">
        <v>14355.2</v>
      </c>
      <c r="F255" s="7" t="n">
        <v>167.2</v>
      </c>
      <c r="G255" s="7" t="n">
        <v>14471.4</v>
      </c>
      <c r="H255" s="7" t="n">
        <v>20711.9</v>
      </c>
      <c r="I255" s="7" t="n">
        <v>17397.9</v>
      </c>
      <c r="J255" s="7" t="n">
        <v>22651.1</v>
      </c>
      <c r="K255" s="7" t="n">
        <v>15804.4</v>
      </c>
      <c r="L255" s="7" t="n">
        <v>23840.9</v>
      </c>
      <c r="M255" s="7" t="n">
        <v>17681.8</v>
      </c>
      <c r="N255" s="7" t="n">
        <v>16367.7</v>
      </c>
      <c r="O255" s="7" t="n">
        <v>14752.4</v>
      </c>
      <c r="P255" s="7" t="n">
        <v>9390.5</v>
      </c>
      <c r="Q255" s="7" t="n">
        <v>17638.7</v>
      </c>
      <c r="R255" s="7" t="n">
        <v>19560.3</v>
      </c>
      <c r="S255" s="7" t="n">
        <v>14772.6</v>
      </c>
      <c r="T255" s="7" t="n">
        <v>9655.1</v>
      </c>
      <c r="U255" s="7" t="n">
        <v>16109.3</v>
      </c>
      <c r="V255" s="7" t="n">
        <v>21266</v>
      </c>
      <c r="W255" s="7" t="n">
        <v>18740.8</v>
      </c>
      <c r="X255" s="7" t="n">
        <v>15432.9</v>
      </c>
      <c r="Y255" s="7" t="n">
        <v>14146.5</v>
      </c>
      <c r="Z255" s="7" t="n">
        <v>25759.6</v>
      </c>
      <c r="AA255" s="7" t="n">
        <v>194714.4</v>
      </c>
      <c r="AB255" s="7" t="n">
        <v>196999.2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552805.3</v>
      </c>
      <c r="D256" s="7" t="n">
        <v>330655.9</v>
      </c>
      <c r="E256" s="7" t="n">
        <v>568062.7</v>
      </c>
      <c r="F256" s="7" t="n">
        <v>279325.1</v>
      </c>
      <c r="G256" s="7" t="n">
        <v>527955.9</v>
      </c>
      <c r="H256" s="7" t="n">
        <v>610897.6</v>
      </c>
      <c r="I256" s="7" t="n">
        <v>573848.1</v>
      </c>
      <c r="J256" s="7" t="n">
        <v>531191.7</v>
      </c>
      <c r="K256" s="7" t="n">
        <v>490049.1</v>
      </c>
      <c r="L256" s="7" t="n">
        <v>769795.8</v>
      </c>
      <c r="M256" s="7" t="n">
        <v>552932.3</v>
      </c>
      <c r="N256" s="7" t="n">
        <v>661648.5</v>
      </c>
      <c r="O256" s="7" t="n">
        <v>500417.9</v>
      </c>
      <c r="P256" s="7" t="n">
        <v>665505.4</v>
      </c>
      <c r="Q256" s="7" t="n">
        <v>567881.4</v>
      </c>
      <c r="R256" s="7" t="n">
        <v>473925.1</v>
      </c>
      <c r="S256" s="7" t="n">
        <v>584432.7</v>
      </c>
      <c r="T256" s="7" t="n">
        <v>548957.4</v>
      </c>
      <c r="U256" s="7" t="n">
        <v>552294.6</v>
      </c>
      <c r="V256" s="7" t="n">
        <v>543292.4</v>
      </c>
      <c r="W256" s="7" t="n">
        <v>508123.6</v>
      </c>
      <c r="X256" s="7" t="n">
        <v>712319.3</v>
      </c>
      <c r="Y256" s="7" t="n">
        <v>542987.3</v>
      </c>
      <c r="Z256" s="7" t="n">
        <v>461711.2</v>
      </c>
      <c r="AA256" s="8" t="n">
        <v>6521790.9</v>
      </c>
      <c r="AB256" s="8" t="n">
        <v>6589225.4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4681</v>
      </c>
      <c r="E257" s="7" t="n">
        <v>0</v>
      </c>
      <c r="F257" s="7" t="n">
        <v>4635.4</v>
      </c>
      <c r="G257" s="7" t="n">
        <v>0</v>
      </c>
      <c r="H257" s="7" t="n">
        <v>3600.7</v>
      </c>
      <c r="I257" s="7" t="n">
        <v>0</v>
      </c>
      <c r="J257" s="7" t="n">
        <v>4262</v>
      </c>
      <c r="K257" s="7" t="n">
        <v>0</v>
      </c>
      <c r="L257" s="7" t="n">
        <v>676.7</v>
      </c>
      <c r="M257" s="7" t="n">
        <v>0</v>
      </c>
      <c r="N257" s="7" t="n">
        <v>2621.9</v>
      </c>
      <c r="O257" s="7" t="n">
        <v>0</v>
      </c>
      <c r="P257" s="7" t="n">
        <v>4147</v>
      </c>
      <c r="Q257" s="7" t="n">
        <v>0</v>
      </c>
      <c r="R257" s="7" t="n">
        <v>49.1</v>
      </c>
      <c r="S257" s="7" t="n">
        <v>0</v>
      </c>
      <c r="T257" s="7" t="n">
        <v>2081.5</v>
      </c>
      <c r="U257" s="7" t="n">
        <v>0</v>
      </c>
      <c r="V257" s="7" t="n">
        <v>751.7</v>
      </c>
      <c r="W257" s="7" t="n">
        <v>0</v>
      </c>
      <c r="X257" s="7" t="n">
        <v>335.2</v>
      </c>
      <c r="Y257" s="7" t="n">
        <v>0</v>
      </c>
      <c r="Z257" s="7" t="n">
        <v>4884.9</v>
      </c>
      <c r="AA257" s="7" t="n">
        <v>0</v>
      </c>
      <c r="AB257" s="7" t="n">
        <v>32727.1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935.5</v>
      </c>
      <c r="E258" s="7" t="n">
        <v>0</v>
      </c>
      <c r="F258" s="7" t="n">
        <v>563</v>
      </c>
      <c r="G258" s="7" t="n">
        <v>0</v>
      </c>
      <c r="H258" s="7" t="n">
        <v>2082.1</v>
      </c>
      <c r="I258" s="7" t="n">
        <v>0</v>
      </c>
      <c r="J258" s="7" t="n">
        <v>1613.2</v>
      </c>
      <c r="K258" s="7" t="n">
        <v>0</v>
      </c>
      <c r="L258" s="7" t="n">
        <v>993.1</v>
      </c>
      <c r="M258" s="7" t="n">
        <v>0</v>
      </c>
      <c r="N258" s="7" t="n">
        <v>183.3</v>
      </c>
      <c r="O258" s="7" t="n">
        <v>0</v>
      </c>
      <c r="P258" s="7" t="n">
        <v>1406.1</v>
      </c>
      <c r="Q258" s="7" t="n">
        <v>0</v>
      </c>
      <c r="R258" s="7" t="n">
        <v>469.4</v>
      </c>
      <c r="S258" s="7" t="n">
        <v>0</v>
      </c>
      <c r="T258" s="7" t="n">
        <v>1051.4</v>
      </c>
      <c r="U258" s="7" t="n">
        <v>0</v>
      </c>
      <c r="V258" s="7" t="n">
        <v>1677.5</v>
      </c>
      <c r="W258" s="7" t="n">
        <v>0</v>
      </c>
      <c r="X258" s="7" t="n">
        <v>678.1</v>
      </c>
      <c r="Y258" s="7" t="n">
        <v>0</v>
      </c>
      <c r="Z258" s="7" t="n">
        <v>1886.5</v>
      </c>
      <c r="AA258" s="7" t="n">
        <v>0</v>
      </c>
      <c r="AB258" s="7" t="n">
        <v>13539.2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495571.4</v>
      </c>
      <c r="D259" s="7" t="n">
        <v>358952.1</v>
      </c>
      <c r="E259" s="7" t="n">
        <v>591546.3</v>
      </c>
      <c r="F259" s="7" t="n">
        <v>266732</v>
      </c>
      <c r="G259" s="7" t="n">
        <v>516744.3</v>
      </c>
      <c r="H259" s="7" t="n">
        <v>650087.2</v>
      </c>
      <c r="I259" s="7" t="n">
        <v>513914.7</v>
      </c>
      <c r="J259" s="7" t="n">
        <v>570297.3</v>
      </c>
      <c r="K259" s="7" t="n">
        <v>487256</v>
      </c>
      <c r="L259" s="7" t="n">
        <v>782800.5</v>
      </c>
      <c r="M259" s="7" t="n">
        <v>602538.4</v>
      </c>
      <c r="N259" s="7" t="n">
        <v>635943.5</v>
      </c>
      <c r="O259" s="7" t="n">
        <v>567754.7</v>
      </c>
      <c r="P259" s="7" t="n">
        <v>682076.6</v>
      </c>
      <c r="Q259" s="7" t="n">
        <v>597421.3</v>
      </c>
      <c r="R259" s="7" t="n">
        <v>464756.4</v>
      </c>
      <c r="S259" s="7" t="n">
        <v>525072.2</v>
      </c>
      <c r="T259" s="7" t="n">
        <v>522031</v>
      </c>
      <c r="U259" s="7" t="n">
        <v>598404.6</v>
      </c>
      <c r="V259" s="7" t="n">
        <v>547749.2</v>
      </c>
      <c r="W259" s="7" t="n">
        <v>568560.2</v>
      </c>
      <c r="X259" s="7" t="n">
        <v>735023.4</v>
      </c>
      <c r="Y259" s="7" t="n">
        <v>516288.2</v>
      </c>
      <c r="Z259" s="7" t="n">
        <v>422694.4</v>
      </c>
      <c r="AA259" s="8" t="n">
        <v>6581072.3</v>
      </c>
      <c r="AB259" s="8" t="n">
        <v>6639143.6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151066.8</v>
      </c>
      <c r="D260" s="7" t="n">
        <v>89738</v>
      </c>
      <c r="E260" s="7" t="n">
        <v>153724</v>
      </c>
      <c r="F260" s="7" t="n">
        <v>66683</v>
      </c>
      <c r="G260" s="7" t="n">
        <v>145307.2</v>
      </c>
      <c r="H260" s="7" t="n">
        <v>162521.8</v>
      </c>
      <c r="I260" s="7" t="n">
        <v>137212</v>
      </c>
      <c r="J260" s="7" t="n">
        <v>142574.3</v>
      </c>
      <c r="K260" s="7" t="n">
        <v>124543.4</v>
      </c>
      <c r="L260" s="7" t="n">
        <v>195700.1</v>
      </c>
      <c r="M260" s="7" t="n">
        <v>150073.6</v>
      </c>
      <c r="N260" s="7" t="n">
        <v>158985.9</v>
      </c>
      <c r="O260" s="7" t="n">
        <v>158610</v>
      </c>
      <c r="P260" s="7" t="n">
        <v>170519.1</v>
      </c>
      <c r="Q260" s="7" t="n">
        <v>121358.2</v>
      </c>
      <c r="R260" s="7" t="n">
        <v>116189.1</v>
      </c>
      <c r="S260" s="7" t="n">
        <v>150903.1</v>
      </c>
      <c r="T260" s="7" t="n">
        <v>130507.8</v>
      </c>
      <c r="U260" s="7" t="n">
        <v>123646.8</v>
      </c>
      <c r="V260" s="7" t="n">
        <v>136937.3</v>
      </c>
      <c r="W260" s="7" t="n">
        <v>124407.2</v>
      </c>
      <c r="X260" s="7" t="n">
        <v>183755.9</v>
      </c>
      <c r="Y260" s="7" t="n">
        <v>153860</v>
      </c>
      <c r="Z260" s="7" t="n">
        <v>105673.6</v>
      </c>
      <c r="AA260" s="7" t="n">
        <v>1694712.3</v>
      </c>
      <c r="AB260" s="7" t="n">
        <v>1659785.9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342084.9</v>
      </c>
      <c r="D261" s="7" t="n">
        <v>269214.1</v>
      </c>
      <c r="E261" s="7" t="n">
        <v>431518.1</v>
      </c>
      <c r="F261" s="7" t="n">
        <v>200049</v>
      </c>
      <c r="G261" s="7" t="n">
        <v>600797.4</v>
      </c>
      <c r="H261" s="7" t="n">
        <v>487565.4</v>
      </c>
      <c r="I261" s="7" t="n">
        <v>399755.3</v>
      </c>
      <c r="J261" s="7" t="n">
        <v>427723</v>
      </c>
      <c r="K261" s="7" t="n">
        <v>544614.8</v>
      </c>
      <c r="L261" s="7" t="n">
        <v>587100.4</v>
      </c>
      <c r="M261" s="7" t="n">
        <v>452745.9</v>
      </c>
      <c r="N261" s="7" t="n">
        <v>476957.6</v>
      </c>
      <c r="O261" s="7" t="n">
        <v>443811.8</v>
      </c>
      <c r="P261" s="7" t="n">
        <v>511557.5</v>
      </c>
      <c r="Q261" s="7" t="n">
        <v>592982.7</v>
      </c>
      <c r="R261" s="7" t="n">
        <v>348567.3</v>
      </c>
      <c r="S261" s="7" t="n">
        <v>603621</v>
      </c>
      <c r="T261" s="7" t="n">
        <v>391523.2</v>
      </c>
      <c r="U261" s="7" t="n">
        <v>480876.5</v>
      </c>
      <c r="V261" s="7" t="n">
        <v>410811.9</v>
      </c>
      <c r="W261" s="7" t="n">
        <v>526283</v>
      </c>
      <c r="X261" s="7" t="n">
        <v>551267.5</v>
      </c>
      <c r="Y261" s="7" t="n">
        <v>368931.6</v>
      </c>
      <c r="Z261" s="7" t="n">
        <v>317020.8</v>
      </c>
      <c r="AA261" s="8" t="n">
        <v>5788023</v>
      </c>
      <c r="AB261" s="8" t="n">
        <v>4979357.7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26114.1</v>
      </c>
      <c r="E262" s="7" t="n">
        <v>0</v>
      </c>
      <c r="F262" s="7" t="n">
        <v>53770.4</v>
      </c>
      <c r="G262" s="7" t="n">
        <v>0</v>
      </c>
      <c r="H262" s="7" t="n">
        <v>7633.7</v>
      </c>
      <c r="I262" s="7" t="n">
        <v>0</v>
      </c>
      <c r="J262" s="7" t="n">
        <v>65660.39999999999</v>
      </c>
      <c r="K262" s="7" t="n">
        <v>0</v>
      </c>
      <c r="L262" s="7" t="n">
        <v>77442.5</v>
      </c>
      <c r="M262" s="7" t="n">
        <v>0</v>
      </c>
      <c r="N262" s="7" t="n">
        <v>95130.5</v>
      </c>
      <c r="O262" s="7" t="n">
        <v>0</v>
      </c>
      <c r="P262" s="7" t="n">
        <v>50197.5</v>
      </c>
      <c r="Q262" s="7" t="n">
        <v>0</v>
      </c>
      <c r="R262" s="7" t="n">
        <v>52324.3</v>
      </c>
      <c r="S262" s="7" t="n">
        <v>0</v>
      </c>
      <c r="T262" s="7" t="n">
        <v>13777.3</v>
      </c>
      <c r="U262" s="7" t="n">
        <v>0</v>
      </c>
      <c r="V262" s="7" t="n">
        <v>69034.3</v>
      </c>
      <c r="W262" s="7" t="n">
        <v>0</v>
      </c>
      <c r="X262" s="7" t="n">
        <v>62399.5</v>
      </c>
      <c r="Y262" s="7" t="n">
        <v>0</v>
      </c>
      <c r="Z262" s="7" t="n">
        <v>36666.3</v>
      </c>
      <c r="AA262" s="7" t="n">
        <v>0</v>
      </c>
      <c r="AB262" s="7" t="n">
        <v>610150.8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342084.9</v>
      </c>
      <c r="D263" s="7" t="n">
        <v>243100</v>
      </c>
      <c r="E263" s="7" t="n">
        <v>431518.1</v>
      </c>
      <c r="F263" s="7" t="n">
        <v>146278.6</v>
      </c>
      <c r="G263" s="7" t="n">
        <v>600797.4</v>
      </c>
      <c r="H263" s="7" t="n">
        <v>479931.7</v>
      </c>
      <c r="I263" s="7" t="n">
        <v>399755.3</v>
      </c>
      <c r="J263" s="7" t="n">
        <v>362062.6</v>
      </c>
      <c r="K263" s="7" t="n">
        <v>544614.8</v>
      </c>
      <c r="L263" s="7" t="n">
        <v>509657.9</v>
      </c>
      <c r="M263" s="7" t="n">
        <v>452745.9</v>
      </c>
      <c r="N263" s="7" t="n">
        <v>381827.1</v>
      </c>
      <c r="O263" s="7" t="n">
        <v>443811.8</v>
      </c>
      <c r="P263" s="7" t="n">
        <v>461360</v>
      </c>
      <c r="Q263" s="7" t="n">
        <v>592982.7</v>
      </c>
      <c r="R263" s="7" t="n">
        <v>296243</v>
      </c>
      <c r="S263" s="7" t="n">
        <v>603621</v>
      </c>
      <c r="T263" s="7" t="n">
        <v>377745.9</v>
      </c>
      <c r="U263" s="7" t="n">
        <v>480876.5</v>
      </c>
      <c r="V263" s="7" t="n">
        <v>341777.6</v>
      </c>
      <c r="W263" s="7" t="n">
        <v>526283</v>
      </c>
      <c r="X263" s="7" t="n">
        <v>488868</v>
      </c>
      <c r="Y263" s="7" t="n">
        <v>368931.6</v>
      </c>
      <c r="Z263" s="7" t="n">
        <v>280354.5</v>
      </c>
      <c r="AA263" s="8" t="n">
        <v>5788023</v>
      </c>
      <c r="AB263" s="8" t="n">
        <v>4369206.9</v>
      </c>
    </row>
    <row r="264">
      <c r="A264" s="4" t="inlineStr">
        <is>
          <t>净利率</t>
        </is>
      </c>
      <c r="D264" s="13" t="n">
        <v>7.9</v>
      </c>
      <c r="F264" s="13" t="n">
        <v>5.3</v>
      </c>
      <c r="H264" s="13" t="n">
        <v>10.3</v>
      </c>
      <c r="J264" s="13" t="n">
        <v>7.4</v>
      </c>
      <c r="L264" s="13" t="n">
        <v>9.5</v>
      </c>
      <c r="N264" s="13" t="n">
        <v>7.1</v>
      </c>
      <c r="P264" s="13" t="n">
        <v>6.8</v>
      </c>
      <c r="R264" s="13" t="n">
        <v>5.9</v>
      </c>
      <c r="T264" s="13" t="n">
        <v>7</v>
      </c>
      <c r="V264" s="13" t="n">
        <v>5.8</v>
      </c>
      <c r="X264" s="13" t="n">
        <v>10.3</v>
      </c>
      <c r="Z264" s="13" t="n">
        <v>7.7</v>
      </c>
    </row>
    <row r="265">
      <c r="A265" s="4" t="inlineStr">
        <is>
          <t>销售达成率</t>
        </is>
      </c>
      <c r="D265" s="13" t="n">
        <v>69.7</v>
      </c>
      <c r="F265" s="13" t="n">
        <v>70.09999999999999</v>
      </c>
      <c r="H265" s="13" t="n">
        <v>89.2</v>
      </c>
      <c r="J265" s="13" t="n">
        <v>93.7</v>
      </c>
      <c r="L265" s="13" t="n">
        <v>119.8</v>
      </c>
      <c r="N265" s="13" t="n">
        <v>132.4</v>
      </c>
      <c r="P265" s="13" t="n">
        <v>137.2</v>
      </c>
      <c r="R265" s="13" t="n">
        <v>108.6</v>
      </c>
      <c r="T265" s="13" t="n">
        <v>107.9</v>
      </c>
      <c r="V265" s="13" t="n">
        <v>136.9</v>
      </c>
      <c r="X265" s="13" t="n">
        <v>85.09999999999999</v>
      </c>
      <c r="Z265" s="13" t="n">
        <v>75.09999999999999</v>
      </c>
    </row>
    <row r="266">
      <c r="A266" s="4" t="inlineStr">
        <is>
          <t>净利达成率</t>
        </is>
      </c>
      <c r="D266" s="13" t="n">
        <v>78.7</v>
      </c>
      <c r="F266" s="13" t="n">
        <v>46.4</v>
      </c>
      <c r="H266" s="13" t="n">
        <v>81.2</v>
      </c>
      <c r="J266" s="13" t="n">
        <v>107</v>
      </c>
      <c r="L266" s="13" t="n">
        <v>107.8</v>
      </c>
      <c r="N266" s="13" t="n">
        <v>105.3</v>
      </c>
      <c r="P266" s="13" t="n">
        <v>115.3</v>
      </c>
      <c r="R266" s="13" t="n">
        <v>58.8</v>
      </c>
      <c r="T266" s="13" t="n">
        <v>64.90000000000001</v>
      </c>
      <c r="V266" s="13" t="n">
        <v>85.40000000000001</v>
      </c>
      <c r="X266" s="13" t="n">
        <v>104.7</v>
      </c>
      <c r="Z266" s="13" t="n">
        <v>85.90000000000001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浙江分部利润表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5253064.5</v>
      </c>
      <c r="D6" s="7" t="n">
        <v>3328217.5</v>
      </c>
      <c r="E6" s="7" t="n">
        <v>5933019.2</v>
      </c>
      <c r="F6" s="7" t="n">
        <v>4030580.3</v>
      </c>
      <c r="G6" s="7" t="n">
        <v>5765957.9</v>
      </c>
      <c r="H6" s="7" t="n">
        <v>4872820.5</v>
      </c>
      <c r="I6" s="7" t="n">
        <v>4770902.6</v>
      </c>
      <c r="J6" s="7" t="n">
        <v>5664862.9</v>
      </c>
      <c r="K6" s="7" t="n">
        <v>4636028.6</v>
      </c>
      <c r="L6" s="7" t="n">
        <v>6466086.5</v>
      </c>
      <c r="M6" s="7" t="n">
        <v>5320212.2</v>
      </c>
      <c r="N6" s="7" t="n">
        <v>5886932.7</v>
      </c>
      <c r="O6" s="7" t="n">
        <v>5506866.6</v>
      </c>
      <c r="P6" s="7" t="n">
        <v>6390369.1</v>
      </c>
      <c r="Q6" s="7" t="n">
        <v>5033827.3</v>
      </c>
      <c r="R6" s="7" t="n">
        <v>6140091.4</v>
      </c>
      <c r="S6" s="7" t="n">
        <v>5801542.7</v>
      </c>
      <c r="T6" s="7" t="n">
        <v>5068646.3</v>
      </c>
      <c r="U6" s="7" t="n">
        <v>5694646.5</v>
      </c>
      <c r="V6" s="7" t="n">
        <v>6445044</v>
      </c>
      <c r="W6" s="7" t="n">
        <v>5570183.9</v>
      </c>
      <c r="X6" s="7" t="n">
        <v>4745654.5</v>
      </c>
      <c r="Y6" s="7" t="n">
        <v>4858200.5</v>
      </c>
      <c r="Z6" s="7" t="n">
        <v>3539366.7</v>
      </c>
      <c r="AA6" s="8" t="n">
        <v>64144452.5</v>
      </c>
      <c r="AB6" s="8" t="n">
        <v>62578672.4</v>
      </c>
    </row>
    <row r="7">
      <c r="A7" s="4" t="inlineStr">
        <is>
          <t>中式汤底</t>
        </is>
      </c>
      <c r="D7" s="7" t="n">
        <v>580396.9</v>
      </c>
      <c r="F7" s="7" t="n">
        <v>721444.7</v>
      </c>
      <c r="H7" s="7" t="n">
        <v>872282.2</v>
      </c>
      <c r="J7" s="7" t="n">
        <v>1069919.9</v>
      </c>
      <c r="L7" s="7" t="n">
        <v>1221492.5</v>
      </c>
      <c r="N7" s="7" t="n">
        <v>983759.1</v>
      </c>
      <c r="P7" s="7" t="n">
        <v>1304348.9</v>
      </c>
      <c r="R7" s="7" t="n">
        <v>874575.8</v>
      </c>
      <c r="T7" s="7" t="n">
        <v>842448.8</v>
      </c>
      <c r="V7" s="7" t="n">
        <v>1178886.9</v>
      </c>
      <c r="X7" s="7" t="n">
        <v>872111.6</v>
      </c>
      <c r="Z7" s="7" t="n">
        <v>770468.4</v>
      </c>
      <c r="AB7" s="7" t="n">
        <v>11292135.7</v>
      </c>
    </row>
    <row r="8">
      <c r="A8" s="4" t="inlineStr">
        <is>
          <t>酱料</t>
        </is>
      </c>
      <c r="D8" s="7" t="n">
        <v>391731</v>
      </c>
      <c r="F8" s="7" t="n">
        <v>545415.7</v>
      </c>
      <c r="H8" s="7" t="n">
        <v>607935.9</v>
      </c>
      <c r="J8" s="7" t="n">
        <v>604431.5</v>
      </c>
      <c r="L8" s="7" t="n">
        <v>961908.2</v>
      </c>
      <c r="N8" s="7" t="n">
        <v>725568.9</v>
      </c>
      <c r="P8" s="7" t="n">
        <v>858802.9</v>
      </c>
      <c r="R8" s="7" t="n">
        <v>924185.1</v>
      </c>
      <c r="T8" s="7" t="n">
        <v>691043.2</v>
      </c>
      <c r="V8" s="7" t="n">
        <v>991711.8</v>
      </c>
      <c r="X8" s="7" t="n">
        <v>685497.1</v>
      </c>
      <c r="Z8" s="7" t="n">
        <v>541799.5</v>
      </c>
      <c r="AB8" s="7" t="n">
        <v>8530030.800000001</v>
      </c>
    </row>
    <row r="9">
      <c r="A9" s="4" t="inlineStr">
        <is>
          <t>川味底料</t>
        </is>
      </c>
      <c r="D9" s="7" t="n">
        <v>448340.6</v>
      </c>
      <c r="F9" s="7" t="n">
        <v>668549.6</v>
      </c>
      <c r="H9" s="7" t="n">
        <v>618710.1</v>
      </c>
      <c r="J9" s="7" t="n">
        <v>829726.9</v>
      </c>
      <c r="L9" s="7" t="n">
        <v>931147.3</v>
      </c>
      <c r="N9" s="7" t="n">
        <v>859329.7</v>
      </c>
      <c r="P9" s="7" t="n">
        <v>956451.7</v>
      </c>
      <c r="R9" s="7" t="n">
        <v>1038569.2</v>
      </c>
      <c r="T9" s="7" t="n">
        <v>679939</v>
      </c>
      <c r="V9" s="7" t="n">
        <v>887829.6</v>
      </c>
      <c r="X9" s="7" t="n">
        <v>810483.3</v>
      </c>
      <c r="Z9" s="7" t="n">
        <v>514551</v>
      </c>
      <c r="AB9" s="7" t="n">
        <v>9243628</v>
      </c>
    </row>
    <row r="10">
      <c r="A10" s="4" t="inlineStr">
        <is>
          <t>调味汁</t>
        </is>
      </c>
      <c r="D10" s="7" t="n">
        <v>345645.3</v>
      </c>
      <c r="F10" s="7" t="n">
        <v>344710</v>
      </c>
      <c r="H10" s="7" t="n">
        <v>620176.3</v>
      </c>
      <c r="J10" s="7" t="n">
        <v>672632.4</v>
      </c>
      <c r="L10" s="7" t="n">
        <v>560702.7</v>
      </c>
      <c r="N10" s="7" t="n">
        <v>657283</v>
      </c>
      <c r="P10" s="7" t="n">
        <v>862553.9</v>
      </c>
      <c r="R10" s="7" t="n">
        <v>756687.1</v>
      </c>
      <c r="T10" s="7" t="n">
        <v>533799.9</v>
      </c>
      <c r="V10" s="7" t="n">
        <v>791645.9</v>
      </c>
      <c r="X10" s="7" t="n">
        <v>513917</v>
      </c>
      <c r="Z10" s="7" t="n">
        <v>357883.8</v>
      </c>
      <c r="AB10" s="7" t="n">
        <v>7017637.3</v>
      </c>
    </row>
    <row r="11">
      <c r="A11" s="4" t="inlineStr">
        <is>
          <t>复合调味粉</t>
        </is>
      </c>
      <c r="D11" s="7" t="n">
        <v>608331.1</v>
      </c>
      <c r="F11" s="7" t="n">
        <v>687115.6</v>
      </c>
      <c r="H11" s="7" t="n">
        <v>839023.2</v>
      </c>
      <c r="J11" s="7" t="n">
        <v>998422.4</v>
      </c>
      <c r="L11" s="7" t="n">
        <v>1073250.7</v>
      </c>
      <c r="N11" s="7" t="n">
        <v>926661.9</v>
      </c>
      <c r="P11" s="7" t="n">
        <v>933597</v>
      </c>
      <c r="R11" s="7" t="n">
        <v>1071200.7</v>
      </c>
      <c r="T11" s="7" t="n">
        <v>959508.7</v>
      </c>
      <c r="V11" s="7" t="n">
        <v>942353.7</v>
      </c>
      <c r="X11" s="7" t="n">
        <v>682974.7</v>
      </c>
      <c r="Z11" s="7" t="n">
        <v>522983.7</v>
      </c>
      <c r="AB11" s="7" t="n">
        <v>10245423.4</v>
      </c>
    </row>
    <row r="12">
      <c r="A12" s="4" t="inlineStr">
        <is>
          <t>团餐</t>
        </is>
      </c>
      <c r="D12" s="7" t="n">
        <v>606278.1</v>
      </c>
      <c r="F12" s="7" t="n">
        <v>629745.4</v>
      </c>
      <c r="H12" s="7" t="n">
        <v>913788.4</v>
      </c>
      <c r="J12" s="7" t="n">
        <v>1001045.8</v>
      </c>
      <c r="L12" s="7" t="n">
        <v>1112825.4</v>
      </c>
      <c r="N12" s="7" t="n">
        <v>1210776.5</v>
      </c>
      <c r="P12" s="7" t="n">
        <v>933504.1</v>
      </c>
      <c r="R12" s="7" t="n">
        <v>1022217.1</v>
      </c>
      <c r="T12" s="7" t="n">
        <v>887623</v>
      </c>
      <c r="V12" s="7" t="n">
        <v>974820.3</v>
      </c>
      <c r="X12" s="7" t="n">
        <v>691122.4</v>
      </c>
      <c r="Z12" s="7" t="n">
        <v>477215.4</v>
      </c>
      <c r="AB12" s="7" t="n">
        <v>10460961.9</v>
      </c>
    </row>
    <row r="13">
      <c r="A13" s="4" t="inlineStr">
        <is>
          <t>预制菜</t>
        </is>
      </c>
      <c r="D13" s="7" t="n">
        <v>380052.6</v>
      </c>
      <c r="F13" s="7" t="n">
        <v>435437.8</v>
      </c>
      <c r="H13" s="7" t="n">
        <v>433932.3</v>
      </c>
      <c r="J13" s="7" t="n">
        <v>542760</v>
      </c>
      <c r="L13" s="7" t="n">
        <v>729708.9</v>
      </c>
      <c r="N13" s="7" t="n">
        <v>642960.9</v>
      </c>
      <c r="P13" s="7" t="n">
        <v>729264.9</v>
      </c>
      <c r="R13" s="7" t="n">
        <v>588185</v>
      </c>
      <c r="T13" s="7" t="n">
        <v>563780.5</v>
      </c>
      <c r="V13" s="7" t="n">
        <v>748334.6</v>
      </c>
      <c r="X13" s="7" t="n">
        <v>548295.1</v>
      </c>
      <c r="Z13" s="7" t="n">
        <v>415433.4</v>
      </c>
      <c r="AB13" s="7" t="n">
        <v>6758146</v>
      </c>
    </row>
    <row r="14">
      <c r="A14" s="4" t="inlineStr">
        <is>
          <t>返利</t>
        </is>
      </c>
      <c r="D14" s="7" t="n">
        <v>-65500</v>
      </c>
      <c r="F14" s="7" t="n">
        <v>-65467.3</v>
      </c>
      <c r="H14" s="7" t="n">
        <v>-100274.1</v>
      </c>
      <c r="J14" s="7" t="n">
        <v>-117888.5</v>
      </c>
      <c r="L14" s="7" t="n">
        <v>-182345.7</v>
      </c>
      <c r="N14" s="7" t="n">
        <v>-161233.1</v>
      </c>
      <c r="P14" s="7" t="n">
        <v>-191482.4</v>
      </c>
      <c r="R14" s="7" t="n">
        <v>-181426.9</v>
      </c>
      <c r="T14" s="7" t="n">
        <v>-137578.5</v>
      </c>
      <c r="V14" s="7" t="n">
        <v>-157852.7</v>
      </c>
      <c r="X14" s="7" t="n">
        <v>-128746</v>
      </c>
      <c r="Z14" s="7" t="n">
        <v>-76362.10000000001</v>
      </c>
      <c r="AB14" s="7" t="n">
        <v>-1566157.3</v>
      </c>
    </row>
    <row r="15">
      <c r="A15" s="4" t="inlineStr">
        <is>
          <t>其他</t>
        </is>
      </c>
      <c r="D15" s="7" t="n">
        <v>32941.9</v>
      </c>
      <c r="F15" s="7" t="n">
        <v>63628.8</v>
      </c>
      <c r="H15" s="7" t="n">
        <v>67246.2</v>
      </c>
      <c r="J15" s="7" t="n">
        <v>63812.5</v>
      </c>
      <c r="L15" s="7" t="n">
        <v>57396.5</v>
      </c>
      <c r="N15" s="7" t="n">
        <v>41825.8</v>
      </c>
      <c r="P15" s="7" t="n">
        <v>3328.1</v>
      </c>
      <c r="R15" s="7" t="n">
        <v>45898.3</v>
      </c>
      <c r="T15" s="7" t="n">
        <v>48081.7</v>
      </c>
      <c r="V15" s="7" t="n">
        <v>87313.89999999999</v>
      </c>
      <c r="X15" s="7" t="n">
        <v>69999.3</v>
      </c>
      <c r="Z15" s="7" t="n">
        <v>15393.6</v>
      </c>
      <c r="AB15" s="7" t="n">
        <v>596866.6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3405175.4</v>
      </c>
      <c r="D16" s="7" t="n">
        <v>2262764</v>
      </c>
      <c r="E16" s="7" t="n">
        <v>3282772.1</v>
      </c>
      <c r="F16" s="7" t="n">
        <v>2768376.2</v>
      </c>
      <c r="G16" s="7" t="n">
        <v>3992905.1</v>
      </c>
      <c r="H16" s="7" t="n">
        <v>3367270.7</v>
      </c>
      <c r="I16" s="7" t="n">
        <v>3658162.3</v>
      </c>
      <c r="J16" s="7" t="n">
        <v>3827669.3</v>
      </c>
      <c r="K16" s="7" t="n">
        <v>3048580.3</v>
      </c>
      <c r="L16" s="7" t="n">
        <v>4355917</v>
      </c>
      <c r="M16" s="7" t="n">
        <v>3305306.4</v>
      </c>
      <c r="N16" s="7" t="n">
        <v>4083636.6</v>
      </c>
      <c r="O16" s="7" t="n">
        <v>3522006.9</v>
      </c>
      <c r="P16" s="7" t="n">
        <v>4324981.7</v>
      </c>
      <c r="Q16" s="7" t="n">
        <v>3059628</v>
      </c>
      <c r="R16" s="7" t="n">
        <v>4224685.3</v>
      </c>
      <c r="S16" s="7" t="n">
        <v>3752510.9</v>
      </c>
      <c r="T16" s="7" t="n">
        <v>3469883.4</v>
      </c>
      <c r="U16" s="7" t="n">
        <v>3282003.9</v>
      </c>
      <c r="V16" s="7" t="n">
        <v>4280362.9</v>
      </c>
      <c r="W16" s="7" t="n">
        <v>3677830.7</v>
      </c>
      <c r="X16" s="7" t="n">
        <v>3201600.5</v>
      </c>
      <c r="Y16" s="7" t="n">
        <v>4045624.3</v>
      </c>
      <c r="Z16" s="7" t="n">
        <v>2368291.2</v>
      </c>
      <c r="AA16" s="8" t="n">
        <v>42032506.3</v>
      </c>
      <c r="AB16" s="8" t="n">
        <v>42535438.8</v>
      </c>
    </row>
    <row r="17">
      <c r="A17" s="4" t="inlineStr">
        <is>
          <t>中式汤底</t>
        </is>
      </c>
      <c r="D17" s="7" t="n">
        <v>352523.1</v>
      </c>
      <c r="F17" s="7" t="n">
        <v>438193.1</v>
      </c>
      <c r="H17" s="7" t="n">
        <v>529809.2</v>
      </c>
      <c r="J17" s="7" t="n">
        <v>649850.9</v>
      </c>
      <c r="L17" s="7" t="n">
        <v>741913.5</v>
      </c>
      <c r="N17" s="7" t="n">
        <v>597518.3</v>
      </c>
      <c r="P17" s="7" t="n">
        <v>792239</v>
      </c>
      <c r="R17" s="7" t="n">
        <v>531202.2</v>
      </c>
      <c r="T17" s="7" t="n">
        <v>511688.9</v>
      </c>
      <c r="V17" s="7" t="n">
        <v>716035.6</v>
      </c>
      <c r="X17" s="7" t="n">
        <v>529705.5</v>
      </c>
      <c r="Z17" s="7" t="n">
        <v>467969.2</v>
      </c>
      <c r="AB17" s="7" t="n">
        <v>6858648.5</v>
      </c>
    </row>
    <row r="18">
      <c r="A18" s="4" t="inlineStr">
        <is>
          <t>酱料</t>
        </is>
      </c>
      <c r="D18" s="7" t="n">
        <v>249132.2</v>
      </c>
      <c r="F18" s="7" t="n">
        <v>346872.2</v>
      </c>
      <c r="H18" s="7" t="n">
        <v>386633.6</v>
      </c>
      <c r="J18" s="7" t="n">
        <v>384404.9</v>
      </c>
      <c r="L18" s="7" t="n">
        <v>611752.1</v>
      </c>
      <c r="N18" s="7" t="n">
        <v>461445.6</v>
      </c>
      <c r="P18" s="7" t="n">
        <v>546179.4</v>
      </c>
      <c r="R18" s="7" t="n">
        <v>587761</v>
      </c>
      <c r="T18" s="7" t="n">
        <v>439488</v>
      </c>
      <c r="V18" s="7" t="n">
        <v>630706.5</v>
      </c>
      <c r="X18" s="7" t="n">
        <v>435960.8</v>
      </c>
      <c r="Z18" s="7" t="n">
        <v>344572.4</v>
      </c>
      <c r="AB18" s="7" t="n">
        <v>5424908.7</v>
      </c>
    </row>
    <row r="19">
      <c r="A19" s="4" t="inlineStr">
        <is>
          <t>川味底料</t>
        </is>
      </c>
      <c r="D19" s="7" t="n">
        <v>298593.5</v>
      </c>
      <c r="F19" s="7" t="n">
        <v>445252</v>
      </c>
      <c r="H19" s="7" t="n">
        <v>412059</v>
      </c>
      <c r="J19" s="7" t="n">
        <v>552595.6</v>
      </c>
      <c r="L19" s="7" t="n">
        <v>620141.3</v>
      </c>
      <c r="N19" s="7" t="n">
        <v>572311</v>
      </c>
      <c r="P19" s="7" t="n">
        <v>636993.9</v>
      </c>
      <c r="R19" s="7" t="n">
        <v>691683.9</v>
      </c>
      <c r="T19" s="7" t="n">
        <v>452837.3</v>
      </c>
      <c r="V19" s="7" t="n">
        <v>591291.8</v>
      </c>
      <c r="X19" s="7" t="n">
        <v>539779.4</v>
      </c>
      <c r="Z19" s="7" t="n">
        <v>342689.4</v>
      </c>
      <c r="AB19" s="7" t="n">
        <v>6156228.1</v>
      </c>
    </row>
    <row r="20">
      <c r="A20" s="4" t="inlineStr">
        <is>
          <t>调味汁</t>
        </is>
      </c>
      <c r="D20" s="7" t="n">
        <v>235364.1</v>
      </c>
      <c r="F20" s="7" t="n">
        <v>234727.2</v>
      </c>
      <c r="H20" s="7" t="n">
        <v>422303.5</v>
      </c>
      <c r="J20" s="7" t="n">
        <v>458023.1</v>
      </c>
      <c r="L20" s="7" t="n">
        <v>381805.5</v>
      </c>
      <c r="N20" s="7" t="n">
        <v>447571</v>
      </c>
      <c r="P20" s="7" t="n">
        <v>587348.4</v>
      </c>
      <c r="R20" s="7" t="n">
        <v>515259.4</v>
      </c>
      <c r="T20" s="7" t="n">
        <v>363486.3</v>
      </c>
      <c r="V20" s="7" t="n">
        <v>539064.2</v>
      </c>
      <c r="X20" s="7" t="n">
        <v>349947.2</v>
      </c>
      <c r="Z20" s="7" t="n">
        <v>243697.8</v>
      </c>
      <c r="AB20" s="7" t="n">
        <v>4778597.7</v>
      </c>
    </row>
    <row r="21">
      <c r="A21" s="4" t="inlineStr">
        <is>
          <t>复合调味粉</t>
        </is>
      </c>
      <c r="D21" s="7" t="n">
        <v>391155.5</v>
      </c>
      <c r="F21" s="7" t="n">
        <v>441813.7</v>
      </c>
      <c r="H21" s="7" t="n">
        <v>539489.9</v>
      </c>
      <c r="J21" s="7" t="n">
        <v>641983.2</v>
      </c>
      <c r="L21" s="7" t="n">
        <v>690097.7</v>
      </c>
      <c r="N21" s="7" t="n">
        <v>595841.4</v>
      </c>
      <c r="P21" s="7" t="n">
        <v>600300.7</v>
      </c>
      <c r="R21" s="7" t="n">
        <v>688779.5</v>
      </c>
      <c r="T21" s="7" t="n">
        <v>616961.8</v>
      </c>
      <c r="V21" s="7" t="n">
        <v>605931.2</v>
      </c>
      <c r="X21" s="7" t="n">
        <v>439151.1</v>
      </c>
      <c r="Z21" s="7" t="n">
        <v>336277.3</v>
      </c>
      <c r="AB21" s="7" t="n">
        <v>6587783</v>
      </c>
    </row>
    <row r="22">
      <c r="A22" s="4" t="inlineStr">
        <is>
          <t>团餐</t>
        </is>
      </c>
      <c r="D22" s="7" t="n">
        <v>387067.3</v>
      </c>
      <c r="F22" s="7" t="n">
        <v>402049.6</v>
      </c>
      <c r="H22" s="7" t="n">
        <v>583391.7</v>
      </c>
      <c r="J22" s="7" t="n">
        <v>639099.6</v>
      </c>
      <c r="L22" s="7" t="n">
        <v>710463.3</v>
      </c>
      <c r="N22" s="7" t="n">
        <v>772998.4</v>
      </c>
      <c r="P22" s="7" t="n">
        <v>595978.9</v>
      </c>
      <c r="R22" s="7" t="n">
        <v>652616.1</v>
      </c>
      <c r="T22" s="7" t="n">
        <v>566686.9</v>
      </c>
      <c r="V22" s="7" t="n">
        <v>622356.4</v>
      </c>
      <c r="X22" s="7" t="n">
        <v>441234.6</v>
      </c>
      <c r="Z22" s="7" t="n">
        <v>304669.6</v>
      </c>
      <c r="AB22" s="7" t="n">
        <v>6678612.4</v>
      </c>
    </row>
    <row r="23">
      <c r="A23" s="4" t="inlineStr">
        <is>
          <t>预制菜</t>
        </is>
      </c>
      <c r="D23" s="7" t="n">
        <v>225272.5</v>
      </c>
      <c r="F23" s="7" t="n">
        <v>258101.5</v>
      </c>
      <c r="H23" s="7" t="n">
        <v>257209.2</v>
      </c>
      <c r="J23" s="7" t="n">
        <v>321715.7</v>
      </c>
      <c r="L23" s="7" t="n">
        <v>432527.9</v>
      </c>
      <c r="N23" s="7" t="n">
        <v>381108.8</v>
      </c>
      <c r="P23" s="7" t="n">
        <v>432264.7</v>
      </c>
      <c r="R23" s="7" t="n">
        <v>348640.9</v>
      </c>
      <c r="T23" s="7" t="n">
        <v>334175.4</v>
      </c>
      <c r="V23" s="7" t="n">
        <v>443568.1</v>
      </c>
      <c r="X23" s="7" t="n">
        <v>324996.6</v>
      </c>
      <c r="Z23" s="7" t="n">
        <v>246244.1</v>
      </c>
      <c r="AB23" s="7" t="n">
        <v>4005825.4</v>
      </c>
    </row>
    <row r="24">
      <c r="A24" s="4" t="inlineStr">
        <is>
          <t>其他</t>
        </is>
      </c>
      <c r="D24" s="7" t="n">
        <v>35223.7</v>
      </c>
      <c r="F24" s="7" t="n">
        <v>44316.1</v>
      </c>
      <c r="H24" s="7" t="n">
        <v>58082.8</v>
      </c>
      <c r="J24" s="7" t="n">
        <v>72751.5</v>
      </c>
      <c r="L24" s="7" t="n">
        <v>52965.3</v>
      </c>
      <c r="N24" s="7" t="n">
        <v>37545.2</v>
      </c>
      <c r="P24" s="7" t="n">
        <v>39687.3</v>
      </c>
      <c r="R24" s="7" t="n">
        <v>70273.89999999999</v>
      </c>
      <c r="T24" s="7" t="n">
        <v>49318.4</v>
      </c>
      <c r="V24" s="7" t="n">
        <v>66999.89999999999</v>
      </c>
      <c r="X24" s="7" t="n">
        <v>2338</v>
      </c>
      <c r="Z24" s="7" t="n">
        <v>1318.5</v>
      </c>
      <c r="AB24" s="7" t="n">
        <v>530820.6</v>
      </c>
    </row>
    <row r="25">
      <c r="A25" s="4" t="inlineStr">
        <is>
          <t>运费</t>
        </is>
      </c>
      <c r="D25" s="7" t="n">
        <v>123655.8</v>
      </c>
      <c r="F25" s="7" t="n">
        <v>201366.9</v>
      </c>
      <c r="H25" s="7" t="n">
        <v>236374.6</v>
      </c>
      <c r="J25" s="7" t="n">
        <v>179996.3</v>
      </c>
      <c r="L25" s="7" t="n">
        <v>167215.7</v>
      </c>
      <c r="N25" s="7" t="n">
        <v>254842.1</v>
      </c>
      <c r="P25" s="7" t="n">
        <v>133676.7</v>
      </c>
      <c r="R25" s="7" t="n">
        <v>208742.3</v>
      </c>
      <c r="T25" s="7" t="n">
        <v>184558.8</v>
      </c>
      <c r="V25" s="7" t="n">
        <v>131409.1</v>
      </c>
      <c r="X25" s="7" t="n">
        <v>140825.3</v>
      </c>
      <c r="Z25" s="7" t="n">
        <v>82171.39999999999</v>
      </c>
      <c r="AB25" s="7" t="n">
        <v>2044835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1847889.1</v>
      </c>
      <c r="D26" s="7" t="n">
        <v>1065453.5</v>
      </c>
      <c r="E26" s="7" t="n">
        <v>2650247.1</v>
      </c>
      <c r="F26" s="7" t="n">
        <v>1262204.1</v>
      </c>
      <c r="G26" s="7" t="n">
        <v>1773052.8</v>
      </c>
      <c r="H26" s="7" t="n">
        <v>1505549.8</v>
      </c>
      <c r="I26" s="7" t="n">
        <v>1112740.3</v>
      </c>
      <c r="J26" s="7" t="n">
        <v>1837193.6</v>
      </c>
      <c r="K26" s="7" t="n">
        <v>1587448.3</v>
      </c>
      <c r="L26" s="7" t="n">
        <v>2110169.5</v>
      </c>
      <c r="M26" s="7" t="n">
        <v>2014905.8</v>
      </c>
      <c r="N26" s="7" t="n">
        <v>1803296.1</v>
      </c>
      <c r="O26" s="7" t="n">
        <v>1984859.7</v>
      </c>
      <c r="P26" s="7" t="n">
        <v>2065387.4</v>
      </c>
      <c r="Q26" s="7" t="n">
        <v>1974199.3</v>
      </c>
      <c r="R26" s="7" t="n">
        <v>1915406.1</v>
      </c>
      <c r="S26" s="7" t="n">
        <v>2049031.8</v>
      </c>
      <c r="T26" s="7" t="n">
        <v>1598762.9</v>
      </c>
      <c r="U26" s="7" t="n">
        <v>2412642.6</v>
      </c>
      <c r="V26" s="7" t="n">
        <v>2164681.1</v>
      </c>
      <c r="W26" s="7" t="n">
        <v>1892353.2</v>
      </c>
      <c r="X26" s="7" t="n">
        <v>1544054</v>
      </c>
      <c r="Y26" s="7" t="n">
        <v>812576.2</v>
      </c>
      <c r="Z26" s="7" t="n">
        <v>1171075.5</v>
      </c>
      <c r="AA26" s="8" t="n">
        <v>22111946.2</v>
      </c>
      <c r="AB26" s="8" t="n">
        <v>20043233.6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35.2</v>
      </c>
      <c r="D27" s="13" t="n">
        <v>32</v>
      </c>
      <c r="E27" s="13" t="n">
        <v>44.7</v>
      </c>
      <c r="F27" s="13" t="n">
        <v>31.3</v>
      </c>
      <c r="G27" s="13" t="n">
        <v>30.8</v>
      </c>
      <c r="H27" s="13" t="n">
        <v>30.9</v>
      </c>
      <c r="I27" s="13" t="n">
        <v>23.3</v>
      </c>
      <c r="J27" s="13" t="n">
        <v>32.4</v>
      </c>
      <c r="K27" s="13" t="n">
        <v>34.2</v>
      </c>
      <c r="L27" s="13" t="n">
        <v>32.6</v>
      </c>
      <c r="M27" s="13" t="n">
        <v>37.9</v>
      </c>
      <c r="N27" s="13" t="n">
        <v>30.6</v>
      </c>
      <c r="O27" s="13" t="n">
        <v>36</v>
      </c>
      <c r="P27" s="13" t="n">
        <v>32.3</v>
      </c>
      <c r="Q27" s="13" t="n">
        <v>39.2</v>
      </c>
      <c r="R27" s="13" t="n">
        <v>31.2</v>
      </c>
      <c r="S27" s="13" t="n">
        <v>35.3</v>
      </c>
      <c r="T27" s="13" t="n">
        <v>31.5</v>
      </c>
      <c r="U27" s="13" t="n">
        <v>42.4</v>
      </c>
      <c r="V27" s="13" t="n">
        <v>33.6</v>
      </c>
      <c r="W27" s="13" t="n">
        <v>34</v>
      </c>
      <c r="X27" s="13" t="n">
        <v>32.5</v>
      </c>
      <c r="Y27" s="13" t="n">
        <v>16.7</v>
      </c>
      <c r="Z27" s="13" t="n">
        <v>33.1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55815.5</v>
      </c>
      <c r="D28" s="7" t="n">
        <v>46404.2</v>
      </c>
      <c r="E28" s="7" t="n">
        <v>44274.1</v>
      </c>
      <c r="F28" s="7" t="n">
        <v>26327.4</v>
      </c>
      <c r="G28" s="7" t="n">
        <v>50413.5</v>
      </c>
      <c r="H28" s="7" t="n">
        <v>60237.6</v>
      </c>
      <c r="I28" s="7" t="n">
        <v>41678.2</v>
      </c>
      <c r="J28" s="7" t="n">
        <v>77660.39999999999</v>
      </c>
      <c r="K28" s="7" t="n">
        <v>53678.6</v>
      </c>
      <c r="L28" s="7" t="n">
        <v>40842.9</v>
      </c>
      <c r="M28" s="7" t="n">
        <v>53838.8</v>
      </c>
      <c r="N28" s="7" t="n">
        <v>54134.6</v>
      </c>
      <c r="O28" s="7" t="n">
        <v>46062.5</v>
      </c>
      <c r="P28" s="7" t="n">
        <v>86001.8</v>
      </c>
      <c r="Q28" s="7" t="n">
        <v>51807.2</v>
      </c>
      <c r="R28" s="7" t="n">
        <v>34141.9</v>
      </c>
      <c r="S28" s="7" t="n">
        <v>54679.6</v>
      </c>
      <c r="T28" s="7" t="n">
        <v>57654.7</v>
      </c>
      <c r="U28" s="7" t="n">
        <v>50016.3</v>
      </c>
      <c r="V28" s="7" t="n">
        <v>36242.1</v>
      </c>
      <c r="W28" s="7" t="n">
        <v>55243.7</v>
      </c>
      <c r="X28" s="7" t="n">
        <v>28354.1</v>
      </c>
      <c r="Y28" s="7" t="n">
        <v>48985.3</v>
      </c>
      <c r="Z28" s="7" t="n">
        <v>36953.9</v>
      </c>
      <c r="AA28" s="8" t="n">
        <v>606493.3</v>
      </c>
      <c r="AB28" s="8" t="n">
        <v>584955.6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909011.1</v>
      </c>
      <c r="D29" s="7" t="n">
        <v>802372.6</v>
      </c>
      <c r="E29" s="7" t="n">
        <v>818486.3</v>
      </c>
      <c r="F29" s="7" t="n">
        <v>646811.3</v>
      </c>
      <c r="G29" s="7" t="n">
        <v>974723.8</v>
      </c>
      <c r="H29" s="7" t="n">
        <v>1099588.5</v>
      </c>
      <c r="I29" s="7" t="n">
        <v>999507.6</v>
      </c>
      <c r="J29" s="7" t="n">
        <v>1135500.1</v>
      </c>
      <c r="K29" s="7" t="n">
        <v>772272.4</v>
      </c>
      <c r="L29" s="7" t="n">
        <v>709609.3</v>
      </c>
      <c r="M29" s="7" t="n">
        <v>845928.5</v>
      </c>
      <c r="N29" s="7" t="n">
        <v>1317243.2</v>
      </c>
      <c r="O29" s="7" t="n">
        <v>866870.9</v>
      </c>
      <c r="P29" s="7" t="n">
        <v>1119777.1</v>
      </c>
      <c r="Q29" s="7" t="n">
        <v>864357.4</v>
      </c>
      <c r="R29" s="7" t="n">
        <v>1285388.6</v>
      </c>
      <c r="S29" s="7" t="n">
        <v>926083.7</v>
      </c>
      <c r="T29" s="7" t="n">
        <v>570705.8</v>
      </c>
      <c r="U29" s="7" t="n">
        <v>960964.9</v>
      </c>
      <c r="V29" s="7" t="n">
        <v>1073163.2</v>
      </c>
      <c r="W29" s="7" t="n">
        <v>925543.5</v>
      </c>
      <c r="X29" s="7" t="n">
        <v>670697.7</v>
      </c>
      <c r="Y29" s="7" t="n">
        <v>897451</v>
      </c>
      <c r="Z29" s="7" t="n">
        <v>459418.7</v>
      </c>
      <c r="AA29" s="8" t="n">
        <v>10761201.1</v>
      </c>
      <c r="AB29" s="8" t="n">
        <v>10890276.1</v>
      </c>
    </row>
    <row r="30">
      <c r="A30" s="4" t="inlineStr">
        <is>
          <t>职工薪酬</t>
        </is>
      </c>
      <c r="D30" s="7" t="n">
        <v>371050.4</v>
      </c>
      <c r="F30" s="7" t="n">
        <v>369772.2</v>
      </c>
      <c r="H30" s="7" t="n">
        <v>592478.7</v>
      </c>
      <c r="J30" s="7" t="n">
        <v>661967.6</v>
      </c>
      <c r="L30" s="7" t="n">
        <v>312385.7</v>
      </c>
      <c r="N30" s="7" t="n">
        <v>760935.2</v>
      </c>
      <c r="P30" s="7" t="n">
        <v>474195.9</v>
      </c>
      <c r="R30" s="7" t="n">
        <v>570484.6</v>
      </c>
      <c r="T30" s="7" t="n">
        <v>313974.8</v>
      </c>
      <c r="V30" s="7" t="n">
        <v>496792.9</v>
      </c>
      <c r="X30" s="7" t="n">
        <v>315439.7</v>
      </c>
      <c r="Z30" s="7" t="n">
        <v>213268.6</v>
      </c>
      <c r="AB30" s="7" t="n">
        <v>5452746.3</v>
      </c>
    </row>
    <row r="31">
      <c r="A31" s="4" t="inlineStr">
        <is>
          <t>工资</t>
        </is>
      </c>
      <c r="D31" s="7" t="n">
        <v>204133</v>
      </c>
      <c r="F31" s="7" t="n">
        <v>233314.9</v>
      </c>
      <c r="H31" s="7" t="n">
        <v>358044.9</v>
      </c>
      <c r="J31" s="7" t="n">
        <v>422708.4</v>
      </c>
      <c r="L31" s="7" t="n">
        <v>173425.3</v>
      </c>
      <c r="N31" s="7" t="n">
        <v>455831.8</v>
      </c>
      <c r="P31" s="7" t="n">
        <v>261907.2</v>
      </c>
      <c r="R31" s="7" t="n">
        <v>282271.8</v>
      </c>
      <c r="T31" s="7" t="n">
        <v>192364.7</v>
      </c>
      <c r="V31" s="7" t="n">
        <v>259749.2</v>
      </c>
      <c r="X31" s="7" t="n">
        <v>157799.5</v>
      </c>
      <c r="Z31" s="7" t="n">
        <v>122571.7</v>
      </c>
      <c r="AB31" s="7" t="n">
        <v>3124122.4</v>
      </c>
    </row>
    <row r="32">
      <c r="A32" s="4" t="inlineStr">
        <is>
          <t>奖金及提成</t>
        </is>
      </c>
      <c r="D32" s="7" t="n">
        <v>67044.3</v>
      </c>
      <c r="F32" s="7" t="n">
        <v>52582.3</v>
      </c>
      <c r="H32" s="7" t="n">
        <v>135264.9</v>
      </c>
      <c r="J32" s="7" t="n">
        <v>91551.7</v>
      </c>
      <c r="L32" s="7" t="n">
        <v>62229.9</v>
      </c>
      <c r="N32" s="7" t="n">
        <v>147338.2</v>
      </c>
      <c r="P32" s="7" t="n">
        <v>96158.3</v>
      </c>
      <c r="R32" s="7" t="n">
        <v>127758.8</v>
      </c>
      <c r="T32" s="7" t="n">
        <v>59765.3</v>
      </c>
      <c r="V32" s="7" t="n">
        <v>97584.39999999999</v>
      </c>
      <c r="X32" s="7" t="n">
        <v>72777.10000000001</v>
      </c>
      <c r="Z32" s="7" t="n">
        <v>44554.6</v>
      </c>
      <c r="AB32" s="7" t="n">
        <v>1054609.8</v>
      </c>
    </row>
    <row r="33">
      <c r="A33" s="4" t="inlineStr">
        <is>
          <t>社保</t>
        </is>
      </c>
      <c r="D33" s="7" t="n">
        <v>69236.10000000001</v>
      </c>
      <c r="F33" s="7" t="n">
        <v>62044.1</v>
      </c>
      <c r="H33" s="7" t="n">
        <v>63515.6</v>
      </c>
      <c r="J33" s="7" t="n">
        <v>109083.8</v>
      </c>
      <c r="L33" s="7" t="n">
        <v>52874.9</v>
      </c>
      <c r="N33" s="7" t="n">
        <v>107778.9</v>
      </c>
      <c r="P33" s="7" t="n">
        <v>74030.5</v>
      </c>
      <c r="R33" s="7" t="n">
        <v>115305.8</v>
      </c>
      <c r="T33" s="7" t="n">
        <v>41463.1</v>
      </c>
      <c r="V33" s="7" t="n">
        <v>101868.5</v>
      </c>
      <c r="X33" s="7" t="n">
        <v>63193.8</v>
      </c>
      <c r="Z33" s="7" t="n">
        <v>30302.1</v>
      </c>
      <c r="AB33" s="7" t="n">
        <v>890697.2</v>
      </c>
    </row>
    <row r="34">
      <c r="A34" s="4" t="inlineStr">
        <is>
          <t>养老</t>
        </is>
      </c>
      <c r="D34" s="7" t="n">
        <v>3689.5</v>
      </c>
      <c r="F34" s="7" t="n">
        <v>3554.8</v>
      </c>
      <c r="H34" s="7" t="n">
        <v>5935.6</v>
      </c>
      <c r="J34" s="7" t="n">
        <v>3930.4</v>
      </c>
      <c r="L34" s="7" t="n">
        <v>3789.7</v>
      </c>
      <c r="N34" s="7" t="n">
        <v>5166.6</v>
      </c>
      <c r="P34" s="7" t="n">
        <v>5037.8</v>
      </c>
      <c r="R34" s="7" t="n">
        <v>4239.3</v>
      </c>
      <c r="T34" s="7" t="n">
        <v>2014</v>
      </c>
      <c r="V34" s="7" t="n">
        <v>5391.3</v>
      </c>
      <c r="X34" s="7" t="n">
        <v>2498.2</v>
      </c>
      <c r="Z34" s="7" t="n">
        <v>1652.3</v>
      </c>
      <c r="AB34" s="7" t="n">
        <v>46899.5</v>
      </c>
    </row>
    <row r="35">
      <c r="A35" s="4" t="inlineStr">
        <is>
          <t>医疗</t>
        </is>
      </c>
      <c r="D35" s="7" t="n">
        <v>2850.9</v>
      </c>
      <c r="F35" s="7" t="n">
        <v>2306.6</v>
      </c>
      <c r="H35" s="7" t="n">
        <v>4455.6</v>
      </c>
      <c r="J35" s="7" t="n">
        <v>3147.3</v>
      </c>
      <c r="L35" s="7" t="n">
        <v>3060.4</v>
      </c>
      <c r="N35" s="7" t="n">
        <v>5462.5</v>
      </c>
      <c r="P35" s="7" t="n">
        <v>5263.8</v>
      </c>
      <c r="R35" s="7" t="n">
        <v>3485.8</v>
      </c>
      <c r="T35" s="7" t="n">
        <v>2092.5</v>
      </c>
      <c r="V35" s="7" t="n">
        <v>3720</v>
      </c>
      <c r="X35" s="7" t="n">
        <v>2809.8</v>
      </c>
      <c r="Z35" s="7" t="n">
        <v>1343.8</v>
      </c>
      <c r="AB35" s="7" t="n">
        <v>39999</v>
      </c>
    </row>
    <row r="36">
      <c r="A36" s="4" t="inlineStr">
        <is>
          <t>工伤</t>
        </is>
      </c>
      <c r="D36" s="7" t="n">
        <v>4246</v>
      </c>
      <c r="F36" s="7" t="n">
        <v>3796</v>
      </c>
      <c r="H36" s="7" t="n">
        <v>5344.4</v>
      </c>
      <c r="J36" s="7" t="n">
        <v>4848.2</v>
      </c>
      <c r="L36" s="7" t="n">
        <v>5037.4</v>
      </c>
      <c r="N36" s="7" t="n">
        <v>7681.3</v>
      </c>
      <c r="P36" s="7" t="n">
        <v>7010.7</v>
      </c>
      <c r="R36" s="7" t="n">
        <v>7396.4</v>
      </c>
      <c r="T36" s="7" t="n">
        <v>3210.9</v>
      </c>
      <c r="V36" s="7" t="n">
        <v>7714.1</v>
      </c>
      <c r="X36" s="7" t="n">
        <v>3419.8</v>
      </c>
      <c r="Z36" s="7" t="n">
        <v>2541.7</v>
      </c>
      <c r="AB36" s="7" t="n">
        <v>62246.9</v>
      </c>
    </row>
    <row r="37">
      <c r="A37" s="4" t="inlineStr">
        <is>
          <t>失业</t>
        </is>
      </c>
      <c r="D37" s="7" t="n">
        <v>1968.2</v>
      </c>
      <c r="F37" s="7" t="n">
        <v>1261.3</v>
      </c>
      <c r="H37" s="7" t="n">
        <v>3124.4</v>
      </c>
      <c r="J37" s="7" t="n">
        <v>3085.5</v>
      </c>
      <c r="L37" s="7" t="n">
        <v>1820.5</v>
      </c>
      <c r="N37" s="7" t="n">
        <v>3620.4</v>
      </c>
      <c r="P37" s="7" t="n">
        <v>2491.3</v>
      </c>
      <c r="R37" s="7" t="n">
        <v>2712.9</v>
      </c>
      <c r="T37" s="7" t="n">
        <v>1472.4</v>
      </c>
      <c r="V37" s="7" t="n">
        <v>3025.4</v>
      </c>
      <c r="X37" s="7" t="n">
        <v>1397.5</v>
      </c>
      <c r="Z37" s="7" t="n">
        <v>730</v>
      </c>
      <c r="AB37" s="7" t="n">
        <v>26709.8</v>
      </c>
    </row>
    <row r="38">
      <c r="A38" s="4" t="inlineStr">
        <is>
          <t>生育</t>
        </is>
      </c>
      <c r="D38" s="7" t="n">
        <v>3377.9</v>
      </c>
      <c r="F38" s="7" t="n">
        <v>2676.4</v>
      </c>
      <c r="H38" s="7" t="n">
        <v>4724.1</v>
      </c>
      <c r="J38" s="7" t="n">
        <v>4827.2</v>
      </c>
      <c r="L38" s="7" t="n">
        <v>1952.2</v>
      </c>
      <c r="N38" s="7" t="n">
        <v>5678.3</v>
      </c>
      <c r="P38" s="7" t="n">
        <v>4329.3</v>
      </c>
      <c r="R38" s="7" t="n">
        <v>3358.5</v>
      </c>
      <c r="T38" s="7" t="n">
        <v>1724.9</v>
      </c>
      <c r="V38" s="7" t="n">
        <v>4599.1</v>
      </c>
      <c r="X38" s="7" t="n">
        <v>2888.4</v>
      </c>
      <c r="Z38" s="7" t="n">
        <v>1366.5</v>
      </c>
      <c r="AB38" s="7" t="n">
        <v>41502.8</v>
      </c>
    </row>
    <row r="39">
      <c r="A39" s="4" t="inlineStr">
        <is>
          <t>公积金</t>
        </is>
      </c>
      <c r="D39" s="7" t="n">
        <v>4758.2</v>
      </c>
      <c r="F39" s="7" t="n">
        <v>3167.7</v>
      </c>
      <c r="H39" s="7" t="n">
        <v>4413.1</v>
      </c>
      <c r="J39" s="7" t="n">
        <v>3994.5</v>
      </c>
      <c r="L39" s="7" t="n">
        <v>2809.8</v>
      </c>
      <c r="N39" s="7" t="n">
        <v>8134.8</v>
      </c>
      <c r="P39" s="7" t="n">
        <v>4952.8</v>
      </c>
      <c r="R39" s="7" t="n">
        <v>4829.8</v>
      </c>
      <c r="T39" s="7" t="n">
        <v>2412.3</v>
      </c>
      <c r="V39" s="7" t="n">
        <v>4429.9</v>
      </c>
      <c r="X39" s="7" t="n">
        <v>2539.9</v>
      </c>
      <c r="Z39" s="7" t="n">
        <v>1953.7</v>
      </c>
      <c r="AB39" s="7" t="n">
        <v>48396.5</v>
      </c>
    </row>
    <row r="40">
      <c r="A40" s="4" t="inlineStr">
        <is>
          <t>工会经费</t>
        </is>
      </c>
      <c r="D40" s="7" t="n">
        <v>4349.8</v>
      </c>
      <c r="F40" s="7" t="n">
        <v>2685</v>
      </c>
      <c r="H40" s="7" t="n">
        <v>4870</v>
      </c>
      <c r="J40" s="7" t="n">
        <v>4623.3</v>
      </c>
      <c r="L40" s="7" t="n">
        <v>3130.3</v>
      </c>
      <c r="N40" s="7" t="n">
        <v>6577.2</v>
      </c>
      <c r="P40" s="7" t="n">
        <v>5627.4</v>
      </c>
      <c r="R40" s="7" t="n">
        <v>7200.8</v>
      </c>
      <c r="T40" s="7" t="n">
        <v>2821.4</v>
      </c>
      <c r="V40" s="7" t="n">
        <v>5776.4</v>
      </c>
      <c r="X40" s="7" t="n">
        <v>3384</v>
      </c>
      <c r="Z40" s="7" t="n">
        <v>2388.3</v>
      </c>
      <c r="AB40" s="7" t="n">
        <v>53433.9</v>
      </c>
    </row>
    <row r="41">
      <c r="A41" s="4" t="inlineStr">
        <is>
          <t>职工教育经费</t>
        </is>
      </c>
      <c r="D41" s="7" t="n">
        <v>391.8</v>
      </c>
      <c r="F41" s="7" t="n">
        <v>470.6</v>
      </c>
      <c r="H41" s="7" t="n">
        <v>539</v>
      </c>
      <c r="J41" s="7" t="n">
        <v>830.5</v>
      </c>
      <c r="L41" s="7" t="n">
        <v>552.4</v>
      </c>
      <c r="N41" s="7" t="n">
        <v>986.5</v>
      </c>
      <c r="P41" s="7" t="n">
        <v>800.9</v>
      </c>
      <c r="R41" s="7" t="n">
        <v>771.1</v>
      </c>
      <c r="T41" s="7" t="n">
        <v>335.8</v>
      </c>
      <c r="V41" s="7" t="n">
        <v>501</v>
      </c>
      <c r="X41" s="7" t="n">
        <v>418.5</v>
      </c>
      <c r="Z41" s="7" t="n">
        <v>330.3</v>
      </c>
      <c r="AB41" s="7" t="n">
        <v>6928.4</v>
      </c>
    </row>
    <row r="42">
      <c r="A42" s="4" t="inlineStr">
        <is>
          <t>福利费</t>
        </is>
      </c>
      <c r="D42" s="7" t="n">
        <v>21137.2</v>
      </c>
      <c r="F42" s="7" t="n">
        <v>15507.6</v>
      </c>
      <c r="H42" s="7" t="n">
        <v>25831.2</v>
      </c>
      <c r="J42" s="7" t="n">
        <v>29175.4</v>
      </c>
      <c r="L42" s="7" t="n">
        <v>17363.1</v>
      </c>
      <c r="N42" s="7" t="n">
        <v>34287.8</v>
      </c>
      <c r="P42" s="7" t="n">
        <v>30718.8</v>
      </c>
      <c r="R42" s="7" t="n">
        <v>32346.5</v>
      </c>
      <c r="T42" s="7" t="n">
        <v>14812.2</v>
      </c>
      <c r="V42" s="7" t="n">
        <v>26883.5</v>
      </c>
      <c r="X42" s="7" t="n">
        <v>15326.9</v>
      </c>
      <c r="Z42" s="7" t="n">
        <v>11167.9</v>
      </c>
      <c r="AB42" s="7" t="n">
        <v>274558.1</v>
      </c>
    </row>
    <row r="43">
      <c r="A43" s="4" t="inlineStr">
        <is>
          <t>职工房租</t>
        </is>
      </c>
      <c r="D43" s="7" t="n">
        <v>817.6</v>
      </c>
      <c r="F43" s="7" t="n">
        <v>766.4</v>
      </c>
      <c r="H43" s="7" t="n">
        <v>1224.9</v>
      </c>
      <c r="J43" s="7" t="n">
        <v>1529</v>
      </c>
      <c r="L43" s="7" t="n">
        <v>835.7</v>
      </c>
      <c r="N43" s="7" t="n">
        <v>1414.1</v>
      </c>
      <c r="P43" s="7" t="n">
        <v>1286.5</v>
      </c>
      <c r="R43" s="7" t="n">
        <v>1889.8</v>
      </c>
      <c r="T43" s="7" t="n">
        <v>507.1</v>
      </c>
      <c r="V43" s="7" t="n">
        <v>1686.7</v>
      </c>
      <c r="X43" s="7" t="n">
        <v>787.9</v>
      </c>
      <c r="Z43" s="7" t="n">
        <v>452</v>
      </c>
      <c r="AB43" s="7" t="n">
        <v>13197.7</v>
      </c>
    </row>
    <row r="44">
      <c r="A44" s="4" t="inlineStr">
        <is>
          <t>水电物业费</t>
        </is>
      </c>
      <c r="D44" s="7" t="n">
        <v>4310.1</v>
      </c>
      <c r="F44" s="7" t="n">
        <v>2833.2</v>
      </c>
      <c r="H44" s="7" t="n">
        <v>3687.9</v>
      </c>
      <c r="J44" s="7" t="n">
        <v>5647.8</v>
      </c>
      <c r="L44" s="7" t="n">
        <v>2415.7</v>
      </c>
      <c r="N44" s="7" t="n">
        <v>7175.6</v>
      </c>
      <c r="P44" s="7" t="n">
        <v>5922.8</v>
      </c>
      <c r="R44" s="7" t="n">
        <v>4068.1</v>
      </c>
      <c r="T44" s="7" t="n">
        <v>2276.3</v>
      </c>
      <c r="V44" s="7" t="n">
        <v>5016.9</v>
      </c>
      <c r="X44" s="7" t="n">
        <v>2792.1</v>
      </c>
      <c r="Z44" s="7" t="n">
        <v>1999.7</v>
      </c>
      <c r="AB44" s="7" t="n">
        <v>48146.2</v>
      </c>
    </row>
    <row r="45">
      <c r="A45" s="4" t="inlineStr">
        <is>
          <t>员工餐</t>
        </is>
      </c>
      <c r="D45" s="7" t="n">
        <v>3263.6</v>
      </c>
      <c r="F45" s="7" t="n">
        <v>1940.3</v>
      </c>
      <c r="H45" s="7" t="n">
        <v>4076</v>
      </c>
      <c r="J45" s="7" t="n">
        <v>3191.8</v>
      </c>
      <c r="L45" s="7" t="n">
        <v>1934.5</v>
      </c>
      <c r="N45" s="7" t="n">
        <v>4537</v>
      </c>
      <c r="P45" s="7" t="n">
        <v>3791.6</v>
      </c>
      <c r="R45" s="7" t="n">
        <v>4841.1</v>
      </c>
      <c r="T45" s="7" t="n">
        <v>1765</v>
      </c>
      <c r="V45" s="7" t="n">
        <v>3160</v>
      </c>
      <c r="X45" s="7" t="n">
        <v>2104.1</v>
      </c>
      <c r="Z45" s="7" t="n">
        <v>1319.6</v>
      </c>
      <c r="AB45" s="7" t="n">
        <v>35924.6</v>
      </c>
    </row>
    <row r="46">
      <c r="A46" s="4" t="inlineStr">
        <is>
          <t>节日礼品</t>
        </is>
      </c>
      <c r="D46" s="7" t="n">
        <v>2586.8</v>
      </c>
      <c r="F46" s="7" t="n">
        <v>2658</v>
      </c>
      <c r="H46" s="7" t="n">
        <v>4970.5</v>
      </c>
      <c r="J46" s="7" t="n">
        <v>4059.5</v>
      </c>
      <c r="L46" s="7" t="n">
        <v>2315.5</v>
      </c>
      <c r="N46" s="7" t="n">
        <v>5105.8</v>
      </c>
      <c r="P46" s="7" t="n">
        <v>3104.5</v>
      </c>
      <c r="R46" s="7" t="n">
        <v>4068.9</v>
      </c>
      <c r="T46" s="7" t="n">
        <v>2523.8</v>
      </c>
      <c r="V46" s="7" t="n">
        <v>3968.7</v>
      </c>
      <c r="X46" s="7" t="n">
        <v>1926.1</v>
      </c>
      <c r="Z46" s="7" t="n">
        <v>1914.3</v>
      </c>
      <c r="AB46" s="7" t="n">
        <v>39202.4</v>
      </c>
    </row>
    <row r="47">
      <c r="A47" s="4" t="inlineStr">
        <is>
          <t>生日礼品</t>
        </is>
      </c>
      <c r="D47" s="7" t="n">
        <v>3725</v>
      </c>
      <c r="F47" s="7" t="n">
        <v>2250.2</v>
      </c>
      <c r="H47" s="7" t="n">
        <v>4559.4</v>
      </c>
      <c r="J47" s="7" t="n">
        <v>4187.6</v>
      </c>
      <c r="L47" s="7" t="n">
        <v>3364.7</v>
      </c>
      <c r="N47" s="7" t="n">
        <v>5783.9</v>
      </c>
      <c r="P47" s="7" t="n">
        <v>6590.4</v>
      </c>
      <c r="R47" s="7" t="n">
        <v>6818.9</v>
      </c>
      <c r="T47" s="7" t="n">
        <v>2318.4</v>
      </c>
      <c r="V47" s="7" t="n">
        <v>4621.1</v>
      </c>
      <c r="X47" s="7" t="n">
        <v>2808.7</v>
      </c>
      <c r="Z47" s="7" t="n">
        <v>2611.8</v>
      </c>
      <c r="AB47" s="7" t="n">
        <v>49640.1</v>
      </c>
    </row>
    <row r="48">
      <c r="A48" s="4" t="inlineStr">
        <is>
          <t>体检</t>
        </is>
      </c>
      <c r="D48" s="7" t="n">
        <v>2305.2</v>
      </c>
      <c r="F48" s="7" t="n">
        <v>2104.3</v>
      </c>
      <c r="H48" s="7" t="n">
        <v>2780.5</v>
      </c>
      <c r="J48" s="7" t="n">
        <v>3616</v>
      </c>
      <c r="L48" s="7" t="n">
        <v>2731.6</v>
      </c>
      <c r="N48" s="7" t="n">
        <v>4957.5</v>
      </c>
      <c r="P48" s="7" t="n">
        <v>3643.9</v>
      </c>
      <c r="R48" s="7" t="n">
        <v>3302.8</v>
      </c>
      <c r="T48" s="7" t="n">
        <v>2322</v>
      </c>
      <c r="V48" s="7" t="n">
        <v>3243.3</v>
      </c>
      <c r="X48" s="7" t="n">
        <v>1791.3</v>
      </c>
      <c r="Z48" s="7" t="n">
        <v>1237.3</v>
      </c>
      <c r="AB48" s="7" t="n">
        <v>34035.7</v>
      </c>
    </row>
    <row r="49">
      <c r="A49" s="4" t="inlineStr">
        <is>
          <t>其他福利支出</t>
        </is>
      </c>
      <c r="D49" s="7" t="n">
        <v>4128.9</v>
      </c>
      <c r="F49" s="7" t="n">
        <v>2955.2</v>
      </c>
      <c r="H49" s="7" t="n">
        <v>4532</v>
      </c>
      <c r="J49" s="7" t="n">
        <v>6943.7</v>
      </c>
      <c r="L49" s="7" t="n">
        <v>3765.4</v>
      </c>
      <c r="N49" s="7" t="n">
        <v>5313.9</v>
      </c>
      <c r="P49" s="7" t="n">
        <v>6379.1</v>
      </c>
      <c r="R49" s="7" t="n">
        <v>7356.9</v>
      </c>
      <c r="T49" s="7" t="n">
        <v>3099.6</v>
      </c>
      <c r="V49" s="7" t="n">
        <v>5186.8</v>
      </c>
      <c r="X49" s="7" t="n">
        <v>3116.7</v>
      </c>
      <c r="Z49" s="7" t="n">
        <v>1633.2</v>
      </c>
      <c r="AB49" s="7" t="n">
        <v>54411.4</v>
      </c>
    </row>
    <row r="50">
      <c r="A50" s="4" t="inlineStr">
        <is>
          <t>招聘费</t>
        </is>
      </c>
      <c r="D50" s="7" t="n">
        <v>1545.7</v>
      </c>
      <c r="F50" s="7" t="n">
        <v>2033.6</v>
      </c>
      <c r="H50" s="7" t="n">
        <v>2910.3</v>
      </c>
      <c r="J50" s="7" t="n">
        <v>3412.1</v>
      </c>
      <c r="L50" s="7" t="n">
        <v>1611.8</v>
      </c>
      <c r="N50" s="7" t="n">
        <v>4148</v>
      </c>
      <c r="P50" s="7" t="n">
        <v>2045.5</v>
      </c>
      <c r="R50" s="7" t="n">
        <v>3948.1</v>
      </c>
      <c r="T50" s="7" t="n">
        <v>1603.8</v>
      </c>
      <c r="V50" s="7" t="n">
        <v>2501.5</v>
      </c>
      <c r="X50" s="7" t="n">
        <v>1169.7</v>
      </c>
      <c r="Z50" s="7" t="n">
        <v>1426.5</v>
      </c>
      <c r="AB50" s="7" t="n">
        <v>28356.6</v>
      </c>
    </row>
    <row r="51">
      <c r="A51" s="4" t="inlineStr">
        <is>
          <t>办公费</t>
        </is>
      </c>
      <c r="D51" s="7" t="n">
        <v>20559.5</v>
      </c>
      <c r="F51" s="7" t="n">
        <v>21184.4</v>
      </c>
      <c r="H51" s="7" t="n">
        <v>40566.7</v>
      </c>
      <c r="J51" s="7" t="n">
        <v>40949.9</v>
      </c>
      <c r="L51" s="7" t="n">
        <v>20438.1</v>
      </c>
      <c r="N51" s="7" t="n">
        <v>30422.6</v>
      </c>
      <c r="P51" s="7" t="n">
        <v>27378.1</v>
      </c>
      <c r="R51" s="7" t="n">
        <v>33031.4</v>
      </c>
      <c r="T51" s="7" t="n">
        <v>15099.5</v>
      </c>
      <c r="V51" s="7" t="n">
        <v>32466.1</v>
      </c>
      <c r="X51" s="7" t="n">
        <v>24397.6</v>
      </c>
      <c r="Z51" s="7" t="n">
        <v>11663.5</v>
      </c>
      <c r="AB51" s="7" t="n">
        <v>318157.4</v>
      </c>
    </row>
    <row r="52">
      <c r="A52" s="4" t="inlineStr">
        <is>
          <t>市内交通费</t>
        </is>
      </c>
      <c r="D52" s="7" t="n">
        <v>3886.5</v>
      </c>
      <c r="F52" s="7" t="n">
        <v>3333.6</v>
      </c>
      <c r="H52" s="7" t="n">
        <v>6662</v>
      </c>
      <c r="J52" s="7" t="n">
        <v>5723.9</v>
      </c>
      <c r="L52" s="7" t="n">
        <v>4268.3</v>
      </c>
      <c r="N52" s="7" t="n">
        <v>8053.5</v>
      </c>
      <c r="P52" s="7" t="n">
        <v>5081.1</v>
      </c>
      <c r="R52" s="7" t="n">
        <v>7426.9</v>
      </c>
      <c r="T52" s="7" t="n">
        <v>3177.6</v>
      </c>
      <c r="V52" s="7" t="n">
        <v>7004.6</v>
      </c>
      <c r="X52" s="7" t="n">
        <v>3889.5</v>
      </c>
      <c r="Z52" s="7" t="n">
        <v>2078.6</v>
      </c>
      <c r="AB52" s="7" t="n">
        <v>60586.1</v>
      </c>
    </row>
    <row r="53">
      <c r="A53" s="4" t="inlineStr">
        <is>
          <t>差旅费</t>
        </is>
      </c>
      <c r="D53" s="7" t="n">
        <v>45461.3</v>
      </c>
      <c r="F53" s="7" t="n">
        <v>27601.9</v>
      </c>
      <c r="H53" s="7" t="n">
        <v>62583.8</v>
      </c>
      <c r="J53" s="7" t="n">
        <v>52995.6</v>
      </c>
      <c r="L53" s="7" t="n">
        <v>36625.7</v>
      </c>
      <c r="N53" s="7" t="n">
        <v>83733</v>
      </c>
      <c r="P53" s="7" t="n">
        <v>86371</v>
      </c>
      <c r="R53" s="7" t="n">
        <v>68708.8</v>
      </c>
      <c r="T53" s="7" t="n">
        <v>28516.8</v>
      </c>
      <c r="V53" s="7" t="n">
        <v>45771.1</v>
      </c>
      <c r="X53" s="7" t="n">
        <v>36007</v>
      </c>
      <c r="Z53" s="7" t="n">
        <v>20349.5</v>
      </c>
      <c r="AB53" s="7" t="n">
        <v>594725.5</v>
      </c>
    </row>
    <row r="54">
      <c r="A54" s="4" t="inlineStr">
        <is>
          <t>交通费</t>
        </is>
      </c>
      <c r="D54" s="7" t="n">
        <v>1707.1</v>
      </c>
      <c r="F54" s="7" t="n">
        <v>1460.3</v>
      </c>
      <c r="H54" s="7" t="n">
        <v>2184.9</v>
      </c>
      <c r="J54" s="7" t="n">
        <v>2316.5</v>
      </c>
      <c r="L54" s="7" t="n">
        <v>1201.7</v>
      </c>
      <c r="N54" s="7" t="n">
        <v>2320.7</v>
      </c>
      <c r="P54" s="7" t="n">
        <v>2658.6</v>
      </c>
      <c r="R54" s="7" t="n">
        <v>1716.5</v>
      </c>
      <c r="T54" s="7" t="n">
        <v>974.1</v>
      </c>
      <c r="V54" s="7" t="n">
        <v>1838.8</v>
      </c>
      <c r="X54" s="7" t="n">
        <v>1223.6</v>
      </c>
      <c r="Z54" s="7" t="n">
        <v>847.3</v>
      </c>
      <c r="AB54" s="7" t="n">
        <v>20450.1</v>
      </c>
    </row>
    <row r="55">
      <c r="A55" s="4" t="inlineStr">
        <is>
          <t>住宿费</t>
        </is>
      </c>
      <c r="D55" s="7" t="n">
        <v>3228.7</v>
      </c>
      <c r="F55" s="7" t="n">
        <v>3523.2</v>
      </c>
      <c r="H55" s="7" t="n">
        <v>5910</v>
      </c>
      <c r="J55" s="7" t="n">
        <v>4718.6</v>
      </c>
      <c r="L55" s="7" t="n">
        <v>2485.6</v>
      </c>
      <c r="N55" s="7" t="n">
        <v>7769.9</v>
      </c>
      <c r="P55" s="7" t="n">
        <v>6982.7</v>
      </c>
      <c r="R55" s="7" t="n">
        <v>6752.4</v>
      </c>
      <c r="T55" s="7" t="n">
        <v>2881.2</v>
      </c>
      <c r="V55" s="7" t="n">
        <v>4740.5</v>
      </c>
      <c r="X55" s="7" t="n">
        <v>2692.8</v>
      </c>
      <c r="Z55" s="7" t="n">
        <v>2887.9</v>
      </c>
      <c r="AB55" s="7" t="n">
        <v>54573.5</v>
      </c>
    </row>
    <row r="56">
      <c r="A56" s="4" t="inlineStr">
        <is>
          <t>餐补</t>
        </is>
      </c>
      <c r="D56" s="7" t="n">
        <v>1699.9</v>
      </c>
      <c r="F56" s="7" t="n">
        <v>1392.4</v>
      </c>
      <c r="H56" s="7" t="n">
        <v>2940.7</v>
      </c>
      <c r="J56" s="7" t="n">
        <v>1973</v>
      </c>
      <c r="L56" s="7" t="n">
        <v>1846.6</v>
      </c>
      <c r="N56" s="7" t="n">
        <v>2551.3</v>
      </c>
      <c r="P56" s="7" t="n">
        <v>2469.6</v>
      </c>
      <c r="R56" s="7" t="n">
        <v>2984</v>
      </c>
      <c r="T56" s="7" t="n">
        <v>1792.7</v>
      </c>
      <c r="V56" s="7" t="n">
        <v>1855.1</v>
      </c>
      <c r="X56" s="7" t="n">
        <v>2084.9</v>
      </c>
      <c r="Z56" s="7" t="n">
        <v>1149.9</v>
      </c>
      <c r="AB56" s="7" t="n">
        <v>24740.1</v>
      </c>
    </row>
    <row r="57">
      <c r="A57" s="4" t="inlineStr">
        <is>
          <t>交通补助</t>
        </is>
      </c>
      <c r="D57" s="7" t="n">
        <v>2171.1</v>
      </c>
      <c r="F57" s="7" t="n">
        <v>2607.5</v>
      </c>
      <c r="H57" s="7" t="n">
        <v>2756.6</v>
      </c>
      <c r="J57" s="7" t="n">
        <v>3889</v>
      </c>
      <c r="L57" s="7" t="n">
        <v>2762.7</v>
      </c>
      <c r="N57" s="7" t="n">
        <v>3214</v>
      </c>
      <c r="P57" s="7" t="n">
        <v>2994.5</v>
      </c>
      <c r="R57" s="7" t="n">
        <v>5357.9</v>
      </c>
      <c r="T57" s="7" t="n">
        <v>1914.5</v>
      </c>
      <c r="V57" s="7" t="n">
        <v>2787.6</v>
      </c>
      <c r="X57" s="7" t="n">
        <v>1716.9</v>
      </c>
      <c r="Z57" s="7" t="n">
        <v>1724.6</v>
      </c>
      <c r="AB57" s="7" t="n">
        <v>33896.9</v>
      </c>
    </row>
    <row r="58">
      <c r="A58" s="4" t="inlineStr">
        <is>
          <t>通讯补助</t>
        </is>
      </c>
      <c r="D58" s="7" t="n">
        <v>3635.1</v>
      </c>
      <c r="F58" s="7" t="n">
        <v>2944.1</v>
      </c>
      <c r="H58" s="7" t="n">
        <v>6094.2</v>
      </c>
      <c r="J58" s="7" t="n">
        <v>5200.3</v>
      </c>
      <c r="L58" s="7" t="n">
        <v>3621.1</v>
      </c>
      <c r="N58" s="7" t="n">
        <v>5656.6</v>
      </c>
      <c r="P58" s="7" t="n">
        <v>4950.3</v>
      </c>
      <c r="R58" s="7" t="n">
        <v>4725.8</v>
      </c>
      <c r="T58" s="7" t="n">
        <v>3383.1</v>
      </c>
      <c r="V58" s="7" t="n">
        <v>6595.7</v>
      </c>
      <c r="X58" s="7" t="n">
        <v>3737.5</v>
      </c>
      <c r="Z58" s="7" t="n">
        <v>1970.7</v>
      </c>
      <c r="AB58" s="7" t="n">
        <v>52514.5</v>
      </c>
    </row>
    <row r="59">
      <c r="A59" s="4" t="inlineStr">
        <is>
          <t>招待费</t>
        </is>
      </c>
      <c r="D59" s="7" t="n">
        <v>32781</v>
      </c>
      <c r="F59" s="7" t="n">
        <v>24198.6</v>
      </c>
      <c r="H59" s="7" t="n">
        <v>53459.1</v>
      </c>
      <c r="J59" s="7" t="n">
        <v>45279.2</v>
      </c>
      <c r="L59" s="7" t="n">
        <v>27769.8</v>
      </c>
      <c r="N59" s="7" t="n">
        <v>63000.2</v>
      </c>
      <c r="P59" s="7" t="n">
        <v>43432.7</v>
      </c>
      <c r="R59" s="7" t="n">
        <v>64492.9</v>
      </c>
      <c r="T59" s="7" t="n">
        <v>18412.7</v>
      </c>
      <c r="V59" s="7" t="n">
        <v>37476.8</v>
      </c>
      <c r="X59" s="7" t="n">
        <v>27353.7</v>
      </c>
      <c r="Z59" s="7" t="n">
        <v>16547</v>
      </c>
      <c r="AB59" s="7" t="n">
        <v>454203.7</v>
      </c>
    </row>
    <row r="60">
      <c r="A60" s="4" t="inlineStr">
        <is>
          <t>通讯费</t>
        </is>
      </c>
      <c r="D60" s="7" t="n">
        <v>1961.4</v>
      </c>
      <c r="F60" s="7" t="n">
        <v>2449</v>
      </c>
      <c r="H60" s="7" t="n">
        <v>3111.6</v>
      </c>
      <c r="J60" s="7" t="n">
        <v>3772.4</v>
      </c>
      <c r="L60" s="7" t="n">
        <v>2773.6</v>
      </c>
      <c r="N60" s="7" t="n">
        <v>3792.3</v>
      </c>
      <c r="P60" s="7" t="n">
        <v>3686.1</v>
      </c>
      <c r="R60" s="7" t="n">
        <v>4190.1</v>
      </c>
      <c r="T60" s="7" t="n">
        <v>1359.9</v>
      </c>
      <c r="V60" s="7" t="n">
        <v>3500.3</v>
      </c>
      <c r="X60" s="7" t="n">
        <v>2651.7</v>
      </c>
      <c r="Z60" s="7" t="n">
        <v>1481.4</v>
      </c>
      <c r="AB60" s="7" t="n">
        <v>34729.8</v>
      </c>
    </row>
    <row r="61">
      <c r="A61" s="4" t="inlineStr">
        <is>
          <t>网络费</t>
        </is>
      </c>
      <c r="D61" s="7" t="n">
        <v>4881.8</v>
      </c>
      <c r="F61" s="7" t="n">
        <v>2779.3</v>
      </c>
      <c r="H61" s="7" t="n">
        <v>4487</v>
      </c>
      <c r="J61" s="7" t="n">
        <v>5678.2</v>
      </c>
      <c r="L61" s="7" t="n">
        <v>3349.4</v>
      </c>
      <c r="N61" s="7" t="n">
        <v>4772</v>
      </c>
      <c r="P61" s="7" t="n">
        <v>4957.6</v>
      </c>
      <c r="R61" s="7" t="n">
        <v>7070.7</v>
      </c>
      <c r="T61" s="7" t="n">
        <v>3370.4</v>
      </c>
      <c r="V61" s="7" t="n">
        <v>5628.6</v>
      </c>
      <c r="X61" s="7" t="n">
        <v>3320.6</v>
      </c>
      <c r="Z61" s="7" t="n">
        <v>2686.6</v>
      </c>
      <c r="AB61" s="7" t="n">
        <v>52982.2</v>
      </c>
    </row>
    <row r="62">
      <c r="A62" s="4" t="inlineStr">
        <is>
          <t>修理费</t>
        </is>
      </c>
      <c r="D62" s="7" t="n">
        <v>3564.9</v>
      </c>
      <c r="F62" s="7" t="n">
        <v>3323.2</v>
      </c>
      <c r="H62" s="7" t="n">
        <v>7509.3</v>
      </c>
      <c r="J62" s="7" t="n">
        <v>5097.5</v>
      </c>
      <c r="L62" s="7" t="n">
        <v>4994.4</v>
      </c>
      <c r="N62" s="7" t="n">
        <v>9201.6</v>
      </c>
      <c r="P62" s="7" t="n">
        <v>5579.5</v>
      </c>
      <c r="R62" s="7" t="n">
        <v>6276.8</v>
      </c>
      <c r="T62" s="7" t="n">
        <v>3935.2</v>
      </c>
      <c r="V62" s="7" t="n">
        <v>4931.8</v>
      </c>
      <c r="X62" s="7" t="n">
        <v>3652.6</v>
      </c>
      <c r="Z62" s="7" t="n">
        <v>2169.8</v>
      </c>
      <c r="AB62" s="7" t="n">
        <v>60236.6</v>
      </c>
    </row>
    <row r="63">
      <c r="A63" s="4" t="inlineStr">
        <is>
          <t>车辆费</t>
        </is>
      </c>
      <c r="D63" s="7" t="n">
        <v>4106.6</v>
      </c>
      <c r="F63" s="7" t="n">
        <v>3014.2</v>
      </c>
      <c r="H63" s="7" t="n">
        <v>5583.6</v>
      </c>
      <c r="J63" s="7" t="n">
        <v>4492.3</v>
      </c>
      <c r="L63" s="7" t="n">
        <v>2152.1</v>
      </c>
      <c r="N63" s="7" t="n">
        <v>5535.8</v>
      </c>
      <c r="P63" s="7" t="n">
        <v>3981.1</v>
      </c>
      <c r="R63" s="7" t="n">
        <v>6366.5</v>
      </c>
      <c r="T63" s="7" t="n">
        <v>1796</v>
      </c>
      <c r="V63" s="7" t="n">
        <v>4148.9</v>
      </c>
      <c r="X63" s="7" t="n">
        <v>3389.3</v>
      </c>
      <c r="Z63" s="7" t="n">
        <v>1279.6</v>
      </c>
      <c r="AB63" s="7" t="n">
        <v>45846</v>
      </c>
    </row>
    <row r="64">
      <c r="A64" s="4" t="inlineStr">
        <is>
          <t>租赁费</t>
        </is>
      </c>
      <c r="D64" s="7" t="n">
        <v>28861.1</v>
      </c>
      <c r="F64" s="7" t="n">
        <v>35772.7</v>
      </c>
      <c r="H64" s="7" t="n">
        <v>67088</v>
      </c>
      <c r="J64" s="7" t="n">
        <v>73655.39999999999</v>
      </c>
      <c r="L64" s="7" t="n">
        <v>43190.4</v>
      </c>
      <c r="N64" s="7" t="n">
        <v>48884.2</v>
      </c>
      <c r="P64" s="7" t="n">
        <v>53203.6</v>
      </c>
      <c r="R64" s="7" t="n">
        <v>55015.8</v>
      </c>
      <c r="T64" s="7" t="n">
        <v>32233.1</v>
      </c>
      <c r="V64" s="7" t="n">
        <v>41455.7</v>
      </c>
      <c r="X64" s="7" t="n">
        <v>39100.3</v>
      </c>
      <c r="Z64" s="7" t="n">
        <v>24998.2</v>
      </c>
      <c r="AB64" s="7" t="n">
        <v>543458.5</v>
      </c>
    </row>
    <row r="65">
      <c r="A65" s="4" t="inlineStr">
        <is>
          <t>能源费</t>
        </is>
      </c>
      <c r="D65" s="7" t="n">
        <v>9831.799999999999</v>
      </c>
      <c r="F65" s="7" t="n">
        <v>7043</v>
      </c>
      <c r="H65" s="7" t="n">
        <v>12783</v>
      </c>
      <c r="J65" s="7" t="n">
        <v>14916.1</v>
      </c>
      <c r="L65" s="7" t="n">
        <v>9675.9</v>
      </c>
      <c r="N65" s="7" t="n">
        <v>13914.9</v>
      </c>
      <c r="P65" s="7" t="n">
        <v>14746</v>
      </c>
      <c r="R65" s="7" t="n">
        <v>14844.2</v>
      </c>
      <c r="T65" s="7" t="n">
        <v>7877.9</v>
      </c>
      <c r="V65" s="7" t="n">
        <v>14285.1</v>
      </c>
      <c r="X65" s="7" t="n">
        <v>9596.299999999999</v>
      </c>
      <c r="Z65" s="7" t="n">
        <v>5957.6</v>
      </c>
      <c r="AB65" s="7" t="n">
        <v>135471.8</v>
      </c>
    </row>
    <row r="66">
      <c r="A66" s="4" t="inlineStr">
        <is>
          <t>水费</t>
        </is>
      </c>
      <c r="D66" s="7" t="n">
        <v>1746.3</v>
      </c>
      <c r="F66" s="7" t="n">
        <v>1431.7</v>
      </c>
      <c r="H66" s="7" t="n">
        <v>2649.9</v>
      </c>
      <c r="J66" s="7" t="n">
        <v>3814</v>
      </c>
      <c r="L66" s="7" t="n">
        <v>2297.7</v>
      </c>
      <c r="N66" s="7" t="n">
        <v>2839.7</v>
      </c>
      <c r="P66" s="7" t="n">
        <v>2522</v>
      </c>
      <c r="R66" s="7" t="n">
        <v>3423.7</v>
      </c>
      <c r="T66" s="7" t="n">
        <v>1449.8</v>
      </c>
      <c r="V66" s="7" t="n">
        <v>3763.4</v>
      </c>
      <c r="X66" s="7" t="n">
        <v>2219.2</v>
      </c>
      <c r="Z66" s="7" t="n">
        <v>1066.6</v>
      </c>
      <c r="AB66" s="7" t="n">
        <v>29224</v>
      </c>
    </row>
    <row r="67">
      <c r="A67" s="4" t="inlineStr">
        <is>
          <t>电费</t>
        </is>
      </c>
      <c r="D67" s="7" t="n">
        <v>554.6</v>
      </c>
      <c r="F67" s="7" t="n">
        <v>306.7</v>
      </c>
      <c r="H67" s="7" t="n">
        <v>868.1</v>
      </c>
      <c r="J67" s="7" t="n">
        <v>719.5</v>
      </c>
      <c r="L67" s="7" t="n">
        <v>382.7</v>
      </c>
      <c r="N67" s="7" t="n">
        <v>718.1</v>
      </c>
      <c r="P67" s="7" t="n">
        <v>625.6</v>
      </c>
      <c r="R67" s="7" t="n">
        <v>791.5</v>
      </c>
      <c r="T67" s="7" t="n">
        <v>426.1</v>
      </c>
      <c r="V67" s="7" t="n">
        <v>765.3</v>
      </c>
      <c r="X67" s="7" t="n">
        <v>444.6</v>
      </c>
      <c r="Z67" s="7" t="n">
        <v>309.2</v>
      </c>
      <c r="AB67" s="7" t="n">
        <v>6912</v>
      </c>
    </row>
    <row r="68">
      <c r="A68" s="4" t="inlineStr">
        <is>
          <t>燃气费</t>
        </is>
      </c>
      <c r="D68" s="7" t="n">
        <v>3159.7</v>
      </c>
      <c r="F68" s="7" t="n">
        <v>2819.2</v>
      </c>
      <c r="H68" s="7" t="n">
        <v>4570.6</v>
      </c>
      <c r="J68" s="7" t="n">
        <v>5229.5</v>
      </c>
      <c r="L68" s="7" t="n">
        <v>3250.8</v>
      </c>
      <c r="N68" s="7" t="n">
        <v>5752.3</v>
      </c>
      <c r="P68" s="7" t="n">
        <v>7082.1</v>
      </c>
      <c r="R68" s="7" t="n">
        <v>5101.4</v>
      </c>
      <c r="T68" s="7" t="n">
        <v>3078</v>
      </c>
      <c r="V68" s="7" t="n">
        <v>5278.1</v>
      </c>
      <c r="X68" s="7" t="n">
        <v>3227.5</v>
      </c>
      <c r="Z68" s="7" t="n">
        <v>2011.3</v>
      </c>
      <c r="AB68" s="7" t="n">
        <v>50560.5</v>
      </c>
    </row>
    <row r="69">
      <c r="A69" s="4" t="inlineStr">
        <is>
          <t>蒸汽费</t>
        </is>
      </c>
      <c r="D69" s="7" t="n">
        <v>4371.2</v>
      </c>
      <c r="F69" s="7" t="n">
        <v>2485.4</v>
      </c>
      <c r="H69" s="7" t="n">
        <v>4694.4</v>
      </c>
      <c r="J69" s="7" t="n">
        <v>5153.1</v>
      </c>
      <c r="L69" s="7" t="n">
        <v>3744.7</v>
      </c>
      <c r="N69" s="7" t="n">
        <v>4604.8</v>
      </c>
      <c r="P69" s="7" t="n">
        <v>4516.3</v>
      </c>
      <c r="R69" s="7" t="n">
        <v>5527.6</v>
      </c>
      <c r="T69" s="7" t="n">
        <v>2924</v>
      </c>
      <c r="V69" s="7" t="n">
        <v>4478.3</v>
      </c>
      <c r="X69" s="7" t="n">
        <v>3705</v>
      </c>
      <c r="Z69" s="7" t="n">
        <v>2570.5</v>
      </c>
      <c r="AB69" s="7" t="n">
        <v>48775.3</v>
      </c>
    </row>
    <row r="70">
      <c r="A70" s="4" t="inlineStr">
        <is>
          <t>物业费</t>
        </is>
      </c>
      <c r="D70" s="7" t="n">
        <v>4944.9</v>
      </c>
      <c r="F70" s="7" t="n">
        <v>4525.2</v>
      </c>
      <c r="H70" s="7" t="n">
        <v>5762.1</v>
      </c>
      <c r="J70" s="7" t="n">
        <v>6723.7</v>
      </c>
      <c r="L70" s="7" t="n">
        <v>3678.1</v>
      </c>
      <c r="N70" s="7" t="n">
        <v>10424.5</v>
      </c>
      <c r="P70" s="7" t="n">
        <v>6499.3</v>
      </c>
      <c r="R70" s="7" t="n">
        <v>7763.1</v>
      </c>
      <c r="T70" s="7" t="n">
        <v>4545.1</v>
      </c>
      <c r="V70" s="7" t="n">
        <v>6947.8</v>
      </c>
      <c r="X70" s="7" t="n">
        <v>3511.2</v>
      </c>
      <c r="Z70" s="7" t="n">
        <v>3046.3</v>
      </c>
      <c r="AB70" s="7" t="n">
        <v>68371.3</v>
      </c>
    </row>
    <row r="71">
      <c r="A71" s="4" t="inlineStr">
        <is>
          <t>劳动保护费</t>
        </is>
      </c>
      <c r="D71" s="7" t="n">
        <v>1142.7</v>
      </c>
      <c r="F71" s="7" t="n">
        <v>527.1</v>
      </c>
      <c r="H71" s="7" t="n">
        <v>1603.7</v>
      </c>
      <c r="J71" s="7" t="n">
        <v>1182.4</v>
      </c>
      <c r="L71" s="7" t="n">
        <v>722.7</v>
      </c>
      <c r="N71" s="7" t="n">
        <v>1264.3</v>
      </c>
      <c r="P71" s="7" t="n">
        <v>1116.5</v>
      </c>
      <c r="R71" s="7" t="n">
        <v>1724.9</v>
      </c>
      <c r="T71" s="7" t="n">
        <v>770.3</v>
      </c>
      <c r="V71" s="7" t="n">
        <v>1345.3</v>
      </c>
      <c r="X71" s="7" t="n">
        <v>704.9</v>
      </c>
      <c r="Z71" s="7" t="n">
        <v>515.5</v>
      </c>
      <c r="AB71" s="7" t="n">
        <v>12620.3</v>
      </c>
    </row>
    <row r="72">
      <c r="A72" s="4" t="inlineStr">
        <is>
          <t>顾问费</t>
        </is>
      </c>
      <c r="D72" s="7" t="n">
        <v>5972.8</v>
      </c>
      <c r="F72" s="7" t="n">
        <v>4660.8</v>
      </c>
      <c r="H72" s="7" t="n">
        <v>7946.2</v>
      </c>
      <c r="J72" s="7" t="n">
        <v>7950.2</v>
      </c>
      <c r="L72" s="7" t="n">
        <v>4308.4</v>
      </c>
      <c r="N72" s="7" t="n">
        <v>6598.8</v>
      </c>
      <c r="P72" s="7" t="n">
        <v>5505.6</v>
      </c>
      <c r="R72" s="7" t="n">
        <v>8451.1</v>
      </c>
      <c r="T72" s="7" t="n">
        <v>3207.6</v>
      </c>
      <c r="V72" s="7" t="n">
        <v>4876.9</v>
      </c>
      <c r="X72" s="7" t="n">
        <v>3603.5</v>
      </c>
      <c r="Z72" s="7" t="n">
        <v>2035.6</v>
      </c>
      <c r="AB72" s="7" t="n">
        <v>65117.5</v>
      </c>
    </row>
    <row r="73">
      <c r="A73" s="4" t="inlineStr">
        <is>
          <t>快递费</t>
        </is>
      </c>
      <c r="D73" s="7" t="n">
        <v>2971.8</v>
      </c>
      <c r="F73" s="7" t="n">
        <v>2686.4</v>
      </c>
      <c r="H73" s="7" t="n">
        <v>4881.3</v>
      </c>
      <c r="J73" s="7" t="n">
        <v>5282.5</v>
      </c>
      <c r="L73" s="7" t="n">
        <v>1888.6</v>
      </c>
      <c r="N73" s="7" t="n">
        <v>4970.3</v>
      </c>
      <c r="P73" s="7" t="n">
        <v>3448.3</v>
      </c>
      <c r="R73" s="7" t="n">
        <v>3981</v>
      </c>
      <c r="T73" s="7" t="n">
        <v>2368</v>
      </c>
      <c r="V73" s="7" t="n">
        <v>4336.7</v>
      </c>
      <c r="X73" s="7" t="n">
        <v>2653.5</v>
      </c>
      <c r="Z73" s="7" t="n">
        <v>1411.9</v>
      </c>
      <c r="AB73" s="7" t="n">
        <v>40880.3</v>
      </c>
    </row>
    <row r="74">
      <c r="A74" s="4" t="inlineStr">
        <is>
          <t>诉讼费</t>
        </is>
      </c>
      <c r="D74" s="7" t="n">
        <v>3532.9</v>
      </c>
      <c r="F74" s="7" t="n">
        <v>2118.1</v>
      </c>
      <c r="H74" s="7" t="n">
        <v>5298.2</v>
      </c>
      <c r="J74" s="7" t="n">
        <v>5295.1</v>
      </c>
      <c r="L74" s="7" t="n">
        <v>2422.2</v>
      </c>
      <c r="N74" s="7" t="n">
        <v>4848.9</v>
      </c>
      <c r="P74" s="7" t="n">
        <v>6068.6</v>
      </c>
      <c r="R74" s="7" t="n">
        <v>4291</v>
      </c>
      <c r="T74" s="7" t="n">
        <v>3205.1</v>
      </c>
      <c r="V74" s="7" t="n">
        <v>4918.8</v>
      </c>
      <c r="X74" s="7" t="n">
        <v>2233.9</v>
      </c>
      <c r="Z74" s="7" t="n">
        <v>1738</v>
      </c>
      <c r="AB74" s="7" t="n">
        <v>45970.8</v>
      </c>
    </row>
    <row r="75">
      <c r="A75" s="4" t="inlineStr">
        <is>
          <t>会员费</t>
        </is>
      </c>
      <c r="D75" s="7" t="n">
        <v>3231.8</v>
      </c>
      <c r="F75" s="7" t="n">
        <v>2430.8</v>
      </c>
      <c r="H75" s="7" t="n">
        <v>4316.6</v>
      </c>
      <c r="J75" s="7" t="n">
        <v>5097.2</v>
      </c>
      <c r="L75" s="7" t="n">
        <v>2429.1</v>
      </c>
      <c r="N75" s="7" t="n">
        <v>5465.3</v>
      </c>
      <c r="P75" s="7" t="n">
        <v>3517.2</v>
      </c>
      <c r="R75" s="7" t="n">
        <v>3800.4</v>
      </c>
      <c r="T75" s="7" t="n">
        <v>1643.9</v>
      </c>
      <c r="V75" s="7" t="n">
        <v>3373.2</v>
      </c>
      <c r="X75" s="7" t="n">
        <v>2641.3</v>
      </c>
      <c r="Z75" s="7" t="n">
        <v>1462.7</v>
      </c>
      <c r="AB75" s="7" t="n">
        <v>39409.5</v>
      </c>
    </row>
    <row r="76">
      <c r="A76" s="4" t="inlineStr">
        <is>
          <t>广告宣传费</t>
        </is>
      </c>
      <c r="D76" s="7" t="n">
        <v>23886.8</v>
      </c>
      <c r="F76" s="7" t="n">
        <v>20211.5</v>
      </c>
      <c r="H76" s="7" t="n">
        <v>34605</v>
      </c>
      <c r="J76" s="7" t="n">
        <v>41446.3</v>
      </c>
      <c r="L76" s="7" t="n">
        <v>16326.3</v>
      </c>
      <c r="N76" s="7" t="n">
        <v>48681.8</v>
      </c>
      <c r="P76" s="7" t="n">
        <v>39184.5</v>
      </c>
      <c r="R76" s="7" t="n">
        <v>31500.2</v>
      </c>
      <c r="T76" s="7" t="n">
        <v>20262.2</v>
      </c>
      <c r="V76" s="7" t="n">
        <v>34405</v>
      </c>
      <c r="X76" s="7" t="n">
        <v>19592.8</v>
      </c>
      <c r="Z76" s="7" t="n">
        <v>9651.9</v>
      </c>
      <c r="AB76" s="7" t="n">
        <v>339754.3</v>
      </c>
    </row>
    <row r="77">
      <c r="A77" s="4" t="inlineStr">
        <is>
          <t>会务费</t>
        </is>
      </c>
      <c r="D77" s="7" t="n">
        <v>4211.5</v>
      </c>
      <c r="F77" s="7" t="n">
        <v>3186.2</v>
      </c>
      <c r="H77" s="7" t="n">
        <v>4384.8</v>
      </c>
      <c r="J77" s="7" t="n">
        <v>5643</v>
      </c>
      <c r="L77" s="7" t="n">
        <v>3541</v>
      </c>
      <c r="N77" s="7" t="n">
        <v>8283</v>
      </c>
      <c r="P77" s="7" t="n">
        <v>4874.5</v>
      </c>
      <c r="R77" s="7" t="n">
        <v>7761.5</v>
      </c>
      <c r="T77" s="7" t="n">
        <v>2398.6</v>
      </c>
      <c r="V77" s="7" t="n">
        <v>4594</v>
      </c>
      <c r="X77" s="7" t="n">
        <v>3440.6</v>
      </c>
      <c r="Z77" s="7" t="n">
        <v>2012.4</v>
      </c>
      <c r="AB77" s="7" t="n">
        <v>54331.1</v>
      </c>
    </row>
    <row r="78">
      <c r="A78" s="4" t="inlineStr">
        <is>
          <t>装修费</t>
        </is>
      </c>
      <c r="D78" s="7" t="n">
        <v>2978.2</v>
      </c>
      <c r="F78" s="7" t="n">
        <v>2365.5</v>
      </c>
      <c r="H78" s="7" t="n">
        <v>3149.3</v>
      </c>
      <c r="J78" s="7" t="n">
        <v>2921.1</v>
      </c>
      <c r="L78" s="7" t="n">
        <v>2630.4</v>
      </c>
      <c r="N78" s="7" t="n">
        <v>3733.7</v>
      </c>
      <c r="P78" s="7" t="n">
        <v>2578.1</v>
      </c>
      <c r="R78" s="7" t="n">
        <v>2742.2</v>
      </c>
      <c r="T78" s="7" t="n">
        <v>1579.6</v>
      </c>
      <c r="V78" s="7" t="n">
        <v>2733.7</v>
      </c>
      <c r="X78" s="7" t="n">
        <v>2429.2</v>
      </c>
      <c r="Z78" s="7" t="n">
        <v>1280.5</v>
      </c>
      <c r="AB78" s="7" t="n">
        <v>31121.5</v>
      </c>
    </row>
    <row r="79">
      <c r="A79" s="4" t="inlineStr">
        <is>
          <t>推广费</t>
        </is>
      </c>
      <c r="D79" s="7" t="n">
        <v>3433.9</v>
      </c>
      <c r="F79" s="7" t="n">
        <v>2190.4</v>
      </c>
      <c r="H79" s="7" t="n">
        <v>5368.8</v>
      </c>
      <c r="J79" s="7" t="n">
        <v>5498.7</v>
      </c>
      <c r="L79" s="7" t="n">
        <v>2457.4</v>
      </c>
      <c r="N79" s="7" t="n">
        <v>5515.7</v>
      </c>
      <c r="P79" s="7" t="n">
        <v>4178</v>
      </c>
      <c r="R79" s="7" t="n">
        <v>5474.6</v>
      </c>
      <c r="T79" s="7" t="n">
        <v>1818.4</v>
      </c>
      <c r="V79" s="7" t="n">
        <v>3950.4</v>
      </c>
      <c r="X79" s="7" t="n">
        <v>2989.8</v>
      </c>
      <c r="Z79" s="7" t="n">
        <v>2003.5</v>
      </c>
      <c r="AB79" s="7" t="n">
        <v>44879.6</v>
      </c>
    </row>
    <row r="80">
      <c r="A80" s="4" t="inlineStr">
        <is>
          <t>展会费</t>
        </is>
      </c>
      <c r="D80" s="7" t="n">
        <v>645.7</v>
      </c>
      <c r="F80" s="7" t="n">
        <v>760.5</v>
      </c>
      <c r="H80" s="7" t="n">
        <v>1305.9</v>
      </c>
      <c r="J80" s="7" t="n">
        <v>1394.5</v>
      </c>
      <c r="L80" s="7" t="n">
        <v>766.9</v>
      </c>
      <c r="N80" s="7" t="n">
        <v>1060.7</v>
      </c>
      <c r="P80" s="7" t="n">
        <v>1446.2</v>
      </c>
      <c r="R80" s="7" t="n">
        <v>1679.3</v>
      </c>
      <c r="T80" s="7" t="n">
        <v>631.8</v>
      </c>
      <c r="V80" s="7" t="n">
        <v>1276.4</v>
      </c>
      <c r="X80" s="7" t="n">
        <v>794.1</v>
      </c>
      <c r="Z80" s="7" t="n">
        <v>401.3</v>
      </c>
      <c r="AB80" s="7" t="n">
        <v>12163.3</v>
      </c>
    </row>
    <row r="81">
      <c r="A81" s="4" t="inlineStr">
        <is>
          <t>设计费</t>
        </is>
      </c>
      <c r="D81" s="7" t="n">
        <v>4825.6</v>
      </c>
      <c r="F81" s="7" t="n">
        <v>4802.2</v>
      </c>
      <c r="H81" s="7" t="n">
        <v>5933.6</v>
      </c>
      <c r="J81" s="7" t="n">
        <v>5466.3</v>
      </c>
      <c r="L81" s="7" t="n">
        <v>3907.6</v>
      </c>
      <c r="N81" s="7" t="n">
        <v>7351.4</v>
      </c>
      <c r="P81" s="7" t="n">
        <v>7857.5</v>
      </c>
      <c r="R81" s="7" t="n">
        <v>7625.5</v>
      </c>
      <c r="T81" s="7" t="n">
        <v>3334.5</v>
      </c>
      <c r="V81" s="7" t="n">
        <v>6145.2</v>
      </c>
      <c r="X81" s="7" t="n">
        <v>3898.7</v>
      </c>
      <c r="Z81" s="7" t="n">
        <v>3252.4</v>
      </c>
      <c r="AB81" s="7" t="n">
        <v>64400.5</v>
      </c>
    </row>
    <row r="82">
      <c r="A82" s="4" t="inlineStr">
        <is>
          <t>折旧费</t>
        </is>
      </c>
      <c r="D82" s="7" t="n">
        <v>30247.8</v>
      </c>
      <c r="F82" s="7" t="n">
        <v>33148</v>
      </c>
      <c r="H82" s="7" t="n">
        <v>40120.3</v>
      </c>
      <c r="J82" s="7" t="n">
        <v>53742</v>
      </c>
      <c r="L82" s="7" t="n">
        <v>36473.7</v>
      </c>
      <c r="N82" s="7" t="n">
        <v>61132.2</v>
      </c>
      <c r="P82" s="7" t="n">
        <v>31877.3</v>
      </c>
      <c r="R82" s="7" t="n">
        <v>57719.3</v>
      </c>
      <c r="T82" s="7" t="n">
        <v>18837.1</v>
      </c>
      <c r="V82" s="7" t="n">
        <v>48507.1</v>
      </c>
      <c r="X82" s="7" t="n">
        <v>23524.8</v>
      </c>
      <c r="Z82" s="7" t="n">
        <v>16981.7</v>
      </c>
      <c r="AB82" s="7" t="n">
        <v>452311.3</v>
      </c>
    </row>
    <row r="83">
      <c r="A83" s="4" t="inlineStr">
        <is>
          <t>认证费</t>
        </is>
      </c>
      <c r="D83" s="7" t="n">
        <v>1989</v>
      </c>
      <c r="F83" s="7" t="n">
        <v>1222.3</v>
      </c>
      <c r="H83" s="7" t="n">
        <v>2404.1</v>
      </c>
      <c r="J83" s="7" t="n">
        <v>1964.3</v>
      </c>
      <c r="L83" s="7" t="n">
        <v>1241.5</v>
      </c>
      <c r="N83" s="7" t="n">
        <v>2784.9</v>
      </c>
      <c r="P83" s="7" t="n">
        <v>2868.6</v>
      </c>
      <c r="R83" s="7" t="n">
        <v>2072.8</v>
      </c>
      <c r="T83" s="7" t="n">
        <v>1018.8</v>
      </c>
      <c r="V83" s="7" t="n">
        <v>2027.7</v>
      </c>
      <c r="X83" s="7" t="n">
        <v>1398.2</v>
      </c>
      <c r="Z83" s="7" t="n">
        <v>1098.3</v>
      </c>
      <c r="AB83" s="7" t="n">
        <v>22090.5</v>
      </c>
    </row>
    <row r="84">
      <c r="A84" s="4" t="inlineStr">
        <is>
          <t>样品费</t>
        </is>
      </c>
      <c r="D84" s="7" t="n">
        <v>15757.4</v>
      </c>
      <c r="F84" s="7" t="n">
        <v>16593</v>
      </c>
      <c r="H84" s="7" t="n">
        <v>16001.2</v>
      </c>
      <c r="J84" s="7" t="n">
        <v>24882.2</v>
      </c>
      <c r="L84" s="7" t="n">
        <v>15791.4</v>
      </c>
      <c r="N84" s="7" t="n">
        <v>32808.1</v>
      </c>
      <c r="P84" s="7" t="n">
        <v>22221.4</v>
      </c>
      <c r="R84" s="7" t="n">
        <v>22316.5</v>
      </c>
      <c r="T84" s="7" t="n">
        <v>12144.9</v>
      </c>
      <c r="V84" s="7" t="n">
        <v>19853.8</v>
      </c>
      <c r="X84" s="7" t="n">
        <v>10206.2</v>
      </c>
      <c r="Z84" s="7" t="n">
        <v>9958.200000000001</v>
      </c>
      <c r="AB84" s="7" t="n">
        <v>218534.3</v>
      </c>
    </row>
    <row r="85">
      <c r="A85" s="4" t="inlineStr">
        <is>
          <t>劳务费</t>
        </is>
      </c>
      <c r="D85" s="7" t="n">
        <v>1338.6</v>
      </c>
      <c r="F85" s="7" t="n">
        <v>1468.4</v>
      </c>
      <c r="H85" s="7" t="n">
        <v>1525.9</v>
      </c>
      <c r="J85" s="7" t="n">
        <v>1604.4</v>
      </c>
      <c r="L85" s="7" t="n">
        <v>1477</v>
      </c>
      <c r="N85" s="7" t="n">
        <v>2133.4</v>
      </c>
      <c r="P85" s="7" t="n">
        <v>2361.7</v>
      </c>
      <c r="R85" s="7" t="n">
        <v>2206.4</v>
      </c>
      <c r="T85" s="7" t="n">
        <v>817.2</v>
      </c>
      <c r="V85" s="7" t="n">
        <v>1535.1</v>
      </c>
      <c r="X85" s="7" t="n">
        <v>1067.5</v>
      </c>
      <c r="Z85" s="7" t="n">
        <v>681.9</v>
      </c>
      <c r="AB85" s="7" t="n">
        <v>18217.5</v>
      </c>
    </row>
    <row r="86">
      <c r="A86" s="4" t="inlineStr">
        <is>
          <t>销售佣金</t>
        </is>
      </c>
      <c r="D86" s="7" t="n">
        <v>392.3</v>
      </c>
      <c r="F86" s="7" t="n">
        <v>389.6</v>
      </c>
      <c r="H86" s="7" t="n">
        <v>734.6</v>
      </c>
      <c r="J86" s="7" t="n">
        <v>561.2</v>
      </c>
      <c r="L86" s="7" t="n">
        <v>417.1</v>
      </c>
      <c r="N86" s="7" t="n">
        <v>665</v>
      </c>
      <c r="P86" s="7" t="n">
        <v>460.8</v>
      </c>
      <c r="R86" s="7" t="n">
        <v>862.9</v>
      </c>
      <c r="T86" s="7" t="n">
        <v>244</v>
      </c>
      <c r="V86" s="7" t="n">
        <v>725.5</v>
      </c>
      <c r="X86" s="7" t="n">
        <v>436.1</v>
      </c>
      <c r="Z86" s="7" t="n">
        <v>235.5</v>
      </c>
      <c r="AB86" s="7" t="n">
        <v>6124.6</v>
      </c>
    </row>
    <row r="87">
      <c r="A87" s="4" t="inlineStr">
        <is>
          <t>检测费</t>
        </is>
      </c>
      <c r="D87" s="7" t="n">
        <v>5581.7</v>
      </c>
      <c r="F87" s="7" t="n">
        <v>3502.1</v>
      </c>
      <c r="H87" s="7" t="n">
        <v>7573.6</v>
      </c>
      <c r="J87" s="7" t="n">
        <v>5150.3</v>
      </c>
      <c r="L87" s="7" t="n">
        <v>3895.7</v>
      </c>
      <c r="N87" s="7" t="n">
        <v>7198.3</v>
      </c>
      <c r="P87" s="7" t="n">
        <v>5638.7</v>
      </c>
      <c r="R87" s="7" t="n">
        <v>7960.2</v>
      </c>
      <c r="T87" s="7" t="n">
        <v>3584.9</v>
      </c>
      <c r="V87" s="7" t="n">
        <v>5124.2</v>
      </c>
      <c r="X87" s="7" t="n">
        <v>4311.1</v>
      </c>
      <c r="Z87" s="7" t="n">
        <v>1835.4</v>
      </c>
      <c r="AB87" s="7" t="n">
        <v>61356.2</v>
      </c>
    </row>
    <row r="88">
      <c r="A88" s="4" t="inlineStr">
        <is>
          <t>质量赔偿</t>
        </is>
      </c>
      <c r="D88" s="7" t="n">
        <v>593.5</v>
      </c>
      <c r="F88" s="7" t="n">
        <v>474.1</v>
      </c>
      <c r="H88" s="7" t="n">
        <v>852.4</v>
      </c>
      <c r="J88" s="7" t="n">
        <v>646.8</v>
      </c>
      <c r="L88" s="7" t="n">
        <v>564.1</v>
      </c>
      <c r="N88" s="7" t="n">
        <v>1284.6</v>
      </c>
      <c r="P88" s="7" t="n">
        <v>881.6</v>
      </c>
      <c r="R88" s="7" t="n">
        <v>713</v>
      </c>
      <c r="T88" s="7" t="n">
        <v>429.2</v>
      </c>
      <c r="V88" s="7" t="n">
        <v>603.3</v>
      </c>
      <c r="X88" s="7" t="n">
        <v>525.5</v>
      </c>
      <c r="Z88" s="7" t="n">
        <v>423.3</v>
      </c>
      <c r="AB88" s="7" t="n">
        <v>7991.4</v>
      </c>
    </row>
    <row r="89">
      <c r="A89" s="4" t="inlineStr">
        <is>
          <t>保险费</t>
        </is>
      </c>
      <c r="D89" s="7" t="n">
        <v>4137.3</v>
      </c>
      <c r="F89" s="7" t="n">
        <v>3501.7</v>
      </c>
      <c r="H89" s="7" t="n">
        <v>6156.6</v>
      </c>
      <c r="J89" s="7" t="n">
        <v>6710.8</v>
      </c>
      <c r="L89" s="7" t="n">
        <v>3820.7</v>
      </c>
      <c r="N89" s="7" t="n">
        <v>8766.9</v>
      </c>
      <c r="P89" s="7" t="n">
        <v>6778.6</v>
      </c>
      <c r="R89" s="7" t="n">
        <v>6786.8</v>
      </c>
      <c r="T89" s="7" t="n">
        <v>3486.7</v>
      </c>
      <c r="V89" s="7" t="n">
        <v>6715.6</v>
      </c>
      <c r="X89" s="7" t="n">
        <v>2615.4</v>
      </c>
      <c r="Z89" s="7" t="n">
        <v>2983.8</v>
      </c>
      <c r="AB89" s="7" t="n">
        <v>62460.9</v>
      </c>
    </row>
    <row r="90">
      <c r="A90" s="4" t="inlineStr">
        <is>
          <t>清洁费</t>
        </is>
      </c>
      <c r="D90" s="7" t="n">
        <v>4159</v>
      </c>
      <c r="F90" s="7" t="n">
        <v>2978.4</v>
      </c>
      <c r="H90" s="7" t="n">
        <v>5103.5</v>
      </c>
      <c r="J90" s="7" t="n">
        <v>4354</v>
      </c>
      <c r="L90" s="7" t="n">
        <v>2458.6</v>
      </c>
      <c r="N90" s="7" t="n">
        <v>5115.2</v>
      </c>
      <c r="P90" s="7" t="n">
        <v>5502.1</v>
      </c>
      <c r="R90" s="7" t="n">
        <v>5879</v>
      </c>
      <c r="T90" s="7" t="n">
        <v>2489</v>
      </c>
      <c r="V90" s="7" t="n">
        <v>3193.1</v>
      </c>
      <c r="X90" s="7" t="n">
        <v>2920.9</v>
      </c>
      <c r="Z90" s="7" t="n">
        <v>1661.1</v>
      </c>
      <c r="AB90" s="7" t="n">
        <v>45813.9</v>
      </c>
    </row>
    <row r="91">
      <c r="A91" s="4" t="inlineStr">
        <is>
          <t>低值易耗品</t>
        </is>
      </c>
      <c r="D91" s="7" t="n">
        <v>3097.4</v>
      </c>
      <c r="F91" s="7" t="n">
        <v>2668.3</v>
      </c>
      <c r="H91" s="7" t="n">
        <v>3650.7</v>
      </c>
      <c r="J91" s="7" t="n">
        <v>2801.2</v>
      </c>
      <c r="L91" s="7" t="n">
        <v>2565.7</v>
      </c>
      <c r="N91" s="7" t="n">
        <v>3208.1</v>
      </c>
      <c r="P91" s="7" t="n">
        <v>4638</v>
      </c>
      <c r="R91" s="7" t="n">
        <v>3164</v>
      </c>
      <c r="T91" s="7" t="n">
        <v>1649.3</v>
      </c>
      <c r="V91" s="7" t="n">
        <v>3551.3</v>
      </c>
      <c r="X91" s="7" t="n">
        <v>1985.1</v>
      </c>
      <c r="Z91" s="7" t="n">
        <v>1325.5</v>
      </c>
      <c r="AB91" s="7" t="n">
        <v>34304.6</v>
      </c>
    </row>
    <row r="92">
      <c r="A92" s="4" t="inlineStr">
        <is>
          <t>物料消耗</t>
        </is>
      </c>
      <c r="D92" s="7" t="n">
        <v>3179.9</v>
      </c>
      <c r="F92" s="7" t="n">
        <v>2788.5</v>
      </c>
      <c r="H92" s="7" t="n">
        <v>5346.4</v>
      </c>
      <c r="J92" s="7" t="n">
        <v>5836</v>
      </c>
      <c r="L92" s="7" t="n">
        <v>3278.9</v>
      </c>
      <c r="N92" s="7" t="n">
        <v>5318.3</v>
      </c>
      <c r="P92" s="7" t="n">
        <v>6083.2</v>
      </c>
      <c r="R92" s="7" t="n">
        <v>6938.3</v>
      </c>
      <c r="T92" s="7" t="n">
        <v>1998.2</v>
      </c>
      <c r="V92" s="7" t="n">
        <v>5524.3</v>
      </c>
      <c r="X92" s="7" t="n">
        <v>2443.6</v>
      </c>
      <c r="Z92" s="7" t="n">
        <v>1643.9</v>
      </c>
      <c r="AB92" s="7" t="n">
        <v>50379.5</v>
      </c>
    </row>
    <row r="93">
      <c r="A93" s="4" t="inlineStr">
        <is>
          <t>盘盈盘亏</t>
        </is>
      </c>
      <c r="D93" s="7" t="n">
        <v>146.4</v>
      </c>
      <c r="F93" s="7" t="n">
        <v>134.2</v>
      </c>
      <c r="H93" s="7" t="n">
        <v>220.8</v>
      </c>
      <c r="J93" s="7" t="n">
        <v>200</v>
      </c>
      <c r="L93" s="7" t="n">
        <v>155.3</v>
      </c>
      <c r="N93" s="7" t="n">
        <v>203.1</v>
      </c>
      <c r="P93" s="7" t="n">
        <v>171.2</v>
      </c>
      <c r="R93" s="7" t="n">
        <v>185.2</v>
      </c>
      <c r="T93" s="7" t="n">
        <v>81</v>
      </c>
      <c r="V93" s="7" t="n">
        <v>162.7</v>
      </c>
      <c r="X93" s="7" t="n">
        <v>110.1</v>
      </c>
      <c r="Z93" s="7" t="n">
        <v>68.2</v>
      </c>
      <c r="AB93" s="7" t="n">
        <v>1838.2</v>
      </c>
    </row>
    <row r="94">
      <c r="A94" s="4" t="inlineStr">
        <is>
          <t>平台服务费</t>
        </is>
      </c>
      <c r="D94" s="7" t="n">
        <v>4090.5</v>
      </c>
      <c r="F94" s="7" t="n">
        <v>3626.5</v>
      </c>
      <c r="H94" s="7" t="n">
        <v>5282</v>
      </c>
      <c r="J94" s="7" t="n">
        <v>8640.1</v>
      </c>
      <c r="L94" s="7" t="n">
        <v>4199</v>
      </c>
      <c r="N94" s="7" t="n">
        <v>9709</v>
      </c>
      <c r="P94" s="7" t="n">
        <v>6359.9</v>
      </c>
      <c r="R94" s="7" t="n">
        <v>7626.5</v>
      </c>
      <c r="T94" s="7" t="n">
        <v>4016.8</v>
      </c>
      <c r="V94" s="7" t="n">
        <v>7537.3</v>
      </c>
      <c r="X94" s="7" t="n">
        <v>3822.4</v>
      </c>
      <c r="Z94" s="7" t="n">
        <v>2730.7</v>
      </c>
      <c r="AB94" s="7" t="n">
        <v>67640.7</v>
      </c>
    </row>
    <row r="95">
      <c r="A95" s="4" t="inlineStr">
        <is>
          <t>无形资产摊销</t>
        </is>
      </c>
      <c r="D95" s="7" t="n">
        <v>1729.3</v>
      </c>
      <c r="F95" s="7" t="n">
        <v>1571.7</v>
      </c>
      <c r="H95" s="7" t="n">
        <v>3421.4</v>
      </c>
      <c r="J95" s="7" t="n">
        <v>2246.2</v>
      </c>
      <c r="L95" s="7" t="n">
        <v>1495.4</v>
      </c>
      <c r="N95" s="7" t="n">
        <v>4303</v>
      </c>
      <c r="P95" s="7" t="n">
        <v>3325.9</v>
      </c>
      <c r="R95" s="7" t="n">
        <v>2600.9</v>
      </c>
      <c r="T95" s="7" t="n">
        <v>1723.9</v>
      </c>
      <c r="V95" s="7" t="n">
        <v>2169.2</v>
      </c>
      <c r="X95" s="7" t="n">
        <v>1744.1</v>
      </c>
      <c r="Z95" s="7" t="n">
        <v>1278.2</v>
      </c>
      <c r="AB95" s="7" t="n">
        <v>27609.2</v>
      </c>
    </row>
    <row r="96">
      <c r="A96" s="4" t="inlineStr">
        <is>
          <t>研发材料</t>
        </is>
      </c>
      <c r="D96" s="7" t="n">
        <v>3511</v>
      </c>
      <c r="F96" s="7" t="n">
        <v>2590.1</v>
      </c>
      <c r="H96" s="7" t="n">
        <v>6979</v>
      </c>
      <c r="J96" s="7" t="n">
        <v>6586.1</v>
      </c>
      <c r="L96" s="7" t="n">
        <v>3195.1</v>
      </c>
      <c r="N96" s="7" t="n">
        <v>5524.7</v>
      </c>
      <c r="P96" s="7" t="n">
        <v>4223.2</v>
      </c>
      <c r="R96" s="7" t="n">
        <v>6155.7</v>
      </c>
      <c r="T96" s="7" t="n">
        <v>1976.1</v>
      </c>
      <c r="V96" s="7" t="n">
        <v>6236</v>
      </c>
      <c r="X96" s="7" t="n">
        <v>3099.9</v>
      </c>
      <c r="Z96" s="7" t="n">
        <v>2742.9</v>
      </c>
      <c r="AB96" s="7" t="n">
        <v>52819.8</v>
      </c>
    </row>
    <row r="97">
      <c r="A97" s="4" t="inlineStr">
        <is>
          <t>项目名称</t>
        </is>
      </c>
      <c r="D97" s="7" t="n">
        <v>2365.2</v>
      </c>
      <c r="F97" s="7" t="n">
        <v>1808.1</v>
      </c>
      <c r="H97" s="7" t="n">
        <v>2456.4</v>
      </c>
      <c r="J97" s="7" t="n">
        <v>3192</v>
      </c>
      <c r="L97" s="7" t="n">
        <v>1453</v>
      </c>
      <c r="N97" s="7" t="n">
        <v>3982.2</v>
      </c>
      <c r="P97" s="7" t="n">
        <v>1955</v>
      </c>
      <c r="R97" s="7" t="n">
        <v>3247.1</v>
      </c>
      <c r="T97" s="7" t="n">
        <v>1239.5</v>
      </c>
      <c r="V97" s="7" t="n">
        <v>2453.1</v>
      </c>
      <c r="X97" s="7" t="n">
        <v>1982.3</v>
      </c>
      <c r="Z97" s="7" t="n">
        <v>924.1</v>
      </c>
      <c r="AB97" s="7" t="n">
        <v>27058</v>
      </c>
    </row>
    <row r="98">
      <c r="A98" s="4" t="inlineStr">
        <is>
          <t>研发费</t>
        </is>
      </c>
      <c r="D98" s="7" t="n">
        <v>3044.9</v>
      </c>
      <c r="F98" s="7" t="n">
        <v>2153.8</v>
      </c>
      <c r="H98" s="7" t="n">
        <v>3964.8</v>
      </c>
      <c r="J98" s="7" t="n">
        <v>5006.9</v>
      </c>
      <c r="L98" s="7" t="n">
        <v>2339.8</v>
      </c>
      <c r="N98" s="7" t="n">
        <v>4436.7</v>
      </c>
      <c r="P98" s="7" t="n">
        <v>5309.8</v>
      </c>
      <c r="R98" s="7" t="n">
        <v>6315.1</v>
      </c>
      <c r="T98" s="7" t="n">
        <v>1784.8</v>
      </c>
      <c r="V98" s="7" t="n">
        <v>5382.1</v>
      </c>
      <c r="X98" s="7" t="n">
        <v>3472.9</v>
      </c>
      <c r="Z98" s="7" t="n">
        <v>2138.6</v>
      </c>
      <c r="AB98" s="7" t="n">
        <v>45350.2</v>
      </c>
    </row>
    <row r="99">
      <c r="A99" s="4" t="inlineStr">
        <is>
          <t>残保金</t>
        </is>
      </c>
      <c r="D99" s="7" t="n">
        <v>1855.8</v>
      </c>
      <c r="F99" s="7" t="n">
        <v>1252.5</v>
      </c>
      <c r="H99" s="7" t="n">
        <v>2153.4</v>
      </c>
      <c r="J99" s="7" t="n">
        <v>3492.2</v>
      </c>
      <c r="L99" s="7" t="n">
        <v>2212.5</v>
      </c>
      <c r="N99" s="7" t="n">
        <v>3676.8</v>
      </c>
      <c r="P99" s="7" t="n">
        <v>3237.5</v>
      </c>
      <c r="R99" s="7" t="n">
        <v>2534.5</v>
      </c>
      <c r="T99" s="7" t="n">
        <v>1707.4</v>
      </c>
      <c r="V99" s="7" t="n">
        <v>2002.7</v>
      </c>
      <c r="X99" s="7" t="n">
        <v>1303.6</v>
      </c>
      <c r="Z99" s="7" t="n">
        <v>1118.1</v>
      </c>
      <c r="AB99" s="7" t="n">
        <v>26547</v>
      </c>
    </row>
    <row r="100">
      <c r="A100" s="4" t="inlineStr">
        <is>
          <t>环保费</t>
        </is>
      </c>
      <c r="D100" s="7" t="n">
        <v>1731.4</v>
      </c>
      <c r="F100" s="7" t="n">
        <v>1616.7</v>
      </c>
      <c r="H100" s="7" t="n">
        <v>1895.9</v>
      </c>
      <c r="J100" s="7" t="n">
        <v>2034.3</v>
      </c>
      <c r="L100" s="7" t="n">
        <v>1666.2</v>
      </c>
      <c r="N100" s="7" t="n">
        <v>2376.5</v>
      </c>
      <c r="P100" s="7" t="n">
        <v>2771.7</v>
      </c>
      <c r="R100" s="7" t="n">
        <v>1858.8</v>
      </c>
      <c r="T100" s="7" t="n">
        <v>1401.1</v>
      </c>
      <c r="V100" s="7" t="n">
        <v>2688.3</v>
      </c>
      <c r="X100" s="7" t="n">
        <v>979.8</v>
      </c>
      <c r="Z100" s="7" t="n">
        <v>854</v>
      </c>
      <c r="AB100" s="7" t="n">
        <v>21874.7</v>
      </c>
    </row>
    <row r="101">
      <c r="A101" s="4" t="inlineStr">
        <is>
          <t>报废损失</t>
        </is>
      </c>
      <c r="D101" s="7" t="n">
        <v>3196.6</v>
      </c>
      <c r="F101" s="7" t="n">
        <v>2017.9</v>
      </c>
      <c r="H101" s="7" t="n">
        <v>3059.5</v>
      </c>
      <c r="J101" s="7" t="n">
        <v>5518.5</v>
      </c>
      <c r="L101" s="7" t="n">
        <v>2103.4</v>
      </c>
      <c r="N101" s="7" t="n">
        <v>6684</v>
      </c>
      <c r="P101" s="7" t="n">
        <v>3372.7</v>
      </c>
      <c r="R101" s="7" t="n">
        <v>4971.1</v>
      </c>
      <c r="T101" s="7" t="n">
        <v>2889.4</v>
      </c>
      <c r="V101" s="7" t="n">
        <v>5111.8</v>
      </c>
      <c r="X101" s="7" t="n">
        <v>2690.3</v>
      </c>
      <c r="Z101" s="7" t="n">
        <v>1407.5</v>
      </c>
      <c r="AB101" s="7" t="n">
        <v>43022.7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331563.5</v>
      </c>
      <c r="D102" s="7" t="n">
        <v>200237.4</v>
      </c>
      <c r="E102" s="7" t="n">
        <v>272572.4</v>
      </c>
      <c r="F102" s="7" t="n">
        <v>249262.2</v>
      </c>
      <c r="G102" s="7" t="n">
        <v>274643.8</v>
      </c>
      <c r="H102" s="7" t="n">
        <v>222062</v>
      </c>
      <c r="I102" s="7" t="n">
        <v>266591.3</v>
      </c>
      <c r="J102" s="7" t="n">
        <v>302924.9</v>
      </c>
      <c r="K102" s="7" t="n">
        <v>339689.5</v>
      </c>
      <c r="L102" s="7" t="n">
        <v>485888.6</v>
      </c>
      <c r="M102" s="7" t="n">
        <v>275205.3</v>
      </c>
      <c r="N102" s="7" t="n">
        <v>214342.8</v>
      </c>
      <c r="O102" s="7" t="n">
        <v>262307.1</v>
      </c>
      <c r="P102" s="7" t="n">
        <v>401434.8</v>
      </c>
      <c r="Q102" s="7" t="n">
        <v>263440.7</v>
      </c>
      <c r="R102" s="7" t="n">
        <v>296438.3</v>
      </c>
      <c r="S102" s="7" t="n">
        <v>291245.6</v>
      </c>
      <c r="T102" s="7" t="n">
        <v>307567.9</v>
      </c>
      <c r="U102" s="7" t="n">
        <v>334707.8</v>
      </c>
      <c r="V102" s="7" t="n">
        <v>424185.5</v>
      </c>
      <c r="W102" s="7" t="n">
        <v>264379.9</v>
      </c>
      <c r="X102" s="7" t="n">
        <v>255740.9</v>
      </c>
      <c r="Y102" s="7" t="n">
        <v>275265.7</v>
      </c>
      <c r="Z102" s="7" t="n">
        <v>238680.5</v>
      </c>
      <c r="AA102" s="8" t="n">
        <v>3451612.6</v>
      </c>
      <c r="AB102" s="8" t="n">
        <v>3598765.8</v>
      </c>
    </row>
    <row r="103">
      <c r="A103" s="4" t="inlineStr">
        <is>
          <t>职工薪酬</t>
        </is>
      </c>
      <c r="D103" s="7" t="n">
        <v>101171.7</v>
      </c>
      <c r="F103" s="7" t="n">
        <v>152191.7</v>
      </c>
      <c r="H103" s="7" t="n">
        <v>99213.8</v>
      </c>
      <c r="J103" s="7" t="n">
        <v>173177</v>
      </c>
      <c r="L103" s="7" t="n">
        <v>254516.6</v>
      </c>
      <c r="N103" s="7" t="n">
        <v>93370.10000000001</v>
      </c>
      <c r="P103" s="7" t="n">
        <v>192236.5</v>
      </c>
      <c r="R103" s="7" t="n">
        <v>133588</v>
      </c>
      <c r="T103" s="7" t="n">
        <v>133688.3</v>
      </c>
      <c r="V103" s="7" t="n">
        <v>188311.9</v>
      </c>
      <c r="X103" s="7" t="n">
        <v>147181</v>
      </c>
      <c r="Z103" s="7" t="n">
        <v>100809.6</v>
      </c>
      <c r="AB103" s="7" t="n">
        <v>1769456.2</v>
      </c>
    </row>
    <row r="104">
      <c r="A104" s="4" t="inlineStr">
        <is>
          <t>工资</t>
        </is>
      </c>
      <c r="D104" s="7" t="n">
        <v>62931.9</v>
      </c>
      <c r="F104" s="7" t="n">
        <v>94279</v>
      </c>
      <c r="H104" s="7" t="n">
        <v>48001</v>
      </c>
      <c r="J104" s="7" t="n">
        <v>113016</v>
      </c>
      <c r="L104" s="7" t="n">
        <v>135711.3</v>
      </c>
      <c r="N104" s="7" t="n">
        <v>46864.6</v>
      </c>
      <c r="P104" s="7" t="n">
        <v>98600.89999999999</v>
      </c>
      <c r="R104" s="7" t="n">
        <v>71972.60000000001</v>
      </c>
      <c r="T104" s="7" t="n">
        <v>72503.5</v>
      </c>
      <c r="V104" s="7" t="n">
        <v>91683.7</v>
      </c>
      <c r="X104" s="7" t="n">
        <v>90291.60000000001</v>
      </c>
      <c r="Z104" s="7" t="n">
        <v>57077.9</v>
      </c>
      <c r="AB104" s="7" t="n">
        <v>982934</v>
      </c>
    </row>
    <row r="105">
      <c r="A105" s="4" t="inlineStr">
        <is>
          <t>奖金及提成</t>
        </is>
      </c>
      <c r="D105" s="7" t="n">
        <v>17891.6</v>
      </c>
      <c r="F105" s="7" t="n">
        <v>26004.3</v>
      </c>
      <c r="H105" s="7" t="n">
        <v>21991</v>
      </c>
      <c r="J105" s="7" t="n">
        <v>27455.3</v>
      </c>
      <c r="L105" s="7" t="n">
        <v>52341.3</v>
      </c>
      <c r="N105" s="7" t="n">
        <v>25510.9</v>
      </c>
      <c r="P105" s="7" t="n">
        <v>42003</v>
      </c>
      <c r="R105" s="7" t="n">
        <v>28791.9</v>
      </c>
      <c r="T105" s="7" t="n">
        <v>25494.4</v>
      </c>
      <c r="V105" s="7" t="n">
        <v>45506.1</v>
      </c>
      <c r="X105" s="7" t="n">
        <v>26278.1</v>
      </c>
      <c r="Z105" s="7" t="n">
        <v>18394.9</v>
      </c>
      <c r="AB105" s="7" t="n">
        <v>357662.8</v>
      </c>
    </row>
    <row r="106">
      <c r="A106" s="4" t="inlineStr">
        <is>
          <t>社保</t>
        </is>
      </c>
      <c r="D106" s="7" t="n">
        <v>13897.8</v>
      </c>
      <c r="F106" s="7" t="n">
        <v>23153.6</v>
      </c>
      <c r="H106" s="7" t="n">
        <v>22283.1</v>
      </c>
      <c r="J106" s="7" t="n">
        <v>21867.6</v>
      </c>
      <c r="L106" s="7" t="n">
        <v>48025.9</v>
      </c>
      <c r="N106" s="7" t="n">
        <v>14629.7</v>
      </c>
      <c r="P106" s="7" t="n">
        <v>38030.1</v>
      </c>
      <c r="R106" s="7" t="n">
        <v>23535.1</v>
      </c>
      <c r="T106" s="7" t="n">
        <v>25327.4</v>
      </c>
      <c r="V106" s="7" t="n">
        <v>37258.7</v>
      </c>
      <c r="X106" s="7" t="n">
        <v>22521.7</v>
      </c>
      <c r="Z106" s="7" t="n">
        <v>17288.6</v>
      </c>
      <c r="AB106" s="7" t="n">
        <v>307819.3</v>
      </c>
    </row>
    <row r="107">
      <c r="A107" s="4" t="inlineStr">
        <is>
          <t>养老</t>
        </is>
      </c>
      <c r="D107" s="7" t="n">
        <v>502.9</v>
      </c>
      <c r="F107" s="7" t="n">
        <v>779.9</v>
      </c>
      <c r="H107" s="7" t="n">
        <v>820.4</v>
      </c>
      <c r="J107" s="7" t="n">
        <v>1318.6</v>
      </c>
      <c r="L107" s="7" t="n">
        <v>1282.9</v>
      </c>
      <c r="N107" s="7" t="n">
        <v>610.1</v>
      </c>
      <c r="P107" s="7" t="n">
        <v>1331.5</v>
      </c>
      <c r="R107" s="7" t="n">
        <v>773.6</v>
      </c>
      <c r="T107" s="7" t="n">
        <v>1078.6</v>
      </c>
      <c r="V107" s="7" t="n">
        <v>1266.9</v>
      </c>
      <c r="X107" s="7" t="n">
        <v>1065.5</v>
      </c>
      <c r="Z107" s="7" t="n">
        <v>718.3</v>
      </c>
      <c r="AB107" s="7" t="n">
        <v>11549.2</v>
      </c>
    </row>
    <row r="108">
      <c r="A108" s="4" t="inlineStr">
        <is>
          <t>医疗</t>
        </is>
      </c>
      <c r="D108" s="7" t="n">
        <v>739.1</v>
      </c>
      <c r="F108" s="7" t="n">
        <v>534.5</v>
      </c>
      <c r="H108" s="7" t="n">
        <v>775</v>
      </c>
      <c r="J108" s="7" t="n">
        <v>868.8</v>
      </c>
      <c r="L108" s="7" t="n">
        <v>1304.3</v>
      </c>
      <c r="N108" s="7" t="n">
        <v>775.3</v>
      </c>
      <c r="P108" s="7" t="n">
        <v>1491.6</v>
      </c>
      <c r="R108" s="7" t="n">
        <v>692.6</v>
      </c>
      <c r="T108" s="7" t="n">
        <v>1059.1</v>
      </c>
      <c r="V108" s="7" t="n">
        <v>1010.7</v>
      </c>
      <c r="X108" s="7" t="n">
        <v>519.3</v>
      </c>
      <c r="Z108" s="7" t="n">
        <v>778.3</v>
      </c>
      <c r="AB108" s="7" t="n">
        <v>10548.6</v>
      </c>
    </row>
    <row r="109">
      <c r="A109" s="4" t="inlineStr">
        <is>
          <t>工伤</t>
        </is>
      </c>
      <c r="D109" s="7" t="n">
        <v>492.9</v>
      </c>
      <c r="F109" s="7" t="n">
        <v>457.6</v>
      </c>
      <c r="H109" s="7" t="n">
        <v>626.7</v>
      </c>
      <c r="J109" s="7" t="n">
        <v>713.6</v>
      </c>
      <c r="L109" s="7" t="n">
        <v>1330.9</v>
      </c>
      <c r="N109" s="7" t="n">
        <v>456.5</v>
      </c>
      <c r="P109" s="7" t="n">
        <v>781</v>
      </c>
      <c r="R109" s="7" t="n">
        <v>872.6</v>
      </c>
      <c r="T109" s="7" t="n">
        <v>727.1</v>
      </c>
      <c r="V109" s="7" t="n">
        <v>910.3</v>
      </c>
      <c r="X109" s="7" t="n">
        <v>451.1</v>
      </c>
      <c r="Z109" s="7" t="n">
        <v>442.8</v>
      </c>
      <c r="AB109" s="7" t="n">
        <v>8263.1</v>
      </c>
    </row>
    <row r="110">
      <c r="A110" s="4" t="inlineStr">
        <is>
          <t>失业</t>
        </is>
      </c>
      <c r="D110" s="7" t="n">
        <v>891.9</v>
      </c>
      <c r="F110" s="7" t="n">
        <v>1250.3</v>
      </c>
      <c r="H110" s="7" t="n">
        <v>1062.8</v>
      </c>
      <c r="J110" s="7" t="n">
        <v>996.9</v>
      </c>
      <c r="L110" s="7" t="n">
        <v>2557.2</v>
      </c>
      <c r="N110" s="7" t="n">
        <v>950.2</v>
      </c>
      <c r="P110" s="7" t="n">
        <v>2028.7</v>
      </c>
      <c r="R110" s="7" t="n">
        <v>1069.1</v>
      </c>
      <c r="T110" s="7" t="n">
        <v>1631.7</v>
      </c>
      <c r="V110" s="7" t="n">
        <v>2239.6</v>
      </c>
      <c r="X110" s="7" t="n">
        <v>933.9</v>
      </c>
      <c r="Z110" s="7" t="n">
        <v>1231.6</v>
      </c>
      <c r="AB110" s="7" t="n">
        <v>16843.9</v>
      </c>
    </row>
    <row r="111">
      <c r="A111" s="4" t="inlineStr">
        <is>
          <t>生育</t>
        </is>
      </c>
      <c r="D111" s="7" t="n">
        <v>1577.8</v>
      </c>
      <c r="F111" s="7" t="n">
        <v>1558.3</v>
      </c>
      <c r="H111" s="7" t="n">
        <v>1106.4</v>
      </c>
      <c r="J111" s="7" t="n">
        <v>2438.4</v>
      </c>
      <c r="L111" s="7" t="n">
        <v>2168.5</v>
      </c>
      <c r="N111" s="7" t="n">
        <v>1162.3</v>
      </c>
      <c r="P111" s="7" t="n">
        <v>2644.3</v>
      </c>
      <c r="R111" s="7" t="n">
        <v>1675.9</v>
      </c>
      <c r="T111" s="7" t="n">
        <v>2458</v>
      </c>
      <c r="V111" s="7" t="n">
        <v>2887.2</v>
      </c>
      <c r="X111" s="7" t="n">
        <v>2079.2</v>
      </c>
      <c r="Z111" s="7" t="n">
        <v>1119</v>
      </c>
      <c r="AB111" s="7" t="n">
        <v>22875.3</v>
      </c>
    </row>
    <row r="112">
      <c r="A112" s="4" t="inlineStr">
        <is>
          <t>公积金</t>
        </is>
      </c>
      <c r="D112" s="7" t="n">
        <v>423.7</v>
      </c>
      <c r="F112" s="7" t="n">
        <v>800.5</v>
      </c>
      <c r="H112" s="7" t="n">
        <v>692.4</v>
      </c>
      <c r="J112" s="7" t="n">
        <v>965.3</v>
      </c>
      <c r="L112" s="7" t="n">
        <v>1661.3</v>
      </c>
      <c r="N112" s="7" t="n">
        <v>487.7</v>
      </c>
      <c r="P112" s="7" t="n">
        <v>1265.8</v>
      </c>
      <c r="R112" s="7" t="n">
        <v>867.6</v>
      </c>
      <c r="T112" s="7" t="n">
        <v>773.5</v>
      </c>
      <c r="V112" s="7" t="n">
        <v>931.5</v>
      </c>
      <c r="X112" s="7" t="n">
        <v>826.2</v>
      </c>
      <c r="Z112" s="7" t="n">
        <v>476.8</v>
      </c>
      <c r="AB112" s="7" t="n">
        <v>10172.3</v>
      </c>
    </row>
    <row r="113">
      <c r="A113" s="4" t="inlineStr">
        <is>
          <t>工会经费</t>
        </is>
      </c>
      <c r="D113" s="7" t="n">
        <v>1095.1</v>
      </c>
      <c r="F113" s="7" t="n">
        <v>1945.6</v>
      </c>
      <c r="H113" s="7" t="n">
        <v>1085.9</v>
      </c>
      <c r="J113" s="7" t="n">
        <v>2188.8</v>
      </c>
      <c r="L113" s="7" t="n">
        <v>3887.7</v>
      </c>
      <c r="N113" s="7" t="n">
        <v>1071.2</v>
      </c>
      <c r="P113" s="7" t="n">
        <v>2449.8</v>
      </c>
      <c r="R113" s="7" t="n">
        <v>2066.2</v>
      </c>
      <c r="T113" s="7" t="n">
        <v>2246.7</v>
      </c>
      <c r="V113" s="7" t="n">
        <v>1893</v>
      </c>
      <c r="X113" s="7" t="n">
        <v>1244.6</v>
      </c>
      <c r="Z113" s="7" t="n">
        <v>1336.9</v>
      </c>
      <c r="AB113" s="7" t="n">
        <v>22511.5</v>
      </c>
    </row>
    <row r="114">
      <c r="A114" s="4" t="inlineStr">
        <is>
          <t>职工教育经费</t>
        </is>
      </c>
      <c r="D114" s="7" t="n">
        <v>145.1</v>
      </c>
      <c r="F114" s="7" t="n">
        <v>164.8</v>
      </c>
      <c r="H114" s="7" t="n">
        <v>163.8</v>
      </c>
      <c r="J114" s="7" t="n">
        <v>179.2</v>
      </c>
      <c r="L114" s="7" t="n">
        <v>253.4</v>
      </c>
      <c r="N114" s="7" t="n">
        <v>165.2</v>
      </c>
      <c r="P114" s="7" t="n">
        <v>262.7</v>
      </c>
      <c r="R114" s="7" t="n">
        <v>148.1</v>
      </c>
      <c r="T114" s="7" t="n">
        <v>266.4</v>
      </c>
      <c r="V114" s="7" t="n">
        <v>355.7</v>
      </c>
      <c r="X114" s="7" t="n">
        <v>155.7</v>
      </c>
      <c r="Z114" s="7" t="n">
        <v>138.6</v>
      </c>
      <c r="AB114" s="7" t="n">
        <v>2398.7</v>
      </c>
    </row>
    <row r="115">
      <c r="A115" s="4" t="inlineStr">
        <is>
          <t>福利费</t>
        </is>
      </c>
      <c r="D115" s="7" t="n">
        <v>4786.5</v>
      </c>
      <c r="F115" s="7" t="n">
        <v>5843.9</v>
      </c>
      <c r="H115" s="7" t="n">
        <v>4996.6</v>
      </c>
      <c r="J115" s="7" t="n">
        <v>7504.8</v>
      </c>
      <c r="L115" s="7" t="n">
        <v>12635.7</v>
      </c>
      <c r="N115" s="7" t="n">
        <v>4640.8</v>
      </c>
      <c r="P115" s="7" t="n">
        <v>9624.200000000001</v>
      </c>
      <c r="R115" s="7" t="n">
        <v>6206.5</v>
      </c>
      <c r="T115" s="7" t="n">
        <v>7076.4</v>
      </c>
      <c r="V115" s="7" t="n">
        <v>10683.2</v>
      </c>
      <c r="X115" s="7" t="n">
        <v>5863.1</v>
      </c>
      <c r="Z115" s="7" t="n">
        <v>6095.9</v>
      </c>
      <c r="AB115" s="7" t="n">
        <v>85957.60000000001</v>
      </c>
    </row>
    <row r="116">
      <c r="A116" s="4" t="inlineStr">
        <is>
          <t>职工房租</t>
        </is>
      </c>
      <c r="D116" s="7" t="n">
        <v>1391.1</v>
      </c>
      <c r="F116" s="7" t="n">
        <v>1727.5</v>
      </c>
      <c r="H116" s="7" t="n">
        <v>1332.9</v>
      </c>
      <c r="J116" s="7" t="n">
        <v>2420.8</v>
      </c>
      <c r="L116" s="7" t="n">
        <v>3493</v>
      </c>
      <c r="N116" s="7" t="n">
        <v>1685.4</v>
      </c>
      <c r="P116" s="7" t="n">
        <v>3356</v>
      </c>
      <c r="R116" s="7" t="n">
        <v>1848.1</v>
      </c>
      <c r="T116" s="7" t="n">
        <v>2178.7</v>
      </c>
      <c r="V116" s="7" t="n">
        <v>3382.9</v>
      </c>
      <c r="X116" s="7" t="n">
        <v>1452.3</v>
      </c>
      <c r="Z116" s="7" t="n">
        <v>1771.3</v>
      </c>
      <c r="AB116" s="7" t="n">
        <v>26040</v>
      </c>
    </row>
    <row r="117">
      <c r="A117" s="4" t="inlineStr">
        <is>
          <t>水电物业费</t>
        </is>
      </c>
      <c r="D117" s="7" t="n">
        <v>308.3</v>
      </c>
      <c r="F117" s="7" t="n">
        <v>453</v>
      </c>
      <c r="H117" s="7" t="n">
        <v>382.3</v>
      </c>
      <c r="J117" s="7" t="n">
        <v>658.5</v>
      </c>
      <c r="L117" s="7" t="n">
        <v>1133.7</v>
      </c>
      <c r="N117" s="7" t="n">
        <v>290.7</v>
      </c>
      <c r="P117" s="7" t="n">
        <v>552.4</v>
      </c>
      <c r="R117" s="7" t="n">
        <v>634.7</v>
      </c>
      <c r="T117" s="7" t="n">
        <v>470.5</v>
      </c>
      <c r="V117" s="7" t="n">
        <v>765</v>
      </c>
      <c r="X117" s="7" t="n">
        <v>487.9</v>
      </c>
      <c r="Z117" s="7" t="n">
        <v>474.7</v>
      </c>
      <c r="AB117" s="7" t="n">
        <v>6611.7</v>
      </c>
    </row>
    <row r="118">
      <c r="A118" s="4" t="inlineStr">
        <is>
          <t>员工餐</t>
        </is>
      </c>
      <c r="D118" s="7" t="n">
        <v>159.5</v>
      </c>
      <c r="F118" s="7" t="n">
        <v>191.2</v>
      </c>
      <c r="H118" s="7" t="n">
        <v>156.9</v>
      </c>
      <c r="J118" s="7" t="n">
        <v>248.3</v>
      </c>
      <c r="L118" s="7" t="n">
        <v>306.6</v>
      </c>
      <c r="N118" s="7" t="n">
        <v>147.8</v>
      </c>
      <c r="P118" s="7" t="n">
        <v>343.5</v>
      </c>
      <c r="R118" s="7" t="n">
        <v>187.9</v>
      </c>
      <c r="T118" s="7" t="n">
        <v>222.5</v>
      </c>
      <c r="V118" s="7" t="n">
        <v>304.9</v>
      </c>
      <c r="X118" s="7" t="n">
        <v>205.1</v>
      </c>
      <c r="Z118" s="7" t="n">
        <v>207</v>
      </c>
      <c r="AB118" s="7" t="n">
        <v>2681.2</v>
      </c>
    </row>
    <row r="119">
      <c r="A119" s="4" t="inlineStr">
        <is>
          <t>节日礼品</t>
        </is>
      </c>
      <c r="D119" s="7" t="n">
        <v>582.3</v>
      </c>
      <c r="F119" s="7" t="n">
        <v>1089.9</v>
      </c>
      <c r="H119" s="7" t="n">
        <v>768.1</v>
      </c>
      <c r="J119" s="7" t="n">
        <v>1261.8</v>
      </c>
      <c r="L119" s="7" t="n">
        <v>2278.4</v>
      </c>
      <c r="N119" s="7" t="n">
        <v>771.1</v>
      </c>
      <c r="P119" s="7" t="n">
        <v>1418.7</v>
      </c>
      <c r="R119" s="7" t="n">
        <v>1283</v>
      </c>
      <c r="T119" s="7" t="n">
        <v>1054.6</v>
      </c>
      <c r="V119" s="7" t="n">
        <v>1877.9</v>
      </c>
      <c r="X119" s="7" t="n">
        <v>1169.3</v>
      </c>
      <c r="Z119" s="7" t="n">
        <v>940.6</v>
      </c>
      <c r="AB119" s="7" t="n">
        <v>14495.7</v>
      </c>
    </row>
    <row r="120">
      <c r="A120" s="4" t="inlineStr">
        <is>
          <t>生日礼品</t>
        </is>
      </c>
      <c r="D120" s="7" t="n">
        <v>867.7</v>
      </c>
      <c r="F120" s="7" t="n">
        <v>1015</v>
      </c>
      <c r="H120" s="7" t="n">
        <v>819.7</v>
      </c>
      <c r="J120" s="7" t="n">
        <v>1211.4</v>
      </c>
      <c r="L120" s="7" t="n">
        <v>1834.6</v>
      </c>
      <c r="N120" s="7" t="n">
        <v>525.6</v>
      </c>
      <c r="P120" s="7" t="n">
        <v>1431.4</v>
      </c>
      <c r="R120" s="7" t="n">
        <v>726</v>
      </c>
      <c r="T120" s="7" t="n">
        <v>1336.4</v>
      </c>
      <c r="V120" s="7" t="n">
        <v>1104.1</v>
      </c>
      <c r="X120" s="7" t="n">
        <v>1097.9</v>
      </c>
      <c r="Z120" s="7" t="n">
        <v>966.4</v>
      </c>
      <c r="AB120" s="7" t="n">
        <v>12936.2</v>
      </c>
    </row>
    <row r="121">
      <c r="A121" s="4" t="inlineStr">
        <is>
          <t>体检</t>
        </is>
      </c>
      <c r="D121" s="7" t="n">
        <v>1158</v>
      </c>
      <c r="F121" s="7" t="n">
        <v>1015.4</v>
      </c>
      <c r="H121" s="7" t="n">
        <v>1264.4</v>
      </c>
      <c r="J121" s="7" t="n">
        <v>1312.7</v>
      </c>
      <c r="L121" s="7" t="n">
        <v>2982.9</v>
      </c>
      <c r="N121" s="7" t="n">
        <v>870.2</v>
      </c>
      <c r="P121" s="7" t="n">
        <v>1857</v>
      </c>
      <c r="R121" s="7" t="n">
        <v>1032.7</v>
      </c>
      <c r="T121" s="7" t="n">
        <v>1433.5</v>
      </c>
      <c r="V121" s="7" t="n">
        <v>2625.3</v>
      </c>
      <c r="X121" s="7" t="n">
        <v>1048.9</v>
      </c>
      <c r="Z121" s="7" t="n">
        <v>1342.1</v>
      </c>
      <c r="AB121" s="7" t="n">
        <v>17943.1</v>
      </c>
    </row>
    <row r="122">
      <c r="A122" s="4" t="inlineStr">
        <is>
          <t>其他福利支出</t>
        </is>
      </c>
      <c r="D122" s="7" t="n">
        <v>319.6</v>
      </c>
      <c r="F122" s="7" t="n">
        <v>351.9</v>
      </c>
      <c r="H122" s="7" t="n">
        <v>272.3</v>
      </c>
      <c r="J122" s="7" t="n">
        <v>391.3</v>
      </c>
      <c r="L122" s="7" t="n">
        <v>606.5</v>
      </c>
      <c r="N122" s="7" t="n">
        <v>350</v>
      </c>
      <c r="P122" s="7" t="n">
        <v>665.2</v>
      </c>
      <c r="R122" s="7" t="n">
        <v>494.1</v>
      </c>
      <c r="T122" s="7" t="n">
        <v>380.2</v>
      </c>
      <c r="V122" s="7" t="n">
        <v>623.1</v>
      </c>
      <c r="X122" s="7" t="n">
        <v>401.7</v>
      </c>
      <c r="Z122" s="7" t="n">
        <v>393.8</v>
      </c>
      <c r="AB122" s="7" t="n">
        <v>5249.7</v>
      </c>
    </row>
    <row r="123">
      <c r="A123" s="4" t="inlineStr">
        <is>
          <t>招聘费</t>
        </is>
      </c>
      <c r="D123" s="7" t="n">
        <v>357.7</v>
      </c>
      <c r="F123" s="7" t="n">
        <v>283</v>
      </c>
      <c r="H123" s="7" t="n">
        <v>375.5</v>
      </c>
      <c r="J123" s="7" t="n">
        <v>489.9</v>
      </c>
      <c r="L123" s="7" t="n">
        <v>643.7</v>
      </c>
      <c r="N123" s="7" t="n">
        <v>319.3</v>
      </c>
      <c r="P123" s="7" t="n">
        <v>486.3</v>
      </c>
      <c r="R123" s="7" t="n">
        <v>411.2</v>
      </c>
      <c r="T123" s="7" t="n">
        <v>394.2</v>
      </c>
      <c r="V123" s="7" t="n">
        <v>711.8</v>
      </c>
      <c r="X123" s="7" t="n">
        <v>347.4</v>
      </c>
      <c r="Z123" s="7" t="n">
        <v>421.5</v>
      </c>
      <c r="AB123" s="7" t="n">
        <v>5241.5</v>
      </c>
    </row>
    <row r="124">
      <c r="A124" s="4" t="inlineStr">
        <is>
          <t>办公费</t>
        </is>
      </c>
      <c r="D124" s="7" t="n">
        <v>7433.6</v>
      </c>
      <c r="F124" s="7" t="n">
        <v>8621</v>
      </c>
      <c r="H124" s="7" t="n">
        <v>8497.799999999999</v>
      </c>
      <c r="J124" s="7" t="n">
        <v>8121.3</v>
      </c>
      <c r="L124" s="7" t="n">
        <v>11178.7</v>
      </c>
      <c r="N124" s="7" t="n">
        <v>6746.1</v>
      </c>
      <c r="P124" s="7" t="n">
        <v>14997.2</v>
      </c>
      <c r="R124" s="7" t="n">
        <v>9961.5</v>
      </c>
      <c r="T124" s="7" t="n">
        <v>9561.9</v>
      </c>
      <c r="V124" s="7" t="n">
        <v>14686.1</v>
      </c>
      <c r="X124" s="7" t="n">
        <v>7848.3</v>
      </c>
      <c r="Z124" s="7" t="n">
        <v>6722.1</v>
      </c>
      <c r="AB124" s="7" t="n">
        <v>114375.6</v>
      </c>
    </row>
    <row r="125">
      <c r="A125" s="4" t="inlineStr">
        <is>
          <t>市内交通费</t>
        </is>
      </c>
      <c r="D125" s="7" t="n">
        <v>748.2</v>
      </c>
      <c r="F125" s="7" t="n">
        <v>857.7</v>
      </c>
      <c r="H125" s="7" t="n">
        <v>1072.5</v>
      </c>
      <c r="J125" s="7" t="n">
        <v>1694.3</v>
      </c>
      <c r="L125" s="7" t="n">
        <v>2089.6</v>
      </c>
      <c r="N125" s="7" t="n">
        <v>838.9</v>
      </c>
      <c r="P125" s="7" t="n">
        <v>2068.4</v>
      </c>
      <c r="R125" s="7" t="n">
        <v>1378.9</v>
      </c>
      <c r="T125" s="7" t="n">
        <v>1316.1</v>
      </c>
      <c r="V125" s="7" t="n">
        <v>2424</v>
      </c>
      <c r="X125" s="7" t="n">
        <v>889.1</v>
      </c>
      <c r="Z125" s="7" t="n">
        <v>1386.7</v>
      </c>
      <c r="AB125" s="7" t="n">
        <v>16764.4</v>
      </c>
    </row>
    <row r="126">
      <c r="A126" s="4" t="inlineStr">
        <is>
          <t>差旅费</t>
        </is>
      </c>
      <c r="D126" s="7" t="n">
        <v>14281.9</v>
      </c>
      <c r="F126" s="7" t="n">
        <v>18432.5</v>
      </c>
      <c r="H126" s="7" t="n">
        <v>11676.2</v>
      </c>
      <c r="J126" s="7" t="n">
        <v>18940</v>
      </c>
      <c r="L126" s="7" t="n">
        <v>21845.4</v>
      </c>
      <c r="N126" s="7" t="n">
        <v>16714.4</v>
      </c>
      <c r="P126" s="7" t="n">
        <v>23255.6</v>
      </c>
      <c r="R126" s="7" t="n">
        <v>12885.5</v>
      </c>
      <c r="T126" s="7" t="n">
        <v>18985.4</v>
      </c>
      <c r="V126" s="7" t="n">
        <v>28009.3</v>
      </c>
      <c r="X126" s="7" t="n">
        <v>13261.8</v>
      </c>
      <c r="Z126" s="7" t="n">
        <v>14273.5</v>
      </c>
      <c r="AB126" s="7" t="n">
        <v>212561.5</v>
      </c>
    </row>
    <row r="127">
      <c r="A127" s="4" t="inlineStr">
        <is>
          <t>交通费</t>
        </is>
      </c>
      <c r="D127" s="7" t="n">
        <v>1411.3</v>
      </c>
      <c r="F127" s="7" t="n">
        <v>1153.9</v>
      </c>
      <c r="H127" s="7" t="n">
        <v>1013.7</v>
      </c>
      <c r="J127" s="7" t="n">
        <v>1802</v>
      </c>
      <c r="L127" s="7" t="n">
        <v>2202.4</v>
      </c>
      <c r="N127" s="7" t="n">
        <v>828.5</v>
      </c>
      <c r="P127" s="7" t="n">
        <v>1856.1</v>
      </c>
      <c r="R127" s="7" t="n">
        <v>1154</v>
      </c>
      <c r="T127" s="7" t="n">
        <v>1793.7</v>
      </c>
      <c r="V127" s="7" t="n">
        <v>2787.7</v>
      </c>
      <c r="X127" s="7" t="n">
        <v>1325.7</v>
      </c>
      <c r="Z127" s="7" t="n">
        <v>1344.2</v>
      </c>
      <c r="AB127" s="7" t="n">
        <v>18673.2</v>
      </c>
    </row>
    <row r="128">
      <c r="A128" s="4" t="inlineStr">
        <is>
          <t>住宿费</t>
        </is>
      </c>
      <c r="D128" s="7" t="n">
        <v>706.7</v>
      </c>
      <c r="F128" s="7" t="n">
        <v>1122.4</v>
      </c>
      <c r="H128" s="7" t="n">
        <v>867.4</v>
      </c>
      <c r="J128" s="7" t="n">
        <v>1214.6</v>
      </c>
      <c r="L128" s="7" t="n">
        <v>2232</v>
      </c>
      <c r="N128" s="7" t="n">
        <v>1028</v>
      </c>
      <c r="P128" s="7" t="n">
        <v>1716.8</v>
      </c>
      <c r="R128" s="7" t="n">
        <v>1241.3</v>
      </c>
      <c r="T128" s="7" t="n">
        <v>1477</v>
      </c>
      <c r="V128" s="7" t="n">
        <v>1867.8</v>
      </c>
      <c r="X128" s="7" t="n">
        <v>817.5</v>
      </c>
      <c r="Z128" s="7" t="n">
        <v>819.9</v>
      </c>
      <c r="AB128" s="7" t="n">
        <v>15111.4</v>
      </c>
    </row>
    <row r="129">
      <c r="A129" s="4" t="inlineStr">
        <is>
          <t>餐补</t>
        </is>
      </c>
      <c r="D129" s="7" t="n">
        <v>1491.6</v>
      </c>
      <c r="F129" s="7" t="n">
        <v>1312.4</v>
      </c>
      <c r="H129" s="7" t="n">
        <v>1198.2</v>
      </c>
      <c r="J129" s="7" t="n">
        <v>2279.3</v>
      </c>
      <c r="L129" s="7" t="n">
        <v>2238.8</v>
      </c>
      <c r="N129" s="7" t="n">
        <v>1538.3</v>
      </c>
      <c r="P129" s="7" t="n">
        <v>3060.5</v>
      </c>
      <c r="R129" s="7" t="n">
        <v>1483.9</v>
      </c>
      <c r="T129" s="7" t="n">
        <v>1856.9</v>
      </c>
      <c r="V129" s="7" t="n">
        <v>1945.9</v>
      </c>
      <c r="X129" s="7" t="n">
        <v>1945</v>
      </c>
      <c r="Z129" s="7" t="n">
        <v>1648.9</v>
      </c>
      <c r="AB129" s="7" t="n">
        <v>21999.7</v>
      </c>
    </row>
    <row r="130">
      <c r="A130" s="4" t="inlineStr">
        <is>
          <t>交通补助</t>
        </is>
      </c>
      <c r="D130" s="7" t="n">
        <v>656.6</v>
      </c>
      <c r="F130" s="7" t="n">
        <v>736.6</v>
      </c>
      <c r="H130" s="7" t="n">
        <v>875.1</v>
      </c>
      <c r="J130" s="7" t="n">
        <v>1071</v>
      </c>
      <c r="L130" s="7" t="n">
        <v>1830.4</v>
      </c>
      <c r="N130" s="7" t="n">
        <v>806.3</v>
      </c>
      <c r="P130" s="7" t="n">
        <v>1452</v>
      </c>
      <c r="R130" s="7" t="n">
        <v>1018.4</v>
      </c>
      <c r="T130" s="7" t="n">
        <v>1321.3</v>
      </c>
      <c r="V130" s="7" t="n">
        <v>1382.1</v>
      </c>
      <c r="X130" s="7" t="n">
        <v>888.9</v>
      </c>
      <c r="Z130" s="7" t="n">
        <v>581.3</v>
      </c>
      <c r="AB130" s="7" t="n">
        <v>12620</v>
      </c>
    </row>
    <row r="131">
      <c r="A131" s="4" t="inlineStr">
        <is>
          <t>通讯补助</t>
        </is>
      </c>
      <c r="D131" s="7" t="n">
        <v>811.1</v>
      </c>
      <c r="F131" s="7" t="n">
        <v>972.7</v>
      </c>
      <c r="H131" s="7" t="n">
        <v>1146.1</v>
      </c>
      <c r="J131" s="7" t="n">
        <v>986.8</v>
      </c>
      <c r="L131" s="7" t="n">
        <v>2042.5</v>
      </c>
      <c r="N131" s="7" t="n">
        <v>900.5</v>
      </c>
      <c r="P131" s="7" t="n">
        <v>1196.5</v>
      </c>
      <c r="R131" s="7" t="n">
        <v>1092.9</v>
      </c>
      <c r="T131" s="7" t="n">
        <v>1523.3</v>
      </c>
      <c r="V131" s="7" t="n">
        <v>1357.6</v>
      </c>
      <c r="X131" s="7" t="n">
        <v>1151.1</v>
      </c>
      <c r="Z131" s="7" t="n">
        <v>716</v>
      </c>
      <c r="AB131" s="7" t="n">
        <v>13897.1</v>
      </c>
    </row>
    <row r="132">
      <c r="A132" s="4" t="inlineStr">
        <is>
          <t>招待费</t>
        </is>
      </c>
      <c r="D132" s="7" t="n">
        <v>9061.299999999999</v>
      </c>
      <c r="F132" s="7" t="n">
        <v>10387.8</v>
      </c>
      <c r="H132" s="7" t="n">
        <v>11266.6</v>
      </c>
      <c r="J132" s="7" t="n">
        <v>13772.9</v>
      </c>
      <c r="L132" s="7" t="n">
        <v>21926.5</v>
      </c>
      <c r="N132" s="7" t="n">
        <v>8526.4</v>
      </c>
      <c r="P132" s="7" t="n">
        <v>18024.9</v>
      </c>
      <c r="R132" s="7" t="n">
        <v>15007.5</v>
      </c>
      <c r="T132" s="7" t="n">
        <v>15891.7</v>
      </c>
      <c r="V132" s="7" t="n">
        <v>14068.1</v>
      </c>
      <c r="X132" s="7" t="n">
        <v>9935.700000000001</v>
      </c>
      <c r="Z132" s="7" t="n">
        <v>9767.200000000001</v>
      </c>
      <c r="AB132" s="7" t="n">
        <v>157636.6</v>
      </c>
    </row>
    <row r="133">
      <c r="A133" s="4" t="inlineStr">
        <is>
          <t>通讯费</t>
        </is>
      </c>
      <c r="D133" s="7" t="n">
        <v>795.8</v>
      </c>
      <c r="F133" s="7" t="n">
        <v>1149</v>
      </c>
      <c r="H133" s="7" t="n">
        <v>1204</v>
      </c>
      <c r="J133" s="7" t="n">
        <v>1699</v>
      </c>
      <c r="L133" s="7" t="n">
        <v>1690.7</v>
      </c>
      <c r="N133" s="7" t="n">
        <v>970.8</v>
      </c>
      <c r="P133" s="7" t="n">
        <v>1969.2</v>
      </c>
      <c r="R133" s="7" t="n">
        <v>1165.5</v>
      </c>
      <c r="T133" s="7" t="n">
        <v>958</v>
      </c>
      <c r="V133" s="7" t="n">
        <v>2000</v>
      </c>
      <c r="X133" s="7" t="n">
        <v>1275.4</v>
      </c>
      <c r="Z133" s="7" t="n">
        <v>966.2</v>
      </c>
      <c r="AB133" s="7" t="n">
        <v>15843.6</v>
      </c>
    </row>
    <row r="134">
      <c r="A134" s="4" t="inlineStr">
        <is>
          <t>网络费</t>
        </is>
      </c>
      <c r="D134" s="7" t="n">
        <v>202.2</v>
      </c>
      <c r="F134" s="7" t="n">
        <v>209</v>
      </c>
      <c r="H134" s="7" t="n">
        <v>177.4</v>
      </c>
      <c r="J134" s="7" t="n">
        <v>270.6</v>
      </c>
      <c r="L134" s="7" t="n">
        <v>434.5</v>
      </c>
      <c r="N134" s="7" t="n">
        <v>142.9</v>
      </c>
      <c r="P134" s="7" t="n">
        <v>334.2</v>
      </c>
      <c r="R134" s="7" t="n">
        <v>268.8</v>
      </c>
      <c r="T134" s="7" t="n">
        <v>194.9</v>
      </c>
      <c r="V134" s="7" t="n">
        <v>269.2</v>
      </c>
      <c r="X134" s="7" t="n">
        <v>218.7</v>
      </c>
      <c r="Z134" s="7" t="n">
        <v>186.8</v>
      </c>
      <c r="AB134" s="7" t="n">
        <v>2909.2</v>
      </c>
    </row>
    <row r="135">
      <c r="A135" s="4" t="inlineStr">
        <is>
          <t>修理费</t>
        </is>
      </c>
      <c r="D135" s="7" t="n">
        <v>118.2</v>
      </c>
      <c r="F135" s="7" t="n">
        <v>247.6</v>
      </c>
      <c r="H135" s="7" t="n">
        <v>181.7</v>
      </c>
      <c r="J135" s="7" t="n">
        <v>301.3</v>
      </c>
      <c r="L135" s="7" t="n">
        <v>355</v>
      </c>
      <c r="N135" s="7" t="n">
        <v>158.6</v>
      </c>
      <c r="P135" s="7" t="n">
        <v>351.6</v>
      </c>
      <c r="R135" s="7" t="n">
        <v>181.9</v>
      </c>
      <c r="T135" s="7" t="n">
        <v>218.4</v>
      </c>
      <c r="V135" s="7" t="n">
        <v>251.8</v>
      </c>
      <c r="X135" s="7" t="n">
        <v>183</v>
      </c>
      <c r="Z135" s="7" t="n">
        <v>210.3</v>
      </c>
      <c r="AB135" s="7" t="n">
        <v>2759.4</v>
      </c>
    </row>
    <row r="136">
      <c r="A136" s="4" t="inlineStr">
        <is>
          <t>车辆费</t>
        </is>
      </c>
      <c r="D136" s="7" t="n">
        <v>1154</v>
      </c>
      <c r="F136" s="7" t="n">
        <v>1164.9</v>
      </c>
      <c r="H136" s="7" t="n">
        <v>1204.3</v>
      </c>
      <c r="J136" s="7" t="n">
        <v>1459.8</v>
      </c>
      <c r="L136" s="7" t="n">
        <v>3616.9</v>
      </c>
      <c r="N136" s="7" t="n">
        <v>1334.2</v>
      </c>
      <c r="P136" s="7" t="n">
        <v>2091.5</v>
      </c>
      <c r="R136" s="7" t="n">
        <v>1967</v>
      </c>
      <c r="T136" s="7" t="n">
        <v>1798.3</v>
      </c>
      <c r="V136" s="7" t="n">
        <v>1741.5</v>
      </c>
      <c r="X136" s="7" t="n">
        <v>1568.1</v>
      </c>
      <c r="Z136" s="7" t="n">
        <v>1773.7</v>
      </c>
      <c r="AB136" s="7" t="n">
        <v>20874.2</v>
      </c>
    </row>
    <row r="137">
      <c r="A137" s="4" t="inlineStr">
        <is>
          <t>租赁费</t>
        </is>
      </c>
      <c r="D137" s="7" t="n">
        <v>7363.6</v>
      </c>
      <c r="F137" s="7" t="n">
        <v>11514.5</v>
      </c>
      <c r="H137" s="7" t="n">
        <v>8894.799999999999</v>
      </c>
      <c r="J137" s="7" t="n">
        <v>19359.3</v>
      </c>
      <c r="L137" s="7" t="n">
        <v>24718.9</v>
      </c>
      <c r="N137" s="7" t="n">
        <v>7532</v>
      </c>
      <c r="P137" s="7" t="n">
        <v>18683.8</v>
      </c>
      <c r="R137" s="7" t="n">
        <v>10621.3</v>
      </c>
      <c r="T137" s="7" t="n">
        <v>19116.7</v>
      </c>
      <c r="V137" s="7" t="n">
        <v>22015.6</v>
      </c>
      <c r="X137" s="7" t="n">
        <v>15544.1</v>
      </c>
      <c r="Z137" s="7" t="n">
        <v>15197.1</v>
      </c>
      <c r="AB137" s="7" t="n">
        <v>180561.7</v>
      </c>
    </row>
    <row r="138">
      <c r="A138" s="4" t="inlineStr">
        <is>
          <t>能源费</t>
        </is>
      </c>
      <c r="D138" s="7" t="n">
        <v>1568</v>
      </c>
      <c r="F138" s="7" t="n">
        <v>1835.8</v>
      </c>
      <c r="H138" s="7" t="n">
        <v>1702.5</v>
      </c>
      <c r="J138" s="7" t="n">
        <v>2338.1</v>
      </c>
      <c r="L138" s="7" t="n">
        <v>3991.6</v>
      </c>
      <c r="N138" s="7" t="n">
        <v>1814.8</v>
      </c>
      <c r="P138" s="7" t="n">
        <v>3663.4</v>
      </c>
      <c r="R138" s="7" t="n">
        <v>2466.8</v>
      </c>
      <c r="T138" s="7" t="n">
        <v>2266.7</v>
      </c>
      <c r="V138" s="7" t="n">
        <v>3246.5</v>
      </c>
      <c r="X138" s="7" t="n">
        <v>1738.7</v>
      </c>
      <c r="Z138" s="7" t="n">
        <v>1826.4</v>
      </c>
      <c r="AB138" s="7" t="n">
        <v>28459.3</v>
      </c>
    </row>
    <row r="139">
      <c r="A139" s="4" t="inlineStr">
        <is>
          <t>水费</t>
        </is>
      </c>
      <c r="D139" s="7" t="n">
        <v>184</v>
      </c>
      <c r="F139" s="7" t="n">
        <v>345.6</v>
      </c>
      <c r="H139" s="7" t="n">
        <v>185.6</v>
      </c>
      <c r="J139" s="7" t="n">
        <v>255</v>
      </c>
      <c r="L139" s="7" t="n">
        <v>578.3</v>
      </c>
      <c r="N139" s="7" t="n">
        <v>318</v>
      </c>
      <c r="P139" s="7" t="n">
        <v>590.8</v>
      </c>
      <c r="R139" s="7" t="n">
        <v>408.6</v>
      </c>
      <c r="T139" s="7" t="n">
        <v>317.5</v>
      </c>
      <c r="V139" s="7" t="n">
        <v>431.9</v>
      </c>
      <c r="X139" s="7" t="n">
        <v>270.7</v>
      </c>
      <c r="Z139" s="7" t="n">
        <v>224.5</v>
      </c>
      <c r="AB139" s="7" t="n">
        <v>4110.5</v>
      </c>
    </row>
    <row r="140">
      <c r="A140" s="4" t="inlineStr">
        <is>
          <t>电费</t>
        </is>
      </c>
      <c r="D140" s="7" t="n">
        <v>844.3</v>
      </c>
      <c r="F140" s="7" t="n">
        <v>846.3</v>
      </c>
      <c r="H140" s="7" t="n">
        <v>801.9</v>
      </c>
      <c r="J140" s="7" t="n">
        <v>1337.3</v>
      </c>
      <c r="L140" s="7" t="n">
        <v>2068.3</v>
      </c>
      <c r="N140" s="7" t="n">
        <v>920.2</v>
      </c>
      <c r="P140" s="7" t="n">
        <v>1715.8</v>
      </c>
      <c r="R140" s="7" t="n">
        <v>1036.9</v>
      </c>
      <c r="T140" s="7" t="n">
        <v>976</v>
      </c>
      <c r="V140" s="7" t="n">
        <v>1397.1</v>
      </c>
      <c r="X140" s="7" t="n">
        <v>669.4</v>
      </c>
      <c r="Z140" s="7" t="n">
        <v>838</v>
      </c>
      <c r="AB140" s="7" t="n">
        <v>13451.5</v>
      </c>
    </row>
    <row r="141">
      <c r="A141" s="4" t="inlineStr">
        <is>
          <t>燃气费</t>
        </is>
      </c>
      <c r="D141" s="7" t="n">
        <v>408.5</v>
      </c>
      <c r="F141" s="7" t="n">
        <v>466.6</v>
      </c>
      <c r="H141" s="7" t="n">
        <v>586.6</v>
      </c>
      <c r="J141" s="7" t="n">
        <v>546.4</v>
      </c>
      <c r="L141" s="7" t="n">
        <v>1016.1</v>
      </c>
      <c r="N141" s="7" t="n">
        <v>435.1</v>
      </c>
      <c r="P141" s="7" t="n">
        <v>1113.3</v>
      </c>
      <c r="R141" s="7" t="n">
        <v>823.9</v>
      </c>
      <c r="T141" s="7" t="n">
        <v>809.7</v>
      </c>
      <c r="V141" s="7" t="n">
        <v>1172.4</v>
      </c>
      <c r="X141" s="7" t="n">
        <v>638.1</v>
      </c>
      <c r="Z141" s="7" t="n">
        <v>637.3</v>
      </c>
      <c r="AB141" s="7" t="n">
        <v>8654</v>
      </c>
    </row>
    <row r="142">
      <c r="A142" s="4" t="inlineStr">
        <is>
          <t>蒸汽费</t>
        </is>
      </c>
      <c r="D142" s="7" t="n">
        <v>131.2</v>
      </c>
      <c r="F142" s="7" t="n">
        <v>177.3</v>
      </c>
      <c r="H142" s="7" t="n">
        <v>128.4</v>
      </c>
      <c r="J142" s="7" t="n">
        <v>199.4</v>
      </c>
      <c r="L142" s="7" t="n">
        <v>328.9</v>
      </c>
      <c r="N142" s="7" t="n">
        <v>141.5</v>
      </c>
      <c r="P142" s="7" t="n">
        <v>243.5</v>
      </c>
      <c r="R142" s="7" t="n">
        <v>197.4</v>
      </c>
      <c r="T142" s="7" t="n">
        <v>163.5</v>
      </c>
      <c r="V142" s="7" t="n">
        <v>245.1</v>
      </c>
      <c r="X142" s="7" t="n">
        <v>160.5</v>
      </c>
      <c r="Z142" s="7" t="n">
        <v>126.6</v>
      </c>
      <c r="AB142" s="7" t="n">
        <v>2243.3</v>
      </c>
    </row>
    <row r="143">
      <c r="A143" s="4" t="inlineStr">
        <is>
          <t>物业费</t>
        </is>
      </c>
      <c r="D143" s="7" t="n">
        <v>1185</v>
      </c>
      <c r="F143" s="7" t="n">
        <v>1483.3</v>
      </c>
      <c r="H143" s="7" t="n">
        <v>1030.4</v>
      </c>
      <c r="J143" s="7" t="n">
        <v>1339.8</v>
      </c>
      <c r="L143" s="7" t="n">
        <v>2294.3</v>
      </c>
      <c r="N143" s="7" t="n">
        <v>1375.9</v>
      </c>
      <c r="P143" s="7" t="n">
        <v>2649.1</v>
      </c>
      <c r="R143" s="7" t="n">
        <v>1621.7</v>
      </c>
      <c r="T143" s="7" t="n">
        <v>2466.9</v>
      </c>
      <c r="V143" s="7" t="n">
        <v>3053.1</v>
      </c>
      <c r="X143" s="7" t="n">
        <v>1840.8</v>
      </c>
      <c r="Z143" s="7" t="n">
        <v>1654.2</v>
      </c>
      <c r="AB143" s="7" t="n">
        <v>21994.5</v>
      </c>
    </row>
    <row r="144">
      <c r="A144" s="4" t="inlineStr">
        <is>
          <t>劳动保护费</t>
        </is>
      </c>
      <c r="D144" s="7" t="n">
        <v>502.2</v>
      </c>
      <c r="F144" s="7" t="n">
        <v>1093.4</v>
      </c>
      <c r="H144" s="7" t="n">
        <v>679.3</v>
      </c>
      <c r="J144" s="7" t="n">
        <v>1102.9</v>
      </c>
      <c r="L144" s="7" t="n">
        <v>2084.5</v>
      </c>
      <c r="N144" s="7" t="n">
        <v>760.5</v>
      </c>
      <c r="P144" s="7" t="n">
        <v>1506.1</v>
      </c>
      <c r="R144" s="7" t="n">
        <v>1172.7</v>
      </c>
      <c r="T144" s="7" t="n">
        <v>1085.9</v>
      </c>
      <c r="V144" s="7" t="n">
        <v>1068.7</v>
      </c>
      <c r="X144" s="7" t="n">
        <v>780.1</v>
      </c>
      <c r="Z144" s="7" t="n">
        <v>671.2</v>
      </c>
      <c r="AB144" s="7" t="n">
        <v>12507.5</v>
      </c>
    </row>
    <row r="145">
      <c r="A145" s="4" t="inlineStr">
        <is>
          <t>顾问费</t>
        </is>
      </c>
      <c r="D145" s="7" t="n">
        <v>926</v>
      </c>
      <c r="F145" s="7" t="n">
        <v>1883.7</v>
      </c>
      <c r="H145" s="7" t="n">
        <v>1718.8</v>
      </c>
      <c r="J145" s="7" t="n">
        <v>2189.4</v>
      </c>
      <c r="L145" s="7" t="n">
        <v>3116.3</v>
      </c>
      <c r="N145" s="7" t="n">
        <v>1093.6</v>
      </c>
      <c r="P145" s="7" t="n">
        <v>2341.4</v>
      </c>
      <c r="R145" s="7" t="n">
        <v>2098.2</v>
      </c>
      <c r="T145" s="7" t="n">
        <v>2423.8</v>
      </c>
      <c r="V145" s="7" t="n">
        <v>2036.1</v>
      </c>
      <c r="X145" s="7" t="n">
        <v>2053.5</v>
      </c>
      <c r="Z145" s="7" t="n">
        <v>1864.3</v>
      </c>
      <c r="AB145" s="7" t="n">
        <v>23745.1</v>
      </c>
    </row>
    <row r="146">
      <c r="A146" s="4" t="inlineStr">
        <is>
          <t>快递费</t>
        </is>
      </c>
      <c r="D146" s="7" t="n">
        <v>695.7</v>
      </c>
      <c r="F146" s="7" t="n">
        <v>957.4</v>
      </c>
      <c r="H146" s="7" t="n">
        <v>854.8</v>
      </c>
      <c r="J146" s="7" t="n">
        <v>1534.4</v>
      </c>
      <c r="L146" s="7" t="n">
        <v>1610.1</v>
      </c>
      <c r="N146" s="7" t="n">
        <v>1254.9</v>
      </c>
      <c r="P146" s="7" t="n">
        <v>1544.5</v>
      </c>
      <c r="R146" s="7" t="n">
        <v>1542.2</v>
      </c>
      <c r="T146" s="7" t="n">
        <v>1802.6</v>
      </c>
      <c r="V146" s="7" t="n">
        <v>1392.8</v>
      </c>
      <c r="X146" s="7" t="n">
        <v>1008.6</v>
      </c>
      <c r="Z146" s="7" t="n">
        <v>1324.8</v>
      </c>
      <c r="AB146" s="7" t="n">
        <v>15522.8</v>
      </c>
    </row>
    <row r="147">
      <c r="A147" s="4" t="inlineStr">
        <is>
          <t>诉讼费</t>
        </is>
      </c>
      <c r="D147" s="7" t="n">
        <v>1408.8</v>
      </c>
      <c r="F147" s="7" t="n">
        <v>1755.9</v>
      </c>
      <c r="H147" s="7" t="n">
        <v>1447.7</v>
      </c>
      <c r="J147" s="7" t="n">
        <v>1524.3</v>
      </c>
      <c r="L147" s="7" t="n">
        <v>3185.5</v>
      </c>
      <c r="N147" s="7" t="n">
        <v>849.3</v>
      </c>
      <c r="P147" s="7" t="n">
        <v>1717.8</v>
      </c>
      <c r="R147" s="7" t="n">
        <v>1369.8</v>
      </c>
      <c r="T147" s="7" t="n">
        <v>1846.1</v>
      </c>
      <c r="V147" s="7" t="n">
        <v>2842.2</v>
      </c>
      <c r="X147" s="7" t="n">
        <v>1329.5</v>
      </c>
      <c r="Z147" s="7" t="n">
        <v>1356.2</v>
      </c>
      <c r="AB147" s="7" t="n">
        <v>20633.1</v>
      </c>
    </row>
    <row r="148">
      <c r="A148" s="4" t="inlineStr">
        <is>
          <t>会员费</t>
        </is>
      </c>
      <c r="D148" s="7" t="n">
        <v>1220</v>
      </c>
      <c r="F148" s="7" t="n">
        <v>1161.8</v>
      </c>
      <c r="H148" s="7" t="n">
        <v>1543.5</v>
      </c>
      <c r="J148" s="7" t="n">
        <v>1959.3</v>
      </c>
      <c r="L148" s="7" t="n">
        <v>2376.6</v>
      </c>
      <c r="N148" s="7" t="n">
        <v>1352.6</v>
      </c>
      <c r="P148" s="7" t="n">
        <v>2158.9</v>
      </c>
      <c r="R148" s="7" t="n">
        <v>1592</v>
      </c>
      <c r="T148" s="7" t="n">
        <v>1510.1</v>
      </c>
      <c r="V148" s="7" t="n">
        <v>2980.7</v>
      </c>
      <c r="X148" s="7" t="n">
        <v>1723.8</v>
      </c>
      <c r="Z148" s="7" t="n">
        <v>1342.3</v>
      </c>
      <c r="AB148" s="7" t="n">
        <v>20921.6</v>
      </c>
    </row>
    <row r="149">
      <c r="A149" s="4" t="inlineStr">
        <is>
          <t>广告宣传费</t>
        </is>
      </c>
      <c r="D149" s="7" t="n">
        <v>6368</v>
      </c>
      <c r="F149" s="7" t="n">
        <v>8045.6</v>
      </c>
      <c r="H149" s="7" t="n">
        <v>6244</v>
      </c>
      <c r="J149" s="7" t="n">
        <v>10156.5</v>
      </c>
      <c r="L149" s="7" t="n">
        <v>14131.7</v>
      </c>
      <c r="N149" s="7" t="n">
        <v>7059</v>
      </c>
      <c r="P149" s="7" t="n">
        <v>10041.3</v>
      </c>
      <c r="R149" s="7" t="n">
        <v>9627.4</v>
      </c>
      <c r="T149" s="7" t="n">
        <v>7097.1</v>
      </c>
      <c r="V149" s="7" t="n">
        <v>15796.6</v>
      </c>
      <c r="X149" s="7" t="n">
        <v>7619.5</v>
      </c>
      <c r="Z149" s="7" t="n">
        <v>5800</v>
      </c>
      <c r="AB149" s="7" t="n">
        <v>107986.7</v>
      </c>
    </row>
    <row r="150">
      <c r="A150" s="4" t="inlineStr">
        <is>
          <t>会务费</t>
        </is>
      </c>
      <c r="D150" s="7" t="n">
        <v>544.2</v>
      </c>
      <c r="F150" s="7" t="n">
        <v>456.9</v>
      </c>
      <c r="H150" s="7" t="n">
        <v>528.5</v>
      </c>
      <c r="J150" s="7" t="n">
        <v>818.3</v>
      </c>
      <c r="L150" s="7" t="n">
        <v>979.4</v>
      </c>
      <c r="N150" s="7" t="n">
        <v>470.2</v>
      </c>
      <c r="P150" s="7" t="n">
        <v>750.5</v>
      </c>
      <c r="R150" s="7" t="n">
        <v>663.1</v>
      </c>
      <c r="T150" s="7" t="n">
        <v>505.2</v>
      </c>
      <c r="V150" s="7" t="n">
        <v>702.7</v>
      </c>
      <c r="X150" s="7" t="n">
        <v>655.4</v>
      </c>
      <c r="Z150" s="7" t="n">
        <v>630.4</v>
      </c>
      <c r="AB150" s="7" t="n">
        <v>7704.8</v>
      </c>
    </row>
    <row r="151">
      <c r="A151" s="4" t="inlineStr">
        <is>
          <t>装修费</t>
        </is>
      </c>
      <c r="D151" s="7" t="n">
        <v>1288.6</v>
      </c>
      <c r="F151" s="7" t="n">
        <v>1551.2</v>
      </c>
      <c r="H151" s="7" t="n">
        <v>1074.1</v>
      </c>
      <c r="J151" s="7" t="n">
        <v>2448.7</v>
      </c>
      <c r="L151" s="7" t="n">
        <v>2971.1</v>
      </c>
      <c r="N151" s="7" t="n">
        <v>1022.5</v>
      </c>
      <c r="P151" s="7" t="n">
        <v>2094</v>
      </c>
      <c r="R151" s="7" t="n">
        <v>2216.2</v>
      </c>
      <c r="T151" s="7" t="n">
        <v>1553.6</v>
      </c>
      <c r="V151" s="7" t="n">
        <v>3059.4</v>
      </c>
      <c r="X151" s="7" t="n">
        <v>1886.4</v>
      </c>
      <c r="Z151" s="7" t="n">
        <v>1256.8</v>
      </c>
      <c r="AB151" s="7" t="n">
        <v>22422.6</v>
      </c>
    </row>
    <row r="152">
      <c r="A152" s="4" t="inlineStr">
        <is>
          <t>推广费</t>
        </is>
      </c>
      <c r="D152" s="7" t="n">
        <v>777.9</v>
      </c>
      <c r="F152" s="7" t="n">
        <v>790.2</v>
      </c>
      <c r="H152" s="7" t="n">
        <v>948.1</v>
      </c>
      <c r="J152" s="7" t="n">
        <v>885.7</v>
      </c>
      <c r="L152" s="7" t="n">
        <v>2470.6</v>
      </c>
      <c r="N152" s="7" t="n">
        <v>1003.3</v>
      </c>
      <c r="P152" s="7" t="n">
        <v>1317.5</v>
      </c>
      <c r="R152" s="7" t="n">
        <v>988.3</v>
      </c>
      <c r="T152" s="7" t="n">
        <v>1105.4</v>
      </c>
      <c r="V152" s="7" t="n">
        <v>1782.2</v>
      </c>
      <c r="X152" s="7" t="n">
        <v>1309.6</v>
      </c>
      <c r="Z152" s="7" t="n">
        <v>871.4</v>
      </c>
      <c r="AB152" s="7" t="n">
        <v>14250.2</v>
      </c>
    </row>
    <row r="153">
      <c r="A153" s="4" t="inlineStr">
        <is>
          <t>展会费</t>
        </is>
      </c>
      <c r="D153" s="7" t="n">
        <v>1563.8</v>
      </c>
      <c r="F153" s="7" t="n">
        <v>1413.8</v>
      </c>
      <c r="H153" s="7" t="n">
        <v>1135.4</v>
      </c>
      <c r="J153" s="7" t="n">
        <v>2051.2</v>
      </c>
      <c r="L153" s="7" t="n">
        <v>2830.7</v>
      </c>
      <c r="N153" s="7" t="n">
        <v>1057.8</v>
      </c>
      <c r="P153" s="7" t="n">
        <v>2189.3</v>
      </c>
      <c r="R153" s="7" t="n">
        <v>1363.8</v>
      </c>
      <c r="T153" s="7" t="n">
        <v>1553.4</v>
      </c>
      <c r="V153" s="7" t="n">
        <v>2158.8</v>
      </c>
      <c r="X153" s="7" t="n">
        <v>1744.9</v>
      </c>
      <c r="Z153" s="7" t="n">
        <v>1433</v>
      </c>
      <c r="AB153" s="7" t="n">
        <v>20495.9</v>
      </c>
    </row>
    <row r="154">
      <c r="A154" s="4" t="inlineStr">
        <is>
          <t>设计费</t>
        </is>
      </c>
      <c r="D154" s="7" t="n">
        <v>848.5</v>
      </c>
      <c r="F154" s="7" t="n">
        <v>1207</v>
      </c>
      <c r="H154" s="7" t="n">
        <v>1290.5</v>
      </c>
      <c r="J154" s="7" t="n">
        <v>1789.9</v>
      </c>
      <c r="L154" s="7" t="n">
        <v>2182.2</v>
      </c>
      <c r="N154" s="7" t="n">
        <v>1565.8</v>
      </c>
      <c r="P154" s="7" t="n">
        <v>1683.6</v>
      </c>
      <c r="R154" s="7" t="n">
        <v>1881.5</v>
      </c>
      <c r="T154" s="7" t="n">
        <v>1662.4</v>
      </c>
      <c r="V154" s="7" t="n">
        <v>2473.5</v>
      </c>
      <c r="X154" s="7" t="n">
        <v>1565.2</v>
      </c>
      <c r="Z154" s="7" t="n">
        <v>1093.7</v>
      </c>
      <c r="AB154" s="7" t="n">
        <v>19243.8</v>
      </c>
    </row>
    <row r="155">
      <c r="A155" s="4" t="inlineStr">
        <is>
          <t>折旧费</t>
        </is>
      </c>
      <c r="D155" s="7" t="n">
        <v>10089.4</v>
      </c>
      <c r="F155" s="7" t="n">
        <v>9195</v>
      </c>
      <c r="H155" s="7" t="n">
        <v>6982.4</v>
      </c>
      <c r="J155" s="7" t="n">
        <v>9236.5</v>
      </c>
      <c r="L155" s="7" t="n">
        <v>16329.7</v>
      </c>
      <c r="N155" s="7" t="n">
        <v>7962.6</v>
      </c>
      <c r="P155" s="7" t="n">
        <v>16661.6</v>
      </c>
      <c r="R155" s="7" t="n">
        <v>14089.4</v>
      </c>
      <c r="T155" s="7" t="n">
        <v>14286.1</v>
      </c>
      <c r="V155" s="7" t="n">
        <v>13095.2</v>
      </c>
      <c r="X155" s="7" t="n">
        <v>8538.799999999999</v>
      </c>
      <c r="Z155" s="7" t="n">
        <v>10282.1</v>
      </c>
      <c r="AB155" s="7" t="n">
        <v>136748.8</v>
      </c>
    </row>
    <row r="156">
      <c r="A156" s="4" t="inlineStr">
        <is>
          <t>认证费</t>
        </is>
      </c>
      <c r="D156" s="7" t="n">
        <v>550.9</v>
      </c>
      <c r="F156" s="7" t="n">
        <v>1003.6</v>
      </c>
      <c r="H156" s="7" t="n">
        <v>1023</v>
      </c>
      <c r="J156" s="7" t="n">
        <v>1413.3</v>
      </c>
      <c r="L156" s="7" t="n">
        <v>1951.9</v>
      </c>
      <c r="N156" s="7" t="n">
        <v>688.8</v>
      </c>
      <c r="P156" s="7" t="n">
        <v>1587</v>
      </c>
      <c r="R156" s="7" t="n">
        <v>1062.5</v>
      </c>
      <c r="T156" s="7" t="n">
        <v>1306</v>
      </c>
      <c r="V156" s="7" t="n">
        <v>1739.8</v>
      </c>
      <c r="X156" s="7" t="n">
        <v>1009.1</v>
      </c>
      <c r="Z156" s="7" t="n">
        <v>800.2</v>
      </c>
      <c r="AB156" s="7" t="n">
        <v>14136.1</v>
      </c>
    </row>
    <row r="157">
      <c r="A157" s="4" t="inlineStr">
        <is>
          <t>样品费</t>
        </is>
      </c>
      <c r="D157" s="7" t="n">
        <v>5177.3</v>
      </c>
      <c r="F157" s="7" t="n">
        <v>4850.6</v>
      </c>
      <c r="H157" s="7" t="n">
        <v>5558.9</v>
      </c>
      <c r="J157" s="7" t="n">
        <v>4797.6</v>
      </c>
      <c r="L157" s="7" t="n">
        <v>9930.299999999999</v>
      </c>
      <c r="N157" s="7" t="n">
        <v>3927.1</v>
      </c>
      <c r="P157" s="7" t="n">
        <v>6315.7</v>
      </c>
      <c r="R157" s="7" t="n">
        <v>6416.4</v>
      </c>
      <c r="T157" s="7" t="n">
        <v>4949.5</v>
      </c>
      <c r="V157" s="7" t="n">
        <v>10862.7</v>
      </c>
      <c r="X157" s="7" t="n">
        <v>6646.6</v>
      </c>
      <c r="Z157" s="7" t="n">
        <v>5867.5</v>
      </c>
      <c r="AB157" s="7" t="n">
        <v>75300.2</v>
      </c>
    </row>
    <row r="158">
      <c r="A158" s="4" t="inlineStr">
        <is>
          <t>劳务费</t>
        </is>
      </c>
      <c r="D158" s="7" t="n">
        <v>344.4</v>
      </c>
      <c r="F158" s="7" t="n">
        <v>711.9</v>
      </c>
      <c r="H158" s="7" t="n">
        <v>421.5</v>
      </c>
      <c r="J158" s="7" t="n">
        <v>713.6</v>
      </c>
      <c r="L158" s="7" t="n">
        <v>1321</v>
      </c>
      <c r="N158" s="7" t="n">
        <v>530.2</v>
      </c>
      <c r="P158" s="7" t="n">
        <v>810.2</v>
      </c>
      <c r="R158" s="7" t="n">
        <v>673.5</v>
      </c>
      <c r="T158" s="7" t="n">
        <v>893.9</v>
      </c>
      <c r="V158" s="7" t="n">
        <v>933.5</v>
      </c>
      <c r="X158" s="7" t="n">
        <v>780.9</v>
      </c>
      <c r="Z158" s="7" t="n">
        <v>548.8</v>
      </c>
      <c r="AB158" s="7" t="n">
        <v>8683.4</v>
      </c>
    </row>
    <row r="159">
      <c r="A159" s="4" t="inlineStr">
        <is>
          <t>销售佣金</t>
        </is>
      </c>
      <c r="D159" s="7" t="n">
        <v>625.3</v>
      </c>
      <c r="F159" s="7" t="n">
        <v>659.8</v>
      </c>
      <c r="H159" s="7" t="n">
        <v>567.6</v>
      </c>
      <c r="J159" s="7" t="n">
        <v>761.8</v>
      </c>
      <c r="L159" s="7" t="n">
        <v>1192</v>
      </c>
      <c r="N159" s="7" t="n">
        <v>551.5</v>
      </c>
      <c r="P159" s="7" t="n">
        <v>1246.9</v>
      </c>
      <c r="R159" s="7" t="n">
        <v>668.7</v>
      </c>
      <c r="T159" s="7" t="n">
        <v>699.4</v>
      </c>
      <c r="V159" s="7" t="n">
        <v>946.5</v>
      </c>
      <c r="X159" s="7" t="n">
        <v>572.2</v>
      </c>
      <c r="Z159" s="7" t="n">
        <v>800.3</v>
      </c>
      <c r="AB159" s="7" t="n">
        <v>9292</v>
      </c>
    </row>
    <row r="160">
      <c r="A160" s="4" t="inlineStr">
        <is>
          <t>检测费</t>
        </is>
      </c>
      <c r="D160" s="7" t="n">
        <v>927.5</v>
      </c>
      <c r="F160" s="7" t="n">
        <v>1336.5</v>
      </c>
      <c r="H160" s="7" t="n">
        <v>987.8</v>
      </c>
      <c r="J160" s="7" t="n">
        <v>1517.1</v>
      </c>
      <c r="L160" s="7" t="n">
        <v>1985</v>
      </c>
      <c r="N160" s="7" t="n">
        <v>1006.8</v>
      </c>
      <c r="P160" s="7" t="n">
        <v>1437.3</v>
      </c>
      <c r="R160" s="7" t="n">
        <v>1005.8</v>
      </c>
      <c r="T160" s="7" t="n">
        <v>1017.5</v>
      </c>
      <c r="V160" s="7" t="n">
        <v>2001.5</v>
      </c>
      <c r="X160" s="7" t="n">
        <v>973.2</v>
      </c>
      <c r="Z160" s="7" t="n">
        <v>1238</v>
      </c>
      <c r="AB160" s="7" t="n">
        <v>15434</v>
      </c>
    </row>
    <row r="161">
      <c r="A161" s="4" t="inlineStr">
        <is>
          <t>质量赔偿</t>
        </is>
      </c>
      <c r="D161" s="7" t="n">
        <v>1092.5</v>
      </c>
      <c r="F161" s="7" t="n">
        <v>924.9</v>
      </c>
      <c r="H161" s="7" t="n">
        <v>936.5</v>
      </c>
      <c r="J161" s="7" t="n">
        <v>1586.3</v>
      </c>
      <c r="L161" s="7" t="n">
        <v>1959.6</v>
      </c>
      <c r="N161" s="7" t="n">
        <v>1013.1</v>
      </c>
      <c r="P161" s="7" t="n">
        <v>2060.4</v>
      </c>
      <c r="R161" s="7" t="n">
        <v>1216.9</v>
      </c>
      <c r="T161" s="7" t="n">
        <v>1508.8</v>
      </c>
      <c r="V161" s="7" t="n">
        <v>2405.3</v>
      </c>
      <c r="X161" s="7" t="n">
        <v>1210.1</v>
      </c>
      <c r="Z161" s="7" t="n">
        <v>1333.8</v>
      </c>
      <c r="AB161" s="7" t="n">
        <v>17248.2</v>
      </c>
    </row>
    <row r="162">
      <c r="A162" s="4" t="inlineStr">
        <is>
          <t>保险费</t>
        </is>
      </c>
      <c r="D162" s="7" t="n">
        <v>411.8</v>
      </c>
      <c r="F162" s="7" t="n">
        <v>463.7</v>
      </c>
      <c r="H162" s="7" t="n">
        <v>315.8</v>
      </c>
      <c r="J162" s="7" t="n">
        <v>511</v>
      </c>
      <c r="L162" s="7" t="n">
        <v>1018.1</v>
      </c>
      <c r="N162" s="7" t="n">
        <v>314.5</v>
      </c>
      <c r="P162" s="7" t="n">
        <v>681.2</v>
      </c>
      <c r="R162" s="7" t="n">
        <v>521.3</v>
      </c>
      <c r="T162" s="7" t="n">
        <v>673</v>
      </c>
      <c r="V162" s="7" t="n">
        <v>591.7</v>
      </c>
      <c r="X162" s="7" t="n">
        <v>577</v>
      </c>
      <c r="Z162" s="7" t="n">
        <v>380.6</v>
      </c>
      <c r="AB162" s="7" t="n">
        <v>6459.7</v>
      </c>
    </row>
    <row r="163">
      <c r="A163" s="4" t="inlineStr">
        <is>
          <t>清洁费</t>
        </is>
      </c>
      <c r="D163" s="7" t="n">
        <v>1307.7</v>
      </c>
      <c r="F163" s="7" t="n">
        <v>1740.3</v>
      </c>
      <c r="H163" s="7" t="n">
        <v>1665</v>
      </c>
      <c r="J163" s="7" t="n">
        <v>2049.3</v>
      </c>
      <c r="L163" s="7" t="n">
        <v>3484.6</v>
      </c>
      <c r="N163" s="7" t="n">
        <v>985.4</v>
      </c>
      <c r="P163" s="7" t="n">
        <v>1732</v>
      </c>
      <c r="R163" s="7" t="n">
        <v>2207.9</v>
      </c>
      <c r="T163" s="7" t="n">
        <v>1376.8</v>
      </c>
      <c r="V163" s="7" t="n">
        <v>3144.3</v>
      </c>
      <c r="X163" s="7" t="n">
        <v>1389.4</v>
      </c>
      <c r="Z163" s="7" t="n">
        <v>1812.3</v>
      </c>
      <c r="AB163" s="7" t="n">
        <v>22895</v>
      </c>
    </row>
    <row r="164">
      <c r="A164" s="4" t="inlineStr">
        <is>
          <t>低值易耗品</t>
        </is>
      </c>
      <c r="D164" s="7" t="n">
        <v>210.7</v>
      </c>
      <c r="F164" s="7" t="n">
        <v>274.7</v>
      </c>
      <c r="H164" s="7" t="n">
        <v>356</v>
      </c>
      <c r="J164" s="7" t="n">
        <v>370.1</v>
      </c>
      <c r="L164" s="7" t="n">
        <v>805.6</v>
      </c>
      <c r="N164" s="7" t="n">
        <v>299.6</v>
      </c>
      <c r="P164" s="7" t="n">
        <v>639.6</v>
      </c>
      <c r="R164" s="7" t="n">
        <v>388.7</v>
      </c>
      <c r="T164" s="7" t="n">
        <v>459.4</v>
      </c>
      <c r="V164" s="7" t="n">
        <v>493.4</v>
      </c>
      <c r="X164" s="7" t="n">
        <v>259</v>
      </c>
      <c r="Z164" s="7" t="n">
        <v>329.5</v>
      </c>
      <c r="AB164" s="7" t="n">
        <v>4886.3</v>
      </c>
    </row>
    <row r="165">
      <c r="A165" s="4" t="inlineStr">
        <is>
          <t>物料消耗</t>
        </is>
      </c>
      <c r="D165" s="7" t="n">
        <v>935.8</v>
      </c>
      <c r="F165" s="7" t="n">
        <v>1397.5</v>
      </c>
      <c r="H165" s="7" t="n">
        <v>1337.1</v>
      </c>
      <c r="J165" s="7" t="n">
        <v>1916.4</v>
      </c>
      <c r="L165" s="7" t="n">
        <v>2281.7</v>
      </c>
      <c r="N165" s="7" t="n">
        <v>1305.9</v>
      </c>
      <c r="P165" s="7" t="n">
        <v>2328</v>
      </c>
      <c r="R165" s="7" t="n">
        <v>2258.8</v>
      </c>
      <c r="T165" s="7" t="n">
        <v>2023.9</v>
      </c>
      <c r="V165" s="7" t="n">
        <v>3112.5</v>
      </c>
      <c r="X165" s="7" t="n">
        <v>1942.2</v>
      </c>
      <c r="Z165" s="7" t="n">
        <v>1548.5</v>
      </c>
      <c r="AB165" s="7" t="n">
        <v>22388.3</v>
      </c>
    </row>
    <row r="166">
      <c r="A166" s="4" t="inlineStr">
        <is>
          <t>盘盈盘亏</t>
        </is>
      </c>
      <c r="D166" s="7" t="n">
        <v>186.2</v>
      </c>
      <c r="F166" s="7" t="n">
        <v>276.5</v>
      </c>
      <c r="H166" s="7" t="n">
        <v>166.9</v>
      </c>
      <c r="J166" s="7" t="n">
        <v>270.5</v>
      </c>
      <c r="L166" s="7" t="n">
        <v>433.4</v>
      </c>
      <c r="N166" s="7" t="n">
        <v>165.4</v>
      </c>
      <c r="P166" s="7" t="n">
        <v>274.8</v>
      </c>
      <c r="R166" s="7" t="n">
        <v>317.2</v>
      </c>
      <c r="T166" s="7" t="n">
        <v>352.2</v>
      </c>
      <c r="V166" s="7" t="n">
        <v>513.4</v>
      </c>
      <c r="X166" s="7" t="n">
        <v>258.5</v>
      </c>
      <c r="Z166" s="7" t="n">
        <v>185.7</v>
      </c>
      <c r="AB166" s="7" t="n">
        <v>3400.7</v>
      </c>
    </row>
    <row r="167">
      <c r="A167" s="4" t="inlineStr">
        <is>
          <t>平台服务费</t>
        </is>
      </c>
      <c r="D167" s="7" t="n">
        <v>1505.1</v>
      </c>
      <c r="F167" s="7" t="n">
        <v>1852.8</v>
      </c>
      <c r="H167" s="7" t="n">
        <v>1353.9</v>
      </c>
      <c r="J167" s="7" t="n">
        <v>2186.7</v>
      </c>
      <c r="L167" s="7" t="n">
        <v>3682.1</v>
      </c>
      <c r="N167" s="7" t="n">
        <v>1547.9</v>
      </c>
      <c r="P167" s="7" t="n">
        <v>1744.6</v>
      </c>
      <c r="R167" s="7" t="n">
        <v>1357.2</v>
      </c>
      <c r="T167" s="7" t="n">
        <v>1586.8</v>
      </c>
      <c r="V167" s="7" t="n">
        <v>2327.9</v>
      </c>
      <c r="X167" s="7" t="n">
        <v>1183.9</v>
      </c>
      <c r="Z167" s="7" t="n">
        <v>1813</v>
      </c>
      <c r="AB167" s="7" t="n">
        <v>22141.9</v>
      </c>
    </row>
    <row r="168">
      <c r="A168" s="4" t="inlineStr">
        <is>
          <t>无形资产摊销</t>
        </is>
      </c>
      <c r="D168" s="7" t="n">
        <v>1143.8</v>
      </c>
      <c r="F168" s="7" t="n">
        <v>1650.9</v>
      </c>
      <c r="H168" s="7" t="n">
        <v>1027.9</v>
      </c>
      <c r="J168" s="7" t="n">
        <v>1770.5</v>
      </c>
      <c r="L168" s="7" t="n">
        <v>3198.7</v>
      </c>
      <c r="N168" s="7" t="n">
        <v>833.6</v>
      </c>
      <c r="P168" s="7" t="n">
        <v>2210.6</v>
      </c>
      <c r="R168" s="7" t="n">
        <v>1813.7</v>
      </c>
      <c r="T168" s="7" t="n">
        <v>1131.9</v>
      </c>
      <c r="V168" s="7" t="n">
        <v>2716.3</v>
      </c>
      <c r="X168" s="7" t="n">
        <v>1261</v>
      </c>
      <c r="Z168" s="7" t="n">
        <v>992.1</v>
      </c>
      <c r="AB168" s="7" t="n">
        <v>19751</v>
      </c>
    </row>
    <row r="169">
      <c r="A169" s="4" t="inlineStr">
        <is>
          <t>研发材料</t>
        </is>
      </c>
      <c r="D169" s="7" t="n">
        <v>911.2</v>
      </c>
      <c r="F169" s="7" t="n">
        <v>1207.9</v>
      </c>
      <c r="H169" s="7" t="n">
        <v>1254.7</v>
      </c>
      <c r="J169" s="7" t="n">
        <v>2112.9</v>
      </c>
      <c r="L169" s="7" t="n">
        <v>2695.3</v>
      </c>
      <c r="N169" s="7" t="n">
        <v>1487.8</v>
      </c>
      <c r="P169" s="7" t="n">
        <v>1638.5</v>
      </c>
      <c r="R169" s="7" t="n">
        <v>1395.4</v>
      </c>
      <c r="T169" s="7" t="n">
        <v>1517.7</v>
      </c>
      <c r="V169" s="7" t="n">
        <v>2295.2</v>
      </c>
      <c r="X169" s="7" t="n">
        <v>1370.1</v>
      </c>
      <c r="Z169" s="7" t="n">
        <v>965</v>
      </c>
      <c r="AB169" s="7" t="n">
        <v>18851.7</v>
      </c>
    </row>
    <row r="170">
      <c r="A170" s="4" t="inlineStr">
        <is>
          <t>项目名称</t>
        </is>
      </c>
      <c r="D170" s="7" t="n">
        <v>1138.3</v>
      </c>
      <c r="F170" s="7" t="n">
        <v>1195</v>
      </c>
      <c r="H170" s="7" t="n">
        <v>817.1</v>
      </c>
      <c r="J170" s="7" t="n">
        <v>1535.6</v>
      </c>
      <c r="L170" s="7" t="n">
        <v>1860</v>
      </c>
      <c r="N170" s="7" t="n">
        <v>1356.6</v>
      </c>
      <c r="P170" s="7" t="n">
        <v>2121.3</v>
      </c>
      <c r="R170" s="7" t="n">
        <v>1663.1</v>
      </c>
      <c r="T170" s="7" t="n">
        <v>1076.3</v>
      </c>
      <c r="V170" s="7" t="n">
        <v>1936.8</v>
      </c>
      <c r="X170" s="7" t="n">
        <v>1563</v>
      </c>
      <c r="Z170" s="7" t="n">
        <v>1089.3</v>
      </c>
      <c r="AB170" s="7" t="n">
        <v>17352.4</v>
      </c>
    </row>
    <row r="171">
      <c r="A171" s="4" t="inlineStr">
        <is>
          <t>研发费</t>
        </is>
      </c>
      <c r="D171" s="7" t="n">
        <v>52.1</v>
      </c>
      <c r="F171" s="7" t="n">
        <v>65.8</v>
      </c>
      <c r="H171" s="7" t="n">
        <v>47.2</v>
      </c>
      <c r="J171" s="7" t="n">
        <v>84.5</v>
      </c>
      <c r="L171" s="7" t="n">
        <v>139</v>
      </c>
      <c r="N171" s="7" t="n">
        <v>59.2</v>
      </c>
      <c r="P171" s="7" t="n">
        <v>89.40000000000001</v>
      </c>
      <c r="R171" s="7" t="n">
        <v>63.3</v>
      </c>
      <c r="T171" s="7" t="n">
        <v>91.90000000000001</v>
      </c>
      <c r="V171" s="7" t="n">
        <v>113.2</v>
      </c>
      <c r="X171" s="7" t="n">
        <v>62.2</v>
      </c>
      <c r="Z171" s="7" t="n">
        <v>55.9</v>
      </c>
      <c r="AB171" s="7" t="n">
        <v>923.7</v>
      </c>
    </row>
    <row r="172">
      <c r="A172" s="4" t="inlineStr">
        <is>
          <t>残保金</t>
        </is>
      </c>
      <c r="D172" s="7" t="n">
        <v>437</v>
      </c>
      <c r="F172" s="7" t="n">
        <v>545.4</v>
      </c>
      <c r="H172" s="7" t="n">
        <v>291.6</v>
      </c>
      <c r="J172" s="7" t="n">
        <v>582.5</v>
      </c>
      <c r="L172" s="7" t="n">
        <v>757.2</v>
      </c>
      <c r="N172" s="7" t="n">
        <v>376.8</v>
      </c>
      <c r="P172" s="7" t="n">
        <v>539.2</v>
      </c>
      <c r="R172" s="7" t="n">
        <v>615</v>
      </c>
      <c r="T172" s="7" t="n">
        <v>636.7</v>
      </c>
      <c r="V172" s="7" t="n">
        <v>566.9</v>
      </c>
      <c r="X172" s="7" t="n">
        <v>333</v>
      </c>
      <c r="Z172" s="7" t="n">
        <v>385.7</v>
      </c>
      <c r="AB172" s="7" t="n">
        <v>6067</v>
      </c>
    </row>
    <row r="173">
      <c r="A173" s="4" t="inlineStr">
        <is>
          <t>环保费</t>
        </is>
      </c>
      <c r="D173" s="7" t="n">
        <v>238.8</v>
      </c>
      <c r="F173" s="7" t="n">
        <v>293.8</v>
      </c>
      <c r="H173" s="7" t="n">
        <v>273.2</v>
      </c>
      <c r="J173" s="7" t="n">
        <v>215.9</v>
      </c>
      <c r="L173" s="7" t="n">
        <v>347.4</v>
      </c>
      <c r="N173" s="7" t="n">
        <v>256.3</v>
      </c>
      <c r="P173" s="7" t="n">
        <v>495.4</v>
      </c>
      <c r="R173" s="7" t="n">
        <v>320.5</v>
      </c>
      <c r="T173" s="7" t="n">
        <v>246.5</v>
      </c>
      <c r="V173" s="7" t="n">
        <v>460.8</v>
      </c>
      <c r="X173" s="7" t="n">
        <v>315.8</v>
      </c>
      <c r="Z173" s="7" t="n">
        <v>235.4</v>
      </c>
      <c r="AB173" s="7" t="n">
        <v>3699.8</v>
      </c>
    </row>
    <row r="174">
      <c r="A174" s="4" t="inlineStr">
        <is>
          <t>报废损失</t>
        </is>
      </c>
      <c r="D174" s="7" t="n">
        <v>1343.7</v>
      </c>
      <c r="F174" s="7" t="n">
        <v>1090</v>
      </c>
      <c r="H174" s="7" t="n">
        <v>983.3</v>
      </c>
      <c r="J174" s="7" t="n">
        <v>1947.4</v>
      </c>
      <c r="L174" s="7" t="n">
        <v>2281.1</v>
      </c>
      <c r="N174" s="7" t="n">
        <v>1408.8</v>
      </c>
      <c r="P174" s="7" t="n">
        <v>1721.3</v>
      </c>
      <c r="R174" s="7" t="n">
        <v>1281.9</v>
      </c>
      <c r="T174" s="7" t="n">
        <v>2238.6</v>
      </c>
      <c r="V174" s="7" t="n">
        <v>1706.2</v>
      </c>
      <c r="X174" s="7" t="n">
        <v>1720.9</v>
      </c>
      <c r="Z174" s="7" t="n">
        <v>1148</v>
      </c>
      <c r="AB174" s="7" t="n">
        <v>18871.2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106911.5</v>
      </c>
      <c r="D175" s="7" t="n">
        <v>38274.4</v>
      </c>
      <c r="E175" s="7" t="n">
        <v>111478.9</v>
      </c>
      <c r="F175" s="7" t="n">
        <v>49908.1</v>
      </c>
      <c r="G175" s="7" t="n">
        <v>104881.8</v>
      </c>
      <c r="H175" s="7" t="n">
        <v>95566.5</v>
      </c>
      <c r="I175" s="7" t="n">
        <v>111143.7</v>
      </c>
      <c r="J175" s="7" t="n">
        <v>146606.7</v>
      </c>
      <c r="K175" s="7" t="n">
        <v>111951.4</v>
      </c>
      <c r="L175" s="7" t="n">
        <v>157005.1</v>
      </c>
      <c r="M175" s="7" t="n">
        <v>109963.3</v>
      </c>
      <c r="N175" s="7" t="n">
        <v>93714</v>
      </c>
      <c r="O175" s="7" t="n">
        <v>124667.3</v>
      </c>
      <c r="P175" s="7" t="n">
        <v>253300.7</v>
      </c>
      <c r="Q175" s="7" t="n">
        <v>140576</v>
      </c>
      <c r="R175" s="7" t="n">
        <v>172927.9</v>
      </c>
      <c r="S175" s="7" t="n">
        <v>130501.8</v>
      </c>
      <c r="T175" s="7" t="n">
        <v>78979.39999999999</v>
      </c>
      <c r="U175" s="7" t="n">
        <v>130609</v>
      </c>
      <c r="V175" s="7" t="n">
        <v>120147.9</v>
      </c>
      <c r="W175" s="7" t="n">
        <v>107447.6</v>
      </c>
      <c r="X175" s="7" t="n">
        <v>143721.1</v>
      </c>
      <c r="Y175" s="7" t="n">
        <v>111557.3</v>
      </c>
      <c r="Z175" s="7" t="n">
        <v>127241.1</v>
      </c>
      <c r="AA175" s="8" t="n">
        <v>1401689.6</v>
      </c>
      <c r="AB175" s="8" t="n">
        <v>1477392.9</v>
      </c>
    </row>
    <row r="176">
      <c r="A176" s="4" t="inlineStr">
        <is>
          <t>职工薪酬</t>
        </is>
      </c>
      <c r="D176" s="7" t="n">
        <v>20826.9</v>
      </c>
      <c r="F176" s="7" t="n">
        <v>28690.9</v>
      </c>
      <c r="H176" s="7" t="n">
        <v>45444.2</v>
      </c>
      <c r="J176" s="7" t="n">
        <v>77575.8</v>
      </c>
      <c r="L176" s="7" t="n">
        <v>70261.2</v>
      </c>
      <c r="N176" s="7" t="n">
        <v>41475.6</v>
      </c>
      <c r="P176" s="7" t="n">
        <v>125068.6</v>
      </c>
      <c r="R176" s="7" t="n">
        <v>94755.60000000001</v>
      </c>
      <c r="T176" s="7" t="n">
        <v>42730.5</v>
      </c>
      <c r="V176" s="7" t="n">
        <v>62105.1</v>
      </c>
      <c r="X176" s="7" t="n">
        <v>58862.4</v>
      </c>
      <c r="Z176" s="7" t="n">
        <v>73079.5</v>
      </c>
      <c r="AB176" s="7" t="n">
        <v>740876.3</v>
      </c>
    </row>
    <row r="177">
      <c r="A177" s="4" t="inlineStr">
        <is>
          <t>工资</t>
        </is>
      </c>
      <c r="D177" s="7" t="n">
        <v>12549.1</v>
      </c>
      <c r="F177" s="7" t="n">
        <v>19177.9</v>
      </c>
      <c r="H177" s="7" t="n">
        <v>24398.2</v>
      </c>
      <c r="J177" s="7" t="n">
        <v>50692.7</v>
      </c>
      <c r="L177" s="7" t="n">
        <v>34798.2</v>
      </c>
      <c r="N177" s="7" t="n">
        <v>20739</v>
      </c>
      <c r="P177" s="7" t="n">
        <v>68887.7</v>
      </c>
      <c r="R177" s="7" t="n">
        <v>59128.3</v>
      </c>
      <c r="T177" s="7" t="n">
        <v>25397.6</v>
      </c>
      <c r="V177" s="7" t="n">
        <v>42915.2</v>
      </c>
      <c r="X177" s="7" t="n">
        <v>32249.8</v>
      </c>
      <c r="Z177" s="7" t="n">
        <v>44228.8</v>
      </c>
      <c r="AB177" s="7" t="n">
        <v>435162.5</v>
      </c>
    </row>
    <row r="178">
      <c r="A178" s="4" t="inlineStr">
        <is>
          <t>奖金及提成</t>
        </is>
      </c>
      <c r="D178" s="7" t="n">
        <v>4323.7</v>
      </c>
      <c r="F178" s="7" t="n">
        <v>3529.5</v>
      </c>
      <c r="H178" s="7" t="n">
        <v>10957.3</v>
      </c>
      <c r="J178" s="7" t="n">
        <v>11038.6</v>
      </c>
      <c r="L178" s="7" t="n">
        <v>16530.8</v>
      </c>
      <c r="N178" s="7" t="n">
        <v>11712.4</v>
      </c>
      <c r="P178" s="7" t="n">
        <v>23224.8</v>
      </c>
      <c r="R178" s="7" t="n">
        <v>19171.6</v>
      </c>
      <c r="T178" s="7" t="n">
        <v>8742.4</v>
      </c>
      <c r="V178" s="7" t="n">
        <v>8885.299999999999</v>
      </c>
      <c r="X178" s="7" t="n">
        <v>12323.5</v>
      </c>
      <c r="Z178" s="7" t="n">
        <v>15317.7</v>
      </c>
      <c r="AB178" s="7" t="n">
        <v>145757.6</v>
      </c>
    </row>
    <row r="179">
      <c r="A179" s="4" t="inlineStr">
        <is>
          <t>社保</t>
        </is>
      </c>
      <c r="D179" s="7" t="n">
        <v>2971.5</v>
      </c>
      <c r="F179" s="7" t="n">
        <v>4572.8</v>
      </c>
      <c r="H179" s="7" t="n">
        <v>7555.6</v>
      </c>
      <c r="J179" s="7" t="n">
        <v>11726.4</v>
      </c>
      <c r="L179" s="7" t="n">
        <v>14545.5</v>
      </c>
      <c r="N179" s="7" t="n">
        <v>6658.1</v>
      </c>
      <c r="P179" s="7" t="n">
        <v>26332.3</v>
      </c>
      <c r="R179" s="7" t="n">
        <v>11263.4</v>
      </c>
      <c r="T179" s="7" t="n">
        <v>6649</v>
      </c>
      <c r="V179" s="7" t="n">
        <v>6974.5</v>
      </c>
      <c r="X179" s="7" t="n">
        <v>10482.9</v>
      </c>
      <c r="Z179" s="7" t="n">
        <v>9965.200000000001</v>
      </c>
      <c r="AB179" s="7" t="n">
        <v>119697.2</v>
      </c>
    </row>
    <row r="180">
      <c r="A180" s="4" t="inlineStr">
        <is>
          <t>养老</t>
        </is>
      </c>
      <c r="D180" s="7" t="n">
        <v>145.3</v>
      </c>
      <c r="F180" s="7" t="n">
        <v>182.5</v>
      </c>
      <c r="H180" s="7" t="n">
        <v>371.3</v>
      </c>
      <c r="J180" s="7" t="n">
        <v>434.1</v>
      </c>
      <c r="L180" s="7" t="n">
        <v>589.1</v>
      </c>
      <c r="N180" s="7" t="n">
        <v>275.5</v>
      </c>
      <c r="P180" s="7" t="n">
        <v>602.1</v>
      </c>
      <c r="R180" s="7" t="n">
        <v>602.2</v>
      </c>
      <c r="T180" s="7" t="n">
        <v>227.5</v>
      </c>
      <c r="V180" s="7" t="n">
        <v>259.9</v>
      </c>
      <c r="X180" s="7" t="n">
        <v>340.9</v>
      </c>
      <c r="Z180" s="7" t="n">
        <v>342.8</v>
      </c>
      <c r="AB180" s="7" t="n">
        <v>4373.2</v>
      </c>
    </row>
    <row r="181">
      <c r="A181" s="4" t="inlineStr">
        <is>
          <t>医疗</t>
        </is>
      </c>
      <c r="D181" s="7" t="n">
        <v>268.1</v>
      </c>
      <c r="F181" s="7" t="n">
        <v>304.4</v>
      </c>
      <c r="H181" s="7" t="n">
        <v>439.4</v>
      </c>
      <c r="J181" s="7" t="n">
        <v>1117.9</v>
      </c>
      <c r="L181" s="7" t="n">
        <v>1117.9</v>
      </c>
      <c r="N181" s="7" t="n">
        <v>488.8</v>
      </c>
      <c r="P181" s="7" t="n">
        <v>1735.7</v>
      </c>
      <c r="R181" s="7" t="n">
        <v>909.5</v>
      </c>
      <c r="T181" s="7" t="n">
        <v>388</v>
      </c>
      <c r="V181" s="7" t="n">
        <v>728.9</v>
      </c>
      <c r="X181" s="7" t="n">
        <v>736.8</v>
      </c>
      <c r="Z181" s="7" t="n">
        <v>745.2</v>
      </c>
      <c r="AB181" s="7" t="n">
        <v>8980.6</v>
      </c>
    </row>
    <row r="182">
      <c r="A182" s="4" t="inlineStr">
        <is>
          <t>工伤</t>
        </is>
      </c>
      <c r="D182" s="7" t="n">
        <v>5.1</v>
      </c>
      <c r="F182" s="7" t="n">
        <v>6.3</v>
      </c>
      <c r="H182" s="7" t="n">
        <v>17.3</v>
      </c>
      <c r="J182" s="7" t="n">
        <v>21.5</v>
      </c>
      <c r="L182" s="7" t="n">
        <v>18.7</v>
      </c>
      <c r="N182" s="7" t="n">
        <v>13.2</v>
      </c>
      <c r="P182" s="7" t="n">
        <v>40.8</v>
      </c>
      <c r="R182" s="7" t="n">
        <v>23.6</v>
      </c>
      <c r="T182" s="7" t="n">
        <v>14.2</v>
      </c>
      <c r="V182" s="7" t="n">
        <v>13.6</v>
      </c>
      <c r="X182" s="7" t="n">
        <v>26.2</v>
      </c>
      <c r="Z182" s="7" t="n">
        <v>13.3</v>
      </c>
      <c r="AB182" s="7" t="n">
        <v>213.8</v>
      </c>
    </row>
    <row r="183">
      <c r="A183" s="4" t="inlineStr">
        <is>
          <t>失业</t>
        </is>
      </c>
      <c r="D183" s="7" t="n">
        <v>178.6</v>
      </c>
      <c r="F183" s="7" t="n">
        <v>281.3</v>
      </c>
      <c r="H183" s="7" t="n">
        <v>594.1</v>
      </c>
      <c r="J183" s="7" t="n">
        <v>807.4</v>
      </c>
      <c r="L183" s="7" t="n">
        <v>832.5</v>
      </c>
      <c r="N183" s="7" t="n">
        <v>748</v>
      </c>
      <c r="P183" s="7" t="n">
        <v>1887.9</v>
      </c>
      <c r="R183" s="7" t="n">
        <v>1035.5</v>
      </c>
      <c r="T183" s="7" t="n">
        <v>352.4</v>
      </c>
      <c r="V183" s="7" t="n">
        <v>670.2</v>
      </c>
      <c r="X183" s="7" t="n">
        <v>720.5</v>
      </c>
      <c r="Z183" s="7" t="n">
        <v>865</v>
      </c>
      <c r="AB183" s="7" t="n">
        <v>8973.4</v>
      </c>
    </row>
    <row r="184">
      <c r="A184" s="4" t="inlineStr">
        <is>
          <t>生育</t>
        </is>
      </c>
      <c r="D184" s="7" t="n">
        <v>164.4</v>
      </c>
      <c r="F184" s="7" t="n">
        <v>173.1</v>
      </c>
      <c r="H184" s="7" t="n">
        <v>333.4</v>
      </c>
      <c r="J184" s="7" t="n">
        <v>571.6</v>
      </c>
      <c r="L184" s="7" t="n">
        <v>799.2</v>
      </c>
      <c r="N184" s="7" t="n">
        <v>497.8</v>
      </c>
      <c r="P184" s="7" t="n">
        <v>1384.4</v>
      </c>
      <c r="R184" s="7" t="n">
        <v>715</v>
      </c>
      <c r="T184" s="7" t="n">
        <v>454.3</v>
      </c>
      <c r="V184" s="7" t="n">
        <v>397.7</v>
      </c>
      <c r="X184" s="7" t="n">
        <v>624.2</v>
      </c>
      <c r="Z184" s="7" t="n">
        <v>542.3</v>
      </c>
      <c r="AB184" s="7" t="n">
        <v>6657.4</v>
      </c>
    </row>
    <row r="185">
      <c r="A185" s="4" t="inlineStr">
        <is>
          <t>公积金</t>
        </is>
      </c>
      <c r="D185" s="7" t="n">
        <v>47.1</v>
      </c>
      <c r="F185" s="7" t="n">
        <v>57.6</v>
      </c>
      <c r="H185" s="7" t="n">
        <v>160.5</v>
      </c>
      <c r="J185" s="7" t="n">
        <v>178.7</v>
      </c>
      <c r="L185" s="7" t="n">
        <v>269.4</v>
      </c>
      <c r="N185" s="7" t="n">
        <v>165.2</v>
      </c>
      <c r="P185" s="7" t="n">
        <v>407.8</v>
      </c>
      <c r="R185" s="7" t="n">
        <v>245.4</v>
      </c>
      <c r="T185" s="7" t="n">
        <v>113.5</v>
      </c>
      <c r="V185" s="7" t="n">
        <v>148.3</v>
      </c>
      <c r="X185" s="7" t="n">
        <v>161.2</v>
      </c>
      <c r="Z185" s="7" t="n">
        <v>135.7</v>
      </c>
      <c r="AB185" s="7" t="n">
        <v>2090.4</v>
      </c>
    </row>
    <row r="186">
      <c r="A186" s="4" t="inlineStr">
        <is>
          <t>工会经费</t>
        </is>
      </c>
      <c r="D186" s="7" t="n">
        <v>87.2</v>
      </c>
      <c r="F186" s="7" t="n">
        <v>135.1</v>
      </c>
      <c r="H186" s="7" t="n">
        <v>168.9</v>
      </c>
      <c r="J186" s="7" t="n">
        <v>326.6</v>
      </c>
      <c r="L186" s="7" t="n">
        <v>279.1</v>
      </c>
      <c r="N186" s="7" t="n">
        <v>235.7</v>
      </c>
      <c r="P186" s="7" t="n">
        <v>530.9</v>
      </c>
      <c r="R186" s="7" t="n">
        <v>358.3</v>
      </c>
      <c r="T186" s="7" t="n">
        <v>118.6</v>
      </c>
      <c r="V186" s="7" t="n">
        <v>255.2</v>
      </c>
      <c r="X186" s="7" t="n">
        <v>229.7</v>
      </c>
      <c r="Z186" s="7" t="n">
        <v>308.8</v>
      </c>
      <c r="AB186" s="7" t="n">
        <v>3034.1</v>
      </c>
    </row>
    <row r="187">
      <c r="A187" s="4" t="inlineStr">
        <is>
          <t>职工教育经费</t>
        </is>
      </c>
      <c r="D187" s="7" t="n">
        <v>117.2</v>
      </c>
      <c r="F187" s="7" t="n">
        <v>203</v>
      </c>
      <c r="H187" s="7" t="n">
        <v>414.9</v>
      </c>
      <c r="J187" s="7" t="n">
        <v>740.1</v>
      </c>
      <c r="L187" s="7" t="n">
        <v>818.6</v>
      </c>
      <c r="N187" s="7" t="n">
        <v>329.4</v>
      </c>
      <c r="P187" s="7" t="n">
        <v>1004.4</v>
      </c>
      <c r="R187" s="7" t="n">
        <v>824.9</v>
      </c>
      <c r="T187" s="7" t="n">
        <v>379.4</v>
      </c>
      <c r="V187" s="7" t="n">
        <v>425.3</v>
      </c>
      <c r="X187" s="7" t="n">
        <v>461.9</v>
      </c>
      <c r="Z187" s="7" t="n">
        <v>628.9</v>
      </c>
      <c r="AB187" s="7" t="n">
        <v>6348</v>
      </c>
    </row>
    <row r="188">
      <c r="A188" s="4" t="inlineStr">
        <is>
          <t>福利费</t>
        </is>
      </c>
      <c r="D188" s="7" t="n">
        <v>731.1</v>
      </c>
      <c r="F188" s="7" t="n">
        <v>1015</v>
      </c>
      <c r="H188" s="7" t="n">
        <v>1788.8</v>
      </c>
      <c r="J188" s="7" t="n">
        <v>2872.7</v>
      </c>
      <c r="L188" s="7" t="n">
        <v>3019.6</v>
      </c>
      <c r="N188" s="7" t="n">
        <v>1635.8</v>
      </c>
      <c r="P188" s="7" t="n">
        <v>4680.7</v>
      </c>
      <c r="R188" s="7" t="n">
        <v>3763.7</v>
      </c>
      <c r="T188" s="7" t="n">
        <v>1330</v>
      </c>
      <c r="V188" s="7" t="n">
        <v>2501.3</v>
      </c>
      <c r="X188" s="7" t="n">
        <v>2953.4</v>
      </c>
      <c r="Z188" s="7" t="n">
        <v>2494.4</v>
      </c>
      <c r="AB188" s="7" t="n">
        <v>28786.5</v>
      </c>
    </row>
    <row r="189">
      <c r="A189" s="4" t="inlineStr">
        <is>
          <t>职工房租</t>
        </is>
      </c>
      <c r="D189" s="7" t="n">
        <v>224.9</v>
      </c>
      <c r="F189" s="7" t="n">
        <v>343.8</v>
      </c>
      <c r="H189" s="7" t="n">
        <v>546.7</v>
      </c>
      <c r="J189" s="7" t="n">
        <v>611.8</v>
      </c>
      <c r="L189" s="7" t="n">
        <v>967.3</v>
      </c>
      <c r="N189" s="7" t="n">
        <v>578</v>
      </c>
      <c r="P189" s="7" t="n">
        <v>1118.3</v>
      </c>
      <c r="R189" s="7" t="n">
        <v>1102.1</v>
      </c>
      <c r="T189" s="7" t="n">
        <v>371.1</v>
      </c>
      <c r="V189" s="7" t="n">
        <v>762.6</v>
      </c>
      <c r="X189" s="7" t="n">
        <v>740.8</v>
      </c>
      <c r="Z189" s="7" t="n">
        <v>819.1</v>
      </c>
      <c r="AB189" s="7" t="n">
        <v>8186.5</v>
      </c>
    </row>
    <row r="190">
      <c r="A190" s="4" t="inlineStr">
        <is>
          <t>水电物业费</t>
        </is>
      </c>
      <c r="D190" s="7" t="n">
        <v>2.3</v>
      </c>
      <c r="F190" s="7" t="n">
        <v>2.8</v>
      </c>
      <c r="H190" s="7" t="n">
        <v>4.9</v>
      </c>
      <c r="J190" s="7" t="n">
        <v>11.4</v>
      </c>
      <c r="L190" s="7" t="n">
        <v>13</v>
      </c>
      <c r="N190" s="7" t="n">
        <v>5</v>
      </c>
      <c r="P190" s="7" t="n">
        <v>17.7</v>
      </c>
      <c r="R190" s="7" t="n">
        <v>15.4</v>
      </c>
      <c r="T190" s="7" t="n">
        <v>4.5</v>
      </c>
      <c r="V190" s="7" t="n">
        <v>9.199999999999999</v>
      </c>
      <c r="X190" s="7" t="n">
        <v>10.6</v>
      </c>
      <c r="Z190" s="7" t="n">
        <v>9.6</v>
      </c>
      <c r="AB190" s="7" t="n">
        <v>106.4</v>
      </c>
    </row>
    <row r="191">
      <c r="A191" s="4" t="inlineStr">
        <is>
          <t>员工餐</t>
        </is>
      </c>
      <c r="D191" s="7" t="n">
        <v>145.6</v>
      </c>
      <c r="F191" s="7" t="n">
        <v>214.5</v>
      </c>
      <c r="H191" s="7" t="n">
        <v>411.4</v>
      </c>
      <c r="J191" s="7" t="n">
        <v>819.4</v>
      </c>
      <c r="L191" s="7" t="n">
        <v>759</v>
      </c>
      <c r="N191" s="7" t="n">
        <v>371.8</v>
      </c>
      <c r="P191" s="7" t="n">
        <v>979</v>
      </c>
      <c r="R191" s="7" t="n">
        <v>1095.4</v>
      </c>
      <c r="T191" s="7" t="n">
        <v>304.2</v>
      </c>
      <c r="V191" s="7" t="n">
        <v>729.4</v>
      </c>
      <c r="X191" s="7" t="n">
        <v>737.3</v>
      </c>
      <c r="Z191" s="7" t="n">
        <v>583</v>
      </c>
      <c r="AB191" s="7" t="n">
        <v>7150</v>
      </c>
    </row>
    <row r="192">
      <c r="A192" s="4" t="inlineStr">
        <is>
          <t>节日礼品</t>
        </is>
      </c>
      <c r="D192" s="7" t="n">
        <v>89.59999999999999</v>
      </c>
      <c r="F192" s="7" t="n">
        <v>106.3</v>
      </c>
      <c r="H192" s="7" t="n">
        <v>212.8</v>
      </c>
      <c r="J192" s="7" t="n">
        <v>329.7</v>
      </c>
      <c r="L192" s="7" t="n">
        <v>304.2</v>
      </c>
      <c r="N192" s="7" t="n">
        <v>173.6</v>
      </c>
      <c r="P192" s="7" t="n">
        <v>629.3</v>
      </c>
      <c r="R192" s="7" t="n">
        <v>257.7</v>
      </c>
      <c r="T192" s="7" t="n">
        <v>142</v>
      </c>
      <c r="V192" s="7" t="n">
        <v>258.2</v>
      </c>
      <c r="X192" s="7" t="n">
        <v>309.3</v>
      </c>
      <c r="Z192" s="7" t="n">
        <v>323.5</v>
      </c>
      <c r="AB192" s="7" t="n">
        <v>3136.2</v>
      </c>
    </row>
    <row r="193">
      <c r="A193" s="4" t="inlineStr">
        <is>
          <t>生日礼品</t>
        </is>
      </c>
      <c r="D193" s="7" t="n">
        <v>15.8</v>
      </c>
      <c r="F193" s="7" t="n">
        <v>14.2</v>
      </c>
      <c r="H193" s="7" t="n">
        <v>25.8</v>
      </c>
      <c r="J193" s="7" t="n">
        <v>39.8</v>
      </c>
      <c r="L193" s="7" t="n">
        <v>45.5</v>
      </c>
      <c r="N193" s="7" t="n">
        <v>34.8</v>
      </c>
      <c r="P193" s="7" t="n">
        <v>117.3</v>
      </c>
      <c r="R193" s="7" t="n">
        <v>53.3</v>
      </c>
      <c r="T193" s="7" t="n">
        <v>33.3</v>
      </c>
      <c r="V193" s="7" t="n">
        <v>56.5</v>
      </c>
      <c r="X193" s="7" t="n">
        <v>47.5</v>
      </c>
      <c r="Z193" s="7" t="n">
        <v>44.2</v>
      </c>
      <c r="AB193" s="7" t="n">
        <v>528</v>
      </c>
    </row>
    <row r="194">
      <c r="A194" s="4" t="inlineStr">
        <is>
          <t>体检</t>
        </is>
      </c>
      <c r="D194" s="7" t="n">
        <v>187.6</v>
      </c>
      <c r="F194" s="7" t="n">
        <v>252.4</v>
      </c>
      <c r="H194" s="7" t="n">
        <v>477.5</v>
      </c>
      <c r="J194" s="7" t="n">
        <v>783.3</v>
      </c>
      <c r="L194" s="7" t="n">
        <v>724.8</v>
      </c>
      <c r="N194" s="7" t="n">
        <v>365.9</v>
      </c>
      <c r="P194" s="7" t="n">
        <v>1488.7</v>
      </c>
      <c r="R194" s="7" t="n">
        <v>1012</v>
      </c>
      <c r="T194" s="7" t="n">
        <v>376.8</v>
      </c>
      <c r="V194" s="7" t="n">
        <v>455</v>
      </c>
      <c r="X194" s="7" t="n">
        <v>882.3</v>
      </c>
      <c r="Z194" s="7" t="n">
        <v>536.6</v>
      </c>
      <c r="AB194" s="7" t="n">
        <v>7542.9</v>
      </c>
    </row>
    <row r="195">
      <c r="A195" s="4" t="inlineStr">
        <is>
          <t>其他福利支出</t>
        </is>
      </c>
      <c r="D195" s="7" t="n">
        <v>65.3</v>
      </c>
      <c r="F195" s="7" t="n">
        <v>81</v>
      </c>
      <c r="H195" s="7" t="n">
        <v>109.7</v>
      </c>
      <c r="J195" s="7" t="n">
        <v>277.3</v>
      </c>
      <c r="L195" s="7" t="n">
        <v>205.8</v>
      </c>
      <c r="N195" s="7" t="n">
        <v>106.7</v>
      </c>
      <c r="P195" s="7" t="n">
        <v>330.4</v>
      </c>
      <c r="R195" s="7" t="n">
        <v>227.8</v>
      </c>
      <c r="T195" s="7" t="n">
        <v>98.09999999999999</v>
      </c>
      <c r="V195" s="7" t="n">
        <v>230.4</v>
      </c>
      <c r="X195" s="7" t="n">
        <v>225.6</v>
      </c>
      <c r="Z195" s="7" t="n">
        <v>178.4</v>
      </c>
      <c r="AB195" s="7" t="n">
        <v>2136.5</v>
      </c>
    </row>
    <row r="196">
      <c r="A196" s="4" t="inlineStr">
        <is>
          <t>招聘费</t>
        </is>
      </c>
      <c r="D196" s="7" t="n">
        <v>209.1</v>
      </c>
      <c r="F196" s="7" t="n">
        <v>176</v>
      </c>
      <c r="H196" s="7" t="n">
        <v>549.2</v>
      </c>
      <c r="J196" s="7" t="n">
        <v>723.4</v>
      </c>
      <c r="L196" s="7" t="n">
        <v>857.5</v>
      </c>
      <c r="N196" s="7" t="n">
        <v>519.5</v>
      </c>
      <c r="P196" s="7" t="n">
        <v>1293.3</v>
      </c>
      <c r="R196" s="7" t="n">
        <v>620.7</v>
      </c>
      <c r="T196" s="7" t="n">
        <v>412.6</v>
      </c>
      <c r="V196" s="7" t="n">
        <v>491.5</v>
      </c>
      <c r="X196" s="7" t="n">
        <v>747.8</v>
      </c>
      <c r="Z196" s="7" t="n">
        <v>444.2</v>
      </c>
      <c r="AB196" s="7" t="n">
        <v>7044.8</v>
      </c>
    </row>
    <row r="197">
      <c r="A197" s="4" t="inlineStr">
        <is>
          <t>办公费</t>
        </is>
      </c>
      <c r="D197" s="7" t="n">
        <v>1287.3</v>
      </c>
      <c r="F197" s="7" t="n">
        <v>1570.5</v>
      </c>
      <c r="H197" s="7" t="n">
        <v>2640.1</v>
      </c>
      <c r="J197" s="7" t="n">
        <v>5450</v>
      </c>
      <c r="L197" s="7" t="n">
        <v>3761.1</v>
      </c>
      <c r="N197" s="7" t="n">
        <v>2326.9</v>
      </c>
      <c r="P197" s="7" t="n">
        <v>7764.2</v>
      </c>
      <c r="R197" s="7" t="n">
        <v>6480.2</v>
      </c>
      <c r="T197" s="7" t="n">
        <v>2716.6</v>
      </c>
      <c r="V197" s="7" t="n">
        <v>3131.7</v>
      </c>
      <c r="X197" s="7" t="n">
        <v>4457.2</v>
      </c>
      <c r="Z197" s="7" t="n">
        <v>3842.2</v>
      </c>
      <c r="AB197" s="7" t="n">
        <v>45428</v>
      </c>
    </row>
    <row r="198">
      <c r="A198" s="4" t="inlineStr">
        <is>
          <t>市内交通费</t>
        </is>
      </c>
      <c r="D198" s="7" t="n">
        <v>32.9</v>
      </c>
      <c r="F198" s="7" t="n">
        <v>55.7</v>
      </c>
      <c r="H198" s="7" t="n">
        <v>90.2</v>
      </c>
      <c r="J198" s="7" t="n">
        <v>137.7</v>
      </c>
      <c r="L198" s="7" t="n">
        <v>140.9</v>
      </c>
      <c r="N198" s="7" t="n">
        <v>75.8</v>
      </c>
      <c r="P198" s="7" t="n">
        <v>231.3</v>
      </c>
      <c r="R198" s="7" t="n">
        <v>130</v>
      </c>
      <c r="T198" s="7" t="n">
        <v>87.90000000000001</v>
      </c>
      <c r="V198" s="7" t="n">
        <v>137.4</v>
      </c>
      <c r="X198" s="7" t="n">
        <v>151.7</v>
      </c>
      <c r="Z198" s="7" t="n">
        <v>125.8</v>
      </c>
      <c r="AB198" s="7" t="n">
        <v>1397.3</v>
      </c>
    </row>
    <row r="199">
      <c r="A199" s="4" t="inlineStr">
        <is>
          <t>差旅费</t>
        </is>
      </c>
      <c r="D199" s="7" t="n">
        <v>1862.2</v>
      </c>
      <c r="F199" s="7" t="n">
        <v>2171</v>
      </c>
      <c r="H199" s="7" t="n">
        <v>6782.1</v>
      </c>
      <c r="J199" s="7" t="n">
        <v>10077.9</v>
      </c>
      <c r="L199" s="7" t="n">
        <v>11535.5</v>
      </c>
      <c r="N199" s="7" t="n">
        <v>4611.2</v>
      </c>
      <c r="P199" s="7" t="n">
        <v>15838.2</v>
      </c>
      <c r="R199" s="7" t="n">
        <v>11915</v>
      </c>
      <c r="T199" s="7" t="n">
        <v>5685.4</v>
      </c>
      <c r="V199" s="7" t="n">
        <v>7962.4</v>
      </c>
      <c r="X199" s="7" t="n">
        <v>10623.8</v>
      </c>
      <c r="Z199" s="7" t="n">
        <v>9090.5</v>
      </c>
      <c r="AB199" s="7" t="n">
        <v>98155.2</v>
      </c>
    </row>
    <row r="200">
      <c r="A200" s="4" t="inlineStr">
        <is>
          <t>交通费</t>
        </is>
      </c>
      <c r="D200" s="7" t="n">
        <v>66.40000000000001</v>
      </c>
      <c r="F200" s="7" t="n">
        <v>127.1</v>
      </c>
      <c r="H200" s="7" t="n">
        <v>235.3</v>
      </c>
      <c r="J200" s="7" t="n">
        <v>427</v>
      </c>
      <c r="L200" s="7" t="n">
        <v>316.4</v>
      </c>
      <c r="N200" s="7" t="n">
        <v>223.3</v>
      </c>
      <c r="P200" s="7" t="n">
        <v>531.1</v>
      </c>
      <c r="R200" s="7" t="n">
        <v>339.6</v>
      </c>
      <c r="T200" s="7" t="n">
        <v>151.1</v>
      </c>
      <c r="V200" s="7" t="n">
        <v>256</v>
      </c>
      <c r="X200" s="7" t="n">
        <v>340.1</v>
      </c>
      <c r="Z200" s="7" t="n">
        <v>340.9</v>
      </c>
      <c r="AB200" s="7" t="n">
        <v>3354.3</v>
      </c>
    </row>
    <row r="201">
      <c r="A201" s="4" t="inlineStr">
        <is>
          <t>住宿费</t>
        </is>
      </c>
      <c r="D201" s="7" t="n">
        <v>176.1</v>
      </c>
      <c r="F201" s="7" t="n">
        <v>220.2</v>
      </c>
      <c r="H201" s="7" t="n">
        <v>519.9</v>
      </c>
      <c r="J201" s="7" t="n">
        <v>866.9</v>
      </c>
      <c r="L201" s="7" t="n">
        <v>732.4</v>
      </c>
      <c r="N201" s="7" t="n">
        <v>468.1</v>
      </c>
      <c r="P201" s="7" t="n">
        <v>1407.5</v>
      </c>
      <c r="R201" s="7" t="n">
        <v>898.2</v>
      </c>
      <c r="T201" s="7" t="n">
        <v>470.8</v>
      </c>
      <c r="V201" s="7" t="n">
        <v>423.5</v>
      </c>
      <c r="X201" s="7" t="n">
        <v>518.6</v>
      </c>
      <c r="Z201" s="7" t="n">
        <v>420.6</v>
      </c>
      <c r="AB201" s="7" t="n">
        <v>7122.8</v>
      </c>
    </row>
    <row r="202">
      <c r="A202" s="4" t="inlineStr">
        <is>
          <t>餐补</t>
        </is>
      </c>
      <c r="D202" s="7" t="n">
        <v>5.7</v>
      </c>
      <c r="F202" s="7" t="n">
        <v>7.2</v>
      </c>
      <c r="H202" s="7" t="n">
        <v>16.9</v>
      </c>
      <c r="J202" s="7" t="n">
        <v>21</v>
      </c>
      <c r="L202" s="7" t="n">
        <v>31.1</v>
      </c>
      <c r="N202" s="7" t="n">
        <v>21.8</v>
      </c>
      <c r="P202" s="7" t="n">
        <v>66.2</v>
      </c>
      <c r="R202" s="7" t="n">
        <v>26.8</v>
      </c>
      <c r="T202" s="7" t="n">
        <v>14.9</v>
      </c>
      <c r="V202" s="7" t="n">
        <v>26.7</v>
      </c>
      <c r="X202" s="7" t="n">
        <v>37.7</v>
      </c>
      <c r="Z202" s="7" t="n">
        <v>29.8</v>
      </c>
      <c r="AB202" s="7" t="n">
        <v>305.8</v>
      </c>
    </row>
    <row r="203">
      <c r="A203" s="4" t="inlineStr">
        <is>
          <t>交通补助</t>
        </is>
      </c>
      <c r="D203" s="7" t="n">
        <v>81.2</v>
      </c>
      <c r="F203" s="7" t="n">
        <v>133.3</v>
      </c>
      <c r="H203" s="7" t="n">
        <v>205.2</v>
      </c>
      <c r="J203" s="7" t="n">
        <v>258.4</v>
      </c>
      <c r="L203" s="7" t="n">
        <v>296.3</v>
      </c>
      <c r="N203" s="7" t="n">
        <v>179.9</v>
      </c>
      <c r="P203" s="7" t="n">
        <v>603.2</v>
      </c>
      <c r="R203" s="7" t="n">
        <v>532.4</v>
      </c>
      <c r="T203" s="7" t="n">
        <v>249.1</v>
      </c>
      <c r="V203" s="7" t="n">
        <v>366.8</v>
      </c>
      <c r="X203" s="7" t="n">
        <v>271.3</v>
      </c>
      <c r="Z203" s="7" t="n">
        <v>336.6</v>
      </c>
      <c r="AB203" s="7" t="n">
        <v>3513.7</v>
      </c>
    </row>
    <row r="204">
      <c r="A204" s="4" t="inlineStr">
        <is>
          <t>通讯补助</t>
        </is>
      </c>
      <c r="D204" s="7" t="n">
        <v>281</v>
      </c>
      <c r="F204" s="7" t="n">
        <v>382.8</v>
      </c>
      <c r="H204" s="7" t="n">
        <v>751.6</v>
      </c>
      <c r="J204" s="7" t="n">
        <v>736.8</v>
      </c>
      <c r="L204" s="7" t="n">
        <v>752.6</v>
      </c>
      <c r="N204" s="7" t="n">
        <v>664.2</v>
      </c>
      <c r="P204" s="7" t="n">
        <v>1539.5</v>
      </c>
      <c r="R204" s="7" t="n">
        <v>1330.4</v>
      </c>
      <c r="T204" s="7" t="n">
        <v>550.9</v>
      </c>
      <c r="V204" s="7" t="n">
        <v>648.2</v>
      </c>
      <c r="X204" s="7" t="n">
        <v>640.5</v>
      </c>
      <c r="Z204" s="7" t="n">
        <v>824.8</v>
      </c>
      <c r="AB204" s="7" t="n">
        <v>9103.299999999999</v>
      </c>
    </row>
    <row r="205">
      <c r="A205" s="4" t="inlineStr">
        <is>
          <t>招待费</t>
        </is>
      </c>
      <c r="D205" s="7" t="n">
        <v>1129.8</v>
      </c>
      <c r="F205" s="7" t="n">
        <v>2226.1</v>
      </c>
      <c r="H205" s="7" t="n">
        <v>3170.1</v>
      </c>
      <c r="J205" s="7" t="n">
        <v>5503.8</v>
      </c>
      <c r="L205" s="7" t="n">
        <v>5818.3</v>
      </c>
      <c r="N205" s="7" t="n">
        <v>2707.6</v>
      </c>
      <c r="P205" s="7" t="n">
        <v>9721.6</v>
      </c>
      <c r="R205" s="7" t="n">
        <v>6774.8</v>
      </c>
      <c r="T205" s="7" t="n">
        <v>2543.2</v>
      </c>
      <c r="V205" s="7" t="n">
        <v>3402.4</v>
      </c>
      <c r="X205" s="7" t="n">
        <v>7119.6</v>
      </c>
      <c r="Z205" s="7" t="n">
        <v>5567.9</v>
      </c>
      <c r="AB205" s="7" t="n">
        <v>55685.2</v>
      </c>
    </row>
    <row r="206">
      <c r="A206" s="4" t="inlineStr">
        <is>
          <t>通讯费</t>
        </is>
      </c>
      <c r="D206" s="7" t="n">
        <v>295.2</v>
      </c>
      <c r="F206" s="7" t="n">
        <v>353.5</v>
      </c>
      <c r="H206" s="7" t="n">
        <v>680.2</v>
      </c>
      <c r="J206" s="7" t="n">
        <v>757.8</v>
      </c>
      <c r="L206" s="7" t="n">
        <v>849.9</v>
      </c>
      <c r="N206" s="7" t="n">
        <v>650.2</v>
      </c>
      <c r="P206" s="7" t="n">
        <v>2036.5</v>
      </c>
      <c r="R206" s="7" t="n">
        <v>884.3</v>
      </c>
      <c r="T206" s="7" t="n">
        <v>553.4</v>
      </c>
      <c r="V206" s="7" t="n">
        <v>896.6</v>
      </c>
      <c r="X206" s="7" t="n">
        <v>1173.2</v>
      </c>
      <c r="Z206" s="7" t="n">
        <v>581.6</v>
      </c>
      <c r="AB206" s="7" t="n">
        <v>9712.4</v>
      </c>
    </row>
    <row r="207">
      <c r="A207" s="4" t="inlineStr">
        <is>
          <t>网络费</t>
        </is>
      </c>
      <c r="D207" s="7" t="n">
        <v>171.6</v>
      </c>
      <c r="F207" s="7" t="n">
        <v>190.8</v>
      </c>
      <c r="H207" s="7" t="n">
        <v>395.9</v>
      </c>
      <c r="J207" s="7" t="n">
        <v>636.3</v>
      </c>
      <c r="L207" s="7" t="n">
        <v>654.8</v>
      </c>
      <c r="N207" s="7" t="n">
        <v>396.5</v>
      </c>
      <c r="P207" s="7" t="n">
        <v>815.7</v>
      </c>
      <c r="R207" s="7" t="n">
        <v>480.9</v>
      </c>
      <c r="T207" s="7" t="n">
        <v>268.5</v>
      </c>
      <c r="V207" s="7" t="n">
        <v>529.1</v>
      </c>
      <c r="X207" s="7" t="n">
        <v>545</v>
      </c>
      <c r="Z207" s="7" t="n">
        <v>434.2</v>
      </c>
      <c r="AB207" s="7" t="n">
        <v>5519.3</v>
      </c>
    </row>
    <row r="208">
      <c r="A208" s="4" t="inlineStr">
        <is>
          <t>修理费</t>
        </is>
      </c>
      <c r="D208" s="7" t="n">
        <v>257.1</v>
      </c>
      <c r="F208" s="7" t="n">
        <v>302.4</v>
      </c>
      <c r="H208" s="7" t="n">
        <v>504.3</v>
      </c>
      <c r="J208" s="7" t="n">
        <v>939.4</v>
      </c>
      <c r="L208" s="7" t="n">
        <v>876.7</v>
      </c>
      <c r="N208" s="7" t="n">
        <v>580.9</v>
      </c>
      <c r="P208" s="7" t="n">
        <v>1383</v>
      </c>
      <c r="R208" s="7" t="n">
        <v>1319.3</v>
      </c>
      <c r="T208" s="7" t="n">
        <v>542</v>
      </c>
      <c r="V208" s="7" t="n">
        <v>560.3</v>
      </c>
      <c r="X208" s="7" t="n">
        <v>938</v>
      </c>
      <c r="Z208" s="7" t="n">
        <v>928.3</v>
      </c>
      <c r="AB208" s="7" t="n">
        <v>9131.700000000001</v>
      </c>
    </row>
    <row r="209">
      <c r="A209" s="4" t="inlineStr">
        <is>
          <t>车辆费</t>
        </is>
      </c>
      <c r="D209" s="7" t="n">
        <v>160.2</v>
      </c>
      <c r="F209" s="7" t="n">
        <v>282.4</v>
      </c>
      <c r="H209" s="7" t="n">
        <v>318.4</v>
      </c>
      <c r="J209" s="7" t="n">
        <v>553.4</v>
      </c>
      <c r="L209" s="7" t="n">
        <v>544.4</v>
      </c>
      <c r="N209" s="7" t="n">
        <v>521.1</v>
      </c>
      <c r="P209" s="7" t="n">
        <v>1220.3</v>
      </c>
      <c r="R209" s="7" t="n">
        <v>743.6</v>
      </c>
      <c r="T209" s="7" t="n">
        <v>358.2</v>
      </c>
      <c r="V209" s="7" t="n">
        <v>590</v>
      </c>
      <c r="X209" s="7" t="n">
        <v>785.7</v>
      </c>
      <c r="Z209" s="7" t="n">
        <v>510.8</v>
      </c>
      <c r="AB209" s="7" t="n">
        <v>6588.5</v>
      </c>
    </row>
    <row r="210">
      <c r="A210" s="4" t="inlineStr">
        <is>
          <t>租赁费</t>
        </is>
      </c>
      <c r="D210" s="7" t="n">
        <v>2394</v>
      </c>
      <c r="F210" s="7" t="n">
        <v>3218.1</v>
      </c>
      <c r="H210" s="7" t="n">
        <v>3760.7</v>
      </c>
      <c r="J210" s="7" t="n">
        <v>6633.9</v>
      </c>
      <c r="L210" s="7" t="n">
        <v>8475.299999999999</v>
      </c>
      <c r="N210" s="7" t="n">
        <v>5373.9</v>
      </c>
      <c r="P210" s="7" t="n">
        <v>15333</v>
      </c>
      <c r="R210" s="7" t="n">
        <v>9028.700000000001</v>
      </c>
      <c r="T210" s="7" t="n">
        <v>5079.7</v>
      </c>
      <c r="V210" s="7" t="n">
        <v>7060.9</v>
      </c>
      <c r="X210" s="7" t="n">
        <v>8586</v>
      </c>
      <c r="Z210" s="7" t="n">
        <v>5966.4</v>
      </c>
      <c r="AB210" s="7" t="n">
        <v>80910.60000000001</v>
      </c>
    </row>
    <row r="211">
      <c r="A211" s="4" t="inlineStr">
        <is>
          <t>能源费</t>
        </is>
      </c>
      <c r="D211" s="7" t="n">
        <v>543.4</v>
      </c>
      <c r="F211" s="7" t="n">
        <v>711.7</v>
      </c>
      <c r="H211" s="7" t="n">
        <v>1326.3</v>
      </c>
      <c r="J211" s="7" t="n">
        <v>1786</v>
      </c>
      <c r="L211" s="7" t="n">
        <v>1974.2</v>
      </c>
      <c r="N211" s="7" t="n">
        <v>1239.8</v>
      </c>
      <c r="P211" s="7" t="n">
        <v>2989.8</v>
      </c>
      <c r="R211" s="7" t="n">
        <v>2400.9</v>
      </c>
      <c r="T211" s="7" t="n">
        <v>929.4</v>
      </c>
      <c r="V211" s="7" t="n">
        <v>1655.7</v>
      </c>
      <c r="X211" s="7" t="n">
        <v>2036.9</v>
      </c>
      <c r="Z211" s="7" t="n">
        <v>1670.5</v>
      </c>
      <c r="AB211" s="7" t="n">
        <v>19264.6</v>
      </c>
    </row>
    <row r="212">
      <c r="A212" s="4" t="inlineStr">
        <is>
          <t>水费</t>
        </is>
      </c>
      <c r="D212" s="7" t="n">
        <v>109.9</v>
      </c>
      <c r="F212" s="7" t="n">
        <v>192.4</v>
      </c>
      <c r="H212" s="7" t="n">
        <v>283.3</v>
      </c>
      <c r="J212" s="7" t="n">
        <v>593.6</v>
      </c>
      <c r="L212" s="7" t="n">
        <v>510.6</v>
      </c>
      <c r="N212" s="7" t="n">
        <v>358.2</v>
      </c>
      <c r="P212" s="7" t="n">
        <v>675.6</v>
      </c>
      <c r="R212" s="7" t="n">
        <v>505.2</v>
      </c>
      <c r="T212" s="7" t="n">
        <v>239.4</v>
      </c>
      <c r="V212" s="7" t="n">
        <v>443.6</v>
      </c>
      <c r="X212" s="7" t="n">
        <v>352.2</v>
      </c>
      <c r="Z212" s="7" t="n">
        <v>442.6</v>
      </c>
      <c r="AB212" s="7" t="n">
        <v>4706.6</v>
      </c>
    </row>
    <row r="213">
      <c r="A213" s="4" t="inlineStr">
        <is>
          <t>电费</t>
        </is>
      </c>
      <c r="D213" s="7" t="n">
        <v>136.7</v>
      </c>
      <c r="F213" s="7" t="n">
        <v>183.7</v>
      </c>
      <c r="H213" s="7" t="n">
        <v>231.1</v>
      </c>
      <c r="J213" s="7" t="n">
        <v>305.4</v>
      </c>
      <c r="L213" s="7" t="n">
        <v>549.3</v>
      </c>
      <c r="N213" s="7" t="n">
        <v>279.5</v>
      </c>
      <c r="P213" s="7" t="n">
        <v>576.2</v>
      </c>
      <c r="R213" s="7" t="n">
        <v>404.7</v>
      </c>
      <c r="T213" s="7" t="n">
        <v>174.6</v>
      </c>
      <c r="V213" s="7" t="n">
        <v>453.9</v>
      </c>
      <c r="X213" s="7" t="n">
        <v>361.3</v>
      </c>
      <c r="Z213" s="7" t="n">
        <v>357.2</v>
      </c>
      <c r="AB213" s="7" t="n">
        <v>4013.6</v>
      </c>
    </row>
    <row r="214">
      <c r="A214" s="4" t="inlineStr">
        <is>
          <t>燃气费</t>
        </is>
      </c>
      <c r="D214" s="7" t="n">
        <v>212.3</v>
      </c>
      <c r="F214" s="7" t="n">
        <v>204.7</v>
      </c>
      <c r="H214" s="7" t="n">
        <v>614.7</v>
      </c>
      <c r="J214" s="7" t="n">
        <v>566.5</v>
      </c>
      <c r="L214" s="7" t="n">
        <v>610.6</v>
      </c>
      <c r="N214" s="7" t="n">
        <v>391.8</v>
      </c>
      <c r="P214" s="7" t="n">
        <v>1112.2</v>
      </c>
      <c r="R214" s="7" t="n">
        <v>1090.8</v>
      </c>
      <c r="T214" s="7" t="n">
        <v>317.5</v>
      </c>
      <c r="V214" s="7" t="n">
        <v>554</v>
      </c>
      <c r="X214" s="7" t="n">
        <v>988.2</v>
      </c>
      <c r="Z214" s="7" t="n">
        <v>656.3</v>
      </c>
      <c r="AB214" s="7" t="n">
        <v>7319.6</v>
      </c>
    </row>
    <row r="215">
      <c r="A215" s="4" t="inlineStr">
        <is>
          <t>蒸汽费</t>
        </is>
      </c>
      <c r="D215" s="7" t="n">
        <v>84.5</v>
      </c>
      <c r="F215" s="7" t="n">
        <v>130.9</v>
      </c>
      <c r="H215" s="7" t="n">
        <v>197.2</v>
      </c>
      <c r="J215" s="7" t="n">
        <v>320.5</v>
      </c>
      <c r="L215" s="7" t="n">
        <v>303.7</v>
      </c>
      <c r="N215" s="7" t="n">
        <v>210.3</v>
      </c>
      <c r="P215" s="7" t="n">
        <v>625.8</v>
      </c>
      <c r="R215" s="7" t="n">
        <v>400.2</v>
      </c>
      <c r="T215" s="7" t="n">
        <v>197.9</v>
      </c>
      <c r="V215" s="7" t="n">
        <v>204.2</v>
      </c>
      <c r="X215" s="7" t="n">
        <v>335.2</v>
      </c>
      <c r="Z215" s="7" t="n">
        <v>214.4</v>
      </c>
      <c r="AB215" s="7" t="n">
        <v>3224.8</v>
      </c>
    </row>
    <row r="216">
      <c r="A216" s="4" t="inlineStr">
        <is>
          <t>物业费</t>
        </is>
      </c>
      <c r="D216" s="7" t="n">
        <v>57.6</v>
      </c>
      <c r="F216" s="7" t="n">
        <v>117.2</v>
      </c>
      <c r="H216" s="7" t="n">
        <v>243.7</v>
      </c>
      <c r="J216" s="7" t="n">
        <v>285.8</v>
      </c>
      <c r="L216" s="7" t="n">
        <v>336.8</v>
      </c>
      <c r="N216" s="7" t="n">
        <v>149</v>
      </c>
      <c r="P216" s="7" t="n">
        <v>591</v>
      </c>
      <c r="R216" s="7" t="n">
        <v>388.6</v>
      </c>
      <c r="T216" s="7" t="n">
        <v>150.7</v>
      </c>
      <c r="V216" s="7" t="n">
        <v>323</v>
      </c>
      <c r="X216" s="7" t="n">
        <v>299.5</v>
      </c>
      <c r="Z216" s="7" t="n">
        <v>191.1</v>
      </c>
      <c r="AB216" s="7" t="n">
        <v>3134</v>
      </c>
    </row>
    <row r="217">
      <c r="A217" s="4" t="inlineStr">
        <is>
          <t>劳动保护费</t>
        </is>
      </c>
      <c r="D217" s="7" t="n">
        <v>9.6</v>
      </c>
      <c r="F217" s="7" t="n">
        <v>15.7</v>
      </c>
      <c r="H217" s="7" t="n">
        <v>23.9</v>
      </c>
      <c r="J217" s="7" t="n">
        <v>38.2</v>
      </c>
      <c r="L217" s="7" t="n">
        <v>29.9</v>
      </c>
      <c r="N217" s="7" t="n">
        <v>27</v>
      </c>
      <c r="P217" s="7" t="n">
        <v>72.5</v>
      </c>
      <c r="R217" s="7" t="n">
        <v>55</v>
      </c>
      <c r="T217" s="7" t="n">
        <v>19.5</v>
      </c>
      <c r="V217" s="7" t="n">
        <v>35</v>
      </c>
      <c r="X217" s="7" t="n">
        <v>30.8</v>
      </c>
      <c r="Z217" s="7" t="n">
        <v>41.6</v>
      </c>
      <c r="AB217" s="7" t="n">
        <v>398.7</v>
      </c>
    </row>
    <row r="218">
      <c r="A218" s="4" t="inlineStr">
        <is>
          <t>顾问费</t>
        </is>
      </c>
      <c r="D218" s="7" t="n">
        <v>7.6</v>
      </c>
      <c r="F218" s="7" t="n">
        <v>13.1</v>
      </c>
      <c r="H218" s="7" t="n">
        <v>26.1</v>
      </c>
      <c r="J218" s="7" t="n">
        <v>27.4</v>
      </c>
      <c r="L218" s="7" t="n">
        <v>33.5</v>
      </c>
      <c r="N218" s="7" t="n">
        <v>14.9</v>
      </c>
      <c r="P218" s="7" t="n">
        <v>44.3</v>
      </c>
      <c r="R218" s="7" t="n">
        <v>47.4</v>
      </c>
      <c r="T218" s="7" t="n">
        <v>20.8</v>
      </c>
      <c r="V218" s="7" t="n">
        <v>34.1</v>
      </c>
      <c r="X218" s="7" t="n">
        <v>31.3</v>
      </c>
      <c r="Z218" s="7" t="n">
        <v>28.7</v>
      </c>
      <c r="AB218" s="7" t="n">
        <v>329.2</v>
      </c>
    </row>
    <row r="219">
      <c r="A219" s="4" t="inlineStr">
        <is>
          <t>快递费</t>
        </is>
      </c>
      <c r="D219" s="7" t="n">
        <v>130</v>
      </c>
      <c r="F219" s="7" t="n">
        <v>141.4</v>
      </c>
      <c r="H219" s="7" t="n">
        <v>364.3</v>
      </c>
      <c r="J219" s="7" t="n">
        <v>486.3</v>
      </c>
      <c r="L219" s="7" t="n">
        <v>347.7</v>
      </c>
      <c r="N219" s="7" t="n">
        <v>299.3</v>
      </c>
      <c r="P219" s="7" t="n">
        <v>860.8</v>
      </c>
      <c r="R219" s="7" t="n">
        <v>522.4</v>
      </c>
      <c r="T219" s="7" t="n">
        <v>297.8</v>
      </c>
      <c r="V219" s="7" t="n">
        <v>319.7</v>
      </c>
      <c r="X219" s="7" t="n">
        <v>348.2</v>
      </c>
      <c r="Z219" s="7" t="n">
        <v>337.8</v>
      </c>
      <c r="AB219" s="7" t="n">
        <v>4455.7</v>
      </c>
    </row>
    <row r="220">
      <c r="A220" s="4" t="inlineStr">
        <is>
          <t>诉讼费</t>
        </is>
      </c>
      <c r="D220" s="7" t="n">
        <v>63.7</v>
      </c>
      <c r="F220" s="7" t="n">
        <v>86</v>
      </c>
      <c r="H220" s="7" t="n">
        <v>249.7</v>
      </c>
      <c r="J220" s="7" t="n">
        <v>261.1</v>
      </c>
      <c r="L220" s="7" t="n">
        <v>338.4</v>
      </c>
      <c r="N220" s="7" t="n">
        <v>143.3</v>
      </c>
      <c r="P220" s="7" t="n">
        <v>641.6</v>
      </c>
      <c r="R220" s="7" t="n">
        <v>445</v>
      </c>
      <c r="T220" s="7" t="n">
        <v>213.4</v>
      </c>
      <c r="V220" s="7" t="n">
        <v>303.8</v>
      </c>
      <c r="X220" s="7" t="n">
        <v>226.9</v>
      </c>
      <c r="Z220" s="7" t="n">
        <v>223.9</v>
      </c>
      <c r="AB220" s="7" t="n">
        <v>3196.8</v>
      </c>
    </row>
    <row r="221">
      <c r="A221" s="4" t="inlineStr">
        <is>
          <t>会员费</t>
        </is>
      </c>
      <c r="D221" s="7" t="n">
        <v>94.7</v>
      </c>
      <c r="F221" s="7" t="n">
        <v>134.4</v>
      </c>
      <c r="H221" s="7" t="n">
        <v>178.4</v>
      </c>
      <c r="J221" s="7" t="n">
        <v>316.1</v>
      </c>
      <c r="L221" s="7" t="n">
        <v>392.3</v>
      </c>
      <c r="N221" s="7" t="n">
        <v>260.6</v>
      </c>
      <c r="P221" s="7" t="n">
        <v>429.8</v>
      </c>
      <c r="R221" s="7" t="n">
        <v>302.1</v>
      </c>
      <c r="T221" s="7" t="n">
        <v>201.5</v>
      </c>
      <c r="V221" s="7" t="n">
        <v>339.7</v>
      </c>
      <c r="X221" s="7" t="n">
        <v>332.6</v>
      </c>
      <c r="Z221" s="7" t="n">
        <v>273.2</v>
      </c>
      <c r="AB221" s="7" t="n">
        <v>3255.4</v>
      </c>
    </row>
    <row r="222">
      <c r="A222" s="4" t="inlineStr">
        <is>
          <t>广告宣传费</t>
        </is>
      </c>
      <c r="D222" s="7" t="n">
        <v>1056.4</v>
      </c>
      <c r="F222" s="7" t="n">
        <v>1675.9</v>
      </c>
      <c r="H222" s="7" t="n">
        <v>2042.2</v>
      </c>
      <c r="J222" s="7" t="n">
        <v>4464.6</v>
      </c>
      <c r="L222" s="7" t="n">
        <v>5257.9</v>
      </c>
      <c r="N222" s="7" t="n">
        <v>3038.9</v>
      </c>
      <c r="P222" s="7" t="n">
        <v>5804.1</v>
      </c>
      <c r="R222" s="7" t="n">
        <v>5105.8</v>
      </c>
      <c r="T222" s="7" t="n">
        <v>2055.1</v>
      </c>
      <c r="V222" s="7" t="n">
        <v>3728.3</v>
      </c>
      <c r="X222" s="7" t="n">
        <v>4110.5</v>
      </c>
      <c r="Z222" s="7" t="n">
        <v>2821.3</v>
      </c>
      <c r="AB222" s="7" t="n">
        <v>41161</v>
      </c>
    </row>
    <row r="223">
      <c r="A223" s="4" t="inlineStr">
        <is>
          <t>会务费</t>
        </is>
      </c>
      <c r="D223" s="7" t="n">
        <v>83.7</v>
      </c>
      <c r="F223" s="7" t="n">
        <v>78.7</v>
      </c>
      <c r="H223" s="7" t="n">
        <v>154.9</v>
      </c>
      <c r="J223" s="7" t="n">
        <v>316.2</v>
      </c>
      <c r="L223" s="7" t="n">
        <v>336.5</v>
      </c>
      <c r="N223" s="7" t="n">
        <v>197.9</v>
      </c>
      <c r="P223" s="7" t="n">
        <v>337.2</v>
      </c>
      <c r="R223" s="7" t="n">
        <v>237.5</v>
      </c>
      <c r="T223" s="7" t="n">
        <v>141.8</v>
      </c>
      <c r="V223" s="7" t="n">
        <v>227.5</v>
      </c>
      <c r="X223" s="7" t="n">
        <v>239.6</v>
      </c>
      <c r="Z223" s="7" t="n">
        <v>284.6</v>
      </c>
      <c r="AB223" s="7" t="n">
        <v>2636.1</v>
      </c>
    </row>
    <row r="224">
      <c r="A224" s="4" t="inlineStr">
        <is>
          <t>装修费</t>
        </is>
      </c>
      <c r="D224" s="7" t="n">
        <v>80.40000000000001</v>
      </c>
      <c r="F224" s="7" t="n">
        <v>90.40000000000001</v>
      </c>
      <c r="H224" s="7" t="n">
        <v>274.7</v>
      </c>
      <c r="J224" s="7" t="n">
        <v>291.2</v>
      </c>
      <c r="L224" s="7" t="n">
        <v>364.3</v>
      </c>
      <c r="N224" s="7" t="n">
        <v>237.6</v>
      </c>
      <c r="P224" s="7" t="n">
        <v>520.5</v>
      </c>
      <c r="R224" s="7" t="n">
        <v>333.8</v>
      </c>
      <c r="T224" s="7" t="n">
        <v>150.8</v>
      </c>
      <c r="V224" s="7" t="n">
        <v>329.7</v>
      </c>
      <c r="X224" s="7" t="n">
        <v>248.6</v>
      </c>
      <c r="Z224" s="7" t="n">
        <v>229.3</v>
      </c>
      <c r="AB224" s="7" t="n">
        <v>3151.3</v>
      </c>
    </row>
    <row r="225">
      <c r="A225" s="4" t="inlineStr">
        <is>
          <t>推广费</t>
        </is>
      </c>
      <c r="D225" s="7" t="n">
        <v>151.8</v>
      </c>
      <c r="F225" s="7" t="n">
        <v>283.6</v>
      </c>
      <c r="H225" s="7" t="n">
        <v>519.2</v>
      </c>
      <c r="J225" s="7" t="n">
        <v>534.4</v>
      </c>
      <c r="L225" s="7" t="n">
        <v>996.5</v>
      </c>
      <c r="N225" s="7" t="n">
        <v>378.8</v>
      </c>
      <c r="P225" s="7" t="n">
        <v>1639.4</v>
      </c>
      <c r="R225" s="7" t="n">
        <v>1087</v>
      </c>
      <c r="T225" s="7" t="n">
        <v>481.9</v>
      </c>
      <c r="V225" s="7" t="n">
        <v>504.9</v>
      </c>
      <c r="X225" s="7" t="n">
        <v>731.5</v>
      </c>
      <c r="Z225" s="7" t="n">
        <v>649.2</v>
      </c>
      <c r="AB225" s="7" t="n">
        <v>7958.2</v>
      </c>
    </row>
    <row r="226">
      <c r="A226" s="4" t="inlineStr">
        <is>
          <t>展会费</t>
        </is>
      </c>
      <c r="D226" s="7" t="n">
        <v>23.2</v>
      </c>
      <c r="F226" s="7" t="n">
        <v>35</v>
      </c>
      <c r="H226" s="7" t="n">
        <v>63.6</v>
      </c>
      <c r="J226" s="7" t="n">
        <v>112.6</v>
      </c>
      <c r="L226" s="7" t="n">
        <v>80.3</v>
      </c>
      <c r="N226" s="7" t="n">
        <v>47.2</v>
      </c>
      <c r="P226" s="7" t="n">
        <v>165.5</v>
      </c>
      <c r="R226" s="7" t="n">
        <v>136.7</v>
      </c>
      <c r="T226" s="7" t="n">
        <v>38</v>
      </c>
      <c r="V226" s="7" t="n">
        <v>78.7</v>
      </c>
      <c r="X226" s="7" t="n">
        <v>120.6</v>
      </c>
      <c r="Z226" s="7" t="n">
        <v>85.90000000000001</v>
      </c>
      <c r="AB226" s="7" t="n">
        <v>987.3</v>
      </c>
    </row>
    <row r="227">
      <c r="A227" s="4" t="inlineStr">
        <is>
          <t>设计费</t>
        </is>
      </c>
      <c r="D227" s="7" t="n">
        <v>71.40000000000001</v>
      </c>
      <c r="F227" s="7" t="n">
        <v>97.3</v>
      </c>
      <c r="H227" s="7" t="n">
        <v>142</v>
      </c>
      <c r="J227" s="7" t="n">
        <v>198.4</v>
      </c>
      <c r="L227" s="7" t="n">
        <v>218.1</v>
      </c>
      <c r="N227" s="7" t="n">
        <v>111.7</v>
      </c>
      <c r="P227" s="7" t="n">
        <v>393.6</v>
      </c>
      <c r="R227" s="7" t="n">
        <v>342.5</v>
      </c>
      <c r="T227" s="7" t="n">
        <v>149.5</v>
      </c>
      <c r="V227" s="7" t="n">
        <v>139.5</v>
      </c>
      <c r="X227" s="7" t="n">
        <v>256.8</v>
      </c>
      <c r="Z227" s="7" t="n">
        <v>259.4</v>
      </c>
      <c r="AB227" s="7" t="n">
        <v>2380.2</v>
      </c>
    </row>
    <row r="228">
      <c r="A228" s="4" t="inlineStr">
        <is>
          <t>折旧费</t>
        </is>
      </c>
      <c r="D228" s="7" t="n">
        <v>1430.6</v>
      </c>
      <c r="F228" s="7" t="n">
        <v>2123.8</v>
      </c>
      <c r="H228" s="7" t="n">
        <v>4664.3</v>
      </c>
      <c r="J228" s="7" t="n">
        <v>6739</v>
      </c>
      <c r="L228" s="7" t="n">
        <v>4875.9</v>
      </c>
      <c r="N228" s="7" t="n">
        <v>4007</v>
      </c>
      <c r="P228" s="7" t="n">
        <v>11897.8</v>
      </c>
      <c r="R228" s="7" t="n">
        <v>8530.5</v>
      </c>
      <c r="T228" s="7" t="n">
        <v>3436</v>
      </c>
      <c r="V228" s="7" t="n">
        <v>5542.5</v>
      </c>
      <c r="X228" s="7" t="n">
        <v>4566.7</v>
      </c>
      <c r="Z228" s="7" t="n">
        <v>5391.9</v>
      </c>
      <c r="AB228" s="7" t="n">
        <v>63206</v>
      </c>
    </row>
    <row r="229">
      <c r="A229" s="4" t="inlineStr">
        <is>
          <t>认证费</t>
        </is>
      </c>
      <c r="D229" s="7" t="n">
        <v>84</v>
      </c>
      <c r="F229" s="7" t="n">
        <v>90.3</v>
      </c>
      <c r="H229" s="7" t="n">
        <v>129.5</v>
      </c>
      <c r="J229" s="7" t="n">
        <v>204.6</v>
      </c>
      <c r="L229" s="7" t="n">
        <v>222.4</v>
      </c>
      <c r="N229" s="7" t="n">
        <v>218.3</v>
      </c>
      <c r="P229" s="7" t="n">
        <v>376.1</v>
      </c>
      <c r="R229" s="7" t="n">
        <v>353.8</v>
      </c>
      <c r="T229" s="7" t="n">
        <v>137.3</v>
      </c>
      <c r="V229" s="7" t="n">
        <v>212.1</v>
      </c>
      <c r="X229" s="7" t="n">
        <v>265.3</v>
      </c>
      <c r="Z229" s="7" t="n">
        <v>284.2</v>
      </c>
      <c r="AB229" s="7" t="n">
        <v>2577.9</v>
      </c>
    </row>
    <row r="230">
      <c r="A230" s="4" t="inlineStr">
        <is>
          <t>样品费</t>
        </is>
      </c>
      <c r="D230" s="7" t="n">
        <v>957.1</v>
      </c>
      <c r="F230" s="7" t="n">
        <v>880.5</v>
      </c>
      <c r="H230" s="7" t="n">
        <v>1951.8</v>
      </c>
      <c r="J230" s="7" t="n">
        <v>2627.9</v>
      </c>
      <c r="L230" s="7" t="n">
        <v>2778.6</v>
      </c>
      <c r="N230" s="7" t="n">
        <v>2378.6</v>
      </c>
      <c r="P230" s="7" t="n">
        <v>5100.8</v>
      </c>
      <c r="R230" s="7" t="n">
        <v>3222.2</v>
      </c>
      <c r="T230" s="7" t="n">
        <v>1931.4</v>
      </c>
      <c r="V230" s="7" t="n">
        <v>2674.7</v>
      </c>
      <c r="X230" s="7" t="n">
        <v>3211.2</v>
      </c>
      <c r="Z230" s="7" t="n">
        <v>3191.4</v>
      </c>
      <c r="AB230" s="7" t="n">
        <v>30906.2</v>
      </c>
    </row>
    <row r="231">
      <c r="A231" s="4" t="inlineStr">
        <is>
          <t>劳务费</t>
        </is>
      </c>
      <c r="D231" s="7" t="n">
        <v>166.6</v>
      </c>
      <c r="F231" s="7" t="n">
        <v>206.9</v>
      </c>
      <c r="H231" s="7" t="n">
        <v>372.3</v>
      </c>
      <c r="J231" s="7" t="n">
        <v>439</v>
      </c>
      <c r="L231" s="7" t="n">
        <v>619.2</v>
      </c>
      <c r="N231" s="7" t="n">
        <v>336.7</v>
      </c>
      <c r="P231" s="7" t="n">
        <v>1015.5</v>
      </c>
      <c r="R231" s="7" t="n">
        <v>740.4</v>
      </c>
      <c r="T231" s="7" t="n">
        <v>266.7</v>
      </c>
      <c r="V231" s="7" t="n">
        <v>410.5</v>
      </c>
      <c r="X231" s="7" t="n">
        <v>492.1</v>
      </c>
      <c r="Z231" s="7" t="n">
        <v>441</v>
      </c>
      <c r="AB231" s="7" t="n">
        <v>5506.9</v>
      </c>
    </row>
    <row r="232">
      <c r="A232" s="4" t="inlineStr">
        <is>
          <t>销售佣金</t>
        </is>
      </c>
      <c r="D232" s="7" t="n">
        <v>114.4</v>
      </c>
      <c r="F232" s="7" t="n">
        <v>209</v>
      </c>
      <c r="H232" s="7" t="n">
        <v>400.4</v>
      </c>
      <c r="J232" s="7" t="n">
        <v>513.2</v>
      </c>
      <c r="L232" s="7" t="n">
        <v>480.6</v>
      </c>
      <c r="N232" s="7" t="n">
        <v>278.9</v>
      </c>
      <c r="P232" s="7" t="n">
        <v>1019.6</v>
      </c>
      <c r="R232" s="7" t="n">
        <v>588.5</v>
      </c>
      <c r="T232" s="7" t="n">
        <v>251.8</v>
      </c>
      <c r="V232" s="7" t="n">
        <v>347.3</v>
      </c>
      <c r="X232" s="7" t="n">
        <v>461.8</v>
      </c>
      <c r="Z232" s="7" t="n">
        <v>469.4</v>
      </c>
      <c r="AB232" s="7" t="n">
        <v>5134.9</v>
      </c>
    </row>
    <row r="233">
      <c r="A233" s="4" t="inlineStr">
        <is>
          <t>检测费</t>
        </is>
      </c>
      <c r="D233" s="7" t="n">
        <v>238</v>
      </c>
      <c r="F233" s="7" t="n">
        <v>197</v>
      </c>
      <c r="H233" s="7" t="n">
        <v>559.4</v>
      </c>
      <c r="J233" s="7" t="n">
        <v>647.8</v>
      </c>
      <c r="L233" s="7" t="n">
        <v>879.8</v>
      </c>
      <c r="N233" s="7" t="n">
        <v>432.9</v>
      </c>
      <c r="P233" s="7" t="n">
        <v>1308.9</v>
      </c>
      <c r="R233" s="7" t="n">
        <v>777.7</v>
      </c>
      <c r="T233" s="7" t="n">
        <v>469.1</v>
      </c>
      <c r="V233" s="7" t="n">
        <v>635</v>
      </c>
      <c r="X233" s="7" t="n">
        <v>582.2</v>
      </c>
      <c r="Z233" s="7" t="n">
        <v>727.4</v>
      </c>
      <c r="AB233" s="7" t="n">
        <v>7455.2</v>
      </c>
    </row>
    <row r="234">
      <c r="A234" s="4" t="inlineStr">
        <is>
          <t>质量赔偿</t>
        </is>
      </c>
      <c r="D234" s="7" t="n">
        <v>238.2</v>
      </c>
      <c r="F234" s="7" t="n">
        <v>236.1</v>
      </c>
      <c r="H234" s="7" t="n">
        <v>644.6</v>
      </c>
      <c r="J234" s="7" t="n">
        <v>1009.3</v>
      </c>
      <c r="L234" s="7" t="n">
        <v>730.5</v>
      </c>
      <c r="N234" s="7" t="n">
        <v>586</v>
      </c>
      <c r="P234" s="7" t="n">
        <v>1452.6</v>
      </c>
      <c r="R234" s="7" t="n">
        <v>841.9</v>
      </c>
      <c r="T234" s="7" t="n">
        <v>449.5</v>
      </c>
      <c r="V234" s="7" t="n">
        <v>595.3</v>
      </c>
      <c r="X234" s="7" t="n">
        <v>859.5</v>
      </c>
      <c r="Z234" s="7" t="n">
        <v>747.4</v>
      </c>
      <c r="AB234" s="7" t="n">
        <v>8390.9</v>
      </c>
    </row>
    <row r="235">
      <c r="A235" s="4" t="inlineStr">
        <is>
          <t>保险费</t>
        </is>
      </c>
      <c r="D235" s="7" t="n">
        <v>39.1</v>
      </c>
      <c r="F235" s="7" t="n">
        <v>40.8</v>
      </c>
      <c r="H235" s="7" t="n">
        <v>117.4</v>
      </c>
      <c r="J235" s="7" t="n">
        <v>167.1</v>
      </c>
      <c r="L235" s="7" t="n">
        <v>194.4</v>
      </c>
      <c r="N235" s="7" t="n">
        <v>63.1</v>
      </c>
      <c r="P235" s="7" t="n">
        <v>197.7</v>
      </c>
      <c r="R235" s="7" t="n">
        <v>209.2</v>
      </c>
      <c r="T235" s="7" t="n">
        <v>95.2</v>
      </c>
      <c r="V235" s="7" t="n">
        <v>112.2</v>
      </c>
      <c r="X235" s="7" t="n">
        <v>178.5</v>
      </c>
      <c r="Z235" s="7" t="n">
        <v>128.2</v>
      </c>
      <c r="AB235" s="7" t="n">
        <v>1542.9</v>
      </c>
    </row>
    <row r="236">
      <c r="A236" s="4" t="inlineStr">
        <is>
          <t>清洁费</t>
        </is>
      </c>
      <c r="D236" s="7" t="n">
        <v>72.40000000000001</v>
      </c>
      <c r="F236" s="7" t="n">
        <v>74.3</v>
      </c>
      <c r="H236" s="7" t="n">
        <v>126.9</v>
      </c>
      <c r="J236" s="7" t="n">
        <v>254.8</v>
      </c>
      <c r="L236" s="7" t="n">
        <v>367.7</v>
      </c>
      <c r="N236" s="7" t="n">
        <v>180</v>
      </c>
      <c r="P236" s="7" t="n">
        <v>453.7</v>
      </c>
      <c r="R236" s="7" t="n">
        <v>292.9</v>
      </c>
      <c r="T236" s="7" t="n">
        <v>110.7</v>
      </c>
      <c r="V236" s="7" t="n">
        <v>176.5</v>
      </c>
      <c r="X236" s="7" t="n">
        <v>239.4</v>
      </c>
      <c r="Z236" s="7" t="n">
        <v>273</v>
      </c>
      <c r="AB236" s="7" t="n">
        <v>2622.3</v>
      </c>
    </row>
    <row r="237">
      <c r="A237" s="4" t="inlineStr">
        <is>
          <t>低值易耗品</t>
        </is>
      </c>
      <c r="D237" s="7" t="n">
        <v>16.5</v>
      </c>
      <c r="F237" s="7" t="n">
        <v>15.5</v>
      </c>
      <c r="H237" s="7" t="n">
        <v>35.1</v>
      </c>
      <c r="J237" s="7" t="n">
        <v>45.1</v>
      </c>
      <c r="L237" s="7" t="n">
        <v>65.7</v>
      </c>
      <c r="N237" s="7" t="n">
        <v>42</v>
      </c>
      <c r="P237" s="7" t="n">
        <v>100.7</v>
      </c>
      <c r="R237" s="7" t="n">
        <v>50.9</v>
      </c>
      <c r="T237" s="7" t="n">
        <v>34.9</v>
      </c>
      <c r="V237" s="7" t="n">
        <v>44.7</v>
      </c>
      <c r="X237" s="7" t="n">
        <v>36.3</v>
      </c>
      <c r="Z237" s="7" t="n">
        <v>41</v>
      </c>
      <c r="AB237" s="7" t="n">
        <v>528.4</v>
      </c>
    </row>
    <row r="238">
      <c r="A238" s="4" t="inlineStr">
        <is>
          <t>物料消耗</t>
        </is>
      </c>
      <c r="D238" s="7" t="n">
        <v>135.8</v>
      </c>
      <c r="F238" s="7" t="n">
        <v>195.7</v>
      </c>
      <c r="H238" s="7" t="n">
        <v>328</v>
      </c>
      <c r="J238" s="7" t="n">
        <v>642.8</v>
      </c>
      <c r="L238" s="7" t="n">
        <v>670</v>
      </c>
      <c r="N238" s="7" t="n">
        <v>330</v>
      </c>
      <c r="P238" s="7" t="n">
        <v>1069.8</v>
      </c>
      <c r="R238" s="7" t="n">
        <v>852.8</v>
      </c>
      <c r="T238" s="7" t="n">
        <v>255.8</v>
      </c>
      <c r="V238" s="7" t="n">
        <v>507.8</v>
      </c>
      <c r="X238" s="7" t="n">
        <v>523.7</v>
      </c>
      <c r="Z238" s="7" t="n">
        <v>433.4</v>
      </c>
      <c r="AB238" s="7" t="n">
        <v>5945.6</v>
      </c>
    </row>
    <row r="239">
      <c r="A239" s="4" t="inlineStr">
        <is>
          <t>盘盈盘亏</t>
        </is>
      </c>
      <c r="D239" s="7" t="n">
        <v>241.7</v>
      </c>
      <c r="F239" s="7" t="n">
        <v>216.7</v>
      </c>
      <c r="H239" s="7" t="n">
        <v>540.1</v>
      </c>
      <c r="J239" s="7" t="n">
        <v>985.8</v>
      </c>
      <c r="L239" s="7" t="n">
        <v>626</v>
      </c>
      <c r="N239" s="7" t="n">
        <v>566.6</v>
      </c>
      <c r="P239" s="7" t="n">
        <v>1722.6</v>
      </c>
      <c r="R239" s="7" t="n">
        <v>787.4</v>
      </c>
      <c r="T239" s="7" t="n">
        <v>413.8</v>
      </c>
      <c r="V239" s="7" t="n">
        <v>480.8</v>
      </c>
      <c r="X239" s="7" t="n">
        <v>916.7</v>
      </c>
      <c r="Z239" s="7" t="n">
        <v>559.7</v>
      </c>
      <c r="AB239" s="7" t="n">
        <v>8057.9</v>
      </c>
    </row>
    <row r="240">
      <c r="A240" s="4" t="inlineStr">
        <is>
          <t>平台服务费</t>
        </is>
      </c>
      <c r="D240" s="7" t="n">
        <v>92.2</v>
      </c>
      <c r="F240" s="7" t="n">
        <v>120.9</v>
      </c>
      <c r="H240" s="7" t="n">
        <v>239.6</v>
      </c>
      <c r="J240" s="7" t="n">
        <v>337.7</v>
      </c>
      <c r="L240" s="7" t="n">
        <v>398.9</v>
      </c>
      <c r="N240" s="7" t="n">
        <v>249.9</v>
      </c>
      <c r="P240" s="7" t="n">
        <v>799.7</v>
      </c>
      <c r="R240" s="7" t="n">
        <v>552.2</v>
      </c>
      <c r="T240" s="7" t="n">
        <v>221.8</v>
      </c>
      <c r="V240" s="7" t="n">
        <v>299.8</v>
      </c>
      <c r="X240" s="7" t="n">
        <v>329.2</v>
      </c>
      <c r="Z240" s="7" t="n">
        <v>287.2</v>
      </c>
      <c r="AB240" s="7" t="n">
        <v>3929.1</v>
      </c>
    </row>
    <row r="241">
      <c r="A241" s="4" t="inlineStr">
        <is>
          <t>无形资产摊销</t>
        </is>
      </c>
      <c r="D241" s="7" t="n">
        <v>172.6</v>
      </c>
      <c r="F241" s="7" t="n">
        <v>266.6</v>
      </c>
      <c r="H241" s="7" t="n">
        <v>415.5</v>
      </c>
      <c r="J241" s="7" t="n">
        <v>732.2</v>
      </c>
      <c r="L241" s="7" t="n">
        <v>680.7</v>
      </c>
      <c r="N241" s="7" t="n">
        <v>448.6</v>
      </c>
      <c r="P241" s="7" t="n">
        <v>1021.3</v>
      </c>
      <c r="R241" s="7" t="n">
        <v>992.9</v>
      </c>
      <c r="T241" s="7" t="n">
        <v>367.1</v>
      </c>
      <c r="V241" s="7" t="n">
        <v>658.8</v>
      </c>
      <c r="X241" s="7" t="n">
        <v>681.1</v>
      </c>
      <c r="Z241" s="7" t="n">
        <v>531</v>
      </c>
      <c r="AB241" s="7" t="n">
        <v>6968.4</v>
      </c>
    </row>
    <row r="242">
      <c r="A242" s="4" t="inlineStr">
        <is>
          <t>研发材料</t>
        </is>
      </c>
      <c r="D242" s="7" t="n">
        <v>133.9</v>
      </c>
      <c r="F242" s="7" t="n">
        <v>196.5</v>
      </c>
      <c r="H242" s="7" t="n">
        <v>332.7</v>
      </c>
      <c r="J242" s="7" t="n">
        <v>443.2</v>
      </c>
      <c r="L242" s="7" t="n">
        <v>576.5</v>
      </c>
      <c r="N242" s="7" t="n">
        <v>325.2</v>
      </c>
      <c r="P242" s="7" t="n">
        <v>927.8</v>
      </c>
      <c r="R242" s="7" t="n">
        <v>524.3</v>
      </c>
      <c r="T242" s="7" t="n">
        <v>303.1</v>
      </c>
      <c r="V242" s="7" t="n">
        <v>324.1</v>
      </c>
      <c r="X242" s="7" t="n">
        <v>417.9</v>
      </c>
      <c r="Z242" s="7" t="n">
        <v>392.7</v>
      </c>
      <c r="AB242" s="7" t="n">
        <v>4897.9</v>
      </c>
    </row>
    <row r="243">
      <c r="A243" s="4" t="inlineStr">
        <is>
          <t>项目名称</t>
        </is>
      </c>
      <c r="D243" s="7" t="n">
        <v>54.6</v>
      </c>
      <c r="F243" s="7" t="n">
        <v>68.3</v>
      </c>
      <c r="H243" s="7" t="n">
        <v>165.3</v>
      </c>
      <c r="J243" s="7" t="n">
        <v>234.8</v>
      </c>
      <c r="L243" s="7" t="n">
        <v>183</v>
      </c>
      <c r="N243" s="7" t="n">
        <v>192.8</v>
      </c>
      <c r="P243" s="7" t="n">
        <v>349.7</v>
      </c>
      <c r="R243" s="7" t="n">
        <v>315.5</v>
      </c>
      <c r="T243" s="7" t="n">
        <v>125.1</v>
      </c>
      <c r="V243" s="7" t="n">
        <v>231.3</v>
      </c>
      <c r="X243" s="7" t="n">
        <v>218.8</v>
      </c>
      <c r="Z243" s="7" t="n">
        <v>188.3</v>
      </c>
      <c r="AB243" s="7" t="n">
        <v>2327.5</v>
      </c>
    </row>
    <row r="244">
      <c r="A244" s="4" t="inlineStr">
        <is>
          <t>研发费</t>
        </is>
      </c>
      <c r="D244" s="7" t="n">
        <v>95.09999999999999</v>
      </c>
      <c r="F244" s="7" t="n">
        <v>141.4</v>
      </c>
      <c r="H244" s="7" t="n">
        <v>297.4</v>
      </c>
      <c r="J244" s="7" t="n">
        <v>276</v>
      </c>
      <c r="L244" s="7" t="n">
        <v>334.6</v>
      </c>
      <c r="N244" s="7" t="n">
        <v>196</v>
      </c>
      <c r="P244" s="7" t="n">
        <v>582.1</v>
      </c>
      <c r="R244" s="7" t="n">
        <v>560.9</v>
      </c>
      <c r="T244" s="7" t="n">
        <v>194.8</v>
      </c>
      <c r="V244" s="7" t="n">
        <v>240.5</v>
      </c>
      <c r="X244" s="7" t="n">
        <v>435.2</v>
      </c>
      <c r="Z244" s="7" t="n">
        <v>345.5</v>
      </c>
      <c r="AB244" s="7" t="n">
        <v>3699.5</v>
      </c>
    </row>
    <row r="245">
      <c r="A245" s="4" t="inlineStr">
        <is>
          <t>残保金</t>
        </is>
      </c>
      <c r="D245" s="7" t="n">
        <v>178.3</v>
      </c>
      <c r="F245" s="7" t="n">
        <v>236.8</v>
      </c>
      <c r="H245" s="7" t="n">
        <v>483.4</v>
      </c>
      <c r="J245" s="7" t="n">
        <v>529.2</v>
      </c>
      <c r="L245" s="7" t="n">
        <v>713.3</v>
      </c>
      <c r="N245" s="7" t="n">
        <v>277.6</v>
      </c>
      <c r="P245" s="7" t="n">
        <v>1243.4</v>
      </c>
      <c r="R245" s="7" t="n">
        <v>513.2</v>
      </c>
      <c r="T245" s="7" t="n">
        <v>346.6</v>
      </c>
      <c r="V245" s="7" t="n">
        <v>344.6</v>
      </c>
      <c r="X245" s="7" t="n">
        <v>422.1</v>
      </c>
      <c r="Z245" s="7" t="n">
        <v>629.4</v>
      </c>
      <c r="AB245" s="7" t="n">
        <v>5917.9</v>
      </c>
    </row>
    <row r="246">
      <c r="A246" s="4" t="inlineStr">
        <is>
          <t>环保费</t>
        </is>
      </c>
      <c r="D246" s="7" t="n">
        <v>99.59999999999999</v>
      </c>
      <c r="F246" s="7" t="n">
        <v>180.2</v>
      </c>
      <c r="H246" s="7" t="n">
        <v>246.2</v>
      </c>
      <c r="J246" s="7" t="n">
        <v>544.3</v>
      </c>
      <c r="L246" s="7" t="n">
        <v>390.7</v>
      </c>
      <c r="N246" s="7" t="n">
        <v>247</v>
      </c>
      <c r="P246" s="7" t="n">
        <v>761.9</v>
      </c>
      <c r="R246" s="7" t="n">
        <v>431.1</v>
      </c>
      <c r="T246" s="7" t="n">
        <v>177.3</v>
      </c>
      <c r="V246" s="7" t="n">
        <v>261.1</v>
      </c>
      <c r="X246" s="7" t="n">
        <v>466.6</v>
      </c>
      <c r="Z246" s="7" t="n">
        <v>442.5</v>
      </c>
      <c r="AB246" s="7" t="n">
        <v>4248.5</v>
      </c>
    </row>
    <row r="247">
      <c r="A247" s="4" t="inlineStr">
        <is>
          <t>报废损失</t>
        </is>
      </c>
      <c r="D247" s="7" t="n">
        <v>302.8</v>
      </c>
      <c r="F247" s="7" t="n">
        <v>251.5</v>
      </c>
      <c r="H247" s="7" t="n">
        <v>614.9</v>
      </c>
      <c r="J247" s="7" t="n">
        <v>1160.2</v>
      </c>
      <c r="L247" s="7" t="n">
        <v>1214.7</v>
      </c>
      <c r="N247" s="7" t="n">
        <v>493.4</v>
      </c>
      <c r="P247" s="7" t="n">
        <v>1876.8</v>
      </c>
      <c r="R247" s="7" t="n">
        <v>883.9</v>
      </c>
      <c r="T247" s="7" t="n">
        <v>557</v>
      </c>
      <c r="V247" s="7" t="n">
        <v>556.4</v>
      </c>
      <c r="X247" s="7" t="n">
        <v>684</v>
      </c>
      <c r="Z247" s="7" t="n">
        <v>947.4</v>
      </c>
      <c r="AB247" s="7" t="n">
        <v>9543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5928.8</v>
      </c>
      <c r="D248" s="7" t="n">
        <v>-531.7</v>
      </c>
      <c r="E248" s="7" t="n">
        <v>6933.8</v>
      </c>
      <c r="F248" s="7" t="n">
        <v>-1896.6</v>
      </c>
      <c r="G248" s="7" t="n">
        <v>6003.9</v>
      </c>
      <c r="H248" s="7" t="n">
        <v>6563.4</v>
      </c>
      <c r="I248" s="7" t="n">
        <v>6166.1</v>
      </c>
      <c r="J248" s="7" t="n">
        <v>14021.5</v>
      </c>
      <c r="K248" s="7" t="n">
        <v>5986.2</v>
      </c>
      <c r="L248" s="7" t="n">
        <v>13080.2</v>
      </c>
      <c r="M248" s="7" t="n">
        <v>6209.7</v>
      </c>
      <c r="N248" s="7" t="n">
        <v>-1182</v>
      </c>
      <c r="O248" s="7" t="n">
        <v>6160.6</v>
      </c>
      <c r="P248" s="7" t="n">
        <v>18303.8</v>
      </c>
      <c r="Q248" s="7" t="n">
        <v>7675.8</v>
      </c>
      <c r="R248" s="7" t="n">
        <v>1141.2</v>
      </c>
      <c r="S248" s="7" t="n">
        <v>7618.9</v>
      </c>
      <c r="T248" s="7" t="n">
        <v>-4781.3</v>
      </c>
      <c r="U248" s="7" t="n">
        <v>7077.9</v>
      </c>
      <c r="V248" s="7" t="n">
        <v>16385.2</v>
      </c>
      <c r="W248" s="7" t="n">
        <v>6465.9</v>
      </c>
      <c r="X248" s="7" t="n">
        <v>14158.7</v>
      </c>
      <c r="Y248" s="7" t="n">
        <v>6396.4</v>
      </c>
      <c r="Z248" s="7" t="n">
        <v>7831.1</v>
      </c>
      <c r="AA248" s="8" t="n">
        <v>78624</v>
      </c>
      <c r="AB248" s="8" t="n">
        <v>83093.5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-3248.5</v>
      </c>
      <c r="E250" s="7" t="n">
        <v>0</v>
      </c>
      <c r="F250" s="7" t="n">
        <v>-3901.2</v>
      </c>
      <c r="G250" s="7" t="n">
        <v>0</v>
      </c>
      <c r="H250" s="7" t="n">
        <v>-2517.9</v>
      </c>
      <c r="I250" s="7" t="n">
        <v>0</v>
      </c>
      <c r="J250" s="7" t="n">
        <v>1401.4</v>
      </c>
      <c r="K250" s="7" t="n">
        <v>0</v>
      </c>
      <c r="L250" s="7" t="n">
        <v>2545.1</v>
      </c>
      <c r="M250" s="7" t="n">
        <v>0</v>
      </c>
      <c r="N250" s="7" t="n">
        <v>-4329.3</v>
      </c>
      <c r="O250" s="7" t="n">
        <v>0</v>
      </c>
      <c r="P250" s="7" t="n">
        <v>-1225.7</v>
      </c>
      <c r="Q250" s="7" t="n">
        <v>0</v>
      </c>
      <c r="R250" s="7" t="n">
        <v>-4994.3</v>
      </c>
      <c r="S250" s="7" t="n">
        <v>0</v>
      </c>
      <c r="T250" s="7" t="n">
        <v>-392.3</v>
      </c>
      <c r="U250" s="7" t="n">
        <v>0</v>
      </c>
      <c r="V250" s="7" t="n">
        <v>2988.4</v>
      </c>
      <c r="W250" s="7" t="n">
        <v>0</v>
      </c>
      <c r="X250" s="7" t="n">
        <v>1775.3</v>
      </c>
      <c r="Y250" s="7" t="n">
        <v>0</v>
      </c>
      <c r="Z250" s="7" t="n">
        <v>-1049.8</v>
      </c>
      <c r="AA250" s="7" t="n">
        <v>0</v>
      </c>
      <c r="AB250" s="7" t="n">
        <v>-12948.8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18732</v>
      </c>
      <c r="D255" s="7" t="n">
        <v>16244.1</v>
      </c>
      <c r="E255" s="7" t="n">
        <v>18712.8</v>
      </c>
      <c r="F255" s="7" t="n">
        <v>12117</v>
      </c>
      <c r="G255" s="7" t="n">
        <v>20425.8</v>
      </c>
      <c r="H255" s="7" t="n">
        <v>15751.5</v>
      </c>
      <c r="I255" s="7" t="n">
        <v>17068.8</v>
      </c>
      <c r="J255" s="7" t="n">
        <v>28863.1</v>
      </c>
      <c r="K255" s="7" t="n">
        <v>19274.6</v>
      </c>
      <c r="L255" s="7" t="n">
        <v>28298.6</v>
      </c>
      <c r="M255" s="7" t="n">
        <v>17970.5</v>
      </c>
      <c r="N255" s="7" t="n">
        <v>10618.1</v>
      </c>
      <c r="O255" s="7" t="n">
        <v>17582.7</v>
      </c>
      <c r="P255" s="7" t="n">
        <v>18165.5</v>
      </c>
      <c r="Q255" s="7" t="n">
        <v>19300.5</v>
      </c>
      <c r="R255" s="7" t="n">
        <v>21550.7</v>
      </c>
      <c r="S255" s="7" t="n">
        <v>18222.6</v>
      </c>
      <c r="T255" s="7" t="n">
        <v>22480.3</v>
      </c>
      <c r="U255" s="7" t="n">
        <v>18017.9</v>
      </c>
      <c r="V255" s="7" t="n">
        <v>22548.9</v>
      </c>
      <c r="W255" s="7" t="n">
        <v>18004.8</v>
      </c>
      <c r="X255" s="7" t="n">
        <v>15704.1</v>
      </c>
      <c r="Y255" s="7" t="n">
        <v>17673.2</v>
      </c>
      <c r="Z255" s="7" t="n">
        <v>12230.3</v>
      </c>
      <c r="AA255" s="7" t="n">
        <v>220986.2</v>
      </c>
      <c r="AB255" s="7" t="n">
        <v>224572.2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515282.8</v>
      </c>
      <c r="D256" s="7" t="n">
        <v>276603.3</v>
      </c>
      <c r="E256" s="7" t="n">
        <v>550969.8</v>
      </c>
      <c r="F256" s="7" t="n">
        <v>258515.1</v>
      </c>
      <c r="G256" s="7" t="n">
        <v>559009.5</v>
      </c>
      <c r="H256" s="7" t="n">
        <v>497827</v>
      </c>
      <c r="I256" s="7" t="n">
        <v>555570.2</v>
      </c>
      <c r="J256" s="7" t="n">
        <v>719327.6</v>
      </c>
      <c r="K256" s="7" t="n">
        <v>555377.5</v>
      </c>
      <c r="L256" s="7" t="n">
        <v>515200.1</v>
      </c>
      <c r="M256" s="7" t="n">
        <v>625618.3</v>
      </c>
      <c r="N256" s="7" t="n">
        <v>828721.2</v>
      </c>
      <c r="O256" s="7" t="n">
        <v>555056.7</v>
      </c>
      <c r="P256" s="7" t="n">
        <v>902899.2</v>
      </c>
      <c r="Q256" s="7" t="n">
        <v>547059.2</v>
      </c>
      <c r="R256" s="7" t="n">
        <v>813602.4</v>
      </c>
      <c r="S256" s="7" t="n">
        <v>485695.8</v>
      </c>
      <c r="T256" s="7" t="n">
        <v>631065.9</v>
      </c>
      <c r="U256" s="7" t="n">
        <v>636619.9</v>
      </c>
      <c r="V256" s="7" t="n">
        <v>629038.2</v>
      </c>
      <c r="W256" s="7" t="n">
        <v>628085.8</v>
      </c>
      <c r="X256" s="7" t="n">
        <v>422063.4</v>
      </c>
      <c r="Y256" s="7" t="n">
        <v>632414.3</v>
      </c>
      <c r="Z256" s="7" t="n">
        <v>239969.1</v>
      </c>
      <c r="AA256" s="8" t="n">
        <v>6846759.8</v>
      </c>
      <c r="AB256" s="8" t="n">
        <v>6734832.5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1477.1</v>
      </c>
      <c r="E257" s="7" t="n">
        <v>0</v>
      </c>
      <c r="F257" s="7" t="n">
        <v>265.6</v>
      </c>
      <c r="G257" s="7" t="n">
        <v>0</v>
      </c>
      <c r="H257" s="7" t="n">
        <v>2325.4</v>
      </c>
      <c r="I257" s="7" t="n">
        <v>0</v>
      </c>
      <c r="J257" s="7" t="n">
        <v>1932.8</v>
      </c>
      <c r="K257" s="7" t="n">
        <v>0</v>
      </c>
      <c r="L257" s="7" t="n">
        <v>3267.2</v>
      </c>
      <c r="M257" s="7" t="n">
        <v>0</v>
      </c>
      <c r="N257" s="7" t="n">
        <v>2166.9</v>
      </c>
      <c r="O257" s="7" t="n">
        <v>0</v>
      </c>
      <c r="P257" s="7" t="n">
        <v>2991.2</v>
      </c>
      <c r="Q257" s="7" t="n">
        <v>0</v>
      </c>
      <c r="R257" s="7" t="n">
        <v>1773.9</v>
      </c>
      <c r="S257" s="7" t="n">
        <v>0</v>
      </c>
      <c r="T257" s="7" t="n">
        <v>2562.8</v>
      </c>
      <c r="U257" s="7" t="n">
        <v>0</v>
      </c>
      <c r="V257" s="7" t="n">
        <v>2385.5</v>
      </c>
      <c r="W257" s="7" t="n">
        <v>0</v>
      </c>
      <c r="X257" s="7" t="n">
        <v>4669.9</v>
      </c>
      <c r="Y257" s="7" t="n">
        <v>0</v>
      </c>
      <c r="Z257" s="7" t="n">
        <v>4343.1</v>
      </c>
      <c r="AA257" s="7" t="n">
        <v>0</v>
      </c>
      <c r="AB257" s="7" t="n">
        <v>30161.4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1438.4</v>
      </c>
      <c r="E258" s="7" t="n">
        <v>0</v>
      </c>
      <c r="F258" s="7" t="n">
        <v>1057.4</v>
      </c>
      <c r="G258" s="7" t="n">
        <v>0</v>
      </c>
      <c r="H258" s="7" t="n">
        <v>580.4</v>
      </c>
      <c r="I258" s="7" t="n">
        <v>0</v>
      </c>
      <c r="J258" s="7" t="n">
        <v>2766</v>
      </c>
      <c r="K258" s="7" t="n">
        <v>0</v>
      </c>
      <c r="L258" s="7" t="n">
        <v>497.8</v>
      </c>
      <c r="M258" s="7" t="n">
        <v>0</v>
      </c>
      <c r="N258" s="7" t="n">
        <v>2976.3</v>
      </c>
      <c r="O258" s="7" t="n">
        <v>0</v>
      </c>
      <c r="P258" s="7" t="n">
        <v>437.8</v>
      </c>
      <c r="Q258" s="7" t="n">
        <v>0</v>
      </c>
      <c r="R258" s="7" t="n">
        <v>2133.3</v>
      </c>
      <c r="S258" s="7" t="n">
        <v>0</v>
      </c>
      <c r="T258" s="7" t="n">
        <v>808.8</v>
      </c>
      <c r="U258" s="7" t="n">
        <v>0</v>
      </c>
      <c r="V258" s="7" t="n">
        <v>74.09999999999999</v>
      </c>
      <c r="W258" s="7" t="n">
        <v>0</v>
      </c>
      <c r="X258" s="7" t="n">
        <v>656.1</v>
      </c>
      <c r="Y258" s="7" t="n">
        <v>0</v>
      </c>
      <c r="Z258" s="7" t="n">
        <v>1563.3</v>
      </c>
      <c r="AA258" s="7" t="n">
        <v>0</v>
      </c>
      <c r="AB258" s="7" t="n">
        <v>14989.7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472203</v>
      </c>
      <c r="D259" s="7" t="n">
        <v>250278.4</v>
      </c>
      <c r="E259" s="7" t="n">
        <v>594496</v>
      </c>
      <c r="F259" s="7" t="n">
        <v>253521.2</v>
      </c>
      <c r="G259" s="7" t="n">
        <v>586162.1</v>
      </c>
      <c r="H259" s="7" t="n">
        <v>527548.4</v>
      </c>
      <c r="I259" s="7" t="n">
        <v>559451.8</v>
      </c>
      <c r="J259" s="7" t="n">
        <v>713614.8</v>
      </c>
      <c r="K259" s="7" t="n">
        <v>477326.3</v>
      </c>
      <c r="L259" s="7" t="n">
        <v>527747.6</v>
      </c>
      <c r="M259" s="7" t="n">
        <v>625568.5</v>
      </c>
      <c r="N259" s="7" t="n">
        <v>793074.1</v>
      </c>
      <c r="O259" s="7" t="n">
        <v>619779</v>
      </c>
      <c r="P259" s="7" t="n">
        <v>821803.7</v>
      </c>
      <c r="Q259" s="7" t="n">
        <v>528444.5</v>
      </c>
      <c r="R259" s="7" t="n">
        <v>816368.2</v>
      </c>
      <c r="S259" s="7" t="n">
        <v>574964.1</v>
      </c>
      <c r="T259" s="7" t="n">
        <v>583521.1</v>
      </c>
      <c r="U259" s="7" t="n">
        <v>538636.7</v>
      </c>
      <c r="V259" s="7" t="n">
        <v>621288.2</v>
      </c>
      <c r="W259" s="7" t="n">
        <v>585154.9</v>
      </c>
      <c r="X259" s="7" t="n">
        <v>421009.7</v>
      </c>
      <c r="Y259" s="7" t="n">
        <v>510208.1</v>
      </c>
      <c r="Z259" s="7" t="n">
        <v>252622.2</v>
      </c>
      <c r="AA259" s="8" t="n">
        <v>6672395</v>
      </c>
      <c r="AB259" s="8" t="n">
        <v>6582397.6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122413.9</v>
      </c>
      <c r="D260" s="7" t="n">
        <v>62569.6</v>
      </c>
      <c r="E260" s="7" t="n">
        <v>154206.2</v>
      </c>
      <c r="F260" s="7" t="n">
        <v>63380.3</v>
      </c>
      <c r="G260" s="7" t="n">
        <v>120397.1</v>
      </c>
      <c r="H260" s="7" t="n">
        <v>131887.1</v>
      </c>
      <c r="I260" s="7" t="n">
        <v>132356.5</v>
      </c>
      <c r="J260" s="7" t="n">
        <v>178403.7</v>
      </c>
      <c r="K260" s="7" t="n">
        <v>132788.9</v>
      </c>
      <c r="L260" s="7" t="n">
        <v>131936.9</v>
      </c>
      <c r="M260" s="7" t="n">
        <v>118286.7</v>
      </c>
      <c r="N260" s="7" t="n">
        <v>198268.5</v>
      </c>
      <c r="O260" s="7" t="n">
        <v>129025</v>
      </c>
      <c r="P260" s="7" t="n">
        <v>205450.9</v>
      </c>
      <c r="Q260" s="7" t="n">
        <v>155792.7</v>
      </c>
      <c r="R260" s="7" t="n">
        <v>204092</v>
      </c>
      <c r="S260" s="7" t="n">
        <v>124564.7</v>
      </c>
      <c r="T260" s="7" t="n">
        <v>145880.3</v>
      </c>
      <c r="U260" s="7" t="n">
        <v>139984.1</v>
      </c>
      <c r="V260" s="7" t="n">
        <v>155322</v>
      </c>
      <c r="W260" s="7" t="n">
        <v>133742.9</v>
      </c>
      <c r="X260" s="7" t="n">
        <v>105252.4</v>
      </c>
      <c r="Y260" s="7" t="n">
        <v>150541.7</v>
      </c>
      <c r="Z260" s="7" t="n">
        <v>63155.6</v>
      </c>
      <c r="AA260" s="7" t="n">
        <v>1614100.4</v>
      </c>
      <c r="AB260" s="7" t="n">
        <v>1645599.3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354575.6</v>
      </c>
      <c r="D261" s="7" t="n">
        <v>187708.8</v>
      </c>
      <c r="E261" s="7" t="n">
        <v>228030.9</v>
      </c>
      <c r="F261" s="7" t="n">
        <v>190140.9</v>
      </c>
      <c r="G261" s="7" t="n">
        <v>373037.8</v>
      </c>
      <c r="H261" s="7" t="n">
        <v>395661.3</v>
      </c>
      <c r="I261" s="7" t="n">
        <v>376749.8</v>
      </c>
      <c r="J261" s="7" t="n">
        <v>535211.1</v>
      </c>
      <c r="K261" s="7" t="n">
        <v>247686.8</v>
      </c>
      <c r="L261" s="7" t="n">
        <v>395810.7</v>
      </c>
      <c r="M261" s="7" t="n">
        <v>309656.2</v>
      </c>
      <c r="N261" s="7" t="n">
        <v>594805.6</v>
      </c>
      <c r="O261" s="7" t="n">
        <v>261167.6</v>
      </c>
      <c r="P261" s="7" t="n">
        <v>616352.8</v>
      </c>
      <c r="Q261" s="7" t="n">
        <v>413305.9</v>
      </c>
      <c r="R261" s="7" t="n">
        <v>612276.2</v>
      </c>
      <c r="S261" s="7" t="n">
        <v>327710.9</v>
      </c>
      <c r="T261" s="7" t="n">
        <v>437640.8</v>
      </c>
      <c r="U261" s="7" t="n">
        <v>236721.3</v>
      </c>
      <c r="V261" s="7" t="n">
        <v>465966.2</v>
      </c>
      <c r="W261" s="7" t="n">
        <v>275429</v>
      </c>
      <c r="X261" s="7" t="n">
        <v>315757.3</v>
      </c>
      <c r="Y261" s="7" t="n">
        <v>391979.6</v>
      </c>
      <c r="Z261" s="7" t="n">
        <v>189466.6</v>
      </c>
      <c r="AA261" s="8" t="n">
        <v>3796051.4</v>
      </c>
      <c r="AB261" s="8" t="n">
        <v>4936798.3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8539.6</v>
      </c>
      <c r="E262" s="7" t="n">
        <v>0</v>
      </c>
      <c r="F262" s="7" t="n">
        <v>31205.3</v>
      </c>
      <c r="G262" s="7" t="n">
        <v>0</v>
      </c>
      <c r="H262" s="7" t="n">
        <v>30285.6</v>
      </c>
      <c r="I262" s="7" t="n">
        <v>0</v>
      </c>
      <c r="J262" s="7" t="n">
        <v>147087.5</v>
      </c>
      <c r="K262" s="7" t="n">
        <v>0</v>
      </c>
      <c r="L262" s="7" t="n">
        <v>67.3</v>
      </c>
      <c r="M262" s="7" t="n">
        <v>0</v>
      </c>
      <c r="N262" s="7" t="n">
        <v>11817.9</v>
      </c>
      <c r="O262" s="7" t="n">
        <v>0</v>
      </c>
      <c r="P262" s="7" t="n">
        <v>158804.7</v>
      </c>
      <c r="Q262" s="7" t="n">
        <v>0</v>
      </c>
      <c r="R262" s="7" t="n">
        <v>48769.2</v>
      </c>
      <c r="S262" s="7" t="n">
        <v>0</v>
      </c>
      <c r="T262" s="7" t="n">
        <v>63370.1</v>
      </c>
      <c r="U262" s="7" t="n">
        <v>0</v>
      </c>
      <c r="V262" s="7" t="n">
        <v>9238.6</v>
      </c>
      <c r="W262" s="7" t="n">
        <v>0</v>
      </c>
      <c r="X262" s="7" t="n">
        <v>44361.4</v>
      </c>
      <c r="Y262" s="7" t="n">
        <v>0</v>
      </c>
      <c r="Z262" s="7" t="n">
        <v>55771.2</v>
      </c>
      <c r="AA262" s="7" t="n">
        <v>0</v>
      </c>
      <c r="AB262" s="7" t="n">
        <v>609318.4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354575.6</v>
      </c>
      <c r="D263" s="7" t="n">
        <v>179169.2</v>
      </c>
      <c r="E263" s="7" t="n">
        <v>228030.9</v>
      </c>
      <c r="F263" s="7" t="n">
        <v>158935.6</v>
      </c>
      <c r="G263" s="7" t="n">
        <v>373037.8</v>
      </c>
      <c r="H263" s="7" t="n">
        <v>365375.7</v>
      </c>
      <c r="I263" s="7" t="n">
        <v>376749.8</v>
      </c>
      <c r="J263" s="7" t="n">
        <v>388123.6</v>
      </c>
      <c r="K263" s="7" t="n">
        <v>247686.8</v>
      </c>
      <c r="L263" s="7" t="n">
        <v>395743.4</v>
      </c>
      <c r="M263" s="7" t="n">
        <v>309656.2</v>
      </c>
      <c r="N263" s="7" t="n">
        <v>582987.7</v>
      </c>
      <c r="O263" s="7" t="n">
        <v>261167.6</v>
      </c>
      <c r="P263" s="7" t="n">
        <v>457548.1</v>
      </c>
      <c r="Q263" s="7" t="n">
        <v>413305.9</v>
      </c>
      <c r="R263" s="7" t="n">
        <v>563507</v>
      </c>
      <c r="S263" s="7" t="n">
        <v>327710.9</v>
      </c>
      <c r="T263" s="7" t="n">
        <v>374270.7</v>
      </c>
      <c r="U263" s="7" t="n">
        <v>236721.3</v>
      </c>
      <c r="V263" s="7" t="n">
        <v>456727.6</v>
      </c>
      <c r="W263" s="7" t="n">
        <v>275429</v>
      </c>
      <c r="X263" s="7" t="n">
        <v>271395.9</v>
      </c>
      <c r="Y263" s="7" t="n">
        <v>391979.6</v>
      </c>
      <c r="Z263" s="7" t="n">
        <v>133695.4</v>
      </c>
      <c r="AA263" s="8" t="n">
        <v>3796051.4</v>
      </c>
      <c r="AB263" s="8" t="n">
        <v>4327479.9</v>
      </c>
    </row>
    <row r="264">
      <c r="A264" s="4" t="inlineStr">
        <is>
          <t>净利率</t>
        </is>
      </c>
      <c r="D264" s="13" t="n">
        <v>5.6</v>
      </c>
      <c r="F264" s="13" t="n">
        <v>4.7</v>
      </c>
      <c r="H264" s="13" t="n">
        <v>8.1</v>
      </c>
      <c r="J264" s="13" t="n">
        <v>9.4</v>
      </c>
      <c r="L264" s="13" t="n">
        <v>6.1</v>
      </c>
      <c r="N264" s="13" t="n">
        <v>10.1</v>
      </c>
      <c r="P264" s="13" t="n">
        <v>9.6</v>
      </c>
      <c r="R264" s="13" t="n">
        <v>10</v>
      </c>
      <c r="T264" s="13" t="n">
        <v>8.6</v>
      </c>
      <c r="V264" s="13" t="n">
        <v>7.2</v>
      </c>
      <c r="X264" s="13" t="n">
        <v>6.7</v>
      </c>
      <c r="Z264" s="13" t="n">
        <v>5.4</v>
      </c>
    </row>
    <row r="265">
      <c r="A265" s="4" t="inlineStr">
        <is>
          <t>销售达成率</t>
        </is>
      </c>
      <c r="D265" s="13" t="n">
        <v>63.4</v>
      </c>
      <c r="F265" s="13" t="n">
        <v>67.90000000000001</v>
      </c>
      <c r="H265" s="13" t="n">
        <v>84.5</v>
      </c>
      <c r="J265" s="13" t="n">
        <v>118.7</v>
      </c>
      <c r="L265" s="13" t="n">
        <v>139.5</v>
      </c>
      <c r="N265" s="13" t="n">
        <v>110.7</v>
      </c>
      <c r="P265" s="13" t="n">
        <v>116</v>
      </c>
      <c r="R265" s="13" t="n">
        <v>122</v>
      </c>
      <c r="T265" s="13" t="n">
        <v>87.40000000000001</v>
      </c>
      <c r="V265" s="13" t="n">
        <v>113.2</v>
      </c>
      <c r="X265" s="13" t="n">
        <v>85.2</v>
      </c>
      <c r="Z265" s="13" t="n">
        <v>72.90000000000001</v>
      </c>
    </row>
    <row r="266">
      <c r="A266" s="4" t="inlineStr">
        <is>
          <t>净利达成率</t>
        </is>
      </c>
      <c r="D266" s="13" t="n">
        <v>52.9</v>
      </c>
      <c r="F266" s="13" t="n">
        <v>83.40000000000001</v>
      </c>
      <c r="H266" s="13" t="n">
        <v>106.1</v>
      </c>
      <c r="J266" s="13" t="n">
        <v>142.1</v>
      </c>
      <c r="L266" s="13" t="n">
        <v>159.8</v>
      </c>
      <c r="N266" s="13" t="n">
        <v>192.1</v>
      </c>
      <c r="P266" s="13" t="n">
        <v>236</v>
      </c>
      <c r="R266" s="13" t="n">
        <v>148.1</v>
      </c>
      <c r="T266" s="13" t="n">
        <v>133.5</v>
      </c>
      <c r="V266" s="13" t="n">
        <v>196.8</v>
      </c>
      <c r="X266" s="13" t="n">
        <v>114.6</v>
      </c>
      <c r="Z266" s="13" t="n">
        <v>48.3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上海分部利润表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4868945</v>
      </c>
      <c r="D6" s="7" t="n">
        <v>3439444.8</v>
      </c>
      <c r="E6" s="7" t="n">
        <v>4987501.8</v>
      </c>
      <c r="F6" s="7" t="n">
        <v>3886332.6</v>
      </c>
      <c r="G6" s="7" t="n">
        <v>4867130</v>
      </c>
      <c r="H6" s="7" t="n">
        <v>5127626.4</v>
      </c>
      <c r="I6" s="7" t="n">
        <v>5553316.3</v>
      </c>
      <c r="J6" s="7" t="n">
        <v>5594028.5</v>
      </c>
      <c r="K6" s="7" t="n">
        <v>5926360</v>
      </c>
      <c r="L6" s="7" t="n">
        <v>6440434.6</v>
      </c>
      <c r="M6" s="7" t="n">
        <v>4975247.9</v>
      </c>
      <c r="N6" s="7" t="n">
        <v>7364615.5</v>
      </c>
      <c r="O6" s="7" t="n">
        <v>5026731</v>
      </c>
      <c r="P6" s="7" t="n">
        <v>6906708.7</v>
      </c>
      <c r="Q6" s="7" t="n">
        <v>5468158.2</v>
      </c>
      <c r="R6" s="7" t="n">
        <v>5873095.3</v>
      </c>
      <c r="S6" s="7" t="n">
        <v>5864377.8</v>
      </c>
      <c r="T6" s="7" t="n">
        <v>5523704.7</v>
      </c>
      <c r="U6" s="7" t="n">
        <v>6279775.8</v>
      </c>
      <c r="V6" s="7" t="n">
        <v>6301202.1</v>
      </c>
      <c r="W6" s="7" t="n">
        <v>5534811.1</v>
      </c>
      <c r="X6" s="7" t="n">
        <v>4816171.9</v>
      </c>
      <c r="Y6" s="7" t="n">
        <v>5136528.3</v>
      </c>
      <c r="Z6" s="7" t="n">
        <v>3984140.6</v>
      </c>
      <c r="AA6" s="8" t="n">
        <v>64488883.2</v>
      </c>
      <c r="AB6" s="8" t="n">
        <v>65257505.7</v>
      </c>
    </row>
    <row r="7">
      <c r="A7" s="4" t="inlineStr">
        <is>
          <t>中式汤底</t>
        </is>
      </c>
      <c r="D7" s="7" t="n">
        <v>712340.7</v>
      </c>
      <c r="F7" s="7" t="n">
        <v>808594</v>
      </c>
      <c r="H7" s="7" t="n">
        <v>1158174.5</v>
      </c>
      <c r="J7" s="7" t="n">
        <v>1210242.4</v>
      </c>
      <c r="L7" s="7" t="n">
        <v>1385753.1</v>
      </c>
      <c r="N7" s="7" t="n">
        <v>1547320.7</v>
      </c>
      <c r="P7" s="7" t="n">
        <v>1431795</v>
      </c>
      <c r="R7" s="7" t="n">
        <v>1100174.3</v>
      </c>
      <c r="T7" s="7" t="n">
        <v>1230955.4</v>
      </c>
      <c r="V7" s="7" t="n">
        <v>1402875.5</v>
      </c>
      <c r="X7" s="7" t="n">
        <v>832145.9</v>
      </c>
      <c r="Z7" s="7" t="n">
        <v>707736.1</v>
      </c>
      <c r="AB7" s="7" t="n">
        <v>13528107.6</v>
      </c>
    </row>
    <row r="8">
      <c r="A8" s="4" t="inlineStr">
        <is>
          <t>酱料</t>
        </is>
      </c>
      <c r="D8" s="7" t="n">
        <v>416917.2</v>
      </c>
      <c r="F8" s="7" t="n">
        <v>612776.9</v>
      </c>
      <c r="H8" s="7" t="n">
        <v>603691.7</v>
      </c>
      <c r="J8" s="7" t="n">
        <v>826218.3</v>
      </c>
      <c r="L8" s="7" t="n">
        <v>788818.8</v>
      </c>
      <c r="N8" s="7" t="n">
        <v>1132708.3</v>
      </c>
      <c r="P8" s="7" t="n">
        <v>1138678.8</v>
      </c>
      <c r="R8" s="7" t="n">
        <v>988544.1</v>
      </c>
      <c r="T8" s="7" t="n">
        <v>651813.4</v>
      </c>
      <c r="V8" s="7" t="n">
        <v>1073685.9</v>
      </c>
      <c r="X8" s="7" t="n">
        <v>863742.1</v>
      </c>
      <c r="Z8" s="7" t="n">
        <v>624961.2</v>
      </c>
      <c r="AB8" s="7" t="n">
        <v>9722556.699999999</v>
      </c>
    </row>
    <row r="9">
      <c r="A9" s="4" t="inlineStr">
        <is>
          <t>川味底料</t>
        </is>
      </c>
      <c r="D9" s="7" t="n">
        <v>471586.6</v>
      </c>
      <c r="F9" s="7" t="n">
        <v>603528.7</v>
      </c>
      <c r="H9" s="7" t="n">
        <v>744202.8</v>
      </c>
      <c r="J9" s="7" t="n">
        <v>851027.4</v>
      </c>
      <c r="L9" s="7" t="n">
        <v>960688.1</v>
      </c>
      <c r="N9" s="7" t="n">
        <v>1113803</v>
      </c>
      <c r="P9" s="7" t="n">
        <v>1101597.8</v>
      </c>
      <c r="R9" s="7" t="n">
        <v>789260.2</v>
      </c>
      <c r="T9" s="7" t="n">
        <v>755948.2</v>
      </c>
      <c r="V9" s="7" t="n">
        <v>870857.9</v>
      </c>
      <c r="X9" s="7" t="n">
        <v>704551.6</v>
      </c>
      <c r="Z9" s="7" t="n">
        <v>684151.8</v>
      </c>
      <c r="AB9" s="7" t="n">
        <v>9651204.1</v>
      </c>
    </row>
    <row r="10">
      <c r="A10" s="4" t="inlineStr">
        <is>
          <t>调味汁</t>
        </is>
      </c>
      <c r="D10" s="7" t="n">
        <v>717632.6</v>
      </c>
      <c r="F10" s="7" t="n">
        <v>615500.6</v>
      </c>
      <c r="H10" s="7" t="n">
        <v>965264.2</v>
      </c>
      <c r="J10" s="7" t="n">
        <v>992498.4</v>
      </c>
      <c r="L10" s="7" t="n">
        <v>1292109.6</v>
      </c>
      <c r="N10" s="7" t="n">
        <v>1395890.2</v>
      </c>
      <c r="P10" s="7" t="n">
        <v>1207561.1</v>
      </c>
      <c r="R10" s="7" t="n">
        <v>999957.2</v>
      </c>
      <c r="T10" s="7" t="n">
        <v>1127437.6</v>
      </c>
      <c r="V10" s="7" t="n">
        <v>1124100.5</v>
      </c>
      <c r="X10" s="7" t="n">
        <v>1051731.7</v>
      </c>
      <c r="Z10" s="7" t="n">
        <v>770814</v>
      </c>
      <c r="AB10" s="7" t="n">
        <v>12260497.7</v>
      </c>
    </row>
    <row r="11">
      <c r="A11" s="4" t="inlineStr">
        <is>
          <t>复合调味粉</t>
        </is>
      </c>
      <c r="D11" s="7" t="n">
        <v>218682.5</v>
      </c>
      <c r="F11" s="7" t="n">
        <v>190770.1</v>
      </c>
      <c r="H11" s="7" t="n">
        <v>268994.6</v>
      </c>
      <c r="J11" s="7" t="n">
        <v>382423.7</v>
      </c>
      <c r="L11" s="7" t="n">
        <v>386087.9</v>
      </c>
      <c r="N11" s="7" t="n">
        <v>417401.5</v>
      </c>
      <c r="P11" s="7" t="n">
        <v>353245.8</v>
      </c>
      <c r="R11" s="7" t="n">
        <v>405325.1</v>
      </c>
      <c r="T11" s="7" t="n">
        <v>274203.7</v>
      </c>
      <c r="V11" s="7" t="n">
        <v>431676.9</v>
      </c>
      <c r="X11" s="7" t="n">
        <v>282540.1</v>
      </c>
      <c r="Z11" s="7" t="n">
        <v>226774.2</v>
      </c>
      <c r="AB11" s="7" t="n">
        <v>3838126.1</v>
      </c>
    </row>
    <row r="12">
      <c r="A12" s="4" t="inlineStr">
        <is>
          <t>团餐</t>
        </is>
      </c>
      <c r="D12" s="7" t="n">
        <v>791157.9</v>
      </c>
      <c r="F12" s="7" t="n">
        <v>968298.5</v>
      </c>
      <c r="H12" s="7" t="n">
        <v>1189417.9</v>
      </c>
      <c r="J12" s="7" t="n">
        <v>1137862.6</v>
      </c>
      <c r="L12" s="7" t="n">
        <v>1524020.2</v>
      </c>
      <c r="N12" s="7" t="n">
        <v>1574392.9</v>
      </c>
      <c r="P12" s="7" t="n">
        <v>1508381</v>
      </c>
      <c r="R12" s="7" t="n">
        <v>1403532.6</v>
      </c>
      <c r="T12" s="7" t="n">
        <v>1332323.9</v>
      </c>
      <c r="V12" s="7" t="n">
        <v>1169869.7</v>
      </c>
      <c r="X12" s="7" t="n">
        <v>943502.2</v>
      </c>
      <c r="Z12" s="7" t="n">
        <v>853685.1</v>
      </c>
      <c r="AB12" s="7" t="n">
        <v>14396444.5</v>
      </c>
    </row>
    <row r="13">
      <c r="A13" s="4" t="inlineStr">
        <is>
          <t>预制菜</t>
        </is>
      </c>
      <c r="D13" s="7" t="n">
        <v>153637.9</v>
      </c>
      <c r="F13" s="7" t="n">
        <v>139079.7</v>
      </c>
      <c r="H13" s="7" t="n">
        <v>189181.4</v>
      </c>
      <c r="J13" s="7" t="n">
        <v>242611.4</v>
      </c>
      <c r="L13" s="7" t="n">
        <v>198599.7</v>
      </c>
      <c r="N13" s="7" t="n">
        <v>224787.5</v>
      </c>
      <c r="P13" s="7" t="n">
        <v>290570.6</v>
      </c>
      <c r="R13" s="7" t="n">
        <v>265827.9</v>
      </c>
      <c r="T13" s="7" t="n">
        <v>223717.4</v>
      </c>
      <c r="V13" s="7" t="n">
        <v>225589.4</v>
      </c>
      <c r="X13" s="7" t="n">
        <v>217590.7</v>
      </c>
      <c r="Z13" s="7" t="n">
        <v>162306.8</v>
      </c>
      <c r="AB13" s="7" t="n">
        <v>2533500.4</v>
      </c>
    </row>
    <row r="14">
      <c r="A14" s="4" t="inlineStr">
        <is>
          <t>返利</t>
        </is>
      </c>
      <c r="D14" s="7" t="n">
        <v>-99223.3</v>
      </c>
      <c r="F14" s="7" t="n">
        <v>-78257.60000000001</v>
      </c>
      <c r="H14" s="7" t="n">
        <v>-59376.4</v>
      </c>
      <c r="J14" s="7" t="n">
        <v>-108298.9</v>
      </c>
      <c r="L14" s="7" t="n">
        <v>-182932.4</v>
      </c>
      <c r="N14" s="7" t="n">
        <v>-165427</v>
      </c>
      <c r="P14" s="7" t="n">
        <v>-208066</v>
      </c>
      <c r="R14" s="7" t="n">
        <v>-160791.5</v>
      </c>
      <c r="T14" s="7" t="n">
        <v>-162930</v>
      </c>
      <c r="V14" s="7" t="n">
        <v>-95498.10000000001</v>
      </c>
      <c r="X14" s="7" t="n">
        <v>-103650.9</v>
      </c>
      <c r="Z14" s="7" t="n">
        <v>-111979.1</v>
      </c>
      <c r="AB14" s="7" t="n">
        <v>-1536431.2</v>
      </c>
    </row>
    <row r="15">
      <c r="A15" s="4" t="inlineStr">
        <is>
          <t>其他</t>
        </is>
      </c>
      <c r="D15" s="7" t="n">
        <v>56712.7</v>
      </c>
      <c r="F15" s="7" t="n">
        <v>26041.7</v>
      </c>
      <c r="H15" s="7" t="n">
        <v>68075.7</v>
      </c>
      <c r="J15" s="7" t="n">
        <v>59443.2</v>
      </c>
      <c r="L15" s="7" t="n">
        <v>87289.60000000001</v>
      </c>
      <c r="N15" s="7" t="n">
        <v>123738.4</v>
      </c>
      <c r="P15" s="7" t="n">
        <v>82944.60000000001</v>
      </c>
      <c r="R15" s="7" t="n">
        <v>81265.39999999999</v>
      </c>
      <c r="T15" s="7" t="n">
        <v>90235.10000000001</v>
      </c>
      <c r="V15" s="7" t="n">
        <v>98044.39999999999</v>
      </c>
      <c r="X15" s="7" t="n">
        <v>24018.5</v>
      </c>
      <c r="Z15" s="7" t="n">
        <v>65690.5</v>
      </c>
      <c r="AB15" s="7" t="n">
        <v>863499.8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4111231.1</v>
      </c>
      <c r="D16" s="7" t="n">
        <v>2340320.8</v>
      </c>
      <c r="E16" s="7" t="n">
        <v>3411979.8</v>
      </c>
      <c r="F16" s="7" t="n">
        <v>2632176</v>
      </c>
      <c r="G16" s="7" t="n">
        <v>4236081.6</v>
      </c>
      <c r="H16" s="7" t="n">
        <v>3523144.9</v>
      </c>
      <c r="I16" s="7" t="n">
        <v>3686293.2</v>
      </c>
      <c r="J16" s="7" t="n">
        <v>3786380.8</v>
      </c>
      <c r="K16" s="7" t="n">
        <v>3338543.8</v>
      </c>
      <c r="L16" s="7" t="n">
        <v>4506220.6</v>
      </c>
      <c r="M16" s="7" t="n">
        <v>3277441.3</v>
      </c>
      <c r="N16" s="7" t="n">
        <v>5116345.5</v>
      </c>
      <c r="O16" s="7" t="n">
        <v>3773330.4</v>
      </c>
      <c r="P16" s="7" t="n">
        <v>4658128.6</v>
      </c>
      <c r="Q16" s="7" t="n">
        <v>3572994.5</v>
      </c>
      <c r="R16" s="7" t="n">
        <v>4029898.9</v>
      </c>
      <c r="S16" s="7" t="n">
        <v>3997250.6</v>
      </c>
      <c r="T16" s="7" t="n">
        <v>3820070.8</v>
      </c>
      <c r="U16" s="7" t="n">
        <v>3635927.5</v>
      </c>
      <c r="V16" s="7" t="n">
        <v>4218953.4</v>
      </c>
      <c r="W16" s="7" t="n">
        <v>3537469.6</v>
      </c>
      <c r="X16" s="7" t="n">
        <v>3349979.3</v>
      </c>
      <c r="Y16" s="7" t="n">
        <v>3257914.8</v>
      </c>
      <c r="Z16" s="7" t="n">
        <v>2732144.7</v>
      </c>
      <c r="AA16" s="8" t="n">
        <v>43836458.2</v>
      </c>
      <c r="AB16" s="8" t="n">
        <v>44713764.3</v>
      </c>
    </row>
    <row r="17">
      <c r="A17" s="4" t="inlineStr">
        <is>
          <t>中式汤底</t>
        </is>
      </c>
      <c r="D17" s="7" t="n">
        <v>467426.8</v>
      </c>
      <c r="F17" s="7" t="n">
        <v>530586.8</v>
      </c>
      <c r="H17" s="7" t="n">
        <v>759976</v>
      </c>
      <c r="J17" s="7" t="n">
        <v>794142.2</v>
      </c>
      <c r="L17" s="7" t="n">
        <v>909309.5</v>
      </c>
      <c r="N17" s="7" t="n">
        <v>1015327.7</v>
      </c>
      <c r="P17" s="7" t="n">
        <v>939521.5</v>
      </c>
      <c r="R17" s="7" t="n">
        <v>721917.2</v>
      </c>
      <c r="T17" s="7" t="n">
        <v>807733.7</v>
      </c>
      <c r="V17" s="7" t="n">
        <v>920545</v>
      </c>
      <c r="X17" s="7" t="n">
        <v>546041.1</v>
      </c>
      <c r="Z17" s="7" t="n">
        <v>464405.4</v>
      </c>
      <c r="AB17" s="7" t="n">
        <v>8876932.9</v>
      </c>
    </row>
    <row r="18">
      <c r="A18" s="4" t="inlineStr">
        <is>
          <t>酱料</t>
        </is>
      </c>
      <c r="D18" s="7" t="n">
        <v>264784.4</v>
      </c>
      <c r="F18" s="7" t="n">
        <v>389175.1</v>
      </c>
      <c r="H18" s="7" t="n">
        <v>383405.1</v>
      </c>
      <c r="J18" s="7" t="n">
        <v>524731.9</v>
      </c>
      <c r="L18" s="7" t="n">
        <v>500979.4</v>
      </c>
      <c r="N18" s="7" t="n">
        <v>719383.9</v>
      </c>
      <c r="P18" s="7" t="n">
        <v>723175.8</v>
      </c>
      <c r="R18" s="7" t="n">
        <v>627825.1</v>
      </c>
      <c r="T18" s="7" t="n">
        <v>413967.2</v>
      </c>
      <c r="V18" s="7" t="n">
        <v>681898.7</v>
      </c>
      <c r="X18" s="7" t="n">
        <v>548563.3</v>
      </c>
      <c r="Z18" s="7" t="n">
        <v>396913.3</v>
      </c>
      <c r="AB18" s="7" t="n">
        <v>6174803.2</v>
      </c>
    </row>
    <row r="19">
      <c r="A19" s="4" t="inlineStr">
        <is>
          <t>川味底料</t>
        </is>
      </c>
      <c r="D19" s="7" t="n">
        <v>329727.3</v>
      </c>
      <c r="F19" s="7" t="n">
        <v>421979.5</v>
      </c>
      <c r="H19" s="7" t="n">
        <v>520337</v>
      </c>
      <c r="J19" s="7" t="n">
        <v>595027.4</v>
      </c>
      <c r="L19" s="7" t="n">
        <v>671700.7</v>
      </c>
      <c r="N19" s="7" t="n">
        <v>778756.7</v>
      </c>
      <c r="P19" s="7" t="n">
        <v>770223</v>
      </c>
      <c r="R19" s="7" t="n">
        <v>551840.5</v>
      </c>
      <c r="T19" s="7" t="n">
        <v>528549.2</v>
      </c>
      <c r="V19" s="7" t="n">
        <v>608892.6</v>
      </c>
      <c r="X19" s="7" t="n">
        <v>492613.4</v>
      </c>
      <c r="Z19" s="7" t="n">
        <v>478350.1</v>
      </c>
      <c r="AB19" s="7" t="n">
        <v>6747997.4</v>
      </c>
    </row>
    <row r="20">
      <c r="A20" s="4" t="inlineStr">
        <is>
          <t>调味汁</t>
        </is>
      </c>
      <c r="D20" s="7" t="n">
        <v>442175.3</v>
      </c>
      <c r="F20" s="7" t="n">
        <v>379245.8</v>
      </c>
      <c r="H20" s="7" t="n">
        <v>594755.5</v>
      </c>
      <c r="J20" s="7" t="n">
        <v>611536.1</v>
      </c>
      <c r="L20" s="7" t="n">
        <v>796144</v>
      </c>
      <c r="N20" s="7" t="n">
        <v>860089.3</v>
      </c>
      <c r="P20" s="7" t="n">
        <v>744048.7</v>
      </c>
      <c r="R20" s="7" t="n">
        <v>616131.9</v>
      </c>
      <c r="T20" s="7" t="n">
        <v>694680</v>
      </c>
      <c r="V20" s="7" t="n">
        <v>692623.8</v>
      </c>
      <c r="X20" s="7" t="n">
        <v>648033.2</v>
      </c>
      <c r="Z20" s="7" t="n">
        <v>474943.4</v>
      </c>
      <c r="AB20" s="7" t="n">
        <v>7554407</v>
      </c>
    </row>
    <row r="21">
      <c r="A21" s="4" t="inlineStr">
        <is>
          <t>复合调味粉</t>
        </is>
      </c>
      <c r="D21" s="7" t="n">
        <v>151015.8</v>
      </c>
      <c r="F21" s="7" t="n">
        <v>131740.3</v>
      </c>
      <c r="H21" s="7" t="n">
        <v>185759.9</v>
      </c>
      <c r="J21" s="7" t="n">
        <v>264090.7</v>
      </c>
      <c r="L21" s="7" t="n">
        <v>266621.1</v>
      </c>
      <c r="N21" s="7" t="n">
        <v>288245.4</v>
      </c>
      <c r="P21" s="7" t="n">
        <v>243941.3</v>
      </c>
      <c r="R21" s="7" t="n">
        <v>279905.8</v>
      </c>
      <c r="T21" s="7" t="n">
        <v>189357.1</v>
      </c>
      <c r="V21" s="7" t="n">
        <v>298103.5</v>
      </c>
      <c r="X21" s="7" t="n">
        <v>195114</v>
      </c>
      <c r="Z21" s="7" t="n">
        <v>156603.7</v>
      </c>
      <c r="AB21" s="7" t="n">
        <v>2650498.6</v>
      </c>
    </row>
    <row r="22">
      <c r="A22" s="4" t="inlineStr">
        <is>
          <t>团餐</t>
        </is>
      </c>
      <c r="D22" s="7" t="n">
        <v>478004.4</v>
      </c>
      <c r="F22" s="7" t="n">
        <v>585029.8</v>
      </c>
      <c r="H22" s="7" t="n">
        <v>718626.4</v>
      </c>
      <c r="J22" s="7" t="n">
        <v>687477.6</v>
      </c>
      <c r="L22" s="7" t="n">
        <v>920787.5</v>
      </c>
      <c r="N22" s="7" t="n">
        <v>951221.9</v>
      </c>
      <c r="P22" s="7" t="n">
        <v>911338.6</v>
      </c>
      <c r="R22" s="7" t="n">
        <v>847990.9</v>
      </c>
      <c r="T22" s="7" t="n">
        <v>804967.8</v>
      </c>
      <c r="V22" s="7" t="n">
        <v>706815.7</v>
      </c>
      <c r="X22" s="7" t="n">
        <v>570048.3</v>
      </c>
      <c r="Z22" s="7" t="n">
        <v>515782.3</v>
      </c>
      <c r="AB22" s="7" t="n">
        <v>8698091.199999999</v>
      </c>
    </row>
    <row r="23">
      <c r="A23" s="4" t="inlineStr">
        <is>
          <t>预制菜</t>
        </is>
      </c>
      <c r="D23" s="7" t="n">
        <v>92225.89999999999</v>
      </c>
      <c r="F23" s="7" t="n">
        <v>83486.89999999999</v>
      </c>
      <c r="H23" s="7" t="n">
        <v>113561.9</v>
      </c>
      <c r="J23" s="7" t="n">
        <v>145634.9</v>
      </c>
      <c r="L23" s="7" t="n">
        <v>119215.6</v>
      </c>
      <c r="N23" s="7" t="n">
        <v>134935.6</v>
      </c>
      <c r="P23" s="7" t="n">
        <v>174423.9</v>
      </c>
      <c r="R23" s="7" t="n">
        <v>159571.4</v>
      </c>
      <c r="T23" s="7" t="n">
        <v>134293.2</v>
      </c>
      <c r="V23" s="7" t="n">
        <v>135417</v>
      </c>
      <c r="X23" s="7" t="n">
        <v>130615.5</v>
      </c>
      <c r="Z23" s="7" t="n">
        <v>97429.60000000001</v>
      </c>
      <c r="AB23" s="7" t="n">
        <v>1520811.4</v>
      </c>
    </row>
    <row r="24">
      <c r="A24" s="4" t="inlineStr">
        <is>
          <t>其他</t>
        </is>
      </c>
      <c r="D24" s="7" t="n">
        <v>7230</v>
      </c>
      <c r="F24" s="7" t="n">
        <v>24263.1</v>
      </c>
      <c r="H24" s="7" t="n">
        <v>60837.2</v>
      </c>
      <c r="J24" s="7" t="n">
        <v>4805.1</v>
      </c>
      <c r="L24" s="7" t="n">
        <v>26276.7</v>
      </c>
      <c r="N24" s="7" t="n">
        <v>84447.8</v>
      </c>
      <c r="P24" s="7" t="n">
        <v>39264.2</v>
      </c>
      <c r="R24" s="7" t="n">
        <v>62029.1</v>
      </c>
      <c r="T24" s="7" t="n">
        <v>11009.8</v>
      </c>
      <c r="V24" s="7" t="n">
        <v>38273.1</v>
      </c>
      <c r="X24" s="7" t="n">
        <v>1915.9</v>
      </c>
      <c r="Z24" s="7" t="n">
        <v>48462.9</v>
      </c>
      <c r="AB24" s="7" t="n">
        <v>408814.9</v>
      </c>
    </row>
    <row r="25">
      <c r="A25" s="4" t="inlineStr">
        <is>
          <t>运费</t>
        </is>
      </c>
      <c r="D25" s="7" t="n">
        <v>114960.9</v>
      </c>
      <c r="F25" s="7" t="n">
        <v>110931.8</v>
      </c>
      <c r="H25" s="7" t="n">
        <v>246723.1</v>
      </c>
      <c r="J25" s="7" t="n">
        <v>163740</v>
      </c>
      <c r="L25" s="7" t="n">
        <v>321462.8</v>
      </c>
      <c r="N25" s="7" t="n">
        <v>368385</v>
      </c>
      <c r="P25" s="7" t="n">
        <v>151455.8</v>
      </c>
      <c r="R25" s="7" t="n">
        <v>224716.1</v>
      </c>
      <c r="T25" s="7" t="n">
        <v>246522.6</v>
      </c>
      <c r="V25" s="7" t="n">
        <v>174657.1</v>
      </c>
      <c r="X25" s="7" t="n">
        <v>218950.5</v>
      </c>
      <c r="Z25" s="7" t="n">
        <v>147716.9</v>
      </c>
      <c r="AB25" s="7" t="n">
        <v>2490222.6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757713.9</v>
      </c>
      <c r="D26" s="7" t="n">
        <v>1099124</v>
      </c>
      <c r="E26" s="7" t="n">
        <v>1575522</v>
      </c>
      <c r="F26" s="7" t="n">
        <v>1254156.6</v>
      </c>
      <c r="G26" s="7" t="n">
        <v>631048.4</v>
      </c>
      <c r="H26" s="7" t="n">
        <v>1604481.5</v>
      </c>
      <c r="I26" s="7" t="n">
        <v>1867023.1</v>
      </c>
      <c r="J26" s="7" t="n">
        <v>1807647.7</v>
      </c>
      <c r="K26" s="7" t="n">
        <v>2587816.2</v>
      </c>
      <c r="L26" s="7" t="n">
        <v>1934214</v>
      </c>
      <c r="M26" s="7" t="n">
        <v>1697806.6</v>
      </c>
      <c r="N26" s="7" t="n">
        <v>2248270</v>
      </c>
      <c r="O26" s="7" t="n">
        <v>1253400.6</v>
      </c>
      <c r="P26" s="7" t="n">
        <v>2248580.1</v>
      </c>
      <c r="Q26" s="7" t="n">
        <v>1895163.7</v>
      </c>
      <c r="R26" s="7" t="n">
        <v>1843196.4</v>
      </c>
      <c r="S26" s="7" t="n">
        <v>1867127.2</v>
      </c>
      <c r="T26" s="7" t="n">
        <v>1703633.9</v>
      </c>
      <c r="U26" s="7" t="n">
        <v>2643848.3</v>
      </c>
      <c r="V26" s="7" t="n">
        <v>2082248.7</v>
      </c>
      <c r="W26" s="7" t="n">
        <v>1997341.5</v>
      </c>
      <c r="X26" s="7" t="n">
        <v>1466192.6</v>
      </c>
      <c r="Y26" s="7" t="n">
        <v>1878613.5</v>
      </c>
      <c r="Z26" s="7" t="n">
        <v>1251995.9</v>
      </c>
      <c r="AA26" s="8" t="n">
        <v>20652425</v>
      </c>
      <c r="AB26" s="8" t="n">
        <v>20543741.4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15.6</v>
      </c>
      <c r="D27" s="13" t="n">
        <v>32</v>
      </c>
      <c r="E27" s="13" t="n">
        <v>31.6</v>
      </c>
      <c r="F27" s="13" t="n">
        <v>32.3</v>
      </c>
      <c r="G27" s="13" t="n">
        <v>13</v>
      </c>
      <c r="H27" s="13" t="n">
        <v>31.3</v>
      </c>
      <c r="I27" s="13" t="n">
        <v>33.6</v>
      </c>
      <c r="J27" s="13" t="n">
        <v>32.3</v>
      </c>
      <c r="K27" s="13" t="n">
        <v>43.7</v>
      </c>
      <c r="L27" s="13" t="n">
        <v>30</v>
      </c>
      <c r="M27" s="13" t="n">
        <v>34.1</v>
      </c>
      <c r="N27" s="13" t="n">
        <v>30.5</v>
      </c>
      <c r="O27" s="13" t="n">
        <v>24.9</v>
      </c>
      <c r="P27" s="13" t="n">
        <v>32.6</v>
      </c>
      <c r="Q27" s="13" t="n">
        <v>34.7</v>
      </c>
      <c r="R27" s="13" t="n">
        <v>31.4</v>
      </c>
      <c r="S27" s="13" t="n">
        <v>31.8</v>
      </c>
      <c r="T27" s="13" t="n">
        <v>30.8</v>
      </c>
      <c r="U27" s="13" t="n">
        <v>42.1</v>
      </c>
      <c r="V27" s="13" t="n">
        <v>33</v>
      </c>
      <c r="W27" s="13" t="n">
        <v>36.1</v>
      </c>
      <c r="X27" s="13" t="n">
        <v>30.4</v>
      </c>
      <c r="Y27" s="13" t="n">
        <v>36.6</v>
      </c>
      <c r="Z27" s="13" t="n">
        <v>31.4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52434</v>
      </c>
      <c r="D28" s="7" t="n">
        <v>21263.6</v>
      </c>
      <c r="E28" s="7" t="n">
        <v>53258.7</v>
      </c>
      <c r="F28" s="7" t="n">
        <v>28591.1</v>
      </c>
      <c r="G28" s="7" t="n">
        <v>48381.5</v>
      </c>
      <c r="H28" s="7" t="n">
        <v>70715.39999999999</v>
      </c>
      <c r="I28" s="7" t="n">
        <v>48368.5</v>
      </c>
      <c r="J28" s="7" t="n">
        <v>55485</v>
      </c>
      <c r="K28" s="7" t="n">
        <v>60215.8</v>
      </c>
      <c r="L28" s="7" t="n">
        <v>93919.2</v>
      </c>
      <c r="M28" s="7" t="n">
        <v>47147.4</v>
      </c>
      <c r="N28" s="7" t="n">
        <v>80158.2</v>
      </c>
      <c r="O28" s="7" t="n">
        <v>55971.6</v>
      </c>
      <c r="P28" s="7" t="n">
        <v>62527.7</v>
      </c>
      <c r="Q28" s="7" t="n">
        <v>55179.9</v>
      </c>
      <c r="R28" s="7" t="n">
        <v>79254.5</v>
      </c>
      <c r="S28" s="7" t="n">
        <v>48538.1</v>
      </c>
      <c r="T28" s="7" t="n">
        <v>43442.1</v>
      </c>
      <c r="U28" s="7" t="n">
        <v>63100.4</v>
      </c>
      <c r="V28" s="7" t="n">
        <v>69979.39999999999</v>
      </c>
      <c r="W28" s="7" t="n">
        <v>60413.3</v>
      </c>
      <c r="X28" s="7" t="n">
        <v>32022.5</v>
      </c>
      <c r="Y28" s="7" t="n">
        <v>57756.7</v>
      </c>
      <c r="Z28" s="7" t="n">
        <v>26263.1</v>
      </c>
      <c r="AA28" s="8" t="n">
        <v>650765.9</v>
      </c>
      <c r="AB28" s="8" t="n">
        <v>663621.8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907987.7</v>
      </c>
      <c r="D29" s="7" t="n">
        <v>855649.9</v>
      </c>
      <c r="E29" s="7" t="n">
        <v>824407</v>
      </c>
      <c r="F29" s="7" t="n">
        <v>389850</v>
      </c>
      <c r="G29" s="7" t="n">
        <v>980524.5</v>
      </c>
      <c r="H29" s="7" t="n">
        <v>649341.9</v>
      </c>
      <c r="I29" s="7" t="n">
        <v>1096860.7</v>
      </c>
      <c r="J29" s="7" t="n">
        <v>671409.3</v>
      </c>
      <c r="K29" s="7" t="n">
        <v>989565.6</v>
      </c>
      <c r="L29" s="7" t="n">
        <v>1594362.8</v>
      </c>
      <c r="M29" s="7" t="n">
        <v>1048998.3</v>
      </c>
      <c r="N29" s="7" t="n">
        <v>1141626.2</v>
      </c>
      <c r="O29" s="7" t="n">
        <v>868409.2</v>
      </c>
      <c r="P29" s="7" t="n">
        <v>1401020.7</v>
      </c>
      <c r="Q29" s="7" t="n">
        <v>862004.6</v>
      </c>
      <c r="R29" s="7" t="n">
        <v>1315653.3</v>
      </c>
      <c r="S29" s="7" t="n">
        <v>925416.4</v>
      </c>
      <c r="T29" s="7" t="n">
        <v>848372.4</v>
      </c>
      <c r="U29" s="7" t="n">
        <v>1098380.9</v>
      </c>
      <c r="V29" s="7" t="n">
        <v>1170760.8</v>
      </c>
      <c r="W29" s="7" t="n">
        <v>844095.6</v>
      </c>
      <c r="X29" s="7" t="n">
        <v>510824.7</v>
      </c>
      <c r="Y29" s="7" t="n">
        <v>983540.1</v>
      </c>
      <c r="Z29" s="7" t="n">
        <v>932017.8</v>
      </c>
      <c r="AA29" s="8" t="n">
        <v>11430190.6</v>
      </c>
      <c r="AB29" s="8" t="n">
        <v>11480889.8</v>
      </c>
    </row>
    <row r="30">
      <c r="A30" s="4" t="inlineStr">
        <is>
          <t>职工薪酬</t>
        </is>
      </c>
      <c r="D30" s="7" t="n">
        <v>373305.6</v>
      </c>
      <c r="F30" s="7" t="n">
        <v>223324.6</v>
      </c>
      <c r="H30" s="7" t="n">
        <v>349692</v>
      </c>
      <c r="J30" s="7" t="n">
        <v>357698.1</v>
      </c>
      <c r="L30" s="7" t="n">
        <v>884339.6</v>
      </c>
      <c r="N30" s="7" t="n">
        <v>526967.3</v>
      </c>
      <c r="P30" s="7" t="n">
        <v>661358.4</v>
      </c>
      <c r="R30" s="7" t="n">
        <v>635411.4</v>
      </c>
      <c r="T30" s="7" t="n">
        <v>464060.7</v>
      </c>
      <c r="V30" s="7" t="n">
        <v>548581.1</v>
      </c>
      <c r="X30" s="7" t="n">
        <v>287907.1</v>
      </c>
      <c r="Z30" s="7" t="n">
        <v>427885.2</v>
      </c>
      <c r="AB30" s="7" t="n">
        <v>5740531.1</v>
      </c>
    </row>
    <row r="31">
      <c r="A31" s="4" t="inlineStr">
        <is>
          <t>工资</t>
        </is>
      </c>
      <c r="D31" s="7" t="n">
        <v>184620.2</v>
      </c>
      <c r="F31" s="7" t="n">
        <v>141666.9</v>
      </c>
      <c r="H31" s="7" t="n">
        <v>214089</v>
      </c>
      <c r="J31" s="7" t="n">
        <v>224978.2</v>
      </c>
      <c r="L31" s="7" t="n">
        <v>567352</v>
      </c>
      <c r="N31" s="7" t="n">
        <v>313462.4</v>
      </c>
      <c r="P31" s="7" t="n">
        <v>422544.6</v>
      </c>
      <c r="R31" s="7" t="n">
        <v>345829.5</v>
      </c>
      <c r="T31" s="7" t="n">
        <v>285917.1</v>
      </c>
      <c r="V31" s="7" t="n">
        <v>330385.1</v>
      </c>
      <c r="X31" s="7" t="n">
        <v>181472.4</v>
      </c>
      <c r="Z31" s="7" t="n">
        <v>235169.1</v>
      </c>
      <c r="AB31" s="7" t="n">
        <v>3447486.5</v>
      </c>
    </row>
    <row r="32">
      <c r="A32" s="4" t="inlineStr">
        <is>
          <t>奖金及提成</t>
        </is>
      </c>
      <c r="D32" s="7" t="n">
        <v>110443.8</v>
      </c>
      <c r="F32" s="7" t="n">
        <v>34524.9</v>
      </c>
      <c r="H32" s="7" t="n">
        <v>58178.8</v>
      </c>
      <c r="J32" s="7" t="n">
        <v>56694.4</v>
      </c>
      <c r="L32" s="7" t="n">
        <v>125832.3</v>
      </c>
      <c r="N32" s="7" t="n">
        <v>90546</v>
      </c>
      <c r="P32" s="7" t="n">
        <v>104750.4</v>
      </c>
      <c r="R32" s="7" t="n">
        <v>138487</v>
      </c>
      <c r="T32" s="7" t="n">
        <v>65378.2</v>
      </c>
      <c r="V32" s="7" t="n">
        <v>89516.89999999999</v>
      </c>
      <c r="X32" s="7" t="n">
        <v>49516.9</v>
      </c>
      <c r="Z32" s="7" t="n">
        <v>73591.8</v>
      </c>
      <c r="AB32" s="7" t="n">
        <v>997461.4</v>
      </c>
    </row>
    <row r="33">
      <c r="A33" s="4" t="inlineStr">
        <is>
          <t>社保</t>
        </is>
      </c>
      <c r="D33" s="7" t="n">
        <v>50932.8</v>
      </c>
      <c r="F33" s="7" t="n">
        <v>36247.3</v>
      </c>
      <c r="H33" s="7" t="n">
        <v>57798.5</v>
      </c>
      <c r="J33" s="7" t="n">
        <v>56267.4</v>
      </c>
      <c r="L33" s="7" t="n">
        <v>144281.5</v>
      </c>
      <c r="N33" s="7" t="n">
        <v>87786.60000000001</v>
      </c>
      <c r="P33" s="7" t="n">
        <v>86703.10000000001</v>
      </c>
      <c r="R33" s="7" t="n">
        <v>114365.7</v>
      </c>
      <c r="T33" s="7" t="n">
        <v>85892.39999999999</v>
      </c>
      <c r="V33" s="7" t="n">
        <v>96589.8</v>
      </c>
      <c r="X33" s="7" t="n">
        <v>43015.6</v>
      </c>
      <c r="Z33" s="7" t="n">
        <v>94130.89999999999</v>
      </c>
      <c r="AB33" s="7" t="n">
        <v>954011.6</v>
      </c>
    </row>
    <row r="34">
      <c r="A34" s="4" t="inlineStr">
        <is>
          <t>养老</t>
        </is>
      </c>
      <c r="D34" s="7" t="n">
        <v>1158.1</v>
      </c>
      <c r="F34" s="7" t="n">
        <v>386.3</v>
      </c>
      <c r="H34" s="7" t="n">
        <v>709.1</v>
      </c>
      <c r="J34" s="7" t="n">
        <v>752.6</v>
      </c>
      <c r="L34" s="7" t="n">
        <v>1622.1</v>
      </c>
      <c r="N34" s="7" t="n">
        <v>1128.8</v>
      </c>
      <c r="P34" s="7" t="n">
        <v>2335.4</v>
      </c>
      <c r="R34" s="7" t="n">
        <v>1540.7</v>
      </c>
      <c r="T34" s="7" t="n">
        <v>947.5</v>
      </c>
      <c r="V34" s="7" t="n">
        <v>1608.1</v>
      </c>
      <c r="X34" s="7" t="n">
        <v>769.4</v>
      </c>
      <c r="Z34" s="7" t="n">
        <v>1203.2</v>
      </c>
      <c r="AB34" s="7" t="n">
        <v>14161.3</v>
      </c>
    </row>
    <row r="35">
      <c r="A35" s="4" t="inlineStr">
        <is>
          <t>医疗</t>
        </is>
      </c>
      <c r="D35" s="7" t="n">
        <v>3557.7</v>
      </c>
      <c r="F35" s="7" t="n">
        <v>1413.6</v>
      </c>
      <c r="H35" s="7" t="n">
        <v>2705.9</v>
      </c>
      <c r="J35" s="7" t="n">
        <v>3996.4</v>
      </c>
      <c r="L35" s="7" t="n">
        <v>7068.5</v>
      </c>
      <c r="N35" s="7" t="n">
        <v>4718.7</v>
      </c>
      <c r="P35" s="7" t="n">
        <v>8139</v>
      </c>
      <c r="R35" s="7" t="n">
        <v>6362.3</v>
      </c>
      <c r="T35" s="7" t="n">
        <v>4418.1</v>
      </c>
      <c r="V35" s="7" t="n">
        <v>3835.2</v>
      </c>
      <c r="X35" s="7" t="n">
        <v>2779</v>
      </c>
      <c r="Z35" s="7" t="n">
        <v>5515.3</v>
      </c>
      <c r="AB35" s="7" t="n">
        <v>54509.7</v>
      </c>
    </row>
    <row r="36">
      <c r="A36" s="4" t="inlineStr">
        <is>
          <t>工伤</t>
        </is>
      </c>
      <c r="D36" s="7" t="n">
        <v>2314.6</v>
      </c>
      <c r="F36" s="7" t="n">
        <v>1374.4</v>
      </c>
      <c r="H36" s="7" t="n">
        <v>1396.7</v>
      </c>
      <c r="J36" s="7" t="n">
        <v>2252.7</v>
      </c>
      <c r="L36" s="7" t="n">
        <v>3669</v>
      </c>
      <c r="N36" s="7" t="n">
        <v>3306.8</v>
      </c>
      <c r="P36" s="7" t="n">
        <v>4867.6</v>
      </c>
      <c r="R36" s="7" t="n">
        <v>4463.9</v>
      </c>
      <c r="T36" s="7" t="n">
        <v>2619.6</v>
      </c>
      <c r="V36" s="7" t="n">
        <v>3034.9</v>
      </c>
      <c r="X36" s="7" t="n">
        <v>1619.1</v>
      </c>
      <c r="Z36" s="7" t="n">
        <v>2741.8</v>
      </c>
      <c r="AB36" s="7" t="n">
        <v>33661.1</v>
      </c>
    </row>
    <row r="37">
      <c r="A37" s="4" t="inlineStr">
        <is>
          <t>失业</t>
        </is>
      </c>
      <c r="D37" s="7" t="n">
        <v>4710.3</v>
      </c>
      <c r="F37" s="7" t="n">
        <v>1680</v>
      </c>
      <c r="H37" s="7" t="n">
        <v>2125.3</v>
      </c>
      <c r="J37" s="7" t="n">
        <v>3099.6</v>
      </c>
      <c r="L37" s="7" t="n">
        <v>8884.4</v>
      </c>
      <c r="N37" s="7" t="n">
        <v>5328.8</v>
      </c>
      <c r="P37" s="7" t="n">
        <v>5402.3</v>
      </c>
      <c r="R37" s="7" t="n">
        <v>5520.4</v>
      </c>
      <c r="T37" s="7" t="n">
        <v>4334.1</v>
      </c>
      <c r="V37" s="7" t="n">
        <v>6236.3</v>
      </c>
      <c r="X37" s="7" t="n">
        <v>2390</v>
      </c>
      <c r="Z37" s="7" t="n">
        <v>4428.1</v>
      </c>
      <c r="AB37" s="7" t="n">
        <v>54139.6</v>
      </c>
    </row>
    <row r="38">
      <c r="A38" s="4" t="inlineStr">
        <is>
          <t>生育</t>
        </is>
      </c>
      <c r="D38" s="7" t="n">
        <v>6469.6</v>
      </c>
      <c r="F38" s="7" t="n">
        <v>2427.6</v>
      </c>
      <c r="H38" s="7" t="n">
        <v>4042.9</v>
      </c>
      <c r="J38" s="7" t="n">
        <v>3763.7</v>
      </c>
      <c r="L38" s="7" t="n">
        <v>11810.6</v>
      </c>
      <c r="N38" s="7" t="n">
        <v>7859.3</v>
      </c>
      <c r="P38" s="7" t="n">
        <v>7951.8</v>
      </c>
      <c r="R38" s="7" t="n">
        <v>8683.6</v>
      </c>
      <c r="T38" s="7" t="n">
        <v>5088.8</v>
      </c>
      <c r="V38" s="7" t="n">
        <v>6988.4</v>
      </c>
      <c r="X38" s="7" t="n">
        <v>3437.1</v>
      </c>
      <c r="Z38" s="7" t="n">
        <v>3951</v>
      </c>
      <c r="AB38" s="7" t="n">
        <v>72474.39999999999</v>
      </c>
    </row>
    <row r="39">
      <c r="A39" s="4" t="inlineStr">
        <is>
          <t>公积金</t>
        </is>
      </c>
      <c r="D39" s="7" t="n">
        <v>1762.4</v>
      </c>
      <c r="F39" s="7" t="n">
        <v>915.1</v>
      </c>
      <c r="H39" s="7" t="n">
        <v>1664.2</v>
      </c>
      <c r="J39" s="7" t="n">
        <v>1442</v>
      </c>
      <c r="L39" s="7" t="n">
        <v>4266.5</v>
      </c>
      <c r="N39" s="7" t="n">
        <v>3130.9</v>
      </c>
      <c r="P39" s="7" t="n">
        <v>3814.9</v>
      </c>
      <c r="R39" s="7" t="n">
        <v>3056.7</v>
      </c>
      <c r="T39" s="7" t="n">
        <v>1551.6</v>
      </c>
      <c r="V39" s="7" t="n">
        <v>2270.3</v>
      </c>
      <c r="X39" s="7" t="n">
        <v>1174.9</v>
      </c>
      <c r="Z39" s="7" t="n">
        <v>1970.9</v>
      </c>
      <c r="AB39" s="7" t="n">
        <v>27020.4</v>
      </c>
    </row>
    <row r="40">
      <c r="A40" s="4" t="inlineStr">
        <is>
          <t>工会经费</t>
        </is>
      </c>
      <c r="D40" s="7" t="n">
        <v>1838.5</v>
      </c>
      <c r="F40" s="7" t="n">
        <v>555.2</v>
      </c>
      <c r="H40" s="7" t="n">
        <v>1071.1</v>
      </c>
      <c r="J40" s="7" t="n">
        <v>1642.8</v>
      </c>
      <c r="L40" s="7" t="n">
        <v>2676.3</v>
      </c>
      <c r="N40" s="7" t="n">
        <v>1931.5</v>
      </c>
      <c r="P40" s="7" t="n">
        <v>2809.6</v>
      </c>
      <c r="R40" s="7" t="n">
        <v>1876.4</v>
      </c>
      <c r="T40" s="7" t="n">
        <v>2123.5</v>
      </c>
      <c r="V40" s="7" t="n">
        <v>2235.1</v>
      </c>
      <c r="X40" s="7" t="n">
        <v>943.7</v>
      </c>
      <c r="Z40" s="7" t="n">
        <v>1758.1</v>
      </c>
      <c r="AB40" s="7" t="n">
        <v>21461.8</v>
      </c>
    </row>
    <row r="41">
      <c r="A41" s="4" t="inlineStr">
        <is>
          <t>职工教育经费</t>
        </is>
      </c>
      <c r="D41" s="7" t="n">
        <v>6354.6</v>
      </c>
      <c r="F41" s="7" t="n">
        <v>2117.8</v>
      </c>
      <c r="H41" s="7" t="n">
        <v>4851.9</v>
      </c>
      <c r="J41" s="7" t="n">
        <v>4338.4</v>
      </c>
      <c r="L41" s="7" t="n">
        <v>9521.799999999999</v>
      </c>
      <c r="N41" s="7" t="n">
        <v>7184</v>
      </c>
      <c r="P41" s="7" t="n">
        <v>11198.6</v>
      </c>
      <c r="R41" s="7" t="n">
        <v>9732.4</v>
      </c>
      <c r="T41" s="7" t="n">
        <v>5781</v>
      </c>
      <c r="V41" s="7" t="n">
        <v>6503.8</v>
      </c>
      <c r="X41" s="7" t="n">
        <v>3404.3</v>
      </c>
      <c r="Z41" s="7" t="n">
        <v>4281.1</v>
      </c>
      <c r="AB41" s="7" t="n">
        <v>75269.7</v>
      </c>
    </row>
    <row r="42">
      <c r="A42" s="4" t="inlineStr">
        <is>
          <t>福利费</t>
        </is>
      </c>
      <c r="D42" s="7" t="n">
        <v>17353.3</v>
      </c>
      <c r="F42" s="7" t="n">
        <v>7297.4</v>
      </c>
      <c r="H42" s="7" t="n">
        <v>12038.5</v>
      </c>
      <c r="J42" s="7" t="n">
        <v>12334.9</v>
      </c>
      <c r="L42" s="7" t="n">
        <v>30409.2</v>
      </c>
      <c r="N42" s="7" t="n">
        <v>22925.9</v>
      </c>
      <c r="P42" s="7" t="n">
        <v>29537.2</v>
      </c>
      <c r="R42" s="7" t="n">
        <v>22063.7</v>
      </c>
      <c r="T42" s="7" t="n">
        <v>17416.9</v>
      </c>
      <c r="V42" s="7" t="n">
        <v>21080.1</v>
      </c>
      <c r="X42" s="7" t="n">
        <v>8379.299999999999</v>
      </c>
      <c r="Z42" s="7" t="n">
        <v>16983.3</v>
      </c>
      <c r="AB42" s="7" t="n">
        <v>217819.7</v>
      </c>
    </row>
    <row r="43">
      <c r="A43" s="4" t="inlineStr">
        <is>
          <t>职工房租</t>
        </is>
      </c>
      <c r="D43" s="7" t="n">
        <v>486.4</v>
      </c>
      <c r="F43" s="7" t="n">
        <v>258.3</v>
      </c>
      <c r="H43" s="7" t="n">
        <v>241.7</v>
      </c>
      <c r="J43" s="7" t="n">
        <v>272.9</v>
      </c>
      <c r="L43" s="7" t="n">
        <v>957.7</v>
      </c>
      <c r="N43" s="7" t="n">
        <v>509.9</v>
      </c>
      <c r="P43" s="7" t="n">
        <v>801.1</v>
      </c>
      <c r="R43" s="7" t="n">
        <v>758.3</v>
      </c>
      <c r="T43" s="7" t="n">
        <v>420.8</v>
      </c>
      <c r="V43" s="7" t="n">
        <v>760.7</v>
      </c>
      <c r="X43" s="7" t="n">
        <v>219.5</v>
      </c>
      <c r="Z43" s="7" t="n">
        <v>388.8</v>
      </c>
      <c r="AB43" s="7" t="n">
        <v>6076.1</v>
      </c>
    </row>
    <row r="44">
      <c r="A44" s="4" t="inlineStr">
        <is>
          <t>水电物业费</t>
        </is>
      </c>
      <c r="D44" s="7" t="n">
        <v>689.5</v>
      </c>
      <c r="F44" s="7" t="n">
        <v>221</v>
      </c>
      <c r="H44" s="7" t="n">
        <v>426.1</v>
      </c>
      <c r="J44" s="7" t="n">
        <v>442.3</v>
      </c>
      <c r="L44" s="7" t="n">
        <v>756.3</v>
      </c>
      <c r="N44" s="7" t="n">
        <v>942.3</v>
      </c>
      <c r="P44" s="7" t="n">
        <v>1097.5</v>
      </c>
      <c r="R44" s="7" t="n">
        <v>1020.4</v>
      </c>
      <c r="T44" s="7" t="n">
        <v>381.2</v>
      </c>
      <c r="V44" s="7" t="n">
        <v>632.2</v>
      </c>
      <c r="X44" s="7" t="n">
        <v>381.6</v>
      </c>
      <c r="Z44" s="7" t="n">
        <v>701.9</v>
      </c>
      <c r="AB44" s="7" t="n">
        <v>7692.3</v>
      </c>
    </row>
    <row r="45">
      <c r="A45" s="4" t="inlineStr">
        <is>
          <t>员工餐</t>
        </is>
      </c>
      <c r="D45" s="7" t="n">
        <v>6777.4</v>
      </c>
      <c r="F45" s="7" t="n">
        <v>1854.1</v>
      </c>
      <c r="H45" s="7" t="n">
        <v>3903.6</v>
      </c>
      <c r="J45" s="7" t="n">
        <v>3213.4</v>
      </c>
      <c r="L45" s="7" t="n">
        <v>11448.9</v>
      </c>
      <c r="N45" s="7" t="n">
        <v>8255.299999999999</v>
      </c>
      <c r="P45" s="7" t="n">
        <v>8495.200000000001</v>
      </c>
      <c r="R45" s="7" t="n">
        <v>6299.9</v>
      </c>
      <c r="T45" s="7" t="n">
        <v>5783.1</v>
      </c>
      <c r="V45" s="7" t="n">
        <v>6285.6</v>
      </c>
      <c r="X45" s="7" t="n">
        <v>2372.4</v>
      </c>
      <c r="Z45" s="7" t="n">
        <v>6772.4</v>
      </c>
      <c r="AB45" s="7" t="n">
        <v>71461.3</v>
      </c>
    </row>
    <row r="46">
      <c r="A46" s="4" t="inlineStr">
        <is>
          <t>节日礼品</t>
        </is>
      </c>
      <c r="D46" s="7" t="n">
        <v>1848.6</v>
      </c>
      <c r="F46" s="7" t="n">
        <v>734.7</v>
      </c>
      <c r="H46" s="7" t="n">
        <v>1905.6</v>
      </c>
      <c r="J46" s="7" t="n">
        <v>1765.5</v>
      </c>
      <c r="L46" s="7" t="n">
        <v>4603.6</v>
      </c>
      <c r="N46" s="7" t="n">
        <v>2835.3</v>
      </c>
      <c r="P46" s="7" t="n">
        <v>4159.3</v>
      </c>
      <c r="R46" s="7" t="n">
        <v>3534.7</v>
      </c>
      <c r="T46" s="7" t="n">
        <v>2545.4</v>
      </c>
      <c r="V46" s="7" t="n">
        <v>2162.4</v>
      </c>
      <c r="X46" s="7" t="n">
        <v>1071.1</v>
      </c>
      <c r="Z46" s="7" t="n">
        <v>2187.5</v>
      </c>
      <c r="AB46" s="7" t="n">
        <v>29353.7</v>
      </c>
    </row>
    <row r="47">
      <c r="A47" s="4" t="inlineStr">
        <is>
          <t>生日礼品</t>
        </is>
      </c>
      <c r="D47" s="7" t="n">
        <v>3158.9</v>
      </c>
      <c r="F47" s="7" t="n">
        <v>2282.1</v>
      </c>
      <c r="H47" s="7" t="n">
        <v>3389.3</v>
      </c>
      <c r="J47" s="7" t="n">
        <v>2765.1</v>
      </c>
      <c r="L47" s="7" t="n">
        <v>6517.6</v>
      </c>
      <c r="N47" s="7" t="n">
        <v>4819</v>
      </c>
      <c r="P47" s="7" t="n">
        <v>7310.6</v>
      </c>
      <c r="R47" s="7" t="n">
        <v>4533.8</v>
      </c>
      <c r="T47" s="7" t="n">
        <v>3864.5</v>
      </c>
      <c r="V47" s="7" t="n">
        <v>6284</v>
      </c>
      <c r="X47" s="7" t="n">
        <v>1911.1</v>
      </c>
      <c r="Z47" s="7" t="n">
        <v>3430.7</v>
      </c>
      <c r="AB47" s="7" t="n">
        <v>50266.7</v>
      </c>
    </row>
    <row r="48">
      <c r="A48" s="4" t="inlineStr">
        <is>
          <t>体检</t>
        </is>
      </c>
      <c r="D48" s="7" t="n">
        <v>4163.7</v>
      </c>
      <c r="F48" s="7" t="n">
        <v>1871.9</v>
      </c>
      <c r="H48" s="7" t="n">
        <v>2009</v>
      </c>
      <c r="J48" s="7" t="n">
        <v>3636.9</v>
      </c>
      <c r="L48" s="7" t="n">
        <v>5572.1</v>
      </c>
      <c r="N48" s="7" t="n">
        <v>5221.9</v>
      </c>
      <c r="P48" s="7" t="n">
        <v>7307.5</v>
      </c>
      <c r="R48" s="7" t="n">
        <v>5481.2</v>
      </c>
      <c r="T48" s="7" t="n">
        <v>4122.7</v>
      </c>
      <c r="V48" s="7" t="n">
        <v>4563.1</v>
      </c>
      <c r="X48" s="7" t="n">
        <v>2318</v>
      </c>
      <c r="Z48" s="7" t="n">
        <v>3192.7</v>
      </c>
      <c r="AB48" s="7" t="n">
        <v>49460.7</v>
      </c>
    </row>
    <row r="49">
      <c r="A49" s="4" t="inlineStr">
        <is>
          <t>其他福利支出</t>
        </is>
      </c>
      <c r="D49" s="7" t="n">
        <v>228.8</v>
      </c>
      <c r="F49" s="7" t="n">
        <v>75.3</v>
      </c>
      <c r="H49" s="7" t="n">
        <v>163.2</v>
      </c>
      <c r="J49" s="7" t="n">
        <v>238.8</v>
      </c>
      <c r="L49" s="7" t="n">
        <v>553</v>
      </c>
      <c r="N49" s="7" t="n">
        <v>342.2</v>
      </c>
      <c r="P49" s="7" t="n">
        <v>366</v>
      </c>
      <c r="R49" s="7" t="n">
        <v>435.4</v>
      </c>
      <c r="T49" s="7" t="n">
        <v>299.2</v>
      </c>
      <c r="V49" s="7" t="n">
        <v>392.1</v>
      </c>
      <c r="X49" s="7" t="n">
        <v>105.6</v>
      </c>
      <c r="Z49" s="7" t="n">
        <v>309.3</v>
      </c>
      <c r="AB49" s="7" t="n">
        <v>3508.9</v>
      </c>
    </row>
    <row r="50">
      <c r="A50" s="4" t="inlineStr">
        <is>
          <t>招聘费</t>
        </is>
      </c>
      <c r="D50" s="7" t="n">
        <v>3459.4</v>
      </c>
      <c r="F50" s="7" t="n">
        <v>1170.4</v>
      </c>
      <c r="H50" s="7" t="n">
        <v>1978.7</v>
      </c>
      <c r="J50" s="7" t="n">
        <v>2609.2</v>
      </c>
      <c r="L50" s="7" t="n">
        <v>8067.6</v>
      </c>
      <c r="N50" s="7" t="n">
        <v>5055</v>
      </c>
      <c r="P50" s="7" t="n">
        <v>4940.9</v>
      </c>
      <c r="R50" s="7" t="n">
        <v>5514.8</v>
      </c>
      <c r="T50" s="7" t="n">
        <v>2380.1</v>
      </c>
      <c r="V50" s="7" t="n">
        <v>5483.4</v>
      </c>
      <c r="X50" s="7" t="n">
        <v>1773.2</v>
      </c>
      <c r="Z50" s="7" t="n">
        <v>3224.4</v>
      </c>
      <c r="AB50" s="7" t="n">
        <v>45657.1</v>
      </c>
    </row>
    <row r="51">
      <c r="A51" s="4" t="inlineStr">
        <is>
          <t>办公费</t>
        </is>
      </c>
      <c r="D51" s="7" t="n">
        <v>30631.4</v>
      </c>
      <c r="F51" s="7" t="n">
        <v>10246.1</v>
      </c>
      <c r="H51" s="7" t="n">
        <v>23672.3</v>
      </c>
      <c r="J51" s="7" t="n">
        <v>14763.2</v>
      </c>
      <c r="L51" s="7" t="n">
        <v>42097.1</v>
      </c>
      <c r="N51" s="7" t="n">
        <v>43785.3</v>
      </c>
      <c r="P51" s="7" t="n">
        <v>32874.3</v>
      </c>
      <c r="R51" s="7" t="n">
        <v>33745.3</v>
      </c>
      <c r="T51" s="7" t="n">
        <v>23612.3</v>
      </c>
      <c r="V51" s="7" t="n">
        <v>27811</v>
      </c>
      <c r="X51" s="7" t="n">
        <v>13853</v>
      </c>
      <c r="Z51" s="7" t="n">
        <v>26484.7</v>
      </c>
      <c r="AB51" s="7" t="n">
        <v>323576</v>
      </c>
    </row>
    <row r="52">
      <c r="A52" s="4" t="inlineStr">
        <is>
          <t>市内交通费</t>
        </is>
      </c>
      <c r="D52" s="7" t="n">
        <v>425.2</v>
      </c>
      <c r="F52" s="7" t="n">
        <v>141.7</v>
      </c>
      <c r="H52" s="7" t="n">
        <v>280.4</v>
      </c>
      <c r="J52" s="7" t="n">
        <v>288.2</v>
      </c>
      <c r="L52" s="7" t="n">
        <v>555.1</v>
      </c>
      <c r="N52" s="7" t="n">
        <v>717.8</v>
      </c>
      <c r="P52" s="7" t="n">
        <v>612.9</v>
      </c>
      <c r="R52" s="7" t="n">
        <v>723.4</v>
      </c>
      <c r="T52" s="7" t="n">
        <v>505.6</v>
      </c>
      <c r="V52" s="7" t="n">
        <v>719</v>
      </c>
      <c r="X52" s="7" t="n">
        <v>264.6</v>
      </c>
      <c r="Z52" s="7" t="n">
        <v>550.6</v>
      </c>
      <c r="AB52" s="7" t="n">
        <v>5784.5</v>
      </c>
    </row>
    <row r="53">
      <c r="A53" s="4" t="inlineStr">
        <is>
          <t>差旅费</t>
        </is>
      </c>
      <c r="D53" s="7" t="n">
        <v>47104.5</v>
      </c>
      <c r="F53" s="7" t="n">
        <v>17709.2</v>
      </c>
      <c r="H53" s="7" t="n">
        <v>33448.4</v>
      </c>
      <c r="J53" s="7" t="n">
        <v>36267</v>
      </c>
      <c r="L53" s="7" t="n">
        <v>117955.3</v>
      </c>
      <c r="N53" s="7" t="n">
        <v>55453.7</v>
      </c>
      <c r="P53" s="7" t="n">
        <v>69551.10000000001</v>
      </c>
      <c r="R53" s="7" t="n">
        <v>93165.89999999999</v>
      </c>
      <c r="T53" s="7" t="n">
        <v>42702.6</v>
      </c>
      <c r="V53" s="7" t="n">
        <v>60826.3</v>
      </c>
      <c r="X53" s="7" t="n">
        <v>36929</v>
      </c>
      <c r="Z53" s="7" t="n">
        <v>57605.7</v>
      </c>
      <c r="AB53" s="7" t="n">
        <v>668718.7</v>
      </c>
    </row>
    <row r="54">
      <c r="A54" s="4" t="inlineStr">
        <is>
          <t>交通费</t>
        </is>
      </c>
      <c r="D54" s="7" t="n">
        <v>3691.8</v>
      </c>
      <c r="F54" s="7" t="n">
        <v>1642.5</v>
      </c>
      <c r="H54" s="7" t="n">
        <v>2372.5</v>
      </c>
      <c r="J54" s="7" t="n">
        <v>2493.8</v>
      </c>
      <c r="L54" s="7" t="n">
        <v>6306.1</v>
      </c>
      <c r="N54" s="7" t="n">
        <v>3559.2</v>
      </c>
      <c r="P54" s="7" t="n">
        <v>5129.2</v>
      </c>
      <c r="R54" s="7" t="n">
        <v>4102.7</v>
      </c>
      <c r="T54" s="7" t="n">
        <v>3725.6</v>
      </c>
      <c r="V54" s="7" t="n">
        <v>4784.8</v>
      </c>
      <c r="X54" s="7" t="n">
        <v>1313.6</v>
      </c>
      <c r="Z54" s="7" t="n">
        <v>4139.6</v>
      </c>
      <c r="AB54" s="7" t="n">
        <v>43261.4</v>
      </c>
    </row>
    <row r="55">
      <c r="A55" s="4" t="inlineStr">
        <is>
          <t>住宿费</t>
        </is>
      </c>
      <c r="D55" s="7" t="n">
        <v>2580.9</v>
      </c>
      <c r="F55" s="7" t="n">
        <v>925.3</v>
      </c>
      <c r="H55" s="7" t="n">
        <v>1308.2</v>
      </c>
      <c r="J55" s="7" t="n">
        <v>1371.2</v>
      </c>
      <c r="L55" s="7" t="n">
        <v>5576.2</v>
      </c>
      <c r="N55" s="7" t="n">
        <v>3312.1</v>
      </c>
      <c r="P55" s="7" t="n">
        <v>2949.5</v>
      </c>
      <c r="R55" s="7" t="n">
        <v>3574.8</v>
      </c>
      <c r="T55" s="7" t="n">
        <v>2294.3</v>
      </c>
      <c r="V55" s="7" t="n">
        <v>2956.9</v>
      </c>
      <c r="X55" s="7" t="n">
        <v>1442.9</v>
      </c>
      <c r="Z55" s="7" t="n">
        <v>2204.7</v>
      </c>
      <c r="AB55" s="7" t="n">
        <v>30497</v>
      </c>
    </row>
    <row r="56">
      <c r="A56" s="4" t="inlineStr">
        <is>
          <t>餐补</t>
        </is>
      </c>
      <c r="D56" s="7" t="n">
        <v>3436.9</v>
      </c>
      <c r="F56" s="7" t="n">
        <v>1777</v>
      </c>
      <c r="H56" s="7" t="n">
        <v>1884.9</v>
      </c>
      <c r="J56" s="7" t="n">
        <v>2083.7</v>
      </c>
      <c r="L56" s="7" t="n">
        <v>6727.6</v>
      </c>
      <c r="N56" s="7" t="n">
        <v>4606.3</v>
      </c>
      <c r="P56" s="7" t="n">
        <v>6622.5</v>
      </c>
      <c r="R56" s="7" t="n">
        <v>5497.6</v>
      </c>
      <c r="T56" s="7" t="n">
        <v>2334.1</v>
      </c>
      <c r="V56" s="7" t="n">
        <v>3769.7</v>
      </c>
      <c r="X56" s="7" t="n">
        <v>2226.4</v>
      </c>
      <c r="Z56" s="7" t="n">
        <v>2894.7</v>
      </c>
      <c r="AB56" s="7" t="n">
        <v>43861.4</v>
      </c>
    </row>
    <row r="57">
      <c r="A57" s="4" t="inlineStr">
        <is>
          <t>交通补助</t>
        </is>
      </c>
      <c r="D57" s="7" t="n">
        <v>6543.7</v>
      </c>
      <c r="F57" s="7" t="n">
        <v>2461.4</v>
      </c>
      <c r="H57" s="7" t="n">
        <v>5273.6</v>
      </c>
      <c r="J57" s="7" t="n">
        <v>2963.6</v>
      </c>
      <c r="L57" s="7" t="n">
        <v>10146.3</v>
      </c>
      <c r="N57" s="7" t="n">
        <v>6191.6</v>
      </c>
      <c r="P57" s="7" t="n">
        <v>10349.5</v>
      </c>
      <c r="R57" s="7" t="n">
        <v>9627.700000000001</v>
      </c>
      <c r="T57" s="7" t="n">
        <v>4327.1</v>
      </c>
      <c r="V57" s="7" t="n">
        <v>7559</v>
      </c>
      <c r="X57" s="7" t="n">
        <v>2358.9</v>
      </c>
      <c r="Z57" s="7" t="n">
        <v>4836.1</v>
      </c>
      <c r="AB57" s="7" t="n">
        <v>72638.5</v>
      </c>
    </row>
    <row r="58">
      <c r="A58" s="4" t="inlineStr">
        <is>
          <t>通讯补助</t>
        </is>
      </c>
      <c r="D58" s="7" t="n">
        <v>3051.3</v>
      </c>
      <c r="F58" s="7" t="n">
        <v>1733.2</v>
      </c>
      <c r="H58" s="7" t="n">
        <v>2574.2</v>
      </c>
      <c r="J58" s="7" t="n">
        <v>2767.9</v>
      </c>
      <c r="L58" s="7" t="n">
        <v>7351.9</v>
      </c>
      <c r="N58" s="7" t="n">
        <v>6222.7</v>
      </c>
      <c r="P58" s="7" t="n">
        <v>5346.1</v>
      </c>
      <c r="R58" s="7" t="n">
        <v>4887</v>
      </c>
      <c r="T58" s="7" t="n">
        <v>4502.7</v>
      </c>
      <c r="V58" s="7" t="n">
        <v>3966.7</v>
      </c>
      <c r="X58" s="7" t="n">
        <v>2126.9</v>
      </c>
      <c r="Z58" s="7" t="n">
        <v>4438.5</v>
      </c>
      <c r="AB58" s="7" t="n">
        <v>48969.1</v>
      </c>
    </row>
    <row r="59">
      <c r="A59" s="4" t="inlineStr">
        <is>
          <t>招待费</t>
        </is>
      </c>
      <c r="D59" s="7" t="n">
        <v>34178.3</v>
      </c>
      <c r="F59" s="7" t="n">
        <v>20064.6</v>
      </c>
      <c r="H59" s="7" t="n">
        <v>24501.7</v>
      </c>
      <c r="J59" s="7" t="n">
        <v>21879.9</v>
      </c>
      <c r="L59" s="7" t="n">
        <v>54320.7</v>
      </c>
      <c r="N59" s="7" t="n">
        <v>35477.8</v>
      </c>
      <c r="P59" s="7" t="n">
        <v>45427.5</v>
      </c>
      <c r="R59" s="7" t="n">
        <v>57072.6</v>
      </c>
      <c r="T59" s="7" t="n">
        <v>26197.3</v>
      </c>
      <c r="V59" s="7" t="n">
        <v>51635.9</v>
      </c>
      <c r="X59" s="7" t="n">
        <v>15926.9</v>
      </c>
      <c r="Z59" s="7" t="n">
        <v>26995.8</v>
      </c>
      <c r="AB59" s="7" t="n">
        <v>413679</v>
      </c>
    </row>
    <row r="60">
      <c r="A60" s="4" t="inlineStr">
        <is>
          <t>通讯费</t>
        </is>
      </c>
      <c r="D60" s="7" t="n">
        <v>6423.3</v>
      </c>
      <c r="F60" s="7" t="n">
        <v>2905.7</v>
      </c>
      <c r="H60" s="7" t="n">
        <v>4719.5</v>
      </c>
      <c r="J60" s="7" t="n">
        <v>3426.7</v>
      </c>
      <c r="L60" s="7" t="n">
        <v>8670.6</v>
      </c>
      <c r="N60" s="7" t="n">
        <v>9531.799999999999</v>
      </c>
      <c r="P60" s="7" t="n">
        <v>9580.299999999999</v>
      </c>
      <c r="R60" s="7" t="n">
        <v>9395.799999999999</v>
      </c>
      <c r="T60" s="7" t="n">
        <v>6276.5</v>
      </c>
      <c r="V60" s="7" t="n">
        <v>9180</v>
      </c>
      <c r="X60" s="7" t="n">
        <v>2368</v>
      </c>
      <c r="Z60" s="7" t="n">
        <v>4661.6</v>
      </c>
      <c r="AB60" s="7" t="n">
        <v>77139.8</v>
      </c>
    </row>
    <row r="61">
      <c r="A61" s="4" t="inlineStr">
        <is>
          <t>网络费</t>
        </is>
      </c>
      <c r="D61" s="7" t="n">
        <v>910.7</v>
      </c>
      <c r="F61" s="7" t="n">
        <v>598.5</v>
      </c>
      <c r="H61" s="7" t="n">
        <v>1029.1</v>
      </c>
      <c r="J61" s="7" t="n">
        <v>1109.4</v>
      </c>
      <c r="L61" s="7" t="n">
        <v>1930.8</v>
      </c>
      <c r="N61" s="7" t="n">
        <v>1462.3</v>
      </c>
      <c r="P61" s="7" t="n">
        <v>2077</v>
      </c>
      <c r="R61" s="7" t="n">
        <v>1972.7</v>
      </c>
      <c r="T61" s="7" t="n">
        <v>1108.9</v>
      </c>
      <c r="V61" s="7" t="n">
        <v>1300.4</v>
      </c>
      <c r="X61" s="7" t="n">
        <v>747.2</v>
      </c>
      <c r="Z61" s="7" t="n">
        <v>1039.2</v>
      </c>
      <c r="AB61" s="7" t="n">
        <v>15286.2</v>
      </c>
    </row>
    <row r="62">
      <c r="A62" s="4" t="inlineStr">
        <is>
          <t>修理费</t>
        </is>
      </c>
      <c r="D62" s="7" t="n">
        <v>2421.5</v>
      </c>
      <c r="F62" s="7" t="n">
        <v>1096.9</v>
      </c>
      <c r="H62" s="7" t="n">
        <v>1650.3</v>
      </c>
      <c r="J62" s="7" t="n">
        <v>1545.5</v>
      </c>
      <c r="L62" s="7" t="n">
        <v>4687.5</v>
      </c>
      <c r="N62" s="7" t="n">
        <v>2544.7</v>
      </c>
      <c r="P62" s="7" t="n">
        <v>2762.1</v>
      </c>
      <c r="R62" s="7" t="n">
        <v>2925</v>
      </c>
      <c r="T62" s="7" t="n">
        <v>1562.3</v>
      </c>
      <c r="V62" s="7" t="n">
        <v>3169.2</v>
      </c>
      <c r="X62" s="7" t="n">
        <v>1419.9</v>
      </c>
      <c r="Z62" s="7" t="n">
        <v>2480.1</v>
      </c>
      <c r="AB62" s="7" t="n">
        <v>28265</v>
      </c>
    </row>
    <row r="63">
      <c r="A63" s="4" t="inlineStr">
        <is>
          <t>车辆费</t>
        </is>
      </c>
      <c r="D63" s="7" t="n">
        <v>2418.9</v>
      </c>
      <c r="F63" s="7" t="n">
        <v>1027</v>
      </c>
      <c r="H63" s="7" t="n">
        <v>1947.4</v>
      </c>
      <c r="J63" s="7" t="n">
        <v>2008.3</v>
      </c>
      <c r="L63" s="7" t="n">
        <v>4419.2</v>
      </c>
      <c r="N63" s="7" t="n">
        <v>4558.4</v>
      </c>
      <c r="P63" s="7" t="n">
        <v>4739.2</v>
      </c>
      <c r="R63" s="7" t="n">
        <v>5235.9</v>
      </c>
      <c r="T63" s="7" t="n">
        <v>2155.9</v>
      </c>
      <c r="V63" s="7" t="n">
        <v>3914.9</v>
      </c>
      <c r="X63" s="7" t="n">
        <v>1548.8</v>
      </c>
      <c r="Z63" s="7" t="n">
        <v>2674.2</v>
      </c>
      <c r="AB63" s="7" t="n">
        <v>36648.1</v>
      </c>
    </row>
    <row r="64">
      <c r="A64" s="4" t="inlineStr">
        <is>
          <t>租赁费</t>
        </is>
      </c>
      <c r="D64" s="7" t="n">
        <v>35105.4</v>
      </c>
      <c r="F64" s="7" t="n">
        <v>23747.9</v>
      </c>
      <c r="H64" s="7" t="n">
        <v>39080</v>
      </c>
      <c r="J64" s="7" t="n">
        <v>42906.6</v>
      </c>
      <c r="L64" s="7" t="n">
        <v>68699.8</v>
      </c>
      <c r="N64" s="7" t="n">
        <v>56408.3</v>
      </c>
      <c r="P64" s="7" t="n">
        <v>67450.60000000001</v>
      </c>
      <c r="R64" s="7" t="n">
        <v>51316.5</v>
      </c>
      <c r="T64" s="7" t="n">
        <v>49570.6</v>
      </c>
      <c r="V64" s="7" t="n">
        <v>63638.6</v>
      </c>
      <c r="X64" s="7" t="n">
        <v>23772.5</v>
      </c>
      <c r="Z64" s="7" t="n">
        <v>60203.5</v>
      </c>
      <c r="AB64" s="7" t="n">
        <v>581900.3</v>
      </c>
    </row>
    <row r="65">
      <c r="A65" s="4" t="inlineStr">
        <is>
          <t>能源费</t>
        </is>
      </c>
      <c r="D65" s="7" t="n">
        <v>10647.3</v>
      </c>
      <c r="F65" s="7" t="n">
        <v>5995.9</v>
      </c>
      <c r="H65" s="7" t="n">
        <v>9023.5</v>
      </c>
      <c r="J65" s="7" t="n">
        <v>8875.799999999999</v>
      </c>
      <c r="L65" s="7" t="n">
        <v>22635.5</v>
      </c>
      <c r="N65" s="7" t="n">
        <v>18042.9</v>
      </c>
      <c r="P65" s="7" t="n">
        <v>20587.5</v>
      </c>
      <c r="R65" s="7" t="n">
        <v>20494.1</v>
      </c>
      <c r="T65" s="7" t="n">
        <v>12053.3</v>
      </c>
      <c r="V65" s="7" t="n">
        <v>18577.4</v>
      </c>
      <c r="X65" s="7" t="n">
        <v>7570.4</v>
      </c>
      <c r="Z65" s="7" t="n">
        <v>14108.8</v>
      </c>
      <c r="AB65" s="7" t="n">
        <v>168612.4</v>
      </c>
    </row>
    <row r="66">
      <c r="A66" s="4" t="inlineStr">
        <is>
          <t>水费</t>
        </is>
      </c>
      <c r="D66" s="7" t="n">
        <v>4104.5</v>
      </c>
      <c r="F66" s="7" t="n">
        <v>3032.3</v>
      </c>
      <c r="H66" s="7" t="n">
        <v>3469.3</v>
      </c>
      <c r="J66" s="7" t="n">
        <v>3567.5</v>
      </c>
      <c r="L66" s="7" t="n">
        <v>12754.9</v>
      </c>
      <c r="N66" s="7" t="n">
        <v>9019.9</v>
      </c>
      <c r="P66" s="7" t="n">
        <v>10670.9</v>
      </c>
      <c r="R66" s="7" t="n">
        <v>8626.299999999999</v>
      </c>
      <c r="T66" s="7" t="n">
        <v>6680.7</v>
      </c>
      <c r="V66" s="7" t="n">
        <v>9208</v>
      </c>
      <c r="X66" s="7" t="n">
        <v>3451.5</v>
      </c>
      <c r="Z66" s="7" t="n">
        <v>7525.5</v>
      </c>
      <c r="AB66" s="7" t="n">
        <v>82111.3</v>
      </c>
    </row>
    <row r="67">
      <c r="A67" s="4" t="inlineStr">
        <is>
          <t>电费</t>
        </is>
      </c>
      <c r="D67" s="7" t="n">
        <v>24.1</v>
      </c>
      <c r="F67" s="7" t="n">
        <v>7.7</v>
      </c>
      <c r="H67" s="7" t="n">
        <v>16</v>
      </c>
      <c r="J67" s="7" t="n">
        <v>15.3</v>
      </c>
      <c r="L67" s="7" t="n">
        <v>36.7</v>
      </c>
      <c r="N67" s="7" t="n">
        <v>17.7</v>
      </c>
      <c r="P67" s="7" t="n">
        <v>25.3</v>
      </c>
      <c r="R67" s="7" t="n">
        <v>22.2</v>
      </c>
      <c r="T67" s="7" t="n">
        <v>16.6</v>
      </c>
      <c r="V67" s="7" t="n">
        <v>30</v>
      </c>
      <c r="X67" s="7" t="n">
        <v>9.6</v>
      </c>
      <c r="Z67" s="7" t="n">
        <v>24.4</v>
      </c>
      <c r="AB67" s="7" t="n">
        <v>245.6</v>
      </c>
    </row>
    <row r="68">
      <c r="A68" s="4" t="inlineStr">
        <is>
          <t>燃气费</t>
        </is>
      </c>
      <c r="D68" s="7" t="n">
        <v>3543.3</v>
      </c>
      <c r="F68" s="7" t="n">
        <v>1651.2</v>
      </c>
      <c r="H68" s="7" t="n">
        <v>3185.9</v>
      </c>
      <c r="J68" s="7" t="n">
        <v>2681.8</v>
      </c>
      <c r="L68" s="7" t="n">
        <v>5602.3</v>
      </c>
      <c r="N68" s="7" t="n">
        <v>4072.1</v>
      </c>
      <c r="P68" s="7" t="n">
        <v>5788</v>
      </c>
      <c r="R68" s="7" t="n">
        <v>6241.4</v>
      </c>
      <c r="T68" s="7" t="n">
        <v>2918.1</v>
      </c>
      <c r="V68" s="7" t="n">
        <v>5466.4</v>
      </c>
      <c r="X68" s="7" t="n">
        <v>1794.9</v>
      </c>
      <c r="Z68" s="7" t="n">
        <v>4139.1</v>
      </c>
      <c r="AB68" s="7" t="n">
        <v>47084.5</v>
      </c>
    </row>
    <row r="69">
      <c r="A69" s="4" t="inlineStr">
        <is>
          <t>蒸汽费</t>
        </is>
      </c>
      <c r="D69" s="7" t="n">
        <v>2975.4</v>
      </c>
      <c r="F69" s="7" t="n">
        <v>1304.7</v>
      </c>
      <c r="H69" s="7" t="n">
        <v>2352.3</v>
      </c>
      <c r="J69" s="7" t="n">
        <v>2611.2</v>
      </c>
      <c r="L69" s="7" t="n">
        <v>4241.6</v>
      </c>
      <c r="N69" s="7" t="n">
        <v>4933.2</v>
      </c>
      <c r="P69" s="7" t="n">
        <v>4103.3</v>
      </c>
      <c r="R69" s="7" t="n">
        <v>5604.2</v>
      </c>
      <c r="T69" s="7" t="n">
        <v>2437.9</v>
      </c>
      <c r="V69" s="7" t="n">
        <v>3873</v>
      </c>
      <c r="X69" s="7" t="n">
        <v>2314.4</v>
      </c>
      <c r="Z69" s="7" t="n">
        <v>2419.8</v>
      </c>
      <c r="AB69" s="7" t="n">
        <v>39171</v>
      </c>
    </row>
    <row r="70">
      <c r="A70" s="4" t="inlineStr">
        <is>
          <t>物业费</t>
        </is>
      </c>
      <c r="D70" s="7" t="n">
        <v>4911.8</v>
      </c>
      <c r="F70" s="7" t="n">
        <v>1679.5</v>
      </c>
      <c r="H70" s="7" t="n">
        <v>2265.8</v>
      </c>
      <c r="J70" s="7" t="n">
        <v>3426.2</v>
      </c>
      <c r="L70" s="7" t="n">
        <v>5916.8</v>
      </c>
      <c r="N70" s="7" t="n">
        <v>3864.7</v>
      </c>
      <c r="P70" s="7" t="n">
        <v>5341.8</v>
      </c>
      <c r="R70" s="7" t="n">
        <v>7348.9</v>
      </c>
      <c r="T70" s="7" t="n">
        <v>3581.7</v>
      </c>
      <c r="V70" s="7" t="n">
        <v>6768.9</v>
      </c>
      <c r="X70" s="7" t="n">
        <v>2476.7</v>
      </c>
      <c r="Z70" s="7" t="n">
        <v>5135.1</v>
      </c>
      <c r="AB70" s="7" t="n">
        <v>52717.9</v>
      </c>
    </row>
    <row r="71">
      <c r="A71" s="4" t="inlineStr">
        <is>
          <t>劳动保护费</t>
        </is>
      </c>
      <c r="D71" s="7" t="n">
        <v>3788.8</v>
      </c>
      <c r="F71" s="7" t="n">
        <v>2863.4</v>
      </c>
      <c r="H71" s="7" t="n">
        <v>4057.8</v>
      </c>
      <c r="J71" s="7" t="n">
        <v>2973</v>
      </c>
      <c r="L71" s="7" t="n">
        <v>7938.4</v>
      </c>
      <c r="N71" s="7" t="n">
        <v>7080.3</v>
      </c>
      <c r="P71" s="7" t="n">
        <v>9418.1</v>
      </c>
      <c r="R71" s="7" t="n">
        <v>9731.1</v>
      </c>
      <c r="T71" s="7" t="n">
        <v>4197</v>
      </c>
      <c r="V71" s="7" t="n">
        <v>6757.8</v>
      </c>
      <c r="X71" s="7" t="n">
        <v>2591.5</v>
      </c>
      <c r="Z71" s="7" t="n">
        <v>4367.8</v>
      </c>
      <c r="AB71" s="7" t="n">
        <v>65765</v>
      </c>
    </row>
    <row r="72">
      <c r="A72" s="4" t="inlineStr">
        <is>
          <t>顾问费</t>
        </is>
      </c>
      <c r="D72" s="7" t="n">
        <v>4832.2</v>
      </c>
      <c r="F72" s="7" t="n">
        <v>2431.1</v>
      </c>
      <c r="H72" s="7" t="n">
        <v>3204.5</v>
      </c>
      <c r="J72" s="7" t="n">
        <v>4319.1</v>
      </c>
      <c r="L72" s="7" t="n">
        <v>9322.6</v>
      </c>
      <c r="N72" s="7" t="n">
        <v>6987.4</v>
      </c>
      <c r="P72" s="7" t="n">
        <v>5288.1</v>
      </c>
      <c r="R72" s="7" t="n">
        <v>6548.1</v>
      </c>
      <c r="T72" s="7" t="n">
        <v>3528.9</v>
      </c>
      <c r="V72" s="7" t="n">
        <v>6078.1</v>
      </c>
      <c r="X72" s="7" t="n">
        <v>1775.9</v>
      </c>
      <c r="Z72" s="7" t="n">
        <v>5173.8</v>
      </c>
      <c r="AB72" s="7" t="n">
        <v>59489.8</v>
      </c>
    </row>
    <row r="73">
      <c r="A73" s="4" t="inlineStr">
        <is>
          <t>快递费</t>
        </is>
      </c>
      <c r="D73" s="7" t="n">
        <v>6041.3</v>
      </c>
      <c r="F73" s="7" t="n">
        <v>2470</v>
      </c>
      <c r="H73" s="7" t="n">
        <v>3178.1</v>
      </c>
      <c r="J73" s="7" t="n">
        <v>4704.8</v>
      </c>
      <c r="L73" s="7" t="n">
        <v>12590</v>
      </c>
      <c r="N73" s="7" t="n">
        <v>7297.9</v>
      </c>
      <c r="P73" s="7" t="n">
        <v>9448.6</v>
      </c>
      <c r="R73" s="7" t="n">
        <v>6576</v>
      </c>
      <c r="T73" s="7" t="n">
        <v>6205.1</v>
      </c>
      <c r="V73" s="7" t="n">
        <v>6031.2</v>
      </c>
      <c r="X73" s="7" t="n">
        <v>2276.5</v>
      </c>
      <c r="Z73" s="7" t="n">
        <v>4613.4</v>
      </c>
      <c r="AB73" s="7" t="n">
        <v>71432.89999999999</v>
      </c>
    </row>
    <row r="74">
      <c r="A74" s="4" t="inlineStr">
        <is>
          <t>诉讼费</t>
        </is>
      </c>
      <c r="D74" s="7" t="n">
        <v>3799.6</v>
      </c>
      <c r="F74" s="7" t="n">
        <v>1854.7</v>
      </c>
      <c r="H74" s="7" t="n">
        <v>2595.3</v>
      </c>
      <c r="J74" s="7" t="n">
        <v>3531.8</v>
      </c>
      <c r="L74" s="7" t="n">
        <v>9264.799999999999</v>
      </c>
      <c r="N74" s="7" t="n">
        <v>4452.2</v>
      </c>
      <c r="P74" s="7" t="n">
        <v>8629.6</v>
      </c>
      <c r="R74" s="7" t="n">
        <v>8096.6</v>
      </c>
      <c r="T74" s="7" t="n">
        <v>4234</v>
      </c>
      <c r="V74" s="7" t="n">
        <v>7328.9</v>
      </c>
      <c r="X74" s="7" t="n">
        <v>3205.2</v>
      </c>
      <c r="Z74" s="7" t="n">
        <v>6071.5</v>
      </c>
      <c r="AB74" s="7" t="n">
        <v>63064.2</v>
      </c>
    </row>
    <row r="75">
      <c r="A75" s="4" t="inlineStr">
        <is>
          <t>会员费</t>
        </is>
      </c>
      <c r="D75" s="7" t="n">
        <v>2696.1</v>
      </c>
      <c r="F75" s="7" t="n">
        <v>1324.9</v>
      </c>
      <c r="H75" s="7" t="n">
        <v>1462.6</v>
      </c>
      <c r="J75" s="7" t="n">
        <v>1762.1</v>
      </c>
      <c r="L75" s="7" t="n">
        <v>3624.5</v>
      </c>
      <c r="N75" s="7" t="n">
        <v>2331</v>
      </c>
      <c r="P75" s="7" t="n">
        <v>3193.8</v>
      </c>
      <c r="R75" s="7" t="n">
        <v>4491.9</v>
      </c>
      <c r="T75" s="7" t="n">
        <v>2287.5</v>
      </c>
      <c r="V75" s="7" t="n">
        <v>2489.3</v>
      </c>
      <c r="X75" s="7" t="n">
        <v>1149.2</v>
      </c>
      <c r="Z75" s="7" t="n">
        <v>1963.3</v>
      </c>
      <c r="AB75" s="7" t="n">
        <v>28776.2</v>
      </c>
    </row>
    <row r="76">
      <c r="A76" s="4" t="inlineStr">
        <is>
          <t>广告宣传费</t>
        </is>
      </c>
      <c r="D76" s="7" t="n">
        <v>24361.2</v>
      </c>
      <c r="F76" s="7" t="n">
        <v>11236.7</v>
      </c>
      <c r="H76" s="7" t="n">
        <v>21814.2</v>
      </c>
      <c r="J76" s="7" t="n">
        <v>16108.1</v>
      </c>
      <c r="L76" s="7" t="n">
        <v>53963.7</v>
      </c>
      <c r="N76" s="7" t="n">
        <v>38640.6</v>
      </c>
      <c r="P76" s="7" t="n">
        <v>51710.2</v>
      </c>
      <c r="R76" s="7" t="n">
        <v>40200.6</v>
      </c>
      <c r="T76" s="7" t="n">
        <v>31573.4</v>
      </c>
      <c r="V76" s="7" t="n">
        <v>37054.9</v>
      </c>
      <c r="X76" s="7" t="n">
        <v>19571.8</v>
      </c>
      <c r="Z76" s="7" t="n">
        <v>29396.9</v>
      </c>
      <c r="AB76" s="7" t="n">
        <v>375632.3</v>
      </c>
    </row>
    <row r="77">
      <c r="A77" s="4" t="inlineStr">
        <is>
          <t>会务费</t>
        </is>
      </c>
      <c r="D77" s="7" t="n">
        <v>1799.7</v>
      </c>
      <c r="F77" s="7" t="n">
        <v>1010.2</v>
      </c>
      <c r="H77" s="7" t="n">
        <v>1484.8</v>
      </c>
      <c r="J77" s="7" t="n">
        <v>1593.1</v>
      </c>
      <c r="L77" s="7" t="n">
        <v>2861.8</v>
      </c>
      <c r="N77" s="7" t="n">
        <v>2395.3</v>
      </c>
      <c r="P77" s="7" t="n">
        <v>2435.7</v>
      </c>
      <c r="R77" s="7" t="n">
        <v>3422.6</v>
      </c>
      <c r="T77" s="7" t="n">
        <v>1775.6</v>
      </c>
      <c r="V77" s="7" t="n">
        <v>2253.7</v>
      </c>
      <c r="X77" s="7" t="n">
        <v>1176.1</v>
      </c>
      <c r="Z77" s="7" t="n">
        <v>2533</v>
      </c>
      <c r="AB77" s="7" t="n">
        <v>24741.6</v>
      </c>
    </row>
    <row r="78">
      <c r="A78" s="4" t="inlineStr">
        <is>
          <t>装修费</t>
        </is>
      </c>
      <c r="D78" s="7" t="n">
        <v>5381.1</v>
      </c>
      <c r="F78" s="7" t="n">
        <v>1668.9</v>
      </c>
      <c r="H78" s="7" t="n">
        <v>2982.1</v>
      </c>
      <c r="J78" s="7" t="n">
        <v>4089.4</v>
      </c>
      <c r="L78" s="7" t="n">
        <v>8170.2</v>
      </c>
      <c r="N78" s="7" t="n">
        <v>4509.7</v>
      </c>
      <c r="P78" s="7" t="n">
        <v>7692.2</v>
      </c>
      <c r="R78" s="7" t="n">
        <v>8112.8</v>
      </c>
      <c r="T78" s="7" t="n">
        <v>3446.5</v>
      </c>
      <c r="V78" s="7" t="n">
        <v>4487.9</v>
      </c>
      <c r="X78" s="7" t="n">
        <v>3054.3</v>
      </c>
      <c r="Z78" s="7" t="n">
        <v>4977.1</v>
      </c>
      <c r="AB78" s="7" t="n">
        <v>58572.2</v>
      </c>
    </row>
    <row r="79">
      <c r="A79" s="4" t="inlineStr">
        <is>
          <t>推广费</t>
        </is>
      </c>
      <c r="D79" s="7" t="n">
        <v>4982.8</v>
      </c>
      <c r="F79" s="7" t="n">
        <v>2052.7</v>
      </c>
      <c r="H79" s="7" t="n">
        <v>3977.6</v>
      </c>
      <c r="J79" s="7" t="n">
        <v>4254.9</v>
      </c>
      <c r="L79" s="7" t="n">
        <v>10664.5</v>
      </c>
      <c r="N79" s="7" t="n">
        <v>4695.2</v>
      </c>
      <c r="P79" s="7" t="n">
        <v>6361.9</v>
      </c>
      <c r="R79" s="7" t="n">
        <v>9062.5</v>
      </c>
      <c r="T79" s="7" t="n">
        <v>5623.9</v>
      </c>
      <c r="V79" s="7" t="n">
        <v>5556</v>
      </c>
      <c r="X79" s="7" t="n">
        <v>2097.3</v>
      </c>
      <c r="Z79" s="7" t="n">
        <v>6364.9</v>
      </c>
      <c r="AB79" s="7" t="n">
        <v>65694.2</v>
      </c>
    </row>
    <row r="80">
      <c r="A80" s="4" t="inlineStr">
        <is>
          <t>展会费</t>
        </is>
      </c>
      <c r="D80" s="7" t="n">
        <v>2271.1</v>
      </c>
      <c r="F80" s="7" t="n">
        <v>1422.4</v>
      </c>
      <c r="H80" s="7" t="n">
        <v>1736.5</v>
      </c>
      <c r="J80" s="7" t="n">
        <v>2429.6</v>
      </c>
      <c r="L80" s="7" t="n">
        <v>4297.8</v>
      </c>
      <c r="N80" s="7" t="n">
        <v>3486.7</v>
      </c>
      <c r="P80" s="7" t="n">
        <v>5141.3</v>
      </c>
      <c r="R80" s="7" t="n">
        <v>5613.7</v>
      </c>
      <c r="T80" s="7" t="n">
        <v>2197</v>
      </c>
      <c r="V80" s="7" t="n">
        <v>4150.1</v>
      </c>
      <c r="X80" s="7" t="n">
        <v>2190.3</v>
      </c>
      <c r="Z80" s="7" t="n">
        <v>2604.4</v>
      </c>
      <c r="AB80" s="7" t="n">
        <v>37540.9</v>
      </c>
    </row>
    <row r="81">
      <c r="A81" s="4" t="inlineStr">
        <is>
          <t>设计费</t>
        </is>
      </c>
      <c r="D81" s="7" t="n">
        <v>4961.4</v>
      </c>
      <c r="F81" s="7" t="n">
        <v>1522</v>
      </c>
      <c r="H81" s="7" t="n">
        <v>2653.1</v>
      </c>
      <c r="J81" s="7" t="n">
        <v>3357.9</v>
      </c>
      <c r="L81" s="7" t="n">
        <v>7873.7</v>
      </c>
      <c r="N81" s="7" t="n">
        <v>6389.2</v>
      </c>
      <c r="P81" s="7" t="n">
        <v>5429.7</v>
      </c>
      <c r="R81" s="7" t="n">
        <v>7879.6</v>
      </c>
      <c r="T81" s="7" t="n">
        <v>4291.9</v>
      </c>
      <c r="V81" s="7" t="n">
        <v>6725</v>
      </c>
      <c r="X81" s="7" t="n">
        <v>3428.7</v>
      </c>
      <c r="Z81" s="7" t="n">
        <v>4358.1</v>
      </c>
      <c r="AB81" s="7" t="n">
        <v>58870.3</v>
      </c>
    </row>
    <row r="82">
      <c r="A82" s="4" t="inlineStr">
        <is>
          <t>折旧费</t>
        </is>
      </c>
      <c r="D82" s="7" t="n">
        <v>24638.1</v>
      </c>
      <c r="F82" s="7" t="n">
        <v>11023.7</v>
      </c>
      <c r="H82" s="7" t="n">
        <v>18607.4</v>
      </c>
      <c r="J82" s="7" t="n">
        <v>29513.3</v>
      </c>
      <c r="L82" s="7" t="n">
        <v>45568.4</v>
      </c>
      <c r="N82" s="7" t="n">
        <v>54147.7</v>
      </c>
      <c r="P82" s="7" t="n">
        <v>40249</v>
      </c>
      <c r="R82" s="7" t="n">
        <v>47021.3</v>
      </c>
      <c r="T82" s="7" t="n">
        <v>39179</v>
      </c>
      <c r="V82" s="7" t="n">
        <v>55483.9</v>
      </c>
      <c r="X82" s="7" t="n">
        <v>21485.4</v>
      </c>
      <c r="Z82" s="7" t="n">
        <v>27944.9</v>
      </c>
      <c r="AB82" s="7" t="n">
        <v>414862.1</v>
      </c>
    </row>
    <row r="83">
      <c r="A83" s="4" t="inlineStr">
        <is>
          <t>认证费</t>
        </is>
      </c>
      <c r="D83" s="7" t="n">
        <v>1358.9</v>
      </c>
      <c r="F83" s="7" t="n">
        <v>369.5</v>
      </c>
      <c r="H83" s="7" t="n">
        <v>948.8</v>
      </c>
      <c r="J83" s="7" t="n">
        <v>858</v>
      </c>
      <c r="L83" s="7" t="n">
        <v>1837.4</v>
      </c>
      <c r="N83" s="7" t="n">
        <v>1671.4</v>
      </c>
      <c r="P83" s="7" t="n">
        <v>2010.2</v>
      </c>
      <c r="R83" s="7" t="n">
        <v>1746.2</v>
      </c>
      <c r="T83" s="7" t="n">
        <v>1198.7</v>
      </c>
      <c r="V83" s="7" t="n">
        <v>1890.3</v>
      </c>
      <c r="X83" s="7" t="n">
        <v>566.2</v>
      </c>
      <c r="Z83" s="7" t="n">
        <v>1284</v>
      </c>
      <c r="AB83" s="7" t="n">
        <v>15739.6</v>
      </c>
    </row>
    <row r="84">
      <c r="A84" s="4" t="inlineStr">
        <is>
          <t>样品费</t>
        </is>
      </c>
      <c r="D84" s="7" t="n">
        <v>20138.8</v>
      </c>
      <c r="F84" s="7" t="n">
        <v>7815.8</v>
      </c>
      <c r="H84" s="7" t="n">
        <v>11349.4</v>
      </c>
      <c r="J84" s="7" t="n">
        <v>11753.5</v>
      </c>
      <c r="L84" s="7" t="n">
        <v>25368.4</v>
      </c>
      <c r="N84" s="7" t="n">
        <v>23459.6</v>
      </c>
      <c r="P84" s="7" t="n">
        <v>22101.6</v>
      </c>
      <c r="R84" s="7" t="n">
        <v>28967.7</v>
      </c>
      <c r="T84" s="7" t="n">
        <v>17374.8</v>
      </c>
      <c r="V84" s="7" t="n">
        <v>20425.3</v>
      </c>
      <c r="X84" s="7" t="n">
        <v>10352.7</v>
      </c>
      <c r="Z84" s="7" t="n">
        <v>21637.6</v>
      </c>
      <c r="AB84" s="7" t="n">
        <v>220745.2</v>
      </c>
    </row>
    <row r="85">
      <c r="A85" s="4" t="inlineStr">
        <is>
          <t>劳务费</t>
        </is>
      </c>
      <c r="D85" s="7" t="n">
        <v>1009.3</v>
      </c>
      <c r="F85" s="7" t="n">
        <v>336.2</v>
      </c>
      <c r="H85" s="7" t="n">
        <v>688</v>
      </c>
      <c r="J85" s="7" t="n">
        <v>480.9</v>
      </c>
      <c r="L85" s="7" t="n">
        <v>1460.4</v>
      </c>
      <c r="N85" s="7" t="n">
        <v>816.4</v>
      </c>
      <c r="P85" s="7" t="n">
        <v>1329.1</v>
      </c>
      <c r="R85" s="7" t="n">
        <v>929.8</v>
      </c>
      <c r="T85" s="7" t="n">
        <v>887.5</v>
      </c>
      <c r="V85" s="7" t="n">
        <v>811.1</v>
      </c>
      <c r="X85" s="7" t="n">
        <v>432.1</v>
      </c>
      <c r="Z85" s="7" t="n">
        <v>779.8</v>
      </c>
      <c r="AB85" s="7" t="n">
        <v>9960.6</v>
      </c>
    </row>
    <row r="86">
      <c r="A86" s="4" t="inlineStr">
        <is>
          <t>销售佣金</t>
        </is>
      </c>
      <c r="D86" s="7" t="n">
        <v>1753.4</v>
      </c>
      <c r="F86" s="7" t="n">
        <v>809.5</v>
      </c>
      <c r="H86" s="7" t="n">
        <v>1484.5</v>
      </c>
      <c r="J86" s="7" t="n">
        <v>1547.9</v>
      </c>
      <c r="L86" s="7" t="n">
        <v>3405.2</v>
      </c>
      <c r="N86" s="7" t="n">
        <v>2683.1</v>
      </c>
      <c r="P86" s="7" t="n">
        <v>2669.8</v>
      </c>
      <c r="R86" s="7" t="n">
        <v>2352.5</v>
      </c>
      <c r="T86" s="7" t="n">
        <v>1655.4</v>
      </c>
      <c r="V86" s="7" t="n">
        <v>2218.4</v>
      </c>
      <c r="X86" s="7" t="n">
        <v>1033</v>
      </c>
      <c r="Z86" s="7" t="n">
        <v>2315</v>
      </c>
      <c r="AB86" s="7" t="n">
        <v>23927.7</v>
      </c>
    </row>
    <row r="87">
      <c r="A87" s="4" t="inlineStr">
        <is>
          <t>检测费</t>
        </is>
      </c>
      <c r="D87" s="7" t="n">
        <v>2451.2</v>
      </c>
      <c r="F87" s="7" t="n">
        <v>1096.3</v>
      </c>
      <c r="H87" s="7" t="n">
        <v>1442.7</v>
      </c>
      <c r="J87" s="7" t="n">
        <v>1169.1</v>
      </c>
      <c r="L87" s="7" t="n">
        <v>4320.9</v>
      </c>
      <c r="N87" s="7" t="n">
        <v>2947.1</v>
      </c>
      <c r="P87" s="7" t="n">
        <v>2462.1</v>
      </c>
      <c r="R87" s="7" t="n">
        <v>2605.7</v>
      </c>
      <c r="T87" s="7" t="n">
        <v>1927.5</v>
      </c>
      <c r="V87" s="7" t="n">
        <v>3412</v>
      </c>
      <c r="X87" s="7" t="n">
        <v>1269.6</v>
      </c>
      <c r="Z87" s="7" t="n">
        <v>2396.7</v>
      </c>
      <c r="AB87" s="7" t="n">
        <v>27500.9</v>
      </c>
    </row>
    <row r="88">
      <c r="A88" s="4" t="inlineStr">
        <is>
          <t>质量赔偿</t>
        </is>
      </c>
      <c r="D88" s="7" t="n">
        <v>3134.1</v>
      </c>
      <c r="F88" s="7" t="n">
        <v>2160.7</v>
      </c>
      <c r="H88" s="7" t="n">
        <v>3622.8</v>
      </c>
      <c r="J88" s="7" t="n">
        <v>4374.1</v>
      </c>
      <c r="L88" s="7" t="n">
        <v>10318.1</v>
      </c>
      <c r="N88" s="7" t="n">
        <v>4774.3</v>
      </c>
      <c r="P88" s="7" t="n">
        <v>5337.8</v>
      </c>
      <c r="R88" s="7" t="n">
        <v>5840.2</v>
      </c>
      <c r="T88" s="7" t="n">
        <v>3186.2</v>
      </c>
      <c r="V88" s="7" t="n">
        <v>4670.2</v>
      </c>
      <c r="X88" s="7" t="n">
        <v>2463.4</v>
      </c>
      <c r="Z88" s="7" t="n">
        <v>5772.8</v>
      </c>
      <c r="AB88" s="7" t="n">
        <v>55654.7</v>
      </c>
    </row>
    <row r="89">
      <c r="A89" s="4" t="inlineStr">
        <is>
          <t>保险费</t>
        </is>
      </c>
      <c r="D89" s="7" t="n">
        <v>720.6</v>
      </c>
      <c r="F89" s="7" t="n">
        <v>323.3</v>
      </c>
      <c r="H89" s="7" t="n">
        <v>372</v>
      </c>
      <c r="J89" s="7" t="n">
        <v>588.3</v>
      </c>
      <c r="L89" s="7" t="n">
        <v>1111</v>
      </c>
      <c r="N89" s="7" t="n">
        <v>1129.5</v>
      </c>
      <c r="P89" s="7" t="n">
        <v>920.7</v>
      </c>
      <c r="R89" s="7" t="n">
        <v>1360.5</v>
      </c>
      <c r="T89" s="7" t="n">
        <v>690.7</v>
      </c>
      <c r="V89" s="7" t="n">
        <v>1200.6</v>
      </c>
      <c r="X89" s="7" t="n">
        <v>420.2</v>
      </c>
      <c r="Z89" s="7" t="n">
        <v>703.9</v>
      </c>
      <c r="AB89" s="7" t="n">
        <v>9541.299999999999</v>
      </c>
    </row>
    <row r="90">
      <c r="A90" s="4" t="inlineStr">
        <is>
          <t>清洁费</t>
        </is>
      </c>
      <c r="D90" s="7" t="n">
        <v>4358.7</v>
      </c>
      <c r="F90" s="7" t="n">
        <v>1442.1</v>
      </c>
      <c r="H90" s="7" t="n">
        <v>2799.3</v>
      </c>
      <c r="J90" s="7" t="n">
        <v>2666.6</v>
      </c>
      <c r="L90" s="7" t="n">
        <v>5904.2</v>
      </c>
      <c r="N90" s="7" t="n">
        <v>6392.9</v>
      </c>
      <c r="P90" s="7" t="n">
        <v>7518.9</v>
      </c>
      <c r="R90" s="7" t="n">
        <v>5780</v>
      </c>
      <c r="T90" s="7" t="n">
        <v>3410.2</v>
      </c>
      <c r="V90" s="7" t="n">
        <v>6115.5</v>
      </c>
      <c r="X90" s="7" t="n">
        <v>2818.9</v>
      </c>
      <c r="Z90" s="7" t="n">
        <v>5314.1</v>
      </c>
      <c r="AB90" s="7" t="n">
        <v>54521.4</v>
      </c>
    </row>
    <row r="91">
      <c r="A91" s="4" t="inlineStr">
        <is>
          <t>低值易耗品</t>
        </is>
      </c>
      <c r="D91" s="7" t="n">
        <v>1818.7</v>
      </c>
      <c r="F91" s="7" t="n">
        <v>881.2</v>
      </c>
      <c r="H91" s="7" t="n">
        <v>1652.2</v>
      </c>
      <c r="J91" s="7" t="n">
        <v>2028.4</v>
      </c>
      <c r="L91" s="7" t="n">
        <v>3924.9</v>
      </c>
      <c r="N91" s="7" t="n">
        <v>3464</v>
      </c>
      <c r="P91" s="7" t="n">
        <v>3808.6</v>
      </c>
      <c r="R91" s="7" t="n">
        <v>2913.1</v>
      </c>
      <c r="T91" s="7" t="n">
        <v>2008.7</v>
      </c>
      <c r="V91" s="7" t="n">
        <v>3652.1</v>
      </c>
      <c r="X91" s="7" t="n">
        <v>1023.1</v>
      </c>
      <c r="Z91" s="7" t="n">
        <v>3049.6</v>
      </c>
      <c r="AB91" s="7" t="n">
        <v>30224.6</v>
      </c>
    </row>
    <row r="92">
      <c r="A92" s="4" t="inlineStr">
        <is>
          <t>物料消耗</t>
        </is>
      </c>
      <c r="D92" s="7" t="n">
        <v>4035.6</v>
      </c>
      <c r="F92" s="7" t="n">
        <v>2709.5</v>
      </c>
      <c r="H92" s="7" t="n">
        <v>3269</v>
      </c>
      <c r="J92" s="7" t="n">
        <v>3303.6</v>
      </c>
      <c r="L92" s="7" t="n">
        <v>9884.9</v>
      </c>
      <c r="N92" s="7" t="n">
        <v>7105.2</v>
      </c>
      <c r="P92" s="7" t="n">
        <v>9211.700000000001</v>
      </c>
      <c r="R92" s="7" t="n">
        <v>5144.4</v>
      </c>
      <c r="T92" s="7" t="n">
        <v>4307.7</v>
      </c>
      <c r="V92" s="7" t="n">
        <v>5285</v>
      </c>
      <c r="X92" s="7" t="n">
        <v>3043.9</v>
      </c>
      <c r="Z92" s="7" t="n">
        <v>4541.4</v>
      </c>
      <c r="AB92" s="7" t="n">
        <v>61841.9</v>
      </c>
    </row>
    <row r="93">
      <c r="A93" s="4" t="inlineStr">
        <is>
          <t>盘盈盘亏</t>
        </is>
      </c>
      <c r="D93" s="7" t="n">
        <v>3359</v>
      </c>
      <c r="F93" s="7" t="n">
        <v>2227.7</v>
      </c>
      <c r="H93" s="7" t="n">
        <v>3627.1</v>
      </c>
      <c r="J93" s="7" t="n">
        <v>2147.5</v>
      </c>
      <c r="L93" s="7" t="n">
        <v>5362.4</v>
      </c>
      <c r="N93" s="7" t="n">
        <v>4737.8</v>
      </c>
      <c r="P93" s="7" t="n">
        <v>5942</v>
      </c>
      <c r="R93" s="7" t="n">
        <v>5115.2</v>
      </c>
      <c r="T93" s="7" t="n">
        <v>3323.1</v>
      </c>
      <c r="V93" s="7" t="n">
        <v>5483.1</v>
      </c>
      <c r="X93" s="7" t="n">
        <v>2720.6</v>
      </c>
      <c r="Z93" s="7" t="n">
        <v>4188.4</v>
      </c>
      <c r="AB93" s="7" t="n">
        <v>48233.9</v>
      </c>
    </row>
    <row r="94">
      <c r="A94" s="4" t="inlineStr">
        <is>
          <t>平台服务费</t>
        </is>
      </c>
      <c r="D94" s="7" t="n">
        <v>5991.8</v>
      </c>
      <c r="F94" s="7" t="n">
        <v>2671.9</v>
      </c>
      <c r="H94" s="7" t="n">
        <v>3600.3</v>
      </c>
      <c r="J94" s="7" t="n">
        <v>4177.9</v>
      </c>
      <c r="L94" s="7" t="n">
        <v>9603.700000000001</v>
      </c>
      <c r="N94" s="7" t="n">
        <v>5546.7</v>
      </c>
      <c r="P94" s="7" t="n">
        <v>10874.8</v>
      </c>
      <c r="R94" s="7" t="n">
        <v>7119.8</v>
      </c>
      <c r="T94" s="7" t="n">
        <v>6555</v>
      </c>
      <c r="V94" s="7" t="n">
        <v>6902.9</v>
      </c>
      <c r="X94" s="7" t="n">
        <v>3687.3</v>
      </c>
      <c r="Z94" s="7" t="n">
        <v>4134.7</v>
      </c>
      <c r="AB94" s="7" t="n">
        <v>70866.8</v>
      </c>
    </row>
    <row r="95">
      <c r="A95" s="4" t="inlineStr">
        <is>
          <t>无形资产摊销</t>
        </is>
      </c>
      <c r="D95" s="7" t="n">
        <v>2790.2</v>
      </c>
      <c r="F95" s="7" t="n">
        <v>1956.7</v>
      </c>
      <c r="H95" s="7" t="n">
        <v>2152.6</v>
      </c>
      <c r="J95" s="7" t="n">
        <v>3671.9</v>
      </c>
      <c r="L95" s="7" t="n">
        <v>6068</v>
      </c>
      <c r="N95" s="7" t="n">
        <v>6439.9</v>
      </c>
      <c r="P95" s="7" t="n">
        <v>5218.8</v>
      </c>
      <c r="R95" s="7" t="n">
        <v>6882</v>
      </c>
      <c r="T95" s="7" t="n">
        <v>3495.9</v>
      </c>
      <c r="V95" s="7" t="n">
        <v>6325.4</v>
      </c>
      <c r="X95" s="7" t="n">
        <v>1970.3</v>
      </c>
      <c r="Z95" s="7" t="n">
        <v>3739.6</v>
      </c>
      <c r="AB95" s="7" t="n">
        <v>50711.3</v>
      </c>
    </row>
    <row r="96">
      <c r="A96" s="4" t="inlineStr">
        <is>
          <t>研发材料</t>
        </is>
      </c>
      <c r="D96" s="7" t="n">
        <v>3726.1</v>
      </c>
      <c r="F96" s="7" t="n">
        <v>1509.8</v>
      </c>
      <c r="H96" s="7" t="n">
        <v>2369</v>
      </c>
      <c r="J96" s="7" t="n">
        <v>2376</v>
      </c>
      <c r="L96" s="7" t="n">
        <v>5608.4</v>
      </c>
      <c r="N96" s="7" t="n">
        <v>5624.7</v>
      </c>
      <c r="P96" s="7" t="n">
        <v>6614.9</v>
      </c>
      <c r="R96" s="7" t="n">
        <v>6927.5</v>
      </c>
      <c r="T96" s="7" t="n">
        <v>4623.5</v>
      </c>
      <c r="V96" s="7" t="n">
        <v>5587</v>
      </c>
      <c r="X96" s="7" t="n">
        <v>2526.2</v>
      </c>
      <c r="Z96" s="7" t="n">
        <v>3549</v>
      </c>
      <c r="AB96" s="7" t="n">
        <v>51042.1</v>
      </c>
    </row>
    <row r="97">
      <c r="A97" s="4" t="inlineStr">
        <is>
          <t>项目名称</t>
        </is>
      </c>
      <c r="D97" s="7" t="n">
        <v>3590.4</v>
      </c>
      <c r="F97" s="7" t="n">
        <v>1241.9</v>
      </c>
      <c r="H97" s="7" t="n">
        <v>2097</v>
      </c>
      <c r="J97" s="7" t="n">
        <v>2463.3</v>
      </c>
      <c r="L97" s="7" t="n">
        <v>5544.4</v>
      </c>
      <c r="N97" s="7" t="n">
        <v>3710.7</v>
      </c>
      <c r="P97" s="7" t="n">
        <v>6701.4</v>
      </c>
      <c r="R97" s="7" t="n">
        <v>6208.4</v>
      </c>
      <c r="T97" s="7" t="n">
        <v>3743</v>
      </c>
      <c r="V97" s="7" t="n">
        <v>5801.8</v>
      </c>
      <c r="X97" s="7" t="n">
        <v>2486</v>
      </c>
      <c r="Z97" s="7" t="n">
        <v>3869.5</v>
      </c>
      <c r="AB97" s="7" t="n">
        <v>47457.8</v>
      </c>
    </row>
    <row r="98">
      <c r="A98" s="4" t="inlineStr">
        <is>
          <t>研发费</t>
        </is>
      </c>
      <c r="D98" s="7" t="n">
        <v>3272</v>
      </c>
      <c r="F98" s="7" t="n">
        <v>1157.1</v>
      </c>
      <c r="H98" s="7" t="n">
        <v>2007.1</v>
      </c>
      <c r="J98" s="7" t="n">
        <v>2171.8</v>
      </c>
      <c r="L98" s="7" t="n">
        <v>5280.7</v>
      </c>
      <c r="N98" s="7" t="n">
        <v>3569.2</v>
      </c>
      <c r="P98" s="7" t="n">
        <v>4784.7</v>
      </c>
      <c r="R98" s="7" t="n">
        <v>5307.1</v>
      </c>
      <c r="T98" s="7" t="n">
        <v>3469</v>
      </c>
      <c r="V98" s="7" t="n">
        <v>2738.1</v>
      </c>
      <c r="X98" s="7" t="n">
        <v>1371.4</v>
      </c>
      <c r="Z98" s="7" t="n">
        <v>3678.8</v>
      </c>
      <c r="AB98" s="7" t="n">
        <v>38807</v>
      </c>
    </row>
    <row r="99">
      <c r="A99" s="4" t="inlineStr">
        <is>
          <t>残保金</t>
        </is>
      </c>
      <c r="D99" s="7" t="n">
        <v>4015.5</v>
      </c>
      <c r="F99" s="7" t="n">
        <v>1947.9</v>
      </c>
      <c r="H99" s="7" t="n">
        <v>4956.2</v>
      </c>
      <c r="J99" s="7" t="n">
        <v>3368.5</v>
      </c>
      <c r="L99" s="7" t="n">
        <v>8098.5</v>
      </c>
      <c r="N99" s="7" t="n">
        <v>7901</v>
      </c>
      <c r="P99" s="7" t="n">
        <v>11494.5</v>
      </c>
      <c r="R99" s="7" t="n">
        <v>7284.1</v>
      </c>
      <c r="T99" s="7" t="n">
        <v>5139.4</v>
      </c>
      <c r="V99" s="7" t="n">
        <v>7528.7</v>
      </c>
      <c r="X99" s="7" t="n">
        <v>3747.1</v>
      </c>
      <c r="Z99" s="7" t="n">
        <v>5231.4</v>
      </c>
      <c r="AB99" s="7" t="n">
        <v>70712.8</v>
      </c>
    </row>
    <row r="100">
      <c r="A100" s="4" t="inlineStr">
        <is>
          <t>环保费</t>
        </is>
      </c>
      <c r="D100" s="7" t="n">
        <v>2048.9</v>
      </c>
      <c r="F100" s="7" t="n">
        <v>559.7</v>
      </c>
      <c r="H100" s="7" t="n">
        <v>1370.7</v>
      </c>
      <c r="J100" s="7" t="n">
        <v>1185.5</v>
      </c>
      <c r="L100" s="7" t="n">
        <v>2081.3</v>
      </c>
      <c r="N100" s="7" t="n">
        <v>2277.7</v>
      </c>
      <c r="P100" s="7" t="n">
        <v>2158.3</v>
      </c>
      <c r="R100" s="7" t="n">
        <v>2253.2</v>
      </c>
      <c r="T100" s="7" t="n">
        <v>1854.5</v>
      </c>
      <c r="V100" s="7" t="n">
        <v>1699.3</v>
      </c>
      <c r="X100" s="7" t="n">
        <v>698.1</v>
      </c>
      <c r="Z100" s="7" t="n">
        <v>1537.2</v>
      </c>
      <c r="AB100" s="7" t="n">
        <v>19724.4</v>
      </c>
    </row>
    <row r="101">
      <c r="A101" s="4" t="inlineStr">
        <is>
          <t>报废损失</t>
        </is>
      </c>
      <c r="D101" s="7" t="n">
        <v>307.9</v>
      </c>
      <c r="F101" s="7" t="n">
        <v>184.1</v>
      </c>
      <c r="H101" s="7" t="n">
        <v>351.2</v>
      </c>
      <c r="J101" s="7" t="n">
        <v>272.3</v>
      </c>
      <c r="L101" s="7" t="n">
        <v>758.8</v>
      </c>
      <c r="N101" s="7" t="n">
        <v>443.5</v>
      </c>
      <c r="P101" s="7" t="n">
        <v>611.2</v>
      </c>
      <c r="R101" s="7" t="n">
        <v>603.5</v>
      </c>
      <c r="T101" s="7" t="n">
        <v>474.5</v>
      </c>
      <c r="V101" s="7" t="n">
        <v>572.7</v>
      </c>
      <c r="X101" s="7" t="n">
        <v>274.1</v>
      </c>
      <c r="Z101" s="7" t="n">
        <v>409.3</v>
      </c>
      <c r="AB101" s="7" t="n">
        <v>5263.1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322081.5</v>
      </c>
      <c r="D102" s="7" t="n">
        <v>132521.9</v>
      </c>
      <c r="E102" s="7" t="n">
        <v>272919.5</v>
      </c>
      <c r="F102" s="7" t="n">
        <v>257072</v>
      </c>
      <c r="G102" s="7" t="n">
        <v>292619.3</v>
      </c>
      <c r="H102" s="7" t="n">
        <v>395237.5</v>
      </c>
      <c r="I102" s="7" t="n">
        <v>282807.2</v>
      </c>
      <c r="J102" s="7" t="n">
        <v>337478.9</v>
      </c>
      <c r="K102" s="7" t="n">
        <v>312470.3</v>
      </c>
      <c r="L102" s="7" t="n">
        <v>356108.6</v>
      </c>
      <c r="M102" s="7" t="n">
        <v>319664.6</v>
      </c>
      <c r="N102" s="7" t="n">
        <v>248004</v>
      </c>
      <c r="O102" s="7" t="n">
        <v>302288.6</v>
      </c>
      <c r="P102" s="7" t="n">
        <v>363048.4</v>
      </c>
      <c r="Q102" s="7" t="n">
        <v>315164.6</v>
      </c>
      <c r="R102" s="7" t="n">
        <v>274623.4</v>
      </c>
      <c r="S102" s="7" t="n">
        <v>276719.6</v>
      </c>
      <c r="T102" s="7" t="n">
        <v>281230.9</v>
      </c>
      <c r="U102" s="7" t="n">
        <v>290236.4</v>
      </c>
      <c r="V102" s="7" t="n">
        <v>218092.4</v>
      </c>
      <c r="W102" s="7" t="n">
        <v>281781.7</v>
      </c>
      <c r="X102" s="7" t="n">
        <v>369346.9</v>
      </c>
      <c r="Y102" s="7" t="n">
        <v>285261.6</v>
      </c>
      <c r="Z102" s="7" t="n">
        <v>258056.2</v>
      </c>
      <c r="AA102" s="8" t="n">
        <v>3554014.9</v>
      </c>
      <c r="AB102" s="8" t="n">
        <v>3490821.1</v>
      </c>
    </row>
    <row r="103">
      <c r="A103" s="4" t="inlineStr">
        <is>
          <t>职工薪酬</t>
        </is>
      </c>
      <c r="D103" s="7" t="n">
        <v>71461</v>
      </c>
      <c r="F103" s="7" t="n">
        <v>150213.1</v>
      </c>
      <c r="H103" s="7" t="n">
        <v>176999.3</v>
      </c>
      <c r="J103" s="7" t="n">
        <v>202238.5</v>
      </c>
      <c r="L103" s="7" t="n">
        <v>138176.1</v>
      </c>
      <c r="N103" s="7" t="n">
        <v>109541.9</v>
      </c>
      <c r="P103" s="7" t="n">
        <v>183058.6</v>
      </c>
      <c r="R103" s="7" t="n">
        <v>141078.6</v>
      </c>
      <c r="T103" s="7" t="n">
        <v>160120.6</v>
      </c>
      <c r="V103" s="7" t="n">
        <v>99290.10000000001</v>
      </c>
      <c r="X103" s="7" t="n">
        <v>172161.9</v>
      </c>
      <c r="Z103" s="7" t="n">
        <v>116411.5</v>
      </c>
      <c r="AB103" s="7" t="n">
        <v>1720751.2</v>
      </c>
    </row>
    <row r="104">
      <c r="A104" s="4" t="inlineStr">
        <is>
          <t>工资</t>
        </is>
      </c>
      <c r="D104" s="7" t="n">
        <v>37146.7</v>
      </c>
      <c r="F104" s="7" t="n">
        <v>94915.39999999999</v>
      </c>
      <c r="H104" s="7" t="n">
        <v>89287.5</v>
      </c>
      <c r="J104" s="7" t="n">
        <v>123794.8</v>
      </c>
      <c r="L104" s="7" t="n">
        <v>76530.8</v>
      </c>
      <c r="N104" s="7" t="n">
        <v>58955.1</v>
      </c>
      <c r="P104" s="7" t="n">
        <v>106014.9</v>
      </c>
      <c r="R104" s="7" t="n">
        <v>73507.89999999999</v>
      </c>
      <c r="T104" s="7" t="n">
        <v>96779.7</v>
      </c>
      <c r="V104" s="7" t="n">
        <v>49722.9</v>
      </c>
      <c r="X104" s="7" t="n">
        <v>89231.10000000001</v>
      </c>
      <c r="Z104" s="7" t="n">
        <v>64346</v>
      </c>
      <c r="AB104" s="7" t="n">
        <v>960232.8</v>
      </c>
    </row>
    <row r="105">
      <c r="A105" s="4" t="inlineStr">
        <is>
          <t>奖金及提成</t>
        </is>
      </c>
      <c r="D105" s="7" t="n">
        <v>16412.8</v>
      </c>
      <c r="F105" s="7" t="n">
        <v>23482.9</v>
      </c>
      <c r="H105" s="7" t="n">
        <v>47050.6</v>
      </c>
      <c r="J105" s="7" t="n">
        <v>33931.7</v>
      </c>
      <c r="L105" s="7" t="n">
        <v>28846.3</v>
      </c>
      <c r="N105" s="7" t="n">
        <v>25872.4</v>
      </c>
      <c r="P105" s="7" t="n">
        <v>35986.5</v>
      </c>
      <c r="R105" s="7" t="n">
        <v>33187.1</v>
      </c>
      <c r="T105" s="7" t="n">
        <v>26848.7</v>
      </c>
      <c r="V105" s="7" t="n">
        <v>22612.3</v>
      </c>
      <c r="X105" s="7" t="n">
        <v>45852.6</v>
      </c>
      <c r="Z105" s="7" t="n">
        <v>27681.9</v>
      </c>
      <c r="AB105" s="7" t="n">
        <v>367765.8</v>
      </c>
    </row>
    <row r="106">
      <c r="A106" s="4" t="inlineStr">
        <is>
          <t>社保</t>
        </is>
      </c>
      <c r="D106" s="7" t="n">
        <v>13680</v>
      </c>
      <c r="F106" s="7" t="n">
        <v>24655</v>
      </c>
      <c r="H106" s="7" t="n">
        <v>27642.6</v>
      </c>
      <c r="J106" s="7" t="n">
        <v>34500.5</v>
      </c>
      <c r="L106" s="7" t="n">
        <v>21922</v>
      </c>
      <c r="N106" s="7" t="n">
        <v>17507.2</v>
      </c>
      <c r="P106" s="7" t="n">
        <v>29994.1</v>
      </c>
      <c r="R106" s="7" t="n">
        <v>25842.9</v>
      </c>
      <c r="T106" s="7" t="n">
        <v>29047.5</v>
      </c>
      <c r="V106" s="7" t="n">
        <v>20381.1</v>
      </c>
      <c r="X106" s="7" t="n">
        <v>26757.4</v>
      </c>
      <c r="Z106" s="7" t="n">
        <v>17392.1</v>
      </c>
      <c r="AB106" s="7" t="n">
        <v>289322.4</v>
      </c>
    </row>
    <row r="107">
      <c r="A107" s="4" t="inlineStr">
        <is>
          <t>养老</t>
        </is>
      </c>
      <c r="D107" s="7" t="n">
        <v>935.5</v>
      </c>
      <c r="F107" s="7" t="n">
        <v>1661</v>
      </c>
      <c r="H107" s="7" t="n">
        <v>2274.6</v>
      </c>
      <c r="J107" s="7" t="n">
        <v>1803.4</v>
      </c>
      <c r="L107" s="7" t="n">
        <v>1666.6</v>
      </c>
      <c r="N107" s="7" t="n">
        <v>1525.4</v>
      </c>
      <c r="P107" s="7" t="n">
        <v>2195.2</v>
      </c>
      <c r="R107" s="7" t="n">
        <v>1203.4</v>
      </c>
      <c r="T107" s="7" t="n">
        <v>1211.7</v>
      </c>
      <c r="V107" s="7" t="n">
        <v>1138.1</v>
      </c>
      <c r="X107" s="7" t="n">
        <v>2329.4</v>
      </c>
      <c r="Z107" s="7" t="n">
        <v>1037.9</v>
      </c>
      <c r="AB107" s="7" t="n">
        <v>18982.2</v>
      </c>
    </row>
    <row r="108">
      <c r="A108" s="4" t="inlineStr">
        <is>
          <t>医疗</t>
        </is>
      </c>
      <c r="D108" s="7" t="n">
        <v>717.7</v>
      </c>
      <c r="F108" s="7" t="n">
        <v>1796.3</v>
      </c>
      <c r="H108" s="7" t="n">
        <v>2234.4</v>
      </c>
      <c r="J108" s="7" t="n">
        <v>1344.5</v>
      </c>
      <c r="L108" s="7" t="n">
        <v>1677.4</v>
      </c>
      <c r="N108" s="7" t="n">
        <v>1396.6</v>
      </c>
      <c r="P108" s="7" t="n">
        <v>2468.4</v>
      </c>
      <c r="R108" s="7" t="n">
        <v>1671.4</v>
      </c>
      <c r="T108" s="7" t="n">
        <v>1473.7</v>
      </c>
      <c r="V108" s="7" t="n">
        <v>1003.2</v>
      </c>
      <c r="X108" s="7" t="n">
        <v>2358.7</v>
      </c>
      <c r="Z108" s="7" t="n">
        <v>1310.3</v>
      </c>
      <c r="AB108" s="7" t="n">
        <v>19452.6</v>
      </c>
    </row>
    <row r="109">
      <c r="A109" s="4" t="inlineStr">
        <is>
          <t>工伤</t>
        </is>
      </c>
      <c r="D109" s="7" t="n">
        <v>542.2</v>
      </c>
      <c r="F109" s="7" t="n">
        <v>1275.4</v>
      </c>
      <c r="H109" s="7" t="n">
        <v>1475.8</v>
      </c>
      <c r="J109" s="7" t="n">
        <v>1421.8</v>
      </c>
      <c r="L109" s="7" t="n">
        <v>1654.1</v>
      </c>
      <c r="N109" s="7" t="n">
        <v>1187.9</v>
      </c>
      <c r="P109" s="7" t="n">
        <v>1557.1</v>
      </c>
      <c r="R109" s="7" t="n">
        <v>1290</v>
      </c>
      <c r="T109" s="7" t="n">
        <v>1196.3</v>
      </c>
      <c r="V109" s="7" t="n">
        <v>988.1</v>
      </c>
      <c r="X109" s="7" t="n">
        <v>1661.7</v>
      </c>
      <c r="Z109" s="7" t="n">
        <v>1118.4</v>
      </c>
      <c r="AB109" s="7" t="n">
        <v>15368.8</v>
      </c>
    </row>
    <row r="110">
      <c r="A110" s="4" t="inlineStr">
        <is>
          <t>失业</t>
        </is>
      </c>
      <c r="D110" s="7" t="n">
        <v>801.9</v>
      </c>
      <c r="F110" s="7" t="n">
        <v>967.1</v>
      </c>
      <c r="H110" s="7" t="n">
        <v>1998.8</v>
      </c>
      <c r="J110" s="7" t="n">
        <v>1325.7</v>
      </c>
      <c r="L110" s="7" t="n">
        <v>2079.6</v>
      </c>
      <c r="N110" s="7" t="n">
        <v>1296.6</v>
      </c>
      <c r="P110" s="7" t="n">
        <v>1960.6</v>
      </c>
      <c r="R110" s="7" t="n">
        <v>1427.1</v>
      </c>
      <c r="T110" s="7" t="n">
        <v>1106.2</v>
      </c>
      <c r="V110" s="7" t="n">
        <v>1131.1</v>
      </c>
      <c r="X110" s="7" t="n">
        <v>1615.9</v>
      </c>
      <c r="Z110" s="7" t="n">
        <v>1498.3</v>
      </c>
      <c r="AB110" s="7" t="n">
        <v>17208.9</v>
      </c>
    </row>
    <row r="111">
      <c r="A111" s="4" t="inlineStr">
        <is>
          <t>生育</t>
        </is>
      </c>
      <c r="D111" s="7" t="n">
        <v>803.2</v>
      </c>
      <c r="F111" s="7" t="n">
        <v>1758.1</v>
      </c>
      <c r="H111" s="7" t="n">
        <v>2792.1</v>
      </c>
      <c r="J111" s="7" t="n">
        <v>2497.7</v>
      </c>
      <c r="L111" s="7" t="n">
        <v>2557.6</v>
      </c>
      <c r="N111" s="7" t="n">
        <v>1103.9</v>
      </c>
      <c r="P111" s="7" t="n">
        <v>2542.3</v>
      </c>
      <c r="R111" s="7" t="n">
        <v>1892.3</v>
      </c>
      <c r="T111" s="7" t="n">
        <v>1364.4</v>
      </c>
      <c r="V111" s="7" t="n">
        <v>1482.6</v>
      </c>
      <c r="X111" s="7" t="n">
        <v>2505.3</v>
      </c>
      <c r="Z111" s="7" t="n">
        <v>1438.4</v>
      </c>
      <c r="AB111" s="7" t="n">
        <v>22737.9</v>
      </c>
    </row>
    <row r="112">
      <c r="A112" s="4" t="inlineStr">
        <is>
          <t>公积金</t>
        </is>
      </c>
      <c r="D112" s="7" t="n">
        <v>625.5</v>
      </c>
      <c r="F112" s="7" t="n">
        <v>696.7</v>
      </c>
      <c r="H112" s="7" t="n">
        <v>1568.7</v>
      </c>
      <c r="J112" s="7" t="n">
        <v>890.7</v>
      </c>
      <c r="L112" s="7" t="n">
        <v>1362.6</v>
      </c>
      <c r="N112" s="7" t="n">
        <v>727.2</v>
      </c>
      <c r="P112" s="7" t="n">
        <v>1455.4</v>
      </c>
      <c r="R112" s="7" t="n">
        <v>989.4</v>
      </c>
      <c r="T112" s="7" t="n">
        <v>988.6</v>
      </c>
      <c r="V112" s="7" t="n">
        <v>996</v>
      </c>
      <c r="X112" s="7" t="n">
        <v>1482.1</v>
      </c>
      <c r="Z112" s="7" t="n">
        <v>767.5</v>
      </c>
      <c r="AB112" s="7" t="n">
        <v>12550.4</v>
      </c>
    </row>
    <row r="113">
      <c r="A113" s="4" t="inlineStr">
        <is>
          <t>工会经费</t>
        </is>
      </c>
      <c r="D113" s="7" t="n">
        <v>194.6</v>
      </c>
      <c r="F113" s="7" t="n">
        <v>472</v>
      </c>
      <c r="H113" s="7" t="n">
        <v>468.3</v>
      </c>
      <c r="J113" s="7" t="n">
        <v>508.4</v>
      </c>
      <c r="L113" s="7" t="n">
        <v>451.5</v>
      </c>
      <c r="N113" s="7" t="n">
        <v>385.4</v>
      </c>
      <c r="P113" s="7" t="n">
        <v>639.8</v>
      </c>
      <c r="R113" s="7" t="n">
        <v>423.8</v>
      </c>
      <c r="T113" s="7" t="n">
        <v>493.4</v>
      </c>
      <c r="V113" s="7" t="n">
        <v>312.5</v>
      </c>
      <c r="X113" s="7" t="n">
        <v>572.3</v>
      </c>
      <c r="Z113" s="7" t="n">
        <v>378.8</v>
      </c>
      <c r="AB113" s="7" t="n">
        <v>5300.8</v>
      </c>
    </row>
    <row r="114">
      <c r="A114" s="4" t="inlineStr">
        <is>
          <t>职工教育经费</t>
        </is>
      </c>
      <c r="D114" s="7" t="n">
        <v>18.1</v>
      </c>
      <c r="F114" s="7" t="n">
        <v>25.7</v>
      </c>
      <c r="H114" s="7" t="n">
        <v>31.8</v>
      </c>
      <c r="J114" s="7" t="n">
        <v>35.1</v>
      </c>
      <c r="L114" s="7" t="n">
        <v>38.6</v>
      </c>
      <c r="N114" s="7" t="n">
        <v>31.3</v>
      </c>
      <c r="P114" s="7" t="n">
        <v>53.7</v>
      </c>
      <c r="R114" s="7" t="n">
        <v>39.1</v>
      </c>
      <c r="T114" s="7" t="n">
        <v>33.6</v>
      </c>
      <c r="V114" s="7" t="n">
        <v>24</v>
      </c>
      <c r="X114" s="7" t="n">
        <v>30.4</v>
      </c>
      <c r="Z114" s="7" t="n">
        <v>35</v>
      </c>
      <c r="AB114" s="7" t="n">
        <v>396.4</v>
      </c>
    </row>
    <row r="115">
      <c r="A115" s="4" t="inlineStr">
        <is>
          <t>福利费</t>
        </is>
      </c>
      <c r="D115" s="7" t="n">
        <v>3383.3</v>
      </c>
      <c r="F115" s="7" t="n">
        <v>5965.4</v>
      </c>
      <c r="H115" s="7" t="n">
        <v>10949.8</v>
      </c>
      <c r="J115" s="7" t="n">
        <v>8577.299999999999</v>
      </c>
      <c r="L115" s="7" t="n">
        <v>9024.299999999999</v>
      </c>
      <c r="N115" s="7" t="n">
        <v>6063.3</v>
      </c>
      <c r="P115" s="7" t="n">
        <v>8914.200000000001</v>
      </c>
      <c r="R115" s="7" t="n">
        <v>7088.4</v>
      </c>
      <c r="T115" s="7" t="n">
        <v>5929.1</v>
      </c>
      <c r="V115" s="7" t="n">
        <v>5241.3</v>
      </c>
      <c r="X115" s="7" t="n">
        <v>8236</v>
      </c>
      <c r="Z115" s="7" t="n">
        <v>5810.2</v>
      </c>
      <c r="AB115" s="7" t="n">
        <v>85182.60000000001</v>
      </c>
    </row>
    <row r="116">
      <c r="A116" s="4" t="inlineStr">
        <is>
          <t>职工房租</t>
        </is>
      </c>
      <c r="D116" s="7" t="n">
        <v>195.2</v>
      </c>
      <c r="F116" s="7" t="n">
        <v>432.8</v>
      </c>
      <c r="H116" s="7" t="n">
        <v>426.1</v>
      </c>
      <c r="J116" s="7" t="n">
        <v>574.5</v>
      </c>
      <c r="L116" s="7" t="n">
        <v>621.9</v>
      </c>
      <c r="N116" s="7" t="n">
        <v>408.6</v>
      </c>
      <c r="P116" s="7" t="n">
        <v>610.8</v>
      </c>
      <c r="R116" s="7" t="n">
        <v>346.5</v>
      </c>
      <c r="T116" s="7" t="n">
        <v>360.4</v>
      </c>
      <c r="V116" s="7" t="n">
        <v>388.6</v>
      </c>
      <c r="X116" s="7" t="n">
        <v>405.1</v>
      </c>
      <c r="Z116" s="7" t="n">
        <v>442.1</v>
      </c>
      <c r="AB116" s="7" t="n">
        <v>5212.6</v>
      </c>
    </row>
    <row r="117">
      <c r="A117" s="4" t="inlineStr">
        <is>
          <t>水电物业费</t>
        </is>
      </c>
      <c r="D117" s="7" t="n">
        <v>634.3</v>
      </c>
      <c r="F117" s="7" t="n">
        <v>1034.2</v>
      </c>
      <c r="H117" s="7" t="n">
        <v>2120.2</v>
      </c>
      <c r="J117" s="7" t="n">
        <v>2001.8</v>
      </c>
      <c r="L117" s="7" t="n">
        <v>2195.8</v>
      </c>
      <c r="N117" s="7" t="n">
        <v>1091</v>
      </c>
      <c r="P117" s="7" t="n">
        <v>2293.2</v>
      </c>
      <c r="R117" s="7" t="n">
        <v>1697.4</v>
      </c>
      <c r="T117" s="7" t="n">
        <v>1719.3</v>
      </c>
      <c r="V117" s="7" t="n">
        <v>887.6</v>
      </c>
      <c r="X117" s="7" t="n">
        <v>2167.4</v>
      </c>
      <c r="Z117" s="7" t="n">
        <v>921.4</v>
      </c>
      <c r="AB117" s="7" t="n">
        <v>18763.6</v>
      </c>
    </row>
    <row r="118">
      <c r="A118" s="4" t="inlineStr">
        <is>
          <t>员工餐</t>
        </is>
      </c>
      <c r="D118" s="7" t="n">
        <v>585.1</v>
      </c>
      <c r="F118" s="7" t="n">
        <v>1193.4</v>
      </c>
      <c r="H118" s="7" t="n">
        <v>2153.5</v>
      </c>
      <c r="J118" s="7" t="n">
        <v>1379.5</v>
      </c>
      <c r="L118" s="7" t="n">
        <v>2025.5</v>
      </c>
      <c r="N118" s="7" t="n">
        <v>836.2</v>
      </c>
      <c r="P118" s="7" t="n">
        <v>2047.1</v>
      </c>
      <c r="R118" s="7" t="n">
        <v>1121</v>
      </c>
      <c r="T118" s="7" t="n">
        <v>1011.2</v>
      </c>
      <c r="V118" s="7" t="n">
        <v>715</v>
      </c>
      <c r="X118" s="7" t="n">
        <v>1319.6</v>
      </c>
      <c r="Z118" s="7" t="n">
        <v>1205.7</v>
      </c>
      <c r="AB118" s="7" t="n">
        <v>15592.8</v>
      </c>
    </row>
    <row r="119">
      <c r="A119" s="4" t="inlineStr">
        <is>
          <t>节日礼品</t>
        </is>
      </c>
      <c r="D119" s="7" t="n">
        <v>854.5</v>
      </c>
      <c r="F119" s="7" t="n">
        <v>993</v>
      </c>
      <c r="H119" s="7" t="n">
        <v>2704.8</v>
      </c>
      <c r="J119" s="7" t="n">
        <v>1686</v>
      </c>
      <c r="L119" s="7" t="n">
        <v>1410.8</v>
      </c>
      <c r="N119" s="7" t="n">
        <v>1458.5</v>
      </c>
      <c r="P119" s="7" t="n">
        <v>1466.7</v>
      </c>
      <c r="R119" s="7" t="n">
        <v>1598.6</v>
      </c>
      <c r="T119" s="7" t="n">
        <v>1129.8</v>
      </c>
      <c r="V119" s="7" t="n">
        <v>1345.8</v>
      </c>
      <c r="X119" s="7" t="n">
        <v>1461.2</v>
      </c>
      <c r="Z119" s="7" t="n">
        <v>1316.5</v>
      </c>
      <c r="AB119" s="7" t="n">
        <v>17426.2</v>
      </c>
    </row>
    <row r="120">
      <c r="A120" s="4" t="inlineStr">
        <is>
          <t>生日礼品</t>
        </is>
      </c>
      <c r="D120" s="7" t="n">
        <v>165.9</v>
      </c>
      <c r="F120" s="7" t="n">
        <v>244.2</v>
      </c>
      <c r="H120" s="7" t="n">
        <v>481.9</v>
      </c>
      <c r="J120" s="7" t="n">
        <v>378.8</v>
      </c>
      <c r="L120" s="7" t="n">
        <v>391.7</v>
      </c>
      <c r="N120" s="7" t="n">
        <v>226.5</v>
      </c>
      <c r="P120" s="7" t="n">
        <v>480</v>
      </c>
      <c r="R120" s="7" t="n">
        <v>265.6</v>
      </c>
      <c r="T120" s="7" t="n">
        <v>283.6</v>
      </c>
      <c r="V120" s="7" t="n">
        <v>179.9</v>
      </c>
      <c r="X120" s="7" t="n">
        <v>427.9</v>
      </c>
      <c r="Z120" s="7" t="n">
        <v>289.5</v>
      </c>
      <c r="AB120" s="7" t="n">
        <v>3815.5</v>
      </c>
    </row>
    <row r="121">
      <c r="A121" s="4" t="inlineStr">
        <is>
          <t>体检</t>
        </is>
      </c>
      <c r="D121" s="7" t="n">
        <v>195.1</v>
      </c>
      <c r="F121" s="7" t="n">
        <v>535.6</v>
      </c>
      <c r="H121" s="7" t="n">
        <v>707.3</v>
      </c>
      <c r="J121" s="7" t="n">
        <v>488.3</v>
      </c>
      <c r="L121" s="7" t="n">
        <v>619.2</v>
      </c>
      <c r="N121" s="7" t="n">
        <v>557.5</v>
      </c>
      <c r="P121" s="7" t="n">
        <v>739.1</v>
      </c>
      <c r="R121" s="7" t="n">
        <v>536.2</v>
      </c>
      <c r="T121" s="7" t="n">
        <v>470.7</v>
      </c>
      <c r="V121" s="7" t="n">
        <v>416</v>
      </c>
      <c r="X121" s="7" t="n">
        <v>514.9</v>
      </c>
      <c r="Z121" s="7" t="n">
        <v>582.8</v>
      </c>
      <c r="AB121" s="7" t="n">
        <v>6362.7</v>
      </c>
    </row>
    <row r="122">
      <c r="A122" s="4" t="inlineStr">
        <is>
          <t>其他福利支出</t>
        </is>
      </c>
      <c r="D122" s="7" t="n">
        <v>753.2</v>
      </c>
      <c r="F122" s="7" t="n">
        <v>1532.2</v>
      </c>
      <c r="H122" s="7" t="n">
        <v>2356</v>
      </c>
      <c r="J122" s="7" t="n">
        <v>2068.4</v>
      </c>
      <c r="L122" s="7" t="n">
        <v>1759.4</v>
      </c>
      <c r="N122" s="7" t="n">
        <v>1485</v>
      </c>
      <c r="P122" s="7" t="n">
        <v>1277.3</v>
      </c>
      <c r="R122" s="7" t="n">
        <v>1523.1</v>
      </c>
      <c r="T122" s="7" t="n">
        <v>954.1</v>
      </c>
      <c r="V122" s="7" t="n">
        <v>1308.4</v>
      </c>
      <c r="X122" s="7" t="n">
        <v>1939.9</v>
      </c>
      <c r="Z122" s="7" t="n">
        <v>1052.2</v>
      </c>
      <c r="AB122" s="7" t="n">
        <v>18009.2</v>
      </c>
    </row>
    <row r="123">
      <c r="A123" s="4" t="inlineStr">
        <is>
          <t>招聘费</t>
        </is>
      </c>
      <c r="D123" s="7" t="n">
        <v>690.6</v>
      </c>
      <c r="F123" s="7" t="n">
        <v>1590.4</v>
      </c>
      <c r="H123" s="7" t="n">
        <v>1894.9</v>
      </c>
      <c r="J123" s="7" t="n">
        <v>1674</v>
      </c>
      <c r="L123" s="7" t="n">
        <v>2852.2</v>
      </c>
      <c r="N123" s="7" t="n">
        <v>1443.4</v>
      </c>
      <c r="P123" s="7" t="n">
        <v>2906.7</v>
      </c>
      <c r="R123" s="7" t="n">
        <v>1435.5</v>
      </c>
      <c r="T123" s="7" t="n">
        <v>2235.8</v>
      </c>
      <c r="V123" s="7" t="n">
        <v>1305.5</v>
      </c>
      <c r="X123" s="7" t="n">
        <v>2303.7</v>
      </c>
      <c r="Z123" s="7" t="n">
        <v>2062.7</v>
      </c>
      <c r="AB123" s="7" t="n">
        <v>22395.4</v>
      </c>
    </row>
    <row r="124">
      <c r="A124" s="4" t="inlineStr">
        <is>
          <t>办公费</t>
        </is>
      </c>
      <c r="D124" s="7" t="n">
        <v>3890.4</v>
      </c>
      <c r="F124" s="7" t="n">
        <v>6346.7</v>
      </c>
      <c r="H124" s="7" t="n">
        <v>15386.6</v>
      </c>
      <c r="J124" s="7" t="n">
        <v>12600.6</v>
      </c>
      <c r="L124" s="7" t="n">
        <v>11824.4</v>
      </c>
      <c r="N124" s="7" t="n">
        <v>5558.9</v>
      </c>
      <c r="P124" s="7" t="n">
        <v>8691.700000000001</v>
      </c>
      <c r="R124" s="7" t="n">
        <v>7644.7</v>
      </c>
      <c r="T124" s="7" t="n">
        <v>7013.8</v>
      </c>
      <c r="V124" s="7" t="n">
        <v>6236.2</v>
      </c>
      <c r="X124" s="7" t="n">
        <v>13242.2</v>
      </c>
      <c r="Z124" s="7" t="n">
        <v>9969.200000000001</v>
      </c>
      <c r="AB124" s="7" t="n">
        <v>108405.4</v>
      </c>
    </row>
    <row r="125">
      <c r="A125" s="4" t="inlineStr">
        <is>
          <t>市内交通费</t>
        </is>
      </c>
      <c r="D125" s="7" t="n">
        <v>270.8</v>
      </c>
      <c r="F125" s="7" t="n">
        <v>550.5</v>
      </c>
      <c r="H125" s="7" t="n">
        <v>1059</v>
      </c>
      <c r="J125" s="7" t="n">
        <v>650.9</v>
      </c>
      <c r="L125" s="7" t="n">
        <v>604.2</v>
      </c>
      <c r="N125" s="7" t="n">
        <v>500.5</v>
      </c>
      <c r="P125" s="7" t="n">
        <v>934.1</v>
      </c>
      <c r="R125" s="7" t="n">
        <v>587.7</v>
      </c>
      <c r="T125" s="7" t="n">
        <v>518.2</v>
      </c>
      <c r="V125" s="7" t="n">
        <v>479.7</v>
      </c>
      <c r="X125" s="7" t="n">
        <v>873.9</v>
      </c>
      <c r="Z125" s="7" t="n">
        <v>430.8</v>
      </c>
      <c r="AB125" s="7" t="n">
        <v>7460.3</v>
      </c>
    </row>
    <row r="126">
      <c r="A126" s="4" t="inlineStr">
        <is>
          <t>差旅费</t>
        </is>
      </c>
      <c r="D126" s="7" t="n">
        <v>8327.299999999999</v>
      </c>
      <c r="F126" s="7" t="n">
        <v>11239.3</v>
      </c>
      <c r="H126" s="7" t="n">
        <v>28895.2</v>
      </c>
      <c r="J126" s="7" t="n">
        <v>17746.2</v>
      </c>
      <c r="L126" s="7" t="n">
        <v>15507.8</v>
      </c>
      <c r="N126" s="7" t="n">
        <v>17714.6</v>
      </c>
      <c r="P126" s="7" t="n">
        <v>20883.2</v>
      </c>
      <c r="R126" s="7" t="n">
        <v>14349.5</v>
      </c>
      <c r="T126" s="7" t="n">
        <v>12347.3</v>
      </c>
      <c r="V126" s="7" t="n">
        <v>12706.6</v>
      </c>
      <c r="X126" s="7" t="n">
        <v>24581.4</v>
      </c>
      <c r="Z126" s="7" t="n">
        <v>18567.7</v>
      </c>
      <c r="AB126" s="7" t="n">
        <v>202866.1</v>
      </c>
    </row>
    <row r="127">
      <c r="A127" s="4" t="inlineStr">
        <is>
          <t>交通费</t>
        </is>
      </c>
      <c r="D127" s="7" t="n">
        <v>353.3</v>
      </c>
      <c r="F127" s="7" t="n">
        <v>843.8</v>
      </c>
      <c r="H127" s="7" t="n">
        <v>1283.3</v>
      </c>
      <c r="J127" s="7" t="n">
        <v>1009</v>
      </c>
      <c r="L127" s="7" t="n">
        <v>930</v>
      </c>
      <c r="N127" s="7" t="n">
        <v>653</v>
      </c>
      <c r="P127" s="7" t="n">
        <v>1184.6</v>
      </c>
      <c r="R127" s="7" t="n">
        <v>534.5</v>
      </c>
      <c r="T127" s="7" t="n">
        <v>881.8</v>
      </c>
      <c r="V127" s="7" t="n">
        <v>617.2</v>
      </c>
      <c r="X127" s="7" t="n">
        <v>1183.7</v>
      </c>
      <c r="Z127" s="7" t="n">
        <v>833.6</v>
      </c>
      <c r="AB127" s="7" t="n">
        <v>10307.8</v>
      </c>
    </row>
    <row r="128">
      <c r="A128" s="4" t="inlineStr">
        <is>
          <t>住宿费</t>
        </is>
      </c>
      <c r="D128" s="7" t="n">
        <v>612.4</v>
      </c>
      <c r="F128" s="7" t="n">
        <v>756</v>
      </c>
      <c r="H128" s="7" t="n">
        <v>1245.7</v>
      </c>
      <c r="J128" s="7" t="n">
        <v>1318.6</v>
      </c>
      <c r="L128" s="7" t="n">
        <v>1766.3</v>
      </c>
      <c r="N128" s="7" t="n">
        <v>769.1</v>
      </c>
      <c r="P128" s="7" t="n">
        <v>1441</v>
      </c>
      <c r="R128" s="7" t="n">
        <v>1209.9</v>
      </c>
      <c r="T128" s="7" t="n">
        <v>1080.5</v>
      </c>
      <c r="V128" s="7" t="n">
        <v>959.2</v>
      </c>
      <c r="X128" s="7" t="n">
        <v>1517.7</v>
      </c>
      <c r="Z128" s="7" t="n">
        <v>837.5</v>
      </c>
      <c r="AB128" s="7" t="n">
        <v>13513.9</v>
      </c>
    </row>
    <row r="129">
      <c r="A129" s="4" t="inlineStr">
        <is>
          <t>餐补</t>
        </is>
      </c>
      <c r="D129" s="7" t="n">
        <v>442.7</v>
      </c>
      <c r="F129" s="7" t="n">
        <v>879.6</v>
      </c>
      <c r="H129" s="7" t="n">
        <v>1130.2</v>
      </c>
      <c r="J129" s="7" t="n">
        <v>1155.8</v>
      </c>
      <c r="L129" s="7" t="n">
        <v>1202.6</v>
      </c>
      <c r="N129" s="7" t="n">
        <v>558.6</v>
      </c>
      <c r="P129" s="7" t="n">
        <v>1124.7</v>
      </c>
      <c r="R129" s="7" t="n">
        <v>683.6</v>
      </c>
      <c r="T129" s="7" t="n">
        <v>563.7</v>
      </c>
      <c r="V129" s="7" t="n">
        <v>510.2</v>
      </c>
      <c r="X129" s="7" t="n">
        <v>1186.7</v>
      </c>
      <c r="Z129" s="7" t="n">
        <v>919.8</v>
      </c>
      <c r="AB129" s="7" t="n">
        <v>10358.2</v>
      </c>
    </row>
    <row r="130">
      <c r="A130" s="4" t="inlineStr">
        <is>
          <t>交通补助</t>
        </is>
      </c>
      <c r="D130" s="7" t="n">
        <v>23.3</v>
      </c>
      <c r="F130" s="7" t="n">
        <v>40.7</v>
      </c>
      <c r="H130" s="7" t="n">
        <v>67.2</v>
      </c>
      <c r="J130" s="7" t="n">
        <v>48.5</v>
      </c>
      <c r="L130" s="7" t="n">
        <v>59.3</v>
      </c>
      <c r="N130" s="7" t="n">
        <v>48.3</v>
      </c>
      <c r="P130" s="7" t="n">
        <v>53</v>
      </c>
      <c r="R130" s="7" t="n">
        <v>46.2</v>
      </c>
      <c r="T130" s="7" t="n">
        <v>39.8</v>
      </c>
      <c r="V130" s="7" t="n">
        <v>41.4</v>
      </c>
      <c r="X130" s="7" t="n">
        <v>46.7</v>
      </c>
      <c r="Z130" s="7" t="n">
        <v>36.6</v>
      </c>
      <c r="AB130" s="7" t="n">
        <v>551</v>
      </c>
    </row>
    <row r="131">
      <c r="A131" s="4" t="inlineStr">
        <is>
          <t>通讯补助</t>
        </is>
      </c>
      <c r="D131" s="7" t="n">
        <v>534</v>
      </c>
      <c r="F131" s="7" t="n">
        <v>1545.3</v>
      </c>
      <c r="H131" s="7" t="n">
        <v>1857.6</v>
      </c>
      <c r="J131" s="7" t="n">
        <v>1210.4</v>
      </c>
      <c r="L131" s="7" t="n">
        <v>1865.5</v>
      </c>
      <c r="N131" s="7" t="n">
        <v>952</v>
      </c>
      <c r="P131" s="7" t="n">
        <v>2236.1</v>
      </c>
      <c r="R131" s="7" t="n">
        <v>1135.2</v>
      </c>
      <c r="T131" s="7" t="n">
        <v>1549.7</v>
      </c>
      <c r="V131" s="7" t="n">
        <v>1000.2</v>
      </c>
      <c r="X131" s="7" t="n">
        <v>1502.6</v>
      </c>
      <c r="Z131" s="7" t="n">
        <v>1709.4</v>
      </c>
      <c r="AB131" s="7" t="n">
        <v>17098</v>
      </c>
    </row>
    <row r="132">
      <c r="A132" s="4" t="inlineStr">
        <is>
          <t>招待费</t>
        </is>
      </c>
      <c r="D132" s="7" t="n">
        <v>5869.4</v>
      </c>
      <c r="F132" s="7" t="n">
        <v>11267.3</v>
      </c>
      <c r="H132" s="7" t="n">
        <v>11207.3</v>
      </c>
      <c r="J132" s="7" t="n">
        <v>12163.2</v>
      </c>
      <c r="L132" s="7" t="n">
        <v>18422.6</v>
      </c>
      <c r="N132" s="7" t="n">
        <v>12521.6</v>
      </c>
      <c r="P132" s="7" t="n">
        <v>16149.1</v>
      </c>
      <c r="R132" s="7" t="n">
        <v>10358.4</v>
      </c>
      <c r="T132" s="7" t="n">
        <v>8889.200000000001</v>
      </c>
      <c r="V132" s="7" t="n">
        <v>6488</v>
      </c>
      <c r="X132" s="7" t="n">
        <v>16115.1</v>
      </c>
      <c r="Z132" s="7" t="n">
        <v>13029.2</v>
      </c>
      <c r="AB132" s="7" t="n">
        <v>142480.4</v>
      </c>
    </row>
    <row r="133">
      <c r="A133" s="4" t="inlineStr">
        <is>
          <t>通讯费</t>
        </is>
      </c>
      <c r="D133" s="7" t="n">
        <v>65.90000000000001</v>
      </c>
      <c r="F133" s="7" t="n">
        <v>109.9</v>
      </c>
      <c r="H133" s="7" t="n">
        <v>177</v>
      </c>
      <c r="J133" s="7" t="n">
        <v>156.8</v>
      </c>
      <c r="L133" s="7" t="n">
        <v>179.5</v>
      </c>
      <c r="N133" s="7" t="n">
        <v>85.59999999999999</v>
      </c>
      <c r="P133" s="7" t="n">
        <v>182.6</v>
      </c>
      <c r="R133" s="7" t="n">
        <v>152.4</v>
      </c>
      <c r="T133" s="7" t="n">
        <v>115.5</v>
      </c>
      <c r="V133" s="7" t="n">
        <v>99.7</v>
      </c>
      <c r="X133" s="7" t="n">
        <v>187.7</v>
      </c>
      <c r="Z133" s="7" t="n">
        <v>107.5</v>
      </c>
      <c r="AB133" s="7" t="n">
        <v>1620.1</v>
      </c>
    </row>
    <row r="134">
      <c r="A134" s="4" t="inlineStr">
        <is>
          <t>网络费</t>
        </is>
      </c>
      <c r="D134" s="7" t="n">
        <v>337.2</v>
      </c>
      <c r="F134" s="7" t="n">
        <v>732.7</v>
      </c>
      <c r="H134" s="7" t="n">
        <v>1750.4</v>
      </c>
      <c r="J134" s="7" t="n">
        <v>874.4</v>
      </c>
      <c r="L134" s="7" t="n">
        <v>1147.1</v>
      </c>
      <c r="N134" s="7" t="n">
        <v>640.5</v>
      </c>
      <c r="P134" s="7" t="n">
        <v>1383.7</v>
      </c>
      <c r="R134" s="7" t="n">
        <v>1120.2</v>
      </c>
      <c r="T134" s="7" t="n">
        <v>1106.4</v>
      </c>
      <c r="V134" s="7" t="n">
        <v>801.7</v>
      </c>
      <c r="X134" s="7" t="n">
        <v>1701.5</v>
      </c>
      <c r="Z134" s="7" t="n">
        <v>979.7</v>
      </c>
      <c r="AB134" s="7" t="n">
        <v>12575.5</v>
      </c>
    </row>
    <row r="135">
      <c r="A135" s="4" t="inlineStr">
        <is>
          <t>修理费</t>
        </is>
      </c>
      <c r="D135" s="7" t="n">
        <v>603.5</v>
      </c>
      <c r="F135" s="7" t="n">
        <v>1020</v>
      </c>
      <c r="H135" s="7" t="n">
        <v>1394.1</v>
      </c>
      <c r="J135" s="7" t="n">
        <v>1881.2</v>
      </c>
      <c r="L135" s="7" t="n">
        <v>1457.3</v>
      </c>
      <c r="N135" s="7" t="n">
        <v>1283.2</v>
      </c>
      <c r="P135" s="7" t="n">
        <v>1658</v>
      </c>
      <c r="R135" s="7" t="n">
        <v>1341.8</v>
      </c>
      <c r="T135" s="7" t="n">
        <v>1387.7</v>
      </c>
      <c r="V135" s="7" t="n">
        <v>860.4</v>
      </c>
      <c r="X135" s="7" t="n">
        <v>1626.2</v>
      </c>
      <c r="Z135" s="7" t="n">
        <v>1202.1</v>
      </c>
      <c r="AB135" s="7" t="n">
        <v>15715.5</v>
      </c>
    </row>
    <row r="136">
      <c r="A136" s="4" t="inlineStr">
        <is>
          <t>车辆费</t>
        </is>
      </c>
      <c r="D136" s="7" t="n">
        <v>472</v>
      </c>
      <c r="F136" s="7" t="n">
        <v>963.1</v>
      </c>
      <c r="H136" s="7" t="n">
        <v>1325.8</v>
      </c>
      <c r="J136" s="7" t="n">
        <v>977.7</v>
      </c>
      <c r="L136" s="7" t="n">
        <v>977.4</v>
      </c>
      <c r="N136" s="7" t="n">
        <v>601.2</v>
      </c>
      <c r="P136" s="7" t="n">
        <v>1348.5</v>
      </c>
      <c r="R136" s="7" t="n">
        <v>775.9</v>
      </c>
      <c r="T136" s="7" t="n">
        <v>788.9</v>
      </c>
      <c r="V136" s="7" t="n">
        <v>535.4</v>
      </c>
      <c r="X136" s="7" t="n">
        <v>1288</v>
      </c>
      <c r="Z136" s="7" t="n">
        <v>847.7</v>
      </c>
      <c r="AB136" s="7" t="n">
        <v>10901.6</v>
      </c>
    </row>
    <row r="137">
      <c r="A137" s="4" t="inlineStr">
        <is>
          <t>租赁费</t>
        </is>
      </c>
      <c r="D137" s="7" t="n">
        <v>4742.5</v>
      </c>
      <c r="F137" s="7" t="n">
        <v>13745</v>
      </c>
      <c r="H137" s="7" t="n">
        <v>17092.8</v>
      </c>
      <c r="J137" s="7" t="n">
        <v>19711.3</v>
      </c>
      <c r="L137" s="7" t="n">
        <v>22757.4</v>
      </c>
      <c r="N137" s="7" t="n">
        <v>9152.4</v>
      </c>
      <c r="P137" s="7" t="n">
        <v>19544.6</v>
      </c>
      <c r="R137" s="7" t="n">
        <v>17631</v>
      </c>
      <c r="T137" s="7" t="n">
        <v>14018.5</v>
      </c>
      <c r="V137" s="7" t="n">
        <v>11115.3</v>
      </c>
      <c r="X137" s="7" t="n">
        <v>17187.3</v>
      </c>
      <c r="Z137" s="7" t="n">
        <v>10192.6</v>
      </c>
      <c r="AB137" s="7" t="n">
        <v>176890.7</v>
      </c>
    </row>
    <row r="138">
      <c r="A138" s="4" t="inlineStr">
        <is>
          <t>能源费</t>
        </is>
      </c>
      <c r="D138" s="7" t="n">
        <v>1804.2</v>
      </c>
      <c r="F138" s="7" t="n">
        <v>4414.4</v>
      </c>
      <c r="H138" s="7" t="n">
        <v>6542.7</v>
      </c>
      <c r="J138" s="7" t="n">
        <v>4654.4</v>
      </c>
      <c r="L138" s="7" t="n">
        <v>5278.4</v>
      </c>
      <c r="N138" s="7" t="n">
        <v>3797.8</v>
      </c>
      <c r="P138" s="7" t="n">
        <v>6430.8</v>
      </c>
      <c r="R138" s="7" t="n">
        <v>5000</v>
      </c>
      <c r="T138" s="7" t="n">
        <v>4347.6</v>
      </c>
      <c r="V138" s="7" t="n">
        <v>3726.1</v>
      </c>
      <c r="X138" s="7" t="n">
        <v>6082.8</v>
      </c>
      <c r="Z138" s="7" t="n">
        <v>4419.3</v>
      </c>
      <c r="AB138" s="7" t="n">
        <v>56498.5</v>
      </c>
    </row>
    <row r="139">
      <c r="A139" s="4" t="inlineStr">
        <is>
          <t>水费</t>
        </is>
      </c>
      <c r="D139" s="7" t="n">
        <v>414.8</v>
      </c>
      <c r="F139" s="7" t="n">
        <v>1247.9</v>
      </c>
      <c r="H139" s="7" t="n">
        <v>1959.7</v>
      </c>
      <c r="J139" s="7" t="n">
        <v>1772.9</v>
      </c>
      <c r="L139" s="7" t="n">
        <v>1466.1</v>
      </c>
      <c r="N139" s="7" t="n">
        <v>1238.4</v>
      </c>
      <c r="P139" s="7" t="n">
        <v>1995.4</v>
      </c>
      <c r="R139" s="7" t="n">
        <v>1347.8</v>
      </c>
      <c r="T139" s="7" t="n">
        <v>1534.3</v>
      </c>
      <c r="V139" s="7" t="n">
        <v>1124.2</v>
      </c>
      <c r="X139" s="7" t="n">
        <v>1541.9</v>
      </c>
      <c r="Z139" s="7" t="n">
        <v>1310.9</v>
      </c>
      <c r="AB139" s="7" t="n">
        <v>16954.3</v>
      </c>
    </row>
    <row r="140">
      <c r="A140" s="4" t="inlineStr">
        <is>
          <t>电费</t>
        </is>
      </c>
      <c r="D140" s="7" t="n">
        <v>280.9</v>
      </c>
      <c r="F140" s="7" t="n">
        <v>404.5</v>
      </c>
      <c r="H140" s="7" t="n">
        <v>949.4</v>
      </c>
      <c r="J140" s="7" t="n">
        <v>588.1</v>
      </c>
      <c r="L140" s="7" t="n">
        <v>960.9</v>
      </c>
      <c r="N140" s="7" t="n">
        <v>434.8</v>
      </c>
      <c r="P140" s="7" t="n">
        <v>906.9</v>
      </c>
      <c r="R140" s="7" t="n">
        <v>724</v>
      </c>
      <c r="T140" s="7" t="n">
        <v>527</v>
      </c>
      <c r="V140" s="7" t="n">
        <v>384.2</v>
      </c>
      <c r="X140" s="7" t="n">
        <v>815.2</v>
      </c>
      <c r="Z140" s="7" t="n">
        <v>548.3</v>
      </c>
      <c r="AB140" s="7" t="n">
        <v>7524.2</v>
      </c>
    </row>
    <row r="141">
      <c r="A141" s="4" t="inlineStr">
        <is>
          <t>燃气费</t>
        </is>
      </c>
      <c r="D141" s="7" t="n">
        <v>268.5</v>
      </c>
      <c r="F141" s="7" t="n">
        <v>794.4</v>
      </c>
      <c r="H141" s="7" t="n">
        <v>1089.6</v>
      </c>
      <c r="J141" s="7" t="n">
        <v>707.6</v>
      </c>
      <c r="L141" s="7" t="n">
        <v>780.3</v>
      </c>
      <c r="N141" s="7" t="n">
        <v>814.5</v>
      </c>
      <c r="P141" s="7" t="n">
        <v>1041.4</v>
      </c>
      <c r="R141" s="7" t="n">
        <v>811.6</v>
      </c>
      <c r="T141" s="7" t="n">
        <v>877.9</v>
      </c>
      <c r="V141" s="7" t="n">
        <v>661.5</v>
      </c>
      <c r="X141" s="7" t="n">
        <v>1143.6</v>
      </c>
      <c r="Z141" s="7" t="n">
        <v>555.7</v>
      </c>
      <c r="AB141" s="7" t="n">
        <v>9546.6</v>
      </c>
    </row>
    <row r="142">
      <c r="A142" s="4" t="inlineStr">
        <is>
          <t>蒸汽费</t>
        </is>
      </c>
      <c r="D142" s="7" t="n">
        <v>840</v>
      </c>
      <c r="F142" s="7" t="n">
        <v>1967.6</v>
      </c>
      <c r="H142" s="7" t="n">
        <v>2544</v>
      </c>
      <c r="J142" s="7" t="n">
        <v>1585.8</v>
      </c>
      <c r="L142" s="7" t="n">
        <v>2071.1</v>
      </c>
      <c r="N142" s="7" t="n">
        <v>1310.1</v>
      </c>
      <c r="P142" s="7" t="n">
        <v>2487.1</v>
      </c>
      <c r="R142" s="7" t="n">
        <v>2116.6</v>
      </c>
      <c r="T142" s="7" t="n">
        <v>1408.4</v>
      </c>
      <c r="V142" s="7" t="n">
        <v>1556.2</v>
      </c>
      <c r="X142" s="7" t="n">
        <v>2582.1</v>
      </c>
      <c r="Z142" s="7" t="n">
        <v>2004.4</v>
      </c>
      <c r="AB142" s="7" t="n">
        <v>22473.4</v>
      </c>
    </row>
    <row r="143">
      <c r="A143" s="4" t="inlineStr">
        <is>
          <t>物业费</t>
        </is>
      </c>
      <c r="D143" s="7" t="n">
        <v>195.9</v>
      </c>
      <c r="F143" s="7" t="n">
        <v>279.9</v>
      </c>
      <c r="H143" s="7" t="n">
        <v>590.7</v>
      </c>
      <c r="J143" s="7" t="n">
        <v>316.2</v>
      </c>
      <c r="L143" s="7" t="n">
        <v>526.6</v>
      </c>
      <c r="N143" s="7" t="n">
        <v>241</v>
      </c>
      <c r="P143" s="7" t="n">
        <v>473</v>
      </c>
      <c r="R143" s="7" t="n">
        <v>290.2</v>
      </c>
      <c r="T143" s="7" t="n">
        <v>349.3</v>
      </c>
      <c r="V143" s="7" t="n">
        <v>282.9</v>
      </c>
      <c r="X143" s="7" t="n">
        <v>328</v>
      </c>
      <c r="Z143" s="7" t="n">
        <v>366.1</v>
      </c>
      <c r="AB143" s="7" t="n">
        <v>4239.8</v>
      </c>
    </row>
    <row r="144">
      <c r="A144" s="4" t="inlineStr">
        <is>
          <t>劳动保护费</t>
        </is>
      </c>
      <c r="D144" s="7" t="n">
        <v>623.6</v>
      </c>
      <c r="F144" s="7" t="n">
        <v>1784</v>
      </c>
      <c r="H144" s="7" t="n">
        <v>2244.1</v>
      </c>
      <c r="J144" s="7" t="n">
        <v>1487.5</v>
      </c>
      <c r="L144" s="7" t="n">
        <v>2386</v>
      </c>
      <c r="N144" s="7" t="n">
        <v>1545.4</v>
      </c>
      <c r="P144" s="7" t="n">
        <v>2849.1</v>
      </c>
      <c r="R144" s="7" t="n">
        <v>2148.4</v>
      </c>
      <c r="T144" s="7" t="n">
        <v>1793.7</v>
      </c>
      <c r="V144" s="7" t="n">
        <v>953.2</v>
      </c>
      <c r="X144" s="7" t="n">
        <v>2030.4</v>
      </c>
      <c r="Z144" s="7" t="n">
        <v>1578.3</v>
      </c>
      <c r="AB144" s="7" t="n">
        <v>21423.7</v>
      </c>
    </row>
    <row r="145">
      <c r="A145" s="4" t="inlineStr">
        <is>
          <t>顾问费</t>
        </is>
      </c>
      <c r="D145" s="7" t="n">
        <v>706.2</v>
      </c>
      <c r="F145" s="7" t="n">
        <v>956.8</v>
      </c>
      <c r="H145" s="7" t="n">
        <v>1439.2</v>
      </c>
      <c r="J145" s="7" t="n">
        <v>1620.8</v>
      </c>
      <c r="L145" s="7" t="n">
        <v>1226</v>
      </c>
      <c r="N145" s="7" t="n">
        <v>1222.4</v>
      </c>
      <c r="P145" s="7" t="n">
        <v>1631</v>
      </c>
      <c r="R145" s="7" t="n">
        <v>1281.3</v>
      </c>
      <c r="T145" s="7" t="n">
        <v>1575</v>
      </c>
      <c r="V145" s="7" t="n">
        <v>746.9</v>
      </c>
      <c r="X145" s="7" t="n">
        <v>1628.6</v>
      </c>
      <c r="Z145" s="7" t="n">
        <v>1140</v>
      </c>
      <c r="AB145" s="7" t="n">
        <v>15174.2</v>
      </c>
    </row>
    <row r="146">
      <c r="A146" s="4" t="inlineStr">
        <is>
          <t>快递费</t>
        </is>
      </c>
      <c r="D146" s="7" t="n">
        <v>41.3</v>
      </c>
      <c r="F146" s="7" t="n">
        <v>88.8</v>
      </c>
      <c r="H146" s="7" t="n">
        <v>127.5</v>
      </c>
      <c r="J146" s="7" t="n">
        <v>89.40000000000001</v>
      </c>
      <c r="L146" s="7" t="n">
        <v>79.09999999999999</v>
      </c>
      <c r="N146" s="7" t="n">
        <v>91.7</v>
      </c>
      <c r="P146" s="7" t="n">
        <v>92.2</v>
      </c>
      <c r="R146" s="7" t="n">
        <v>74.7</v>
      </c>
      <c r="T146" s="7" t="n">
        <v>77.40000000000001</v>
      </c>
      <c r="V146" s="7" t="n">
        <v>65.2</v>
      </c>
      <c r="X146" s="7" t="n">
        <v>101.8</v>
      </c>
      <c r="Z146" s="7" t="n">
        <v>71.09999999999999</v>
      </c>
      <c r="AB146" s="7" t="n">
        <v>1000.2</v>
      </c>
    </row>
    <row r="147">
      <c r="A147" s="4" t="inlineStr">
        <is>
          <t>诉讼费</t>
        </is>
      </c>
      <c r="D147" s="7" t="n">
        <v>106</v>
      </c>
      <c r="F147" s="7" t="n">
        <v>166.2</v>
      </c>
      <c r="H147" s="7" t="n">
        <v>342.3</v>
      </c>
      <c r="J147" s="7" t="n">
        <v>282.5</v>
      </c>
      <c r="L147" s="7" t="n">
        <v>246.8</v>
      </c>
      <c r="N147" s="7" t="n">
        <v>210.6</v>
      </c>
      <c r="P147" s="7" t="n">
        <v>259</v>
      </c>
      <c r="R147" s="7" t="n">
        <v>162.8</v>
      </c>
      <c r="T147" s="7" t="n">
        <v>189</v>
      </c>
      <c r="V147" s="7" t="n">
        <v>185.7</v>
      </c>
      <c r="X147" s="7" t="n">
        <v>188.9</v>
      </c>
      <c r="Z147" s="7" t="n">
        <v>231.5</v>
      </c>
      <c r="AB147" s="7" t="n">
        <v>2571.3</v>
      </c>
    </row>
    <row r="148">
      <c r="A148" s="4" t="inlineStr">
        <is>
          <t>会员费</t>
        </is>
      </c>
      <c r="D148" s="7" t="n">
        <v>279</v>
      </c>
      <c r="F148" s="7" t="n">
        <v>501</v>
      </c>
      <c r="H148" s="7" t="n">
        <v>748</v>
      </c>
      <c r="J148" s="7" t="n">
        <v>450.2</v>
      </c>
      <c r="L148" s="7" t="n">
        <v>788.3</v>
      </c>
      <c r="N148" s="7" t="n">
        <v>508</v>
      </c>
      <c r="P148" s="7" t="n">
        <v>456.2</v>
      </c>
      <c r="R148" s="7" t="n">
        <v>436.6</v>
      </c>
      <c r="T148" s="7" t="n">
        <v>477.3</v>
      </c>
      <c r="V148" s="7" t="n">
        <v>406.4</v>
      </c>
      <c r="X148" s="7" t="n">
        <v>816.6</v>
      </c>
      <c r="Z148" s="7" t="n">
        <v>347.7</v>
      </c>
      <c r="AB148" s="7" t="n">
        <v>6215.3</v>
      </c>
    </row>
    <row r="149">
      <c r="A149" s="4" t="inlineStr">
        <is>
          <t>广告宣传费</t>
        </is>
      </c>
      <c r="D149" s="7" t="n">
        <v>4194.5</v>
      </c>
      <c r="F149" s="7" t="n">
        <v>7586.7</v>
      </c>
      <c r="H149" s="7" t="n">
        <v>8727.9</v>
      </c>
      <c r="J149" s="7" t="n">
        <v>11536.7</v>
      </c>
      <c r="L149" s="7" t="n">
        <v>8322.1</v>
      </c>
      <c r="N149" s="7" t="n">
        <v>7342</v>
      </c>
      <c r="P149" s="7" t="n">
        <v>9399.4</v>
      </c>
      <c r="R149" s="7" t="n">
        <v>6408.6</v>
      </c>
      <c r="T149" s="7" t="n">
        <v>10181.9</v>
      </c>
      <c r="V149" s="7" t="n">
        <v>6647.9</v>
      </c>
      <c r="X149" s="7" t="n">
        <v>13450.2</v>
      </c>
      <c r="Z149" s="7" t="n">
        <v>7037.1</v>
      </c>
      <c r="AB149" s="7" t="n">
        <v>100835</v>
      </c>
    </row>
    <row r="150">
      <c r="A150" s="4" t="inlineStr">
        <is>
          <t>会务费</t>
        </is>
      </c>
      <c r="D150" s="7" t="n">
        <v>110.6</v>
      </c>
      <c r="F150" s="7" t="n">
        <v>246.6</v>
      </c>
      <c r="H150" s="7" t="n">
        <v>500.2</v>
      </c>
      <c r="J150" s="7" t="n">
        <v>427.1</v>
      </c>
      <c r="L150" s="7" t="n">
        <v>363.7</v>
      </c>
      <c r="N150" s="7" t="n">
        <v>194.6</v>
      </c>
      <c r="P150" s="7" t="n">
        <v>346.7</v>
      </c>
      <c r="R150" s="7" t="n">
        <v>341.2</v>
      </c>
      <c r="T150" s="7" t="n">
        <v>301.4</v>
      </c>
      <c r="V150" s="7" t="n">
        <v>273.6</v>
      </c>
      <c r="X150" s="7" t="n">
        <v>382.4</v>
      </c>
      <c r="Z150" s="7" t="n">
        <v>265.9</v>
      </c>
      <c r="AB150" s="7" t="n">
        <v>3754</v>
      </c>
    </row>
    <row r="151">
      <c r="A151" s="4" t="inlineStr">
        <is>
          <t>装修费</t>
        </is>
      </c>
      <c r="D151" s="7" t="n">
        <v>207.8</v>
      </c>
      <c r="F151" s="7" t="n">
        <v>501.2</v>
      </c>
      <c r="H151" s="7" t="n">
        <v>698.7</v>
      </c>
      <c r="J151" s="7" t="n">
        <v>596.4</v>
      </c>
      <c r="L151" s="7" t="n">
        <v>798.1</v>
      </c>
      <c r="N151" s="7" t="n">
        <v>535</v>
      </c>
      <c r="P151" s="7" t="n">
        <v>728.6</v>
      </c>
      <c r="R151" s="7" t="n">
        <v>486</v>
      </c>
      <c r="T151" s="7" t="n">
        <v>579.9</v>
      </c>
      <c r="V151" s="7" t="n">
        <v>546.1</v>
      </c>
      <c r="X151" s="7" t="n">
        <v>852</v>
      </c>
      <c r="Z151" s="7" t="n">
        <v>450</v>
      </c>
      <c r="AB151" s="7" t="n">
        <v>6979.8</v>
      </c>
    </row>
    <row r="152">
      <c r="A152" s="4" t="inlineStr">
        <is>
          <t>推广费</t>
        </is>
      </c>
      <c r="D152" s="7" t="n">
        <v>661.5</v>
      </c>
      <c r="F152" s="7" t="n">
        <v>969.1</v>
      </c>
      <c r="H152" s="7" t="n">
        <v>1435.8</v>
      </c>
      <c r="J152" s="7" t="n">
        <v>2010.5</v>
      </c>
      <c r="L152" s="7" t="n">
        <v>2074.1</v>
      </c>
      <c r="N152" s="7" t="n">
        <v>1484.2</v>
      </c>
      <c r="P152" s="7" t="n">
        <v>2014.7</v>
      </c>
      <c r="R152" s="7" t="n">
        <v>1228</v>
      </c>
      <c r="T152" s="7" t="n">
        <v>1182</v>
      </c>
      <c r="V152" s="7" t="n">
        <v>796.7</v>
      </c>
      <c r="X152" s="7" t="n">
        <v>2089.6</v>
      </c>
      <c r="Z152" s="7" t="n">
        <v>1482.7</v>
      </c>
      <c r="AB152" s="7" t="n">
        <v>17428.9</v>
      </c>
    </row>
    <row r="153">
      <c r="A153" s="4" t="inlineStr">
        <is>
          <t>展会费</t>
        </is>
      </c>
      <c r="D153" s="7" t="n">
        <v>44</v>
      </c>
      <c r="F153" s="7" t="n">
        <v>66.7</v>
      </c>
      <c r="H153" s="7" t="n">
        <v>93.09999999999999</v>
      </c>
      <c r="J153" s="7" t="n">
        <v>103.3</v>
      </c>
      <c r="L153" s="7" t="n">
        <v>84</v>
      </c>
      <c r="N153" s="7" t="n">
        <v>88.90000000000001</v>
      </c>
      <c r="P153" s="7" t="n">
        <v>79.5</v>
      </c>
      <c r="R153" s="7" t="n">
        <v>94.7</v>
      </c>
      <c r="T153" s="7" t="n">
        <v>97.2</v>
      </c>
      <c r="V153" s="7" t="n">
        <v>73.3</v>
      </c>
      <c r="X153" s="7" t="n">
        <v>122.5</v>
      </c>
      <c r="Z153" s="7" t="n">
        <v>88.59999999999999</v>
      </c>
      <c r="AB153" s="7" t="n">
        <v>1035.8</v>
      </c>
    </row>
    <row r="154">
      <c r="A154" s="4" t="inlineStr">
        <is>
          <t>设计费</t>
        </is>
      </c>
      <c r="D154" s="7" t="n">
        <v>42.3</v>
      </c>
      <c r="F154" s="7" t="n">
        <v>105.5</v>
      </c>
      <c r="H154" s="7" t="n">
        <v>129.3</v>
      </c>
      <c r="J154" s="7" t="n">
        <v>126</v>
      </c>
      <c r="L154" s="7" t="n">
        <v>174.6</v>
      </c>
      <c r="N154" s="7" t="n">
        <v>116.4</v>
      </c>
      <c r="P154" s="7" t="n">
        <v>133.4</v>
      </c>
      <c r="R154" s="7" t="n">
        <v>94.8</v>
      </c>
      <c r="T154" s="7" t="n">
        <v>112.6</v>
      </c>
      <c r="V154" s="7" t="n">
        <v>119.9</v>
      </c>
      <c r="X154" s="7" t="n">
        <v>170.2</v>
      </c>
      <c r="Z154" s="7" t="n">
        <v>108.9</v>
      </c>
      <c r="AB154" s="7" t="n">
        <v>1433.9</v>
      </c>
    </row>
    <row r="155">
      <c r="A155" s="4" t="inlineStr">
        <is>
          <t>折旧费</t>
        </is>
      </c>
      <c r="D155" s="7" t="n">
        <v>5575.8</v>
      </c>
      <c r="F155" s="7" t="n">
        <v>13337.5</v>
      </c>
      <c r="H155" s="7" t="n">
        <v>15720.6</v>
      </c>
      <c r="J155" s="7" t="n">
        <v>13495.8</v>
      </c>
      <c r="L155" s="7" t="n">
        <v>17238.6</v>
      </c>
      <c r="N155" s="7" t="n">
        <v>12839.4</v>
      </c>
      <c r="P155" s="7" t="n">
        <v>12100.4</v>
      </c>
      <c r="R155" s="7" t="n">
        <v>10648.8</v>
      </c>
      <c r="T155" s="7" t="n">
        <v>12176.1</v>
      </c>
      <c r="V155" s="7" t="n">
        <v>8415.200000000001</v>
      </c>
      <c r="X155" s="7" t="n">
        <v>18758</v>
      </c>
      <c r="Z155" s="7" t="n">
        <v>11208.8</v>
      </c>
      <c r="AB155" s="7" t="n">
        <v>151515</v>
      </c>
    </row>
    <row r="156">
      <c r="A156" s="4" t="inlineStr">
        <is>
          <t>认证费</t>
        </is>
      </c>
      <c r="D156" s="7" t="n">
        <v>91.59999999999999</v>
      </c>
      <c r="F156" s="7" t="n">
        <v>232.1</v>
      </c>
      <c r="H156" s="7" t="n">
        <v>391.6</v>
      </c>
      <c r="J156" s="7" t="n">
        <v>378.8</v>
      </c>
      <c r="L156" s="7" t="n">
        <v>279.9</v>
      </c>
      <c r="N156" s="7" t="n">
        <v>224.3</v>
      </c>
      <c r="P156" s="7" t="n">
        <v>294.2</v>
      </c>
      <c r="R156" s="7" t="n">
        <v>343.8</v>
      </c>
      <c r="T156" s="7" t="n">
        <v>280.4</v>
      </c>
      <c r="V156" s="7" t="n">
        <v>253.3</v>
      </c>
      <c r="X156" s="7" t="n">
        <v>291.4</v>
      </c>
      <c r="Z156" s="7" t="n">
        <v>259.9</v>
      </c>
      <c r="AB156" s="7" t="n">
        <v>3321.3</v>
      </c>
    </row>
    <row r="157">
      <c r="A157" s="4" t="inlineStr">
        <is>
          <t>样品费</t>
        </is>
      </c>
      <c r="D157" s="7" t="n">
        <v>3153.5</v>
      </c>
      <c r="F157" s="7" t="n">
        <v>5872.7</v>
      </c>
      <c r="H157" s="7" t="n">
        <v>6436.5</v>
      </c>
      <c r="J157" s="7" t="n">
        <v>4979.5</v>
      </c>
      <c r="L157" s="7" t="n">
        <v>5841</v>
      </c>
      <c r="N157" s="7" t="n">
        <v>3898.3</v>
      </c>
      <c r="P157" s="7" t="n">
        <v>8747.299999999999</v>
      </c>
      <c r="R157" s="7" t="n">
        <v>3868.1</v>
      </c>
      <c r="T157" s="7" t="n">
        <v>4966.1</v>
      </c>
      <c r="V157" s="7" t="n">
        <v>3295.6</v>
      </c>
      <c r="X157" s="7" t="n">
        <v>6842.5</v>
      </c>
      <c r="Z157" s="7" t="n">
        <v>3637.9</v>
      </c>
      <c r="AB157" s="7" t="n">
        <v>61539</v>
      </c>
    </row>
    <row r="158">
      <c r="A158" s="4" t="inlineStr">
        <is>
          <t>劳务费</t>
        </is>
      </c>
      <c r="D158" s="7" t="n">
        <v>66.09999999999999</v>
      </c>
      <c r="F158" s="7" t="n">
        <v>129.9</v>
      </c>
      <c r="H158" s="7" t="n">
        <v>185.4</v>
      </c>
      <c r="J158" s="7" t="n">
        <v>224.8</v>
      </c>
      <c r="L158" s="7" t="n">
        <v>205.2</v>
      </c>
      <c r="N158" s="7" t="n">
        <v>104.4</v>
      </c>
      <c r="P158" s="7" t="n">
        <v>170.9</v>
      </c>
      <c r="R158" s="7" t="n">
        <v>159.1</v>
      </c>
      <c r="T158" s="7" t="n">
        <v>167.6</v>
      </c>
      <c r="V158" s="7" t="n">
        <v>96.7</v>
      </c>
      <c r="X158" s="7" t="n">
        <v>211.9</v>
      </c>
      <c r="Z158" s="7" t="n">
        <v>178.2</v>
      </c>
      <c r="AB158" s="7" t="n">
        <v>1900.2</v>
      </c>
    </row>
    <row r="159">
      <c r="A159" s="4" t="inlineStr">
        <is>
          <t>销售佣金</t>
        </is>
      </c>
      <c r="D159" s="7" t="n">
        <v>772.6</v>
      </c>
      <c r="F159" s="7" t="n">
        <v>1353.8</v>
      </c>
      <c r="H159" s="7" t="n">
        <v>2677.5</v>
      </c>
      <c r="J159" s="7" t="n">
        <v>1827.9</v>
      </c>
      <c r="L159" s="7" t="n">
        <v>2262.3</v>
      </c>
      <c r="N159" s="7" t="n">
        <v>1449.2</v>
      </c>
      <c r="P159" s="7" t="n">
        <v>1986.6</v>
      </c>
      <c r="R159" s="7" t="n">
        <v>1973.1</v>
      </c>
      <c r="T159" s="7" t="n">
        <v>2099.7</v>
      </c>
      <c r="V159" s="7" t="n">
        <v>1152.1</v>
      </c>
      <c r="X159" s="7" t="n">
        <v>2334.5</v>
      </c>
      <c r="Z159" s="7" t="n">
        <v>1532.7</v>
      </c>
      <c r="AB159" s="7" t="n">
        <v>21422</v>
      </c>
    </row>
    <row r="160">
      <c r="A160" s="4" t="inlineStr">
        <is>
          <t>检测费</t>
        </is>
      </c>
      <c r="D160" s="7" t="n">
        <v>742.6</v>
      </c>
      <c r="F160" s="7" t="n">
        <v>1270.9</v>
      </c>
      <c r="H160" s="7" t="n">
        <v>2491.9</v>
      </c>
      <c r="J160" s="7" t="n">
        <v>1771.6</v>
      </c>
      <c r="L160" s="7" t="n">
        <v>2060.4</v>
      </c>
      <c r="N160" s="7" t="n">
        <v>1179.8</v>
      </c>
      <c r="P160" s="7" t="n">
        <v>1900.9</v>
      </c>
      <c r="R160" s="7" t="n">
        <v>1129.8</v>
      </c>
      <c r="T160" s="7" t="n">
        <v>1378.3</v>
      </c>
      <c r="V160" s="7" t="n">
        <v>856.8</v>
      </c>
      <c r="X160" s="7" t="n">
        <v>1843.1</v>
      </c>
      <c r="Z160" s="7" t="n">
        <v>968.5</v>
      </c>
      <c r="AB160" s="7" t="n">
        <v>17594.6</v>
      </c>
    </row>
    <row r="161">
      <c r="A161" s="4" t="inlineStr">
        <is>
          <t>质量赔偿</t>
        </is>
      </c>
      <c r="D161" s="7" t="n">
        <v>489.3</v>
      </c>
      <c r="F161" s="7" t="n">
        <v>1358.6</v>
      </c>
      <c r="H161" s="7" t="n">
        <v>2025.8</v>
      </c>
      <c r="J161" s="7" t="n">
        <v>1910.1</v>
      </c>
      <c r="L161" s="7" t="n">
        <v>1755</v>
      </c>
      <c r="N161" s="7" t="n">
        <v>1431</v>
      </c>
      <c r="P161" s="7" t="n">
        <v>2085.1</v>
      </c>
      <c r="R161" s="7" t="n">
        <v>1554.5</v>
      </c>
      <c r="T161" s="7" t="n">
        <v>1135.3</v>
      </c>
      <c r="V161" s="7" t="n">
        <v>790</v>
      </c>
      <c r="X161" s="7" t="n">
        <v>1741.6</v>
      </c>
      <c r="Z161" s="7" t="n">
        <v>1210</v>
      </c>
      <c r="AB161" s="7" t="n">
        <v>17486.3</v>
      </c>
    </row>
    <row r="162">
      <c r="A162" s="4" t="inlineStr">
        <is>
          <t>保险费</t>
        </is>
      </c>
      <c r="D162" s="7" t="n">
        <v>611.5</v>
      </c>
      <c r="F162" s="7" t="n">
        <v>1273.7</v>
      </c>
      <c r="H162" s="7" t="n">
        <v>2028.7</v>
      </c>
      <c r="J162" s="7" t="n">
        <v>1550.6</v>
      </c>
      <c r="L162" s="7" t="n">
        <v>1693.6</v>
      </c>
      <c r="N162" s="7" t="n">
        <v>1094.2</v>
      </c>
      <c r="P162" s="7" t="n">
        <v>1538.4</v>
      </c>
      <c r="R162" s="7" t="n">
        <v>1200.4</v>
      </c>
      <c r="T162" s="7" t="n">
        <v>954.4</v>
      </c>
      <c r="V162" s="7" t="n">
        <v>906</v>
      </c>
      <c r="X162" s="7" t="n">
        <v>1253.6</v>
      </c>
      <c r="Z162" s="7" t="n">
        <v>832.2</v>
      </c>
      <c r="AB162" s="7" t="n">
        <v>14937.3</v>
      </c>
    </row>
    <row r="163">
      <c r="A163" s="4" t="inlineStr">
        <is>
          <t>清洁费</t>
        </is>
      </c>
      <c r="D163" s="7" t="n">
        <v>636.7</v>
      </c>
      <c r="F163" s="7" t="n">
        <v>932.5</v>
      </c>
      <c r="H163" s="7" t="n">
        <v>1772.1</v>
      </c>
      <c r="J163" s="7" t="n">
        <v>1788</v>
      </c>
      <c r="L163" s="7" t="n">
        <v>1253.9</v>
      </c>
      <c r="N163" s="7" t="n">
        <v>1098.1</v>
      </c>
      <c r="P163" s="7" t="n">
        <v>1376.2</v>
      </c>
      <c r="R163" s="7" t="n">
        <v>1118.5</v>
      </c>
      <c r="T163" s="7" t="n">
        <v>1196.9</v>
      </c>
      <c r="V163" s="7" t="n">
        <v>1015.4</v>
      </c>
      <c r="X163" s="7" t="n">
        <v>1807.4</v>
      </c>
      <c r="Z163" s="7" t="n">
        <v>1359.3</v>
      </c>
      <c r="AB163" s="7" t="n">
        <v>15355</v>
      </c>
    </row>
    <row r="164">
      <c r="A164" s="4" t="inlineStr">
        <is>
          <t>低值易耗品</t>
        </is>
      </c>
      <c r="D164" s="7" t="n">
        <v>225.4</v>
      </c>
      <c r="F164" s="7" t="n">
        <v>322.4</v>
      </c>
      <c r="H164" s="7" t="n">
        <v>717.6</v>
      </c>
      <c r="J164" s="7" t="n">
        <v>505</v>
      </c>
      <c r="L164" s="7" t="n">
        <v>437.8</v>
      </c>
      <c r="N164" s="7" t="n">
        <v>303.4</v>
      </c>
      <c r="P164" s="7" t="n">
        <v>618.2</v>
      </c>
      <c r="R164" s="7" t="n">
        <v>459.2</v>
      </c>
      <c r="T164" s="7" t="n">
        <v>430.6</v>
      </c>
      <c r="V164" s="7" t="n">
        <v>355.3</v>
      </c>
      <c r="X164" s="7" t="n">
        <v>428.5</v>
      </c>
      <c r="Z164" s="7" t="n">
        <v>358.5</v>
      </c>
      <c r="AB164" s="7" t="n">
        <v>5161.9</v>
      </c>
    </row>
    <row r="165">
      <c r="A165" s="4" t="inlineStr">
        <is>
          <t>物料消耗</t>
        </is>
      </c>
      <c r="D165" s="7" t="n">
        <v>871.9</v>
      </c>
      <c r="F165" s="7" t="n">
        <v>1339.4</v>
      </c>
      <c r="H165" s="7" t="n">
        <v>1736.1</v>
      </c>
      <c r="J165" s="7" t="n">
        <v>1468.7</v>
      </c>
      <c r="L165" s="7" t="n">
        <v>1429.1</v>
      </c>
      <c r="N165" s="7" t="n">
        <v>983.6</v>
      </c>
      <c r="P165" s="7" t="n">
        <v>1665</v>
      </c>
      <c r="R165" s="7" t="n">
        <v>1842.9</v>
      </c>
      <c r="T165" s="7" t="n">
        <v>1492.4</v>
      </c>
      <c r="V165" s="7" t="n">
        <v>1198.8</v>
      </c>
      <c r="X165" s="7" t="n">
        <v>1995</v>
      </c>
      <c r="Z165" s="7" t="n">
        <v>1071.3</v>
      </c>
      <c r="AB165" s="7" t="n">
        <v>17094.2</v>
      </c>
    </row>
    <row r="166">
      <c r="A166" s="4" t="inlineStr">
        <is>
          <t>盘盈盘亏</t>
        </is>
      </c>
      <c r="D166" s="7" t="n">
        <v>527.2</v>
      </c>
      <c r="F166" s="7" t="n">
        <v>740.7</v>
      </c>
      <c r="H166" s="7" t="n">
        <v>1331.5</v>
      </c>
      <c r="J166" s="7" t="n">
        <v>1123</v>
      </c>
      <c r="L166" s="7" t="n">
        <v>1430.1</v>
      </c>
      <c r="N166" s="7" t="n">
        <v>674.5</v>
      </c>
      <c r="P166" s="7" t="n">
        <v>921.6</v>
      </c>
      <c r="R166" s="7" t="n">
        <v>1048.5</v>
      </c>
      <c r="T166" s="7" t="n">
        <v>1041.4</v>
      </c>
      <c r="V166" s="7" t="n">
        <v>532.3</v>
      </c>
      <c r="X166" s="7" t="n">
        <v>1396.5</v>
      </c>
      <c r="Z166" s="7" t="n">
        <v>778.5</v>
      </c>
      <c r="AB166" s="7" t="n">
        <v>11545.8</v>
      </c>
    </row>
    <row r="167">
      <c r="A167" s="4" t="inlineStr">
        <is>
          <t>平台服务费</t>
        </is>
      </c>
      <c r="D167" s="7" t="n">
        <v>836.6</v>
      </c>
      <c r="F167" s="7" t="n">
        <v>1371.1</v>
      </c>
      <c r="H167" s="7" t="n">
        <v>1647.3</v>
      </c>
      <c r="J167" s="7" t="n">
        <v>2152</v>
      </c>
      <c r="L167" s="7" t="n">
        <v>1586.2</v>
      </c>
      <c r="N167" s="7" t="n">
        <v>1327.5</v>
      </c>
      <c r="P167" s="7" t="n">
        <v>2002.5</v>
      </c>
      <c r="R167" s="7" t="n">
        <v>1799.3</v>
      </c>
      <c r="T167" s="7" t="n">
        <v>1794.6</v>
      </c>
      <c r="V167" s="7" t="n">
        <v>1143.3</v>
      </c>
      <c r="X167" s="7" t="n">
        <v>1921.6</v>
      </c>
      <c r="Z167" s="7" t="n">
        <v>1393.1</v>
      </c>
      <c r="AB167" s="7" t="n">
        <v>18975.1</v>
      </c>
    </row>
    <row r="168">
      <c r="A168" s="4" t="inlineStr">
        <is>
          <t>无形资产摊销</t>
        </is>
      </c>
      <c r="D168" s="7" t="n">
        <v>250.8</v>
      </c>
      <c r="F168" s="7" t="n">
        <v>673.6</v>
      </c>
      <c r="H168" s="7" t="n">
        <v>1016.7</v>
      </c>
      <c r="J168" s="7" t="n">
        <v>713.7</v>
      </c>
      <c r="L168" s="7" t="n">
        <v>822.7</v>
      </c>
      <c r="N168" s="7" t="n">
        <v>460.6</v>
      </c>
      <c r="P168" s="7" t="n">
        <v>900.2</v>
      </c>
      <c r="R168" s="7" t="n">
        <v>589.2</v>
      </c>
      <c r="T168" s="7" t="n">
        <v>474.5</v>
      </c>
      <c r="V168" s="7" t="n">
        <v>600.8</v>
      </c>
      <c r="X168" s="7" t="n">
        <v>973.2</v>
      </c>
      <c r="Z168" s="7" t="n">
        <v>767.6</v>
      </c>
      <c r="AB168" s="7" t="n">
        <v>8243.6</v>
      </c>
    </row>
    <row r="169">
      <c r="A169" s="4" t="inlineStr">
        <is>
          <t>研发材料</t>
        </is>
      </c>
      <c r="D169" s="7" t="n">
        <v>548.5</v>
      </c>
      <c r="F169" s="7" t="n">
        <v>1123.1</v>
      </c>
      <c r="H169" s="7" t="n">
        <v>1755.4</v>
      </c>
      <c r="J169" s="7" t="n">
        <v>2132</v>
      </c>
      <c r="L169" s="7" t="n">
        <v>1951.3</v>
      </c>
      <c r="N169" s="7" t="n">
        <v>1485.9</v>
      </c>
      <c r="P169" s="7" t="n">
        <v>2219.6</v>
      </c>
      <c r="R169" s="7" t="n">
        <v>1445.4</v>
      </c>
      <c r="T169" s="7" t="n">
        <v>1085.2</v>
      </c>
      <c r="V169" s="7" t="n">
        <v>813.2</v>
      </c>
      <c r="X169" s="7" t="n">
        <v>2235.8</v>
      </c>
      <c r="Z169" s="7" t="n">
        <v>1037.6</v>
      </c>
      <c r="AB169" s="7" t="n">
        <v>17833</v>
      </c>
    </row>
    <row r="170">
      <c r="A170" s="4" t="inlineStr">
        <is>
          <t>项目名称</t>
        </is>
      </c>
      <c r="D170" s="7" t="n">
        <v>207.5</v>
      </c>
      <c r="F170" s="7" t="n">
        <v>438.8</v>
      </c>
      <c r="H170" s="7" t="n">
        <v>664.5</v>
      </c>
      <c r="J170" s="7" t="n">
        <v>331.8</v>
      </c>
      <c r="L170" s="7" t="n">
        <v>387.3</v>
      </c>
      <c r="N170" s="7" t="n">
        <v>357.4</v>
      </c>
      <c r="P170" s="7" t="n">
        <v>583.8</v>
      </c>
      <c r="R170" s="7" t="n">
        <v>430.4</v>
      </c>
      <c r="T170" s="7" t="n">
        <v>407.6</v>
      </c>
      <c r="V170" s="7" t="n">
        <v>273</v>
      </c>
      <c r="X170" s="7" t="n">
        <v>363.4</v>
      </c>
      <c r="Z170" s="7" t="n">
        <v>313.4</v>
      </c>
      <c r="AB170" s="7" t="n">
        <v>4758.9</v>
      </c>
    </row>
    <row r="171">
      <c r="A171" s="4" t="inlineStr">
        <is>
          <t>研发费</t>
        </is>
      </c>
      <c r="D171" s="7" t="n">
        <v>453.7</v>
      </c>
      <c r="F171" s="7" t="n">
        <v>919.3</v>
      </c>
      <c r="H171" s="7" t="n">
        <v>1010.5</v>
      </c>
      <c r="J171" s="7" t="n">
        <v>1128.9</v>
      </c>
      <c r="L171" s="7" t="n">
        <v>912.8</v>
      </c>
      <c r="N171" s="7" t="n">
        <v>546.4</v>
      </c>
      <c r="P171" s="7" t="n">
        <v>1080.2</v>
      </c>
      <c r="R171" s="7" t="n">
        <v>845.3</v>
      </c>
      <c r="T171" s="7" t="n">
        <v>728.3</v>
      </c>
      <c r="V171" s="7" t="n">
        <v>721.9</v>
      </c>
      <c r="X171" s="7" t="n">
        <v>874.9</v>
      </c>
      <c r="Z171" s="7" t="n">
        <v>1035.6</v>
      </c>
      <c r="AB171" s="7" t="n">
        <v>10257.8</v>
      </c>
    </row>
    <row r="172">
      <c r="A172" s="4" t="inlineStr">
        <is>
          <t>残保金</t>
        </is>
      </c>
      <c r="D172" s="7" t="n">
        <v>92</v>
      </c>
      <c r="F172" s="7" t="n">
        <v>193.5</v>
      </c>
      <c r="H172" s="7" t="n">
        <v>297.7</v>
      </c>
      <c r="J172" s="7" t="n">
        <v>264.9</v>
      </c>
      <c r="L172" s="7" t="n">
        <v>261.3</v>
      </c>
      <c r="N172" s="7" t="n">
        <v>262.6</v>
      </c>
      <c r="P172" s="7" t="n">
        <v>387.2</v>
      </c>
      <c r="R172" s="7" t="n">
        <v>255.2</v>
      </c>
      <c r="T172" s="7" t="n">
        <v>262.4</v>
      </c>
      <c r="V172" s="7" t="n">
        <v>227.6</v>
      </c>
      <c r="X172" s="7" t="n">
        <v>257.4</v>
      </c>
      <c r="Z172" s="7" t="n">
        <v>261.3</v>
      </c>
      <c r="AB172" s="7" t="n">
        <v>3023.1</v>
      </c>
    </row>
    <row r="173">
      <c r="A173" s="4" t="inlineStr">
        <is>
          <t>环保费</t>
        </is>
      </c>
      <c r="D173" s="7" t="n">
        <v>488.5</v>
      </c>
      <c r="F173" s="7" t="n">
        <v>965.4</v>
      </c>
      <c r="H173" s="7" t="n">
        <v>1820.6</v>
      </c>
      <c r="J173" s="7" t="n">
        <v>1283.9</v>
      </c>
      <c r="L173" s="7" t="n">
        <v>1408.3</v>
      </c>
      <c r="N173" s="7" t="n">
        <v>937.3</v>
      </c>
      <c r="P173" s="7" t="n">
        <v>2012.2</v>
      </c>
      <c r="R173" s="7" t="n">
        <v>1300.3</v>
      </c>
      <c r="T173" s="7" t="n">
        <v>1559.8</v>
      </c>
      <c r="V173" s="7" t="n">
        <v>1170.4</v>
      </c>
      <c r="X173" s="7" t="n">
        <v>2268.1</v>
      </c>
      <c r="Z173" s="7" t="n">
        <v>1459.3</v>
      </c>
      <c r="AB173" s="7" t="n">
        <v>16674.1</v>
      </c>
    </row>
    <row r="174">
      <c r="A174" s="4" t="inlineStr">
        <is>
          <t>报废损失</t>
        </is>
      </c>
      <c r="D174" s="7" t="n">
        <v>663.4</v>
      </c>
      <c r="F174" s="7" t="n">
        <v>1687.7</v>
      </c>
      <c r="H174" s="7" t="n">
        <v>2749.5</v>
      </c>
      <c r="J174" s="7" t="n">
        <v>1490.2</v>
      </c>
      <c r="L174" s="7" t="n">
        <v>2271.2</v>
      </c>
      <c r="N174" s="7" t="n">
        <v>1454</v>
      </c>
      <c r="P174" s="7" t="n">
        <v>2003</v>
      </c>
      <c r="R174" s="7" t="n">
        <v>1715.5</v>
      </c>
      <c r="T174" s="7" t="n">
        <v>1884.9</v>
      </c>
      <c r="V174" s="7" t="n">
        <v>1297.7</v>
      </c>
      <c r="X174" s="7" t="n">
        <v>2768.9</v>
      </c>
      <c r="Z174" s="7" t="n">
        <v>1872.4</v>
      </c>
      <c r="AB174" s="7" t="n">
        <v>21858.4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127330.7</v>
      </c>
      <c r="D175" s="7" t="n">
        <v>114531.7</v>
      </c>
      <c r="E175" s="7" t="n">
        <v>138871.2</v>
      </c>
      <c r="F175" s="7" t="n">
        <v>50945.5</v>
      </c>
      <c r="G175" s="7" t="n">
        <v>108593</v>
      </c>
      <c r="H175" s="7" t="n">
        <v>168856.9</v>
      </c>
      <c r="I175" s="7" t="n">
        <v>113564.5</v>
      </c>
      <c r="J175" s="7" t="n">
        <v>103273.3</v>
      </c>
      <c r="K175" s="7" t="n">
        <v>107817</v>
      </c>
      <c r="L175" s="7" t="n">
        <v>83814.3</v>
      </c>
      <c r="M175" s="7" t="n">
        <v>133702.9</v>
      </c>
      <c r="N175" s="7" t="n">
        <v>136492.2</v>
      </c>
      <c r="O175" s="7" t="n">
        <v>124654.6</v>
      </c>
      <c r="P175" s="7" t="n">
        <v>232722.3</v>
      </c>
      <c r="Q175" s="7" t="n">
        <v>128630.2</v>
      </c>
      <c r="R175" s="7" t="n">
        <v>179078</v>
      </c>
      <c r="S175" s="7" t="n">
        <v>116476.8</v>
      </c>
      <c r="T175" s="7" t="n">
        <v>158864.2</v>
      </c>
      <c r="U175" s="7" t="n">
        <v>138350.4</v>
      </c>
      <c r="V175" s="7" t="n">
        <v>89592.60000000001</v>
      </c>
      <c r="W175" s="7" t="n">
        <v>129392.7</v>
      </c>
      <c r="X175" s="7" t="n">
        <v>96875.7</v>
      </c>
      <c r="Y175" s="7" t="n">
        <v>133690.3</v>
      </c>
      <c r="Z175" s="7" t="n">
        <v>40886.3</v>
      </c>
      <c r="AA175" s="8" t="n">
        <v>1501074.3</v>
      </c>
      <c r="AB175" s="8" t="n">
        <v>1455933</v>
      </c>
    </row>
    <row r="176">
      <c r="A176" s="4" t="inlineStr">
        <is>
          <t>职工薪酬</t>
        </is>
      </c>
      <c r="D176" s="7" t="n">
        <v>68691.3</v>
      </c>
      <c r="F176" s="7" t="n">
        <v>24228.6</v>
      </c>
      <c r="H176" s="7" t="n">
        <v>79615.39999999999</v>
      </c>
      <c r="J176" s="7" t="n">
        <v>54924.7</v>
      </c>
      <c r="L176" s="7" t="n">
        <v>44971</v>
      </c>
      <c r="N176" s="7" t="n">
        <v>61851</v>
      </c>
      <c r="P176" s="7" t="n">
        <v>109288.9</v>
      </c>
      <c r="R176" s="7" t="n">
        <v>78970</v>
      </c>
      <c r="T176" s="7" t="n">
        <v>90230.8</v>
      </c>
      <c r="V176" s="7" t="n">
        <v>42180.4</v>
      </c>
      <c r="X176" s="7" t="n">
        <v>41256.2</v>
      </c>
      <c r="Z176" s="7" t="n">
        <v>24427.5</v>
      </c>
      <c r="AB176" s="7" t="n">
        <v>720635.8</v>
      </c>
    </row>
    <row r="177">
      <c r="A177" s="4" t="inlineStr">
        <is>
          <t>工资</t>
        </is>
      </c>
      <c r="D177" s="7" t="n">
        <v>44025.9</v>
      </c>
      <c r="F177" s="7" t="n">
        <v>11786.6</v>
      </c>
      <c r="H177" s="7" t="n">
        <v>43832.4</v>
      </c>
      <c r="J177" s="7" t="n">
        <v>29566.6</v>
      </c>
      <c r="L177" s="7" t="n">
        <v>23017.3</v>
      </c>
      <c r="N177" s="7" t="n">
        <v>36688.4</v>
      </c>
      <c r="P177" s="7" t="n">
        <v>64232.4</v>
      </c>
      <c r="R177" s="7" t="n">
        <v>47500.5</v>
      </c>
      <c r="T177" s="7" t="n">
        <v>59784.3</v>
      </c>
      <c r="V177" s="7" t="n">
        <v>22233.5</v>
      </c>
      <c r="X177" s="7" t="n">
        <v>20815.4</v>
      </c>
      <c r="Z177" s="7" t="n">
        <v>15515.2</v>
      </c>
      <c r="AB177" s="7" t="n">
        <v>418998.5</v>
      </c>
    </row>
    <row r="178">
      <c r="A178" s="4" t="inlineStr">
        <is>
          <t>奖金及提成</t>
        </is>
      </c>
      <c r="D178" s="7" t="n">
        <v>14120.2</v>
      </c>
      <c r="F178" s="7" t="n">
        <v>5945.9</v>
      </c>
      <c r="H178" s="7" t="n">
        <v>12079.8</v>
      </c>
      <c r="J178" s="7" t="n">
        <v>13364.2</v>
      </c>
      <c r="L178" s="7" t="n">
        <v>10544.8</v>
      </c>
      <c r="N178" s="7" t="n">
        <v>13014.2</v>
      </c>
      <c r="P178" s="7" t="n">
        <v>21342.8</v>
      </c>
      <c r="R178" s="7" t="n">
        <v>14275.6</v>
      </c>
      <c r="T178" s="7" t="n">
        <v>13320.5</v>
      </c>
      <c r="V178" s="7" t="n">
        <v>8931.6</v>
      </c>
      <c r="X178" s="7" t="n">
        <v>7131.8</v>
      </c>
      <c r="Z178" s="7" t="n">
        <v>4331.7</v>
      </c>
      <c r="AB178" s="7" t="n">
        <v>138403.1</v>
      </c>
    </row>
    <row r="179">
      <c r="A179" s="4" t="inlineStr">
        <is>
          <t>社保</t>
        </is>
      </c>
      <c r="D179" s="7" t="n">
        <v>6752</v>
      </c>
      <c r="F179" s="7" t="n">
        <v>4610.8</v>
      </c>
      <c r="H179" s="7" t="n">
        <v>17269.3</v>
      </c>
      <c r="J179" s="7" t="n">
        <v>7920.9</v>
      </c>
      <c r="L179" s="7" t="n">
        <v>8161.4</v>
      </c>
      <c r="N179" s="7" t="n">
        <v>7790.2</v>
      </c>
      <c r="P179" s="7" t="n">
        <v>15581.6</v>
      </c>
      <c r="R179" s="7" t="n">
        <v>11115.6</v>
      </c>
      <c r="T179" s="7" t="n">
        <v>11042.2</v>
      </c>
      <c r="V179" s="7" t="n">
        <v>7812.9</v>
      </c>
      <c r="X179" s="7" t="n">
        <v>9615.299999999999</v>
      </c>
      <c r="Z179" s="7" t="n">
        <v>2961.6</v>
      </c>
      <c r="AB179" s="7" t="n">
        <v>110633.8</v>
      </c>
    </row>
    <row r="180">
      <c r="A180" s="4" t="inlineStr">
        <is>
          <t>养老</t>
        </is>
      </c>
      <c r="D180" s="7" t="n">
        <v>238.9</v>
      </c>
      <c r="F180" s="7" t="n">
        <v>104.4</v>
      </c>
      <c r="H180" s="7" t="n">
        <v>321.1</v>
      </c>
      <c r="J180" s="7" t="n">
        <v>191.9</v>
      </c>
      <c r="L180" s="7" t="n">
        <v>119.5</v>
      </c>
      <c r="N180" s="7" t="n">
        <v>263.1</v>
      </c>
      <c r="P180" s="7" t="n">
        <v>347.1</v>
      </c>
      <c r="R180" s="7" t="n">
        <v>260.5</v>
      </c>
      <c r="T180" s="7" t="n">
        <v>210.7</v>
      </c>
      <c r="V180" s="7" t="n">
        <v>164.1</v>
      </c>
      <c r="X180" s="7" t="n">
        <v>206.4</v>
      </c>
      <c r="Z180" s="7" t="n">
        <v>66</v>
      </c>
      <c r="AB180" s="7" t="n">
        <v>2493.7</v>
      </c>
    </row>
    <row r="181">
      <c r="A181" s="4" t="inlineStr">
        <is>
          <t>医疗</t>
        </is>
      </c>
      <c r="D181" s="7" t="n">
        <v>465.5</v>
      </c>
      <c r="F181" s="7" t="n">
        <v>179.7</v>
      </c>
      <c r="H181" s="7" t="n">
        <v>506.3</v>
      </c>
      <c r="J181" s="7" t="n">
        <v>415.4</v>
      </c>
      <c r="L181" s="7" t="n">
        <v>241.4</v>
      </c>
      <c r="N181" s="7" t="n">
        <v>328.3</v>
      </c>
      <c r="P181" s="7" t="n">
        <v>731.5</v>
      </c>
      <c r="R181" s="7" t="n">
        <v>644.8</v>
      </c>
      <c r="T181" s="7" t="n">
        <v>671.6</v>
      </c>
      <c r="V181" s="7" t="n">
        <v>269.2</v>
      </c>
      <c r="X181" s="7" t="n">
        <v>301.2</v>
      </c>
      <c r="Z181" s="7" t="n">
        <v>106.9</v>
      </c>
      <c r="AB181" s="7" t="n">
        <v>4861.8</v>
      </c>
    </row>
    <row r="182">
      <c r="A182" s="4" t="inlineStr">
        <is>
          <t>工伤</t>
        </is>
      </c>
      <c r="D182" s="7" t="n">
        <v>182.6</v>
      </c>
      <c r="F182" s="7" t="n">
        <v>62.8</v>
      </c>
      <c r="H182" s="7" t="n">
        <v>327.6</v>
      </c>
      <c r="J182" s="7" t="n">
        <v>141.8</v>
      </c>
      <c r="L182" s="7" t="n">
        <v>129.9</v>
      </c>
      <c r="N182" s="7" t="n">
        <v>168.8</v>
      </c>
      <c r="P182" s="7" t="n">
        <v>387.9</v>
      </c>
      <c r="R182" s="7" t="n">
        <v>335.7</v>
      </c>
      <c r="T182" s="7" t="n">
        <v>302.1</v>
      </c>
      <c r="V182" s="7" t="n">
        <v>145.8</v>
      </c>
      <c r="X182" s="7" t="n">
        <v>113.1</v>
      </c>
      <c r="Z182" s="7" t="n">
        <v>47.2</v>
      </c>
      <c r="AB182" s="7" t="n">
        <v>2345.3</v>
      </c>
    </row>
    <row r="183">
      <c r="A183" s="4" t="inlineStr">
        <is>
          <t>失业</t>
        </is>
      </c>
      <c r="D183" s="7" t="n">
        <v>804.7</v>
      </c>
      <c r="F183" s="7" t="n">
        <v>314.3</v>
      </c>
      <c r="H183" s="7" t="n">
        <v>767.2</v>
      </c>
      <c r="J183" s="7" t="n">
        <v>579.7</v>
      </c>
      <c r="L183" s="7" t="n">
        <v>580.1</v>
      </c>
      <c r="N183" s="7" t="n">
        <v>615.1</v>
      </c>
      <c r="P183" s="7" t="n">
        <v>1108.8</v>
      </c>
      <c r="R183" s="7" t="n">
        <v>1080.8</v>
      </c>
      <c r="T183" s="7" t="n">
        <v>974.8</v>
      </c>
      <c r="V183" s="7" t="n">
        <v>540.9</v>
      </c>
      <c r="X183" s="7" t="n">
        <v>687.5</v>
      </c>
      <c r="Z183" s="7" t="n">
        <v>269.3</v>
      </c>
      <c r="AB183" s="7" t="n">
        <v>8323.200000000001</v>
      </c>
    </row>
    <row r="184">
      <c r="A184" s="4" t="inlineStr">
        <is>
          <t>生育</t>
        </is>
      </c>
      <c r="D184" s="7" t="n">
        <v>265.3</v>
      </c>
      <c r="F184" s="7" t="n">
        <v>107.4</v>
      </c>
      <c r="H184" s="7" t="n">
        <v>561.2</v>
      </c>
      <c r="J184" s="7" t="n">
        <v>389.5</v>
      </c>
      <c r="L184" s="7" t="n">
        <v>276.3</v>
      </c>
      <c r="N184" s="7" t="n">
        <v>392</v>
      </c>
      <c r="P184" s="7" t="n">
        <v>558.5</v>
      </c>
      <c r="R184" s="7" t="n">
        <v>381.5</v>
      </c>
      <c r="T184" s="7" t="n">
        <v>453.3</v>
      </c>
      <c r="V184" s="7" t="n">
        <v>223</v>
      </c>
      <c r="X184" s="7" t="n">
        <v>277.9</v>
      </c>
      <c r="Z184" s="7" t="n">
        <v>100.5</v>
      </c>
      <c r="AB184" s="7" t="n">
        <v>3986.4</v>
      </c>
    </row>
    <row r="185">
      <c r="A185" s="4" t="inlineStr">
        <is>
          <t>公积金</t>
        </is>
      </c>
      <c r="D185" s="7" t="n">
        <v>43.6</v>
      </c>
      <c r="F185" s="7" t="n">
        <v>32.5</v>
      </c>
      <c r="H185" s="7" t="n">
        <v>80.90000000000001</v>
      </c>
      <c r="J185" s="7" t="n">
        <v>55</v>
      </c>
      <c r="L185" s="7" t="n">
        <v>37.9</v>
      </c>
      <c r="N185" s="7" t="n">
        <v>62.8</v>
      </c>
      <c r="P185" s="7" t="n">
        <v>143.6</v>
      </c>
      <c r="R185" s="7" t="n">
        <v>75.3</v>
      </c>
      <c r="T185" s="7" t="n">
        <v>93.2</v>
      </c>
      <c r="V185" s="7" t="n">
        <v>33.5</v>
      </c>
      <c r="X185" s="7" t="n">
        <v>52.6</v>
      </c>
      <c r="Z185" s="7" t="n">
        <v>17.3</v>
      </c>
      <c r="AB185" s="7" t="n">
        <v>728.2</v>
      </c>
    </row>
    <row r="186">
      <c r="A186" s="4" t="inlineStr">
        <is>
          <t>工会经费</t>
        </is>
      </c>
      <c r="D186" s="7" t="n">
        <v>406.1</v>
      </c>
      <c r="F186" s="7" t="n">
        <v>162.2</v>
      </c>
      <c r="H186" s="7" t="n">
        <v>562.5</v>
      </c>
      <c r="J186" s="7" t="n">
        <v>344.8</v>
      </c>
      <c r="L186" s="7" t="n">
        <v>249</v>
      </c>
      <c r="N186" s="7" t="n">
        <v>341.6</v>
      </c>
      <c r="P186" s="7" t="n">
        <v>626.6</v>
      </c>
      <c r="R186" s="7" t="n">
        <v>439.1</v>
      </c>
      <c r="T186" s="7" t="n">
        <v>453.8</v>
      </c>
      <c r="V186" s="7" t="n">
        <v>344.4</v>
      </c>
      <c r="X186" s="7" t="n">
        <v>413.2</v>
      </c>
      <c r="Z186" s="7" t="n">
        <v>116.9</v>
      </c>
      <c r="AB186" s="7" t="n">
        <v>4460.2</v>
      </c>
    </row>
    <row r="187">
      <c r="A187" s="4" t="inlineStr">
        <is>
          <t>职工教育经费</t>
        </is>
      </c>
      <c r="D187" s="7" t="n">
        <v>360.9</v>
      </c>
      <c r="F187" s="7" t="n">
        <v>168.3</v>
      </c>
      <c r="H187" s="7" t="n">
        <v>429.6</v>
      </c>
      <c r="J187" s="7" t="n">
        <v>232.4</v>
      </c>
      <c r="L187" s="7" t="n">
        <v>213</v>
      </c>
      <c r="N187" s="7" t="n">
        <v>337.3</v>
      </c>
      <c r="P187" s="7" t="n">
        <v>733.5</v>
      </c>
      <c r="R187" s="7" t="n">
        <v>353.3</v>
      </c>
      <c r="T187" s="7" t="n">
        <v>440.8</v>
      </c>
      <c r="V187" s="7" t="n">
        <v>240</v>
      </c>
      <c r="X187" s="7" t="n">
        <v>306.5</v>
      </c>
      <c r="Z187" s="7" t="n">
        <v>120.9</v>
      </c>
      <c r="AB187" s="7" t="n">
        <v>3936.5</v>
      </c>
    </row>
    <row r="188">
      <c r="A188" s="4" t="inlineStr">
        <is>
          <t>福利费</t>
        </is>
      </c>
      <c r="D188" s="7" t="n">
        <v>2982.6</v>
      </c>
      <c r="F188" s="7" t="n">
        <v>1522.3</v>
      </c>
      <c r="H188" s="7" t="n">
        <v>5360.9</v>
      </c>
      <c r="J188" s="7" t="n">
        <v>3440.8</v>
      </c>
      <c r="L188" s="7" t="n">
        <v>2747.6</v>
      </c>
      <c r="N188" s="7" t="n">
        <v>3616.5</v>
      </c>
      <c r="P188" s="7" t="n">
        <v>6628.4</v>
      </c>
      <c r="R188" s="7" t="n">
        <v>5210.6</v>
      </c>
      <c r="T188" s="7" t="n">
        <v>5096</v>
      </c>
      <c r="V188" s="7" t="n">
        <v>2584.5</v>
      </c>
      <c r="X188" s="7" t="n">
        <v>2921.4</v>
      </c>
      <c r="Z188" s="7" t="n">
        <v>1363.9</v>
      </c>
      <c r="AB188" s="7" t="n">
        <v>43475.5</v>
      </c>
    </row>
    <row r="189">
      <c r="A189" s="4" t="inlineStr">
        <is>
          <t>职工房租</t>
        </is>
      </c>
      <c r="D189" s="7" t="n">
        <v>387.8</v>
      </c>
      <c r="F189" s="7" t="n">
        <v>189.6</v>
      </c>
      <c r="H189" s="7" t="n">
        <v>525.3</v>
      </c>
      <c r="J189" s="7" t="n">
        <v>493.4</v>
      </c>
      <c r="L189" s="7" t="n">
        <v>385.1</v>
      </c>
      <c r="N189" s="7" t="n">
        <v>612.3</v>
      </c>
      <c r="P189" s="7" t="n">
        <v>1286.6</v>
      </c>
      <c r="R189" s="7" t="n">
        <v>579.8</v>
      </c>
      <c r="T189" s="7" t="n">
        <v>783.9</v>
      </c>
      <c r="V189" s="7" t="n">
        <v>452</v>
      </c>
      <c r="X189" s="7" t="n">
        <v>514.3</v>
      </c>
      <c r="Z189" s="7" t="n">
        <v>192.8</v>
      </c>
      <c r="AB189" s="7" t="n">
        <v>6402.9</v>
      </c>
    </row>
    <row r="190">
      <c r="A190" s="4" t="inlineStr">
        <is>
          <t>水电物业费</t>
        </is>
      </c>
      <c r="D190" s="7" t="n">
        <v>142.1</v>
      </c>
      <c r="F190" s="7" t="n">
        <v>76.5</v>
      </c>
      <c r="H190" s="7" t="n">
        <v>387.6</v>
      </c>
      <c r="J190" s="7" t="n">
        <v>135</v>
      </c>
      <c r="L190" s="7" t="n">
        <v>173.4</v>
      </c>
      <c r="N190" s="7" t="n">
        <v>175</v>
      </c>
      <c r="P190" s="7" t="n">
        <v>438.6</v>
      </c>
      <c r="R190" s="7" t="n">
        <v>316.9</v>
      </c>
      <c r="T190" s="7" t="n">
        <v>332.7</v>
      </c>
      <c r="V190" s="7" t="n">
        <v>139.1</v>
      </c>
      <c r="X190" s="7" t="n">
        <v>205.2</v>
      </c>
      <c r="Z190" s="7" t="n">
        <v>86.2</v>
      </c>
      <c r="AB190" s="7" t="n">
        <v>2608.3</v>
      </c>
    </row>
    <row r="191">
      <c r="A191" s="4" t="inlineStr">
        <is>
          <t>员工餐</t>
        </is>
      </c>
      <c r="D191" s="7" t="n">
        <v>653.9</v>
      </c>
      <c r="F191" s="7" t="n">
        <v>330.2</v>
      </c>
      <c r="H191" s="7" t="n">
        <v>1331.3</v>
      </c>
      <c r="J191" s="7" t="n">
        <v>681.7</v>
      </c>
      <c r="L191" s="7" t="n">
        <v>556.1</v>
      </c>
      <c r="N191" s="7" t="n">
        <v>681.3</v>
      </c>
      <c r="P191" s="7" t="n">
        <v>1494.9</v>
      </c>
      <c r="R191" s="7" t="n">
        <v>1212.4</v>
      </c>
      <c r="T191" s="7" t="n">
        <v>1150.2</v>
      </c>
      <c r="V191" s="7" t="n">
        <v>507.4</v>
      </c>
      <c r="X191" s="7" t="n">
        <v>610.3</v>
      </c>
      <c r="Z191" s="7" t="n">
        <v>218.1</v>
      </c>
      <c r="AB191" s="7" t="n">
        <v>9427.799999999999</v>
      </c>
    </row>
    <row r="192">
      <c r="A192" s="4" t="inlineStr">
        <is>
          <t>节日礼品</t>
        </is>
      </c>
      <c r="D192" s="7" t="n">
        <v>286.7</v>
      </c>
      <c r="F192" s="7" t="n">
        <v>104.3</v>
      </c>
      <c r="H192" s="7" t="n">
        <v>377.5</v>
      </c>
      <c r="J192" s="7" t="n">
        <v>242.6</v>
      </c>
      <c r="L192" s="7" t="n">
        <v>164.7</v>
      </c>
      <c r="N192" s="7" t="n">
        <v>363.3</v>
      </c>
      <c r="P192" s="7" t="n">
        <v>539.1</v>
      </c>
      <c r="R192" s="7" t="n">
        <v>405.3</v>
      </c>
      <c r="T192" s="7" t="n">
        <v>344.4</v>
      </c>
      <c r="V192" s="7" t="n">
        <v>215.7</v>
      </c>
      <c r="X192" s="7" t="n">
        <v>211.4</v>
      </c>
      <c r="Z192" s="7" t="n">
        <v>125.8</v>
      </c>
      <c r="AB192" s="7" t="n">
        <v>3380.8</v>
      </c>
    </row>
    <row r="193">
      <c r="A193" s="4" t="inlineStr">
        <is>
          <t>生日礼品</t>
        </is>
      </c>
      <c r="D193" s="7" t="n">
        <v>800.2</v>
      </c>
      <c r="F193" s="7" t="n">
        <v>341.5</v>
      </c>
      <c r="H193" s="7" t="n">
        <v>1124</v>
      </c>
      <c r="J193" s="7" t="n">
        <v>816.8</v>
      </c>
      <c r="L193" s="7" t="n">
        <v>689.6</v>
      </c>
      <c r="N193" s="7" t="n">
        <v>837.5</v>
      </c>
      <c r="P193" s="7" t="n">
        <v>1046</v>
      </c>
      <c r="R193" s="7" t="n">
        <v>1279.7</v>
      </c>
      <c r="T193" s="7" t="n">
        <v>1255.9</v>
      </c>
      <c r="V193" s="7" t="n">
        <v>454</v>
      </c>
      <c r="X193" s="7" t="n">
        <v>588.8</v>
      </c>
      <c r="Z193" s="7" t="n">
        <v>335.2</v>
      </c>
      <c r="AB193" s="7" t="n">
        <v>9569.200000000001</v>
      </c>
    </row>
    <row r="194">
      <c r="A194" s="4" t="inlineStr">
        <is>
          <t>体检</t>
        </is>
      </c>
      <c r="D194" s="7" t="n">
        <v>355</v>
      </c>
      <c r="F194" s="7" t="n">
        <v>216.3</v>
      </c>
      <c r="H194" s="7" t="n">
        <v>738</v>
      </c>
      <c r="J194" s="7" t="n">
        <v>533</v>
      </c>
      <c r="L194" s="7" t="n">
        <v>371.7</v>
      </c>
      <c r="N194" s="7" t="n">
        <v>474.5</v>
      </c>
      <c r="P194" s="7" t="n">
        <v>759.2</v>
      </c>
      <c r="R194" s="7" t="n">
        <v>568.3</v>
      </c>
      <c r="T194" s="7" t="n">
        <v>546.9</v>
      </c>
      <c r="V194" s="7" t="n">
        <v>426.4</v>
      </c>
      <c r="X194" s="7" t="n">
        <v>300.5</v>
      </c>
      <c r="Z194" s="7" t="n">
        <v>209.2</v>
      </c>
      <c r="AB194" s="7" t="n">
        <v>5499</v>
      </c>
    </row>
    <row r="195">
      <c r="A195" s="4" t="inlineStr">
        <is>
          <t>其他福利支出</t>
        </is>
      </c>
      <c r="D195" s="7" t="n">
        <v>356.9</v>
      </c>
      <c r="F195" s="7" t="n">
        <v>263.9</v>
      </c>
      <c r="H195" s="7" t="n">
        <v>877.2</v>
      </c>
      <c r="J195" s="7" t="n">
        <v>538.3</v>
      </c>
      <c r="L195" s="7" t="n">
        <v>407</v>
      </c>
      <c r="N195" s="7" t="n">
        <v>472.6</v>
      </c>
      <c r="P195" s="7" t="n">
        <v>1064</v>
      </c>
      <c r="R195" s="7" t="n">
        <v>848.2</v>
      </c>
      <c r="T195" s="7" t="n">
        <v>682</v>
      </c>
      <c r="V195" s="7" t="n">
        <v>389.9</v>
      </c>
      <c r="X195" s="7" t="n">
        <v>490.9</v>
      </c>
      <c r="Z195" s="7" t="n">
        <v>196.6</v>
      </c>
      <c r="AB195" s="7" t="n">
        <v>6587.5</v>
      </c>
    </row>
    <row r="196">
      <c r="A196" s="4" t="inlineStr">
        <is>
          <t>招聘费</t>
        </is>
      </c>
      <c r="D196" s="7" t="n">
        <v>265.5</v>
      </c>
      <c r="F196" s="7" t="n">
        <v>115</v>
      </c>
      <c r="H196" s="7" t="n">
        <v>638.6</v>
      </c>
      <c r="J196" s="7" t="n">
        <v>388.1</v>
      </c>
      <c r="L196" s="7" t="n">
        <v>280.7</v>
      </c>
      <c r="N196" s="7" t="n">
        <v>410.5</v>
      </c>
      <c r="P196" s="7" t="n">
        <v>736.3</v>
      </c>
      <c r="R196" s="7" t="n">
        <v>673.6</v>
      </c>
      <c r="T196" s="7" t="n">
        <v>587.2</v>
      </c>
      <c r="V196" s="7" t="n">
        <v>264.8</v>
      </c>
      <c r="X196" s="7" t="n">
        <v>338.9</v>
      </c>
      <c r="Z196" s="7" t="n">
        <v>145.6</v>
      </c>
      <c r="AB196" s="7" t="n">
        <v>4844.8</v>
      </c>
    </row>
    <row r="197">
      <c r="A197" s="4" t="inlineStr">
        <is>
          <t>办公费</t>
        </is>
      </c>
      <c r="D197" s="7" t="n">
        <v>4405.9</v>
      </c>
      <c r="F197" s="7" t="n">
        <v>1920.9</v>
      </c>
      <c r="H197" s="7" t="n">
        <v>6263.7</v>
      </c>
      <c r="J197" s="7" t="n">
        <v>2734.1</v>
      </c>
      <c r="L197" s="7" t="n">
        <v>1968.7</v>
      </c>
      <c r="N197" s="7" t="n">
        <v>4728.2</v>
      </c>
      <c r="P197" s="7" t="n">
        <v>6777.6</v>
      </c>
      <c r="R197" s="7" t="n">
        <v>6597.8</v>
      </c>
      <c r="T197" s="7" t="n">
        <v>4354.3</v>
      </c>
      <c r="V197" s="7" t="n">
        <v>2709</v>
      </c>
      <c r="X197" s="7" t="n">
        <v>3651</v>
      </c>
      <c r="Z197" s="7" t="n">
        <v>1278.9</v>
      </c>
      <c r="AB197" s="7" t="n">
        <v>47390.1</v>
      </c>
    </row>
    <row r="198">
      <c r="A198" s="4" t="inlineStr">
        <is>
          <t>市内交通费</t>
        </is>
      </c>
      <c r="D198" s="7" t="n">
        <v>332.1</v>
      </c>
      <c r="F198" s="7" t="n">
        <v>141.6</v>
      </c>
      <c r="H198" s="7" t="n">
        <v>344.7</v>
      </c>
      <c r="J198" s="7" t="n">
        <v>239.6</v>
      </c>
      <c r="L198" s="7" t="n">
        <v>287.3</v>
      </c>
      <c r="N198" s="7" t="n">
        <v>337.3</v>
      </c>
      <c r="P198" s="7" t="n">
        <v>489.3</v>
      </c>
      <c r="R198" s="7" t="n">
        <v>509.1</v>
      </c>
      <c r="T198" s="7" t="n">
        <v>451.4</v>
      </c>
      <c r="V198" s="7" t="n">
        <v>195.6</v>
      </c>
      <c r="X198" s="7" t="n">
        <v>337.2</v>
      </c>
      <c r="Z198" s="7" t="n">
        <v>142.3</v>
      </c>
      <c r="AB198" s="7" t="n">
        <v>3807.5</v>
      </c>
    </row>
    <row r="199">
      <c r="A199" s="4" t="inlineStr">
        <is>
          <t>差旅费</t>
        </is>
      </c>
      <c r="D199" s="7" t="n">
        <v>6378.2</v>
      </c>
      <c r="F199" s="7" t="n">
        <v>2295.8</v>
      </c>
      <c r="H199" s="7" t="n">
        <v>10713</v>
      </c>
      <c r="J199" s="7" t="n">
        <v>4677.7</v>
      </c>
      <c r="L199" s="7" t="n">
        <v>5475.3</v>
      </c>
      <c r="N199" s="7" t="n">
        <v>6145.6</v>
      </c>
      <c r="P199" s="7" t="n">
        <v>11096.6</v>
      </c>
      <c r="R199" s="7" t="n">
        <v>13265.3</v>
      </c>
      <c r="T199" s="7" t="n">
        <v>10528.9</v>
      </c>
      <c r="V199" s="7" t="n">
        <v>5667.2</v>
      </c>
      <c r="X199" s="7" t="n">
        <v>6829</v>
      </c>
      <c r="Z199" s="7" t="n">
        <v>2600.2</v>
      </c>
      <c r="AB199" s="7" t="n">
        <v>85672.8</v>
      </c>
    </row>
    <row r="200">
      <c r="A200" s="4" t="inlineStr">
        <is>
          <t>交通费</t>
        </is>
      </c>
      <c r="D200" s="7" t="n">
        <v>395.1</v>
      </c>
      <c r="F200" s="7" t="n">
        <v>111.8</v>
      </c>
      <c r="H200" s="7" t="n">
        <v>532.5</v>
      </c>
      <c r="J200" s="7" t="n">
        <v>268.2</v>
      </c>
      <c r="L200" s="7" t="n">
        <v>294.6</v>
      </c>
      <c r="N200" s="7" t="n">
        <v>417.7</v>
      </c>
      <c r="P200" s="7" t="n">
        <v>781.2</v>
      </c>
      <c r="R200" s="7" t="n">
        <v>546.4</v>
      </c>
      <c r="T200" s="7" t="n">
        <v>322</v>
      </c>
      <c r="V200" s="7" t="n">
        <v>180.6</v>
      </c>
      <c r="X200" s="7" t="n">
        <v>245.6</v>
      </c>
      <c r="Z200" s="7" t="n">
        <v>128.1</v>
      </c>
      <c r="AB200" s="7" t="n">
        <v>4223.8</v>
      </c>
    </row>
    <row r="201">
      <c r="A201" s="4" t="inlineStr">
        <is>
          <t>住宿费</t>
        </is>
      </c>
      <c r="D201" s="7" t="n">
        <v>228.1</v>
      </c>
      <c r="F201" s="7" t="n">
        <v>101.4</v>
      </c>
      <c r="H201" s="7" t="n">
        <v>273.3</v>
      </c>
      <c r="J201" s="7" t="n">
        <v>159.9</v>
      </c>
      <c r="L201" s="7" t="n">
        <v>103.3</v>
      </c>
      <c r="N201" s="7" t="n">
        <v>287</v>
      </c>
      <c r="P201" s="7" t="n">
        <v>428.4</v>
      </c>
      <c r="R201" s="7" t="n">
        <v>244.9</v>
      </c>
      <c r="T201" s="7" t="n">
        <v>234.5</v>
      </c>
      <c r="V201" s="7" t="n">
        <v>187.9</v>
      </c>
      <c r="X201" s="7" t="n">
        <v>183.1</v>
      </c>
      <c r="Z201" s="7" t="n">
        <v>71.8</v>
      </c>
      <c r="AB201" s="7" t="n">
        <v>2503.6</v>
      </c>
    </row>
    <row r="202">
      <c r="A202" s="4" t="inlineStr">
        <is>
          <t>餐补</t>
        </is>
      </c>
      <c r="D202" s="7" t="n">
        <v>231.9</v>
      </c>
      <c r="F202" s="7" t="n">
        <v>85.09999999999999</v>
      </c>
      <c r="H202" s="7" t="n">
        <v>464.5</v>
      </c>
      <c r="J202" s="7" t="n">
        <v>236.7</v>
      </c>
      <c r="L202" s="7" t="n">
        <v>222.6</v>
      </c>
      <c r="N202" s="7" t="n">
        <v>326.7</v>
      </c>
      <c r="P202" s="7" t="n">
        <v>551.7</v>
      </c>
      <c r="R202" s="7" t="n">
        <v>316.7</v>
      </c>
      <c r="T202" s="7" t="n">
        <v>376.4</v>
      </c>
      <c r="V202" s="7" t="n">
        <v>241</v>
      </c>
      <c r="X202" s="7" t="n">
        <v>265.9</v>
      </c>
      <c r="Z202" s="7" t="n">
        <v>100.2</v>
      </c>
      <c r="AB202" s="7" t="n">
        <v>3419.4</v>
      </c>
    </row>
    <row r="203">
      <c r="A203" s="4" t="inlineStr">
        <is>
          <t>交通补助</t>
        </is>
      </c>
      <c r="D203" s="7" t="n">
        <v>226.6</v>
      </c>
      <c r="F203" s="7" t="n">
        <v>88</v>
      </c>
      <c r="H203" s="7" t="n">
        <v>266.1</v>
      </c>
      <c r="J203" s="7" t="n">
        <v>164.6</v>
      </c>
      <c r="L203" s="7" t="n">
        <v>166</v>
      </c>
      <c r="N203" s="7" t="n">
        <v>181.2</v>
      </c>
      <c r="P203" s="7" t="n">
        <v>419.8</v>
      </c>
      <c r="R203" s="7" t="n">
        <v>295</v>
      </c>
      <c r="T203" s="7" t="n">
        <v>217.9</v>
      </c>
      <c r="V203" s="7" t="n">
        <v>117.6</v>
      </c>
      <c r="X203" s="7" t="n">
        <v>186.4</v>
      </c>
      <c r="Z203" s="7" t="n">
        <v>57.8</v>
      </c>
      <c r="AB203" s="7" t="n">
        <v>2387</v>
      </c>
    </row>
    <row r="204">
      <c r="A204" s="4" t="inlineStr">
        <is>
          <t>通讯补助</t>
        </is>
      </c>
      <c r="D204" s="7" t="n">
        <v>137.8</v>
      </c>
      <c r="F204" s="7" t="n">
        <v>43.4</v>
      </c>
      <c r="H204" s="7" t="n">
        <v>182.2</v>
      </c>
      <c r="J204" s="7" t="n">
        <v>115.2</v>
      </c>
      <c r="L204" s="7" t="n">
        <v>73.8</v>
      </c>
      <c r="N204" s="7" t="n">
        <v>130.7</v>
      </c>
      <c r="P204" s="7" t="n">
        <v>168.4</v>
      </c>
      <c r="R204" s="7" t="n">
        <v>167.4</v>
      </c>
      <c r="T204" s="7" t="n">
        <v>154.9</v>
      </c>
      <c r="V204" s="7" t="n">
        <v>98.09999999999999</v>
      </c>
      <c r="X204" s="7" t="n">
        <v>75.3</v>
      </c>
      <c r="Z204" s="7" t="n">
        <v>39</v>
      </c>
      <c r="AB204" s="7" t="n">
        <v>1386.2</v>
      </c>
    </row>
    <row r="205">
      <c r="A205" s="4" t="inlineStr">
        <is>
          <t>招待费</t>
        </is>
      </c>
      <c r="D205" s="7" t="n">
        <v>4671.2</v>
      </c>
      <c r="F205" s="7" t="n">
        <v>2040</v>
      </c>
      <c r="H205" s="7" t="n">
        <v>7216.6</v>
      </c>
      <c r="J205" s="7" t="n">
        <v>5073.6</v>
      </c>
      <c r="L205" s="7" t="n">
        <v>2623.3</v>
      </c>
      <c r="N205" s="7" t="n">
        <v>4668.7</v>
      </c>
      <c r="P205" s="7" t="n">
        <v>9194.5</v>
      </c>
      <c r="R205" s="7" t="n">
        <v>9271.6</v>
      </c>
      <c r="T205" s="7" t="n">
        <v>7318.8</v>
      </c>
      <c r="V205" s="7" t="n">
        <v>3465.8</v>
      </c>
      <c r="X205" s="7" t="n">
        <v>4051.1</v>
      </c>
      <c r="Z205" s="7" t="n">
        <v>1561.8</v>
      </c>
      <c r="AB205" s="7" t="n">
        <v>61157</v>
      </c>
    </row>
    <row r="206">
      <c r="A206" s="4" t="inlineStr">
        <is>
          <t>通讯费</t>
        </is>
      </c>
      <c r="D206" s="7" t="n">
        <v>345.5</v>
      </c>
      <c r="F206" s="7" t="n">
        <v>183.2</v>
      </c>
      <c r="H206" s="7" t="n">
        <v>571.9</v>
      </c>
      <c r="J206" s="7" t="n">
        <v>505.5</v>
      </c>
      <c r="L206" s="7" t="n">
        <v>360.3</v>
      </c>
      <c r="N206" s="7" t="n">
        <v>643.7</v>
      </c>
      <c r="P206" s="7" t="n">
        <v>1079.4</v>
      </c>
      <c r="R206" s="7" t="n">
        <v>669.4</v>
      </c>
      <c r="T206" s="7" t="n">
        <v>748.8</v>
      </c>
      <c r="V206" s="7" t="n">
        <v>388</v>
      </c>
      <c r="X206" s="7" t="n">
        <v>470.7</v>
      </c>
      <c r="Z206" s="7" t="n">
        <v>217.1</v>
      </c>
      <c r="AB206" s="7" t="n">
        <v>6183.5</v>
      </c>
    </row>
    <row r="207">
      <c r="A207" s="4" t="inlineStr">
        <is>
          <t>网络费</t>
        </is>
      </c>
      <c r="D207" s="7" t="n">
        <v>740.2</v>
      </c>
      <c r="F207" s="7" t="n">
        <v>223.1</v>
      </c>
      <c r="H207" s="7" t="n">
        <v>800.5</v>
      </c>
      <c r="J207" s="7" t="n">
        <v>669.2</v>
      </c>
      <c r="L207" s="7" t="n">
        <v>593.4</v>
      </c>
      <c r="N207" s="7" t="n">
        <v>707.3</v>
      </c>
      <c r="P207" s="7" t="n">
        <v>1717</v>
      </c>
      <c r="R207" s="7" t="n">
        <v>744.7</v>
      </c>
      <c r="T207" s="7" t="n">
        <v>775.6</v>
      </c>
      <c r="V207" s="7" t="n">
        <v>530.3</v>
      </c>
      <c r="X207" s="7" t="n">
        <v>419.7</v>
      </c>
      <c r="Z207" s="7" t="n">
        <v>210.6</v>
      </c>
      <c r="AB207" s="7" t="n">
        <v>8131.6</v>
      </c>
    </row>
    <row r="208">
      <c r="A208" s="4" t="inlineStr">
        <is>
          <t>修理费</t>
        </is>
      </c>
      <c r="D208" s="7" t="n">
        <v>444.6</v>
      </c>
      <c r="F208" s="7" t="n">
        <v>221.7</v>
      </c>
      <c r="H208" s="7" t="n">
        <v>1143.2</v>
      </c>
      <c r="J208" s="7" t="n">
        <v>487.4</v>
      </c>
      <c r="L208" s="7" t="n">
        <v>402</v>
      </c>
      <c r="N208" s="7" t="n">
        <v>584.5</v>
      </c>
      <c r="P208" s="7" t="n">
        <v>981.4</v>
      </c>
      <c r="R208" s="7" t="n">
        <v>739.2</v>
      </c>
      <c r="T208" s="7" t="n">
        <v>770.2</v>
      </c>
      <c r="V208" s="7" t="n">
        <v>350.6</v>
      </c>
      <c r="X208" s="7" t="n">
        <v>430.2</v>
      </c>
      <c r="Z208" s="7" t="n">
        <v>194.4</v>
      </c>
      <c r="AB208" s="7" t="n">
        <v>6749.4</v>
      </c>
    </row>
    <row r="209">
      <c r="A209" s="4" t="inlineStr">
        <is>
          <t>车辆费</t>
        </is>
      </c>
      <c r="D209" s="7" t="n">
        <v>22.1</v>
      </c>
      <c r="F209" s="7" t="n">
        <v>8.9</v>
      </c>
      <c r="H209" s="7" t="n">
        <v>23.1</v>
      </c>
      <c r="J209" s="7" t="n">
        <v>22.1</v>
      </c>
      <c r="L209" s="7" t="n">
        <v>15.4</v>
      </c>
      <c r="N209" s="7" t="n">
        <v>31.5</v>
      </c>
      <c r="P209" s="7" t="n">
        <v>49.5</v>
      </c>
      <c r="R209" s="7" t="n">
        <v>38.6</v>
      </c>
      <c r="T209" s="7" t="n">
        <v>22.8</v>
      </c>
      <c r="V209" s="7" t="n">
        <v>14.2</v>
      </c>
      <c r="X209" s="7" t="n">
        <v>18.4</v>
      </c>
      <c r="Z209" s="7" t="n">
        <v>8.699999999999999</v>
      </c>
      <c r="AB209" s="7" t="n">
        <v>275.3</v>
      </c>
    </row>
    <row r="210">
      <c r="A210" s="4" t="inlineStr">
        <is>
          <t>租赁费</t>
        </is>
      </c>
      <c r="D210" s="7" t="n">
        <v>6174.9</v>
      </c>
      <c r="F210" s="7" t="n">
        <v>2618.7</v>
      </c>
      <c r="H210" s="7" t="n">
        <v>10755</v>
      </c>
      <c r="J210" s="7" t="n">
        <v>5874.7</v>
      </c>
      <c r="L210" s="7" t="n">
        <v>5111.7</v>
      </c>
      <c r="N210" s="7" t="n">
        <v>6667.9</v>
      </c>
      <c r="P210" s="7" t="n">
        <v>11993.2</v>
      </c>
      <c r="R210" s="7" t="n">
        <v>6788.3</v>
      </c>
      <c r="T210" s="7" t="n">
        <v>5939.7</v>
      </c>
      <c r="V210" s="7" t="n">
        <v>3863.8</v>
      </c>
      <c r="X210" s="7" t="n">
        <v>4893.1</v>
      </c>
      <c r="Z210" s="7" t="n">
        <v>2651.8</v>
      </c>
      <c r="AB210" s="7" t="n">
        <v>73332.8</v>
      </c>
    </row>
    <row r="211">
      <c r="A211" s="4" t="inlineStr">
        <is>
          <t>能源费</t>
        </is>
      </c>
      <c r="D211" s="7" t="n">
        <v>1423.9</v>
      </c>
      <c r="F211" s="7" t="n">
        <v>751.5</v>
      </c>
      <c r="H211" s="7" t="n">
        <v>2125</v>
      </c>
      <c r="J211" s="7" t="n">
        <v>1515.2</v>
      </c>
      <c r="L211" s="7" t="n">
        <v>1193.6</v>
      </c>
      <c r="N211" s="7" t="n">
        <v>1738.5</v>
      </c>
      <c r="P211" s="7" t="n">
        <v>2872.8</v>
      </c>
      <c r="R211" s="7" t="n">
        <v>2293.8</v>
      </c>
      <c r="T211" s="7" t="n">
        <v>2274.5</v>
      </c>
      <c r="V211" s="7" t="n">
        <v>1022.6</v>
      </c>
      <c r="X211" s="7" t="n">
        <v>1209.7</v>
      </c>
      <c r="Z211" s="7" t="n">
        <v>453.3</v>
      </c>
      <c r="AB211" s="7" t="n">
        <v>18874.4</v>
      </c>
    </row>
    <row r="212">
      <c r="A212" s="4" t="inlineStr">
        <is>
          <t>水费</t>
        </is>
      </c>
      <c r="D212" s="7" t="n">
        <v>318.4</v>
      </c>
      <c r="F212" s="7" t="n">
        <v>127.5</v>
      </c>
      <c r="H212" s="7" t="n">
        <v>551.4</v>
      </c>
      <c r="J212" s="7" t="n">
        <v>248.9</v>
      </c>
      <c r="L212" s="7" t="n">
        <v>193.1</v>
      </c>
      <c r="N212" s="7" t="n">
        <v>437.7</v>
      </c>
      <c r="P212" s="7" t="n">
        <v>455.6</v>
      </c>
      <c r="R212" s="7" t="n">
        <v>420.3</v>
      </c>
      <c r="T212" s="7" t="n">
        <v>353.3</v>
      </c>
      <c r="V212" s="7" t="n">
        <v>206.5</v>
      </c>
      <c r="X212" s="7" t="n">
        <v>275.6</v>
      </c>
      <c r="Z212" s="7" t="n">
        <v>81.3</v>
      </c>
      <c r="AB212" s="7" t="n">
        <v>3669.6</v>
      </c>
    </row>
    <row r="213">
      <c r="A213" s="4" t="inlineStr">
        <is>
          <t>电费</t>
        </is>
      </c>
      <c r="D213" s="7" t="n">
        <v>522.4</v>
      </c>
      <c r="F213" s="7" t="n">
        <v>227.1</v>
      </c>
      <c r="H213" s="7" t="n">
        <v>499.6</v>
      </c>
      <c r="J213" s="7" t="n">
        <v>462.3</v>
      </c>
      <c r="L213" s="7" t="n">
        <v>332.8</v>
      </c>
      <c r="N213" s="7" t="n">
        <v>503.6</v>
      </c>
      <c r="P213" s="7" t="n">
        <v>1047.2</v>
      </c>
      <c r="R213" s="7" t="n">
        <v>669.4</v>
      </c>
      <c r="T213" s="7" t="n">
        <v>714</v>
      </c>
      <c r="V213" s="7" t="n">
        <v>328.4</v>
      </c>
      <c r="X213" s="7" t="n">
        <v>289.4</v>
      </c>
      <c r="Z213" s="7" t="n">
        <v>122.9</v>
      </c>
      <c r="AB213" s="7" t="n">
        <v>5719.1</v>
      </c>
    </row>
    <row r="214">
      <c r="A214" s="4" t="inlineStr">
        <is>
          <t>燃气费</t>
        </is>
      </c>
      <c r="D214" s="7" t="n">
        <v>378</v>
      </c>
      <c r="F214" s="7" t="n">
        <v>273.6</v>
      </c>
      <c r="H214" s="7" t="n">
        <v>773.2</v>
      </c>
      <c r="J214" s="7" t="n">
        <v>537.6</v>
      </c>
      <c r="L214" s="7" t="n">
        <v>444.5</v>
      </c>
      <c r="N214" s="7" t="n">
        <v>503.7</v>
      </c>
      <c r="P214" s="7" t="n">
        <v>925.9</v>
      </c>
      <c r="R214" s="7" t="n">
        <v>758.8</v>
      </c>
      <c r="T214" s="7" t="n">
        <v>800.6</v>
      </c>
      <c r="V214" s="7" t="n">
        <v>311.1</v>
      </c>
      <c r="X214" s="7" t="n">
        <v>437.5</v>
      </c>
      <c r="Z214" s="7" t="n">
        <v>156.7</v>
      </c>
      <c r="AB214" s="7" t="n">
        <v>6301.2</v>
      </c>
    </row>
    <row r="215">
      <c r="A215" s="4" t="inlineStr">
        <is>
          <t>蒸汽费</t>
        </is>
      </c>
      <c r="D215" s="7" t="n">
        <v>205.1</v>
      </c>
      <c r="F215" s="7" t="n">
        <v>123.3</v>
      </c>
      <c r="H215" s="7" t="n">
        <v>300.8</v>
      </c>
      <c r="J215" s="7" t="n">
        <v>266.4</v>
      </c>
      <c r="L215" s="7" t="n">
        <v>223.2</v>
      </c>
      <c r="N215" s="7" t="n">
        <v>293.5</v>
      </c>
      <c r="P215" s="7" t="n">
        <v>444.1</v>
      </c>
      <c r="R215" s="7" t="n">
        <v>445.3</v>
      </c>
      <c r="T215" s="7" t="n">
        <v>406.6</v>
      </c>
      <c r="V215" s="7" t="n">
        <v>176.6</v>
      </c>
      <c r="X215" s="7" t="n">
        <v>207.2</v>
      </c>
      <c r="Z215" s="7" t="n">
        <v>92.40000000000001</v>
      </c>
      <c r="AB215" s="7" t="n">
        <v>3184.5</v>
      </c>
    </row>
    <row r="216">
      <c r="A216" s="4" t="inlineStr">
        <is>
          <t>物业费</t>
        </is>
      </c>
      <c r="D216" s="7" t="n">
        <v>343.4</v>
      </c>
      <c r="F216" s="7" t="n">
        <v>146.8</v>
      </c>
      <c r="H216" s="7" t="n">
        <v>475.2</v>
      </c>
      <c r="J216" s="7" t="n">
        <v>262.6</v>
      </c>
      <c r="L216" s="7" t="n">
        <v>198.1</v>
      </c>
      <c r="N216" s="7" t="n">
        <v>335.2</v>
      </c>
      <c r="P216" s="7" t="n">
        <v>417.8</v>
      </c>
      <c r="R216" s="7" t="n">
        <v>516.8</v>
      </c>
      <c r="T216" s="7" t="n">
        <v>334.9</v>
      </c>
      <c r="V216" s="7" t="n">
        <v>156.1</v>
      </c>
      <c r="X216" s="7" t="n">
        <v>279.8</v>
      </c>
      <c r="Z216" s="7" t="n">
        <v>89.09999999999999</v>
      </c>
      <c r="AB216" s="7" t="n">
        <v>3555.8</v>
      </c>
    </row>
    <row r="217">
      <c r="A217" s="4" t="inlineStr">
        <is>
          <t>劳动保护费</t>
        </is>
      </c>
      <c r="D217" s="7" t="n">
        <v>292.2</v>
      </c>
      <c r="F217" s="7" t="n">
        <v>163.3</v>
      </c>
      <c r="H217" s="7" t="n">
        <v>424</v>
      </c>
      <c r="J217" s="7" t="n">
        <v>354.4</v>
      </c>
      <c r="L217" s="7" t="n">
        <v>242.8</v>
      </c>
      <c r="N217" s="7" t="n">
        <v>443.4</v>
      </c>
      <c r="P217" s="7" t="n">
        <v>572.2</v>
      </c>
      <c r="R217" s="7" t="n">
        <v>443.4</v>
      </c>
      <c r="T217" s="7" t="n">
        <v>367.3</v>
      </c>
      <c r="V217" s="7" t="n">
        <v>290.9</v>
      </c>
      <c r="X217" s="7" t="n">
        <v>318.4</v>
      </c>
      <c r="Z217" s="7" t="n">
        <v>81.5</v>
      </c>
      <c r="AB217" s="7" t="n">
        <v>3993.8</v>
      </c>
    </row>
    <row r="218">
      <c r="A218" s="4" t="inlineStr">
        <is>
          <t>顾问费</t>
        </is>
      </c>
      <c r="D218" s="7" t="n">
        <v>119.3</v>
      </c>
      <c r="F218" s="7" t="n">
        <v>40.3</v>
      </c>
      <c r="H218" s="7" t="n">
        <v>170.9</v>
      </c>
      <c r="J218" s="7" t="n">
        <v>108.6</v>
      </c>
      <c r="L218" s="7" t="n">
        <v>84.09999999999999</v>
      </c>
      <c r="N218" s="7" t="n">
        <v>142</v>
      </c>
      <c r="P218" s="7" t="n">
        <v>161.9</v>
      </c>
      <c r="R218" s="7" t="n">
        <v>146.2</v>
      </c>
      <c r="T218" s="7" t="n">
        <v>152.7</v>
      </c>
      <c r="V218" s="7" t="n">
        <v>56.3</v>
      </c>
      <c r="X218" s="7" t="n">
        <v>78</v>
      </c>
      <c r="Z218" s="7" t="n">
        <v>31.6</v>
      </c>
      <c r="AB218" s="7" t="n">
        <v>1291.9</v>
      </c>
    </row>
    <row r="219">
      <c r="A219" s="4" t="inlineStr">
        <is>
          <t>快递费</t>
        </is>
      </c>
      <c r="D219" s="7" t="n">
        <v>382.5</v>
      </c>
      <c r="F219" s="7" t="n">
        <v>148.8</v>
      </c>
      <c r="H219" s="7" t="n">
        <v>752.2</v>
      </c>
      <c r="J219" s="7" t="n">
        <v>455.2</v>
      </c>
      <c r="L219" s="7" t="n">
        <v>266.1</v>
      </c>
      <c r="N219" s="7" t="n">
        <v>442.1</v>
      </c>
      <c r="P219" s="7" t="n">
        <v>747.2</v>
      </c>
      <c r="R219" s="7" t="n">
        <v>626</v>
      </c>
      <c r="T219" s="7" t="n">
        <v>809.8</v>
      </c>
      <c r="V219" s="7" t="n">
        <v>421.3</v>
      </c>
      <c r="X219" s="7" t="n">
        <v>369.7</v>
      </c>
      <c r="Z219" s="7" t="n">
        <v>200.4</v>
      </c>
      <c r="AB219" s="7" t="n">
        <v>5621.3</v>
      </c>
    </row>
    <row r="220">
      <c r="A220" s="4" t="inlineStr">
        <is>
          <t>诉讼费</t>
        </is>
      </c>
      <c r="D220" s="7" t="n">
        <v>513</v>
      </c>
      <c r="F220" s="7" t="n">
        <v>218.1</v>
      </c>
      <c r="H220" s="7" t="n">
        <v>890</v>
      </c>
      <c r="J220" s="7" t="n">
        <v>501.9</v>
      </c>
      <c r="L220" s="7" t="n">
        <v>356.3</v>
      </c>
      <c r="N220" s="7" t="n">
        <v>473.4</v>
      </c>
      <c r="P220" s="7" t="n">
        <v>853.7</v>
      </c>
      <c r="R220" s="7" t="n">
        <v>917.1</v>
      </c>
      <c r="T220" s="7" t="n">
        <v>549.4</v>
      </c>
      <c r="V220" s="7" t="n">
        <v>376.5</v>
      </c>
      <c r="X220" s="7" t="n">
        <v>565.8</v>
      </c>
      <c r="Z220" s="7" t="n">
        <v>186.4</v>
      </c>
      <c r="AB220" s="7" t="n">
        <v>6401.6</v>
      </c>
    </row>
    <row r="221">
      <c r="A221" s="4" t="inlineStr">
        <is>
          <t>会员费</t>
        </is>
      </c>
      <c r="D221" s="7" t="n">
        <v>732.8</v>
      </c>
      <c r="F221" s="7" t="n">
        <v>322.8</v>
      </c>
      <c r="H221" s="7" t="n">
        <v>988.1</v>
      </c>
      <c r="J221" s="7" t="n">
        <v>476.7</v>
      </c>
      <c r="L221" s="7" t="n">
        <v>607.9</v>
      </c>
      <c r="N221" s="7" t="n">
        <v>1102.4</v>
      </c>
      <c r="P221" s="7" t="n">
        <v>1035</v>
      </c>
      <c r="R221" s="7" t="n">
        <v>1106.1</v>
      </c>
      <c r="T221" s="7" t="n">
        <v>1006.2</v>
      </c>
      <c r="V221" s="7" t="n">
        <v>526.9</v>
      </c>
      <c r="X221" s="7" t="n">
        <v>684.6</v>
      </c>
      <c r="Z221" s="7" t="n">
        <v>332.1</v>
      </c>
      <c r="AB221" s="7" t="n">
        <v>8921.6</v>
      </c>
    </row>
    <row r="222">
      <c r="A222" s="4" t="inlineStr">
        <is>
          <t>广告宣传费</t>
        </is>
      </c>
      <c r="D222" s="7" t="n">
        <v>2668.7</v>
      </c>
      <c r="F222" s="7" t="n">
        <v>1871.9</v>
      </c>
      <c r="H222" s="7" t="n">
        <v>4071.5</v>
      </c>
      <c r="J222" s="7" t="n">
        <v>3275.8</v>
      </c>
      <c r="L222" s="7" t="n">
        <v>3180.9</v>
      </c>
      <c r="N222" s="7" t="n">
        <v>3957.4</v>
      </c>
      <c r="P222" s="7" t="n">
        <v>8178</v>
      </c>
      <c r="R222" s="7" t="n">
        <v>3804.5</v>
      </c>
      <c r="T222" s="7" t="n">
        <v>5629.3</v>
      </c>
      <c r="V222" s="7" t="n">
        <v>2600.9</v>
      </c>
      <c r="X222" s="7" t="n">
        <v>3768.1</v>
      </c>
      <c r="Z222" s="7" t="n">
        <v>1159.3</v>
      </c>
      <c r="AB222" s="7" t="n">
        <v>44166.3</v>
      </c>
    </row>
    <row r="223">
      <c r="A223" s="4" t="inlineStr">
        <is>
          <t>会务费</t>
        </is>
      </c>
      <c r="D223" s="7" t="n">
        <v>157.8</v>
      </c>
      <c r="F223" s="7" t="n">
        <v>104.4</v>
      </c>
      <c r="H223" s="7" t="n">
        <v>217.3</v>
      </c>
      <c r="J223" s="7" t="n">
        <v>202.8</v>
      </c>
      <c r="L223" s="7" t="n">
        <v>181</v>
      </c>
      <c r="N223" s="7" t="n">
        <v>172.4</v>
      </c>
      <c r="P223" s="7" t="n">
        <v>408.5</v>
      </c>
      <c r="R223" s="7" t="n">
        <v>258.7</v>
      </c>
      <c r="T223" s="7" t="n">
        <v>316.8</v>
      </c>
      <c r="V223" s="7" t="n">
        <v>152.6</v>
      </c>
      <c r="X223" s="7" t="n">
        <v>139.9</v>
      </c>
      <c r="Z223" s="7" t="n">
        <v>64</v>
      </c>
      <c r="AB223" s="7" t="n">
        <v>2376.2</v>
      </c>
    </row>
    <row r="224">
      <c r="A224" s="4" t="inlineStr">
        <is>
          <t>装修费</t>
        </is>
      </c>
      <c r="D224" s="7" t="n">
        <v>411.9</v>
      </c>
      <c r="F224" s="7" t="n">
        <v>226.5</v>
      </c>
      <c r="H224" s="7" t="n">
        <v>475.1</v>
      </c>
      <c r="J224" s="7" t="n">
        <v>411.6</v>
      </c>
      <c r="L224" s="7" t="n">
        <v>415.5</v>
      </c>
      <c r="N224" s="7" t="n">
        <v>569.8</v>
      </c>
      <c r="P224" s="7" t="n">
        <v>827.6</v>
      </c>
      <c r="R224" s="7" t="n">
        <v>593.8</v>
      </c>
      <c r="T224" s="7" t="n">
        <v>618.5</v>
      </c>
      <c r="V224" s="7" t="n">
        <v>306.4</v>
      </c>
      <c r="X224" s="7" t="n">
        <v>289.5</v>
      </c>
      <c r="Z224" s="7" t="n">
        <v>163.3</v>
      </c>
      <c r="AB224" s="7" t="n">
        <v>5309.5</v>
      </c>
    </row>
    <row r="225">
      <c r="A225" s="4" t="inlineStr">
        <is>
          <t>推广费</t>
        </is>
      </c>
      <c r="D225" s="7" t="n">
        <v>565.3</v>
      </c>
      <c r="F225" s="7" t="n">
        <v>308</v>
      </c>
      <c r="H225" s="7" t="n">
        <v>762.9</v>
      </c>
      <c r="J225" s="7" t="n">
        <v>585.7</v>
      </c>
      <c r="L225" s="7" t="n">
        <v>524.3</v>
      </c>
      <c r="N225" s="7" t="n">
        <v>489.6</v>
      </c>
      <c r="P225" s="7" t="n">
        <v>1267.3</v>
      </c>
      <c r="R225" s="7" t="n">
        <v>844.6</v>
      </c>
      <c r="T225" s="7" t="n">
        <v>691.2</v>
      </c>
      <c r="V225" s="7" t="n">
        <v>406.2</v>
      </c>
      <c r="X225" s="7" t="n">
        <v>520.8</v>
      </c>
      <c r="Z225" s="7" t="n">
        <v>181.9</v>
      </c>
      <c r="AB225" s="7" t="n">
        <v>7147.8</v>
      </c>
    </row>
    <row r="226">
      <c r="A226" s="4" t="inlineStr">
        <is>
          <t>展会费</t>
        </is>
      </c>
      <c r="D226" s="7" t="n">
        <v>89.5</v>
      </c>
      <c r="F226" s="7" t="n">
        <v>59.7</v>
      </c>
      <c r="H226" s="7" t="n">
        <v>123.7</v>
      </c>
      <c r="J226" s="7" t="n">
        <v>124.9</v>
      </c>
      <c r="L226" s="7" t="n">
        <v>63.4</v>
      </c>
      <c r="N226" s="7" t="n">
        <v>147</v>
      </c>
      <c r="P226" s="7" t="n">
        <v>215.2</v>
      </c>
      <c r="R226" s="7" t="n">
        <v>198.7</v>
      </c>
      <c r="T226" s="7" t="n">
        <v>162.2</v>
      </c>
      <c r="V226" s="7" t="n">
        <v>97.7</v>
      </c>
      <c r="X226" s="7" t="n">
        <v>119</v>
      </c>
      <c r="Z226" s="7" t="n">
        <v>43.3</v>
      </c>
      <c r="AB226" s="7" t="n">
        <v>1444.3</v>
      </c>
    </row>
    <row r="227">
      <c r="A227" s="4" t="inlineStr">
        <is>
          <t>设计费</t>
        </is>
      </c>
      <c r="D227" s="7" t="n">
        <v>554.5</v>
      </c>
      <c r="F227" s="7" t="n">
        <v>155.7</v>
      </c>
      <c r="H227" s="7" t="n">
        <v>662</v>
      </c>
      <c r="J227" s="7" t="n">
        <v>489.4</v>
      </c>
      <c r="L227" s="7" t="n">
        <v>395.3</v>
      </c>
      <c r="N227" s="7" t="n">
        <v>469.9</v>
      </c>
      <c r="P227" s="7" t="n">
        <v>830</v>
      </c>
      <c r="R227" s="7" t="n">
        <v>790.9</v>
      </c>
      <c r="T227" s="7" t="n">
        <v>740.7</v>
      </c>
      <c r="V227" s="7" t="n">
        <v>362.4</v>
      </c>
      <c r="X227" s="7" t="n">
        <v>283.3</v>
      </c>
      <c r="Z227" s="7" t="n">
        <v>203.1</v>
      </c>
      <c r="AB227" s="7" t="n">
        <v>5937.2</v>
      </c>
    </row>
    <row r="228">
      <c r="A228" s="4" t="inlineStr">
        <is>
          <t>折旧费</t>
        </is>
      </c>
      <c r="D228" s="7" t="n">
        <v>4732.7</v>
      </c>
      <c r="F228" s="7" t="n">
        <v>1890.5</v>
      </c>
      <c r="H228" s="7" t="n">
        <v>5415.8</v>
      </c>
      <c r="J228" s="7" t="n">
        <v>3072</v>
      </c>
      <c r="L228" s="7" t="n">
        <v>3301.7</v>
      </c>
      <c r="N228" s="7" t="n">
        <v>6161.4</v>
      </c>
      <c r="P228" s="7" t="n">
        <v>10174.9</v>
      </c>
      <c r="R228" s="7" t="n">
        <v>5275.4</v>
      </c>
      <c r="T228" s="7" t="n">
        <v>7676.8</v>
      </c>
      <c r="V228" s="7" t="n">
        <v>3813.2</v>
      </c>
      <c r="X228" s="7" t="n">
        <v>3612.4</v>
      </c>
      <c r="Z228" s="7" t="n">
        <v>1387.1</v>
      </c>
      <c r="AB228" s="7" t="n">
        <v>56513.9</v>
      </c>
    </row>
    <row r="229">
      <c r="A229" s="4" t="inlineStr">
        <is>
          <t>认证费</t>
        </is>
      </c>
      <c r="D229" s="7" t="n">
        <v>28.1</v>
      </c>
      <c r="F229" s="7" t="n">
        <v>15.1</v>
      </c>
      <c r="H229" s="7" t="n">
        <v>33.2</v>
      </c>
      <c r="J229" s="7" t="n">
        <v>30.1</v>
      </c>
      <c r="L229" s="7" t="n">
        <v>26.9</v>
      </c>
      <c r="N229" s="7" t="n">
        <v>31.3</v>
      </c>
      <c r="P229" s="7" t="n">
        <v>72</v>
      </c>
      <c r="R229" s="7" t="n">
        <v>49.1</v>
      </c>
      <c r="T229" s="7" t="n">
        <v>34.2</v>
      </c>
      <c r="V229" s="7" t="n">
        <v>26.3</v>
      </c>
      <c r="X229" s="7" t="n">
        <v>22.2</v>
      </c>
      <c r="Z229" s="7" t="n">
        <v>13.5</v>
      </c>
      <c r="AB229" s="7" t="n">
        <v>382</v>
      </c>
    </row>
    <row r="230">
      <c r="A230" s="4" t="inlineStr">
        <is>
          <t>样品费</t>
        </is>
      </c>
      <c r="D230" s="7" t="n">
        <v>2814.4</v>
      </c>
      <c r="F230" s="7" t="n">
        <v>720.5</v>
      </c>
      <c r="H230" s="7" t="n">
        <v>4102.2</v>
      </c>
      <c r="J230" s="7" t="n">
        <v>2515.6</v>
      </c>
      <c r="L230" s="7" t="n">
        <v>1965.8</v>
      </c>
      <c r="N230" s="7" t="n">
        <v>3123.4</v>
      </c>
      <c r="P230" s="7" t="n">
        <v>4695.5</v>
      </c>
      <c r="R230" s="7" t="n">
        <v>4043.9</v>
      </c>
      <c r="T230" s="7" t="n">
        <v>2979.7</v>
      </c>
      <c r="V230" s="7" t="n">
        <v>1764.1</v>
      </c>
      <c r="X230" s="7" t="n">
        <v>1689.4</v>
      </c>
      <c r="Z230" s="7" t="n">
        <v>1016.4</v>
      </c>
      <c r="AB230" s="7" t="n">
        <v>31430.9</v>
      </c>
    </row>
    <row r="231">
      <c r="A231" s="4" t="inlineStr">
        <is>
          <t>劳务费</t>
        </is>
      </c>
      <c r="D231" s="7" t="n">
        <v>574.1</v>
      </c>
      <c r="F231" s="7" t="n">
        <v>226.1</v>
      </c>
      <c r="H231" s="7" t="n">
        <v>795.3</v>
      </c>
      <c r="J231" s="7" t="n">
        <v>713.3</v>
      </c>
      <c r="L231" s="7" t="n">
        <v>589.6</v>
      </c>
      <c r="N231" s="7" t="n">
        <v>646.3</v>
      </c>
      <c r="P231" s="7" t="n">
        <v>1229.9</v>
      </c>
      <c r="R231" s="7" t="n">
        <v>1182.8</v>
      </c>
      <c r="T231" s="7" t="n">
        <v>725.1</v>
      </c>
      <c r="V231" s="7" t="n">
        <v>505.4</v>
      </c>
      <c r="X231" s="7" t="n">
        <v>490.8</v>
      </c>
      <c r="Z231" s="7" t="n">
        <v>167.1</v>
      </c>
      <c r="AB231" s="7" t="n">
        <v>7845.8</v>
      </c>
    </row>
    <row r="232">
      <c r="A232" s="4" t="inlineStr">
        <is>
          <t>销售佣金</t>
        </is>
      </c>
      <c r="D232" s="7" t="n">
        <v>375.9</v>
      </c>
      <c r="F232" s="7" t="n">
        <v>226.1</v>
      </c>
      <c r="H232" s="7" t="n">
        <v>688.4</v>
      </c>
      <c r="J232" s="7" t="n">
        <v>289.5</v>
      </c>
      <c r="L232" s="7" t="n">
        <v>368.3</v>
      </c>
      <c r="N232" s="7" t="n">
        <v>622.2</v>
      </c>
      <c r="P232" s="7" t="n">
        <v>1085.7</v>
      </c>
      <c r="R232" s="7" t="n">
        <v>779.8</v>
      </c>
      <c r="T232" s="7" t="n">
        <v>530.3</v>
      </c>
      <c r="V232" s="7" t="n">
        <v>374.5</v>
      </c>
      <c r="X232" s="7" t="n">
        <v>301.8</v>
      </c>
      <c r="Z232" s="7" t="n">
        <v>157.4</v>
      </c>
      <c r="AB232" s="7" t="n">
        <v>5799.9</v>
      </c>
    </row>
    <row r="233">
      <c r="A233" s="4" t="inlineStr">
        <is>
          <t>检测费</t>
        </is>
      </c>
      <c r="D233" s="7" t="n">
        <v>413.7</v>
      </c>
      <c r="F233" s="7" t="n">
        <v>205.5</v>
      </c>
      <c r="H233" s="7" t="n">
        <v>634.8</v>
      </c>
      <c r="J233" s="7" t="n">
        <v>402.2</v>
      </c>
      <c r="L233" s="7" t="n">
        <v>287.3</v>
      </c>
      <c r="N233" s="7" t="n">
        <v>429.5</v>
      </c>
      <c r="P233" s="7" t="n">
        <v>806.3</v>
      </c>
      <c r="R233" s="7" t="n">
        <v>595</v>
      </c>
      <c r="T233" s="7" t="n">
        <v>415</v>
      </c>
      <c r="V233" s="7" t="n">
        <v>363.6</v>
      </c>
      <c r="X233" s="7" t="n">
        <v>355.6</v>
      </c>
      <c r="Z233" s="7" t="n">
        <v>99.2</v>
      </c>
      <c r="AB233" s="7" t="n">
        <v>5007.7</v>
      </c>
    </row>
    <row r="234">
      <c r="A234" s="4" t="inlineStr">
        <is>
          <t>质量赔偿</t>
        </is>
      </c>
      <c r="D234" s="7" t="n">
        <v>662.9</v>
      </c>
      <c r="F234" s="7" t="n">
        <v>347.5</v>
      </c>
      <c r="H234" s="7" t="n">
        <v>857.5</v>
      </c>
      <c r="J234" s="7" t="n">
        <v>664.3</v>
      </c>
      <c r="L234" s="7" t="n">
        <v>471.9</v>
      </c>
      <c r="N234" s="7" t="n">
        <v>862</v>
      </c>
      <c r="P234" s="7" t="n">
        <v>1186</v>
      </c>
      <c r="R234" s="7" t="n">
        <v>1080.1</v>
      </c>
      <c r="T234" s="7" t="n">
        <v>746.9</v>
      </c>
      <c r="V234" s="7" t="n">
        <v>439.8</v>
      </c>
      <c r="X234" s="7" t="n">
        <v>717.6</v>
      </c>
      <c r="Z234" s="7" t="n">
        <v>282</v>
      </c>
      <c r="AB234" s="7" t="n">
        <v>8318.5</v>
      </c>
    </row>
    <row r="235">
      <c r="A235" s="4" t="inlineStr">
        <is>
          <t>保险费</t>
        </is>
      </c>
      <c r="D235" s="7" t="n">
        <v>521.6</v>
      </c>
      <c r="F235" s="7" t="n">
        <v>212.7</v>
      </c>
      <c r="H235" s="7" t="n">
        <v>712.6</v>
      </c>
      <c r="J235" s="7" t="n">
        <v>629.3</v>
      </c>
      <c r="L235" s="7" t="n">
        <v>492.7</v>
      </c>
      <c r="N235" s="7" t="n">
        <v>728.9</v>
      </c>
      <c r="P235" s="7" t="n">
        <v>1204.3</v>
      </c>
      <c r="R235" s="7" t="n">
        <v>700.3</v>
      </c>
      <c r="T235" s="7" t="n">
        <v>655.3</v>
      </c>
      <c r="V235" s="7" t="n">
        <v>457.2</v>
      </c>
      <c r="X235" s="7" t="n">
        <v>361.9</v>
      </c>
      <c r="Z235" s="7" t="n">
        <v>257.7</v>
      </c>
      <c r="AB235" s="7" t="n">
        <v>6934.5</v>
      </c>
    </row>
    <row r="236">
      <c r="A236" s="4" t="inlineStr">
        <is>
          <t>清洁费</t>
        </is>
      </c>
      <c r="D236" s="7" t="n">
        <v>810.8</v>
      </c>
      <c r="F236" s="7" t="n">
        <v>329.2</v>
      </c>
      <c r="H236" s="7" t="n">
        <v>1020.3</v>
      </c>
      <c r="J236" s="7" t="n">
        <v>794.1</v>
      </c>
      <c r="L236" s="7" t="n">
        <v>685.7</v>
      </c>
      <c r="N236" s="7" t="n">
        <v>917.1</v>
      </c>
      <c r="P236" s="7" t="n">
        <v>1939.8</v>
      </c>
      <c r="R236" s="7" t="n">
        <v>1168.9</v>
      </c>
      <c r="T236" s="7" t="n">
        <v>1035.5</v>
      </c>
      <c r="V236" s="7" t="n">
        <v>422.4</v>
      </c>
      <c r="X236" s="7" t="n">
        <v>655.3</v>
      </c>
      <c r="Z236" s="7" t="n">
        <v>331.4</v>
      </c>
      <c r="AB236" s="7" t="n">
        <v>10110.5</v>
      </c>
    </row>
    <row r="237">
      <c r="A237" s="4" t="inlineStr">
        <is>
          <t>低值易耗品</t>
        </is>
      </c>
      <c r="D237" s="7" t="n">
        <v>97.40000000000001</v>
      </c>
      <c r="F237" s="7" t="n">
        <v>66.7</v>
      </c>
      <c r="H237" s="7" t="n">
        <v>131.7</v>
      </c>
      <c r="J237" s="7" t="n">
        <v>95.2</v>
      </c>
      <c r="L237" s="7" t="n">
        <v>113.7</v>
      </c>
      <c r="N237" s="7" t="n">
        <v>106.6</v>
      </c>
      <c r="P237" s="7" t="n">
        <v>285.5</v>
      </c>
      <c r="R237" s="7" t="n">
        <v>183.5</v>
      </c>
      <c r="T237" s="7" t="n">
        <v>167.9</v>
      </c>
      <c r="V237" s="7" t="n">
        <v>75.8</v>
      </c>
      <c r="X237" s="7" t="n">
        <v>132.8</v>
      </c>
      <c r="Z237" s="7" t="n">
        <v>45.2</v>
      </c>
      <c r="AB237" s="7" t="n">
        <v>1502</v>
      </c>
    </row>
    <row r="238">
      <c r="A238" s="4" t="inlineStr">
        <is>
          <t>物料消耗</t>
        </is>
      </c>
      <c r="D238" s="7" t="n">
        <v>523</v>
      </c>
      <c r="F238" s="7" t="n">
        <v>218.3</v>
      </c>
      <c r="H238" s="7" t="n">
        <v>825.8</v>
      </c>
      <c r="J238" s="7" t="n">
        <v>422.7</v>
      </c>
      <c r="L238" s="7" t="n">
        <v>323.3</v>
      </c>
      <c r="N238" s="7" t="n">
        <v>399.4</v>
      </c>
      <c r="P238" s="7" t="n">
        <v>722.8</v>
      </c>
      <c r="R238" s="7" t="n">
        <v>650.4</v>
      </c>
      <c r="T238" s="7" t="n">
        <v>607.5</v>
      </c>
      <c r="V238" s="7" t="n">
        <v>437</v>
      </c>
      <c r="X238" s="7" t="n">
        <v>350.2</v>
      </c>
      <c r="Z238" s="7" t="n">
        <v>211.7</v>
      </c>
      <c r="AB238" s="7" t="n">
        <v>5692.1</v>
      </c>
    </row>
    <row r="239">
      <c r="A239" s="4" t="inlineStr">
        <is>
          <t>盘盈盘亏</t>
        </is>
      </c>
      <c r="D239" s="7" t="n">
        <v>182.3</v>
      </c>
      <c r="F239" s="7" t="n">
        <v>98.8</v>
      </c>
      <c r="H239" s="7" t="n">
        <v>283.9</v>
      </c>
      <c r="J239" s="7" t="n">
        <v>172.8</v>
      </c>
      <c r="L239" s="7" t="n">
        <v>97.09999999999999</v>
      </c>
      <c r="N239" s="7" t="n">
        <v>211.8</v>
      </c>
      <c r="P239" s="7" t="n">
        <v>261.5</v>
      </c>
      <c r="R239" s="7" t="n">
        <v>273.3</v>
      </c>
      <c r="T239" s="7" t="n">
        <v>233.5</v>
      </c>
      <c r="V239" s="7" t="n">
        <v>159</v>
      </c>
      <c r="X239" s="7" t="n">
        <v>181.4</v>
      </c>
      <c r="Z239" s="7" t="n">
        <v>68.40000000000001</v>
      </c>
      <c r="AB239" s="7" t="n">
        <v>2223.8</v>
      </c>
    </row>
    <row r="240">
      <c r="A240" s="4" t="inlineStr">
        <is>
          <t>平台服务费</t>
        </is>
      </c>
      <c r="D240" s="7" t="n">
        <v>129.7</v>
      </c>
      <c r="F240" s="7" t="n">
        <v>79.5</v>
      </c>
      <c r="H240" s="7" t="n">
        <v>227.4</v>
      </c>
      <c r="J240" s="7" t="n">
        <v>158.4</v>
      </c>
      <c r="L240" s="7" t="n">
        <v>125.8</v>
      </c>
      <c r="N240" s="7" t="n">
        <v>125.8</v>
      </c>
      <c r="P240" s="7" t="n">
        <v>243.7</v>
      </c>
      <c r="R240" s="7" t="n">
        <v>266.5</v>
      </c>
      <c r="T240" s="7" t="n">
        <v>144.2</v>
      </c>
      <c r="V240" s="7" t="n">
        <v>137.6</v>
      </c>
      <c r="X240" s="7" t="n">
        <v>116.8</v>
      </c>
      <c r="Z240" s="7" t="n">
        <v>42.3</v>
      </c>
      <c r="AB240" s="7" t="n">
        <v>1797.7</v>
      </c>
    </row>
    <row r="241">
      <c r="A241" s="4" t="inlineStr">
        <is>
          <t>无形资产摊销</t>
        </is>
      </c>
      <c r="D241" s="7" t="n">
        <v>330.5</v>
      </c>
      <c r="F241" s="7" t="n">
        <v>156.5</v>
      </c>
      <c r="H241" s="7" t="n">
        <v>521</v>
      </c>
      <c r="J241" s="7" t="n">
        <v>263.9</v>
      </c>
      <c r="L241" s="7" t="n">
        <v>195.8</v>
      </c>
      <c r="N241" s="7" t="n">
        <v>246.7</v>
      </c>
      <c r="P241" s="7" t="n">
        <v>401.9</v>
      </c>
      <c r="R241" s="7" t="n">
        <v>483.8</v>
      </c>
      <c r="T241" s="7" t="n">
        <v>370.7</v>
      </c>
      <c r="V241" s="7" t="n">
        <v>279</v>
      </c>
      <c r="X241" s="7" t="n">
        <v>258.8</v>
      </c>
      <c r="Z241" s="7" t="n">
        <v>94.59999999999999</v>
      </c>
      <c r="AB241" s="7" t="n">
        <v>3603.2</v>
      </c>
    </row>
    <row r="242">
      <c r="A242" s="4" t="inlineStr">
        <is>
          <t>研发材料</t>
        </is>
      </c>
      <c r="D242" s="7" t="n">
        <v>48.9</v>
      </c>
      <c r="F242" s="7" t="n">
        <v>33.5</v>
      </c>
      <c r="H242" s="7" t="n">
        <v>127.3</v>
      </c>
      <c r="J242" s="7" t="n">
        <v>54.8</v>
      </c>
      <c r="L242" s="7" t="n">
        <v>38</v>
      </c>
      <c r="N242" s="7" t="n">
        <v>62.1</v>
      </c>
      <c r="P242" s="7" t="n">
        <v>169.1</v>
      </c>
      <c r="R242" s="7" t="n">
        <v>140</v>
      </c>
      <c r="T242" s="7" t="n">
        <v>80</v>
      </c>
      <c r="V242" s="7" t="n">
        <v>47</v>
      </c>
      <c r="X242" s="7" t="n">
        <v>69.3</v>
      </c>
      <c r="Z242" s="7" t="n">
        <v>25.3</v>
      </c>
      <c r="AB242" s="7" t="n">
        <v>895.3</v>
      </c>
    </row>
    <row r="243">
      <c r="A243" s="4" t="inlineStr">
        <is>
          <t>项目名称</t>
        </is>
      </c>
      <c r="D243" s="7" t="n">
        <v>80.7</v>
      </c>
      <c r="F243" s="7" t="n">
        <v>42.1</v>
      </c>
      <c r="H243" s="7" t="n">
        <v>117.5</v>
      </c>
      <c r="J243" s="7" t="n">
        <v>79.2</v>
      </c>
      <c r="L243" s="7" t="n">
        <v>54.3</v>
      </c>
      <c r="N243" s="7" t="n">
        <v>91.2</v>
      </c>
      <c r="P243" s="7" t="n">
        <v>108.8</v>
      </c>
      <c r="R243" s="7" t="n">
        <v>137.4</v>
      </c>
      <c r="T243" s="7" t="n">
        <v>121.1</v>
      </c>
      <c r="V243" s="7" t="n">
        <v>56.6</v>
      </c>
      <c r="X243" s="7" t="n">
        <v>65.7</v>
      </c>
      <c r="Z243" s="7" t="n">
        <v>23.6</v>
      </c>
      <c r="AB243" s="7" t="n">
        <v>978.2</v>
      </c>
    </row>
    <row r="244">
      <c r="A244" s="4" t="inlineStr">
        <is>
          <t>研发费</t>
        </is>
      </c>
      <c r="D244" s="7" t="n">
        <v>107.9</v>
      </c>
      <c r="F244" s="7" t="n">
        <v>49</v>
      </c>
      <c r="H244" s="7" t="n">
        <v>167.3</v>
      </c>
      <c r="J244" s="7" t="n">
        <v>75.90000000000001</v>
      </c>
      <c r="L244" s="7" t="n">
        <v>82.40000000000001</v>
      </c>
      <c r="N244" s="7" t="n">
        <v>147.6</v>
      </c>
      <c r="P244" s="7" t="n">
        <v>218.5</v>
      </c>
      <c r="R244" s="7" t="n">
        <v>169.3</v>
      </c>
      <c r="T244" s="7" t="n">
        <v>151.8</v>
      </c>
      <c r="V244" s="7" t="n">
        <v>83.7</v>
      </c>
      <c r="X244" s="7" t="n">
        <v>96.7</v>
      </c>
      <c r="Z244" s="7" t="n">
        <v>29.1</v>
      </c>
      <c r="AB244" s="7" t="n">
        <v>1379.2</v>
      </c>
    </row>
    <row r="245">
      <c r="A245" s="4" t="inlineStr">
        <is>
          <t>残保金</t>
        </is>
      </c>
      <c r="D245" s="7" t="n">
        <v>440.8</v>
      </c>
      <c r="F245" s="7" t="n">
        <v>191.7</v>
      </c>
      <c r="H245" s="7" t="n">
        <v>684.9</v>
      </c>
      <c r="J245" s="7" t="n">
        <v>266.5</v>
      </c>
      <c r="L245" s="7" t="n">
        <v>208.9</v>
      </c>
      <c r="N245" s="7" t="n">
        <v>559.7</v>
      </c>
      <c r="P245" s="7" t="n">
        <v>773</v>
      </c>
      <c r="R245" s="7" t="n">
        <v>570.3</v>
      </c>
      <c r="T245" s="7" t="n">
        <v>665</v>
      </c>
      <c r="V245" s="7" t="n">
        <v>323.8</v>
      </c>
      <c r="X245" s="7" t="n">
        <v>416.2</v>
      </c>
      <c r="Z245" s="7" t="n">
        <v>101.3</v>
      </c>
      <c r="AB245" s="7" t="n">
        <v>5202.1</v>
      </c>
    </row>
    <row r="246">
      <c r="A246" s="4" t="inlineStr">
        <is>
          <t>环保费</t>
        </is>
      </c>
      <c r="D246" s="7" t="n">
        <v>346.5</v>
      </c>
      <c r="F246" s="7" t="n">
        <v>251.5</v>
      </c>
      <c r="H246" s="7" t="n">
        <v>513.4</v>
      </c>
      <c r="J246" s="7" t="n">
        <v>494.8</v>
      </c>
      <c r="L246" s="7" t="n">
        <v>378.6</v>
      </c>
      <c r="N246" s="7" t="n">
        <v>487.1</v>
      </c>
      <c r="P246" s="7" t="n">
        <v>1097.7</v>
      </c>
      <c r="R246" s="7" t="n">
        <v>753.3</v>
      </c>
      <c r="T246" s="7" t="n">
        <v>648.3</v>
      </c>
      <c r="V246" s="7" t="n">
        <v>418.8</v>
      </c>
      <c r="X246" s="7" t="n">
        <v>306.8</v>
      </c>
      <c r="Z246" s="7" t="n">
        <v>113</v>
      </c>
      <c r="AB246" s="7" t="n">
        <v>5809.8</v>
      </c>
    </row>
    <row r="247">
      <c r="A247" s="4" t="inlineStr">
        <is>
          <t>报废损失</t>
        </is>
      </c>
      <c r="D247" s="7" t="n">
        <v>757.8</v>
      </c>
      <c r="F247" s="7" t="n">
        <v>229.8</v>
      </c>
      <c r="H247" s="7" t="n">
        <v>1370.8</v>
      </c>
      <c r="J247" s="7" t="n">
        <v>820</v>
      </c>
      <c r="L247" s="7" t="n">
        <v>495</v>
      </c>
      <c r="N247" s="7" t="n">
        <v>685.7</v>
      </c>
      <c r="P247" s="7" t="n">
        <v>1109.7</v>
      </c>
      <c r="R247" s="7" t="n">
        <v>1121.3</v>
      </c>
      <c r="T247" s="7" t="n">
        <v>918.1</v>
      </c>
      <c r="V247" s="7" t="n">
        <v>510.5</v>
      </c>
      <c r="X247" s="7" t="n">
        <v>791.6</v>
      </c>
      <c r="Z247" s="7" t="n">
        <v>255.9</v>
      </c>
      <c r="AB247" s="7" t="n">
        <v>9066.200000000001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7940</v>
      </c>
      <c r="D248" s="7" t="n">
        <v>6423</v>
      </c>
      <c r="E248" s="7" t="n">
        <v>7902.3</v>
      </c>
      <c r="F248" s="7" t="n">
        <v>12651.7</v>
      </c>
      <c r="G248" s="7" t="n">
        <v>8704.5</v>
      </c>
      <c r="H248" s="7" t="n">
        <v>11774.1</v>
      </c>
      <c r="I248" s="7" t="n">
        <v>7541.3</v>
      </c>
      <c r="J248" s="7" t="n">
        <v>-1550.8</v>
      </c>
      <c r="K248" s="7" t="n">
        <v>6944.5</v>
      </c>
      <c r="L248" s="7" t="n">
        <v>2419.9</v>
      </c>
      <c r="M248" s="7" t="n">
        <v>6861.2</v>
      </c>
      <c r="N248" s="7" t="n">
        <v>10053.1</v>
      </c>
      <c r="O248" s="7" t="n">
        <v>8711.6</v>
      </c>
      <c r="P248" s="7" t="n">
        <v>14601.5</v>
      </c>
      <c r="Q248" s="7" t="n">
        <v>7307.2</v>
      </c>
      <c r="R248" s="7" t="n">
        <v>-2585.7</v>
      </c>
      <c r="S248" s="7" t="n">
        <v>7891.7</v>
      </c>
      <c r="T248" s="7" t="n">
        <v>11824.4</v>
      </c>
      <c r="U248" s="7" t="n">
        <v>7572.6</v>
      </c>
      <c r="V248" s="7" t="n">
        <v>15869.6</v>
      </c>
      <c r="W248" s="7" t="n">
        <v>8407.4</v>
      </c>
      <c r="X248" s="7" t="n">
        <v>8785.6</v>
      </c>
      <c r="Y248" s="7" t="n">
        <v>8570</v>
      </c>
      <c r="Z248" s="7" t="n">
        <v>2008.3</v>
      </c>
      <c r="AA248" s="8" t="n">
        <v>94354.3</v>
      </c>
      <c r="AB248" s="8" t="n">
        <v>92274.7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4134.1</v>
      </c>
      <c r="E250" s="7" t="n">
        <v>0</v>
      </c>
      <c r="F250" s="7" t="n">
        <v>-2356.7</v>
      </c>
      <c r="G250" s="7" t="n">
        <v>0</v>
      </c>
      <c r="H250" s="7" t="n">
        <v>2314.1</v>
      </c>
      <c r="I250" s="7" t="n">
        <v>0</v>
      </c>
      <c r="J250" s="7" t="n">
        <v>-2336</v>
      </c>
      <c r="K250" s="7" t="n">
        <v>0</v>
      </c>
      <c r="L250" s="7" t="n">
        <v>-3681.1</v>
      </c>
      <c r="M250" s="7" t="n">
        <v>0</v>
      </c>
      <c r="N250" s="7" t="n">
        <v>3233.1</v>
      </c>
      <c r="O250" s="7" t="n">
        <v>0</v>
      </c>
      <c r="P250" s="7" t="n">
        <v>-1533.9</v>
      </c>
      <c r="Q250" s="7" t="n">
        <v>0</v>
      </c>
      <c r="R250" s="7" t="n">
        <v>-2063.5</v>
      </c>
      <c r="S250" s="7" t="n">
        <v>0</v>
      </c>
      <c r="T250" s="7" t="n">
        <v>-138.9</v>
      </c>
      <c r="U250" s="7" t="n">
        <v>0</v>
      </c>
      <c r="V250" s="7" t="n">
        <v>3350.1</v>
      </c>
      <c r="W250" s="7" t="n">
        <v>0</v>
      </c>
      <c r="X250" s="7" t="n">
        <v>-1810.4</v>
      </c>
      <c r="Y250" s="7" t="n">
        <v>0</v>
      </c>
      <c r="Z250" s="7" t="n">
        <v>2795</v>
      </c>
      <c r="AA250" s="7" t="n">
        <v>0</v>
      </c>
      <c r="AB250" s="7" t="n">
        <v>1905.9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16809.4</v>
      </c>
      <c r="D255" s="7" t="n">
        <v>3792.6</v>
      </c>
      <c r="E255" s="7" t="n">
        <v>14609.2</v>
      </c>
      <c r="F255" s="7" t="n">
        <v>25347.7</v>
      </c>
      <c r="G255" s="7" t="n">
        <v>17044.4</v>
      </c>
      <c r="H255" s="7" t="n">
        <v>4246.1</v>
      </c>
      <c r="I255" s="7" t="n">
        <v>14831.5</v>
      </c>
      <c r="J255" s="7" t="n">
        <v>25336.9</v>
      </c>
      <c r="K255" s="7" t="n">
        <v>13714</v>
      </c>
      <c r="L255" s="7" t="n">
        <v>11015.1</v>
      </c>
      <c r="M255" s="7" t="n">
        <v>13375</v>
      </c>
      <c r="N255" s="7" t="n">
        <v>24915.1</v>
      </c>
      <c r="O255" s="7" t="n">
        <v>16580.3</v>
      </c>
      <c r="P255" s="7" t="n">
        <v>21309.2</v>
      </c>
      <c r="Q255" s="7" t="n">
        <v>14879.4</v>
      </c>
      <c r="R255" s="7" t="n">
        <v>541.9</v>
      </c>
      <c r="S255" s="7" t="n">
        <v>13562.4</v>
      </c>
      <c r="T255" s="7" t="n">
        <v>22029.5</v>
      </c>
      <c r="U255" s="7" t="n">
        <v>13496.4</v>
      </c>
      <c r="V255" s="7" t="n">
        <v>1901.1</v>
      </c>
      <c r="W255" s="7" t="n">
        <v>15284.7</v>
      </c>
      <c r="X255" s="7" t="n">
        <v>11979</v>
      </c>
      <c r="Y255" s="7" t="n">
        <v>14240.2</v>
      </c>
      <c r="Z255" s="7" t="n">
        <v>27760.2</v>
      </c>
      <c r="AA255" s="7" t="n">
        <v>178426.9</v>
      </c>
      <c r="AB255" s="7" t="n">
        <v>180174.4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588953.7</v>
      </c>
      <c r="D256" s="7" t="n">
        <v>457604.7</v>
      </c>
      <c r="E256" s="7" t="n">
        <v>583486.1</v>
      </c>
      <c r="F256" s="7" t="n">
        <v>547143.7</v>
      </c>
      <c r="G256" s="7" t="n">
        <v>682062.3</v>
      </c>
      <c r="H256" s="7" t="n">
        <v>323330.4</v>
      </c>
      <c r="I256" s="7" t="n">
        <v>680294.5</v>
      </c>
      <c r="J256" s="7" t="n">
        <v>409771.7</v>
      </c>
      <c r="K256" s="7" t="n">
        <v>656875</v>
      </c>
      <c r="L256" s="7" t="n">
        <v>688679.2</v>
      </c>
      <c r="M256" s="7" t="n">
        <v>580527</v>
      </c>
      <c r="N256" s="7" t="n">
        <v>1087254.3</v>
      </c>
      <c r="O256" s="7" t="n">
        <v>600139.7</v>
      </c>
      <c r="P256" s="7" t="n">
        <v>1000726.4</v>
      </c>
      <c r="Q256" s="7" t="n">
        <v>523637.2</v>
      </c>
      <c r="R256" s="7" t="n">
        <v>469702.6</v>
      </c>
      <c r="S256" s="7" t="n">
        <v>576596.6</v>
      </c>
      <c r="T256" s="7" t="n">
        <v>692789.9</v>
      </c>
      <c r="U256" s="7" t="n">
        <v>614802.5</v>
      </c>
      <c r="V256" s="7" t="n">
        <v>864389.4</v>
      </c>
      <c r="W256" s="7" t="n">
        <v>639344.8</v>
      </c>
      <c r="X256" s="7" t="n">
        <v>398967.3</v>
      </c>
      <c r="Y256" s="7" t="n">
        <v>684747.4</v>
      </c>
      <c r="Z256" s="7" t="n">
        <v>301574.4</v>
      </c>
      <c r="AA256" s="8" t="n">
        <v>7411466.8</v>
      </c>
      <c r="AB256" s="8" t="n">
        <v>7241934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457.3</v>
      </c>
      <c r="E257" s="7" t="n">
        <v>0</v>
      </c>
      <c r="F257" s="7" t="n">
        <v>2871.8</v>
      </c>
      <c r="G257" s="7" t="n">
        <v>0</v>
      </c>
      <c r="H257" s="7" t="n">
        <v>4873.6</v>
      </c>
      <c r="I257" s="7" t="n">
        <v>0</v>
      </c>
      <c r="J257" s="7" t="n">
        <v>3052.1</v>
      </c>
      <c r="K257" s="7" t="n">
        <v>0</v>
      </c>
      <c r="L257" s="7" t="n">
        <v>4219.2</v>
      </c>
      <c r="M257" s="7" t="n">
        <v>0</v>
      </c>
      <c r="N257" s="7" t="n">
        <v>4429.5</v>
      </c>
      <c r="O257" s="7" t="n">
        <v>0</v>
      </c>
      <c r="P257" s="7" t="n">
        <v>546</v>
      </c>
      <c r="Q257" s="7" t="n">
        <v>0</v>
      </c>
      <c r="R257" s="7" t="n">
        <v>4081.4</v>
      </c>
      <c r="S257" s="7" t="n">
        <v>0</v>
      </c>
      <c r="T257" s="7" t="n">
        <v>430.9</v>
      </c>
      <c r="U257" s="7" t="n">
        <v>0</v>
      </c>
      <c r="V257" s="7" t="n">
        <v>929.6</v>
      </c>
      <c r="W257" s="7" t="n">
        <v>0</v>
      </c>
      <c r="X257" s="7" t="n">
        <v>404.4</v>
      </c>
      <c r="Y257" s="7" t="n">
        <v>0</v>
      </c>
      <c r="Z257" s="7" t="n">
        <v>4400.6</v>
      </c>
      <c r="AA257" s="7" t="n">
        <v>0</v>
      </c>
      <c r="AB257" s="7" t="n">
        <v>30696.4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2231.6</v>
      </c>
      <c r="E258" s="7" t="n">
        <v>0</v>
      </c>
      <c r="F258" s="7" t="n">
        <v>682.2</v>
      </c>
      <c r="G258" s="7" t="n">
        <v>0</v>
      </c>
      <c r="H258" s="7" t="n">
        <v>2450.8</v>
      </c>
      <c r="I258" s="7" t="n">
        <v>0</v>
      </c>
      <c r="J258" s="7" t="n">
        <v>2381.8</v>
      </c>
      <c r="K258" s="7" t="n">
        <v>0</v>
      </c>
      <c r="L258" s="7" t="n">
        <v>159.7</v>
      </c>
      <c r="M258" s="7" t="n">
        <v>0</v>
      </c>
      <c r="N258" s="7" t="n">
        <v>1708.5</v>
      </c>
      <c r="O258" s="7" t="n">
        <v>0</v>
      </c>
      <c r="P258" s="7" t="n">
        <v>598.8</v>
      </c>
      <c r="Q258" s="7" t="n">
        <v>0</v>
      </c>
      <c r="R258" s="7" t="n">
        <v>98.5</v>
      </c>
      <c r="S258" s="7" t="n">
        <v>0</v>
      </c>
      <c r="T258" s="7" t="n">
        <v>212.6</v>
      </c>
      <c r="U258" s="7" t="n">
        <v>0</v>
      </c>
      <c r="V258" s="7" t="n">
        <v>1290.6</v>
      </c>
      <c r="W258" s="7" t="n">
        <v>0</v>
      </c>
      <c r="X258" s="7" t="n">
        <v>941.7</v>
      </c>
      <c r="Y258" s="7" t="n">
        <v>0</v>
      </c>
      <c r="Z258" s="7" t="n">
        <v>44.1</v>
      </c>
      <c r="AA258" s="7" t="n">
        <v>0</v>
      </c>
      <c r="AB258" s="7" t="n">
        <v>12800.9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617278</v>
      </c>
      <c r="D259" s="7" t="n">
        <v>499428</v>
      </c>
      <c r="E259" s="7" t="n">
        <v>599279.3</v>
      </c>
      <c r="F259" s="7" t="n">
        <v>520489.7</v>
      </c>
      <c r="G259" s="7" t="n">
        <v>621926.7</v>
      </c>
      <c r="H259" s="7" t="n">
        <v>336306.4</v>
      </c>
      <c r="I259" s="7" t="n">
        <v>618294</v>
      </c>
      <c r="J259" s="7" t="n">
        <v>449763.3</v>
      </c>
      <c r="K259" s="7" t="n">
        <v>671316.3</v>
      </c>
      <c r="L259" s="7" t="n">
        <v>631742.5</v>
      </c>
      <c r="M259" s="7" t="n">
        <v>589078.5</v>
      </c>
      <c r="N259" s="7" t="n">
        <v>1088163.2</v>
      </c>
      <c r="O259" s="7" t="n">
        <v>538143.6</v>
      </c>
      <c r="P259" s="7" t="n">
        <v>1057809.4</v>
      </c>
      <c r="Q259" s="7" t="n">
        <v>560938.5</v>
      </c>
      <c r="R259" s="7" t="n">
        <v>475505.7</v>
      </c>
      <c r="S259" s="7" t="n">
        <v>687896.3</v>
      </c>
      <c r="T259" s="7" t="n">
        <v>668851.1</v>
      </c>
      <c r="U259" s="7" t="n">
        <v>653308.2</v>
      </c>
      <c r="V259" s="7" t="n">
        <v>828609.8</v>
      </c>
      <c r="W259" s="7" t="n">
        <v>589313.5</v>
      </c>
      <c r="X259" s="7" t="n">
        <v>423761.4</v>
      </c>
      <c r="Y259" s="7" t="n">
        <v>647266.1</v>
      </c>
      <c r="Z259" s="7" t="n">
        <v>279912.3</v>
      </c>
      <c r="AA259" s="8" t="n">
        <v>7394039</v>
      </c>
      <c r="AB259" s="8" t="n">
        <v>7260342.8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172100.5</v>
      </c>
      <c r="D260" s="7" t="n">
        <v>124857</v>
      </c>
      <c r="E260" s="7" t="n">
        <v>164554.1</v>
      </c>
      <c r="F260" s="7" t="n">
        <v>130122.4</v>
      </c>
      <c r="G260" s="7" t="n">
        <v>151922.8</v>
      </c>
      <c r="H260" s="7" t="n">
        <v>84076.60000000001</v>
      </c>
      <c r="I260" s="7" t="n">
        <v>134978.1</v>
      </c>
      <c r="J260" s="7" t="n">
        <v>112440.8</v>
      </c>
      <c r="K260" s="7" t="n">
        <v>150083.5</v>
      </c>
      <c r="L260" s="7" t="n">
        <v>157935.6</v>
      </c>
      <c r="M260" s="7" t="n">
        <v>165086.9</v>
      </c>
      <c r="N260" s="7" t="n">
        <v>272040.8</v>
      </c>
      <c r="O260" s="7" t="n">
        <v>165366.6</v>
      </c>
      <c r="P260" s="7" t="n">
        <v>264452.3</v>
      </c>
      <c r="Q260" s="7" t="n">
        <v>132318.6</v>
      </c>
      <c r="R260" s="7" t="n">
        <v>118876.4</v>
      </c>
      <c r="S260" s="7" t="n">
        <v>169485</v>
      </c>
      <c r="T260" s="7" t="n">
        <v>167212.8</v>
      </c>
      <c r="U260" s="7" t="n">
        <v>161483</v>
      </c>
      <c r="V260" s="7" t="n">
        <v>207152.5</v>
      </c>
      <c r="W260" s="7" t="n">
        <v>131777.8</v>
      </c>
      <c r="X260" s="7" t="n">
        <v>105940.4</v>
      </c>
      <c r="Y260" s="7" t="n">
        <v>140267.6</v>
      </c>
      <c r="Z260" s="7" t="n">
        <v>69978.10000000001</v>
      </c>
      <c r="AA260" s="7" t="n">
        <v>1839424.5</v>
      </c>
      <c r="AB260" s="7" t="n">
        <v>1815085.7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330371.8</v>
      </c>
      <c r="D261" s="7" t="n">
        <v>374571</v>
      </c>
      <c r="E261" s="7" t="n">
        <v>406478</v>
      </c>
      <c r="F261" s="7" t="n">
        <v>390367.3</v>
      </c>
      <c r="G261" s="7" t="n">
        <v>346951.8</v>
      </c>
      <c r="H261" s="7" t="n">
        <v>252229.8</v>
      </c>
      <c r="I261" s="7" t="n">
        <v>326090.2</v>
      </c>
      <c r="J261" s="7" t="n">
        <v>337322.5</v>
      </c>
      <c r="K261" s="7" t="n">
        <v>320324.4</v>
      </c>
      <c r="L261" s="7" t="n">
        <v>473806.9</v>
      </c>
      <c r="M261" s="7" t="n">
        <v>269279.1</v>
      </c>
      <c r="N261" s="7" t="n">
        <v>816122.4</v>
      </c>
      <c r="O261" s="7" t="n">
        <v>242773</v>
      </c>
      <c r="P261" s="7" t="n">
        <v>793357.1</v>
      </c>
      <c r="Q261" s="7" t="n">
        <v>420099.9</v>
      </c>
      <c r="R261" s="7" t="n">
        <v>356629.3</v>
      </c>
      <c r="S261" s="7" t="n">
        <v>327750.9</v>
      </c>
      <c r="T261" s="7" t="n">
        <v>501638.3</v>
      </c>
      <c r="U261" s="7" t="n">
        <v>396391.9</v>
      </c>
      <c r="V261" s="7" t="n">
        <v>621457.3</v>
      </c>
      <c r="W261" s="7" t="n">
        <v>312399.4</v>
      </c>
      <c r="X261" s="7" t="n">
        <v>317821</v>
      </c>
      <c r="Y261" s="7" t="n">
        <v>247298.5</v>
      </c>
      <c r="Z261" s="7" t="n">
        <v>209934.2</v>
      </c>
      <c r="AA261" s="8" t="n">
        <v>3946208.9</v>
      </c>
      <c r="AB261" s="8" t="n">
        <v>5445257.1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5102.1</v>
      </c>
      <c r="E262" s="7" t="n">
        <v>0</v>
      </c>
      <c r="F262" s="7" t="n">
        <v>41198.8</v>
      </c>
      <c r="G262" s="7" t="n">
        <v>0</v>
      </c>
      <c r="H262" s="7" t="n">
        <v>42486.6</v>
      </c>
      <c r="I262" s="7" t="n">
        <v>0</v>
      </c>
      <c r="J262" s="7" t="n">
        <v>61808.3</v>
      </c>
      <c r="K262" s="7" t="n">
        <v>0</v>
      </c>
      <c r="L262" s="7" t="n">
        <v>31524.1</v>
      </c>
      <c r="M262" s="7" t="n">
        <v>0</v>
      </c>
      <c r="N262" s="7" t="n">
        <v>44848.2</v>
      </c>
      <c r="O262" s="7" t="n">
        <v>0</v>
      </c>
      <c r="P262" s="7" t="n">
        <v>111452.1</v>
      </c>
      <c r="Q262" s="7" t="n">
        <v>0</v>
      </c>
      <c r="R262" s="7" t="n">
        <v>31751.1</v>
      </c>
      <c r="S262" s="7" t="n">
        <v>0</v>
      </c>
      <c r="T262" s="7" t="n">
        <v>146100.2</v>
      </c>
      <c r="U262" s="7" t="n">
        <v>0</v>
      </c>
      <c r="V262" s="7" t="n">
        <v>146105.5</v>
      </c>
      <c r="W262" s="7" t="n">
        <v>0</v>
      </c>
      <c r="X262" s="7" t="n">
        <v>69447.60000000001</v>
      </c>
      <c r="Y262" s="7" t="n">
        <v>0</v>
      </c>
      <c r="Z262" s="7" t="n">
        <v>27575.9</v>
      </c>
      <c r="AA262" s="7" t="n">
        <v>0</v>
      </c>
      <c r="AB262" s="7" t="n">
        <v>759400.5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330371.8</v>
      </c>
      <c r="D263" s="7" t="n">
        <v>369468.9</v>
      </c>
      <c r="E263" s="7" t="n">
        <v>406478</v>
      </c>
      <c r="F263" s="7" t="n">
        <v>349168.5</v>
      </c>
      <c r="G263" s="7" t="n">
        <v>346951.8</v>
      </c>
      <c r="H263" s="7" t="n">
        <v>209743.2</v>
      </c>
      <c r="I263" s="7" t="n">
        <v>326090.2</v>
      </c>
      <c r="J263" s="7" t="n">
        <v>275514.2</v>
      </c>
      <c r="K263" s="7" t="n">
        <v>320324.4</v>
      </c>
      <c r="L263" s="7" t="n">
        <v>442282.8</v>
      </c>
      <c r="M263" s="7" t="n">
        <v>269279.1</v>
      </c>
      <c r="N263" s="7" t="n">
        <v>771274.2</v>
      </c>
      <c r="O263" s="7" t="n">
        <v>242773</v>
      </c>
      <c r="P263" s="7" t="n">
        <v>681905</v>
      </c>
      <c r="Q263" s="7" t="n">
        <v>420099.9</v>
      </c>
      <c r="R263" s="7" t="n">
        <v>324878.2</v>
      </c>
      <c r="S263" s="7" t="n">
        <v>327750.9</v>
      </c>
      <c r="T263" s="7" t="n">
        <v>355538.1</v>
      </c>
      <c r="U263" s="7" t="n">
        <v>396391.9</v>
      </c>
      <c r="V263" s="7" t="n">
        <v>475351.8</v>
      </c>
      <c r="W263" s="7" t="n">
        <v>312399.4</v>
      </c>
      <c r="X263" s="7" t="n">
        <v>248373.4</v>
      </c>
      <c r="Y263" s="7" t="n">
        <v>247298.5</v>
      </c>
      <c r="Z263" s="7" t="n">
        <v>182358.3</v>
      </c>
      <c r="AA263" s="8" t="n">
        <v>3946208.9</v>
      </c>
      <c r="AB263" s="8" t="n">
        <v>4685856.6</v>
      </c>
    </row>
    <row r="264">
      <c r="A264" s="4" t="inlineStr">
        <is>
          <t>净利率</t>
        </is>
      </c>
      <c r="D264" s="13" t="n">
        <v>10.9</v>
      </c>
      <c r="F264" s="13" t="n">
        <v>10</v>
      </c>
      <c r="H264" s="13" t="n">
        <v>4.9</v>
      </c>
      <c r="J264" s="13" t="n">
        <v>6</v>
      </c>
      <c r="L264" s="13" t="n">
        <v>7.4</v>
      </c>
      <c r="N264" s="13" t="n">
        <v>11.1</v>
      </c>
      <c r="P264" s="13" t="n">
        <v>11.5</v>
      </c>
      <c r="R264" s="13" t="n">
        <v>6.1</v>
      </c>
      <c r="T264" s="13" t="n">
        <v>9.1</v>
      </c>
      <c r="V264" s="13" t="n">
        <v>9.9</v>
      </c>
      <c r="X264" s="13" t="n">
        <v>6.6</v>
      </c>
      <c r="Z264" s="13" t="n">
        <v>5.3</v>
      </c>
    </row>
    <row r="265">
      <c r="A265" s="4" t="inlineStr">
        <is>
          <t>销售达成率</t>
        </is>
      </c>
      <c r="D265" s="13" t="n">
        <v>70.59999999999999</v>
      </c>
      <c r="F265" s="13" t="n">
        <v>77.90000000000001</v>
      </c>
      <c r="H265" s="13" t="n">
        <v>105.4</v>
      </c>
      <c r="J265" s="13" t="n">
        <v>100.7</v>
      </c>
      <c r="L265" s="13" t="n">
        <v>108.7</v>
      </c>
      <c r="N265" s="13" t="n">
        <v>148</v>
      </c>
      <c r="P265" s="13" t="n">
        <v>137.4</v>
      </c>
      <c r="R265" s="13" t="n">
        <v>107.4</v>
      </c>
      <c r="T265" s="13" t="n">
        <v>94.2</v>
      </c>
      <c r="V265" s="13" t="n">
        <v>100.3</v>
      </c>
      <c r="X265" s="13" t="n">
        <v>87</v>
      </c>
      <c r="Z265" s="13" t="n">
        <v>77.59999999999999</v>
      </c>
    </row>
    <row r="266">
      <c r="A266" s="4" t="inlineStr">
        <is>
          <t>净利达成率</t>
        </is>
      </c>
      <c r="D266" s="13" t="n">
        <v>113.4</v>
      </c>
      <c r="F266" s="13" t="n">
        <v>96</v>
      </c>
      <c r="H266" s="13" t="n">
        <v>72.7</v>
      </c>
      <c r="J266" s="13" t="n">
        <v>103.4</v>
      </c>
      <c r="L266" s="13" t="n">
        <v>147.9</v>
      </c>
      <c r="N266" s="13" t="n">
        <v>303.1</v>
      </c>
      <c r="P266" s="13" t="n">
        <v>326.8</v>
      </c>
      <c r="R266" s="13" t="n">
        <v>84.90000000000001</v>
      </c>
      <c r="T266" s="13" t="n">
        <v>153.1</v>
      </c>
      <c r="V266" s="13" t="n">
        <v>156.8</v>
      </c>
      <c r="X266" s="13" t="n">
        <v>101.7</v>
      </c>
      <c r="Z266" s="13" t="n">
        <v>84.90000000000001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赣皖区域利润表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3388987.7</v>
      </c>
      <c r="D6" s="7" t="n">
        <v>2003412.4</v>
      </c>
      <c r="E6" s="7" t="n">
        <v>3767369.7</v>
      </c>
      <c r="F6" s="7" t="n">
        <v>2613904.7</v>
      </c>
      <c r="G6" s="7" t="n">
        <v>3721567.7</v>
      </c>
      <c r="H6" s="7" t="n">
        <v>3214180.6</v>
      </c>
      <c r="I6" s="7" t="n">
        <v>3937316.9</v>
      </c>
      <c r="J6" s="7" t="n">
        <v>3669216.3</v>
      </c>
      <c r="K6" s="7" t="n">
        <v>3937932.4</v>
      </c>
      <c r="L6" s="7" t="n">
        <v>3942803.2</v>
      </c>
      <c r="M6" s="7" t="n">
        <v>3945412.4</v>
      </c>
      <c r="N6" s="7" t="n">
        <v>4313189.3</v>
      </c>
      <c r="O6" s="7" t="n">
        <v>3433272.7</v>
      </c>
      <c r="P6" s="7" t="n">
        <v>4794328.2</v>
      </c>
      <c r="Q6" s="7" t="n">
        <v>3365588.8</v>
      </c>
      <c r="R6" s="7" t="n">
        <v>4104682.5</v>
      </c>
      <c r="S6" s="7" t="n">
        <v>3795162.9</v>
      </c>
      <c r="T6" s="7" t="n">
        <v>3530699.7</v>
      </c>
      <c r="U6" s="7" t="n">
        <v>3838631.8</v>
      </c>
      <c r="V6" s="7" t="n">
        <v>4452545.8</v>
      </c>
      <c r="W6" s="7" t="n">
        <v>3959345.8</v>
      </c>
      <c r="X6" s="7" t="n">
        <v>3368165.9</v>
      </c>
      <c r="Y6" s="7" t="n">
        <v>3065610.6</v>
      </c>
      <c r="Z6" s="7" t="n">
        <v>2553420.6</v>
      </c>
      <c r="AA6" s="8" t="n">
        <v>44156199.4</v>
      </c>
      <c r="AB6" s="8" t="n">
        <v>42560549.2</v>
      </c>
    </row>
    <row r="7">
      <c r="A7" s="4" t="inlineStr">
        <is>
          <t>中式汤底</t>
        </is>
      </c>
      <c r="D7" s="7" t="n">
        <v>136310</v>
      </c>
      <c r="F7" s="7" t="n">
        <v>170470.6</v>
      </c>
      <c r="H7" s="7" t="n">
        <v>201539.9</v>
      </c>
      <c r="J7" s="7" t="n">
        <v>275503.7</v>
      </c>
      <c r="L7" s="7" t="n">
        <v>258795.6</v>
      </c>
      <c r="N7" s="7" t="n">
        <v>310841.2</v>
      </c>
      <c r="P7" s="7" t="n">
        <v>393038.2</v>
      </c>
      <c r="R7" s="7" t="n">
        <v>268062</v>
      </c>
      <c r="T7" s="7" t="n">
        <v>275853.9</v>
      </c>
      <c r="V7" s="7" t="n">
        <v>373893.9</v>
      </c>
      <c r="X7" s="7" t="n">
        <v>210347</v>
      </c>
      <c r="Z7" s="7" t="n">
        <v>159609.9</v>
      </c>
      <c r="AB7" s="7" t="n">
        <v>3034265.9</v>
      </c>
    </row>
    <row r="8">
      <c r="A8" s="4" t="inlineStr">
        <is>
          <t>酱料</t>
        </is>
      </c>
      <c r="D8" s="7" t="n">
        <v>139389</v>
      </c>
      <c r="F8" s="7" t="n">
        <v>210621.7</v>
      </c>
      <c r="H8" s="7" t="n">
        <v>232970.8</v>
      </c>
      <c r="J8" s="7" t="n">
        <v>313552.8</v>
      </c>
      <c r="L8" s="7" t="n">
        <v>342917.2</v>
      </c>
      <c r="N8" s="7" t="n">
        <v>388073.4</v>
      </c>
      <c r="P8" s="7" t="n">
        <v>401314.5</v>
      </c>
      <c r="R8" s="7" t="n">
        <v>309453.9</v>
      </c>
      <c r="T8" s="7" t="n">
        <v>307131.8</v>
      </c>
      <c r="V8" s="7" t="n">
        <v>393475</v>
      </c>
      <c r="X8" s="7" t="n">
        <v>226126.9</v>
      </c>
      <c r="Z8" s="7" t="n">
        <v>223219.8</v>
      </c>
      <c r="AB8" s="7" t="n">
        <v>3488246.8</v>
      </c>
    </row>
    <row r="9">
      <c r="A9" s="4" t="inlineStr">
        <is>
          <t>川味底料</t>
        </is>
      </c>
      <c r="D9" s="7" t="n">
        <v>278475.8</v>
      </c>
      <c r="F9" s="7" t="n">
        <v>412884.2</v>
      </c>
      <c r="H9" s="7" t="n">
        <v>491670.2</v>
      </c>
      <c r="J9" s="7" t="n">
        <v>454532.5</v>
      </c>
      <c r="L9" s="7" t="n">
        <v>584481.4</v>
      </c>
      <c r="N9" s="7" t="n">
        <v>589989.3</v>
      </c>
      <c r="P9" s="7" t="n">
        <v>841249.3</v>
      </c>
      <c r="R9" s="7" t="n">
        <v>618889.1</v>
      </c>
      <c r="T9" s="7" t="n">
        <v>655343</v>
      </c>
      <c r="V9" s="7" t="n">
        <v>595008.1</v>
      </c>
      <c r="X9" s="7" t="n">
        <v>541967.7</v>
      </c>
      <c r="Z9" s="7" t="n">
        <v>405509.1</v>
      </c>
      <c r="AB9" s="7" t="n">
        <v>6469999.7</v>
      </c>
    </row>
    <row r="10">
      <c r="A10" s="4" t="inlineStr">
        <is>
          <t>调味汁</t>
        </is>
      </c>
      <c r="D10" s="7" t="n">
        <v>259163.7</v>
      </c>
      <c r="F10" s="7" t="n">
        <v>291410.6</v>
      </c>
      <c r="H10" s="7" t="n">
        <v>353053.4</v>
      </c>
      <c r="J10" s="7" t="n">
        <v>446108</v>
      </c>
      <c r="L10" s="7" t="n">
        <v>428172.8</v>
      </c>
      <c r="N10" s="7" t="n">
        <v>458760.1</v>
      </c>
      <c r="P10" s="7" t="n">
        <v>611093.3</v>
      </c>
      <c r="R10" s="7" t="n">
        <v>451149.4</v>
      </c>
      <c r="T10" s="7" t="n">
        <v>388157</v>
      </c>
      <c r="V10" s="7" t="n">
        <v>482008.1</v>
      </c>
      <c r="X10" s="7" t="n">
        <v>449311.4</v>
      </c>
      <c r="Z10" s="7" t="n">
        <v>297359.6</v>
      </c>
      <c r="AB10" s="7" t="n">
        <v>4915747.4</v>
      </c>
    </row>
    <row r="11">
      <c r="A11" s="4" t="inlineStr">
        <is>
          <t>复合调味粉</t>
        </is>
      </c>
      <c r="D11" s="7" t="n">
        <v>240897.8</v>
      </c>
      <c r="F11" s="7" t="n">
        <v>312418.9</v>
      </c>
      <c r="H11" s="7" t="n">
        <v>337139.3</v>
      </c>
      <c r="J11" s="7" t="n">
        <v>497696.8</v>
      </c>
      <c r="L11" s="7" t="n">
        <v>504565</v>
      </c>
      <c r="N11" s="7" t="n">
        <v>606512.7</v>
      </c>
      <c r="P11" s="7" t="n">
        <v>494877.2</v>
      </c>
      <c r="R11" s="7" t="n">
        <v>476999.6</v>
      </c>
      <c r="T11" s="7" t="n">
        <v>355840.1</v>
      </c>
      <c r="V11" s="7" t="n">
        <v>594228.6</v>
      </c>
      <c r="X11" s="7" t="n">
        <v>323967.4</v>
      </c>
      <c r="Z11" s="7" t="n">
        <v>297302.1</v>
      </c>
      <c r="AB11" s="7" t="n">
        <v>5042445.5</v>
      </c>
    </row>
    <row r="12">
      <c r="A12" s="4" t="inlineStr">
        <is>
          <t>团餐</t>
        </is>
      </c>
      <c r="D12" s="7" t="n">
        <v>442196.7</v>
      </c>
      <c r="F12" s="7" t="n">
        <v>676290.9</v>
      </c>
      <c r="H12" s="7" t="n">
        <v>744357.7</v>
      </c>
      <c r="J12" s="7" t="n">
        <v>947205.5</v>
      </c>
      <c r="L12" s="7" t="n">
        <v>1026755.8</v>
      </c>
      <c r="N12" s="7" t="n">
        <v>885491.3</v>
      </c>
      <c r="P12" s="7" t="n">
        <v>1017732.7</v>
      </c>
      <c r="R12" s="7" t="n">
        <v>894248.9</v>
      </c>
      <c r="T12" s="7" t="n">
        <v>740046.3</v>
      </c>
      <c r="V12" s="7" t="n">
        <v>1006354.1</v>
      </c>
      <c r="X12" s="7" t="n">
        <v>726378.1</v>
      </c>
      <c r="Z12" s="7" t="n">
        <v>576066.5</v>
      </c>
      <c r="AB12" s="7" t="n">
        <v>9683124.5</v>
      </c>
    </row>
    <row r="13">
      <c r="A13" s="4" t="inlineStr">
        <is>
          <t>预制菜</t>
        </is>
      </c>
      <c r="D13" s="7" t="n">
        <v>526237.8</v>
      </c>
      <c r="F13" s="7" t="n">
        <v>560440.6</v>
      </c>
      <c r="H13" s="7" t="n">
        <v>837172</v>
      </c>
      <c r="J13" s="7" t="n">
        <v>770209.9</v>
      </c>
      <c r="L13" s="7" t="n">
        <v>775192.6</v>
      </c>
      <c r="N13" s="7" t="n">
        <v>1119427.8</v>
      </c>
      <c r="P13" s="7" t="n">
        <v>1069643.6</v>
      </c>
      <c r="R13" s="7" t="n">
        <v>1069960.9</v>
      </c>
      <c r="T13" s="7" t="n">
        <v>860476</v>
      </c>
      <c r="V13" s="7" t="n">
        <v>1035452.2</v>
      </c>
      <c r="X13" s="7" t="n">
        <v>890615.1</v>
      </c>
      <c r="Z13" s="7" t="n">
        <v>589051.6</v>
      </c>
      <c r="AB13" s="7" t="n">
        <v>10103880.1</v>
      </c>
    </row>
    <row r="14">
      <c r="A14" s="4" t="inlineStr">
        <is>
          <t>返利</t>
        </is>
      </c>
      <c r="D14" s="7" t="n">
        <v>-41425</v>
      </c>
      <c r="F14" s="7" t="n">
        <v>-72782.2</v>
      </c>
      <c r="H14" s="7" t="n">
        <v>-47454.1</v>
      </c>
      <c r="J14" s="7" t="n">
        <v>-101612.3</v>
      </c>
      <c r="L14" s="7" t="n">
        <v>-51080</v>
      </c>
      <c r="N14" s="7" t="n">
        <v>-89792.10000000001</v>
      </c>
      <c r="P14" s="7" t="n">
        <v>-87465</v>
      </c>
      <c r="R14" s="7" t="n">
        <v>-63213</v>
      </c>
      <c r="T14" s="7" t="n">
        <v>-74929.5</v>
      </c>
      <c r="V14" s="7" t="n">
        <v>-48291.6</v>
      </c>
      <c r="X14" s="7" t="n">
        <v>-62608.7</v>
      </c>
      <c r="Z14" s="7" t="n">
        <v>-35355.5</v>
      </c>
      <c r="AB14" s="7" t="n">
        <v>-776009</v>
      </c>
    </row>
    <row r="15">
      <c r="A15" s="4" t="inlineStr">
        <is>
          <t>其他</t>
        </is>
      </c>
      <c r="D15" s="7" t="n">
        <v>22166.6</v>
      </c>
      <c r="F15" s="7" t="n">
        <v>52149.4</v>
      </c>
      <c r="H15" s="7" t="n">
        <v>63731.4</v>
      </c>
      <c r="J15" s="7" t="n">
        <v>66019.39999999999</v>
      </c>
      <c r="L15" s="7" t="n">
        <v>73002.8</v>
      </c>
      <c r="N15" s="7" t="n">
        <v>43885.6</v>
      </c>
      <c r="P15" s="7" t="n">
        <v>52844.4</v>
      </c>
      <c r="R15" s="7" t="n">
        <v>79131.7</v>
      </c>
      <c r="T15" s="7" t="n">
        <v>22781.1</v>
      </c>
      <c r="V15" s="7" t="n">
        <v>20417.4</v>
      </c>
      <c r="X15" s="7" t="n">
        <v>62061</v>
      </c>
      <c r="Z15" s="7" t="n">
        <v>40657.5</v>
      </c>
      <c r="AB15" s="7" t="n">
        <v>598848.3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2372425.2</v>
      </c>
      <c r="D16" s="7" t="n">
        <v>1431523.1</v>
      </c>
      <c r="E16" s="7" t="n">
        <v>2381199.8</v>
      </c>
      <c r="F16" s="7" t="n">
        <v>1868663.5</v>
      </c>
      <c r="G16" s="7" t="n">
        <v>2405658.4</v>
      </c>
      <c r="H16" s="7" t="n">
        <v>2242954</v>
      </c>
      <c r="I16" s="7" t="n">
        <v>2263365.4</v>
      </c>
      <c r="J16" s="7" t="n">
        <v>2546844.2</v>
      </c>
      <c r="K16" s="7" t="n">
        <v>2246075.3</v>
      </c>
      <c r="L16" s="7" t="n">
        <v>2679927.3</v>
      </c>
      <c r="M16" s="7" t="n">
        <v>2724079.1</v>
      </c>
      <c r="N16" s="7" t="n">
        <v>3040155.7</v>
      </c>
      <c r="O16" s="7" t="n">
        <v>2552363.6</v>
      </c>
      <c r="P16" s="7" t="n">
        <v>3378132.5</v>
      </c>
      <c r="Q16" s="7" t="n">
        <v>2512727.7</v>
      </c>
      <c r="R16" s="7" t="n">
        <v>2870231.7</v>
      </c>
      <c r="S16" s="7" t="n">
        <v>2358177.2</v>
      </c>
      <c r="T16" s="7" t="n">
        <v>2493387.5</v>
      </c>
      <c r="U16" s="7" t="n">
        <v>2680148</v>
      </c>
      <c r="V16" s="7" t="n">
        <v>3077060.4</v>
      </c>
      <c r="W16" s="7" t="n">
        <v>2189752.5</v>
      </c>
      <c r="X16" s="7" t="n">
        <v>2362578.9</v>
      </c>
      <c r="Y16" s="7" t="n">
        <v>2477386.3</v>
      </c>
      <c r="Z16" s="7" t="n">
        <v>1796295</v>
      </c>
      <c r="AA16" s="8" t="n">
        <v>29163358.5</v>
      </c>
      <c r="AB16" s="8" t="n">
        <v>29787753.8</v>
      </c>
    </row>
    <row r="17">
      <c r="A17" s="4" t="inlineStr">
        <is>
          <t>中式汤底</t>
        </is>
      </c>
      <c r="D17" s="7" t="n">
        <v>87427.3</v>
      </c>
      <c r="F17" s="7" t="n">
        <v>109337.4</v>
      </c>
      <c r="H17" s="7" t="n">
        <v>129264.8</v>
      </c>
      <c r="J17" s="7" t="n">
        <v>176704.1</v>
      </c>
      <c r="L17" s="7" t="n">
        <v>165987.8</v>
      </c>
      <c r="N17" s="7" t="n">
        <v>199369.1</v>
      </c>
      <c r="P17" s="7" t="n">
        <v>252089</v>
      </c>
      <c r="R17" s="7" t="n">
        <v>171931.1</v>
      </c>
      <c r="T17" s="7" t="n">
        <v>176928.7</v>
      </c>
      <c r="V17" s="7" t="n">
        <v>239810.2</v>
      </c>
      <c r="X17" s="7" t="n">
        <v>134913.5</v>
      </c>
      <c r="Z17" s="7" t="n">
        <v>102371.5</v>
      </c>
      <c r="AB17" s="7" t="n">
        <v>1946134.5</v>
      </c>
    </row>
    <row r="18">
      <c r="A18" s="4" t="inlineStr">
        <is>
          <t>酱料</t>
        </is>
      </c>
      <c r="D18" s="7" t="n">
        <v>96804.10000000001</v>
      </c>
      <c r="F18" s="7" t="n">
        <v>146274.4</v>
      </c>
      <c r="H18" s="7" t="n">
        <v>161795.6</v>
      </c>
      <c r="J18" s="7" t="n">
        <v>217758.9</v>
      </c>
      <c r="L18" s="7" t="n">
        <v>238152.1</v>
      </c>
      <c r="N18" s="7" t="n">
        <v>269512.6</v>
      </c>
      <c r="P18" s="7" t="n">
        <v>278708.4</v>
      </c>
      <c r="R18" s="7" t="n">
        <v>214912.3</v>
      </c>
      <c r="T18" s="7" t="n">
        <v>213299.6</v>
      </c>
      <c r="V18" s="7" t="n">
        <v>273264</v>
      </c>
      <c r="X18" s="7" t="n">
        <v>157042.6</v>
      </c>
      <c r="Z18" s="7" t="n">
        <v>155023.6</v>
      </c>
      <c r="AB18" s="7" t="n">
        <v>2422548.2</v>
      </c>
    </row>
    <row r="19">
      <c r="A19" s="4" t="inlineStr">
        <is>
          <t>川味底料</t>
        </is>
      </c>
      <c r="D19" s="7" t="n">
        <v>175995.5</v>
      </c>
      <c r="F19" s="7" t="n">
        <v>260941</v>
      </c>
      <c r="H19" s="7" t="n">
        <v>310733.5</v>
      </c>
      <c r="J19" s="7" t="n">
        <v>287262.6</v>
      </c>
      <c r="L19" s="7" t="n">
        <v>369389.7</v>
      </c>
      <c r="N19" s="7" t="n">
        <v>372870.7</v>
      </c>
      <c r="P19" s="7" t="n">
        <v>531666</v>
      </c>
      <c r="R19" s="7" t="n">
        <v>391135.3</v>
      </c>
      <c r="T19" s="7" t="n">
        <v>414174</v>
      </c>
      <c r="V19" s="7" t="n">
        <v>376042.6</v>
      </c>
      <c r="X19" s="7" t="n">
        <v>342521.3</v>
      </c>
      <c r="Z19" s="7" t="n">
        <v>256280</v>
      </c>
      <c r="AB19" s="7" t="n">
        <v>4089012.2</v>
      </c>
    </row>
    <row r="20">
      <c r="A20" s="4" t="inlineStr">
        <is>
          <t>调味汁</t>
        </is>
      </c>
      <c r="D20" s="7" t="n">
        <v>176479.1</v>
      </c>
      <c r="F20" s="7" t="n">
        <v>198437.9</v>
      </c>
      <c r="H20" s="7" t="n">
        <v>240413.9</v>
      </c>
      <c r="J20" s="7" t="n">
        <v>303780</v>
      </c>
      <c r="L20" s="7" t="n">
        <v>291567</v>
      </c>
      <c r="N20" s="7" t="n">
        <v>312395.6</v>
      </c>
      <c r="P20" s="7" t="n">
        <v>416127.8</v>
      </c>
      <c r="R20" s="7" t="n">
        <v>307213</v>
      </c>
      <c r="T20" s="7" t="n">
        <v>264317.9</v>
      </c>
      <c r="V20" s="7" t="n">
        <v>328226.4</v>
      </c>
      <c r="X20" s="7" t="n">
        <v>305961.4</v>
      </c>
      <c r="Z20" s="7" t="n">
        <v>202488.9</v>
      </c>
      <c r="AB20" s="7" t="n">
        <v>3347408.9</v>
      </c>
    </row>
    <row r="21">
      <c r="A21" s="4" t="inlineStr">
        <is>
          <t>复合调味粉</t>
        </is>
      </c>
      <c r="D21" s="7" t="n">
        <v>139930.8</v>
      </c>
      <c r="F21" s="7" t="n">
        <v>181475.5</v>
      </c>
      <c r="H21" s="7" t="n">
        <v>195834.9</v>
      </c>
      <c r="J21" s="7" t="n">
        <v>289098.3</v>
      </c>
      <c r="L21" s="7" t="n">
        <v>293087.8</v>
      </c>
      <c r="N21" s="7" t="n">
        <v>352306.4</v>
      </c>
      <c r="P21" s="7" t="n">
        <v>287460.4</v>
      </c>
      <c r="R21" s="7" t="n">
        <v>277075.8</v>
      </c>
      <c r="T21" s="7" t="n">
        <v>206697.6</v>
      </c>
      <c r="V21" s="7" t="n">
        <v>345170.9</v>
      </c>
      <c r="X21" s="7" t="n">
        <v>188183.7</v>
      </c>
      <c r="Z21" s="7" t="n">
        <v>172694.5</v>
      </c>
      <c r="AB21" s="7" t="n">
        <v>2929016.6</v>
      </c>
    </row>
    <row r="22">
      <c r="A22" s="4" t="inlineStr">
        <is>
          <t>团餐</t>
        </is>
      </c>
      <c r="D22" s="7" t="n">
        <v>284729.6</v>
      </c>
      <c r="F22" s="7" t="n">
        <v>435462.4</v>
      </c>
      <c r="H22" s="7" t="n">
        <v>479290.5</v>
      </c>
      <c r="J22" s="7" t="n">
        <v>609903.8</v>
      </c>
      <c r="L22" s="7" t="n">
        <v>661126.1</v>
      </c>
      <c r="N22" s="7" t="n">
        <v>570166.2</v>
      </c>
      <c r="P22" s="7" t="n">
        <v>655316.2</v>
      </c>
      <c r="R22" s="7" t="n">
        <v>575805.2</v>
      </c>
      <c r="T22" s="7" t="n">
        <v>476514.4</v>
      </c>
      <c r="V22" s="7" t="n">
        <v>647989.5</v>
      </c>
      <c r="X22" s="7" t="n">
        <v>467713.5</v>
      </c>
      <c r="Z22" s="7" t="n">
        <v>370928.1</v>
      </c>
      <c r="AB22" s="7" t="n">
        <v>6234945.5</v>
      </c>
    </row>
    <row r="23">
      <c r="A23" s="4" t="inlineStr">
        <is>
          <t>预制菜</t>
        </is>
      </c>
      <c r="D23" s="7" t="n">
        <v>391437.1</v>
      </c>
      <c r="F23" s="7" t="n">
        <v>416878.5</v>
      </c>
      <c r="H23" s="7" t="n">
        <v>622722.6</v>
      </c>
      <c r="J23" s="7" t="n">
        <v>572913.5</v>
      </c>
      <c r="L23" s="7" t="n">
        <v>576619.8</v>
      </c>
      <c r="N23" s="7" t="n">
        <v>832676</v>
      </c>
      <c r="P23" s="7" t="n">
        <v>795644.5</v>
      </c>
      <c r="R23" s="7" t="n">
        <v>795880.5</v>
      </c>
      <c r="T23" s="7" t="n">
        <v>640057.1</v>
      </c>
      <c r="V23" s="7" t="n">
        <v>770211.5</v>
      </c>
      <c r="X23" s="7" t="n">
        <v>662475.8</v>
      </c>
      <c r="Z23" s="7" t="n">
        <v>438160.6</v>
      </c>
      <c r="AB23" s="7" t="n">
        <v>7515677.5</v>
      </c>
    </row>
    <row r="24">
      <c r="A24" s="4" t="inlineStr">
        <is>
          <t>其他</t>
        </is>
      </c>
      <c r="D24" s="7" t="n">
        <v>18934.8</v>
      </c>
      <c r="F24" s="7" t="n">
        <v>25554.3</v>
      </c>
      <c r="H24" s="7" t="n">
        <v>28509.1</v>
      </c>
      <c r="J24" s="7" t="n">
        <v>29493.4</v>
      </c>
      <c r="L24" s="7" t="n">
        <v>46180.7</v>
      </c>
      <c r="N24" s="7" t="n">
        <v>5802.9</v>
      </c>
      <c r="P24" s="7" t="n">
        <v>5361.8</v>
      </c>
      <c r="R24" s="7" t="n">
        <v>5474.3</v>
      </c>
      <c r="T24" s="7" t="n">
        <v>37262.8</v>
      </c>
      <c r="V24" s="7" t="n">
        <v>56121.1</v>
      </c>
      <c r="X24" s="7" t="n">
        <v>4280.7</v>
      </c>
      <c r="Z24" s="7" t="n">
        <v>33493</v>
      </c>
      <c r="AB24" s="7" t="n">
        <v>296468.9</v>
      </c>
    </row>
    <row r="25">
      <c r="A25" s="4" t="inlineStr">
        <is>
          <t>运费</t>
        </is>
      </c>
      <c r="D25" s="7" t="n">
        <v>78719.60000000001</v>
      </c>
      <c r="F25" s="7" t="n">
        <v>119856.4</v>
      </c>
      <c r="H25" s="7" t="n">
        <v>102898.2</v>
      </c>
      <c r="J25" s="7" t="n">
        <v>89423</v>
      </c>
      <c r="L25" s="7" t="n">
        <v>83997</v>
      </c>
      <c r="N25" s="7" t="n">
        <v>130859.1</v>
      </c>
      <c r="P25" s="7" t="n">
        <v>161120.2</v>
      </c>
      <c r="R25" s="7" t="n">
        <v>136278.5</v>
      </c>
      <c r="T25" s="7" t="n">
        <v>101398.2</v>
      </c>
      <c r="V25" s="7" t="n">
        <v>96345.3</v>
      </c>
      <c r="X25" s="7" t="n">
        <v>103767.1</v>
      </c>
      <c r="Z25" s="7" t="n">
        <v>98347.8</v>
      </c>
      <c r="AB25" s="7" t="n">
        <v>1303010.4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1016562.5</v>
      </c>
      <c r="D26" s="7" t="n">
        <v>571889.3</v>
      </c>
      <c r="E26" s="7" t="n">
        <v>1386169.9</v>
      </c>
      <c r="F26" s="7" t="n">
        <v>745241.2</v>
      </c>
      <c r="G26" s="7" t="n">
        <v>1315909.3</v>
      </c>
      <c r="H26" s="7" t="n">
        <v>971226.6</v>
      </c>
      <c r="I26" s="7" t="n">
        <v>1673951.5</v>
      </c>
      <c r="J26" s="7" t="n">
        <v>1122372.1</v>
      </c>
      <c r="K26" s="7" t="n">
        <v>1691857.1</v>
      </c>
      <c r="L26" s="7" t="n">
        <v>1262875.9</v>
      </c>
      <c r="M26" s="7" t="n">
        <v>1221333.3</v>
      </c>
      <c r="N26" s="7" t="n">
        <v>1273033.6</v>
      </c>
      <c r="O26" s="7" t="n">
        <v>880909.1</v>
      </c>
      <c r="P26" s="7" t="n">
        <v>1416195.7</v>
      </c>
      <c r="Q26" s="7" t="n">
        <v>852861.1</v>
      </c>
      <c r="R26" s="7" t="n">
        <v>1234450.8</v>
      </c>
      <c r="S26" s="7" t="n">
        <v>1436985.7</v>
      </c>
      <c r="T26" s="7" t="n">
        <v>1037312.2</v>
      </c>
      <c r="U26" s="7" t="n">
        <v>1158483.8</v>
      </c>
      <c r="V26" s="7" t="n">
        <v>1375485.4</v>
      </c>
      <c r="W26" s="7" t="n">
        <v>1769593.3</v>
      </c>
      <c r="X26" s="7" t="n">
        <v>1005587</v>
      </c>
      <c r="Y26" s="7" t="n">
        <v>588224.3</v>
      </c>
      <c r="Z26" s="7" t="n">
        <v>757125.6</v>
      </c>
      <c r="AA26" s="8" t="n">
        <v>14992840.9</v>
      </c>
      <c r="AB26" s="8" t="n">
        <v>12772795.4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30</v>
      </c>
      <c r="D27" s="13" t="n">
        <v>28.5</v>
      </c>
      <c r="E27" s="13" t="n">
        <v>36.8</v>
      </c>
      <c r="F27" s="13" t="n">
        <v>28.5</v>
      </c>
      <c r="G27" s="13" t="n">
        <v>35.4</v>
      </c>
      <c r="H27" s="13" t="n">
        <v>30.2</v>
      </c>
      <c r="I27" s="13" t="n">
        <v>42.5</v>
      </c>
      <c r="J27" s="13" t="n">
        <v>30.6</v>
      </c>
      <c r="K27" s="13" t="n">
        <v>43</v>
      </c>
      <c r="L27" s="13" t="n">
        <v>32</v>
      </c>
      <c r="M27" s="13" t="n">
        <v>31</v>
      </c>
      <c r="N27" s="13" t="n">
        <v>29.5</v>
      </c>
      <c r="O27" s="13" t="n">
        <v>25.7</v>
      </c>
      <c r="P27" s="13" t="n">
        <v>29.5</v>
      </c>
      <c r="Q27" s="13" t="n">
        <v>25.3</v>
      </c>
      <c r="R27" s="13" t="n">
        <v>30.1</v>
      </c>
      <c r="S27" s="13" t="n">
        <v>37.9</v>
      </c>
      <c r="T27" s="13" t="n">
        <v>29.4</v>
      </c>
      <c r="U27" s="13" t="n">
        <v>30.2</v>
      </c>
      <c r="V27" s="13" t="n">
        <v>30.9</v>
      </c>
      <c r="W27" s="13" t="n">
        <v>44.7</v>
      </c>
      <c r="X27" s="13" t="n">
        <v>29.9</v>
      </c>
      <c r="Y27" s="13" t="n">
        <v>19.2</v>
      </c>
      <c r="Z27" s="13" t="n">
        <v>29.7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35311.2</v>
      </c>
      <c r="D28" s="7" t="n">
        <v>10399.6</v>
      </c>
      <c r="E28" s="7" t="n">
        <v>36419.5</v>
      </c>
      <c r="F28" s="7" t="n">
        <v>21657.1</v>
      </c>
      <c r="G28" s="7" t="n">
        <v>34160.8</v>
      </c>
      <c r="H28" s="7" t="n">
        <v>25550.5</v>
      </c>
      <c r="I28" s="7" t="n">
        <v>28208</v>
      </c>
      <c r="J28" s="7" t="n">
        <v>52925.9</v>
      </c>
      <c r="K28" s="7" t="n">
        <v>29116.9</v>
      </c>
      <c r="L28" s="7" t="n">
        <v>46603</v>
      </c>
      <c r="M28" s="7" t="n">
        <v>27410</v>
      </c>
      <c r="N28" s="7" t="n">
        <v>23894.4</v>
      </c>
      <c r="O28" s="7" t="n">
        <v>28203.5</v>
      </c>
      <c r="P28" s="7" t="n">
        <v>57661.3</v>
      </c>
      <c r="Q28" s="7" t="n">
        <v>28711.7</v>
      </c>
      <c r="R28" s="7" t="n">
        <v>27427.1</v>
      </c>
      <c r="S28" s="7" t="n">
        <v>31637.5</v>
      </c>
      <c r="T28" s="7" t="n">
        <v>18493.6</v>
      </c>
      <c r="U28" s="7" t="n">
        <v>30438.2</v>
      </c>
      <c r="V28" s="7" t="n">
        <v>54191.3</v>
      </c>
      <c r="W28" s="7" t="n">
        <v>35082.1</v>
      </c>
      <c r="X28" s="7" t="n">
        <v>29335</v>
      </c>
      <c r="Y28" s="7" t="n">
        <v>32877</v>
      </c>
      <c r="Z28" s="7" t="n">
        <v>18737.2</v>
      </c>
      <c r="AA28" s="8" t="n">
        <v>377576.4</v>
      </c>
      <c r="AB28" s="8" t="n">
        <v>386876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671712.5</v>
      </c>
      <c r="D29" s="7" t="n">
        <v>462364.4</v>
      </c>
      <c r="E29" s="7" t="n">
        <v>616571.8</v>
      </c>
      <c r="F29" s="7" t="n">
        <v>284727.8</v>
      </c>
      <c r="G29" s="7" t="n">
        <v>622178.5</v>
      </c>
      <c r="H29" s="7" t="n">
        <v>397550.1</v>
      </c>
      <c r="I29" s="7" t="n">
        <v>546739.9</v>
      </c>
      <c r="J29" s="7" t="n">
        <v>596805.8</v>
      </c>
      <c r="K29" s="7" t="n">
        <v>612866.8</v>
      </c>
      <c r="L29" s="7" t="n">
        <v>874783.5</v>
      </c>
      <c r="M29" s="7" t="n">
        <v>610024.1</v>
      </c>
      <c r="N29" s="7" t="n">
        <v>1025874.5</v>
      </c>
      <c r="O29" s="7" t="n">
        <v>506500.3</v>
      </c>
      <c r="P29" s="7" t="n">
        <v>536202.4</v>
      </c>
      <c r="Q29" s="7" t="n">
        <v>550786.1</v>
      </c>
      <c r="R29" s="7" t="n">
        <v>478807.4</v>
      </c>
      <c r="S29" s="7" t="n">
        <v>669812.1</v>
      </c>
      <c r="T29" s="7" t="n">
        <v>466722.5</v>
      </c>
      <c r="U29" s="7" t="n">
        <v>587871</v>
      </c>
      <c r="V29" s="7" t="n">
        <v>925778.4</v>
      </c>
      <c r="W29" s="7" t="n">
        <v>636071</v>
      </c>
      <c r="X29" s="7" t="n">
        <v>429319.6</v>
      </c>
      <c r="Y29" s="7" t="n">
        <v>625323.3</v>
      </c>
      <c r="Z29" s="7" t="n">
        <v>591822</v>
      </c>
      <c r="AA29" s="8" t="n">
        <v>7256457.4</v>
      </c>
      <c r="AB29" s="8" t="n">
        <v>7070758.4</v>
      </c>
    </row>
    <row r="30">
      <c r="A30" s="4" t="inlineStr">
        <is>
          <t>职工薪酬</t>
        </is>
      </c>
      <c r="D30" s="7" t="n">
        <v>234323.6</v>
      </c>
      <c r="F30" s="7" t="n">
        <v>175289.2</v>
      </c>
      <c r="H30" s="7" t="n">
        <v>214262.3</v>
      </c>
      <c r="J30" s="7" t="n">
        <v>373510.2</v>
      </c>
      <c r="L30" s="7" t="n">
        <v>457760.2</v>
      </c>
      <c r="N30" s="7" t="n">
        <v>427960.9</v>
      </c>
      <c r="P30" s="7" t="n">
        <v>297092.3</v>
      </c>
      <c r="R30" s="7" t="n">
        <v>254951.6</v>
      </c>
      <c r="T30" s="7" t="n">
        <v>205025.3</v>
      </c>
      <c r="V30" s="7" t="n">
        <v>456026.3</v>
      </c>
      <c r="X30" s="7" t="n">
        <v>238349.8</v>
      </c>
      <c r="Z30" s="7" t="n">
        <v>357022.6</v>
      </c>
      <c r="AB30" s="7" t="n">
        <v>3691574.3</v>
      </c>
    </row>
    <row r="31">
      <c r="A31" s="4" t="inlineStr">
        <is>
          <t>工资</t>
        </is>
      </c>
      <c r="D31" s="7" t="n">
        <v>129776.8</v>
      </c>
      <c r="F31" s="7" t="n">
        <v>108860.2</v>
      </c>
      <c r="H31" s="7" t="n">
        <v>127998.1</v>
      </c>
      <c r="J31" s="7" t="n">
        <v>229513.8</v>
      </c>
      <c r="L31" s="7" t="n">
        <v>305400.1</v>
      </c>
      <c r="N31" s="7" t="n">
        <v>217687.4</v>
      </c>
      <c r="P31" s="7" t="n">
        <v>179201.7</v>
      </c>
      <c r="R31" s="7" t="n">
        <v>150449</v>
      </c>
      <c r="T31" s="7" t="n">
        <v>98264.10000000001</v>
      </c>
      <c r="V31" s="7" t="n">
        <v>252439.2</v>
      </c>
      <c r="X31" s="7" t="n">
        <v>162619.3</v>
      </c>
      <c r="Z31" s="7" t="n">
        <v>217844.7</v>
      </c>
      <c r="AB31" s="7" t="n">
        <v>2180054.4</v>
      </c>
    </row>
    <row r="32">
      <c r="A32" s="4" t="inlineStr">
        <is>
          <t>奖金及提成</t>
        </is>
      </c>
      <c r="D32" s="7" t="n">
        <v>44250.4</v>
      </c>
      <c r="F32" s="7" t="n">
        <v>28583.5</v>
      </c>
      <c r="H32" s="7" t="n">
        <v>44495.3</v>
      </c>
      <c r="J32" s="7" t="n">
        <v>69002.10000000001</v>
      </c>
      <c r="L32" s="7" t="n">
        <v>64615.5</v>
      </c>
      <c r="N32" s="7" t="n">
        <v>105219.5</v>
      </c>
      <c r="P32" s="7" t="n">
        <v>57701.6</v>
      </c>
      <c r="R32" s="7" t="n">
        <v>59655.3</v>
      </c>
      <c r="T32" s="7" t="n">
        <v>59425.3</v>
      </c>
      <c r="V32" s="7" t="n">
        <v>119822.7</v>
      </c>
      <c r="X32" s="7" t="n">
        <v>38728.3</v>
      </c>
      <c r="Z32" s="7" t="n">
        <v>63279</v>
      </c>
      <c r="AB32" s="7" t="n">
        <v>754778.5</v>
      </c>
    </row>
    <row r="33">
      <c r="A33" s="4" t="inlineStr">
        <is>
          <t>社保</t>
        </is>
      </c>
      <c r="D33" s="7" t="n">
        <v>45686.9</v>
      </c>
      <c r="F33" s="7" t="n">
        <v>29062.9</v>
      </c>
      <c r="H33" s="7" t="n">
        <v>29116.7</v>
      </c>
      <c r="J33" s="7" t="n">
        <v>55191.6</v>
      </c>
      <c r="L33" s="7" t="n">
        <v>59217.8</v>
      </c>
      <c r="N33" s="7" t="n">
        <v>75855.60000000001</v>
      </c>
      <c r="P33" s="7" t="n">
        <v>44622.7</v>
      </c>
      <c r="R33" s="7" t="n">
        <v>30180.4</v>
      </c>
      <c r="T33" s="7" t="n">
        <v>34231.6</v>
      </c>
      <c r="V33" s="7" t="n">
        <v>54983.6</v>
      </c>
      <c r="X33" s="7" t="n">
        <v>25264.4</v>
      </c>
      <c r="Z33" s="7" t="n">
        <v>60519.8</v>
      </c>
      <c r="AB33" s="7" t="n">
        <v>543934</v>
      </c>
    </row>
    <row r="34">
      <c r="A34" s="4" t="inlineStr">
        <is>
          <t>养老</t>
        </is>
      </c>
      <c r="D34" s="7" t="n">
        <v>1806.7</v>
      </c>
      <c r="F34" s="7" t="n">
        <v>1155</v>
      </c>
      <c r="H34" s="7" t="n">
        <v>1393.3</v>
      </c>
      <c r="J34" s="7" t="n">
        <v>2132.7</v>
      </c>
      <c r="L34" s="7" t="n">
        <v>4077.5</v>
      </c>
      <c r="N34" s="7" t="n">
        <v>4575.5</v>
      </c>
      <c r="P34" s="7" t="n">
        <v>1472</v>
      </c>
      <c r="R34" s="7" t="n">
        <v>1837.9</v>
      </c>
      <c r="T34" s="7" t="n">
        <v>1969.6</v>
      </c>
      <c r="V34" s="7" t="n">
        <v>3409.9</v>
      </c>
      <c r="X34" s="7" t="n">
        <v>1164.5</v>
      </c>
      <c r="Z34" s="7" t="n">
        <v>2468.8</v>
      </c>
      <c r="AB34" s="7" t="n">
        <v>27463.4</v>
      </c>
    </row>
    <row r="35">
      <c r="A35" s="4" t="inlineStr">
        <is>
          <t>医疗</t>
        </is>
      </c>
      <c r="D35" s="7" t="n">
        <v>723.4</v>
      </c>
      <c r="F35" s="7" t="n">
        <v>388.1</v>
      </c>
      <c r="H35" s="7" t="n">
        <v>698</v>
      </c>
      <c r="J35" s="7" t="n">
        <v>1068.6</v>
      </c>
      <c r="L35" s="7" t="n">
        <v>1765.7</v>
      </c>
      <c r="N35" s="7" t="n">
        <v>1783.7</v>
      </c>
      <c r="P35" s="7" t="n">
        <v>885.4</v>
      </c>
      <c r="R35" s="7" t="n">
        <v>662.6</v>
      </c>
      <c r="T35" s="7" t="n">
        <v>775.5</v>
      </c>
      <c r="V35" s="7" t="n">
        <v>1874.6</v>
      </c>
      <c r="X35" s="7" t="n">
        <v>629.2</v>
      </c>
      <c r="Z35" s="7" t="n">
        <v>783</v>
      </c>
      <c r="AB35" s="7" t="n">
        <v>12037.8</v>
      </c>
    </row>
    <row r="36">
      <c r="A36" s="4" t="inlineStr">
        <is>
          <t>工伤</t>
        </is>
      </c>
      <c r="D36" s="7" t="n">
        <v>8.4</v>
      </c>
      <c r="F36" s="7" t="n">
        <v>4.8</v>
      </c>
      <c r="H36" s="7" t="n">
        <v>8.800000000000001</v>
      </c>
      <c r="J36" s="7" t="n">
        <v>8.6</v>
      </c>
      <c r="L36" s="7" t="n">
        <v>14.3</v>
      </c>
      <c r="N36" s="7" t="n">
        <v>15.5</v>
      </c>
      <c r="P36" s="7" t="n">
        <v>10.6</v>
      </c>
      <c r="R36" s="7" t="n">
        <v>10.4</v>
      </c>
      <c r="T36" s="7" t="n">
        <v>6.3</v>
      </c>
      <c r="V36" s="7" t="n">
        <v>14</v>
      </c>
      <c r="X36" s="7" t="n">
        <v>7.3</v>
      </c>
      <c r="Z36" s="7" t="n">
        <v>9.199999999999999</v>
      </c>
      <c r="AB36" s="7" t="n">
        <v>118.2</v>
      </c>
    </row>
    <row r="37">
      <c r="A37" s="4" t="inlineStr">
        <is>
          <t>失业</t>
        </is>
      </c>
      <c r="D37" s="7" t="n">
        <v>2207.9</v>
      </c>
      <c r="F37" s="7" t="n">
        <v>1281.2</v>
      </c>
      <c r="H37" s="7" t="n">
        <v>2395.5</v>
      </c>
      <c r="J37" s="7" t="n">
        <v>2850.2</v>
      </c>
      <c r="L37" s="7" t="n">
        <v>3798.4</v>
      </c>
      <c r="N37" s="7" t="n">
        <v>4910.2</v>
      </c>
      <c r="P37" s="7" t="n">
        <v>4008.1</v>
      </c>
      <c r="R37" s="7" t="n">
        <v>3164.9</v>
      </c>
      <c r="T37" s="7" t="n">
        <v>2172.3</v>
      </c>
      <c r="V37" s="7" t="n">
        <v>6403.7</v>
      </c>
      <c r="X37" s="7" t="n">
        <v>2238.5</v>
      </c>
      <c r="Z37" s="7" t="n">
        <v>4233.3</v>
      </c>
      <c r="AB37" s="7" t="n">
        <v>39664.2</v>
      </c>
    </row>
    <row r="38">
      <c r="A38" s="4" t="inlineStr">
        <is>
          <t>生育</t>
        </is>
      </c>
      <c r="D38" s="7" t="n">
        <v>241.6</v>
      </c>
      <c r="F38" s="7" t="n">
        <v>93.59999999999999</v>
      </c>
      <c r="H38" s="7" t="n">
        <v>131.6</v>
      </c>
      <c r="J38" s="7" t="n">
        <v>337.6</v>
      </c>
      <c r="L38" s="7" t="n">
        <v>381.3</v>
      </c>
      <c r="N38" s="7" t="n">
        <v>518.9</v>
      </c>
      <c r="P38" s="7" t="n">
        <v>224.1</v>
      </c>
      <c r="R38" s="7" t="n">
        <v>154</v>
      </c>
      <c r="T38" s="7" t="n">
        <v>247.3</v>
      </c>
      <c r="V38" s="7" t="n">
        <v>433.8</v>
      </c>
      <c r="X38" s="7" t="n">
        <v>245.1</v>
      </c>
      <c r="Z38" s="7" t="n">
        <v>272.4</v>
      </c>
      <c r="AB38" s="7" t="n">
        <v>3281.3</v>
      </c>
    </row>
    <row r="39">
      <c r="A39" s="4" t="inlineStr">
        <is>
          <t>公积金</t>
        </is>
      </c>
      <c r="D39" s="7" t="n">
        <v>582.6</v>
      </c>
      <c r="F39" s="7" t="n">
        <v>563.3</v>
      </c>
      <c r="H39" s="7" t="n">
        <v>477</v>
      </c>
      <c r="J39" s="7" t="n">
        <v>889.6</v>
      </c>
      <c r="L39" s="7" t="n">
        <v>1159.6</v>
      </c>
      <c r="N39" s="7" t="n">
        <v>1277.6</v>
      </c>
      <c r="P39" s="7" t="n">
        <v>1073.5</v>
      </c>
      <c r="R39" s="7" t="n">
        <v>662.9</v>
      </c>
      <c r="T39" s="7" t="n">
        <v>823.2</v>
      </c>
      <c r="V39" s="7" t="n">
        <v>1880.1</v>
      </c>
      <c r="X39" s="7" t="n">
        <v>857.9</v>
      </c>
      <c r="Z39" s="7" t="n">
        <v>918.4</v>
      </c>
      <c r="AB39" s="7" t="n">
        <v>11165.7</v>
      </c>
    </row>
    <row r="40">
      <c r="A40" s="4" t="inlineStr">
        <is>
          <t>工会经费</t>
        </is>
      </c>
      <c r="D40" s="7" t="n">
        <v>2967.3</v>
      </c>
      <c r="F40" s="7" t="n">
        <v>1455.9</v>
      </c>
      <c r="H40" s="7" t="n">
        <v>2534.9</v>
      </c>
      <c r="J40" s="7" t="n">
        <v>2865.2</v>
      </c>
      <c r="L40" s="7" t="n">
        <v>5253.8</v>
      </c>
      <c r="N40" s="7" t="n">
        <v>6171.9</v>
      </c>
      <c r="P40" s="7" t="n">
        <v>1996</v>
      </c>
      <c r="R40" s="7" t="n">
        <v>2500.8</v>
      </c>
      <c r="T40" s="7" t="n">
        <v>2438</v>
      </c>
      <c r="V40" s="7" t="n">
        <v>4368.6</v>
      </c>
      <c r="X40" s="7" t="n">
        <v>1699.7</v>
      </c>
      <c r="Z40" s="7" t="n">
        <v>2130.5</v>
      </c>
      <c r="AB40" s="7" t="n">
        <v>36382.6</v>
      </c>
    </row>
    <row r="41">
      <c r="A41" s="4" t="inlineStr">
        <is>
          <t>职工教育经费</t>
        </is>
      </c>
      <c r="D41" s="7" t="n">
        <v>2439.8</v>
      </c>
      <c r="F41" s="7" t="n">
        <v>1962.4</v>
      </c>
      <c r="H41" s="7" t="n">
        <v>3055</v>
      </c>
      <c r="J41" s="7" t="n">
        <v>4396.1</v>
      </c>
      <c r="L41" s="7" t="n">
        <v>6730.4</v>
      </c>
      <c r="N41" s="7" t="n">
        <v>5033.1</v>
      </c>
      <c r="P41" s="7" t="n">
        <v>3090.4</v>
      </c>
      <c r="R41" s="7" t="n">
        <v>3030</v>
      </c>
      <c r="T41" s="7" t="n">
        <v>2178.3</v>
      </c>
      <c r="V41" s="7" t="n">
        <v>5654.7</v>
      </c>
      <c r="X41" s="7" t="n">
        <v>2624.6</v>
      </c>
      <c r="Z41" s="7" t="n">
        <v>2644.3</v>
      </c>
      <c r="AB41" s="7" t="n">
        <v>42839.1</v>
      </c>
    </row>
    <row r="42">
      <c r="A42" s="4" t="inlineStr">
        <is>
          <t>福利费</t>
        </is>
      </c>
      <c r="D42" s="7" t="n">
        <v>8619.799999999999</v>
      </c>
      <c r="F42" s="7" t="n">
        <v>4801</v>
      </c>
      <c r="H42" s="7" t="n">
        <v>6585.3</v>
      </c>
      <c r="J42" s="7" t="n">
        <v>11651.8</v>
      </c>
      <c r="L42" s="7" t="n">
        <v>15383</v>
      </c>
      <c r="N42" s="7" t="n">
        <v>16715.8</v>
      </c>
      <c r="P42" s="7" t="n">
        <v>9406.4</v>
      </c>
      <c r="R42" s="7" t="n">
        <v>8473.200000000001</v>
      </c>
      <c r="T42" s="7" t="n">
        <v>7664.8</v>
      </c>
      <c r="V42" s="7" t="n">
        <v>16877.4</v>
      </c>
      <c r="X42" s="7" t="n">
        <v>6555.6</v>
      </c>
      <c r="Z42" s="7" t="n">
        <v>9685.9</v>
      </c>
      <c r="AB42" s="7" t="n">
        <v>122420</v>
      </c>
    </row>
    <row r="43">
      <c r="A43" s="4" t="inlineStr">
        <is>
          <t>职工房租</t>
        </is>
      </c>
      <c r="D43" s="7" t="n">
        <v>2737.5</v>
      </c>
      <c r="F43" s="7" t="n">
        <v>1191.6</v>
      </c>
      <c r="H43" s="7" t="n">
        <v>1889.8</v>
      </c>
      <c r="J43" s="7" t="n">
        <v>3878.6</v>
      </c>
      <c r="L43" s="7" t="n">
        <v>5343.8</v>
      </c>
      <c r="N43" s="7" t="n">
        <v>5421.2</v>
      </c>
      <c r="P43" s="7" t="n">
        <v>3483.8</v>
      </c>
      <c r="R43" s="7" t="n">
        <v>2830.7</v>
      </c>
      <c r="T43" s="7" t="n">
        <v>2706.1</v>
      </c>
      <c r="V43" s="7" t="n">
        <v>5017.6</v>
      </c>
      <c r="X43" s="7" t="n">
        <v>2149.8</v>
      </c>
      <c r="Z43" s="7" t="n">
        <v>3591.4</v>
      </c>
      <c r="AB43" s="7" t="n">
        <v>40241.9</v>
      </c>
    </row>
    <row r="44">
      <c r="A44" s="4" t="inlineStr">
        <is>
          <t>水电物业费</t>
        </is>
      </c>
      <c r="D44" s="7" t="n">
        <v>1261.3</v>
      </c>
      <c r="F44" s="7" t="n">
        <v>866.9</v>
      </c>
      <c r="H44" s="7" t="n">
        <v>1351.1</v>
      </c>
      <c r="J44" s="7" t="n">
        <v>1474.6</v>
      </c>
      <c r="L44" s="7" t="n">
        <v>3039.4</v>
      </c>
      <c r="N44" s="7" t="n">
        <v>3004.7</v>
      </c>
      <c r="P44" s="7" t="n">
        <v>2034</v>
      </c>
      <c r="R44" s="7" t="n">
        <v>1760</v>
      </c>
      <c r="T44" s="7" t="n">
        <v>1512.5</v>
      </c>
      <c r="V44" s="7" t="n">
        <v>3428.2</v>
      </c>
      <c r="X44" s="7" t="n">
        <v>1071.6</v>
      </c>
      <c r="Z44" s="7" t="n">
        <v>2018.2</v>
      </c>
      <c r="AB44" s="7" t="n">
        <v>22822.5</v>
      </c>
    </row>
    <row r="45">
      <c r="A45" s="4" t="inlineStr">
        <is>
          <t>员工餐</t>
        </is>
      </c>
      <c r="D45" s="7" t="n">
        <v>98.40000000000001</v>
      </c>
      <c r="F45" s="7" t="n">
        <v>107.5</v>
      </c>
      <c r="H45" s="7" t="n">
        <v>104.7</v>
      </c>
      <c r="J45" s="7" t="n">
        <v>146.5</v>
      </c>
      <c r="L45" s="7" t="n">
        <v>260.4</v>
      </c>
      <c r="N45" s="7" t="n">
        <v>354.4</v>
      </c>
      <c r="P45" s="7" t="n">
        <v>166.1</v>
      </c>
      <c r="R45" s="7" t="n">
        <v>115.8</v>
      </c>
      <c r="T45" s="7" t="n">
        <v>139.9</v>
      </c>
      <c r="V45" s="7" t="n">
        <v>249.7</v>
      </c>
      <c r="X45" s="7" t="n">
        <v>158.4</v>
      </c>
      <c r="Z45" s="7" t="n">
        <v>173.4</v>
      </c>
      <c r="AB45" s="7" t="n">
        <v>2075.2</v>
      </c>
    </row>
    <row r="46">
      <c r="A46" s="4" t="inlineStr">
        <is>
          <t>节日礼品</t>
        </is>
      </c>
      <c r="D46" s="7" t="n">
        <v>2186.8</v>
      </c>
      <c r="F46" s="7" t="n">
        <v>1284.4</v>
      </c>
      <c r="H46" s="7" t="n">
        <v>1313.1</v>
      </c>
      <c r="J46" s="7" t="n">
        <v>2907.7</v>
      </c>
      <c r="L46" s="7" t="n">
        <v>2959.3</v>
      </c>
      <c r="N46" s="7" t="n">
        <v>2865.5</v>
      </c>
      <c r="P46" s="7" t="n">
        <v>1550</v>
      </c>
      <c r="R46" s="7" t="n">
        <v>1842.2</v>
      </c>
      <c r="T46" s="7" t="n">
        <v>1426.2</v>
      </c>
      <c r="V46" s="7" t="n">
        <v>4070.8</v>
      </c>
      <c r="X46" s="7" t="n">
        <v>1306.4</v>
      </c>
      <c r="Z46" s="7" t="n">
        <v>1653.9</v>
      </c>
      <c r="AB46" s="7" t="n">
        <v>25366.3</v>
      </c>
    </row>
    <row r="47">
      <c r="A47" s="4" t="inlineStr">
        <is>
          <t>生日礼品</t>
        </is>
      </c>
      <c r="D47" s="7" t="n">
        <v>1786.5</v>
      </c>
      <c r="F47" s="7" t="n">
        <v>1051.8</v>
      </c>
      <c r="H47" s="7" t="n">
        <v>1544.9</v>
      </c>
      <c r="J47" s="7" t="n">
        <v>2595.5</v>
      </c>
      <c r="L47" s="7" t="n">
        <v>2647</v>
      </c>
      <c r="N47" s="7" t="n">
        <v>4069.4</v>
      </c>
      <c r="P47" s="7" t="n">
        <v>1537.5</v>
      </c>
      <c r="R47" s="7" t="n">
        <v>1473.1</v>
      </c>
      <c r="T47" s="7" t="n">
        <v>1461.7</v>
      </c>
      <c r="V47" s="7" t="n">
        <v>3320.6</v>
      </c>
      <c r="X47" s="7" t="n">
        <v>1345.8</v>
      </c>
      <c r="Z47" s="7" t="n">
        <v>1768.7</v>
      </c>
      <c r="AB47" s="7" t="n">
        <v>24602.5</v>
      </c>
    </row>
    <row r="48">
      <c r="A48" s="4" t="inlineStr">
        <is>
          <t>体检</t>
        </is>
      </c>
      <c r="D48" s="7" t="n">
        <v>459</v>
      </c>
      <c r="F48" s="7" t="n">
        <v>249.5</v>
      </c>
      <c r="H48" s="7" t="n">
        <v>262.9</v>
      </c>
      <c r="J48" s="7" t="n">
        <v>491</v>
      </c>
      <c r="L48" s="7" t="n">
        <v>960.9</v>
      </c>
      <c r="N48" s="7" t="n">
        <v>811.4</v>
      </c>
      <c r="P48" s="7" t="n">
        <v>491.5</v>
      </c>
      <c r="R48" s="7" t="n">
        <v>338.1</v>
      </c>
      <c r="T48" s="7" t="n">
        <v>284.6</v>
      </c>
      <c r="V48" s="7" t="n">
        <v>620.3</v>
      </c>
      <c r="X48" s="7" t="n">
        <v>399</v>
      </c>
      <c r="Z48" s="7" t="n">
        <v>361.7</v>
      </c>
      <c r="AB48" s="7" t="n">
        <v>5729.9</v>
      </c>
    </row>
    <row r="49">
      <c r="A49" s="4" t="inlineStr">
        <is>
          <t>其他福利支出</t>
        </is>
      </c>
      <c r="D49" s="7" t="n">
        <v>90.3</v>
      </c>
      <c r="F49" s="7" t="n">
        <v>49.3</v>
      </c>
      <c r="H49" s="7" t="n">
        <v>118.8</v>
      </c>
      <c r="J49" s="7" t="n">
        <v>157.9</v>
      </c>
      <c r="L49" s="7" t="n">
        <v>172.2</v>
      </c>
      <c r="N49" s="7" t="n">
        <v>189.2</v>
      </c>
      <c r="P49" s="7" t="n">
        <v>143.5</v>
      </c>
      <c r="R49" s="7" t="n">
        <v>113.3</v>
      </c>
      <c r="T49" s="7" t="n">
        <v>133.8</v>
      </c>
      <c r="V49" s="7" t="n">
        <v>170.2</v>
      </c>
      <c r="X49" s="7" t="n">
        <v>124.6</v>
      </c>
      <c r="Z49" s="7" t="n">
        <v>118.6</v>
      </c>
      <c r="AB49" s="7" t="n">
        <v>1581.7</v>
      </c>
    </row>
    <row r="50">
      <c r="A50" s="4" t="inlineStr">
        <is>
          <t>招聘费</t>
        </is>
      </c>
      <c r="D50" s="7" t="n">
        <v>1577.6</v>
      </c>
      <c r="F50" s="7" t="n">
        <v>1562.9</v>
      </c>
      <c r="H50" s="7" t="n">
        <v>1456.6</v>
      </c>
      <c r="J50" s="7" t="n">
        <v>2124.2</v>
      </c>
      <c r="L50" s="7" t="n">
        <v>3711.3</v>
      </c>
      <c r="N50" s="7" t="n">
        <v>3516.6</v>
      </c>
      <c r="P50" s="7" t="n">
        <v>2150.7</v>
      </c>
      <c r="R50" s="7" t="n">
        <v>1844.2</v>
      </c>
      <c r="T50" s="7" t="n">
        <v>2437.1</v>
      </c>
      <c r="V50" s="7" t="n">
        <v>5207.3</v>
      </c>
      <c r="X50" s="7" t="n">
        <v>1832.3</v>
      </c>
      <c r="Z50" s="7" t="n">
        <v>3275.7</v>
      </c>
      <c r="AB50" s="7" t="n">
        <v>30696.5</v>
      </c>
    </row>
    <row r="51">
      <c r="A51" s="4" t="inlineStr">
        <is>
          <t>办公费</t>
        </is>
      </c>
      <c r="D51" s="7" t="n">
        <v>11630.6</v>
      </c>
      <c r="F51" s="7" t="n">
        <v>10223.8</v>
      </c>
      <c r="H51" s="7" t="n">
        <v>11618.2</v>
      </c>
      <c r="J51" s="7" t="n">
        <v>16355.7</v>
      </c>
      <c r="L51" s="7" t="n">
        <v>32590.7</v>
      </c>
      <c r="N51" s="7" t="n">
        <v>23315.2</v>
      </c>
      <c r="P51" s="7" t="n">
        <v>16445.8</v>
      </c>
      <c r="R51" s="7" t="n">
        <v>11192.8</v>
      </c>
      <c r="T51" s="7" t="n">
        <v>10398</v>
      </c>
      <c r="V51" s="7" t="n">
        <v>19823.2</v>
      </c>
      <c r="X51" s="7" t="n">
        <v>10266.8</v>
      </c>
      <c r="Z51" s="7" t="n">
        <v>18800.9</v>
      </c>
      <c r="AB51" s="7" t="n">
        <v>192661.7</v>
      </c>
    </row>
    <row r="52">
      <c r="A52" s="4" t="inlineStr">
        <is>
          <t>市内交通费</t>
        </is>
      </c>
      <c r="D52" s="7" t="n">
        <v>1550.4</v>
      </c>
      <c r="F52" s="7" t="n">
        <v>862.7</v>
      </c>
      <c r="H52" s="7" t="n">
        <v>1241.3</v>
      </c>
      <c r="J52" s="7" t="n">
        <v>1597.3</v>
      </c>
      <c r="L52" s="7" t="n">
        <v>2210.3</v>
      </c>
      <c r="N52" s="7" t="n">
        <v>2977.9</v>
      </c>
      <c r="P52" s="7" t="n">
        <v>1777.9</v>
      </c>
      <c r="R52" s="7" t="n">
        <v>1038.3</v>
      </c>
      <c r="T52" s="7" t="n">
        <v>1462.4</v>
      </c>
      <c r="V52" s="7" t="n">
        <v>2570.4</v>
      </c>
      <c r="X52" s="7" t="n">
        <v>903</v>
      </c>
      <c r="Z52" s="7" t="n">
        <v>1889.3</v>
      </c>
      <c r="AB52" s="7" t="n">
        <v>20081.2</v>
      </c>
    </row>
    <row r="53">
      <c r="A53" s="4" t="inlineStr">
        <is>
          <t>差旅费</t>
        </is>
      </c>
      <c r="D53" s="7" t="n">
        <v>23808.1</v>
      </c>
      <c r="F53" s="7" t="n">
        <v>20590.7</v>
      </c>
      <c r="H53" s="7" t="n">
        <v>27314.7</v>
      </c>
      <c r="J53" s="7" t="n">
        <v>42708.9</v>
      </c>
      <c r="L53" s="7" t="n">
        <v>38847.1</v>
      </c>
      <c r="N53" s="7" t="n">
        <v>57382.9</v>
      </c>
      <c r="P53" s="7" t="n">
        <v>25651.5</v>
      </c>
      <c r="R53" s="7" t="n">
        <v>29891.8</v>
      </c>
      <c r="T53" s="7" t="n">
        <v>33068.5</v>
      </c>
      <c r="V53" s="7" t="n">
        <v>45649.1</v>
      </c>
      <c r="X53" s="7" t="n">
        <v>19863.1</v>
      </c>
      <c r="Z53" s="7" t="n">
        <v>35229.1</v>
      </c>
      <c r="AB53" s="7" t="n">
        <v>400005.5</v>
      </c>
    </row>
    <row r="54">
      <c r="A54" s="4" t="inlineStr">
        <is>
          <t>交通费</t>
        </is>
      </c>
      <c r="D54" s="7" t="n">
        <v>1397.9</v>
      </c>
      <c r="F54" s="7" t="n">
        <v>967.7</v>
      </c>
      <c r="H54" s="7" t="n">
        <v>1203.3</v>
      </c>
      <c r="J54" s="7" t="n">
        <v>2362.5</v>
      </c>
      <c r="L54" s="7" t="n">
        <v>3463.2</v>
      </c>
      <c r="N54" s="7" t="n">
        <v>4194.8</v>
      </c>
      <c r="P54" s="7" t="n">
        <v>1720.1</v>
      </c>
      <c r="R54" s="7" t="n">
        <v>1812.2</v>
      </c>
      <c r="T54" s="7" t="n">
        <v>1893.3</v>
      </c>
      <c r="V54" s="7" t="n">
        <v>2828.7</v>
      </c>
      <c r="X54" s="7" t="n">
        <v>1580.3</v>
      </c>
      <c r="Z54" s="7" t="n">
        <v>2446.2</v>
      </c>
      <c r="AB54" s="7" t="n">
        <v>25870.2</v>
      </c>
    </row>
    <row r="55">
      <c r="A55" s="4" t="inlineStr">
        <is>
          <t>住宿费</t>
        </is>
      </c>
      <c r="D55" s="7" t="n">
        <v>256.9</v>
      </c>
      <c r="F55" s="7" t="n">
        <v>147</v>
      </c>
      <c r="H55" s="7" t="n">
        <v>201.1</v>
      </c>
      <c r="J55" s="7" t="n">
        <v>290.3</v>
      </c>
      <c r="L55" s="7" t="n">
        <v>420.8</v>
      </c>
      <c r="N55" s="7" t="n">
        <v>655.1</v>
      </c>
      <c r="P55" s="7" t="n">
        <v>252.2</v>
      </c>
      <c r="R55" s="7" t="n">
        <v>288.8</v>
      </c>
      <c r="T55" s="7" t="n">
        <v>248.3</v>
      </c>
      <c r="V55" s="7" t="n">
        <v>489.6</v>
      </c>
      <c r="X55" s="7" t="n">
        <v>304.9</v>
      </c>
      <c r="Z55" s="7" t="n">
        <v>362.6</v>
      </c>
      <c r="AB55" s="7" t="n">
        <v>3917.6</v>
      </c>
    </row>
    <row r="56">
      <c r="A56" s="4" t="inlineStr">
        <is>
          <t>餐补</t>
        </is>
      </c>
      <c r="D56" s="7" t="n">
        <v>1490.7</v>
      </c>
      <c r="F56" s="7" t="n">
        <v>942.5</v>
      </c>
      <c r="H56" s="7" t="n">
        <v>1497.6</v>
      </c>
      <c r="J56" s="7" t="n">
        <v>1668.5</v>
      </c>
      <c r="L56" s="7" t="n">
        <v>3774.9</v>
      </c>
      <c r="N56" s="7" t="n">
        <v>3767.2</v>
      </c>
      <c r="P56" s="7" t="n">
        <v>2066.9</v>
      </c>
      <c r="R56" s="7" t="n">
        <v>1476.4</v>
      </c>
      <c r="T56" s="7" t="n">
        <v>1483</v>
      </c>
      <c r="V56" s="7" t="n">
        <v>2866.1</v>
      </c>
      <c r="X56" s="7" t="n">
        <v>2092.5</v>
      </c>
      <c r="Z56" s="7" t="n">
        <v>1808</v>
      </c>
      <c r="AB56" s="7" t="n">
        <v>24934.3</v>
      </c>
    </row>
    <row r="57">
      <c r="A57" s="4" t="inlineStr">
        <is>
          <t>交通补助</t>
        </is>
      </c>
      <c r="D57" s="7" t="n">
        <v>706.1</v>
      </c>
      <c r="F57" s="7" t="n">
        <v>457.9</v>
      </c>
      <c r="H57" s="7" t="n">
        <v>729.2</v>
      </c>
      <c r="J57" s="7" t="n">
        <v>904.9</v>
      </c>
      <c r="L57" s="7" t="n">
        <v>2029.5</v>
      </c>
      <c r="N57" s="7" t="n">
        <v>1801.3</v>
      </c>
      <c r="P57" s="7" t="n">
        <v>1135.4</v>
      </c>
      <c r="R57" s="7" t="n">
        <v>1036.6</v>
      </c>
      <c r="T57" s="7" t="n">
        <v>777.7</v>
      </c>
      <c r="V57" s="7" t="n">
        <v>1418.7</v>
      </c>
      <c r="X57" s="7" t="n">
        <v>921.4</v>
      </c>
      <c r="Z57" s="7" t="n">
        <v>1387.8</v>
      </c>
      <c r="AB57" s="7" t="n">
        <v>13306.5</v>
      </c>
    </row>
    <row r="58">
      <c r="A58" s="4" t="inlineStr">
        <is>
          <t>通讯补助</t>
        </is>
      </c>
      <c r="D58" s="7" t="n">
        <v>2455.6</v>
      </c>
      <c r="F58" s="7" t="n">
        <v>1212</v>
      </c>
      <c r="H58" s="7" t="n">
        <v>1651.6</v>
      </c>
      <c r="J58" s="7" t="n">
        <v>3216.4</v>
      </c>
      <c r="L58" s="7" t="n">
        <v>4635.8</v>
      </c>
      <c r="N58" s="7" t="n">
        <v>4582.2</v>
      </c>
      <c r="P58" s="7" t="n">
        <v>2559.1</v>
      </c>
      <c r="R58" s="7" t="n">
        <v>2513.3</v>
      </c>
      <c r="T58" s="7" t="n">
        <v>1535.4</v>
      </c>
      <c r="V58" s="7" t="n">
        <v>3260.1</v>
      </c>
      <c r="X58" s="7" t="n">
        <v>1588.2</v>
      </c>
      <c r="Z58" s="7" t="n">
        <v>2944.1</v>
      </c>
      <c r="AB58" s="7" t="n">
        <v>32153.8</v>
      </c>
    </row>
    <row r="59">
      <c r="A59" s="4" t="inlineStr">
        <is>
          <t>招待费</t>
        </is>
      </c>
      <c r="D59" s="7" t="n">
        <v>13885.4</v>
      </c>
      <c r="F59" s="7" t="n">
        <v>12077.8</v>
      </c>
      <c r="H59" s="7" t="n">
        <v>17645.2</v>
      </c>
      <c r="J59" s="7" t="n">
        <v>20487.2</v>
      </c>
      <c r="L59" s="7" t="n">
        <v>28714.2</v>
      </c>
      <c r="N59" s="7" t="n">
        <v>37067</v>
      </c>
      <c r="P59" s="7" t="n">
        <v>18094.8</v>
      </c>
      <c r="R59" s="7" t="n">
        <v>14946.2</v>
      </c>
      <c r="T59" s="7" t="n">
        <v>23885.3</v>
      </c>
      <c r="V59" s="7" t="n">
        <v>47903.3</v>
      </c>
      <c r="X59" s="7" t="n">
        <v>21780.9</v>
      </c>
      <c r="Z59" s="7" t="n">
        <v>30407</v>
      </c>
      <c r="AB59" s="7" t="n">
        <v>286894.3</v>
      </c>
    </row>
    <row r="60">
      <c r="A60" s="4" t="inlineStr">
        <is>
          <t>通讯费</t>
        </is>
      </c>
      <c r="D60" s="7" t="n">
        <v>520.3</v>
      </c>
      <c r="F60" s="7" t="n">
        <v>256</v>
      </c>
      <c r="H60" s="7" t="n">
        <v>495.8</v>
      </c>
      <c r="J60" s="7" t="n">
        <v>609.9</v>
      </c>
      <c r="L60" s="7" t="n">
        <v>917</v>
      </c>
      <c r="N60" s="7" t="n">
        <v>1031.4</v>
      </c>
      <c r="P60" s="7" t="n">
        <v>780.4</v>
      </c>
      <c r="R60" s="7" t="n">
        <v>694.7</v>
      </c>
      <c r="T60" s="7" t="n">
        <v>482.5</v>
      </c>
      <c r="V60" s="7" t="n">
        <v>846.7</v>
      </c>
      <c r="X60" s="7" t="n">
        <v>630.9</v>
      </c>
      <c r="Z60" s="7" t="n">
        <v>875.8</v>
      </c>
      <c r="AB60" s="7" t="n">
        <v>8141.4</v>
      </c>
    </row>
    <row r="61">
      <c r="A61" s="4" t="inlineStr">
        <is>
          <t>网络费</t>
        </is>
      </c>
      <c r="D61" s="7" t="n">
        <v>1513.1</v>
      </c>
      <c r="F61" s="7" t="n">
        <v>912.9</v>
      </c>
      <c r="H61" s="7" t="n">
        <v>1560.1</v>
      </c>
      <c r="J61" s="7" t="n">
        <v>1908.5</v>
      </c>
      <c r="L61" s="7" t="n">
        <v>2974.2</v>
      </c>
      <c r="N61" s="7" t="n">
        <v>4044.9</v>
      </c>
      <c r="P61" s="7" t="n">
        <v>2324.4</v>
      </c>
      <c r="R61" s="7" t="n">
        <v>1724.4</v>
      </c>
      <c r="T61" s="7" t="n">
        <v>1394.2</v>
      </c>
      <c r="V61" s="7" t="n">
        <v>2885.4</v>
      </c>
      <c r="X61" s="7" t="n">
        <v>1447.7</v>
      </c>
      <c r="Z61" s="7" t="n">
        <v>2159.9</v>
      </c>
      <c r="AB61" s="7" t="n">
        <v>24849.7</v>
      </c>
    </row>
    <row r="62">
      <c r="A62" s="4" t="inlineStr">
        <is>
          <t>修理费</t>
        </is>
      </c>
      <c r="D62" s="7" t="n">
        <v>3197.6</v>
      </c>
      <c r="F62" s="7" t="n">
        <v>1438.5</v>
      </c>
      <c r="H62" s="7" t="n">
        <v>2713.8</v>
      </c>
      <c r="J62" s="7" t="n">
        <v>4345.9</v>
      </c>
      <c r="L62" s="7" t="n">
        <v>5551.5</v>
      </c>
      <c r="N62" s="7" t="n">
        <v>7634.7</v>
      </c>
      <c r="P62" s="7" t="n">
        <v>2883.2</v>
      </c>
      <c r="R62" s="7" t="n">
        <v>2371.3</v>
      </c>
      <c r="T62" s="7" t="n">
        <v>2526.4</v>
      </c>
      <c r="V62" s="7" t="n">
        <v>5342.1</v>
      </c>
      <c r="X62" s="7" t="n">
        <v>3059.4</v>
      </c>
      <c r="Z62" s="7" t="n">
        <v>3250.1</v>
      </c>
      <c r="AB62" s="7" t="n">
        <v>44314.5</v>
      </c>
    </row>
    <row r="63">
      <c r="A63" s="4" t="inlineStr">
        <is>
          <t>车辆费</t>
        </is>
      </c>
      <c r="D63" s="7" t="n">
        <v>2983.6</v>
      </c>
      <c r="F63" s="7" t="n">
        <v>1741.5</v>
      </c>
      <c r="H63" s="7" t="n">
        <v>3100.8</v>
      </c>
      <c r="J63" s="7" t="n">
        <v>2690</v>
      </c>
      <c r="L63" s="7" t="n">
        <v>4407.7</v>
      </c>
      <c r="N63" s="7" t="n">
        <v>5438.7</v>
      </c>
      <c r="P63" s="7" t="n">
        <v>2447.3</v>
      </c>
      <c r="R63" s="7" t="n">
        <v>2648.7</v>
      </c>
      <c r="T63" s="7" t="n">
        <v>2627.5</v>
      </c>
      <c r="V63" s="7" t="n">
        <v>5773.3</v>
      </c>
      <c r="X63" s="7" t="n">
        <v>3263.7</v>
      </c>
      <c r="Z63" s="7" t="n">
        <v>3771.4</v>
      </c>
      <c r="AB63" s="7" t="n">
        <v>40894.2</v>
      </c>
    </row>
    <row r="64">
      <c r="A64" s="4" t="inlineStr">
        <is>
          <t>租赁费</t>
        </is>
      </c>
      <c r="D64" s="7" t="n">
        <v>29017.4</v>
      </c>
      <c r="F64" s="7" t="n">
        <v>17967.9</v>
      </c>
      <c r="H64" s="7" t="n">
        <v>24851.6</v>
      </c>
      <c r="J64" s="7" t="n">
        <v>26373.1</v>
      </c>
      <c r="L64" s="7" t="n">
        <v>32914.7</v>
      </c>
      <c r="N64" s="7" t="n">
        <v>46421.6</v>
      </c>
      <c r="P64" s="7" t="n">
        <v>30999.2</v>
      </c>
      <c r="R64" s="7" t="n">
        <v>25318.5</v>
      </c>
      <c r="T64" s="7" t="n">
        <v>20859.2</v>
      </c>
      <c r="V64" s="7" t="n">
        <v>58507.8</v>
      </c>
      <c r="X64" s="7" t="n">
        <v>22441.2</v>
      </c>
      <c r="Z64" s="7" t="n">
        <v>27763.7</v>
      </c>
      <c r="AB64" s="7" t="n">
        <v>363435.9</v>
      </c>
    </row>
    <row r="65">
      <c r="A65" s="4" t="inlineStr">
        <is>
          <t>能源费</t>
        </is>
      </c>
      <c r="D65" s="7" t="n">
        <v>9791</v>
      </c>
      <c r="F65" s="7" t="n">
        <v>6943.4</v>
      </c>
      <c r="H65" s="7" t="n">
        <v>9060.9</v>
      </c>
      <c r="J65" s="7" t="n">
        <v>13213.8</v>
      </c>
      <c r="L65" s="7" t="n">
        <v>20120.6</v>
      </c>
      <c r="N65" s="7" t="n">
        <v>22247.5</v>
      </c>
      <c r="P65" s="7" t="n">
        <v>13992</v>
      </c>
      <c r="R65" s="7" t="n">
        <v>9601.5</v>
      </c>
      <c r="T65" s="7" t="n">
        <v>10377.4</v>
      </c>
      <c r="V65" s="7" t="n">
        <v>20322.8</v>
      </c>
      <c r="X65" s="7" t="n">
        <v>8881.5</v>
      </c>
      <c r="Z65" s="7" t="n">
        <v>13285.2</v>
      </c>
      <c r="AB65" s="7" t="n">
        <v>157837.6</v>
      </c>
    </row>
    <row r="66">
      <c r="A66" s="4" t="inlineStr">
        <is>
          <t>水费</t>
        </is>
      </c>
      <c r="D66" s="7" t="n">
        <v>2465.7</v>
      </c>
      <c r="F66" s="7" t="n">
        <v>2262.5</v>
      </c>
      <c r="H66" s="7" t="n">
        <v>3094.7</v>
      </c>
      <c r="J66" s="7" t="n">
        <v>3981.9</v>
      </c>
      <c r="L66" s="7" t="n">
        <v>5620.9</v>
      </c>
      <c r="N66" s="7" t="n">
        <v>5327.4</v>
      </c>
      <c r="P66" s="7" t="n">
        <v>4063</v>
      </c>
      <c r="R66" s="7" t="n">
        <v>3704.9</v>
      </c>
      <c r="T66" s="7" t="n">
        <v>3398.3</v>
      </c>
      <c r="V66" s="7" t="n">
        <v>4988.3</v>
      </c>
      <c r="X66" s="7" t="n">
        <v>2338.1</v>
      </c>
      <c r="Z66" s="7" t="n">
        <v>3206.2</v>
      </c>
      <c r="AB66" s="7" t="n">
        <v>44451.9</v>
      </c>
    </row>
    <row r="67">
      <c r="A67" s="4" t="inlineStr">
        <is>
          <t>电费</t>
        </is>
      </c>
      <c r="D67" s="7" t="n">
        <v>1597.6</v>
      </c>
      <c r="F67" s="7" t="n">
        <v>1394.9</v>
      </c>
      <c r="H67" s="7" t="n">
        <v>1558.2</v>
      </c>
      <c r="J67" s="7" t="n">
        <v>3267.4</v>
      </c>
      <c r="L67" s="7" t="n">
        <v>3443.4</v>
      </c>
      <c r="N67" s="7" t="n">
        <v>6169.5</v>
      </c>
      <c r="P67" s="7" t="n">
        <v>2799.7</v>
      </c>
      <c r="R67" s="7" t="n">
        <v>1603.3</v>
      </c>
      <c r="T67" s="7" t="n">
        <v>2243.7</v>
      </c>
      <c r="V67" s="7" t="n">
        <v>4848.5</v>
      </c>
      <c r="X67" s="7" t="n">
        <v>1563.7</v>
      </c>
      <c r="Z67" s="7" t="n">
        <v>3524.2</v>
      </c>
      <c r="AB67" s="7" t="n">
        <v>34014.1</v>
      </c>
    </row>
    <row r="68">
      <c r="A68" s="4" t="inlineStr">
        <is>
          <t>燃气费</t>
        </is>
      </c>
      <c r="D68" s="7" t="n">
        <v>3119.7</v>
      </c>
      <c r="F68" s="7" t="n">
        <v>1205.1</v>
      </c>
      <c r="H68" s="7" t="n">
        <v>1654.5</v>
      </c>
      <c r="J68" s="7" t="n">
        <v>2962.6</v>
      </c>
      <c r="L68" s="7" t="n">
        <v>4853.5</v>
      </c>
      <c r="N68" s="7" t="n">
        <v>4177</v>
      </c>
      <c r="P68" s="7" t="n">
        <v>3640.1</v>
      </c>
      <c r="R68" s="7" t="n">
        <v>2241.4</v>
      </c>
      <c r="T68" s="7" t="n">
        <v>1997</v>
      </c>
      <c r="V68" s="7" t="n">
        <v>4578.9</v>
      </c>
      <c r="X68" s="7" t="n">
        <v>2965.8</v>
      </c>
      <c r="Z68" s="7" t="n">
        <v>2767.5</v>
      </c>
      <c r="AB68" s="7" t="n">
        <v>36163.1</v>
      </c>
    </row>
    <row r="69">
      <c r="A69" s="4" t="inlineStr">
        <is>
          <t>蒸汽费</t>
        </is>
      </c>
      <c r="D69" s="7" t="n">
        <v>2608</v>
      </c>
      <c r="F69" s="7" t="n">
        <v>2080.9</v>
      </c>
      <c r="H69" s="7" t="n">
        <v>2753.5</v>
      </c>
      <c r="J69" s="7" t="n">
        <v>3001.9</v>
      </c>
      <c r="L69" s="7" t="n">
        <v>6202.8</v>
      </c>
      <c r="N69" s="7" t="n">
        <v>6573.6</v>
      </c>
      <c r="P69" s="7" t="n">
        <v>3489.2</v>
      </c>
      <c r="R69" s="7" t="n">
        <v>2051.9</v>
      </c>
      <c r="T69" s="7" t="n">
        <v>2738.4</v>
      </c>
      <c r="V69" s="7" t="n">
        <v>5907.1</v>
      </c>
      <c r="X69" s="7" t="n">
        <v>2013.9</v>
      </c>
      <c r="Z69" s="7" t="n">
        <v>3787.3</v>
      </c>
      <c r="AB69" s="7" t="n">
        <v>43208.5</v>
      </c>
    </row>
    <row r="70">
      <c r="A70" s="4" t="inlineStr">
        <is>
          <t>物业费</t>
        </is>
      </c>
      <c r="D70" s="7" t="n">
        <v>1769.1</v>
      </c>
      <c r="F70" s="7" t="n">
        <v>1549.8</v>
      </c>
      <c r="H70" s="7" t="n">
        <v>2505.4</v>
      </c>
      <c r="J70" s="7" t="n">
        <v>3911.9</v>
      </c>
      <c r="L70" s="7" t="n">
        <v>5579.6</v>
      </c>
      <c r="N70" s="7" t="n">
        <v>4574.8</v>
      </c>
      <c r="P70" s="7" t="n">
        <v>2773.5</v>
      </c>
      <c r="R70" s="7" t="n">
        <v>2489.3</v>
      </c>
      <c r="T70" s="7" t="n">
        <v>2612.8</v>
      </c>
      <c r="V70" s="7" t="n">
        <v>4656.6</v>
      </c>
      <c r="X70" s="7" t="n">
        <v>2054.2</v>
      </c>
      <c r="Z70" s="7" t="n">
        <v>2574.1</v>
      </c>
      <c r="AB70" s="7" t="n">
        <v>37051.1</v>
      </c>
    </row>
    <row r="71">
      <c r="A71" s="4" t="inlineStr">
        <is>
          <t>劳动保护费</t>
        </is>
      </c>
      <c r="D71" s="7" t="n">
        <v>1088.2</v>
      </c>
      <c r="F71" s="7" t="n">
        <v>1089.3</v>
      </c>
      <c r="H71" s="7" t="n">
        <v>1326.8</v>
      </c>
      <c r="J71" s="7" t="n">
        <v>1333.4</v>
      </c>
      <c r="L71" s="7" t="n">
        <v>3108.7</v>
      </c>
      <c r="N71" s="7" t="n">
        <v>3526.8</v>
      </c>
      <c r="P71" s="7" t="n">
        <v>1956.9</v>
      </c>
      <c r="R71" s="7" t="n">
        <v>1746</v>
      </c>
      <c r="T71" s="7" t="n">
        <v>1804</v>
      </c>
      <c r="V71" s="7" t="n">
        <v>2096.1</v>
      </c>
      <c r="X71" s="7" t="n">
        <v>1655.6</v>
      </c>
      <c r="Z71" s="7" t="n">
        <v>1671.9</v>
      </c>
      <c r="AB71" s="7" t="n">
        <v>22403.7</v>
      </c>
    </row>
    <row r="72">
      <c r="A72" s="4" t="inlineStr">
        <is>
          <t>顾问费</t>
        </is>
      </c>
      <c r="D72" s="7" t="n">
        <v>2154.8</v>
      </c>
      <c r="F72" s="7" t="n">
        <v>881.5</v>
      </c>
      <c r="H72" s="7" t="n">
        <v>1210.2</v>
      </c>
      <c r="J72" s="7" t="n">
        <v>2009.7</v>
      </c>
      <c r="L72" s="7" t="n">
        <v>4519.3</v>
      </c>
      <c r="N72" s="7" t="n">
        <v>3523.3</v>
      </c>
      <c r="P72" s="7" t="n">
        <v>1772.9</v>
      </c>
      <c r="R72" s="7" t="n">
        <v>1804.6</v>
      </c>
      <c r="T72" s="7" t="n">
        <v>1771.7</v>
      </c>
      <c r="V72" s="7" t="n">
        <v>4324.7</v>
      </c>
      <c r="X72" s="7" t="n">
        <v>2315.6</v>
      </c>
      <c r="Z72" s="7" t="n">
        <v>1944.5</v>
      </c>
      <c r="AB72" s="7" t="n">
        <v>28232.8</v>
      </c>
    </row>
    <row r="73">
      <c r="A73" s="4" t="inlineStr">
        <is>
          <t>快递费</t>
        </is>
      </c>
      <c r="D73" s="7" t="n">
        <v>70.7</v>
      </c>
      <c r="F73" s="7" t="n">
        <v>63.3</v>
      </c>
      <c r="H73" s="7" t="n">
        <v>77</v>
      </c>
      <c r="J73" s="7" t="n">
        <v>80.2</v>
      </c>
      <c r="L73" s="7" t="n">
        <v>190</v>
      </c>
      <c r="N73" s="7" t="n">
        <v>206.2</v>
      </c>
      <c r="P73" s="7" t="n">
        <v>94.7</v>
      </c>
      <c r="R73" s="7" t="n">
        <v>89.5</v>
      </c>
      <c r="T73" s="7" t="n">
        <v>60.9</v>
      </c>
      <c r="V73" s="7" t="n">
        <v>208.3</v>
      </c>
      <c r="X73" s="7" t="n">
        <v>92.8</v>
      </c>
      <c r="Z73" s="7" t="n">
        <v>84.09999999999999</v>
      </c>
      <c r="AB73" s="7" t="n">
        <v>1317.7</v>
      </c>
    </row>
    <row r="74">
      <c r="A74" s="4" t="inlineStr">
        <is>
          <t>诉讼费</t>
        </is>
      </c>
      <c r="D74" s="7" t="n">
        <v>644.8</v>
      </c>
      <c r="F74" s="7" t="n">
        <v>336.8</v>
      </c>
      <c r="H74" s="7" t="n">
        <v>409.3</v>
      </c>
      <c r="J74" s="7" t="n">
        <v>903.5</v>
      </c>
      <c r="L74" s="7" t="n">
        <v>915.5</v>
      </c>
      <c r="N74" s="7" t="n">
        <v>1509.3</v>
      </c>
      <c r="P74" s="7" t="n">
        <v>738.8</v>
      </c>
      <c r="R74" s="7" t="n">
        <v>505</v>
      </c>
      <c r="T74" s="7" t="n">
        <v>688.6</v>
      </c>
      <c r="V74" s="7" t="n">
        <v>1459.6</v>
      </c>
      <c r="X74" s="7" t="n">
        <v>652.8</v>
      </c>
      <c r="Z74" s="7" t="n">
        <v>696.9</v>
      </c>
      <c r="AB74" s="7" t="n">
        <v>9460.9</v>
      </c>
    </row>
    <row r="75">
      <c r="A75" s="4" t="inlineStr">
        <is>
          <t>会员费</t>
        </is>
      </c>
      <c r="D75" s="7" t="n">
        <v>2790.4</v>
      </c>
      <c r="F75" s="7" t="n">
        <v>1223.6</v>
      </c>
      <c r="H75" s="7" t="n">
        <v>2317</v>
      </c>
      <c r="J75" s="7" t="n">
        <v>3083.3</v>
      </c>
      <c r="L75" s="7" t="n">
        <v>3415.3</v>
      </c>
      <c r="N75" s="7" t="n">
        <v>4067.4</v>
      </c>
      <c r="P75" s="7" t="n">
        <v>2026.3</v>
      </c>
      <c r="R75" s="7" t="n">
        <v>2447.5</v>
      </c>
      <c r="T75" s="7" t="n">
        <v>2558.6</v>
      </c>
      <c r="V75" s="7" t="n">
        <v>4215.5</v>
      </c>
      <c r="X75" s="7" t="n">
        <v>2266.6</v>
      </c>
      <c r="Z75" s="7" t="n">
        <v>2271.9</v>
      </c>
      <c r="AB75" s="7" t="n">
        <v>32683.4</v>
      </c>
    </row>
    <row r="76">
      <c r="A76" s="4" t="inlineStr">
        <is>
          <t>广告宣传费</t>
        </is>
      </c>
      <c r="D76" s="7" t="n">
        <v>14055.8</v>
      </c>
      <c r="F76" s="7" t="n">
        <v>9095</v>
      </c>
      <c r="H76" s="7" t="n">
        <v>8358.700000000001</v>
      </c>
      <c r="J76" s="7" t="n">
        <v>16438.8</v>
      </c>
      <c r="L76" s="7" t="n">
        <v>25829.1</v>
      </c>
      <c r="N76" s="7" t="n">
        <v>34349.2</v>
      </c>
      <c r="P76" s="7" t="n">
        <v>19892.7</v>
      </c>
      <c r="R76" s="7" t="n">
        <v>17222.1</v>
      </c>
      <c r="T76" s="7" t="n">
        <v>16369.6</v>
      </c>
      <c r="V76" s="7" t="n">
        <v>23199.1</v>
      </c>
      <c r="X76" s="7" t="n">
        <v>10767.1</v>
      </c>
      <c r="Z76" s="7" t="n">
        <v>16975.1</v>
      </c>
      <c r="AB76" s="7" t="n">
        <v>212552.3</v>
      </c>
    </row>
    <row r="77">
      <c r="A77" s="4" t="inlineStr">
        <is>
          <t>会务费</t>
        </is>
      </c>
      <c r="D77" s="7" t="n">
        <v>1973.6</v>
      </c>
      <c r="F77" s="7" t="n">
        <v>929.8</v>
      </c>
      <c r="H77" s="7" t="n">
        <v>998.4</v>
      </c>
      <c r="J77" s="7" t="n">
        <v>1448</v>
      </c>
      <c r="L77" s="7" t="n">
        <v>3741.2</v>
      </c>
      <c r="N77" s="7" t="n">
        <v>2482</v>
      </c>
      <c r="P77" s="7" t="n">
        <v>1449.1</v>
      </c>
      <c r="R77" s="7" t="n">
        <v>1695.1</v>
      </c>
      <c r="T77" s="7" t="n">
        <v>1820.7</v>
      </c>
      <c r="V77" s="7" t="n">
        <v>2378.8</v>
      </c>
      <c r="X77" s="7" t="n">
        <v>1432.9</v>
      </c>
      <c r="Z77" s="7" t="n">
        <v>1565.1</v>
      </c>
      <c r="AB77" s="7" t="n">
        <v>21914.7</v>
      </c>
    </row>
    <row r="78">
      <c r="A78" s="4" t="inlineStr">
        <is>
          <t>装修费</t>
        </is>
      </c>
      <c r="D78" s="7" t="n">
        <v>2403.3</v>
      </c>
      <c r="F78" s="7" t="n">
        <v>1209.9</v>
      </c>
      <c r="H78" s="7" t="n">
        <v>2213.6</v>
      </c>
      <c r="J78" s="7" t="n">
        <v>2650.8</v>
      </c>
      <c r="L78" s="7" t="n">
        <v>3720.4</v>
      </c>
      <c r="N78" s="7" t="n">
        <v>6240.7</v>
      </c>
      <c r="P78" s="7" t="n">
        <v>3815.3</v>
      </c>
      <c r="R78" s="7" t="n">
        <v>3452.5</v>
      </c>
      <c r="T78" s="7" t="n">
        <v>2176.9</v>
      </c>
      <c r="V78" s="7" t="n">
        <v>6620.2</v>
      </c>
      <c r="X78" s="7" t="n">
        <v>2659.2</v>
      </c>
      <c r="Z78" s="7" t="n">
        <v>3575</v>
      </c>
      <c r="AB78" s="7" t="n">
        <v>40737.8</v>
      </c>
    </row>
    <row r="79">
      <c r="A79" s="4" t="inlineStr">
        <is>
          <t>推广费</t>
        </is>
      </c>
      <c r="D79" s="7" t="n">
        <v>418</v>
      </c>
      <c r="F79" s="7" t="n">
        <v>415</v>
      </c>
      <c r="H79" s="7" t="n">
        <v>524.3</v>
      </c>
      <c r="J79" s="7" t="n">
        <v>862.5</v>
      </c>
      <c r="L79" s="7" t="n">
        <v>1008</v>
      </c>
      <c r="N79" s="7" t="n">
        <v>1383.4</v>
      </c>
      <c r="P79" s="7" t="n">
        <v>551.3</v>
      </c>
      <c r="R79" s="7" t="n">
        <v>698.1</v>
      </c>
      <c r="T79" s="7" t="n">
        <v>653.5</v>
      </c>
      <c r="V79" s="7" t="n">
        <v>1095.9</v>
      </c>
      <c r="X79" s="7" t="n">
        <v>460.6</v>
      </c>
      <c r="Z79" s="7" t="n">
        <v>817.8</v>
      </c>
      <c r="AB79" s="7" t="n">
        <v>8888.4</v>
      </c>
    </row>
    <row r="80">
      <c r="A80" s="4" t="inlineStr">
        <is>
          <t>展会费</t>
        </is>
      </c>
      <c r="D80" s="7" t="n">
        <v>328.1</v>
      </c>
      <c r="F80" s="7" t="n">
        <v>313.6</v>
      </c>
      <c r="H80" s="7" t="n">
        <v>283.5</v>
      </c>
      <c r="J80" s="7" t="n">
        <v>571.5</v>
      </c>
      <c r="L80" s="7" t="n">
        <v>595</v>
      </c>
      <c r="N80" s="7" t="n">
        <v>1120.6</v>
      </c>
      <c r="P80" s="7" t="n">
        <v>576.7</v>
      </c>
      <c r="R80" s="7" t="n">
        <v>413.4</v>
      </c>
      <c r="T80" s="7" t="n">
        <v>433.4</v>
      </c>
      <c r="V80" s="7" t="n">
        <v>916.8</v>
      </c>
      <c r="X80" s="7" t="n">
        <v>322.8</v>
      </c>
      <c r="Z80" s="7" t="n">
        <v>660.1</v>
      </c>
      <c r="AB80" s="7" t="n">
        <v>6535.5</v>
      </c>
    </row>
    <row r="81">
      <c r="A81" s="4" t="inlineStr">
        <is>
          <t>设计费</t>
        </is>
      </c>
      <c r="D81" s="7" t="n">
        <v>1358.1</v>
      </c>
      <c r="F81" s="7" t="n">
        <v>785</v>
      </c>
      <c r="H81" s="7" t="n">
        <v>938</v>
      </c>
      <c r="J81" s="7" t="n">
        <v>1531.1</v>
      </c>
      <c r="L81" s="7" t="n">
        <v>2181.9</v>
      </c>
      <c r="N81" s="7" t="n">
        <v>2587.2</v>
      </c>
      <c r="P81" s="7" t="n">
        <v>1480</v>
      </c>
      <c r="R81" s="7" t="n">
        <v>877.1</v>
      </c>
      <c r="T81" s="7" t="n">
        <v>1350.6</v>
      </c>
      <c r="V81" s="7" t="n">
        <v>1981.4</v>
      </c>
      <c r="X81" s="7" t="n">
        <v>902.5</v>
      </c>
      <c r="Z81" s="7" t="n">
        <v>1601.9</v>
      </c>
      <c r="AB81" s="7" t="n">
        <v>17574.8</v>
      </c>
    </row>
    <row r="82">
      <c r="A82" s="4" t="inlineStr">
        <is>
          <t>折旧费</t>
        </is>
      </c>
      <c r="D82" s="7" t="n">
        <v>19803.2</v>
      </c>
      <c r="F82" s="7" t="n">
        <v>14758.4</v>
      </c>
      <c r="H82" s="7" t="n">
        <v>13145.2</v>
      </c>
      <c r="J82" s="7" t="n">
        <v>26108</v>
      </c>
      <c r="L82" s="7" t="n">
        <v>43393.8</v>
      </c>
      <c r="N82" s="7" t="n">
        <v>34688.8</v>
      </c>
      <c r="P82" s="7" t="n">
        <v>26558.2</v>
      </c>
      <c r="R82" s="7" t="n">
        <v>22488.9</v>
      </c>
      <c r="T82" s="7" t="n">
        <v>18431.3</v>
      </c>
      <c r="V82" s="7" t="n">
        <v>43668.7</v>
      </c>
      <c r="X82" s="7" t="n">
        <v>12707.9</v>
      </c>
      <c r="Z82" s="7" t="n">
        <v>25771.5</v>
      </c>
      <c r="AB82" s="7" t="n">
        <v>301523.9</v>
      </c>
    </row>
    <row r="83">
      <c r="A83" s="4" t="inlineStr">
        <is>
          <t>认证费</t>
        </is>
      </c>
      <c r="D83" s="7" t="n">
        <v>1390.8</v>
      </c>
      <c r="F83" s="7" t="n">
        <v>1101.9</v>
      </c>
      <c r="H83" s="7" t="n">
        <v>1378.9</v>
      </c>
      <c r="J83" s="7" t="n">
        <v>1586.7</v>
      </c>
      <c r="L83" s="7" t="n">
        <v>2566.8</v>
      </c>
      <c r="N83" s="7" t="n">
        <v>3544.9</v>
      </c>
      <c r="P83" s="7" t="n">
        <v>1661.9</v>
      </c>
      <c r="R83" s="7" t="n">
        <v>2026.3</v>
      </c>
      <c r="T83" s="7" t="n">
        <v>2065.9</v>
      </c>
      <c r="V83" s="7" t="n">
        <v>3754</v>
      </c>
      <c r="X83" s="7" t="n">
        <v>1634</v>
      </c>
      <c r="Z83" s="7" t="n">
        <v>1845</v>
      </c>
      <c r="AB83" s="7" t="n">
        <v>24557.1</v>
      </c>
    </row>
    <row r="84">
      <c r="A84" s="4" t="inlineStr">
        <is>
          <t>样品费</t>
        </is>
      </c>
      <c r="D84" s="7" t="n">
        <v>6548.3</v>
      </c>
      <c r="F84" s="7" t="n">
        <v>6241.2</v>
      </c>
      <c r="H84" s="7" t="n">
        <v>6614</v>
      </c>
      <c r="J84" s="7" t="n">
        <v>11115.2</v>
      </c>
      <c r="L84" s="7" t="n">
        <v>16459.5</v>
      </c>
      <c r="N84" s="7" t="n">
        <v>15068</v>
      </c>
      <c r="P84" s="7" t="n">
        <v>12554.9</v>
      </c>
      <c r="R84" s="7" t="n">
        <v>10518.3</v>
      </c>
      <c r="T84" s="7" t="n">
        <v>7818</v>
      </c>
      <c r="V84" s="7" t="n">
        <v>22161.3</v>
      </c>
      <c r="X84" s="7" t="n">
        <v>8450</v>
      </c>
      <c r="Z84" s="7" t="n">
        <v>10880.4</v>
      </c>
      <c r="AB84" s="7" t="n">
        <v>134429.1</v>
      </c>
    </row>
    <row r="85">
      <c r="A85" s="4" t="inlineStr">
        <is>
          <t>劳务费</t>
        </is>
      </c>
      <c r="D85" s="7" t="n">
        <v>218.3</v>
      </c>
      <c r="F85" s="7" t="n">
        <v>138.7</v>
      </c>
      <c r="H85" s="7" t="n">
        <v>119.9</v>
      </c>
      <c r="J85" s="7" t="n">
        <v>220.6</v>
      </c>
      <c r="L85" s="7" t="n">
        <v>377.8</v>
      </c>
      <c r="N85" s="7" t="n">
        <v>501.9</v>
      </c>
      <c r="P85" s="7" t="n">
        <v>280.7</v>
      </c>
      <c r="R85" s="7" t="n">
        <v>217.6</v>
      </c>
      <c r="T85" s="7" t="n">
        <v>178.3</v>
      </c>
      <c r="V85" s="7" t="n">
        <v>367.5</v>
      </c>
      <c r="X85" s="7" t="n">
        <v>201.6</v>
      </c>
      <c r="Z85" s="7" t="n">
        <v>182.5</v>
      </c>
      <c r="AB85" s="7" t="n">
        <v>3005.4</v>
      </c>
    </row>
    <row r="86">
      <c r="A86" s="4" t="inlineStr">
        <is>
          <t>销售佣金</t>
        </is>
      </c>
      <c r="D86" s="7" t="n">
        <v>2147.6</v>
      </c>
      <c r="F86" s="7" t="n">
        <v>957.1</v>
      </c>
      <c r="H86" s="7" t="n">
        <v>1412.6</v>
      </c>
      <c r="J86" s="7" t="n">
        <v>1573.6</v>
      </c>
      <c r="L86" s="7" t="n">
        <v>4092.5</v>
      </c>
      <c r="N86" s="7" t="n">
        <v>2875</v>
      </c>
      <c r="P86" s="7" t="n">
        <v>2254.8</v>
      </c>
      <c r="R86" s="7" t="n">
        <v>1876.4</v>
      </c>
      <c r="T86" s="7" t="n">
        <v>1433</v>
      </c>
      <c r="V86" s="7" t="n">
        <v>3068.3</v>
      </c>
      <c r="X86" s="7" t="n">
        <v>1639.1</v>
      </c>
      <c r="Z86" s="7" t="n">
        <v>2009.9</v>
      </c>
      <c r="AB86" s="7" t="n">
        <v>25339.9</v>
      </c>
    </row>
    <row r="87">
      <c r="A87" s="4" t="inlineStr">
        <is>
          <t>检测费</t>
        </is>
      </c>
      <c r="D87" s="7" t="n">
        <v>552.8</v>
      </c>
      <c r="F87" s="7" t="n">
        <v>241.7</v>
      </c>
      <c r="H87" s="7" t="n">
        <v>377</v>
      </c>
      <c r="J87" s="7" t="n">
        <v>616.5</v>
      </c>
      <c r="L87" s="7" t="n">
        <v>1018.8</v>
      </c>
      <c r="N87" s="7" t="n">
        <v>988.6</v>
      </c>
      <c r="P87" s="7" t="n">
        <v>460.8</v>
      </c>
      <c r="R87" s="7" t="n">
        <v>623.2</v>
      </c>
      <c r="T87" s="7" t="n">
        <v>617.4</v>
      </c>
      <c r="V87" s="7" t="n">
        <v>850.3</v>
      </c>
      <c r="X87" s="7" t="n">
        <v>591.9</v>
      </c>
      <c r="Z87" s="7" t="n">
        <v>540.8</v>
      </c>
      <c r="AB87" s="7" t="n">
        <v>7479.8</v>
      </c>
    </row>
    <row r="88">
      <c r="A88" s="4" t="inlineStr">
        <is>
          <t>质量赔偿</t>
        </is>
      </c>
      <c r="D88" s="7" t="n">
        <v>1178.8</v>
      </c>
      <c r="F88" s="7" t="n">
        <v>598.7</v>
      </c>
      <c r="H88" s="7" t="n">
        <v>922.7</v>
      </c>
      <c r="J88" s="7" t="n">
        <v>1152.8</v>
      </c>
      <c r="L88" s="7" t="n">
        <v>2236.5</v>
      </c>
      <c r="N88" s="7" t="n">
        <v>1948.7</v>
      </c>
      <c r="P88" s="7" t="n">
        <v>1101.9</v>
      </c>
      <c r="R88" s="7" t="n">
        <v>1050.7</v>
      </c>
      <c r="T88" s="7" t="n">
        <v>888</v>
      </c>
      <c r="V88" s="7" t="n">
        <v>1941</v>
      </c>
      <c r="X88" s="7" t="n">
        <v>877.7</v>
      </c>
      <c r="Z88" s="7" t="n">
        <v>989.7</v>
      </c>
      <c r="AB88" s="7" t="n">
        <v>14887.2</v>
      </c>
    </row>
    <row r="89">
      <c r="A89" s="4" t="inlineStr">
        <is>
          <t>保险费</t>
        </is>
      </c>
      <c r="D89" s="7" t="n">
        <v>497.3</v>
      </c>
      <c r="F89" s="7" t="n">
        <v>305</v>
      </c>
      <c r="H89" s="7" t="n">
        <v>321.7</v>
      </c>
      <c r="J89" s="7" t="n">
        <v>685.1</v>
      </c>
      <c r="L89" s="7" t="n">
        <v>1099.9</v>
      </c>
      <c r="N89" s="7" t="n">
        <v>864.6</v>
      </c>
      <c r="P89" s="7" t="n">
        <v>633</v>
      </c>
      <c r="R89" s="7" t="n">
        <v>572.3</v>
      </c>
      <c r="T89" s="7" t="n">
        <v>362</v>
      </c>
      <c r="V89" s="7" t="n">
        <v>1277.4</v>
      </c>
      <c r="X89" s="7" t="n">
        <v>518.9</v>
      </c>
      <c r="Z89" s="7" t="n">
        <v>818.4</v>
      </c>
      <c r="AB89" s="7" t="n">
        <v>7955.6</v>
      </c>
    </row>
    <row r="90">
      <c r="A90" s="4" t="inlineStr">
        <is>
          <t>清洁费</t>
        </is>
      </c>
      <c r="D90" s="7" t="n">
        <v>1597.2</v>
      </c>
      <c r="F90" s="7" t="n">
        <v>1025.2</v>
      </c>
      <c r="H90" s="7" t="n">
        <v>1270.6</v>
      </c>
      <c r="J90" s="7" t="n">
        <v>2520.6</v>
      </c>
      <c r="L90" s="7" t="n">
        <v>3870</v>
      </c>
      <c r="N90" s="7" t="n">
        <v>4548.6</v>
      </c>
      <c r="P90" s="7" t="n">
        <v>2088.9</v>
      </c>
      <c r="R90" s="7" t="n">
        <v>2082.1</v>
      </c>
      <c r="T90" s="7" t="n">
        <v>1831.3</v>
      </c>
      <c r="V90" s="7" t="n">
        <v>2873.9</v>
      </c>
      <c r="X90" s="7" t="n">
        <v>1158</v>
      </c>
      <c r="Z90" s="7" t="n">
        <v>1566.9</v>
      </c>
      <c r="AB90" s="7" t="n">
        <v>26433.3</v>
      </c>
    </row>
    <row r="91">
      <c r="A91" s="4" t="inlineStr">
        <is>
          <t>低值易耗品</t>
        </is>
      </c>
      <c r="D91" s="7" t="n">
        <v>2094.7</v>
      </c>
      <c r="F91" s="7" t="n">
        <v>1168.8</v>
      </c>
      <c r="H91" s="7" t="n">
        <v>2553.7</v>
      </c>
      <c r="J91" s="7" t="n">
        <v>3324.4</v>
      </c>
      <c r="L91" s="7" t="n">
        <v>5173.7</v>
      </c>
      <c r="N91" s="7" t="n">
        <v>5605.1</v>
      </c>
      <c r="P91" s="7" t="n">
        <v>2190.2</v>
      </c>
      <c r="R91" s="7" t="n">
        <v>1873.1</v>
      </c>
      <c r="T91" s="7" t="n">
        <v>1714.1</v>
      </c>
      <c r="V91" s="7" t="n">
        <v>3611.4</v>
      </c>
      <c r="X91" s="7" t="n">
        <v>1607.4</v>
      </c>
      <c r="Z91" s="7" t="n">
        <v>3601.5</v>
      </c>
      <c r="AB91" s="7" t="n">
        <v>34518.1</v>
      </c>
    </row>
    <row r="92">
      <c r="A92" s="4" t="inlineStr">
        <is>
          <t>物料消耗</t>
        </is>
      </c>
      <c r="D92" s="7" t="n">
        <v>2329.2</v>
      </c>
      <c r="F92" s="7" t="n">
        <v>1340.5</v>
      </c>
      <c r="H92" s="7" t="n">
        <v>2616.8</v>
      </c>
      <c r="J92" s="7" t="n">
        <v>3146</v>
      </c>
      <c r="L92" s="7" t="n">
        <v>4326.3</v>
      </c>
      <c r="N92" s="7" t="n">
        <v>6529</v>
      </c>
      <c r="P92" s="7" t="n">
        <v>2690.8</v>
      </c>
      <c r="R92" s="7" t="n">
        <v>2739.9</v>
      </c>
      <c r="T92" s="7" t="n">
        <v>1661.1</v>
      </c>
      <c r="V92" s="7" t="n">
        <v>4479.1</v>
      </c>
      <c r="X92" s="7" t="n">
        <v>2260.8</v>
      </c>
      <c r="Z92" s="7" t="n">
        <v>2817.8</v>
      </c>
      <c r="AB92" s="7" t="n">
        <v>36937.3</v>
      </c>
    </row>
    <row r="93">
      <c r="A93" s="4" t="inlineStr">
        <is>
          <t>盘盈盘亏</t>
        </is>
      </c>
      <c r="D93" s="7" t="n">
        <v>1030.4</v>
      </c>
      <c r="F93" s="7" t="n">
        <v>554.8</v>
      </c>
      <c r="H93" s="7" t="n">
        <v>758.1</v>
      </c>
      <c r="J93" s="7" t="n">
        <v>1262.6</v>
      </c>
      <c r="L93" s="7" t="n">
        <v>1872.6</v>
      </c>
      <c r="N93" s="7" t="n">
        <v>2608.2</v>
      </c>
      <c r="P93" s="7" t="n">
        <v>1338.1</v>
      </c>
      <c r="R93" s="7" t="n">
        <v>731.4</v>
      </c>
      <c r="T93" s="7" t="n">
        <v>1125.8</v>
      </c>
      <c r="V93" s="7" t="n">
        <v>1748.2</v>
      </c>
      <c r="X93" s="7" t="n">
        <v>790.8</v>
      </c>
      <c r="Z93" s="7" t="n">
        <v>1337.1</v>
      </c>
      <c r="AB93" s="7" t="n">
        <v>15158.1</v>
      </c>
    </row>
    <row r="94">
      <c r="A94" s="4" t="inlineStr">
        <is>
          <t>平台服务费</t>
        </is>
      </c>
      <c r="D94" s="7" t="n">
        <v>124.4</v>
      </c>
      <c r="F94" s="7" t="n">
        <v>45.4</v>
      </c>
      <c r="H94" s="7" t="n">
        <v>83.09999999999999</v>
      </c>
      <c r="J94" s="7" t="n">
        <v>120.5</v>
      </c>
      <c r="L94" s="7" t="n">
        <v>216.9</v>
      </c>
      <c r="N94" s="7" t="n">
        <v>223.1</v>
      </c>
      <c r="P94" s="7" t="n">
        <v>85.8</v>
      </c>
      <c r="R94" s="7" t="n">
        <v>121.3</v>
      </c>
      <c r="T94" s="7" t="n">
        <v>132.8</v>
      </c>
      <c r="V94" s="7" t="n">
        <v>213</v>
      </c>
      <c r="X94" s="7" t="n">
        <v>101.7</v>
      </c>
      <c r="Z94" s="7" t="n">
        <v>167.5</v>
      </c>
      <c r="AB94" s="7" t="n">
        <v>1635.5</v>
      </c>
    </row>
    <row r="95">
      <c r="A95" s="4" t="inlineStr">
        <is>
          <t>无形资产摊销</t>
        </is>
      </c>
      <c r="D95" s="7" t="n">
        <v>1025</v>
      </c>
      <c r="F95" s="7" t="n">
        <v>890.8</v>
      </c>
      <c r="H95" s="7" t="n">
        <v>1254.2</v>
      </c>
      <c r="J95" s="7" t="n">
        <v>1351.5</v>
      </c>
      <c r="L95" s="7" t="n">
        <v>2829.5</v>
      </c>
      <c r="N95" s="7" t="n">
        <v>2475.2</v>
      </c>
      <c r="P95" s="7" t="n">
        <v>1278.1</v>
      </c>
      <c r="R95" s="7" t="n">
        <v>1547.7</v>
      </c>
      <c r="T95" s="7" t="n">
        <v>1426.7</v>
      </c>
      <c r="V95" s="7" t="n">
        <v>3031.6</v>
      </c>
      <c r="X95" s="7" t="n">
        <v>1003.4</v>
      </c>
      <c r="Z95" s="7" t="n">
        <v>1558.5</v>
      </c>
      <c r="AB95" s="7" t="n">
        <v>19672.2</v>
      </c>
    </row>
    <row r="96">
      <c r="A96" s="4" t="inlineStr">
        <is>
          <t>研发材料</t>
        </is>
      </c>
      <c r="D96" s="7" t="n">
        <v>390.1</v>
      </c>
      <c r="F96" s="7" t="n">
        <v>285.9</v>
      </c>
      <c r="H96" s="7" t="n">
        <v>346.9</v>
      </c>
      <c r="J96" s="7" t="n">
        <v>556.1</v>
      </c>
      <c r="L96" s="7" t="n">
        <v>1197.4</v>
      </c>
      <c r="N96" s="7" t="n">
        <v>1316.8</v>
      </c>
      <c r="P96" s="7" t="n">
        <v>606.8</v>
      </c>
      <c r="R96" s="7" t="n">
        <v>633.7</v>
      </c>
      <c r="T96" s="7" t="n">
        <v>530.1</v>
      </c>
      <c r="V96" s="7" t="n">
        <v>1015.5</v>
      </c>
      <c r="X96" s="7" t="n">
        <v>473.8</v>
      </c>
      <c r="Z96" s="7" t="n">
        <v>564.9</v>
      </c>
      <c r="AB96" s="7" t="n">
        <v>7918</v>
      </c>
    </row>
    <row r="97">
      <c r="A97" s="4" t="inlineStr">
        <is>
          <t>项目名称</t>
        </is>
      </c>
      <c r="D97" s="7" t="n">
        <v>1495.5</v>
      </c>
      <c r="F97" s="7" t="n">
        <v>696.7</v>
      </c>
      <c r="H97" s="7" t="n">
        <v>985.5</v>
      </c>
      <c r="J97" s="7" t="n">
        <v>1353.7</v>
      </c>
      <c r="L97" s="7" t="n">
        <v>2027.4</v>
      </c>
      <c r="N97" s="7" t="n">
        <v>2268.5</v>
      </c>
      <c r="P97" s="7" t="n">
        <v>1716.4</v>
      </c>
      <c r="R97" s="7" t="n">
        <v>1549.2</v>
      </c>
      <c r="T97" s="7" t="n">
        <v>1381.5</v>
      </c>
      <c r="V97" s="7" t="n">
        <v>2112.6</v>
      </c>
      <c r="X97" s="7" t="n">
        <v>946.5</v>
      </c>
      <c r="Z97" s="7" t="n">
        <v>1135.8</v>
      </c>
      <c r="AB97" s="7" t="n">
        <v>17669.3</v>
      </c>
    </row>
    <row r="98">
      <c r="A98" s="4" t="inlineStr">
        <is>
          <t>研发费</t>
        </is>
      </c>
      <c r="D98" s="7" t="n">
        <v>2901.3</v>
      </c>
      <c r="F98" s="7" t="n">
        <v>1569.2</v>
      </c>
      <c r="H98" s="7" t="n">
        <v>2937.9</v>
      </c>
      <c r="J98" s="7" t="n">
        <v>3696.7</v>
      </c>
      <c r="L98" s="7" t="n">
        <v>5924.4</v>
      </c>
      <c r="N98" s="7" t="n">
        <v>5100</v>
      </c>
      <c r="P98" s="7" t="n">
        <v>3541.9</v>
      </c>
      <c r="R98" s="7" t="n">
        <v>3419.6</v>
      </c>
      <c r="T98" s="7" t="n">
        <v>2375.1</v>
      </c>
      <c r="V98" s="7" t="n">
        <v>5283.1</v>
      </c>
      <c r="X98" s="7" t="n">
        <v>2110</v>
      </c>
      <c r="Z98" s="7" t="n">
        <v>4275.2</v>
      </c>
      <c r="AB98" s="7" t="n">
        <v>43134.4</v>
      </c>
    </row>
    <row r="99">
      <c r="A99" s="4" t="inlineStr">
        <is>
          <t>残保金</t>
        </is>
      </c>
      <c r="D99" s="7" t="n">
        <v>2282.3</v>
      </c>
      <c r="F99" s="7" t="n">
        <v>1662.9</v>
      </c>
      <c r="H99" s="7" t="n">
        <v>2527.9</v>
      </c>
      <c r="J99" s="7" t="n">
        <v>3756.5</v>
      </c>
      <c r="L99" s="7" t="n">
        <v>5216.4</v>
      </c>
      <c r="N99" s="7" t="n">
        <v>4647.3</v>
      </c>
      <c r="P99" s="7" t="n">
        <v>2247</v>
      </c>
      <c r="R99" s="7" t="n">
        <v>2469.9</v>
      </c>
      <c r="T99" s="7" t="n">
        <v>2555.6</v>
      </c>
      <c r="V99" s="7" t="n">
        <v>5661.3</v>
      </c>
      <c r="X99" s="7" t="n">
        <v>2435.1</v>
      </c>
      <c r="Z99" s="7" t="n">
        <v>4292.5</v>
      </c>
      <c r="AB99" s="7" t="n">
        <v>39754.7</v>
      </c>
    </row>
    <row r="100">
      <c r="A100" s="4" t="inlineStr">
        <is>
          <t>环保费</t>
        </is>
      </c>
      <c r="D100" s="7" t="n">
        <v>3300.4</v>
      </c>
      <c r="F100" s="7" t="n">
        <v>1882</v>
      </c>
      <c r="H100" s="7" t="n">
        <v>2994.7</v>
      </c>
      <c r="J100" s="7" t="n">
        <v>3919.7</v>
      </c>
      <c r="L100" s="7" t="n">
        <v>6887.6</v>
      </c>
      <c r="N100" s="7" t="n">
        <v>5729.5</v>
      </c>
      <c r="P100" s="7" t="n">
        <v>2952.1</v>
      </c>
      <c r="R100" s="7" t="n">
        <v>2365.1</v>
      </c>
      <c r="T100" s="7" t="n">
        <v>2131.8</v>
      </c>
      <c r="V100" s="7" t="n">
        <v>7419</v>
      </c>
      <c r="X100" s="7" t="n">
        <v>2900.9</v>
      </c>
      <c r="Z100" s="7" t="n">
        <v>2981.9</v>
      </c>
      <c r="AB100" s="7" t="n">
        <v>45464.7</v>
      </c>
    </row>
    <row r="101">
      <c r="A101" s="4" t="inlineStr">
        <is>
          <t>报废损失</t>
        </is>
      </c>
      <c r="D101" s="7" t="n">
        <v>1611.9</v>
      </c>
      <c r="F101" s="7" t="n">
        <v>1274.2</v>
      </c>
      <c r="H101" s="7" t="n">
        <v>1308.3</v>
      </c>
      <c r="J101" s="7" t="n">
        <v>2424.2</v>
      </c>
      <c r="L101" s="7" t="n">
        <v>4915.2</v>
      </c>
      <c r="N101" s="7" t="n">
        <v>4702</v>
      </c>
      <c r="P101" s="7" t="n">
        <v>1982.4</v>
      </c>
      <c r="R101" s="7" t="n">
        <v>2340.1</v>
      </c>
      <c r="T101" s="7" t="n">
        <v>2476.6</v>
      </c>
      <c r="V101" s="7" t="n">
        <v>3870.5</v>
      </c>
      <c r="X101" s="7" t="n">
        <v>1914.1</v>
      </c>
      <c r="Z101" s="7" t="n">
        <v>2820.5</v>
      </c>
      <c r="AB101" s="7" t="n">
        <v>31640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163681.6</v>
      </c>
      <c r="D102" s="7" t="n">
        <v>146163.3</v>
      </c>
      <c r="E102" s="7" t="n">
        <v>196467.8</v>
      </c>
      <c r="F102" s="7" t="n">
        <v>94840.39999999999</v>
      </c>
      <c r="G102" s="7" t="n">
        <v>175475.1</v>
      </c>
      <c r="H102" s="7" t="n">
        <v>135708.1</v>
      </c>
      <c r="I102" s="7" t="n">
        <v>163402.3</v>
      </c>
      <c r="J102" s="7" t="n">
        <v>117948.9</v>
      </c>
      <c r="K102" s="7" t="n">
        <v>162215.9</v>
      </c>
      <c r="L102" s="7" t="n">
        <v>173116.2</v>
      </c>
      <c r="M102" s="7" t="n">
        <v>196277.6</v>
      </c>
      <c r="N102" s="7" t="n">
        <v>222741.1</v>
      </c>
      <c r="O102" s="7" t="n">
        <v>181291</v>
      </c>
      <c r="P102" s="7" t="n">
        <v>216796.3</v>
      </c>
      <c r="Q102" s="7" t="n">
        <v>203135.3</v>
      </c>
      <c r="R102" s="7" t="n">
        <v>313782.5</v>
      </c>
      <c r="S102" s="7" t="n">
        <v>203457</v>
      </c>
      <c r="T102" s="7" t="n">
        <v>132115.6</v>
      </c>
      <c r="U102" s="7" t="n">
        <v>184993.7</v>
      </c>
      <c r="V102" s="7" t="n">
        <v>269587.9</v>
      </c>
      <c r="W102" s="7" t="n">
        <v>188633</v>
      </c>
      <c r="X102" s="7" t="n">
        <v>196460.7</v>
      </c>
      <c r="Y102" s="7" t="n">
        <v>166371.1</v>
      </c>
      <c r="Z102" s="7" t="n">
        <v>181670.8</v>
      </c>
      <c r="AA102" s="8" t="n">
        <v>2185401.4</v>
      </c>
      <c r="AB102" s="8" t="n">
        <v>2200931.8</v>
      </c>
    </row>
    <row r="103">
      <c r="A103" s="4" t="inlineStr">
        <is>
          <t>职工薪酬</t>
        </is>
      </c>
      <c r="D103" s="7" t="n">
        <v>67331.10000000001</v>
      </c>
      <c r="F103" s="7" t="n">
        <v>46160.8</v>
      </c>
      <c r="H103" s="7" t="n">
        <v>63957.5</v>
      </c>
      <c r="J103" s="7" t="n">
        <v>62800.2</v>
      </c>
      <c r="L103" s="7" t="n">
        <v>71727.8</v>
      </c>
      <c r="N103" s="7" t="n">
        <v>106789</v>
      </c>
      <c r="P103" s="7" t="n">
        <v>111323.6</v>
      </c>
      <c r="R103" s="7" t="n">
        <v>145387.2</v>
      </c>
      <c r="T103" s="7" t="n">
        <v>80267.8</v>
      </c>
      <c r="V103" s="7" t="n">
        <v>126423.7</v>
      </c>
      <c r="X103" s="7" t="n">
        <v>88042.3</v>
      </c>
      <c r="Z103" s="7" t="n">
        <v>105283.4</v>
      </c>
      <c r="AB103" s="7" t="n">
        <v>1075494.4</v>
      </c>
    </row>
    <row r="104">
      <c r="A104" s="4" t="inlineStr">
        <is>
          <t>工资</t>
        </is>
      </c>
      <c r="D104" s="7" t="n">
        <v>38543.6</v>
      </c>
      <c r="F104" s="7" t="n">
        <v>24344.3</v>
      </c>
      <c r="H104" s="7" t="n">
        <v>36492.7</v>
      </c>
      <c r="J104" s="7" t="n">
        <v>33004.4</v>
      </c>
      <c r="L104" s="7" t="n">
        <v>38991.9</v>
      </c>
      <c r="N104" s="7" t="n">
        <v>55709.3</v>
      </c>
      <c r="P104" s="7" t="n">
        <v>66679.39999999999</v>
      </c>
      <c r="R104" s="7" t="n">
        <v>86848</v>
      </c>
      <c r="T104" s="7" t="n">
        <v>48790.7</v>
      </c>
      <c r="V104" s="7" t="n">
        <v>71007.39999999999</v>
      </c>
      <c r="X104" s="7" t="n">
        <v>47748.2</v>
      </c>
      <c r="Z104" s="7" t="n">
        <v>65253.7</v>
      </c>
      <c r="AB104" s="7" t="n">
        <v>613413.6</v>
      </c>
    </row>
    <row r="105">
      <c r="A105" s="4" t="inlineStr">
        <is>
          <t>奖金及提成</t>
        </is>
      </c>
      <c r="D105" s="7" t="n">
        <v>11613.3</v>
      </c>
      <c r="F105" s="7" t="n">
        <v>10455.7</v>
      </c>
      <c r="H105" s="7" t="n">
        <v>10604.8</v>
      </c>
      <c r="J105" s="7" t="n">
        <v>14328.3</v>
      </c>
      <c r="L105" s="7" t="n">
        <v>14142.6</v>
      </c>
      <c r="N105" s="7" t="n">
        <v>21706.4</v>
      </c>
      <c r="P105" s="7" t="n">
        <v>17557.6</v>
      </c>
      <c r="R105" s="7" t="n">
        <v>29619.4</v>
      </c>
      <c r="T105" s="7" t="n">
        <v>14448.3</v>
      </c>
      <c r="V105" s="7" t="n">
        <v>19173.9</v>
      </c>
      <c r="X105" s="7" t="n">
        <v>16486.9</v>
      </c>
      <c r="Z105" s="7" t="n">
        <v>17630.4</v>
      </c>
      <c r="AB105" s="7" t="n">
        <v>197767.6</v>
      </c>
    </row>
    <row r="106">
      <c r="A106" s="4" t="inlineStr">
        <is>
          <t>社保</t>
        </is>
      </c>
      <c r="D106" s="7" t="n">
        <v>12250.4</v>
      </c>
      <c r="F106" s="7" t="n">
        <v>7607.4</v>
      </c>
      <c r="H106" s="7" t="n">
        <v>12114.8</v>
      </c>
      <c r="J106" s="7" t="n">
        <v>11140</v>
      </c>
      <c r="L106" s="7" t="n">
        <v>12987.1</v>
      </c>
      <c r="N106" s="7" t="n">
        <v>21257.2</v>
      </c>
      <c r="P106" s="7" t="n">
        <v>20790.2</v>
      </c>
      <c r="R106" s="7" t="n">
        <v>18063.9</v>
      </c>
      <c r="T106" s="7" t="n">
        <v>12417.6</v>
      </c>
      <c r="V106" s="7" t="n">
        <v>27889.3</v>
      </c>
      <c r="X106" s="7" t="n">
        <v>17142</v>
      </c>
      <c r="Z106" s="7" t="n">
        <v>16371.5</v>
      </c>
      <c r="AB106" s="7" t="n">
        <v>190031.4</v>
      </c>
    </row>
    <row r="107">
      <c r="A107" s="4" t="inlineStr">
        <is>
          <t>养老</t>
        </is>
      </c>
      <c r="D107" s="7" t="n">
        <v>895.5</v>
      </c>
      <c r="F107" s="7" t="n">
        <v>484.5</v>
      </c>
      <c r="H107" s="7" t="n">
        <v>919.7</v>
      </c>
      <c r="J107" s="7" t="n">
        <v>885.1</v>
      </c>
      <c r="L107" s="7" t="n">
        <v>806.4</v>
      </c>
      <c r="N107" s="7" t="n">
        <v>1550</v>
      </c>
      <c r="P107" s="7" t="n">
        <v>961.4</v>
      </c>
      <c r="R107" s="7" t="n">
        <v>2026.2</v>
      </c>
      <c r="T107" s="7" t="n">
        <v>771.3</v>
      </c>
      <c r="V107" s="7" t="n">
        <v>1956.5</v>
      </c>
      <c r="X107" s="7" t="n">
        <v>853.7</v>
      </c>
      <c r="Z107" s="7" t="n">
        <v>917.1</v>
      </c>
      <c r="AB107" s="7" t="n">
        <v>13027.4</v>
      </c>
    </row>
    <row r="108">
      <c r="A108" s="4" t="inlineStr">
        <is>
          <t>医疗</t>
        </is>
      </c>
      <c r="D108" s="7" t="n">
        <v>839.2</v>
      </c>
      <c r="F108" s="7" t="n">
        <v>744.5</v>
      </c>
      <c r="H108" s="7" t="n">
        <v>649.9</v>
      </c>
      <c r="J108" s="7" t="n">
        <v>643.2</v>
      </c>
      <c r="L108" s="7" t="n">
        <v>1326.8</v>
      </c>
      <c r="N108" s="7" t="n">
        <v>1742.6</v>
      </c>
      <c r="P108" s="7" t="n">
        <v>1791.5</v>
      </c>
      <c r="R108" s="7" t="n">
        <v>1631.4</v>
      </c>
      <c r="T108" s="7" t="n">
        <v>1023.5</v>
      </c>
      <c r="V108" s="7" t="n">
        <v>1871.8</v>
      </c>
      <c r="X108" s="7" t="n">
        <v>1111.3</v>
      </c>
      <c r="Z108" s="7" t="n">
        <v>1106.1</v>
      </c>
      <c r="AB108" s="7" t="n">
        <v>14481.8</v>
      </c>
    </row>
    <row r="109">
      <c r="A109" s="4" t="inlineStr">
        <is>
          <t>工伤</t>
        </is>
      </c>
      <c r="D109" s="7" t="n">
        <v>199.9</v>
      </c>
      <c r="F109" s="7" t="n">
        <v>128.2</v>
      </c>
      <c r="H109" s="7" t="n">
        <v>185.8</v>
      </c>
      <c r="J109" s="7" t="n">
        <v>161.9</v>
      </c>
      <c r="L109" s="7" t="n">
        <v>168.5</v>
      </c>
      <c r="N109" s="7" t="n">
        <v>206.4</v>
      </c>
      <c r="P109" s="7" t="n">
        <v>333.9</v>
      </c>
      <c r="R109" s="7" t="n">
        <v>400.4</v>
      </c>
      <c r="T109" s="7" t="n">
        <v>131.9</v>
      </c>
      <c r="V109" s="7" t="n">
        <v>250.4</v>
      </c>
      <c r="X109" s="7" t="n">
        <v>182.2</v>
      </c>
      <c r="Z109" s="7" t="n">
        <v>203</v>
      </c>
      <c r="AB109" s="7" t="n">
        <v>2552.5</v>
      </c>
    </row>
    <row r="110">
      <c r="A110" s="4" t="inlineStr">
        <is>
          <t>失业</t>
        </is>
      </c>
      <c r="D110" s="7" t="n">
        <v>788.1</v>
      </c>
      <c r="F110" s="7" t="n">
        <v>756.4</v>
      </c>
      <c r="H110" s="7" t="n">
        <v>739.2</v>
      </c>
      <c r="J110" s="7" t="n">
        <v>637.8</v>
      </c>
      <c r="L110" s="7" t="n">
        <v>959.2</v>
      </c>
      <c r="N110" s="7" t="n">
        <v>1420.8</v>
      </c>
      <c r="P110" s="7" t="n">
        <v>1044</v>
      </c>
      <c r="R110" s="7" t="n">
        <v>2275.5</v>
      </c>
      <c r="T110" s="7" t="n">
        <v>946.8</v>
      </c>
      <c r="V110" s="7" t="n">
        <v>1676.8</v>
      </c>
      <c r="X110" s="7" t="n">
        <v>1243.8</v>
      </c>
      <c r="Z110" s="7" t="n">
        <v>1487.9</v>
      </c>
      <c r="AB110" s="7" t="n">
        <v>13976.3</v>
      </c>
    </row>
    <row r="111">
      <c r="A111" s="4" t="inlineStr">
        <is>
          <t>生育</t>
        </is>
      </c>
      <c r="D111" s="7" t="n">
        <v>12.5</v>
      </c>
      <c r="F111" s="7" t="n">
        <v>5.2</v>
      </c>
      <c r="H111" s="7" t="n">
        <v>9.4</v>
      </c>
      <c r="J111" s="7" t="n">
        <v>8.800000000000001</v>
      </c>
      <c r="L111" s="7" t="n">
        <v>14</v>
      </c>
      <c r="N111" s="7" t="n">
        <v>13.9</v>
      </c>
      <c r="P111" s="7" t="n">
        <v>18.9</v>
      </c>
      <c r="R111" s="7" t="n">
        <v>16.2</v>
      </c>
      <c r="T111" s="7" t="n">
        <v>8</v>
      </c>
      <c r="V111" s="7" t="n">
        <v>17.5</v>
      </c>
      <c r="X111" s="7" t="n">
        <v>10.1</v>
      </c>
      <c r="Z111" s="7" t="n">
        <v>16.1</v>
      </c>
      <c r="AB111" s="7" t="n">
        <v>150.6</v>
      </c>
    </row>
    <row r="112">
      <c r="A112" s="4" t="inlineStr">
        <is>
          <t>公积金</t>
        </is>
      </c>
      <c r="D112" s="7" t="n">
        <v>139.1</v>
      </c>
      <c r="F112" s="7" t="n">
        <v>112.9</v>
      </c>
      <c r="H112" s="7" t="n">
        <v>178.9</v>
      </c>
      <c r="J112" s="7" t="n">
        <v>159.2</v>
      </c>
      <c r="L112" s="7" t="n">
        <v>157.6</v>
      </c>
      <c r="N112" s="7" t="n">
        <v>181.3</v>
      </c>
      <c r="P112" s="7" t="n">
        <v>212.2</v>
      </c>
      <c r="R112" s="7" t="n">
        <v>445.3</v>
      </c>
      <c r="T112" s="7" t="n">
        <v>176.2</v>
      </c>
      <c r="V112" s="7" t="n">
        <v>222.7</v>
      </c>
      <c r="X112" s="7" t="n">
        <v>228.3</v>
      </c>
      <c r="Z112" s="7" t="n">
        <v>201</v>
      </c>
      <c r="AB112" s="7" t="n">
        <v>2414.7</v>
      </c>
    </row>
    <row r="113">
      <c r="A113" s="4" t="inlineStr">
        <is>
          <t>工会经费</t>
        </is>
      </c>
      <c r="D113" s="7" t="n">
        <v>1070.3</v>
      </c>
      <c r="F113" s="7" t="n">
        <v>698</v>
      </c>
      <c r="H113" s="7" t="n">
        <v>992.5</v>
      </c>
      <c r="J113" s="7" t="n">
        <v>915.4</v>
      </c>
      <c r="L113" s="7" t="n">
        <v>762.7</v>
      </c>
      <c r="N113" s="7" t="n">
        <v>1344.5</v>
      </c>
      <c r="P113" s="7" t="n">
        <v>1073.6</v>
      </c>
      <c r="R113" s="7" t="n">
        <v>1554.3</v>
      </c>
      <c r="T113" s="7" t="n">
        <v>966.2</v>
      </c>
      <c r="V113" s="7" t="n">
        <v>1465.1</v>
      </c>
      <c r="X113" s="7" t="n">
        <v>1498.2</v>
      </c>
      <c r="Z113" s="7" t="n">
        <v>828.9</v>
      </c>
      <c r="AB113" s="7" t="n">
        <v>13169.7</v>
      </c>
    </row>
    <row r="114">
      <c r="A114" s="4" t="inlineStr">
        <is>
          <t>职工教育经费</t>
        </is>
      </c>
      <c r="D114" s="7" t="n">
        <v>884.5</v>
      </c>
      <c r="F114" s="7" t="n">
        <v>632.9</v>
      </c>
      <c r="H114" s="7" t="n">
        <v>619.8</v>
      </c>
      <c r="J114" s="7" t="n">
        <v>774.6</v>
      </c>
      <c r="L114" s="7" t="n">
        <v>903.7</v>
      </c>
      <c r="N114" s="7" t="n">
        <v>1386.5</v>
      </c>
      <c r="P114" s="7" t="n">
        <v>880.9</v>
      </c>
      <c r="R114" s="7" t="n">
        <v>2095.1</v>
      </c>
      <c r="T114" s="7" t="n">
        <v>765.7</v>
      </c>
      <c r="V114" s="7" t="n">
        <v>1604.5</v>
      </c>
      <c r="X114" s="7" t="n">
        <v>936.5</v>
      </c>
      <c r="Z114" s="7" t="n">
        <v>830.7</v>
      </c>
      <c r="AB114" s="7" t="n">
        <v>12315.4</v>
      </c>
    </row>
    <row r="115">
      <c r="A115" s="4" t="inlineStr">
        <is>
          <t>福利费</t>
        </is>
      </c>
      <c r="D115" s="7" t="n">
        <v>2829.9</v>
      </c>
      <c r="F115" s="7" t="n">
        <v>2309.6</v>
      </c>
      <c r="H115" s="7" t="n">
        <v>2954</v>
      </c>
      <c r="J115" s="7" t="n">
        <v>2478.3</v>
      </c>
      <c r="L115" s="7" t="n">
        <v>3782.2</v>
      </c>
      <c r="N115" s="7" t="n">
        <v>5203.8</v>
      </c>
      <c r="P115" s="7" t="n">
        <v>4129.7</v>
      </c>
      <c r="R115" s="7" t="n">
        <v>6761.2</v>
      </c>
      <c r="T115" s="7" t="n">
        <v>2703.1</v>
      </c>
      <c r="V115" s="7" t="n">
        <v>5060.8</v>
      </c>
      <c r="X115" s="7" t="n">
        <v>4002.2</v>
      </c>
      <c r="Z115" s="7" t="n">
        <v>4167.2</v>
      </c>
      <c r="AB115" s="7" t="n">
        <v>46382</v>
      </c>
    </row>
    <row r="116">
      <c r="A116" s="4" t="inlineStr">
        <is>
          <t>职工房租</t>
        </is>
      </c>
      <c r="D116" s="7" t="n">
        <v>544.7</v>
      </c>
      <c r="F116" s="7" t="n">
        <v>478.5</v>
      </c>
      <c r="H116" s="7" t="n">
        <v>413.3</v>
      </c>
      <c r="J116" s="7" t="n">
        <v>385.9</v>
      </c>
      <c r="L116" s="7" t="n">
        <v>756.3</v>
      </c>
      <c r="N116" s="7" t="n">
        <v>1085.4</v>
      </c>
      <c r="P116" s="7" t="n">
        <v>939.6</v>
      </c>
      <c r="R116" s="7" t="n">
        <v>1440.1</v>
      </c>
      <c r="T116" s="7" t="n">
        <v>507.4</v>
      </c>
      <c r="V116" s="7" t="n">
        <v>1284.1</v>
      </c>
      <c r="X116" s="7" t="n">
        <v>704.1</v>
      </c>
      <c r="Z116" s="7" t="n">
        <v>639</v>
      </c>
      <c r="AB116" s="7" t="n">
        <v>9178.4</v>
      </c>
    </row>
    <row r="117">
      <c r="A117" s="4" t="inlineStr">
        <is>
          <t>水电物业费</t>
        </is>
      </c>
      <c r="D117" s="7" t="n">
        <v>555.9</v>
      </c>
      <c r="F117" s="7" t="n">
        <v>400</v>
      </c>
      <c r="H117" s="7" t="n">
        <v>447.4</v>
      </c>
      <c r="J117" s="7" t="n">
        <v>422.2</v>
      </c>
      <c r="L117" s="7" t="n">
        <v>558.9</v>
      </c>
      <c r="N117" s="7" t="n">
        <v>860.5</v>
      </c>
      <c r="P117" s="7" t="n">
        <v>537.7</v>
      </c>
      <c r="R117" s="7" t="n">
        <v>847.1</v>
      </c>
      <c r="T117" s="7" t="n">
        <v>341.8</v>
      </c>
      <c r="V117" s="7" t="n">
        <v>673.8</v>
      </c>
      <c r="X117" s="7" t="n">
        <v>475.8</v>
      </c>
      <c r="Z117" s="7" t="n">
        <v>615.3</v>
      </c>
      <c r="AB117" s="7" t="n">
        <v>6736.4</v>
      </c>
    </row>
    <row r="118">
      <c r="A118" s="4" t="inlineStr">
        <is>
          <t>员工餐</t>
        </is>
      </c>
      <c r="D118" s="7" t="n">
        <v>671.4</v>
      </c>
      <c r="F118" s="7" t="n">
        <v>671.7</v>
      </c>
      <c r="H118" s="7" t="n">
        <v>1108.5</v>
      </c>
      <c r="J118" s="7" t="n">
        <v>770.8</v>
      </c>
      <c r="L118" s="7" t="n">
        <v>1298.8</v>
      </c>
      <c r="N118" s="7" t="n">
        <v>1616.5</v>
      </c>
      <c r="P118" s="7" t="n">
        <v>1002.5</v>
      </c>
      <c r="R118" s="7" t="n">
        <v>2484.2</v>
      </c>
      <c r="T118" s="7" t="n">
        <v>1075.9</v>
      </c>
      <c r="V118" s="7" t="n">
        <v>1271.1</v>
      </c>
      <c r="X118" s="7" t="n">
        <v>1509.6</v>
      </c>
      <c r="Z118" s="7" t="n">
        <v>1401.4</v>
      </c>
      <c r="AB118" s="7" t="n">
        <v>14882.4</v>
      </c>
    </row>
    <row r="119">
      <c r="A119" s="4" t="inlineStr">
        <is>
          <t>节日礼品</t>
        </is>
      </c>
      <c r="D119" s="7" t="n">
        <v>518.6</v>
      </c>
      <c r="F119" s="7" t="n">
        <v>355.3</v>
      </c>
      <c r="H119" s="7" t="n">
        <v>543.3</v>
      </c>
      <c r="J119" s="7" t="n">
        <v>397</v>
      </c>
      <c r="L119" s="7" t="n">
        <v>501.6</v>
      </c>
      <c r="N119" s="7" t="n">
        <v>745.3</v>
      </c>
      <c r="P119" s="7" t="n">
        <v>738.5</v>
      </c>
      <c r="R119" s="7" t="n">
        <v>848.9</v>
      </c>
      <c r="T119" s="7" t="n">
        <v>383.4</v>
      </c>
      <c r="V119" s="7" t="n">
        <v>907.4</v>
      </c>
      <c r="X119" s="7" t="n">
        <v>712.6</v>
      </c>
      <c r="Z119" s="7" t="n">
        <v>715.1</v>
      </c>
      <c r="AB119" s="7" t="n">
        <v>7367</v>
      </c>
    </row>
    <row r="120">
      <c r="A120" s="4" t="inlineStr">
        <is>
          <t>生日礼品</t>
        </is>
      </c>
      <c r="D120" s="7" t="n">
        <v>79.8</v>
      </c>
      <c r="F120" s="7" t="n">
        <v>54.8</v>
      </c>
      <c r="H120" s="7" t="n">
        <v>121</v>
      </c>
      <c r="J120" s="7" t="n">
        <v>107.2</v>
      </c>
      <c r="L120" s="7" t="n">
        <v>142.7</v>
      </c>
      <c r="N120" s="7" t="n">
        <v>135.8</v>
      </c>
      <c r="P120" s="7" t="n">
        <v>160.9</v>
      </c>
      <c r="R120" s="7" t="n">
        <v>182.1</v>
      </c>
      <c r="T120" s="7" t="n">
        <v>67.59999999999999</v>
      </c>
      <c r="V120" s="7" t="n">
        <v>234.8</v>
      </c>
      <c r="X120" s="7" t="n">
        <v>111.3</v>
      </c>
      <c r="Z120" s="7" t="n">
        <v>100.1</v>
      </c>
      <c r="AB120" s="7" t="n">
        <v>1498.1</v>
      </c>
    </row>
    <row r="121">
      <c r="A121" s="4" t="inlineStr">
        <is>
          <t>体检</t>
        </is>
      </c>
      <c r="D121" s="7" t="n">
        <v>187</v>
      </c>
      <c r="F121" s="7" t="n">
        <v>121.7</v>
      </c>
      <c r="H121" s="7" t="n">
        <v>134.2</v>
      </c>
      <c r="J121" s="7" t="n">
        <v>167.2</v>
      </c>
      <c r="L121" s="7" t="n">
        <v>185.9</v>
      </c>
      <c r="N121" s="7" t="n">
        <v>328</v>
      </c>
      <c r="P121" s="7" t="n">
        <v>311.8</v>
      </c>
      <c r="R121" s="7" t="n">
        <v>414.6</v>
      </c>
      <c r="T121" s="7" t="n">
        <v>107</v>
      </c>
      <c r="V121" s="7" t="n">
        <v>318.8</v>
      </c>
      <c r="X121" s="7" t="n">
        <v>185.5</v>
      </c>
      <c r="Z121" s="7" t="n">
        <v>269.8</v>
      </c>
      <c r="AB121" s="7" t="n">
        <v>2731.5</v>
      </c>
    </row>
    <row r="122">
      <c r="A122" s="4" t="inlineStr">
        <is>
          <t>其他福利支出</t>
        </is>
      </c>
      <c r="D122" s="7" t="n">
        <v>272.5</v>
      </c>
      <c r="F122" s="7" t="n">
        <v>227.6</v>
      </c>
      <c r="H122" s="7" t="n">
        <v>186.3</v>
      </c>
      <c r="J122" s="7" t="n">
        <v>228</v>
      </c>
      <c r="L122" s="7" t="n">
        <v>338</v>
      </c>
      <c r="N122" s="7" t="n">
        <v>432.3</v>
      </c>
      <c r="P122" s="7" t="n">
        <v>438.7</v>
      </c>
      <c r="R122" s="7" t="n">
        <v>544.2</v>
      </c>
      <c r="T122" s="7" t="n">
        <v>220</v>
      </c>
      <c r="V122" s="7" t="n">
        <v>370.8</v>
      </c>
      <c r="X122" s="7" t="n">
        <v>303.3</v>
      </c>
      <c r="Z122" s="7" t="n">
        <v>426.5</v>
      </c>
      <c r="AB122" s="7" t="n">
        <v>3988.2</v>
      </c>
    </row>
    <row r="123">
      <c r="A123" s="4" t="inlineStr">
        <is>
          <t>招聘费</t>
        </is>
      </c>
      <c r="D123" s="7" t="n">
        <v>545.1</v>
      </c>
      <c r="F123" s="7" t="n">
        <v>383.5</v>
      </c>
      <c r="H123" s="7" t="n">
        <v>496.9</v>
      </c>
      <c r="J123" s="7" t="n">
        <v>506.7</v>
      </c>
      <c r="L123" s="7" t="n">
        <v>853.6</v>
      </c>
      <c r="N123" s="7" t="n">
        <v>729.5</v>
      </c>
      <c r="P123" s="7" t="n">
        <v>967.9</v>
      </c>
      <c r="R123" s="7" t="n">
        <v>1260.7</v>
      </c>
      <c r="T123" s="7" t="n">
        <v>571.3</v>
      </c>
      <c r="V123" s="7" t="n">
        <v>1348.1</v>
      </c>
      <c r="X123" s="7" t="n">
        <v>742.1</v>
      </c>
      <c r="Z123" s="7" t="n">
        <v>790.4</v>
      </c>
      <c r="AB123" s="7" t="n">
        <v>9195.799999999999</v>
      </c>
    </row>
    <row r="124">
      <c r="A124" s="4" t="inlineStr">
        <is>
          <t>办公费</t>
        </is>
      </c>
      <c r="D124" s="7" t="n">
        <v>3619.8</v>
      </c>
      <c r="F124" s="7" t="n">
        <v>3609.4</v>
      </c>
      <c r="H124" s="7" t="n">
        <v>4310</v>
      </c>
      <c r="J124" s="7" t="n">
        <v>3149</v>
      </c>
      <c r="L124" s="7" t="n">
        <v>4362</v>
      </c>
      <c r="N124" s="7" t="n">
        <v>5419.2</v>
      </c>
      <c r="P124" s="7" t="n">
        <v>8147.9</v>
      </c>
      <c r="R124" s="7" t="n">
        <v>9267.6</v>
      </c>
      <c r="T124" s="7" t="n">
        <v>4664.5</v>
      </c>
      <c r="V124" s="7" t="n">
        <v>6437.8</v>
      </c>
      <c r="X124" s="7" t="n">
        <v>5394.1</v>
      </c>
      <c r="Z124" s="7" t="n">
        <v>4317.4</v>
      </c>
      <c r="AB124" s="7" t="n">
        <v>62698.7</v>
      </c>
    </row>
    <row r="125">
      <c r="A125" s="4" t="inlineStr">
        <is>
          <t>市内交通费</t>
        </is>
      </c>
      <c r="D125" s="7" t="n">
        <v>493.8</v>
      </c>
      <c r="F125" s="7" t="n">
        <v>236.7</v>
      </c>
      <c r="H125" s="7" t="n">
        <v>279.3</v>
      </c>
      <c r="J125" s="7" t="n">
        <v>383.7</v>
      </c>
      <c r="L125" s="7" t="n">
        <v>370.6</v>
      </c>
      <c r="N125" s="7" t="n">
        <v>667.6</v>
      </c>
      <c r="P125" s="7" t="n">
        <v>620.7</v>
      </c>
      <c r="R125" s="7" t="n">
        <v>1081.6</v>
      </c>
      <c r="T125" s="7" t="n">
        <v>286.5</v>
      </c>
      <c r="V125" s="7" t="n">
        <v>644.5</v>
      </c>
      <c r="X125" s="7" t="n">
        <v>400.3</v>
      </c>
      <c r="Z125" s="7" t="n">
        <v>625.2</v>
      </c>
      <c r="AB125" s="7" t="n">
        <v>6090.5</v>
      </c>
    </row>
    <row r="126">
      <c r="A126" s="4" t="inlineStr">
        <is>
          <t>差旅费</t>
        </is>
      </c>
      <c r="D126" s="7" t="n">
        <v>11164.2</v>
      </c>
      <c r="F126" s="7" t="n">
        <v>6607.5</v>
      </c>
      <c r="H126" s="7" t="n">
        <v>6766.6</v>
      </c>
      <c r="J126" s="7" t="n">
        <v>5597.7</v>
      </c>
      <c r="L126" s="7" t="n">
        <v>9251.1</v>
      </c>
      <c r="N126" s="7" t="n">
        <v>15428.9</v>
      </c>
      <c r="P126" s="7" t="n">
        <v>14577.5</v>
      </c>
      <c r="R126" s="7" t="n">
        <v>17722.4</v>
      </c>
      <c r="T126" s="7" t="n">
        <v>7622</v>
      </c>
      <c r="V126" s="7" t="n">
        <v>15818.8</v>
      </c>
      <c r="X126" s="7" t="n">
        <v>13345</v>
      </c>
      <c r="Z126" s="7" t="n">
        <v>8638.5</v>
      </c>
      <c r="AB126" s="7" t="n">
        <v>132540.2</v>
      </c>
    </row>
    <row r="127">
      <c r="A127" s="4" t="inlineStr">
        <is>
          <t>交通费</t>
        </is>
      </c>
      <c r="D127" s="7" t="n">
        <v>468.4</v>
      </c>
      <c r="F127" s="7" t="n">
        <v>288.1</v>
      </c>
      <c r="H127" s="7" t="n">
        <v>399.4</v>
      </c>
      <c r="J127" s="7" t="n">
        <v>402.1</v>
      </c>
      <c r="L127" s="7" t="n">
        <v>336.6</v>
      </c>
      <c r="N127" s="7" t="n">
        <v>552.8</v>
      </c>
      <c r="P127" s="7" t="n">
        <v>523.5</v>
      </c>
      <c r="R127" s="7" t="n">
        <v>719.3</v>
      </c>
      <c r="T127" s="7" t="n">
        <v>357</v>
      </c>
      <c r="V127" s="7" t="n">
        <v>785.7</v>
      </c>
      <c r="X127" s="7" t="n">
        <v>542.6</v>
      </c>
      <c r="Z127" s="7" t="n">
        <v>369.1</v>
      </c>
      <c r="AB127" s="7" t="n">
        <v>5744.6</v>
      </c>
    </row>
    <row r="128">
      <c r="A128" s="4" t="inlineStr">
        <is>
          <t>住宿费</t>
        </is>
      </c>
      <c r="D128" s="7" t="n">
        <v>150</v>
      </c>
      <c r="F128" s="7" t="n">
        <v>139.2</v>
      </c>
      <c r="H128" s="7" t="n">
        <v>210.7</v>
      </c>
      <c r="J128" s="7" t="n">
        <v>114.7</v>
      </c>
      <c r="L128" s="7" t="n">
        <v>200.7</v>
      </c>
      <c r="N128" s="7" t="n">
        <v>305.3</v>
      </c>
      <c r="P128" s="7" t="n">
        <v>352.4</v>
      </c>
      <c r="R128" s="7" t="n">
        <v>473</v>
      </c>
      <c r="T128" s="7" t="n">
        <v>140.9</v>
      </c>
      <c r="V128" s="7" t="n">
        <v>431.2</v>
      </c>
      <c r="X128" s="7" t="n">
        <v>197.9</v>
      </c>
      <c r="Z128" s="7" t="n">
        <v>295.2</v>
      </c>
      <c r="AB128" s="7" t="n">
        <v>3011.2</v>
      </c>
    </row>
    <row r="129">
      <c r="A129" s="4" t="inlineStr">
        <is>
          <t>餐补</t>
        </is>
      </c>
      <c r="D129" s="7" t="n">
        <v>108.3</v>
      </c>
      <c r="F129" s="7" t="n">
        <v>68.59999999999999</v>
      </c>
      <c r="H129" s="7" t="n">
        <v>77.5</v>
      </c>
      <c r="J129" s="7" t="n">
        <v>64.09999999999999</v>
      </c>
      <c r="L129" s="7" t="n">
        <v>117.6</v>
      </c>
      <c r="N129" s="7" t="n">
        <v>169.5</v>
      </c>
      <c r="P129" s="7" t="n">
        <v>151.1</v>
      </c>
      <c r="R129" s="7" t="n">
        <v>198.6</v>
      </c>
      <c r="T129" s="7" t="n">
        <v>99.90000000000001</v>
      </c>
      <c r="V129" s="7" t="n">
        <v>171.2</v>
      </c>
      <c r="X129" s="7" t="n">
        <v>124.2</v>
      </c>
      <c r="Z129" s="7" t="n">
        <v>145.6</v>
      </c>
      <c r="AB129" s="7" t="n">
        <v>1496.2</v>
      </c>
    </row>
    <row r="130">
      <c r="A130" s="4" t="inlineStr">
        <is>
          <t>交通补助</t>
        </is>
      </c>
      <c r="D130" s="7" t="n">
        <v>201.3</v>
      </c>
      <c r="F130" s="7" t="n">
        <v>214.6</v>
      </c>
      <c r="H130" s="7" t="n">
        <v>203.1</v>
      </c>
      <c r="J130" s="7" t="n">
        <v>206.5</v>
      </c>
      <c r="L130" s="7" t="n">
        <v>349.7</v>
      </c>
      <c r="N130" s="7" t="n">
        <v>319.9</v>
      </c>
      <c r="P130" s="7" t="n">
        <v>375.1</v>
      </c>
      <c r="R130" s="7" t="n">
        <v>541.6</v>
      </c>
      <c r="T130" s="7" t="n">
        <v>201.4</v>
      </c>
      <c r="V130" s="7" t="n">
        <v>633.2</v>
      </c>
      <c r="X130" s="7" t="n">
        <v>268.9</v>
      </c>
      <c r="Z130" s="7" t="n">
        <v>417.7</v>
      </c>
      <c r="AB130" s="7" t="n">
        <v>3933</v>
      </c>
    </row>
    <row r="131">
      <c r="A131" s="4" t="inlineStr">
        <is>
          <t>通讯补助</t>
        </is>
      </c>
      <c r="D131" s="7" t="n">
        <v>214</v>
      </c>
      <c r="F131" s="7" t="n">
        <v>138</v>
      </c>
      <c r="H131" s="7" t="n">
        <v>157.9</v>
      </c>
      <c r="J131" s="7" t="n">
        <v>148.8</v>
      </c>
      <c r="L131" s="7" t="n">
        <v>199.3</v>
      </c>
      <c r="N131" s="7" t="n">
        <v>311.2</v>
      </c>
      <c r="P131" s="7" t="n">
        <v>255.7</v>
      </c>
      <c r="R131" s="7" t="n">
        <v>426.1</v>
      </c>
      <c r="T131" s="7" t="n">
        <v>196.4</v>
      </c>
      <c r="V131" s="7" t="n">
        <v>340</v>
      </c>
      <c r="X131" s="7" t="n">
        <v>198.9</v>
      </c>
      <c r="Z131" s="7" t="n">
        <v>258.7</v>
      </c>
      <c r="AB131" s="7" t="n">
        <v>2845</v>
      </c>
    </row>
    <row r="132">
      <c r="A132" s="4" t="inlineStr">
        <is>
          <t>招待费</t>
        </is>
      </c>
      <c r="D132" s="7" t="n">
        <v>6719.8</v>
      </c>
      <c r="F132" s="7" t="n">
        <v>4419.7</v>
      </c>
      <c r="H132" s="7" t="n">
        <v>4186.6</v>
      </c>
      <c r="J132" s="7" t="n">
        <v>4534.9</v>
      </c>
      <c r="L132" s="7" t="n">
        <v>5384.5</v>
      </c>
      <c r="N132" s="7" t="n">
        <v>7820.1</v>
      </c>
      <c r="P132" s="7" t="n">
        <v>7008.4</v>
      </c>
      <c r="R132" s="7" t="n">
        <v>13383.6</v>
      </c>
      <c r="T132" s="7" t="n">
        <v>5965.9</v>
      </c>
      <c r="V132" s="7" t="n">
        <v>10370.2</v>
      </c>
      <c r="X132" s="7" t="n">
        <v>6183.8</v>
      </c>
      <c r="Z132" s="7" t="n">
        <v>5414.2</v>
      </c>
      <c r="AB132" s="7" t="n">
        <v>81391.7</v>
      </c>
    </row>
    <row r="133">
      <c r="A133" s="4" t="inlineStr">
        <is>
          <t>通讯费</t>
        </is>
      </c>
      <c r="D133" s="7" t="n">
        <v>155</v>
      </c>
      <c r="F133" s="7" t="n">
        <v>84</v>
      </c>
      <c r="H133" s="7" t="n">
        <v>141.8</v>
      </c>
      <c r="J133" s="7" t="n">
        <v>151</v>
      </c>
      <c r="L133" s="7" t="n">
        <v>211.7</v>
      </c>
      <c r="N133" s="7" t="n">
        <v>314.8</v>
      </c>
      <c r="P133" s="7" t="n">
        <v>199.7</v>
      </c>
      <c r="R133" s="7" t="n">
        <v>429.2</v>
      </c>
      <c r="T133" s="7" t="n">
        <v>200.2</v>
      </c>
      <c r="V133" s="7" t="n">
        <v>404.5</v>
      </c>
      <c r="X133" s="7" t="n">
        <v>245.5</v>
      </c>
      <c r="Z133" s="7" t="n">
        <v>265.4</v>
      </c>
      <c r="AB133" s="7" t="n">
        <v>2802.8</v>
      </c>
    </row>
    <row r="134">
      <c r="A134" s="4" t="inlineStr">
        <is>
          <t>网络费</t>
        </is>
      </c>
      <c r="D134" s="7" t="n">
        <v>625.7</v>
      </c>
      <c r="F134" s="7" t="n">
        <v>655.7</v>
      </c>
      <c r="H134" s="7" t="n">
        <v>745.8</v>
      </c>
      <c r="J134" s="7" t="n">
        <v>800.4</v>
      </c>
      <c r="L134" s="7" t="n">
        <v>927.6</v>
      </c>
      <c r="N134" s="7" t="n">
        <v>1347.7</v>
      </c>
      <c r="P134" s="7" t="n">
        <v>1583</v>
      </c>
      <c r="R134" s="7" t="n">
        <v>1543.9</v>
      </c>
      <c r="T134" s="7" t="n">
        <v>835.9</v>
      </c>
      <c r="V134" s="7" t="n">
        <v>1160.1</v>
      </c>
      <c r="X134" s="7" t="n">
        <v>888.5</v>
      </c>
      <c r="Z134" s="7" t="n">
        <v>1154.2</v>
      </c>
      <c r="AB134" s="7" t="n">
        <v>12268.5</v>
      </c>
    </row>
    <row r="135">
      <c r="A135" s="4" t="inlineStr">
        <is>
          <t>修理费</t>
        </is>
      </c>
      <c r="D135" s="7" t="n">
        <v>109.4</v>
      </c>
      <c r="F135" s="7" t="n">
        <v>50.6</v>
      </c>
      <c r="H135" s="7" t="n">
        <v>120.9</v>
      </c>
      <c r="J135" s="7" t="n">
        <v>81.8</v>
      </c>
      <c r="L135" s="7" t="n">
        <v>89.7</v>
      </c>
      <c r="N135" s="7" t="n">
        <v>180.3</v>
      </c>
      <c r="P135" s="7" t="n">
        <v>126.3</v>
      </c>
      <c r="R135" s="7" t="n">
        <v>160</v>
      </c>
      <c r="T135" s="7" t="n">
        <v>67.59999999999999</v>
      </c>
      <c r="V135" s="7" t="n">
        <v>247.3</v>
      </c>
      <c r="X135" s="7" t="n">
        <v>164.1</v>
      </c>
      <c r="Z135" s="7" t="n">
        <v>135.2</v>
      </c>
      <c r="AB135" s="7" t="n">
        <v>1533.2</v>
      </c>
    </row>
    <row r="136">
      <c r="A136" s="4" t="inlineStr">
        <is>
          <t>车辆费</t>
        </is>
      </c>
      <c r="D136" s="7" t="n">
        <v>173.8</v>
      </c>
      <c r="F136" s="7" t="n">
        <v>147.2</v>
      </c>
      <c r="H136" s="7" t="n">
        <v>120.9</v>
      </c>
      <c r="J136" s="7" t="n">
        <v>161.4</v>
      </c>
      <c r="L136" s="7" t="n">
        <v>196.7</v>
      </c>
      <c r="N136" s="7" t="n">
        <v>228.1</v>
      </c>
      <c r="P136" s="7" t="n">
        <v>232.7</v>
      </c>
      <c r="R136" s="7" t="n">
        <v>405</v>
      </c>
      <c r="T136" s="7" t="n">
        <v>140.9</v>
      </c>
      <c r="V136" s="7" t="n">
        <v>384.9</v>
      </c>
      <c r="X136" s="7" t="n">
        <v>314.2</v>
      </c>
      <c r="Z136" s="7" t="n">
        <v>237.7</v>
      </c>
      <c r="AB136" s="7" t="n">
        <v>2743.5</v>
      </c>
    </row>
    <row r="137">
      <c r="A137" s="4" t="inlineStr">
        <is>
          <t>租赁费</t>
        </is>
      </c>
      <c r="D137" s="7" t="n">
        <v>5825.4</v>
      </c>
      <c r="F137" s="7" t="n">
        <v>4508.5</v>
      </c>
      <c r="H137" s="7" t="n">
        <v>8048.8</v>
      </c>
      <c r="J137" s="7" t="n">
        <v>4733</v>
      </c>
      <c r="L137" s="7" t="n">
        <v>10101.4</v>
      </c>
      <c r="N137" s="7" t="n">
        <v>12923.3</v>
      </c>
      <c r="P137" s="7" t="n">
        <v>7994</v>
      </c>
      <c r="R137" s="7" t="n">
        <v>15228.8</v>
      </c>
      <c r="T137" s="7" t="n">
        <v>6740.5</v>
      </c>
      <c r="V137" s="7" t="n">
        <v>12931</v>
      </c>
      <c r="X137" s="7" t="n">
        <v>11724.6</v>
      </c>
      <c r="Z137" s="7" t="n">
        <v>10480.3</v>
      </c>
      <c r="AB137" s="7" t="n">
        <v>111239.6</v>
      </c>
    </row>
    <row r="138">
      <c r="A138" s="4" t="inlineStr">
        <is>
          <t>能源费</t>
        </is>
      </c>
      <c r="D138" s="7" t="n">
        <v>2022.8</v>
      </c>
      <c r="F138" s="7" t="n">
        <v>1709.1</v>
      </c>
      <c r="H138" s="7" t="n">
        <v>1978.3</v>
      </c>
      <c r="J138" s="7" t="n">
        <v>1934.9</v>
      </c>
      <c r="L138" s="7" t="n">
        <v>2789</v>
      </c>
      <c r="N138" s="7" t="n">
        <v>3651.4</v>
      </c>
      <c r="P138" s="7" t="n">
        <v>3333.9</v>
      </c>
      <c r="R138" s="7" t="n">
        <v>5015.5</v>
      </c>
      <c r="T138" s="7" t="n">
        <v>1750.8</v>
      </c>
      <c r="V138" s="7" t="n">
        <v>4222.9</v>
      </c>
      <c r="X138" s="7" t="n">
        <v>3114.4</v>
      </c>
      <c r="Z138" s="7" t="n">
        <v>3194.2</v>
      </c>
      <c r="AB138" s="7" t="n">
        <v>34717.2</v>
      </c>
    </row>
    <row r="139">
      <c r="A139" s="4" t="inlineStr">
        <is>
          <t>水费</t>
        </is>
      </c>
      <c r="D139" s="7" t="n">
        <v>448.5</v>
      </c>
      <c r="F139" s="7" t="n">
        <v>254.3</v>
      </c>
      <c r="H139" s="7" t="n">
        <v>392</v>
      </c>
      <c r="J139" s="7" t="n">
        <v>387.7</v>
      </c>
      <c r="L139" s="7" t="n">
        <v>591.2</v>
      </c>
      <c r="N139" s="7" t="n">
        <v>742.7</v>
      </c>
      <c r="P139" s="7" t="n">
        <v>666.2</v>
      </c>
      <c r="R139" s="7" t="n">
        <v>973.3</v>
      </c>
      <c r="T139" s="7" t="n">
        <v>284.6</v>
      </c>
      <c r="V139" s="7" t="n">
        <v>700.9</v>
      </c>
      <c r="X139" s="7" t="n">
        <v>445.6</v>
      </c>
      <c r="Z139" s="7" t="n">
        <v>500.6</v>
      </c>
      <c r="AB139" s="7" t="n">
        <v>6387.6</v>
      </c>
    </row>
    <row r="140">
      <c r="A140" s="4" t="inlineStr">
        <is>
          <t>电费</t>
        </is>
      </c>
      <c r="D140" s="7" t="n">
        <v>707.8</v>
      </c>
      <c r="F140" s="7" t="n">
        <v>770.6</v>
      </c>
      <c r="H140" s="7" t="n">
        <v>699</v>
      </c>
      <c r="J140" s="7" t="n">
        <v>819.8</v>
      </c>
      <c r="L140" s="7" t="n">
        <v>1287</v>
      </c>
      <c r="N140" s="7" t="n">
        <v>1156.9</v>
      </c>
      <c r="P140" s="7" t="n">
        <v>1146.2</v>
      </c>
      <c r="R140" s="7" t="n">
        <v>2115.5</v>
      </c>
      <c r="T140" s="7" t="n">
        <v>635</v>
      </c>
      <c r="V140" s="7" t="n">
        <v>1747.7</v>
      </c>
      <c r="X140" s="7" t="n">
        <v>1249.4</v>
      </c>
      <c r="Z140" s="7" t="n">
        <v>1474.5</v>
      </c>
      <c r="AB140" s="7" t="n">
        <v>13809.4</v>
      </c>
    </row>
    <row r="141">
      <c r="A141" s="4" t="inlineStr">
        <is>
          <t>燃气费</t>
        </is>
      </c>
      <c r="D141" s="7" t="n">
        <v>271.9</v>
      </c>
      <c r="F141" s="7" t="n">
        <v>248.2</v>
      </c>
      <c r="H141" s="7" t="n">
        <v>353.4</v>
      </c>
      <c r="J141" s="7" t="n">
        <v>199.4</v>
      </c>
      <c r="L141" s="7" t="n">
        <v>391</v>
      </c>
      <c r="N141" s="7" t="n">
        <v>574</v>
      </c>
      <c r="P141" s="7" t="n">
        <v>575.3</v>
      </c>
      <c r="R141" s="7" t="n">
        <v>908.9</v>
      </c>
      <c r="T141" s="7" t="n">
        <v>215.4</v>
      </c>
      <c r="V141" s="7" t="n">
        <v>785.3</v>
      </c>
      <c r="X141" s="7" t="n">
        <v>445.2</v>
      </c>
      <c r="Z141" s="7" t="n">
        <v>387.6</v>
      </c>
      <c r="AB141" s="7" t="n">
        <v>5355.6</v>
      </c>
    </row>
    <row r="142">
      <c r="A142" s="4" t="inlineStr">
        <is>
          <t>蒸汽费</t>
        </is>
      </c>
      <c r="D142" s="7" t="n">
        <v>594.6</v>
      </c>
      <c r="F142" s="7" t="n">
        <v>436</v>
      </c>
      <c r="H142" s="7" t="n">
        <v>533.9</v>
      </c>
      <c r="J142" s="7" t="n">
        <v>528</v>
      </c>
      <c r="L142" s="7" t="n">
        <v>519.8</v>
      </c>
      <c r="N142" s="7" t="n">
        <v>1177.8</v>
      </c>
      <c r="P142" s="7" t="n">
        <v>946.2</v>
      </c>
      <c r="R142" s="7" t="n">
        <v>1017.8</v>
      </c>
      <c r="T142" s="7" t="n">
        <v>615.8</v>
      </c>
      <c r="V142" s="7" t="n">
        <v>989</v>
      </c>
      <c r="X142" s="7" t="n">
        <v>974.2</v>
      </c>
      <c r="Z142" s="7" t="n">
        <v>831.5</v>
      </c>
      <c r="AB142" s="7" t="n">
        <v>9164.6</v>
      </c>
    </row>
    <row r="143">
      <c r="A143" s="4" t="inlineStr">
        <is>
          <t>物业费</t>
        </is>
      </c>
      <c r="D143" s="7" t="n">
        <v>432.8</v>
      </c>
      <c r="F143" s="7" t="n">
        <v>274.8</v>
      </c>
      <c r="H143" s="7" t="n">
        <v>405.8</v>
      </c>
      <c r="J143" s="7" t="n">
        <v>361.9</v>
      </c>
      <c r="L143" s="7" t="n">
        <v>406.4</v>
      </c>
      <c r="N143" s="7" t="n">
        <v>874.6</v>
      </c>
      <c r="P143" s="7" t="n">
        <v>631.7</v>
      </c>
      <c r="R143" s="7" t="n">
        <v>1164.8</v>
      </c>
      <c r="T143" s="7" t="n">
        <v>439.4</v>
      </c>
      <c r="V143" s="7" t="n">
        <v>846</v>
      </c>
      <c r="X143" s="7" t="n">
        <v>529.1</v>
      </c>
      <c r="Z143" s="7" t="n">
        <v>610.1</v>
      </c>
      <c r="AB143" s="7" t="n">
        <v>6977.4</v>
      </c>
    </row>
    <row r="144">
      <c r="A144" s="4" t="inlineStr">
        <is>
          <t>劳动保护费</t>
        </is>
      </c>
      <c r="D144" s="7" t="n">
        <v>188.8</v>
      </c>
      <c r="F144" s="7" t="n">
        <v>143.4</v>
      </c>
      <c r="H144" s="7" t="n">
        <v>189.2</v>
      </c>
      <c r="J144" s="7" t="n">
        <v>108.9</v>
      </c>
      <c r="L144" s="7" t="n">
        <v>189</v>
      </c>
      <c r="N144" s="7" t="n">
        <v>239.8</v>
      </c>
      <c r="P144" s="7" t="n">
        <v>322.2</v>
      </c>
      <c r="R144" s="7" t="n">
        <v>344.5</v>
      </c>
      <c r="T144" s="7" t="n">
        <v>143.7</v>
      </c>
      <c r="V144" s="7" t="n">
        <v>252.8</v>
      </c>
      <c r="X144" s="7" t="n">
        <v>280.5</v>
      </c>
      <c r="Z144" s="7" t="n">
        <v>221.8</v>
      </c>
      <c r="AB144" s="7" t="n">
        <v>2624.6</v>
      </c>
    </row>
    <row r="145">
      <c r="A145" s="4" t="inlineStr">
        <is>
          <t>顾问费</t>
        </is>
      </c>
      <c r="D145" s="7" t="n">
        <v>80.7</v>
      </c>
      <c r="F145" s="7" t="n">
        <v>48.2</v>
      </c>
      <c r="H145" s="7" t="n">
        <v>89.7</v>
      </c>
      <c r="J145" s="7" t="n">
        <v>76.90000000000001</v>
      </c>
      <c r="L145" s="7" t="n">
        <v>132</v>
      </c>
      <c r="N145" s="7" t="n">
        <v>109.7</v>
      </c>
      <c r="P145" s="7" t="n">
        <v>119.9</v>
      </c>
      <c r="R145" s="7" t="n">
        <v>205.7</v>
      </c>
      <c r="T145" s="7" t="n">
        <v>90</v>
      </c>
      <c r="V145" s="7" t="n">
        <v>179.3</v>
      </c>
      <c r="X145" s="7" t="n">
        <v>85.59999999999999</v>
      </c>
      <c r="Z145" s="7" t="n">
        <v>108.5</v>
      </c>
      <c r="AB145" s="7" t="n">
        <v>1326.2</v>
      </c>
    </row>
    <row r="146">
      <c r="A146" s="4" t="inlineStr">
        <is>
          <t>快递费</t>
        </is>
      </c>
      <c r="D146" s="7" t="n">
        <v>223.2</v>
      </c>
      <c r="F146" s="7" t="n">
        <v>225.4</v>
      </c>
      <c r="H146" s="7" t="n">
        <v>189.1</v>
      </c>
      <c r="J146" s="7" t="n">
        <v>198.3</v>
      </c>
      <c r="L146" s="7" t="n">
        <v>333.1</v>
      </c>
      <c r="N146" s="7" t="n">
        <v>504.2</v>
      </c>
      <c r="P146" s="7" t="n">
        <v>401.1</v>
      </c>
      <c r="R146" s="7" t="n">
        <v>646.1</v>
      </c>
      <c r="T146" s="7" t="n">
        <v>335</v>
      </c>
      <c r="V146" s="7" t="n">
        <v>388.5</v>
      </c>
      <c r="X146" s="7" t="n">
        <v>369.4</v>
      </c>
      <c r="Z146" s="7" t="n">
        <v>380.1</v>
      </c>
      <c r="AB146" s="7" t="n">
        <v>4193.5</v>
      </c>
    </row>
    <row r="147">
      <c r="A147" s="4" t="inlineStr">
        <is>
          <t>诉讼费</t>
        </is>
      </c>
      <c r="D147" s="7" t="n">
        <v>481.7</v>
      </c>
      <c r="F147" s="7" t="n">
        <v>310.9</v>
      </c>
      <c r="H147" s="7" t="n">
        <v>455.7</v>
      </c>
      <c r="J147" s="7" t="n">
        <v>331.3</v>
      </c>
      <c r="L147" s="7" t="n">
        <v>609.2</v>
      </c>
      <c r="N147" s="7" t="n">
        <v>603.5</v>
      </c>
      <c r="P147" s="7" t="n">
        <v>627.5</v>
      </c>
      <c r="R147" s="7" t="n">
        <v>1067.2</v>
      </c>
      <c r="T147" s="7" t="n">
        <v>437.6</v>
      </c>
      <c r="V147" s="7" t="n">
        <v>807.9</v>
      </c>
      <c r="X147" s="7" t="n">
        <v>465</v>
      </c>
      <c r="Z147" s="7" t="n">
        <v>580.2</v>
      </c>
      <c r="AB147" s="7" t="n">
        <v>6777.7</v>
      </c>
    </row>
    <row r="148">
      <c r="A148" s="4" t="inlineStr">
        <is>
          <t>会员费</t>
        </is>
      </c>
      <c r="D148" s="7" t="n">
        <v>908.8</v>
      </c>
      <c r="F148" s="7" t="n">
        <v>603.2</v>
      </c>
      <c r="H148" s="7" t="n">
        <v>548.3</v>
      </c>
      <c r="J148" s="7" t="n">
        <v>606.7</v>
      </c>
      <c r="L148" s="7" t="n">
        <v>795.9</v>
      </c>
      <c r="N148" s="7" t="n">
        <v>1143.2</v>
      </c>
      <c r="P148" s="7" t="n">
        <v>1445</v>
      </c>
      <c r="R148" s="7" t="n">
        <v>1496.5</v>
      </c>
      <c r="T148" s="7" t="n">
        <v>653.1</v>
      </c>
      <c r="V148" s="7" t="n">
        <v>1488.5</v>
      </c>
      <c r="X148" s="7" t="n">
        <v>1225.5</v>
      </c>
      <c r="Z148" s="7" t="n">
        <v>730.7</v>
      </c>
      <c r="AB148" s="7" t="n">
        <v>11645.4</v>
      </c>
    </row>
    <row r="149">
      <c r="A149" s="4" t="inlineStr">
        <is>
          <t>广告宣传费</t>
        </is>
      </c>
      <c r="D149" s="7" t="n">
        <v>4071.3</v>
      </c>
      <c r="F149" s="7" t="n">
        <v>3317.1</v>
      </c>
      <c r="H149" s="7" t="n">
        <v>4153.6</v>
      </c>
      <c r="J149" s="7" t="n">
        <v>3040</v>
      </c>
      <c r="L149" s="7" t="n">
        <v>4620.2</v>
      </c>
      <c r="N149" s="7" t="n">
        <v>7854.3</v>
      </c>
      <c r="P149" s="7" t="n">
        <v>5203.1</v>
      </c>
      <c r="R149" s="7" t="n">
        <v>10204.3</v>
      </c>
      <c r="T149" s="7" t="n">
        <v>4691.6</v>
      </c>
      <c r="V149" s="7" t="n">
        <v>9911.4</v>
      </c>
      <c r="X149" s="7" t="n">
        <v>5280.9</v>
      </c>
      <c r="Z149" s="7" t="n">
        <v>4373.9</v>
      </c>
      <c r="AB149" s="7" t="n">
        <v>66721.7</v>
      </c>
    </row>
    <row r="150">
      <c r="A150" s="4" t="inlineStr">
        <is>
          <t>会务费</t>
        </is>
      </c>
      <c r="D150" s="7" t="n">
        <v>1034.8</v>
      </c>
      <c r="F150" s="7" t="n">
        <v>415</v>
      </c>
      <c r="H150" s="7" t="n">
        <v>582.8</v>
      </c>
      <c r="J150" s="7" t="n">
        <v>630.3</v>
      </c>
      <c r="L150" s="7" t="n">
        <v>889.9</v>
      </c>
      <c r="N150" s="7" t="n">
        <v>1066.7</v>
      </c>
      <c r="P150" s="7" t="n">
        <v>1260.6</v>
      </c>
      <c r="R150" s="7" t="n">
        <v>1266.8</v>
      </c>
      <c r="T150" s="7" t="n">
        <v>871.6</v>
      </c>
      <c r="V150" s="7" t="n">
        <v>1192.9</v>
      </c>
      <c r="X150" s="7" t="n">
        <v>1099</v>
      </c>
      <c r="Z150" s="7" t="n">
        <v>847.8</v>
      </c>
      <c r="AB150" s="7" t="n">
        <v>11158.2</v>
      </c>
    </row>
    <row r="151">
      <c r="A151" s="4" t="inlineStr">
        <is>
          <t>装修费</t>
        </is>
      </c>
      <c r="D151" s="7" t="n">
        <v>579.3</v>
      </c>
      <c r="F151" s="7" t="n">
        <v>226.5</v>
      </c>
      <c r="H151" s="7" t="n">
        <v>567.6</v>
      </c>
      <c r="J151" s="7" t="n">
        <v>419.9</v>
      </c>
      <c r="L151" s="7" t="n">
        <v>480.6</v>
      </c>
      <c r="N151" s="7" t="n">
        <v>835.2</v>
      </c>
      <c r="P151" s="7" t="n">
        <v>535.8</v>
      </c>
      <c r="R151" s="7" t="n">
        <v>1058.9</v>
      </c>
      <c r="T151" s="7" t="n">
        <v>495.6</v>
      </c>
      <c r="V151" s="7" t="n">
        <v>941.9</v>
      </c>
      <c r="X151" s="7" t="n">
        <v>564.3</v>
      </c>
      <c r="Z151" s="7" t="n">
        <v>654.9</v>
      </c>
      <c r="AB151" s="7" t="n">
        <v>7360.5</v>
      </c>
    </row>
    <row r="152">
      <c r="A152" s="4" t="inlineStr">
        <is>
          <t>推广费</t>
        </is>
      </c>
      <c r="D152" s="7" t="n">
        <v>544.9</v>
      </c>
      <c r="F152" s="7" t="n">
        <v>337.7</v>
      </c>
      <c r="H152" s="7" t="n">
        <v>321.9</v>
      </c>
      <c r="J152" s="7" t="n">
        <v>332.9</v>
      </c>
      <c r="L152" s="7" t="n">
        <v>694</v>
      </c>
      <c r="N152" s="7" t="n">
        <v>582.6</v>
      </c>
      <c r="P152" s="7" t="n">
        <v>531.8</v>
      </c>
      <c r="R152" s="7" t="n">
        <v>1243.8</v>
      </c>
      <c r="T152" s="7" t="n">
        <v>481.4</v>
      </c>
      <c r="V152" s="7" t="n">
        <v>1046.1</v>
      </c>
      <c r="X152" s="7" t="n">
        <v>444.5</v>
      </c>
      <c r="Z152" s="7" t="n">
        <v>467.1</v>
      </c>
      <c r="AB152" s="7" t="n">
        <v>7028.7</v>
      </c>
    </row>
    <row r="153">
      <c r="A153" s="4" t="inlineStr">
        <is>
          <t>展会费</t>
        </is>
      </c>
      <c r="D153" s="7" t="n">
        <v>737.5</v>
      </c>
      <c r="F153" s="7" t="n">
        <v>488.6</v>
      </c>
      <c r="H153" s="7" t="n">
        <v>569.7</v>
      </c>
      <c r="J153" s="7" t="n">
        <v>554.7</v>
      </c>
      <c r="L153" s="7" t="n">
        <v>942.6</v>
      </c>
      <c r="N153" s="7" t="n">
        <v>1050.1</v>
      </c>
      <c r="P153" s="7" t="n">
        <v>1050.3</v>
      </c>
      <c r="R153" s="7" t="n">
        <v>993.4</v>
      </c>
      <c r="T153" s="7" t="n">
        <v>754.2</v>
      </c>
      <c r="V153" s="7" t="n">
        <v>1098.7</v>
      </c>
      <c r="X153" s="7" t="n">
        <v>766.7</v>
      </c>
      <c r="Z153" s="7" t="n">
        <v>837.8</v>
      </c>
      <c r="AB153" s="7" t="n">
        <v>9844.299999999999</v>
      </c>
    </row>
    <row r="154">
      <c r="A154" s="4" t="inlineStr">
        <is>
          <t>设计费</t>
        </is>
      </c>
      <c r="D154" s="7" t="n">
        <v>599.3</v>
      </c>
      <c r="F154" s="7" t="n">
        <v>459.5</v>
      </c>
      <c r="H154" s="7" t="n">
        <v>699.7</v>
      </c>
      <c r="J154" s="7" t="n">
        <v>716.1</v>
      </c>
      <c r="L154" s="7" t="n">
        <v>1127.3</v>
      </c>
      <c r="N154" s="7" t="n">
        <v>1074.9</v>
      </c>
      <c r="P154" s="7" t="n">
        <v>1136.2</v>
      </c>
      <c r="R154" s="7" t="n">
        <v>1581.2</v>
      </c>
      <c r="T154" s="7" t="n">
        <v>656.7</v>
      </c>
      <c r="V154" s="7" t="n">
        <v>1536.2</v>
      </c>
      <c r="X154" s="7" t="n">
        <v>703.5</v>
      </c>
      <c r="Z154" s="7" t="n">
        <v>704.7</v>
      </c>
      <c r="AB154" s="7" t="n">
        <v>10995.3</v>
      </c>
    </row>
    <row r="155">
      <c r="A155" s="4" t="inlineStr">
        <is>
          <t>折旧费</t>
        </is>
      </c>
      <c r="D155" s="7" t="n">
        <v>5748.7</v>
      </c>
      <c r="F155" s="7" t="n">
        <v>3598.9</v>
      </c>
      <c r="H155" s="7" t="n">
        <v>5893.2</v>
      </c>
      <c r="J155" s="7" t="n">
        <v>3401.4</v>
      </c>
      <c r="L155" s="7" t="n">
        <v>5316.7</v>
      </c>
      <c r="N155" s="7" t="n">
        <v>10246.7</v>
      </c>
      <c r="P155" s="7" t="n">
        <v>8295.799999999999</v>
      </c>
      <c r="R155" s="7" t="n">
        <v>15477.4</v>
      </c>
      <c r="T155" s="7" t="n">
        <v>4088.8</v>
      </c>
      <c r="V155" s="7" t="n">
        <v>9042.6</v>
      </c>
      <c r="X155" s="7" t="n">
        <v>9833.700000000001</v>
      </c>
      <c r="Z155" s="7" t="n">
        <v>6408</v>
      </c>
      <c r="AB155" s="7" t="n">
        <v>87351.89999999999</v>
      </c>
    </row>
    <row r="156">
      <c r="A156" s="4" t="inlineStr">
        <is>
          <t>认证费</t>
        </is>
      </c>
      <c r="D156" s="7" t="n">
        <v>723.4</v>
      </c>
      <c r="F156" s="7" t="n">
        <v>637</v>
      </c>
      <c r="H156" s="7" t="n">
        <v>626</v>
      </c>
      <c r="J156" s="7" t="n">
        <v>742.2</v>
      </c>
      <c r="L156" s="7" t="n">
        <v>1209</v>
      </c>
      <c r="N156" s="7" t="n">
        <v>1801.3</v>
      </c>
      <c r="P156" s="7" t="n">
        <v>1425.9</v>
      </c>
      <c r="R156" s="7" t="n">
        <v>2507</v>
      </c>
      <c r="T156" s="7" t="n">
        <v>999.8</v>
      </c>
      <c r="V156" s="7" t="n">
        <v>1583.6</v>
      </c>
      <c r="X156" s="7" t="n">
        <v>1099.1</v>
      </c>
      <c r="Z156" s="7" t="n">
        <v>834.7</v>
      </c>
      <c r="AB156" s="7" t="n">
        <v>14189</v>
      </c>
    </row>
    <row r="157">
      <c r="A157" s="4" t="inlineStr">
        <is>
          <t>样品费</t>
        </is>
      </c>
      <c r="D157" s="7" t="n">
        <v>2294.9</v>
      </c>
      <c r="F157" s="7" t="n">
        <v>2213.3</v>
      </c>
      <c r="H157" s="7" t="n">
        <v>2090.2</v>
      </c>
      <c r="J157" s="7" t="n">
        <v>2939.5</v>
      </c>
      <c r="L157" s="7" t="n">
        <v>3693.5</v>
      </c>
      <c r="N157" s="7" t="n">
        <v>4284.3</v>
      </c>
      <c r="P157" s="7" t="n">
        <v>4277.9</v>
      </c>
      <c r="R157" s="7" t="n">
        <v>5580.7</v>
      </c>
      <c r="T157" s="7" t="n">
        <v>2524.2</v>
      </c>
      <c r="V157" s="7" t="n">
        <v>4350.9</v>
      </c>
      <c r="X157" s="7" t="n">
        <v>4964</v>
      </c>
      <c r="Z157" s="7" t="n">
        <v>2937.5</v>
      </c>
      <c r="AB157" s="7" t="n">
        <v>42150.9</v>
      </c>
    </row>
    <row r="158">
      <c r="A158" s="4" t="inlineStr">
        <is>
          <t>劳务费</t>
        </is>
      </c>
      <c r="D158" s="7" t="n">
        <v>524.8</v>
      </c>
      <c r="F158" s="7" t="n">
        <v>314.1</v>
      </c>
      <c r="H158" s="7" t="n">
        <v>585.9</v>
      </c>
      <c r="J158" s="7" t="n">
        <v>516.2</v>
      </c>
      <c r="L158" s="7" t="n">
        <v>666.3</v>
      </c>
      <c r="N158" s="7" t="n">
        <v>638.3</v>
      </c>
      <c r="P158" s="7" t="n">
        <v>865.2</v>
      </c>
      <c r="R158" s="7" t="n">
        <v>1238.3</v>
      </c>
      <c r="T158" s="7" t="n">
        <v>492.4</v>
      </c>
      <c r="V158" s="7" t="n">
        <v>1103.2</v>
      </c>
      <c r="X158" s="7" t="n">
        <v>871.5</v>
      </c>
      <c r="Z158" s="7" t="n">
        <v>649.6</v>
      </c>
      <c r="AB158" s="7" t="n">
        <v>8465.799999999999</v>
      </c>
    </row>
    <row r="159">
      <c r="A159" s="4" t="inlineStr">
        <is>
          <t>销售佣金</t>
        </is>
      </c>
      <c r="D159" s="7" t="n">
        <v>607.1</v>
      </c>
      <c r="F159" s="7" t="n">
        <v>332.7</v>
      </c>
      <c r="H159" s="7" t="n">
        <v>402.8</v>
      </c>
      <c r="J159" s="7" t="n">
        <v>551.8</v>
      </c>
      <c r="L159" s="7" t="n">
        <v>568.9</v>
      </c>
      <c r="N159" s="7" t="n">
        <v>728.6</v>
      </c>
      <c r="P159" s="7" t="n">
        <v>597.5</v>
      </c>
      <c r="R159" s="7" t="n">
        <v>1472.6</v>
      </c>
      <c r="T159" s="7" t="n">
        <v>663.2</v>
      </c>
      <c r="V159" s="7" t="n">
        <v>921.2</v>
      </c>
      <c r="X159" s="7" t="n">
        <v>875</v>
      </c>
      <c r="Z159" s="7" t="n">
        <v>591.2</v>
      </c>
      <c r="AB159" s="7" t="n">
        <v>8312.6</v>
      </c>
    </row>
    <row r="160">
      <c r="A160" s="4" t="inlineStr">
        <is>
          <t>检测费</t>
        </is>
      </c>
      <c r="D160" s="7" t="n">
        <v>190.8</v>
      </c>
      <c r="F160" s="7" t="n">
        <v>128.2</v>
      </c>
      <c r="H160" s="7" t="n">
        <v>108.5</v>
      </c>
      <c r="J160" s="7" t="n">
        <v>147.2</v>
      </c>
      <c r="L160" s="7" t="n">
        <v>176.7</v>
      </c>
      <c r="N160" s="7" t="n">
        <v>265.9</v>
      </c>
      <c r="P160" s="7" t="n">
        <v>299.6</v>
      </c>
      <c r="R160" s="7" t="n">
        <v>430.4</v>
      </c>
      <c r="T160" s="7" t="n">
        <v>106.7</v>
      </c>
      <c r="V160" s="7" t="n">
        <v>332.1</v>
      </c>
      <c r="X160" s="7" t="n">
        <v>210.6</v>
      </c>
      <c r="Z160" s="7" t="n">
        <v>248.3</v>
      </c>
      <c r="AB160" s="7" t="n">
        <v>2645</v>
      </c>
    </row>
    <row r="161">
      <c r="A161" s="4" t="inlineStr">
        <is>
          <t>质量赔偿</t>
        </is>
      </c>
      <c r="D161" s="7" t="n">
        <v>662.6</v>
      </c>
      <c r="F161" s="7" t="n">
        <v>389.3</v>
      </c>
      <c r="H161" s="7" t="n">
        <v>452.4</v>
      </c>
      <c r="J161" s="7" t="n">
        <v>576</v>
      </c>
      <c r="L161" s="7" t="n">
        <v>742.4</v>
      </c>
      <c r="N161" s="7" t="n">
        <v>960.5</v>
      </c>
      <c r="P161" s="7" t="n">
        <v>771.5</v>
      </c>
      <c r="R161" s="7" t="n">
        <v>1195.8</v>
      </c>
      <c r="T161" s="7" t="n">
        <v>495</v>
      </c>
      <c r="V161" s="7" t="n">
        <v>1250.4</v>
      </c>
      <c r="X161" s="7" t="n">
        <v>851.4</v>
      </c>
      <c r="Z161" s="7" t="n">
        <v>612</v>
      </c>
      <c r="AB161" s="7" t="n">
        <v>8959.299999999999</v>
      </c>
    </row>
    <row r="162">
      <c r="A162" s="4" t="inlineStr">
        <is>
          <t>保险费</t>
        </is>
      </c>
      <c r="D162" s="7" t="n">
        <v>494.7</v>
      </c>
      <c r="F162" s="7" t="n">
        <v>403</v>
      </c>
      <c r="H162" s="7" t="n">
        <v>472.1</v>
      </c>
      <c r="J162" s="7" t="n">
        <v>509.8</v>
      </c>
      <c r="L162" s="7" t="n">
        <v>588.9</v>
      </c>
      <c r="N162" s="7" t="n">
        <v>805.5</v>
      </c>
      <c r="P162" s="7" t="n">
        <v>1068.9</v>
      </c>
      <c r="R162" s="7" t="n">
        <v>1078.2</v>
      </c>
      <c r="T162" s="7" t="n">
        <v>466.3</v>
      </c>
      <c r="V162" s="7" t="n">
        <v>775.3</v>
      </c>
      <c r="X162" s="7" t="n">
        <v>557.1</v>
      </c>
      <c r="Z162" s="7" t="n">
        <v>627.7</v>
      </c>
      <c r="AB162" s="7" t="n">
        <v>7847.5</v>
      </c>
    </row>
    <row r="163">
      <c r="A163" s="4" t="inlineStr">
        <is>
          <t>清洁费</t>
        </is>
      </c>
      <c r="D163" s="7" t="n">
        <v>60.6</v>
      </c>
      <c r="F163" s="7" t="n">
        <v>23.7</v>
      </c>
      <c r="H163" s="7" t="n">
        <v>41.1</v>
      </c>
      <c r="J163" s="7" t="n">
        <v>30.5</v>
      </c>
      <c r="L163" s="7" t="n">
        <v>57.4</v>
      </c>
      <c r="N163" s="7" t="n">
        <v>67.5</v>
      </c>
      <c r="P163" s="7" t="n">
        <v>73</v>
      </c>
      <c r="R163" s="7" t="n">
        <v>124.5</v>
      </c>
      <c r="T163" s="7" t="n">
        <v>49</v>
      </c>
      <c r="V163" s="7" t="n">
        <v>84.40000000000001</v>
      </c>
      <c r="X163" s="7" t="n">
        <v>52.8</v>
      </c>
      <c r="Z163" s="7" t="n">
        <v>59.9</v>
      </c>
      <c r="AB163" s="7" t="n">
        <v>724.4</v>
      </c>
    </row>
    <row r="164">
      <c r="A164" s="4" t="inlineStr">
        <is>
          <t>低值易耗品</t>
        </is>
      </c>
      <c r="D164" s="7" t="n">
        <v>581</v>
      </c>
      <c r="F164" s="7" t="n">
        <v>374.8</v>
      </c>
      <c r="H164" s="7" t="n">
        <v>361.1</v>
      </c>
      <c r="J164" s="7" t="n">
        <v>480.1</v>
      </c>
      <c r="L164" s="7" t="n">
        <v>586.5</v>
      </c>
      <c r="N164" s="7" t="n">
        <v>706</v>
      </c>
      <c r="P164" s="7" t="n">
        <v>661.8</v>
      </c>
      <c r="R164" s="7" t="n">
        <v>1288</v>
      </c>
      <c r="T164" s="7" t="n">
        <v>477.8</v>
      </c>
      <c r="V164" s="7" t="n">
        <v>766.4</v>
      </c>
      <c r="X164" s="7" t="n">
        <v>595.3</v>
      </c>
      <c r="Z164" s="7" t="n">
        <v>781.8</v>
      </c>
      <c r="AB164" s="7" t="n">
        <v>7660.6</v>
      </c>
    </row>
    <row r="165">
      <c r="A165" s="4" t="inlineStr">
        <is>
          <t>物料消耗</t>
        </is>
      </c>
      <c r="D165" s="7" t="n">
        <v>175.3</v>
      </c>
      <c r="F165" s="7" t="n">
        <v>125.5</v>
      </c>
      <c r="H165" s="7" t="n">
        <v>184.5</v>
      </c>
      <c r="J165" s="7" t="n">
        <v>131</v>
      </c>
      <c r="L165" s="7" t="n">
        <v>178.7</v>
      </c>
      <c r="N165" s="7" t="n">
        <v>246.5</v>
      </c>
      <c r="P165" s="7" t="n">
        <v>216.6</v>
      </c>
      <c r="R165" s="7" t="n">
        <v>490.2</v>
      </c>
      <c r="T165" s="7" t="n">
        <v>195.9</v>
      </c>
      <c r="V165" s="7" t="n">
        <v>303.1</v>
      </c>
      <c r="X165" s="7" t="n">
        <v>284.4</v>
      </c>
      <c r="Z165" s="7" t="n">
        <v>302.8</v>
      </c>
      <c r="AB165" s="7" t="n">
        <v>2834.5</v>
      </c>
    </row>
    <row r="166">
      <c r="A166" s="4" t="inlineStr">
        <is>
          <t>盘盈盘亏</t>
        </is>
      </c>
      <c r="D166" s="7" t="n">
        <v>898.6</v>
      </c>
      <c r="F166" s="7" t="n">
        <v>440.5</v>
      </c>
      <c r="H166" s="7" t="n">
        <v>859.1</v>
      </c>
      <c r="J166" s="7" t="n">
        <v>774.2</v>
      </c>
      <c r="L166" s="7" t="n">
        <v>896</v>
      </c>
      <c r="N166" s="7" t="n">
        <v>1787.3</v>
      </c>
      <c r="P166" s="7" t="n">
        <v>1032.8</v>
      </c>
      <c r="R166" s="7" t="n">
        <v>2373.6</v>
      </c>
      <c r="T166" s="7" t="n">
        <v>839.1</v>
      </c>
      <c r="V166" s="7" t="n">
        <v>1707.4</v>
      </c>
      <c r="X166" s="7" t="n">
        <v>891.4</v>
      </c>
      <c r="Z166" s="7" t="n">
        <v>1397.2</v>
      </c>
      <c r="AB166" s="7" t="n">
        <v>13897.2</v>
      </c>
    </row>
    <row r="167">
      <c r="A167" s="4" t="inlineStr">
        <is>
          <t>平台服务费</t>
        </is>
      </c>
      <c r="D167" s="7" t="n">
        <v>370.7</v>
      </c>
      <c r="F167" s="7" t="n">
        <v>199.4</v>
      </c>
      <c r="H167" s="7" t="n">
        <v>313</v>
      </c>
      <c r="J167" s="7" t="n">
        <v>325.2</v>
      </c>
      <c r="L167" s="7" t="n">
        <v>436</v>
      </c>
      <c r="N167" s="7" t="n">
        <v>569</v>
      </c>
      <c r="P167" s="7" t="n">
        <v>677.8</v>
      </c>
      <c r="R167" s="7" t="n">
        <v>1123.6</v>
      </c>
      <c r="T167" s="7" t="n">
        <v>428.4</v>
      </c>
      <c r="V167" s="7" t="n">
        <v>760.6</v>
      </c>
      <c r="X167" s="7" t="n">
        <v>662.9</v>
      </c>
      <c r="Z167" s="7" t="n">
        <v>521.6</v>
      </c>
      <c r="AB167" s="7" t="n">
        <v>6388.2</v>
      </c>
    </row>
    <row r="168">
      <c r="A168" s="4" t="inlineStr">
        <is>
          <t>无形资产摊销</t>
        </is>
      </c>
      <c r="D168" s="7" t="n">
        <v>101.1</v>
      </c>
      <c r="F168" s="7" t="n">
        <v>48.3</v>
      </c>
      <c r="H168" s="7" t="n">
        <v>86.3</v>
      </c>
      <c r="J168" s="7" t="n">
        <v>77.5</v>
      </c>
      <c r="L168" s="7" t="n">
        <v>100.9</v>
      </c>
      <c r="N168" s="7" t="n">
        <v>181.2</v>
      </c>
      <c r="P168" s="7" t="n">
        <v>144</v>
      </c>
      <c r="R168" s="7" t="n">
        <v>238.4</v>
      </c>
      <c r="T168" s="7" t="n">
        <v>84.90000000000001</v>
      </c>
      <c r="V168" s="7" t="n">
        <v>166.4</v>
      </c>
      <c r="X168" s="7" t="n">
        <v>104.3</v>
      </c>
      <c r="Z168" s="7" t="n">
        <v>143.4</v>
      </c>
      <c r="AB168" s="7" t="n">
        <v>1476.7</v>
      </c>
    </row>
    <row r="169">
      <c r="A169" s="4" t="inlineStr">
        <is>
          <t>研发材料</t>
        </is>
      </c>
      <c r="D169" s="7" t="n">
        <v>417.2</v>
      </c>
      <c r="F169" s="7" t="n">
        <v>324.5</v>
      </c>
      <c r="H169" s="7" t="n">
        <v>432.8</v>
      </c>
      <c r="J169" s="7" t="n">
        <v>427</v>
      </c>
      <c r="L169" s="7" t="n">
        <v>703.6</v>
      </c>
      <c r="N169" s="7" t="n">
        <v>899.1</v>
      </c>
      <c r="P169" s="7" t="n">
        <v>1032.3</v>
      </c>
      <c r="R169" s="7" t="n">
        <v>1305.5</v>
      </c>
      <c r="T169" s="7" t="n">
        <v>488.7</v>
      </c>
      <c r="V169" s="7" t="n">
        <v>1335.6</v>
      </c>
      <c r="X169" s="7" t="n">
        <v>686.4</v>
      </c>
      <c r="Z169" s="7" t="n">
        <v>747.6</v>
      </c>
      <c r="AB169" s="7" t="n">
        <v>8800.299999999999</v>
      </c>
    </row>
    <row r="170">
      <c r="A170" s="4" t="inlineStr">
        <is>
          <t>项目名称</t>
        </is>
      </c>
      <c r="D170" s="7" t="n">
        <v>647.2</v>
      </c>
      <c r="F170" s="7" t="n">
        <v>398.3</v>
      </c>
      <c r="H170" s="7" t="n">
        <v>392.7</v>
      </c>
      <c r="J170" s="7" t="n">
        <v>453.4</v>
      </c>
      <c r="L170" s="7" t="n">
        <v>674.1</v>
      </c>
      <c r="N170" s="7" t="n">
        <v>829.8</v>
      </c>
      <c r="P170" s="7" t="n">
        <v>855.6</v>
      </c>
      <c r="R170" s="7" t="n">
        <v>1205.6</v>
      </c>
      <c r="T170" s="7" t="n">
        <v>418.7</v>
      </c>
      <c r="V170" s="7" t="n">
        <v>1279.7</v>
      </c>
      <c r="X170" s="7" t="n">
        <v>833.8</v>
      </c>
      <c r="Z170" s="7" t="n">
        <v>546.9</v>
      </c>
      <c r="AB170" s="7" t="n">
        <v>8535.799999999999</v>
      </c>
    </row>
    <row r="171">
      <c r="A171" s="4" t="inlineStr">
        <is>
          <t>研发费</t>
        </is>
      </c>
      <c r="D171" s="7" t="n">
        <v>691.3</v>
      </c>
      <c r="F171" s="7" t="n">
        <v>414.2</v>
      </c>
      <c r="H171" s="7" t="n">
        <v>635</v>
      </c>
      <c r="J171" s="7" t="n">
        <v>676.9</v>
      </c>
      <c r="L171" s="7" t="n">
        <v>641.3</v>
      </c>
      <c r="N171" s="7" t="n">
        <v>902</v>
      </c>
      <c r="P171" s="7" t="n">
        <v>867.2</v>
      </c>
      <c r="R171" s="7" t="n">
        <v>1829.8</v>
      </c>
      <c r="T171" s="7" t="n">
        <v>711.3</v>
      </c>
      <c r="V171" s="7" t="n">
        <v>1093.8</v>
      </c>
      <c r="X171" s="7" t="n">
        <v>1044</v>
      </c>
      <c r="Z171" s="7" t="n">
        <v>1040.8</v>
      </c>
      <c r="AB171" s="7" t="n">
        <v>10547.6</v>
      </c>
    </row>
    <row r="172">
      <c r="A172" s="4" t="inlineStr">
        <is>
          <t>残保金</t>
        </is>
      </c>
      <c r="D172" s="7" t="n">
        <v>728.5</v>
      </c>
      <c r="F172" s="7" t="n">
        <v>437.4</v>
      </c>
      <c r="H172" s="7" t="n">
        <v>574.1</v>
      </c>
      <c r="J172" s="7" t="n">
        <v>537.2</v>
      </c>
      <c r="L172" s="7" t="n">
        <v>932.5</v>
      </c>
      <c r="N172" s="7" t="n">
        <v>1168.8</v>
      </c>
      <c r="P172" s="7" t="n">
        <v>1175.3</v>
      </c>
      <c r="R172" s="7" t="n">
        <v>1236.8</v>
      </c>
      <c r="T172" s="7" t="n">
        <v>653.6</v>
      </c>
      <c r="V172" s="7" t="n">
        <v>1076.8</v>
      </c>
      <c r="X172" s="7" t="n">
        <v>873.4</v>
      </c>
      <c r="Z172" s="7" t="n">
        <v>1011.5</v>
      </c>
      <c r="AB172" s="7" t="n">
        <v>10405.9</v>
      </c>
    </row>
    <row r="173">
      <c r="A173" s="4" t="inlineStr">
        <is>
          <t>环保费</t>
        </is>
      </c>
      <c r="D173" s="7" t="n">
        <v>857.2</v>
      </c>
      <c r="F173" s="7" t="n">
        <v>337.2</v>
      </c>
      <c r="H173" s="7" t="n">
        <v>519</v>
      </c>
      <c r="J173" s="7" t="n">
        <v>553.5</v>
      </c>
      <c r="L173" s="7" t="n">
        <v>884.5</v>
      </c>
      <c r="N173" s="7" t="n">
        <v>1233.9</v>
      </c>
      <c r="P173" s="7" t="n">
        <v>1123.8</v>
      </c>
      <c r="R173" s="7" t="n">
        <v>1890.3</v>
      </c>
      <c r="T173" s="7" t="n">
        <v>776.1</v>
      </c>
      <c r="V173" s="7" t="n">
        <v>1578</v>
      </c>
      <c r="X173" s="7" t="n">
        <v>1139.3</v>
      </c>
      <c r="Z173" s="7" t="n">
        <v>777.3</v>
      </c>
      <c r="AB173" s="7" t="n">
        <v>11670.1</v>
      </c>
    </row>
    <row r="174">
      <c r="A174" s="4" t="inlineStr">
        <is>
          <t>报废损失</t>
        </is>
      </c>
      <c r="D174" s="7" t="n">
        <v>561.3</v>
      </c>
      <c r="F174" s="7" t="n">
        <v>418.2</v>
      </c>
      <c r="H174" s="7" t="n">
        <v>467</v>
      </c>
      <c r="J174" s="7" t="n">
        <v>313.2</v>
      </c>
      <c r="L174" s="7" t="n">
        <v>434.8</v>
      </c>
      <c r="N174" s="7" t="n">
        <v>708</v>
      </c>
      <c r="P174" s="7" t="n">
        <v>805.5</v>
      </c>
      <c r="R174" s="7" t="n">
        <v>978.1</v>
      </c>
      <c r="T174" s="7" t="n">
        <v>599</v>
      </c>
      <c r="V174" s="7" t="n">
        <v>1199.3</v>
      </c>
      <c r="X174" s="7" t="n">
        <v>826.1</v>
      </c>
      <c r="Z174" s="7" t="n">
        <v>755.8</v>
      </c>
      <c r="AB174" s="7" t="n">
        <v>8066.3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94425</v>
      </c>
      <c r="D175" s="7" t="n">
        <v>67803.8</v>
      </c>
      <c r="E175" s="7" t="n">
        <v>96977.89999999999</v>
      </c>
      <c r="F175" s="7" t="n">
        <v>42301.7</v>
      </c>
      <c r="G175" s="7" t="n">
        <v>77624.7</v>
      </c>
      <c r="H175" s="7" t="n">
        <v>80001.60000000001</v>
      </c>
      <c r="I175" s="7" t="n">
        <v>76777.60000000001</v>
      </c>
      <c r="J175" s="7" t="n">
        <v>132882.4</v>
      </c>
      <c r="K175" s="7" t="n">
        <v>81092.8</v>
      </c>
      <c r="L175" s="7" t="n">
        <v>101299.2</v>
      </c>
      <c r="M175" s="7" t="n">
        <v>100590</v>
      </c>
      <c r="N175" s="7" t="n">
        <v>93753.89999999999</v>
      </c>
      <c r="O175" s="7" t="n">
        <v>87569.5</v>
      </c>
      <c r="P175" s="7" t="n">
        <v>123219.5</v>
      </c>
      <c r="Q175" s="7" t="n">
        <v>88809.60000000001</v>
      </c>
      <c r="R175" s="7" t="n">
        <v>51267.5</v>
      </c>
      <c r="S175" s="7" t="n">
        <v>81865.5</v>
      </c>
      <c r="T175" s="7" t="n">
        <v>112218.3</v>
      </c>
      <c r="U175" s="7" t="n">
        <v>98756</v>
      </c>
      <c r="V175" s="7" t="n">
        <v>129773.3</v>
      </c>
      <c r="W175" s="7" t="n">
        <v>89801.60000000001</v>
      </c>
      <c r="X175" s="7" t="n">
        <v>54893</v>
      </c>
      <c r="Y175" s="7" t="n">
        <v>97994.2</v>
      </c>
      <c r="Z175" s="7" t="n">
        <v>64048.3</v>
      </c>
      <c r="AA175" s="8" t="n">
        <v>1072284.4</v>
      </c>
      <c r="AB175" s="8" t="n">
        <v>1053462.5</v>
      </c>
    </row>
    <row r="176">
      <c r="A176" s="4" t="inlineStr">
        <is>
          <t>职工薪酬</t>
        </is>
      </c>
      <c r="D176" s="7" t="n">
        <v>40243.8</v>
      </c>
      <c r="F176" s="7" t="n">
        <v>26206.7</v>
      </c>
      <c r="H176" s="7" t="n">
        <v>44659.6</v>
      </c>
      <c r="J176" s="7" t="n">
        <v>57451.3</v>
      </c>
      <c r="L176" s="7" t="n">
        <v>58925.8</v>
      </c>
      <c r="N176" s="7" t="n">
        <v>37256.7</v>
      </c>
      <c r="P176" s="7" t="n">
        <v>69722.8</v>
      </c>
      <c r="R176" s="7" t="n">
        <v>23980.4</v>
      </c>
      <c r="T176" s="7" t="n">
        <v>53472.7</v>
      </c>
      <c r="V176" s="7" t="n">
        <v>70468.8</v>
      </c>
      <c r="X176" s="7" t="n">
        <v>29249.5</v>
      </c>
      <c r="Z176" s="7" t="n">
        <v>35217.5</v>
      </c>
      <c r="AB176" s="7" t="n">
        <v>546855.6</v>
      </c>
    </row>
    <row r="177">
      <c r="A177" s="4" t="inlineStr">
        <is>
          <t>工资</t>
        </is>
      </c>
      <c r="D177" s="7" t="n">
        <v>24752.4</v>
      </c>
      <c r="F177" s="7" t="n">
        <v>15923.6</v>
      </c>
      <c r="H177" s="7" t="n">
        <v>25227.4</v>
      </c>
      <c r="J177" s="7" t="n">
        <v>33191.6</v>
      </c>
      <c r="L177" s="7" t="n">
        <v>35665.2</v>
      </c>
      <c r="N177" s="7" t="n">
        <v>21197.5</v>
      </c>
      <c r="P177" s="7" t="n">
        <v>44264.2</v>
      </c>
      <c r="R177" s="7" t="n">
        <v>13655.3</v>
      </c>
      <c r="T177" s="7" t="n">
        <v>33758.3</v>
      </c>
      <c r="V177" s="7" t="n">
        <v>44791.8</v>
      </c>
      <c r="X177" s="7" t="n">
        <v>18983</v>
      </c>
      <c r="Z177" s="7" t="n">
        <v>18807.3</v>
      </c>
      <c r="AB177" s="7" t="n">
        <v>330217.6</v>
      </c>
    </row>
    <row r="178">
      <c r="A178" s="4" t="inlineStr">
        <is>
          <t>奖金及提成</t>
        </is>
      </c>
      <c r="D178" s="7" t="n">
        <v>7793.4</v>
      </c>
      <c r="F178" s="7" t="n">
        <v>4912.4</v>
      </c>
      <c r="H178" s="7" t="n">
        <v>8811.1</v>
      </c>
      <c r="J178" s="7" t="n">
        <v>10857.8</v>
      </c>
      <c r="L178" s="7" t="n">
        <v>11183.4</v>
      </c>
      <c r="N178" s="7" t="n">
        <v>6675.1</v>
      </c>
      <c r="P178" s="7" t="n">
        <v>14128.9</v>
      </c>
      <c r="R178" s="7" t="n">
        <v>3963.6</v>
      </c>
      <c r="T178" s="7" t="n">
        <v>9478.799999999999</v>
      </c>
      <c r="V178" s="7" t="n">
        <v>13635.2</v>
      </c>
      <c r="X178" s="7" t="n">
        <v>3876.9</v>
      </c>
      <c r="Z178" s="7" t="n">
        <v>8166.9</v>
      </c>
      <c r="AB178" s="7" t="n">
        <v>103483.5</v>
      </c>
    </row>
    <row r="179">
      <c r="A179" s="4" t="inlineStr">
        <is>
          <t>社保</t>
        </is>
      </c>
      <c r="D179" s="7" t="n">
        <v>5530.5</v>
      </c>
      <c r="F179" s="7" t="n">
        <v>4100.6</v>
      </c>
      <c r="H179" s="7" t="n">
        <v>8261.6</v>
      </c>
      <c r="J179" s="7" t="n">
        <v>9402</v>
      </c>
      <c r="L179" s="7" t="n">
        <v>8815.4</v>
      </c>
      <c r="N179" s="7" t="n">
        <v>6668.4</v>
      </c>
      <c r="P179" s="7" t="n">
        <v>7617.5</v>
      </c>
      <c r="R179" s="7" t="n">
        <v>4651.4</v>
      </c>
      <c r="T179" s="7" t="n">
        <v>6511.9</v>
      </c>
      <c r="V179" s="7" t="n">
        <v>7635.3</v>
      </c>
      <c r="X179" s="7" t="n">
        <v>4473.4</v>
      </c>
      <c r="Z179" s="7" t="n">
        <v>6127.2</v>
      </c>
      <c r="AB179" s="7" t="n">
        <v>79795.2</v>
      </c>
    </row>
    <row r="180">
      <c r="A180" s="4" t="inlineStr">
        <is>
          <t>养老</t>
        </is>
      </c>
      <c r="D180" s="7" t="n">
        <v>430.3</v>
      </c>
      <c r="F180" s="7" t="n">
        <v>250.1</v>
      </c>
      <c r="H180" s="7" t="n">
        <v>303.6</v>
      </c>
      <c r="J180" s="7" t="n">
        <v>623.2</v>
      </c>
      <c r="L180" s="7" t="n">
        <v>650.4</v>
      </c>
      <c r="N180" s="7" t="n">
        <v>431.3</v>
      </c>
      <c r="P180" s="7" t="n">
        <v>727.5</v>
      </c>
      <c r="R180" s="7" t="n">
        <v>220.9</v>
      </c>
      <c r="T180" s="7" t="n">
        <v>435.4</v>
      </c>
      <c r="V180" s="7" t="n">
        <v>614.9</v>
      </c>
      <c r="X180" s="7" t="n">
        <v>321.1</v>
      </c>
      <c r="Z180" s="7" t="n">
        <v>392.7</v>
      </c>
      <c r="AB180" s="7" t="n">
        <v>5401.4</v>
      </c>
    </row>
    <row r="181">
      <c r="A181" s="4" t="inlineStr">
        <is>
          <t>医疗</t>
        </is>
      </c>
      <c r="D181" s="7" t="n">
        <v>204.6</v>
      </c>
      <c r="F181" s="7" t="n">
        <v>129.5</v>
      </c>
      <c r="H181" s="7" t="n">
        <v>325.1</v>
      </c>
      <c r="J181" s="7" t="n">
        <v>323.1</v>
      </c>
      <c r="L181" s="7" t="n">
        <v>367.2</v>
      </c>
      <c r="N181" s="7" t="n">
        <v>306.8</v>
      </c>
      <c r="P181" s="7" t="n">
        <v>424.9</v>
      </c>
      <c r="R181" s="7" t="n">
        <v>173.6</v>
      </c>
      <c r="T181" s="7" t="n">
        <v>301.4</v>
      </c>
      <c r="V181" s="7" t="n">
        <v>356.9</v>
      </c>
      <c r="X181" s="7" t="n">
        <v>191.3</v>
      </c>
      <c r="Z181" s="7" t="n">
        <v>233.9</v>
      </c>
      <c r="AB181" s="7" t="n">
        <v>3338.3</v>
      </c>
    </row>
    <row r="182">
      <c r="A182" s="4" t="inlineStr">
        <is>
          <t>工伤</t>
        </is>
      </c>
      <c r="D182" s="7" t="n">
        <v>286.1</v>
      </c>
      <c r="F182" s="7" t="n">
        <v>223.4</v>
      </c>
      <c r="H182" s="7" t="n">
        <v>422.7</v>
      </c>
      <c r="J182" s="7" t="n">
        <v>657.9</v>
      </c>
      <c r="L182" s="7" t="n">
        <v>398.8</v>
      </c>
      <c r="N182" s="7" t="n">
        <v>354.4</v>
      </c>
      <c r="P182" s="7" t="n">
        <v>644.7</v>
      </c>
      <c r="R182" s="7" t="n">
        <v>204.4</v>
      </c>
      <c r="T182" s="7" t="n">
        <v>390.9</v>
      </c>
      <c r="V182" s="7" t="n">
        <v>581.4</v>
      </c>
      <c r="X182" s="7" t="n">
        <v>274.4</v>
      </c>
      <c r="Z182" s="7" t="n">
        <v>313.8</v>
      </c>
      <c r="AB182" s="7" t="n">
        <v>4752.9</v>
      </c>
    </row>
    <row r="183">
      <c r="A183" s="4" t="inlineStr">
        <is>
          <t>失业</t>
        </is>
      </c>
      <c r="D183" s="7" t="n">
        <v>105.6</v>
      </c>
      <c r="F183" s="7" t="n">
        <v>53.9</v>
      </c>
      <c r="H183" s="7" t="n">
        <v>114</v>
      </c>
      <c r="J183" s="7" t="n">
        <v>255.8</v>
      </c>
      <c r="L183" s="7" t="n">
        <v>121</v>
      </c>
      <c r="N183" s="7" t="n">
        <v>128.7</v>
      </c>
      <c r="P183" s="7" t="n">
        <v>181</v>
      </c>
      <c r="R183" s="7" t="n">
        <v>89.09999999999999</v>
      </c>
      <c r="T183" s="7" t="n">
        <v>127.8</v>
      </c>
      <c r="V183" s="7" t="n">
        <v>159</v>
      </c>
      <c r="X183" s="7" t="n">
        <v>86.59999999999999</v>
      </c>
      <c r="Z183" s="7" t="n">
        <v>84.90000000000001</v>
      </c>
      <c r="AB183" s="7" t="n">
        <v>1507.4</v>
      </c>
    </row>
    <row r="184">
      <c r="A184" s="4" t="inlineStr">
        <is>
          <t>生育</t>
        </is>
      </c>
      <c r="D184" s="7" t="n">
        <v>210.6</v>
      </c>
      <c r="F184" s="7" t="n">
        <v>163.6</v>
      </c>
      <c r="H184" s="7" t="n">
        <v>261.9</v>
      </c>
      <c r="J184" s="7" t="n">
        <v>403.7</v>
      </c>
      <c r="L184" s="7" t="n">
        <v>374.4</v>
      </c>
      <c r="N184" s="7" t="n">
        <v>277</v>
      </c>
      <c r="P184" s="7" t="n">
        <v>276.1</v>
      </c>
      <c r="R184" s="7" t="n">
        <v>204</v>
      </c>
      <c r="T184" s="7" t="n">
        <v>313.7</v>
      </c>
      <c r="V184" s="7" t="n">
        <v>419</v>
      </c>
      <c r="X184" s="7" t="n">
        <v>162.2</v>
      </c>
      <c r="Z184" s="7" t="n">
        <v>174.2</v>
      </c>
      <c r="AB184" s="7" t="n">
        <v>3240.4</v>
      </c>
    </row>
    <row r="185">
      <c r="A185" s="4" t="inlineStr">
        <is>
          <t>公积金</t>
        </is>
      </c>
      <c r="D185" s="7" t="n">
        <v>34.3</v>
      </c>
      <c r="F185" s="7" t="n">
        <v>18</v>
      </c>
      <c r="H185" s="7" t="n">
        <v>26</v>
      </c>
      <c r="J185" s="7" t="n">
        <v>45.7</v>
      </c>
      <c r="L185" s="7" t="n">
        <v>59.3</v>
      </c>
      <c r="N185" s="7" t="n">
        <v>41.3</v>
      </c>
      <c r="P185" s="7" t="n">
        <v>70.40000000000001</v>
      </c>
      <c r="R185" s="7" t="n">
        <v>25</v>
      </c>
      <c r="T185" s="7" t="n">
        <v>41.6</v>
      </c>
      <c r="V185" s="7" t="n">
        <v>59.7</v>
      </c>
      <c r="X185" s="7" t="n">
        <v>29.4</v>
      </c>
      <c r="Z185" s="7" t="n">
        <v>36.1</v>
      </c>
      <c r="AB185" s="7" t="n">
        <v>486.8</v>
      </c>
    </row>
    <row r="186">
      <c r="A186" s="4" t="inlineStr">
        <is>
          <t>工会经费</t>
        </is>
      </c>
      <c r="D186" s="7" t="n">
        <v>156.5</v>
      </c>
      <c r="F186" s="7" t="n">
        <v>146</v>
      </c>
      <c r="H186" s="7" t="n">
        <v>274.6</v>
      </c>
      <c r="J186" s="7" t="n">
        <v>257.9</v>
      </c>
      <c r="L186" s="7" t="n">
        <v>299.7</v>
      </c>
      <c r="N186" s="7" t="n">
        <v>258.9</v>
      </c>
      <c r="P186" s="7" t="n">
        <v>258.5</v>
      </c>
      <c r="R186" s="7" t="n">
        <v>177.4</v>
      </c>
      <c r="T186" s="7" t="n">
        <v>212.5</v>
      </c>
      <c r="V186" s="7" t="n">
        <v>273.8</v>
      </c>
      <c r="X186" s="7" t="n">
        <v>140.3</v>
      </c>
      <c r="Z186" s="7" t="n">
        <v>164</v>
      </c>
      <c r="AB186" s="7" t="n">
        <v>2620.1</v>
      </c>
    </row>
    <row r="187">
      <c r="A187" s="4" t="inlineStr">
        <is>
          <t>职工教育经费</t>
        </is>
      </c>
      <c r="D187" s="7" t="n">
        <v>417.4</v>
      </c>
      <c r="F187" s="7" t="n">
        <v>197.2</v>
      </c>
      <c r="H187" s="7" t="n">
        <v>529.1</v>
      </c>
      <c r="J187" s="7" t="n">
        <v>899.6</v>
      </c>
      <c r="L187" s="7" t="n">
        <v>602.8</v>
      </c>
      <c r="N187" s="7" t="n">
        <v>583.9</v>
      </c>
      <c r="P187" s="7" t="n">
        <v>790.1</v>
      </c>
      <c r="R187" s="7" t="n">
        <v>331.2</v>
      </c>
      <c r="T187" s="7" t="n">
        <v>808.3</v>
      </c>
      <c r="V187" s="7" t="n">
        <v>997.8</v>
      </c>
      <c r="X187" s="7" t="n">
        <v>351.3</v>
      </c>
      <c r="Z187" s="7" t="n">
        <v>409.8</v>
      </c>
      <c r="AB187" s="7" t="n">
        <v>6918.5</v>
      </c>
    </row>
    <row r="188">
      <c r="A188" s="4" t="inlineStr">
        <is>
          <t>福利费</t>
        </is>
      </c>
      <c r="D188" s="7" t="n">
        <v>1559.3</v>
      </c>
      <c r="F188" s="7" t="n">
        <v>908.9</v>
      </c>
      <c r="H188" s="7" t="n">
        <v>1529.8</v>
      </c>
      <c r="J188" s="7" t="n">
        <v>2796.7</v>
      </c>
      <c r="L188" s="7" t="n">
        <v>2300</v>
      </c>
      <c r="N188" s="7" t="n">
        <v>1831.6</v>
      </c>
      <c r="P188" s="7" t="n">
        <v>2593.2</v>
      </c>
      <c r="R188" s="7" t="n">
        <v>1176.5</v>
      </c>
      <c r="T188" s="7" t="n">
        <v>2661.3</v>
      </c>
      <c r="V188" s="7" t="n">
        <v>3075.2</v>
      </c>
      <c r="X188" s="7" t="n">
        <v>1395.2</v>
      </c>
      <c r="Z188" s="7" t="n">
        <v>1506.2</v>
      </c>
      <c r="AB188" s="7" t="n">
        <v>23333.9</v>
      </c>
    </row>
    <row r="189">
      <c r="A189" s="4" t="inlineStr">
        <is>
          <t>职工房租</t>
        </is>
      </c>
      <c r="D189" s="7" t="n">
        <v>132.1</v>
      </c>
      <c r="F189" s="7" t="n">
        <v>75.09999999999999</v>
      </c>
      <c r="H189" s="7" t="n">
        <v>125.8</v>
      </c>
      <c r="J189" s="7" t="n">
        <v>216.2</v>
      </c>
      <c r="L189" s="7" t="n">
        <v>235.9</v>
      </c>
      <c r="N189" s="7" t="n">
        <v>131.2</v>
      </c>
      <c r="P189" s="7" t="n">
        <v>252.7</v>
      </c>
      <c r="R189" s="7" t="n">
        <v>112.1</v>
      </c>
      <c r="T189" s="7" t="n">
        <v>237.5</v>
      </c>
      <c r="V189" s="7" t="n">
        <v>242.1</v>
      </c>
      <c r="X189" s="7" t="n">
        <v>123.7</v>
      </c>
      <c r="Z189" s="7" t="n">
        <v>91.3</v>
      </c>
      <c r="AB189" s="7" t="n">
        <v>1975.7</v>
      </c>
    </row>
    <row r="190">
      <c r="A190" s="4" t="inlineStr">
        <is>
          <t>水电物业费</t>
        </is>
      </c>
      <c r="D190" s="7" t="n">
        <v>212.2</v>
      </c>
      <c r="F190" s="7" t="n">
        <v>167.9</v>
      </c>
      <c r="H190" s="7" t="n">
        <v>183.6</v>
      </c>
      <c r="J190" s="7" t="n">
        <v>547.9</v>
      </c>
      <c r="L190" s="7" t="n">
        <v>386</v>
      </c>
      <c r="N190" s="7" t="n">
        <v>385.1</v>
      </c>
      <c r="P190" s="7" t="n">
        <v>512.2</v>
      </c>
      <c r="R190" s="7" t="n">
        <v>193.7</v>
      </c>
      <c r="T190" s="7" t="n">
        <v>417.1</v>
      </c>
      <c r="V190" s="7" t="n">
        <v>502.8</v>
      </c>
      <c r="X190" s="7" t="n">
        <v>210.7</v>
      </c>
      <c r="Z190" s="7" t="n">
        <v>240.3</v>
      </c>
      <c r="AB190" s="7" t="n">
        <v>3959.5</v>
      </c>
    </row>
    <row r="191">
      <c r="A191" s="4" t="inlineStr">
        <is>
          <t>员工餐</t>
        </is>
      </c>
      <c r="D191" s="7" t="n">
        <v>245.5</v>
      </c>
      <c r="F191" s="7" t="n">
        <v>187.5</v>
      </c>
      <c r="H191" s="7" t="n">
        <v>331.4</v>
      </c>
      <c r="J191" s="7" t="n">
        <v>668.7</v>
      </c>
      <c r="L191" s="7" t="n">
        <v>515.5</v>
      </c>
      <c r="N191" s="7" t="n">
        <v>347.9</v>
      </c>
      <c r="P191" s="7" t="n">
        <v>616.2</v>
      </c>
      <c r="R191" s="7" t="n">
        <v>264.9</v>
      </c>
      <c r="T191" s="7" t="n">
        <v>544.2</v>
      </c>
      <c r="V191" s="7" t="n">
        <v>748.3</v>
      </c>
      <c r="X191" s="7" t="n">
        <v>352</v>
      </c>
      <c r="Z191" s="7" t="n">
        <v>268</v>
      </c>
      <c r="AB191" s="7" t="n">
        <v>5090.1</v>
      </c>
    </row>
    <row r="192">
      <c r="A192" s="4" t="inlineStr">
        <is>
          <t>节日礼品</t>
        </is>
      </c>
      <c r="D192" s="7" t="n">
        <v>98.09999999999999</v>
      </c>
      <c r="F192" s="7" t="n">
        <v>75.09999999999999</v>
      </c>
      <c r="H192" s="7" t="n">
        <v>119.1</v>
      </c>
      <c r="J192" s="7" t="n">
        <v>244.2</v>
      </c>
      <c r="L192" s="7" t="n">
        <v>117.6</v>
      </c>
      <c r="N192" s="7" t="n">
        <v>162.7</v>
      </c>
      <c r="P192" s="7" t="n">
        <v>201</v>
      </c>
      <c r="R192" s="7" t="n">
        <v>84.5</v>
      </c>
      <c r="T192" s="7" t="n">
        <v>132.2</v>
      </c>
      <c r="V192" s="7" t="n">
        <v>253.1</v>
      </c>
      <c r="X192" s="7" t="n">
        <v>68.7</v>
      </c>
      <c r="Z192" s="7" t="n">
        <v>117.5</v>
      </c>
      <c r="AB192" s="7" t="n">
        <v>1673.8</v>
      </c>
    </row>
    <row r="193">
      <c r="A193" s="4" t="inlineStr">
        <is>
          <t>生日礼品</t>
        </is>
      </c>
      <c r="D193" s="7" t="n">
        <v>497.6</v>
      </c>
      <c r="F193" s="7" t="n">
        <v>196.7</v>
      </c>
      <c r="H193" s="7" t="n">
        <v>355.8</v>
      </c>
      <c r="J193" s="7" t="n">
        <v>593.5</v>
      </c>
      <c r="L193" s="7" t="n">
        <v>498.2</v>
      </c>
      <c r="N193" s="7" t="n">
        <v>429.6</v>
      </c>
      <c r="P193" s="7" t="n">
        <v>510.7</v>
      </c>
      <c r="R193" s="7" t="n">
        <v>251.7</v>
      </c>
      <c r="T193" s="7" t="n">
        <v>702.5</v>
      </c>
      <c r="V193" s="7" t="n">
        <v>596.2</v>
      </c>
      <c r="X193" s="7" t="n">
        <v>384.1</v>
      </c>
      <c r="Z193" s="7" t="n">
        <v>453.6</v>
      </c>
      <c r="AB193" s="7" t="n">
        <v>5470.2</v>
      </c>
    </row>
    <row r="194">
      <c r="A194" s="4" t="inlineStr">
        <is>
          <t>体检</t>
        </is>
      </c>
      <c r="D194" s="7" t="n">
        <v>308.3</v>
      </c>
      <c r="F194" s="7" t="n">
        <v>154.9</v>
      </c>
      <c r="H194" s="7" t="n">
        <v>313.3</v>
      </c>
      <c r="J194" s="7" t="n">
        <v>375.2</v>
      </c>
      <c r="L194" s="7" t="n">
        <v>468.8</v>
      </c>
      <c r="N194" s="7" t="n">
        <v>278</v>
      </c>
      <c r="P194" s="7" t="n">
        <v>362.5</v>
      </c>
      <c r="R194" s="7" t="n">
        <v>228.9</v>
      </c>
      <c r="T194" s="7" t="n">
        <v>500.9</v>
      </c>
      <c r="V194" s="7" t="n">
        <v>625.9</v>
      </c>
      <c r="X194" s="7" t="n">
        <v>189.9</v>
      </c>
      <c r="Z194" s="7" t="n">
        <v>266.7</v>
      </c>
      <c r="AB194" s="7" t="n">
        <v>4073.3</v>
      </c>
    </row>
    <row r="195">
      <c r="A195" s="4" t="inlineStr">
        <is>
          <t>其他福利支出</t>
        </is>
      </c>
      <c r="D195" s="7" t="n">
        <v>65.5</v>
      </c>
      <c r="F195" s="7" t="n">
        <v>51.7</v>
      </c>
      <c r="H195" s="7" t="n">
        <v>100.8</v>
      </c>
      <c r="J195" s="7" t="n">
        <v>151</v>
      </c>
      <c r="L195" s="7" t="n">
        <v>78</v>
      </c>
      <c r="N195" s="7" t="n">
        <v>97.09999999999999</v>
      </c>
      <c r="P195" s="7" t="n">
        <v>137.9</v>
      </c>
      <c r="R195" s="7" t="n">
        <v>40.7</v>
      </c>
      <c r="T195" s="7" t="n">
        <v>126.9</v>
      </c>
      <c r="V195" s="7" t="n">
        <v>106.8</v>
      </c>
      <c r="X195" s="7" t="n">
        <v>66.09999999999999</v>
      </c>
      <c r="Z195" s="7" t="n">
        <v>68.8</v>
      </c>
      <c r="AB195" s="7" t="n">
        <v>1091.3</v>
      </c>
    </row>
    <row r="196">
      <c r="A196" s="4" t="inlineStr">
        <is>
          <t>招聘费</t>
        </is>
      </c>
      <c r="D196" s="7" t="n">
        <v>217.9</v>
      </c>
      <c r="F196" s="7" t="n">
        <v>147.4</v>
      </c>
      <c r="H196" s="7" t="n">
        <v>240.6</v>
      </c>
      <c r="J196" s="7" t="n">
        <v>465.2</v>
      </c>
      <c r="L196" s="7" t="n">
        <v>398.9</v>
      </c>
      <c r="N196" s="7" t="n">
        <v>349</v>
      </c>
      <c r="P196" s="7" t="n">
        <v>393</v>
      </c>
      <c r="R196" s="7" t="n">
        <v>128.8</v>
      </c>
      <c r="T196" s="7" t="n">
        <v>276.3</v>
      </c>
      <c r="V196" s="7" t="n">
        <v>295.9</v>
      </c>
      <c r="X196" s="7" t="n">
        <v>167.2</v>
      </c>
      <c r="Z196" s="7" t="n">
        <v>171.9</v>
      </c>
      <c r="AB196" s="7" t="n">
        <v>3252.1</v>
      </c>
    </row>
    <row r="197">
      <c r="A197" s="4" t="inlineStr">
        <is>
          <t>办公费</t>
        </is>
      </c>
      <c r="D197" s="7" t="n">
        <v>1599.8</v>
      </c>
      <c r="F197" s="7" t="n">
        <v>1108.9</v>
      </c>
      <c r="H197" s="7" t="n">
        <v>2061.7</v>
      </c>
      <c r="J197" s="7" t="n">
        <v>4919.5</v>
      </c>
      <c r="L197" s="7" t="n">
        <v>3304.6</v>
      </c>
      <c r="N197" s="7" t="n">
        <v>2329.9</v>
      </c>
      <c r="P197" s="7" t="n">
        <v>3517.4</v>
      </c>
      <c r="R197" s="7" t="n">
        <v>1176.2</v>
      </c>
      <c r="T197" s="7" t="n">
        <v>4030</v>
      </c>
      <c r="V197" s="7" t="n">
        <v>2845.8</v>
      </c>
      <c r="X197" s="7" t="n">
        <v>1342.9</v>
      </c>
      <c r="Z197" s="7" t="n">
        <v>1786.1</v>
      </c>
      <c r="AB197" s="7" t="n">
        <v>30022.8</v>
      </c>
    </row>
    <row r="198">
      <c r="A198" s="4" t="inlineStr">
        <is>
          <t>市内交通费</t>
        </is>
      </c>
      <c r="D198" s="7" t="n">
        <v>213.5</v>
      </c>
      <c r="F198" s="7" t="n">
        <v>99.3</v>
      </c>
      <c r="H198" s="7" t="n">
        <v>223</v>
      </c>
      <c r="J198" s="7" t="n">
        <v>297</v>
      </c>
      <c r="L198" s="7" t="n">
        <v>269.4</v>
      </c>
      <c r="N198" s="7" t="n">
        <v>296.3</v>
      </c>
      <c r="P198" s="7" t="n">
        <v>279.7</v>
      </c>
      <c r="R198" s="7" t="n">
        <v>182.9</v>
      </c>
      <c r="T198" s="7" t="n">
        <v>251.2</v>
      </c>
      <c r="V198" s="7" t="n">
        <v>264.9</v>
      </c>
      <c r="X198" s="7" t="n">
        <v>164.2</v>
      </c>
      <c r="Z198" s="7" t="n">
        <v>211.7</v>
      </c>
      <c r="AB198" s="7" t="n">
        <v>2753.1</v>
      </c>
    </row>
    <row r="199">
      <c r="A199" s="4" t="inlineStr">
        <is>
          <t>差旅费</t>
        </is>
      </c>
      <c r="D199" s="7" t="n">
        <v>3424.9</v>
      </c>
      <c r="F199" s="7" t="n">
        <v>3137</v>
      </c>
      <c r="H199" s="7" t="n">
        <v>4552.7</v>
      </c>
      <c r="J199" s="7" t="n">
        <v>6229.5</v>
      </c>
      <c r="L199" s="7" t="n">
        <v>6337.8</v>
      </c>
      <c r="N199" s="7" t="n">
        <v>4601.2</v>
      </c>
      <c r="P199" s="7" t="n">
        <v>9426.700000000001</v>
      </c>
      <c r="R199" s="7" t="n">
        <v>3230</v>
      </c>
      <c r="T199" s="7" t="n">
        <v>4753.5</v>
      </c>
      <c r="V199" s="7" t="n">
        <v>7622.2</v>
      </c>
      <c r="X199" s="7" t="n">
        <v>3500.9</v>
      </c>
      <c r="Z199" s="7" t="n">
        <v>2759.3</v>
      </c>
      <c r="AB199" s="7" t="n">
        <v>59575.7</v>
      </c>
    </row>
    <row r="200">
      <c r="A200" s="4" t="inlineStr">
        <is>
          <t>交通费</t>
        </is>
      </c>
      <c r="D200" s="7" t="n">
        <v>36</v>
      </c>
      <c r="F200" s="7" t="n">
        <v>23.9</v>
      </c>
      <c r="H200" s="7" t="n">
        <v>59.2</v>
      </c>
      <c r="J200" s="7" t="n">
        <v>106.8</v>
      </c>
      <c r="L200" s="7" t="n">
        <v>45.5</v>
      </c>
      <c r="N200" s="7" t="n">
        <v>57.5</v>
      </c>
      <c r="P200" s="7" t="n">
        <v>82.7</v>
      </c>
      <c r="R200" s="7" t="n">
        <v>24.3</v>
      </c>
      <c r="T200" s="7" t="n">
        <v>81.2</v>
      </c>
      <c r="V200" s="7" t="n">
        <v>58.7</v>
      </c>
      <c r="X200" s="7" t="n">
        <v>33.5</v>
      </c>
      <c r="Z200" s="7" t="n">
        <v>32</v>
      </c>
      <c r="AB200" s="7" t="n">
        <v>641.3</v>
      </c>
    </row>
    <row r="201">
      <c r="A201" s="4" t="inlineStr">
        <is>
          <t>住宿费</t>
        </is>
      </c>
      <c r="D201" s="7" t="n">
        <v>49.7</v>
      </c>
      <c r="F201" s="7" t="n">
        <v>28.1</v>
      </c>
      <c r="H201" s="7" t="n">
        <v>41.5</v>
      </c>
      <c r="J201" s="7" t="n">
        <v>95.59999999999999</v>
      </c>
      <c r="L201" s="7" t="n">
        <v>89.2</v>
      </c>
      <c r="N201" s="7" t="n">
        <v>73.40000000000001</v>
      </c>
      <c r="P201" s="7" t="n">
        <v>88</v>
      </c>
      <c r="R201" s="7" t="n">
        <v>29.8</v>
      </c>
      <c r="T201" s="7" t="n">
        <v>57.4</v>
      </c>
      <c r="V201" s="7" t="n">
        <v>110.9</v>
      </c>
      <c r="X201" s="7" t="n">
        <v>35</v>
      </c>
      <c r="Z201" s="7" t="n">
        <v>57.5</v>
      </c>
      <c r="AB201" s="7" t="n">
        <v>756.1</v>
      </c>
    </row>
    <row r="202">
      <c r="A202" s="4" t="inlineStr">
        <is>
          <t>餐补</t>
        </is>
      </c>
      <c r="D202" s="7" t="n">
        <v>394.1</v>
      </c>
      <c r="F202" s="7" t="n">
        <v>252.2</v>
      </c>
      <c r="H202" s="7" t="n">
        <v>527.2</v>
      </c>
      <c r="J202" s="7" t="n">
        <v>516.7</v>
      </c>
      <c r="L202" s="7" t="n">
        <v>411.2</v>
      </c>
      <c r="N202" s="7" t="n">
        <v>563.3</v>
      </c>
      <c r="P202" s="7" t="n">
        <v>799.1</v>
      </c>
      <c r="R202" s="7" t="n">
        <v>256</v>
      </c>
      <c r="T202" s="7" t="n">
        <v>400.6</v>
      </c>
      <c r="V202" s="7" t="n">
        <v>562.2</v>
      </c>
      <c r="X202" s="7" t="n">
        <v>235.8</v>
      </c>
      <c r="Z202" s="7" t="n">
        <v>237.9</v>
      </c>
      <c r="AB202" s="7" t="n">
        <v>5156.3</v>
      </c>
    </row>
    <row r="203">
      <c r="A203" s="4" t="inlineStr">
        <is>
          <t>交通补助</t>
        </is>
      </c>
      <c r="D203" s="7" t="n">
        <v>519.8</v>
      </c>
      <c r="F203" s="7" t="n">
        <v>313.7</v>
      </c>
      <c r="H203" s="7" t="n">
        <v>449.5</v>
      </c>
      <c r="J203" s="7" t="n">
        <v>999.1</v>
      </c>
      <c r="L203" s="7" t="n">
        <v>806.8</v>
      </c>
      <c r="N203" s="7" t="n">
        <v>487.3</v>
      </c>
      <c r="P203" s="7" t="n">
        <v>621.8</v>
      </c>
      <c r="R203" s="7" t="n">
        <v>358.1</v>
      </c>
      <c r="T203" s="7" t="n">
        <v>510.6</v>
      </c>
      <c r="V203" s="7" t="n">
        <v>753.8</v>
      </c>
      <c r="X203" s="7" t="n">
        <v>291.9</v>
      </c>
      <c r="Z203" s="7" t="n">
        <v>432.5</v>
      </c>
      <c r="AB203" s="7" t="n">
        <v>6544.9</v>
      </c>
    </row>
    <row r="204">
      <c r="A204" s="4" t="inlineStr">
        <is>
          <t>通讯补助</t>
        </is>
      </c>
      <c r="D204" s="7" t="n">
        <v>263.7</v>
      </c>
      <c r="F204" s="7" t="n">
        <v>238.8</v>
      </c>
      <c r="H204" s="7" t="n">
        <v>500</v>
      </c>
      <c r="J204" s="7" t="n">
        <v>749.2</v>
      </c>
      <c r="L204" s="7" t="n">
        <v>526.8</v>
      </c>
      <c r="N204" s="7" t="n">
        <v>410.1</v>
      </c>
      <c r="P204" s="7" t="n">
        <v>728.7</v>
      </c>
      <c r="R204" s="7" t="n">
        <v>299.3</v>
      </c>
      <c r="T204" s="7" t="n">
        <v>547.3</v>
      </c>
      <c r="V204" s="7" t="n">
        <v>519.5</v>
      </c>
      <c r="X204" s="7" t="n">
        <v>291</v>
      </c>
      <c r="Z204" s="7" t="n">
        <v>261.7</v>
      </c>
      <c r="AB204" s="7" t="n">
        <v>5336.1</v>
      </c>
    </row>
    <row r="205">
      <c r="A205" s="4" t="inlineStr">
        <is>
          <t>招待费</t>
        </is>
      </c>
      <c r="D205" s="7" t="n">
        <v>2195.7</v>
      </c>
      <c r="F205" s="7" t="n">
        <v>1835.8</v>
      </c>
      <c r="H205" s="7" t="n">
        <v>2918.1</v>
      </c>
      <c r="J205" s="7" t="n">
        <v>4021.7</v>
      </c>
      <c r="L205" s="7" t="n">
        <v>5080.2</v>
      </c>
      <c r="N205" s="7" t="n">
        <v>3683.4</v>
      </c>
      <c r="P205" s="7" t="n">
        <v>3683.5</v>
      </c>
      <c r="R205" s="7" t="n">
        <v>2008.4</v>
      </c>
      <c r="T205" s="7" t="n">
        <v>5346.1</v>
      </c>
      <c r="V205" s="7" t="n">
        <v>5876.8</v>
      </c>
      <c r="X205" s="7" t="n">
        <v>1568.8</v>
      </c>
      <c r="Z205" s="7" t="n">
        <v>3285.4</v>
      </c>
      <c r="AB205" s="7" t="n">
        <v>41503.9</v>
      </c>
    </row>
    <row r="206">
      <c r="A206" s="4" t="inlineStr">
        <is>
          <t>通讯费</t>
        </is>
      </c>
      <c r="D206" s="7" t="n">
        <v>75.59999999999999</v>
      </c>
      <c r="F206" s="7" t="n">
        <v>44.4</v>
      </c>
      <c r="H206" s="7" t="n">
        <v>64.3</v>
      </c>
      <c r="J206" s="7" t="n">
        <v>119.5</v>
      </c>
      <c r="L206" s="7" t="n">
        <v>68.3</v>
      </c>
      <c r="N206" s="7" t="n">
        <v>59.5</v>
      </c>
      <c r="P206" s="7" t="n">
        <v>82.59999999999999</v>
      </c>
      <c r="R206" s="7" t="n">
        <v>47.1</v>
      </c>
      <c r="T206" s="7" t="n">
        <v>75.5</v>
      </c>
      <c r="V206" s="7" t="n">
        <v>145.1</v>
      </c>
      <c r="X206" s="7" t="n">
        <v>49.3</v>
      </c>
      <c r="Z206" s="7" t="n">
        <v>70.5</v>
      </c>
      <c r="AB206" s="7" t="n">
        <v>901.7</v>
      </c>
    </row>
    <row r="207">
      <c r="A207" s="4" t="inlineStr">
        <is>
          <t>网络费</t>
        </is>
      </c>
      <c r="D207" s="7" t="n">
        <v>47.8</v>
      </c>
      <c r="F207" s="7" t="n">
        <v>25.8</v>
      </c>
      <c r="H207" s="7" t="n">
        <v>45</v>
      </c>
      <c r="J207" s="7" t="n">
        <v>91.5</v>
      </c>
      <c r="L207" s="7" t="n">
        <v>52.6</v>
      </c>
      <c r="N207" s="7" t="n">
        <v>59.5</v>
      </c>
      <c r="P207" s="7" t="n">
        <v>75</v>
      </c>
      <c r="R207" s="7" t="n">
        <v>29</v>
      </c>
      <c r="T207" s="7" t="n">
        <v>66.09999999999999</v>
      </c>
      <c r="V207" s="7" t="n">
        <v>74</v>
      </c>
      <c r="X207" s="7" t="n">
        <v>40.2</v>
      </c>
      <c r="Z207" s="7" t="n">
        <v>49.2</v>
      </c>
      <c r="AB207" s="7" t="n">
        <v>655.7</v>
      </c>
    </row>
    <row r="208">
      <c r="A208" s="4" t="inlineStr">
        <is>
          <t>修理费</t>
        </is>
      </c>
      <c r="D208" s="7" t="n">
        <v>232.7</v>
      </c>
      <c r="F208" s="7" t="n">
        <v>183</v>
      </c>
      <c r="H208" s="7" t="n">
        <v>459.8</v>
      </c>
      <c r="J208" s="7" t="n">
        <v>731.5</v>
      </c>
      <c r="L208" s="7" t="n">
        <v>448.1</v>
      </c>
      <c r="N208" s="7" t="n">
        <v>357.2</v>
      </c>
      <c r="P208" s="7" t="n">
        <v>530.6</v>
      </c>
      <c r="R208" s="7" t="n">
        <v>161.9</v>
      </c>
      <c r="T208" s="7" t="n">
        <v>570.5</v>
      </c>
      <c r="V208" s="7" t="n">
        <v>552.7</v>
      </c>
      <c r="X208" s="7" t="n">
        <v>265.7</v>
      </c>
      <c r="Z208" s="7" t="n">
        <v>364.2</v>
      </c>
      <c r="AB208" s="7" t="n">
        <v>4857.9</v>
      </c>
    </row>
    <row r="209">
      <c r="A209" s="4" t="inlineStr">
        <is>
          <t>车辆费</t>
        </is>
      </c>
      <c r="D209" s="7" t="n">
        <v>332.5</v>
      </c>
      <c r="F209" s="7" t="n">
        <v>194.9</v>
      </c>
      <c r="H209" s="7" t="n">
        <v>448.3</v>
      </c>
      <c r="J209" s="7" t="n">
        <v>1027.9</v>
      </c>
      <c r="L209" s="7" t="n">
        <v>505</v>
      </c>
      <c r="N209" s="7" t="n">
        <v>577.8</v>
      </c>
      <c r="P209" s="7" t="n">
        <v>573.1</v>
      </c>
      <c r="R209" s="7" t="n">
        <v>309.4</v>
      </c>
      <c r="T209" s="7" t="n">
        <v>820.9</v>
      </c>
      <c r="V209" s="7" t="n">
        <v>962.9</v>
      </c>
      <c r="X209" s="7" t="n">
        <v>443</v>
      </c>
      <c r="Z209" s="7" t="n">
        <v>476.3</v>
      </c>
      <c r="AB209" s="7" t="n">
        <v>6672</v>
      </c>
    </row>
    <row r="210">
      <c r="A210" s="4" t="inlineStr">
        <is>
          <t>租赁费</t>
        </is>
      </c>
      <c r="D210" s="7" t="n">
        <v>4290.1</v>
      </c>
      <c r="F210" s="7" t="n">
        <v>1736.4</v>
      </c>
      <c r="H210" s="7" t="n">
        <v>4259.1</v>
      </c>
      <c r="J210" s="7" t="n">
        <v>7562.5</v>
      </c>
      <c r="L210" s="7" t="n">
        <v>3934</v>
      </c>
      <c r="N210" s="7" t="n">
        <v>3836.5</v>
      </c>
      <c r="P210" s="7" t="n">
        <v>5517.9</v>
      </c>
      <c r="R210" s="7" t="n">
        <v>2148.8</v>
      </c>
      <c r="T210" s="7" t="n">
        <v>5746.7</v>
      </c>
      <c r="V210" s="7" t="n">
        <v>6527.1</v>
      </c>
      <c r="X210" s="7" t="n">
        <v>2366.6</v>
      </c>
      <c r="Z210" s="7" t="n">
        <v>4056.6</v>
      </c>
      <c r="AB210" s="7" t="n">
        <v>51982.3</v>
      </c>
    </row>
    <row r="211">
      <c r="A211" s="4" t="inlineStr">
        <is>
          <t>能源费</t>
        </is>
      </c>
      <c r="D211" s="7" t="n">
        <v>1458.9</v>
      </c>
      <c r="F211" s="7" t="n">
        <v>737</v>
      </c>
      <c r="H211" s="7" t="n">
        <v>1402.8</v>
      </c>
      <c r="J211" s="7" t="n">
        <v>2514.4</v>
      </c>
      <c r="L211" s="7" t="n">
        <v>2014.6</v>
      </c>
      <c r="N211" s="7" t="n">
        <v>1560.4</v>
      </c>
      <c r="P211" s="7" t="n">
        <v>2532</v>
      </c>
      <c r="R211" s="7" t="n">
        <v>1148.8</v>
      </c>
      <c r="T211" s="7" t="n">
        <v>2145.1</v>
      </c>
      <c r="V211" s="7" t="n">
        <v>2499.2</v>
      </c>
      <c r="X211" s="7" t="n">
        <v>1072.8</v>
      </c>
      <c r="Z211" s="7" t="n">
        <v>1163.3</v>
      </c>
      <c r="AB211" s="7" t="n">
        <v>20249.3</v>
      </c>
    </row>
    <row r="212">
      <c r="A212" s="4" t="inlineStr">
        <is>
          <t>水费</t>
        </is>
      </c>
      <c r="D212" s="7" t="n">
        <v>276.2</v>
      </c>
      <c r="F212" s="7" t="n">
        <v>107.6</v>
      </c>
      <c r="H212" s="7" t="n">
        <v>182.8</v>
      </c>
      <c r="J212" s="7" t="n">
        <v>531.9</v>
      </c>
      <c r="L212" s="7" t="n">
        <v>228.9</v>
      </c>
      <c r="N212" s="7" t="n">
        <v>249.3</v>
      </c>
      <c r="P212" s="7" t="n">
        <v>330</v>
      </c>
      <c r="R212" s="7" t="n">
        <v>121.7</v>
      </c>
      <c r="T212" s="7" t="n">
        <v>257.2</v>
      </c>
      <c r="V212" s="7" t="n">
        <v>423.2</v>
      </c>
      <c r="X212" s="7" t="n">
        <v>150.3</v>
      </c>
      <c r="Z212" s="7" t="n">
        <v>180.7</v>
      </c>
      <c r="AB212" s="7" t="n">
        <v>3039.8</v>
      </c>
    </row>
    <row r="213">
      <c r="A213" s="4" t="inlineStr">
        <is>
          <t>电费</t>
        </is>
      </c>
      <c r="D213" s="7" t="n">
        <v>299.2</v>
      </c>
      <c r="F213" s="7" t="n">
        <v>167.1</v>
      </c>
      <c r="H213" s="7" t="n">
        <v>287.3</v>
      </c>
      <c r="J213" s="7" t="n">
        <v>437.5</v>
      </c>
      <c r="L213" s="7" t="n">
        <v>479.1</v>
      </c>
      <c r="N213" s="7" t="n">
        <v>458</v>
      </c>
      <c r="P213" s="7" t="n">
        <v>673.5</v>
      </c>
      <c r="R213" s="7" t="n">
        <v>312.1</v>
      </c>
      <c r="T213" s="7" t="n">
        <v>406.2</v>
      </c>
      <c r="V213" s="7" t="n">
        <v>468.9</v>
      </c>
      <c r="X213" s="7" t="n">
        <v>303.1</v>
      </c>
      <c r="Z213" s="7" t="n">
        <v>214.2</v>
      </c>
      <c r="AB213" s="7" t="n">
        <v>4506.2</v>
      </c>
    </row>
    <row r="214">
      <c r="A214" s="4" t="inlineStr">
        <is>
          <t>燃气费</t>
        </is>
      </c>
      <c r="D214" s="7" t="n">
        <v>513.8</v>
      </c>
      <c r="F214" s="7" t="n">
        <v>246.5</v>
      </c>
      <c r="H214" s="7" t="n">
        <v>577</v>
      </c>
      <c r="J214" s="7" t="n">
        <v>895.9</v>
      </c>
      <c r="L214" s="7" t="n">
        <v>756.3</v>
      </c>
      <c r="N214" s="7" t="n">
        <v>459.9</v>
      </c>
      <c r="P214" s="7" t="n">
        <v>769</v>
      </c>
      <c r="R214" s="7" t="n">
        <v>404.6</v>
      </c>
      <c r="T214" s="7" t="n">
        <v>804.8</v>
      </c>
      <c r="V214" s="7" t="n">
        <v>852.6</v>
      </c>
      <c r="X214" s="7" t="n">
        <v>350.3</v>
      </c>
      <c r="Z214" s="7" t="n">
        <v>466.8</v>
      </c>
      <c r="AB214" s="7" t="n">
        <v>7097.5</v>
      </c>
    </row>
    <row r="215">
      <c r="A215" s="4" t="inlineStr">
        <is>
          <t>蒸汽费</t>
        </is>
      </c>
      <c r="D215" s="7" t="n">
        <v>369.7</v>
      </c>
      <c r="F215" s="7" t="n">
        <v>215.8</v>
      </c>
      <c r="H215" s="7" t="n">
        <v>355.7</v>
      </c>
      <c r="J215" s="7" t="n">
        <v>649.1</v>
      </c>
      <c r="L215" s="7" t="n">
        <v>550.3</v>
      </c>
      <c r="N215" s="7" t="n">
        <v>393.2</v>
      </c>
      <c r="P215" s="7" t="n">
        <v>759.5</v>
      </c>
      <c r="R215" s="7" t="n">
        <v>310.4</v>
      </c>
      <c r="T215" s="7" t="n">
        <v>676.9</v>
      </c>
      <c r="V215" s="7" t="n">
        <v>754.5</v>
      </c>
      <c r="X215" s="7" t="n">
        <v>269.1</v>
      </c>
      <c r="Z215" s="7" t="n">
        <v>301.6</v>
      </c>
      <c r="AB215" s="7" t="n">
        <v>5605.8</v>
      </c>
    </row>
    <row r="216">
      <c r="A216" s="4" t="inlineStr">
        <is>
          <t>物业费</t>
        </is>
      </c>
      <c r="D216" s="7" t="n">
        <v>97.2</v>
      </c>
      <c r="F216" s="7" t="n">
        <v>52.3</v>
      </c>
      <c r="H216" s="7" t="n">
        <v>169.6</v>
      </c>
      <c r="J216" s="7" t="n">
        <v>267.4</v>
      </c>
      <c r="L216" s="7" t="n">
        <v>220</v>
      </c>
      <c r="N216" s="7" t="n">
        <v>160.1</v>
      </c>
      <c r="P216" s="7" t="n">
        <v>231.5</v>
      </c>
      <c r="R216" s="7" t="n">
        <v>73.7</v>
      </c>
      <c r="T216" s="7" t="n">
        <v>146.4</v>
      </c>
      <c r="V216" s="7" t="n">
        <v>166.4</v>
      </c>
      <c r="X216" s="7" t="n">
        <v>111.5</v>
      </c>
      <c r="Z216" s="7" t="n">
        <v>137.8</v>
      </c>
      <c r="AB216" s="7" t="n">
        <v>1833.9</v>
      </c>
    </row>
    <row r="217">
      <c r="A217" s="4" t="inlineStr">
        <is>
          <t>劳动保护费</t>
        </is>
      </c>
      <c r="D217" s="7" t="n">
        <v>27.8</v>
      </c>
      <c r="F217" s="7" t="n">
        <v>28.1</v>
      </c>
      <c r="H217" s="7" t="n">
        <v>38.6</v>
      </c>
      <c r="J217" s="7" t="n">
        <v>78.90000000000001</v>
      </c>
      <c r="L217" s="7" t="n">
        <v>56.6</v>
      </c>
      <c r="N217" s="7" t="n">
        <v>46.7</v>
      </c>
      <c r="P217" s="7" t="n">
        <v>57</v>
      </c>
      <c r="R217" s="7" t="n">
        <v>27.7</v>
      </c>
      <c r="T217" s="7" t="n">
        <v>70.09999999999999</v>
      </c>
      <c r="V217" s="7" t="n">
        <v>89.7</v>
      </c>
      <c r="X217" s="7" t="n">
        <v>26.3</v>
      </c>
      <c r="Z217" s="7" t="n">
        <v>44.5</v>
      </c>
      <c r="AB217" s="7" t="n">
        <v>592</v>
      </c>
    </row>
    <row r="218">
      <c r="A218" s="4" t="inlineStr">
        <is>
          <t>顾问费</t>
        </is>
      </c>
      <c r="D218" s="7" t="n">
        <v>72</v>
      </c>
      <c r="F218" s="7" t="n">
        <v>63.4</v>
      </c>
      <c r="H218" s="7" t="n">
        <v>70.2</v>
      </c>
      <c r="J218" s="7" t="n">
        <v>151.2</v>
      </c>
      <c r="L218" s="7" t="n">
        <v>112.3</v>
      </c>
      <c r="N218" s="7" t="n">
        <v>98.09999999999999</v>
      </c>
      <c r="P218" s="7" t="n">
        <v>144.8</v>
      </c>
      <c r="R218" s="7" t="n">
        <v>45.6</v>
      </c>
      <c r="T218" s="7" t="n">
        <v>124.3</v>
      </c>
      <c r="V218" s="7" t="n">
        <v>203.7</v>
      </c>
      <c r="X218" s="7" t="n">
        <v>72.5</v>
      </c>
      <c r="Z218" s="7" t="n">
        <v>67.5</v>
      </c>
      <c r="AB218" s="7" t="n">
        <v>1225.6</v>
      </c>
    </row>
    <row r="219">
      <c r="A219" s="4" t="inlineStr">
        <is>
          <t>快递费</t>
        </is>
      </c>
      <c r="D219" s="7" t="n">
        <v>290.4</v>
      </c>
      <c r="F219" s="7" t="n">
        <v>196.6</v>
      </c>
      <c r="H219" s="7" t="n">
        <v>292.9</v>
      </c>
      <c r="J219" s="7" t="n">
        <v>400.1</v>
      </c>
      <c r="L219" s="7" t="n">
        <v>283.1</v>
      </c>
      <c r="N219" s="7" t="n">
        <v>263</v>
      </c>
      <c r="P219" s="7" t="n">
        <v>368.1</v>
      </c>
      <c r="R219" s="7" t="n">
        <v>240.4</v>
      </c>
      <c r="T219" s="7" t="n">
        <v>485.1</v>
      </c>
      <c r="V219" s="7" t="n">
        <v>587.4</v>
      </c>
      <c r="X219" s="7" t="n">
        <v>235.4</v>
      </c>
      <c r="Z219" s="7" t="n">
        <v>250.2</v>
      </c>
      <c r="AB219" s="7" t="n">
        <v>3892.7</v>
      </c>
    </row>
    <row r="220">
      <c r="A220" s="4" t="inlineStr">
        <is>
          <t>诉讼费</t>
        </is>
      </c>
      <c r="D220" s="7" t="n">
        <v>40.9</v>
      </c>
      <c r="F220" s="7" t="n">
        <v>31.8</v>
      </c>
      <c r="H220" s="7" t="n">
        <v>52.5</v>
      </c>
      <c r="J220" s="7" t="n">
        <v>80.5</v>
      </c>
      <c r="L220" s="7" t="n">
        <v>64.40000000000001</v>
      </c>
      <c r="N220" s="7" t="n">
        <v>65.3</v>
      </c>
      <c r="P220" s="7" t="n">
        <v>94.8</v>
      </c>
      <c r="R220" s="7" t="n">
        <v>24.3</v>
      </c>
      <c r="T220" s="7" t="n">
        <v>83.2</v>
      </c>
      <c r="V220" s="7" t="n">
        <v>61.1</v>
      </c>
      <c r="X220" s="7" t="n">
        <v>33.6</v>
      </c>
      <c r="Z220" s="7" t="n">
        <v>38.5</v>
      </c>
      <c r="AB220" s="7" t="n">
        <v>670.9</v>
      </c>
    </row>
    <row r="221">
      <c r="A221" s="4" t="inlineStr">
        <is>
          <t>会员费</t>
        </is>
      </c>
      <c r="D221" s="7" t="n">
        <v>26.7</v>
      </c>
      <c r="F221" s="7" t="n">
        <v>17.4</v>
      </c>
      <c r="H221" s="7" t="n">
        <v>28.7</v>
      </c>
      <c r="J221" s="7" t="n">
        <v>51</v>
      </c>
      <c r="L221" s="7" t="n">
        <v>58</v>
      </c>
      <c r="N221" s="7" t="n">
        <v>46.6</v>
      </c>
      <c r="P221" s="7" t="n">
        <v>46.1</v>
      </c>
      <c r="R221" s="7" t="n">
        <v>20.9</v>
      </c>
      <c r="T221" s="7" t="n">
        <v>65.5</v>
      </c>
      <c r="V221" s="7" t="n">
        <v>49.7</v>
      </c>
      <c r="X221" s="7" t="n">
        <v>32.7</v>
      </c>
      <c r="Z221" s="7" t="n">
        <v>20.9</v>
      </c>
      <c r="AB221" s="7" t="n">
        <v>464.2</v>
      </c>
    </row>
    <row r="222">
      <c r="A222" s="4" t="inlineStr">
        <is>
          <t>广告宣传费</t>
        </is>
      </c>
      <c r="D222" s="7" t="n">
        <v>1783.5</v>
      </c>
      <c r="F222" s="7" t="n">
        <v>1009.8</v>
      </c>
      <c r="H222" s="7" t="n">
        <v>1816.4</v>
      </c>
      <c r="J222" s="7" t="n">
        <v>4636.1</v>
      </c>
      <c r="L222" s="7" t="n">
        <v>3860.3</v>
      </c>
      <c r="N222" s="7" t="n">
        <v>2899.8</v>
      </c>
      <c r="P222" s="7" t="n">
        <v>3324</v>
      </c>
      <c r="R222" s="7" t="n">
        <v>1583.2</v>
      </c>
      <c r="T222" s="7" t="n">
        <v>3743.5</v>
      </c>
      <c r="V222" s="7" t="n">
        <v>4917</v>
      </c>
      <c r="X222" s="7" t="n">
        <v>1773.6</v>
      </c>
      <c r="Z222" s="7" t="n">
        <v>2251.5</v>
      </c>
      <c r="AB222" s="7" t="n">
        <v>33598.7</v>
      </c>
    </row>
    <row r="223">
      <c r="A223" s="4" t="inlineStr">
        <is>
          <t>会务费</t>
        </is>
      </c>
      <c r="D223" s="7" t="n">
        <v>393.3</v>
      </c>
      <c r="F223" s="7" t="n">
        <v>192.1</v>
      </c>
      <c r="H223" s="7" t="n">
        <v>562</v>
      </c>
      <c r="J223" s="7" t="n">
        <v>1049</v>
      </c>
      <c r="L223" s="7" t="n">
        <v>497.6</v>
      </c>
      <c r="N223" s="7" t="n">
        <v>430.8</v>
      </c>
      <c r="P223" s="7" t="n">
        <v>770.7</v>
      </c>
      <c r="R223" s="7" t="n">
        <v>263.3</v>
      </c>
      <c r="T223" s="7" t="n">
        <v>525.8</v>
      </c>
      <c r="V223" s="7" t="n">
        <v>792.7</v>
      </c>
      <c r="X223" s="7" t="n">
        <v>250.5</v>
      </c>
      <c r="Z223" s="7" t="n">
        <v>307.4</v>
      </c>
      <c r="AB223" s="7" t="n">
        <v>6035.2</v>
      </c>
    </row>
    <row r="224">
      <c r="A224" s="4" t="inlineStr">
        <is>
          <t>装修费</t>
        </is>
      </c>
      <c r="D224" s="7" t="n">
        <v>253</v>
      </c>
      <c r="F224" s="7" t="n">
        <v>151.9</v>
      </c>
      <c r="H224" s="7" t="n">
        <v>211.5</v>
      </c>
      <c r="J224" s="7" t="n">
        <v>554.9</v>
      </c>
      <c r="L224" s="7" t="n">
        <v>428</v>
      </c>
      <c r="N224" s="7" t="n">
        <v>278.1</v>
      </c>
      <c r="P224" s="7" t="n">
        <v>585.4</v>
      </c>
      <c r="R224" s="7" t="n">
        <v>146.6</v>
      </c>
      <c r="T224" s="7" t="n">
        <v>471.5</v>
      </c>
      <c r="V224" s="7" t="n">
        <v>599.8</v>
      </c>
      <c r="X224" s="7" t="n">
        <v>193.3</v>
      </c>
      <c r="Z224" s="7" t="n">
        <v>214.7</v>
      </c>
      <c r="AB224" s="7" t="n">
        <v>4088.7</v>
      </c>
    </row>
    <row r="225">
      <c r="A225" s="4" t="inlineStr">
        <is>
          <t>推广费</t>
        </is>
      </c>
      <c r="D225" s="7" t="n">
        <v>60.8</v>
      </c>
      <c r="F225" s="7" t="n">
        <v>29.8</v>
      </c>
      <c r="H225" s="7" t="n">
        <v>66.90000000000001</v>
      </c>
      <c r="J225" s="7" t="n">
        <v>100.8</v>
      </c>
      <c r="L225" s="7" t="n">
        <v>83</v>
      </c>
      <c r="N225" s="7" t="n">
        <v>73.59999999999999</v>
      </c>
      <c r="P225" s="7" t="n">
        <v>116.3</v>
      </c>
      <c r="R225" s="7" t="n">
        <v>35.1</v>
      </c>
      <c r="T225" s="7" t="n">
        <v>109.4</v>
      </c>
      <c r="V225" s="7" t="n">
        <v>131.4</v>
      </c>
      <c r="X225" s="7" t="n">
        <v>56.2</v>
      </c>
      <c r="Z225" s="7" t="n">
        <v>60.5</v>
      </c>
      <c r="AB225" s="7" t="n">
        <v>923.8</v>
      </c>
    </row>
    <row r="226">
      <c r="A226" s="4" t="inlineStr">
        <is>
          <t>展会费</t>
        </is>
      </c>
      <c r="D226" s="7" t="n">
        <v>157.5</v>
      </c>
      <c r="F226" s="7" t="n">
        <v>111</v>
      </c>
      <c r="H226" s="7" t="n">
        <v>144.6</v>
      </c>
      <c r="J226" s="7" t="n">
        <v>219.3</v>
      </c>
      <c r="L226" s="7" t="n">
        <v>163.1</v>
      </c>
      <c r="N226" s="7" t="n">
        <v>184.9</v>
      </c>
      <c r="P226" s="7" t="n">
        <v>325.9</v>
      </c>
      <c r="R226" s="7" t="n">
        <v>127.1</v>
      </c>
      <c r="T226" s="7" t="n">
        <v>202.1</v>
      </c>
      <c r="V226" s="7" t="n">
        <v>317.4</v>
      </c>
      <c r="X226" s="7" t="n">
        <v>80.3</v>
      </c>
      <c r="Z226" s="7" t="n">
        <v>140.7</v>
      </c>
      <c r="AB226" s="7" t="n">
        <v>2173.9</v>
      </c>
    </row>
    <row r="227">
      <c r="A227" s="4" t="inlineStr">
        <is>
          <t>设计费</t>
        </is>
      </c>
      <c r="D227" s="7" t="n">
        <v>104.2</v>
      </c>
      <c r="F227" s="7" t="n">
        <v>92.3</v>
      </c>
      <c r="H227" s="7" t="n">
        <v>200.2</v>
      </c>
      <c r="J227" s="7" t="n">
        <v>312</v>
      </c>
      <c r="L227" s="7" t="n">
        <v>182</v>
      </c>
      <c r="N227" s="7" t="n">
        <v>233.1</v>
      </c>
      <c r="P227" s="7" t="n">
        <v>267.7</v>
      </c>
      <c r="R227" s="7" t="n">
        <v>88.3</v>
      </c>
      <c r="T227" s="7" t="n">
        <v>206</v>
      </c>
      <c r="V227" s="7" t="n">
        <v>293.2</v>
      </c>
      <c r="X227" s="7" t="n">
        <v>114.2</v>
      </c>
      <c r="Z227" s="7" t="n">
        <v>139.1</v>
      </c>
      <c r="AB227" s="7" t="n">
        <v>2232.3</v>
      </c>
    </row>
    <row r="228">
      <c r="A228" s="4" t="inlineStr">
        <is>
          <t>折旧费</t>
        </is>
      </c>
      <c r="D228" s="7" t="n">
        <v>2565.4</v>
      </c>
      <c r="F228" s="7" t="n">
        <v>1356.1</v>
      </c>
      <c r="H228" s="7" t="n">
        <v>4045.3</v>
      </c>
      <c r="J228" s="7" t="n">
        <v>6134.5</v>
      </c>
      <c r="L228" s="7" t="n">
        <v>4658.4</v>
      </c>
      <c r="N228" s="7" t="n">
        <v>2909.1</v>
      </c>
      <c r="P228" s="7" t="n">
        <v>4807.1</v>
      </c>
      <c r="R228" s="7" t="n">
        <v>2607.7</v>
      </c>
      <c r="T228" s="7" t="n">
        <v>4203.9</v>
      </c>
      <c r="V228" s="7" t="n">
        <v>6707.3</v>
      </c>
      <c r="X228" s="7" t="n">
        <v>2208.1</v>
      </c>
      <c r="Z228" s="7" t="n">
        <v>3095.8</v>
      </c>
      <c r="AB228" s="7" t="n">
        <v>45298.7</v>
      </c>
    </row>
    <row r="229">
      <c r="A229" s="4" t="inlineStr">
        <is>
          <t>认证费</t>
        </is>
      </c>
      <c r="D229" s="7" t="n">
        <v>291.7</v>
      </c>
      <c r="F229" s="7" t="n">
        <v>177.7</v>
      </c>
      <c r="H229" s="7" t="n">
        <v>413.1</v>
      </c>
      <c r="J229" s="7" t="n">
        <v>576.4</v>
      </c>
      <c r="L229" s="7" t="n">
        <v>370</v>
      </c>
      <c r="N229" s="7" t="n">
        <v>336.5</v>
      </c>
      <c r="P229" s="7" t="n">
        <v>733.4</v>
      </c>
      <c r="R229" s="7" t="n">
        <v>301.3</v>
      </c>
      <c r="T229" s="7" t="n">
        <v>555.5</v>
      </c>
      <c r="V229" s="7" t="n">
        <v>577.9</v>
      </c>
      <c r="X229" s="7" t="n">
        <v>328.9</v>
      </c>
      <c r="Z229" s="7" t="n">
        <v>358</v>
      </c>
      <c r="AB229" s="7" t="n">
        <v>5020.4</v>
      </c>
    </row>
    <row r="230">
      <c r="A230" s="4" t="inlineStr">
        <is>
          <t>样品费</t>
        </is>
      </c>
      <c r="D230" s="7" t="n">
        <v>1308.9</v>
      </c>
      <c r="F230" s="7" t="n">
        <v>1026.9</v>
      </c>
      <c r="H230" s="7" t="n">
        <v>1378.8</v>
      </c>
      <c r="J230" s="7" t="n">
        <v>2854.7</v>
      </c>
      <c r="L230" s="7" t="n">
        <v>1993.5</v>
      </c>
      <c r="N230" s="7" t="n">
        <v>2246.2</v>
      </c>
      <c r="P230" s="7" t="n">
        <v>2704.5</v>
      </c>
      <c r="R230" s="7" t="n">
        <v>1073.4</v>
      </c>
      <c r="T230" s="7" t="n">
        <v>2431.7</v>
      </c>
      <c r="V230" s="7" t="n">
        <v>2379.9</v>
      </c>
      <c r="X230" s="7" t="n">
        <v>792.5</v>
      </c>
      <c r="Z230" s="7" t="n">
        <v>1646</v>
      </c>
      <c r="AB230" s="7" t="n">
        <v>21837</v>
      </c>
    </row>
    <row r="231">
      <c r="A231" s="4" t="inlineStr">
        <is>
          <t>劳务费</t>
        </is>
      </c>
      <c r="D231" s="7" t="n">
        <v>48.7</v>
      </c>
      <c r="F231" s="7" t="n">
        <v>30.2</v>
      </c>
      <c r="H231" s="7" t="n">
        <v>56.5</v>
      </c>
      <c r="J231" s="7" t="n">
        <v>83.5</v>
      </c>
      <c r="L231" s="7" t="n">
        <v>56.9</v>
      </c>
      <c r="N231" s="7" t="n">
        <v>56.3</v>
      </c>
      <c r="P231" s="7" t="n">
        <v>107.2</v>
      </c>
      <c r="R231" s="7" t="n">
        <v>43.4</v>
      </c>
      <c r="T231" s="7" t="n">
        <v>70.90000000000001</v>
      </c>
      <c r="V231" s="7" t="n">
        <v>81.90000000000001</v>
      </c>
      <c r="X231" s="7" t="n">
        <v>37.3</v>
      </c>
      <c r="Z231" s="7" t="n">
        <v>52.3</v>
      </c>
      <c r="AB231" s="7" t="n">
        <v>725.1</v>
      </c>
    </row>
    <row r="232">
      <c r="A232" s="4" t="inlineStr">
        <is>
          <t>销售佣金</t>
        </is>
      </c>
      <c r="D232" s="7" t="n">
        <v>133.2</v>
      </c>
      <c r="F232" s="7" t="n">
        <v>80.40000000000001</v>
      </c>
      <c r="H232" s="7" t="n">
        <v>149.3</v>
      </c>
      <c r="J232" s="7" t="n">
        <v>387.2</v>
      </c>
      <c r="L232" s="7" t="n">
        <v>241.2</v>
      </c>
      <c r="N232" s="7" t="n">
        <v>198.1</v>
      </c>
      <c r="P232" s="7" t="n">
        <v>349.5</v>
      </c>
      <c r="R232" s="7" t="n">
        <v>116.2</v>
      </c>
      <c r="T232" s="7" t="n">
        <v>254.5</v>
      </c>
      <c r="V232" s="7" t="n">
        <v>336.5</v>
      </c>
      <c r="X232" s="7" t="n">
        <v>109.4</v>
      </c>
      <c r="Z232" s="7" t="n">
        <v>203.7</v>
      </c>
      <c r="AB232" s="7" t="n">
        <v>2559.2</v>
      </c>
    </row>
    <row r="233">
      <c r="A233" s="4" t="inlineStr">
        <is>
          <t>检测费</t>
        </is>
      </c>
      <c r="D233" s="7" t="n">
        <v>254.1</v>
      </c>
      <c r="F233" s="7" t="n">
        <v>159.2</v>
      </c>
      <c r="H233" s="7" t="n">
        <v>412.3</v>
      </c>
      <c r="J233" s="7" t="n">
        <v>667</v>
      </c>
      <c r="L233" s="7" t="n">
        <v>333.4</v>
      </c>
      <c r="N233" s="7" t="n">
        <v>456.9</v>
      </c>
      <c r="P233" s="7" t="n">
        <v>531</v>
      </c>
      <c r="R233" s="7" t="n">
        <v>181.3</v>
      </c>
      <c r="T233" s="7" t="n">
        <v>500.3</v>
      </c>
      <c r="V233" s="7" t="n">
        <v>572.1</v>
      </c>
      <c r="X233" s="7" t="n">
        <v>232.4</v>
      </c>
      <c r="Z233" s="7" t="n">
        <v>194.4</v>
      </c>
      <c r="AB233" s="7" t="n">
        <v>4494.4</v>
      </c>
    </row>
    <row r="234">
      <c r="A234" s="4" t="inlineStr">
        <is>
          <t>质量赔偿</t>
        </is>
      </c>
      <c r="D234" s="7" t="n">
        <v>249.8</v>
      </c>
      <c r="F234" s="7" t="n">
        <v>154.9</v>
      </c>
      <c r="H234" s="7" t="n">
        <v>388.1</v>
      </c>
      <c r="J234" s="7" t="n">
        <v>683.7</v>
      </c>
      <c r="L234" s="7" t="n">
        <v>444.3</v>
      </c>
      <c r="N234" s="7" t="n">
        <v>500.9</v>
      </c>
      <c r="P234" s="7" t="n">
        <v>639.6</v>
      </c>
      <c r="R234" s="7" t="n">
        <v>255</v>
      </c>
      <c r="T234" s="7" t="n">
        <v>500.4</v>
      </c>
      <c r="V234" s="7" t="n">
        <v>493</v>
      </c>
      <c r="X234" s="7" t="n">
        <v>284.2</v>
      </c>
      <c r="Z234" s="7" t="n">
        <v>287.1</v>
      </c>
      <c r="AB234" s="7" t="n">
        <v>4881</v>
      </c>
    </row>
    <row r="235">
      <c r="A235" s="4" t="inlineStr">
        <is>
          <t>保险费</t>
        </is>
      </c>
      <c r="D235" s="7" t="n">
        <v>416.4</v>
      </c>
      <c r="F235" s="7" t="n">
        <v>336</v>
      </c>
      <c r="H235" s="7" t="n">
        <v>370.4</v>
      </c>
      <c r="J235" s="7" t="n">
        <v>1045.4</v>
      </c>
      <c r="L235" s="7" t="n">
        <v>784.9</v>
      </c>
      <c r="N235" s="7" t="n">
        <v>791.1</v>
      </c>
      <c r="P235" s="7" t="n">
        <v>649.2</v>
      </c>
      <c r="R235" s="7" t="n">
        <v>265.9</v>
      </c>
      <c r="T235" s="7" t="n">
        <v>896.6</v>
      </c>
      <c r="V235" s="7" t="n">
        <v>749.2</v>
      </c>
      <c r="X235" s="7" t="n">
        <v>391</v>
      </c>
      <c r="Z235" s="7" t="n">
        <v>361.8</v>
      </c>
      <c r="AB235" s="7" t="n">
        <v>7057.9</v>
      </c>
    </row>
    <row r="236">
      <c r="A236" s="4" t="inlineStr">
        <is>
          <t>清洁费</t>
        </is>
      </c>
      <c r="D236" s="7" t="n">
        <v>289.6</v>
      </c>
      <c r="F236" s="7" t="n">
        <v>271</v>
      </c>
      <c r="H236" s="7" t="n">
        <v>324.5</v>
      </c>
      <c r="J236" s="7" t="n">
        <v>657.6</v>
      </c>
      <c r="L236" s="7" t="n">
        <v>472.4</v>
      </c>
      <c r="N236" s="7" t="n">
        <v>565.3</v>
      </c>
      <c r="P236" s="7" t="n">
        <v>659</v>
      </c>
      <c r="R236" s="7" t="n">
        <v>189.4</v>
      </c>
      <c r="T236" s="7" t="n">
        <v>748.2</v>
      </c>
      <c r="V236" s="7" t="n">
        <v>681.2</v>
      </c>
      <c r="X236" s="7" t="n">
        <v>219.5</v>
      </c>
      <c r="Z236" s="7" t="n">
        <v>383.4</v>
      </c>
      <c r="AB236" s="7" t="n">
        <v>5461.1</v>
      </c>
    </row>
    <row r="237">
      <c r="A237" s="4" t="inlineStr">
        <is>
          <t>低值易耗品</t>
        </is>
      </c>
      <c r="D237" s="7" t="n">
        <v>361.1</v>
      </c>
      <c r="F237" s="7" t="n">
        <v>312.7</v>
      </c>
      <c r="H237" s="7" t="n">
        <v>376</v>
      </c>
      <c r="J237" s="7" t="n">
        <v>560.6</v>
      </c>
      <c r="L237" s="7" t="n">
        <v>648.6</v>
      </c>
      <c r="N237" s="7" t="n">
        <v>409.2</v>
      </c>
      <c r="P237" s="7" t="n">
        <v>682.3</v>
      </c>
      <c r="R237" s="7" t="n">
        <v>351</v>
      </c>
      <c r="T237" s="7" t="n">
        <v>689.2</v>
      </c>
      <c r="V237" s="7" t="n">
        <v>926</v>
      </c>
      <c r="X237" s="7" t="n">
        <v>229.1</v>
      </c>
      <c r="Z237" s="7" t="n">
        <v>276.1</v>
      </c>
      <c r="AB237" s="7" t="n">
        <v>5821.9</v>
      </c>
    </row>
    <row r="238">
      <c r="A238" s="4" t="inlineStr">
        <is>
          <t>物料消耗</t>
        </is>
      </c>
      <c r="D238" s="7" t="n">
        <v>155</v>
      </c>
      <c r="F238" s="7" t="n">
        <v>63.2</v>
      </c>
      <c r="H238" s="7" t="n">
        <v>181.2</v>
      </c>
      <c r="J238" s="7" t="n">
        <v>236.9</v>
      </c>
      <c r="L238" s="7" t="n">
        <v>141.2</v>
      </c>
      <c r="N238" s="7" t="n">
        <v>129.7</v>
      </c>
      <c r="P238" s="7" t="n">
        <v>248.4</v>
      </c>
      <c r="R238" s="7" t="n">
        <v>106.6</v>
      </c>
      <c r="T238" s="7" t="n">
        <v>214</v>
      </c>
      <c r="V238" s="7" t="n">
        <v>230.2</v>
      </c>
      <c r="X238" s="7" t="n">
        <v>108.4</v>
      </c>
      <c r="Z238" s="7" t="n">
        <v>110</v>
      </c>
      <c r="AB238" s="7" t="n">
        <v>1924.8</v>
      </c>
    </row>
    <row r="239">
      <c r="A239" s="4" t="inlineStr">
        <is>
          <t>盘盈盘亏</t>
        </is>
      </c>
      <c r="D239" s="7" t="n">
        <v>264.8</v>
      </c>
      <c r="F239" s="7" t="n">
        <v>233.5</v>
      </c>
      <c r="H239" s="7" t="n">
        <v>382</v>
      </c>
      <c r="J239" s="7" t="n">
        <v>854.7</v>
      </c>
      <c r="L239" s="7" t="n">
        <v>599.6</v>
      </c>
      <c r="N239" s="7" t="n">
        <v>606.6</v>
      </c>
      <c r="P239" s="7" t="n">
        <v>700.3</v>
      </c>
      <c r="R239" s="7" t="n">
        <v>280.8</v>
      </c>
      <c r="T239" s="7" t="n">
        <v>661.1</v>
      </c>
      <c r="V239" s="7" t="n">
        <v>485.3</v>
      </c>
      <c r="X239" s="7" t="n">
        <v>282.2</v>
      </c>
      <c r="Z239" s="7" t="n">
        <v>248.9</v>
      </c>
      <c r="AB239" s="7" t="n">
        <v>5599.8</v>
      </c>
    </row>
    <row r="240">
      <c r="A240" s="4" t="inlineStr">
        <is>
          <t>平台服务费</t>
        </is>
      </c>
      <c r="D240" s="7" t="n">
        <v>347.8</v>
      </c>
      <c r="F240" s="7" t="n">
        <v>194.4</v>
      </c>
      <c r="H240" s="7" t="n">
        <v>405.5</v>
      </c>
      <c r="J240" s="7" t="n">
        <v>506.6</v>
      </c>
      <c r="L240" s="7" t="n">
        <v>395.5</v>
      </c>
      <c r="N240" s="7" t="n">
        <v>281.1</v>
      </c>
      <c r="P240" s="7" t="n">
        <v>404.4</v>
      </c>
      <c r="R240" s="7" t="n">
        <v>179.4</v>
      </c>
      <c r="T240" s="7" t="n">
        <v>459</v>
      </c>
      <c r="V240" s="7" t="n">
        <v>459.9</v>
      </c>
      <c r="X240" s="7" t="n">
        <v>237.5</v>
      </c>
      <c r="Z240" s="7" t="n">
        <v>305.8</v>
      </c>
      <c r="AB240" s="7" t="n">
        <v>4176.9</v>
      </c>
    </row>
    <row r="241">
      <c r="A241" s="4" t="inlineStr">
        <is>
          <t>无形资产摊销</t>
        </is>
      </c>
      <c r="D241" s="7" t="n">
        <v>12.6</v>
      </c>
      <c r="F241" s="7" t="n">
        <v>6.5</v>
      </c>
      <c r="H241" s="7" t="n">
        <v>13.1</v>
      </c>
      <c r="J241" s="7" t="n">
        <v>23.7</v>
      </c>
      <c r="L241" s="7" t="n">
        <v>15.2</v>
      </c>
      <c r="N241" s="7" t="n">
        <v>9.800000000000001</v>
      </c>
      <c r="P241" s="7" t="n">
        <v>14.3</v>
      </c>
      <c r="R241" s="7" t="n">
        <v>7.5</v>
      </c>
      <c r="T241" s="7" t="n">
        <v>19.3</v>
      </c>
      <c r="V241" s="7" t="n">
        <v>21.7</v>
      </c>
      <c r="X241" s="7" t="n">
        <v>8</v>
      </c>
      <c r="Z241" s="7" t="n">
        <v>12</v>
      </c>
      <c r="AB241" s="7" t="n">
        <v>163.7</v>
      </c>
    </row>
    <row r="242">
      <c r="A242" s="4" t="inlineStr">
        <is>
          <t>研发材料</t>
        </is>
      </c>
      <c r="D242" s="7" t="n">
        <v>33.7</v>
      </c>
      <c r="F242" s="7" t="n">
        <v>32.7</v>
      </c>
      <c r="H242" s="7" t="n">
        <v>42.5</v>
      </c>
      <c r="J242" s="7" t="n">
        <v>98.59999999999999</v>
      </c>
      <c r="L242" s="7" t="n">
        <v>90.3</v>
      </c>
      <c r="N242" s="7" t="n">
        <v>51.6</v>
      </c>
      <c r="P242" s="7" t="n">
        <v>105.7</v>
      </c>
      <c r="R242" s="7" t="n">
        <v>39.3</v>
      </c>
      <c r="T242" s="7" t="n">
        <v>95.5</v>
      </c>
      <c r="V242" s="7" t="n">
        <v>94.8</v>
      </c>
      <c r="X242" s="7" t="n">
        <v>49.2</v>
      </c>
      <c r="Z242" s="7" t="n">
        <v>37.8</v>
      </c>
      <c r="AB242" s="7" t="n">
        <v>771.7</v>
      </c>
    </row>
    <row r="243">
      <c r="A243" s="4" t="inlineStr">
        <is>
          <t>项目名称</t>
        </is>
      </c>
      <c r="D243" s="7" t="n">
        <v>168.4</v>
      </c>
      <c r="F243" s="7" t="n">
        <v>111.4</v>
      </c>
      <c r="H243" s="7" t="n">
        <v>232.4</v>
      </c>
      <c r="J243" s="7" t="n">
        <v>357.2</v>
      </c>
      <c r="L243" s="7" t="n">
        <v>315.5</v>
      </c>
      <c r="N243" s="7" t="n">
        <v>286.9</v>
      </c>
      <c r="P243" s="7" t="n">
        <v>482.6</v>
      </c>
      <c r="R243" s="7" t="n">
        <v>204.4</v>
      </c>
      <c r="T243" s="7" t="n">
        <v>254.1</v>
      </c>
      <c r="V243" s="7" t="n">
        <v>492</v>
      </c>
      <c r="X243" s="7" t="n">
        <v>181.5</v>
      </c>
      <c r="Z243" s="7" t="n">
        <v>227.4</v>
      </c>
      <c r="AB243" s="7" t="n">
        <v>3313.8</v>
      </c>
    </row>
    <row r="244">
      <c r="A244" s="4" t="inlineStr">
        <is>
          <t>研发费</t>
        </is>
      </c>
      <c r="D244" s="7" t="n">
        <v>292.9</v>
      </c>
      <c r="F244" s="7" t="n">
        <v>181</v>
      </c>
      <c r="H244" s="7" t="n">
        <v>458.6</v>
      </c>
      <c r="J244" s="7" t="n">
        <v>624.4</v>
      </c>
      <c r="L244" s="7" t="n">
        <v>337.3</v>
      </c>
      <c r="N244" s="7" t="n">
        <v>480.4</v>
      </c>
      <c r="P244" s="7" t="n">
        <v>637.5</v>
      </c>
      <c r="R244" s="7" t="n">
        <v>210.9</v>
      </c>
      <c r="T244" s="7" t="n">
        <v>621.5</v>
      </c>
      <c r="V244" s="7" t="n">
        <v>476.1</v>
      </c>
      <c r="X244" s="7" t="n">
        <v>316.1</v>
      </c>
      <c r="Z244" s="7" t="n">
        <v>384.6</v>
      </c>
      <c r="AB244" s="7" t="n">
        <v>5021.3</v>
      </c>
    </row>
    <row r="245">
      <c r="A245" s="4" t="inlineStr">
        <is>
          <t>残保金</t>
        </is>
      </c>
      <c r="D245" s="7" t="n">
        <v>86.2</v>
      </c>
      <c r="F245" s="7" t="n">
        <v>42.1</v>
      </c>
      <c r="H245" s="7" t="n">
        <v>61.5</v>
      </c>
      <c r="J245" s="7" t="n">
        <v>183.2</v>
      </c>
      <c r="L245" s="7" t="n">
        <v>114.4</v>
      </c>
      <c r="N245" s="7" t="n">
        <v>115.5</v>
      </c>
      <c r="P245" s="7" t="n">
        <v>135.2</v>
      </c>
      <c r="R245" s="7" t="n">
        <v>65.90000000000001</v>
      </c>
      <c r="T245" s="7" t="n">
        <v>102.2</v>
      </c>
      <c r="V245" s="7" t="n">
        <v>151.9</v>
      </c>
      <c r="X245" s="7" t="n">
        <v>41.6</v>
      </c>
      <c r="Z245" s="7" t="n">
        <v>80.5</v>
      </c>
      <c r="AB245" s="7" t="n">
        <v>1180.2</v>
      </c>
    </row>
    <row r="246">
      <c r="A246" s="4" t="inlineStr">
        <is>
          <t>环保费</t>
        </is>
      </c>
      <c r="D246" s="7" t="n">
        <v>277.2</v>
      </c>
      <c r="F246" s="7" t="n">
        <v>182.1</v>
      </c>
      <c r="H246" s="7" t="n">
        <v>398.7</v>
      </c>
      <c r="J246" s="7" t="n">
        <v>503.8</v>
      </c>
      <c r="L246" s="7" t="n">
        <v>548.3</v>
      </c>
      <c r="N246" s="7" t="n">
        <v>523.7</v>
      </c>
      <c r="P246" s="7" t="n">
        <v>506.5</v>
      </c>
      <c r="R246" s="7" t="n">
        <v>263.6</v>
      </c>
      <c r="T246" s="7" t="n">
        <v>615.7</v>
      </c>
      <c r="V246" s="7" t="n">
        <v>455.9</v>
      </c>
      <c r="X246" s="7" t="n">
        <v>219.3</v>
      </c>
      <c r="Z246" s="7" t="n">
        <v>327.1</v>
      </c>
      <c r="AB246" s="7" t="n">
        <v>4821.9</v>
      </c>
    </row>
    <row r="247">
      <c r="A247" s="4" t="inlineStr">
        <is>
          <t>报废损失</t>
        </is>
      </c>
      <c r="D247" s="7" t="n">
        <v>461.2</v>
      </c>
      <c r="F247" s="7" t="n">
        <v>277.8</v>
      </c>
      <c r="H247" s="7" t="n">
        <v>410.5</v>
      </c>
      <c r="J247" s="7" t="n">
        <v>513.5</v>
      </c>
      <c r="L247" s="7" t="n">
        <v>700.1</v>
      </c>
      <c r="N247" s="7" t="n">
        <v>428.3</v>
      </c>
      <c r="P247" s="7" t="n">
        <v>622.4</v>
      </c>
      <c r="R247" s="7" t="n">
        <v>363</v>
      </c>
      <c r="T247" s="7" t="n">
        <v>785.7</v>
      </c>
      <c r="V247" s="7" t="n">
        <v>777.4</v>
      </c>
      <c r="X247" s="7" t="n">
        <v>350.2</v>
      </c>
      <c r="Z247" s="7" t="n">
        <v>435.3</v>
      </c>
      <c r="AB247" s="7" t="n">
        <v>6125.4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9234.799999999999</v>
      </c>
      <c r="D248" s="7" t="n">
        <v>-1086.5</v>
      </c>
      <c r="E248" s="7" t="n">
        <v>8805.200000000001</v>
      </c>
      <c r="F248" s="7" t="n">
        <v>16213.4</v>
      </c>
      <c r="G248" s="7" t="n">
        <v>8465.200000000001</v>
      </c>
      <c r="H248" s="7" t="n">
        <v>12570.4</v>
      </c>
      <c r="I248" s="7" t="n">
        <v>8979.9</v>
      </c>
      <c r="J248" s="7" t="n">
        <v>12371</v>
      </c>
      <c r="K248" s="7" t="n">
        <v>8991.200000000001</v>
      </c>
      <c r="L248" s="7" t="n">
        <v>10500.1</v>
      </c>
      <c r="M248" s="7" t="n">
        <v>7764.4</v>
      </c>
      <c r="N248" s="7" t="n">
        <v>16642.6</v>
      </c>
      <c r="O248" s="7" t="n">
        <v>7548.1</v>
      </c>
      <c r="P248" s="7" t="n">
        <v>9447.200000000001</v>
      </c>
      <c r="Q248" s="7" t="n">
        <v>7347.7</v>
      </c>
      <c r="R248" s="7" t="n">
        <v>2214</v>
      </c>
      <c r="S248" s="7" t="n">
        <v>7892.4</v>
      </c>
      <c r="T248" s="7" t="n">
        <v>16382</v>
      </c>
      <c r="U248" s="7" t="n">
        <v>7160.1</v>
      </c>
      <c r="V248" s="7" t="n">
        <v>7584.7</v>
      </c>
      <c r="W248" s="7" t="n">
        <v>8158.5</v>
      </c>
      <c r="X248" s="7" t="n">
        <v>509.8</v>
      </c>
      <c r="Y248" s="7" t="n">
        <v>7883.6</v>
      </c>
      <c r="Z248" s="7" t="n">
        <v>-4744.5</v>
      </c>
      <c r="AA248" s="8" t="n">
        <v>98231.10000000001</v>
      </c>
      <c r="AB248" s="8" t="n">
        <v>98604.2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3075.4</v>
      </c>
      <c r="E250" s="7" t="n">
        <v>0</v>
      </c>
      <c r="F250" s="7" t="n">
        <v>500.5</v>
      </c>
      <c r="G250" s="7" t="n">
        <v>0</v>
      </c>
      <c r="H250" s="7" t="n">
        <v>-1118.7</v>
      </c>
      <c r="I250" s="7" t="n">
        <v>0</v>
      </c>
      <c r="J250" s="7" t="n">
        <v>-2092</v>
      </c>
      <c r="K250" s="7" t="n">
        <v>0</v>
      </c>
      <c r="L250" s="7" t="n">
        <v>2129.2</v>
      </c>
      <c r="M250" s="7" t="n">
        <v>0</v>
      </c>
      <c r="N250" s="7" t="n">
        <v>-2549.3</v>
      </c>
      <c r="O250" s="7" t="n">
        <v>0</v>
      </c>
      <c r="P250" s="7" t="n">
        <v>1677.5</v>
      </c>
      <c r="Q250" s="7" t="n">
        <v>0</v>
      </c>
      <c r="R250" s="7" t="n">
        <v>4357.2</v>
      </c>
      <c r="S250" s="7" t="n">
        <v>0</v>
      </c>
      <c r="T250" s="7" t="n">
        <v>3625</v>
      </c>
      <c r="U250" s="7" t="n">
        <v>0</v>
      </c>
      <c r="V250" s="7" t="n">
        <v>-2673.3</v>
      </c>
      <c r="W250" s="7" t="n">
        <v>0</v>
      </c>
      <c r="X250" s="7" t="n">
        <v>499.5</v>
      </c>
      <c r="Y250" s="7" t="n">
        <v>0</v>
      </c>
      <c r="Z250" s="7" t="n">
        <v>-4065.3</v>
      </c>
      <c r="AA250" s="7" t="n">
        <v>0</v>
      </c>
      <c r="AB250" s="7" t="n">
        <v>3365.7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17345.7</v>
      </c>
      <c r="D255" s="7" t="n">
        <v>9775.5</v>
      </c>
      <c r="E255" s="7" t="n">
        <v>16942.7</v>
      </c>
      <c r="F255" s="7" t="n">
        <v>24605.6</v>
      </c>
      <c r="G255" s="7" t="n">
        <v>17438.7</v>
      </c>
      <c r="H255" s="7" t="n">
        <v>26413.9</v>
      </c>
      <c r="I255" s="7" t="n">
        <v>19680.2</v>
      </c>
      <c r="J255" s="7" t="n">
        <v>8284.1</v>
      </c>
      <c r="K255" s="7" t="n">
        <v>20615</v>
      </c>
      <c r="L255" s="7" t="n">
        <v>14960.1</v>
      </c>
      <c r="M255" s="7" t="n">
        <v>16196.7</v>
      </c>
      <c r="N255" s="7" t="n">
        <v>7787.3</v>
      </c>
      <c r="O255" s="7" t="n">
        <v>18588.6</v>
      </c>
      <c r="P255" s="7" t="n">
        <v>29808.8</v>
      </c>
      <c r="Q255" s="7" t="n">
        <v>16005.2</v>
      </c>
      <c r="R255" s="7" t="n">
        <v>14717.5</v>
      </c>
      <c r="S255" s="7" t="n">
        <v>18055.2</v>
      </c>
      <c r="T255" s="7" t="n">
        <v>24607.9</v>
      </c>
      <c r="U255" s="7" t="n">
        <v>18295.2</v>
      </c>
      <c r="V255" s="7" t="n">
        <v>17556.2</v>
      </c>
      <c r="W255" s="7" t="n">
        <v>20025.2</v>
      </c>
      <c r="X255" s="7" t="n">
        <v>12734.6</v>
      </c>
      <c r="Y255" s="7" t="n">
        <v>16322.2</v>
      </c>
      <c r="Z255" s="7" t="n">
        <v>28774.7</v>
      </c>
      <c r="AA255" s="7" t="n">
        <v>215510.6</v>
      </c>
      <c r="AB255" s="7" t="n">
        <v>220026.2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367083.3</v>
      </c>
      <c r="D256" s="7" t="n">
        <v>215992.6</v>
      </c>
      <c r="E256" s="7" t="n">
        <v>340853.8</v>
      </c>
      <c r="F256" s="7" t="n">
        <v>320098.3</v>
      </c>
      <c r="G256" s="7" t="n">
        <v>413120.5</v>
      </c>
      <c r="H256" s="7" t="n">
        <v>339273.9</v>
      </c>
      <c r="I256" s="7" t="n">
        <v>372992.3</v>
      </c>
      <c r="J256" s="7" t="n">
        <v>257627.8</v>
      </c>
      <c r="K256" s="7" t="n">
        <v>407571.8</v>
      </c>
      <c r="L256" s="7" t="n">
        <v>389829.8</v>
      </c>
      <c r="M256" s="7" t="n">
        <v>436401.5</v>
      </c>
      <c r="N256" s="7" t="n">
        <v>313712.8</v>
      </c>
      <c r="O256" s="7" t="n">
        <v>411401.2</v>
      </c>
      <c r="P256" s="7" t="n">
        <v>646103.3</v>
      </c>
      <c r="Q256" s="7" t="n">
        <v>371590.9</v>
      </c>
      <c r="R256" s="7" t="n">
        <v>483716.5</v>
      </c>
      <c r="S256" s="7" t="n">
        <v>376124.2</v>
      </c>
      <c r="T256" s="7" t="n">
        <v>444725</v>
      </c>
      <c r="U256" s="7" t="n">
        <v>339466</v>
      </c>
      <c r="V256" s="7" t="n">
        <v>610205.8</v>
      </c>
      <c r="W256" s="7" t="n">
        <v>364201.9</v>
      </c>
      <c r="X256" s="7" t="n">
        <v>340449.5</v>
      </c>
      <c r="Y256" s="7" t="n">
        <v>373723.9</v>
      </c>
      <c r="Z256" s="7" t="n">
        <v>203004.2</v>
      </c>
      <c r="AA256" s="8" t="n">
        <v>4574531.3</v>
      </c>
      <c r="AB256" s="8" t="n">
        <v>4564739.5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136.6</v>
      </c>
      <c r="E257" s="7" t="n">
        <v>0</v>
      </c>
      <c r="F257" s="7" t="n">
        <v>1017.9</v>
      </c>
      <c r="G257" s="7" t="n">
        <v>0</v>
      </c>
      <c r="H257" s="7" t="n">
        <v>4134.6</v>
      </c>
      <c r="I257" s="7" t="n">
        <v>0</v>
      </c>
      <c r="J257" s="7" t="n">
        <v>2319.2</v>
      </c>
      <c r="K257" s="7" t="n">
        <v>0</v>
      </c>
      <c r="L257" s="7" t="n">
        <v>1808.3</v>
      </c>
      <c r="M257" s="7" t="n">
        <v>0</v>
      </c>
      <c r="N257" s="7" t="n">
        <v>4027.5</v>
      </c>
      <c r="O257" s="7" t="n">
        <v>0</v>
      </c>
      <c r="P257" s="7" t="n">
        <v>3773.5</v>
      </c>
      <c r="Q257" s="7" t="n">
        <v>0</v>
      </c>
      <c r="R257" s="7" t="n">
        <v>2403.4</v>
      </c>
      <c r="S257" s="7" t="n">
        <v>0</v>
      </c>
      <c r="T257" s="7" t="n">
        <v>4974.5</v>
      </c>
      <c r="U257" s="7" t="n">
        <v>0</v>
      </c>
      <c r="V257" s="7" t="n">
        <v>3763.2</v>
      </c>
      <c r="W257" s="7" t="n">
        <v>0</v>
      </c>
      <c r="X257" s="7" t="n">
        <v>2405.8</v>
      </c>
      <c r="Y257" s="7" t="n">
        <v>0</v>
      </c>
      <c r="Z257" s="7" t="n">
        <v>3613.3</v>
      </c>
      <c r="AA257" s="7" t="n">
        <v>0</v>
      </c>
      <c r="AB257" s="7" t="n">
        <v>34377.8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649.5</v>
      </c>
      <c r="E258" s="7" t="n">
        <v>0</v>
      </c>
      <c r="F258" s="7" t="n">
        <v>1460</v>
      </c>
      <c r="G258" s="7" t="n">
        <v>0</v>
      </c>
      <c r="H258" s="7" t="n">
        <v>920.7</v>
      </c>
      <c r="I258" s="7" t="n">
        <v>0</v>
      </c>
      <c r="J258" s="7" t="n">
        <v>684.8</v>
      </c>
      <c r="K258" s="7" t="n">
        <v>0</v>
      </c>
      <c r="L258" s="7" t="n">
        <v>47.8</v>
      </c>
      <c r="M258" s="7" t="n">
        <v>0</v>
      </c>
      <c r="N258" s="7" t="n">
        <v>557.1</v>
      </c>
      <c r="O258" s="7" t="n">
        <v>0</v>
      </c>
      <c r="P258" s="7" t="n">
        <v>1326.9</v>
      </c>
      <c r="Q258" s="7" t="n">
        <v>0</v>
      </c>
      <c r="R258" s="7" t="n">
        <v>2464</v>
      </c>
      <c r="S258" s="7" t="n">
        <v>0</v>
      </c>
      <c r="T258" s="7" t="n">
        <v>2521.6</v>
      </c>
      <c r="U258" s="7" t="n">
        <v>0</v>
      </c>
      <c r="V258" s="7" t="n">
        <v>1509.8</v>
      </c>
      <c r="W258" s="7" t="n">
        <v>0</v>
      </c>
      <c r="X258" s="7" t="n">
        <v>973</v>
      </c>
      <c r="Y258" s="7" t="n">
        <v>0</v>
      </c>
      <c r="Z258" s="7" t="n">
        <v>1377.1</v>
      </c>
      <c r="AA258" s="7" t="n">
        <v>0</v>
      </c>
      <c r="AB258" s="7" t="n">
        <v>14492.3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329078.1</v>
      </c>
      <c r="D259" s="7" t="n">
        <v>202215.2</v>
      </c>
      <c r="E259" s="7" t="n">
        <v>371475.7</v>
      </c>
      <c r="F259" s="7" t="n">
        <v>291277.3</v>
      </c>
      <c r="G259" s="7" t="n">
        <v>352507.5</v>
      </c>
      <c r="H259" s="7" t="n">
        <v>343523.1</v>
      </c>
      <c r="I259" s="7" t="n">
        <v>325031</v>
      </c>
      <c r="J259" s="7" t="n">
        <v>248988.5</v>
      </c>
      <c r="K259" s="7" t="n">
        <v>398460.4</v>
      </c>
      <c r="L259" s="7" t="n">
        <v>410925.7</v>
      </c>
      <c r="M259" s="7" t="n">
        <v>366975.3</v>
      </c>
      <c r="N259" s="7" t="n">
        <v>307088.9</v>
      </c>
      <c r="O259" s="7" t="n">
        <v>347501.4</v>
      </c>
      <c r="P259" s="7" t="n">
        <v>649731.5</v>
      </c>
      <c r="Q259" s="7" t="n">
        <v>378518.4</v>
      </c>
      <c r="R259" s="7" t="n">
        <v>530275.7</v>
      </c>
      <c r="S259" s="7" t="n">
        <v>331581.9</v>
      </c>
      <c r="T259" s="7" t="n">
        <v>479725.1</v>
      </c>
      <c r="U259" s="7" t="n">
        <v>419278.5</v>
      </c>
      <c r="V259" s="7" t="n">
        <v>571877.1</v>
      </c>
      <c r="W259" s="7" t="n">
        <v>347461.7</v>
      </c>
      <c r="X259" s="7" t="n">
        <v>341552.2</v>
      </c>
      <c r="Y259" s="7" t="n">
        <v>362518.7</v>
      </c>
      <c r="Z259" s="7" t="n">
        <v>194894.5</v>
      </c>
      <c r="AA259" s="8" t="n">
        <v>4330388.6</v>
      </c>
      <c r="AB259" s="8" t="n">
        <v>4572074.8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101727.6</v>
      </c>
      <c r="D260" s="7" t="n">
        <v>50553.8</v>
      </c>
      <c r="E260" s="7" t="n">
        <v>108593.3</v>
      </c>
      <c r="F260" s="7" t="n">
        <v>72819.3</v>
      </c>
      <c r="G260" s="7" t="n">
        <v>92419.39999999999</v>
      </c>
      <c r="H260" s="7" t="n">
        <v>85880.8</v>
      </c>
      <c r="I260" s="7" t="n">
        <v>92896.10000000001</v>
      </c>
      <c r="J260" s="7" t="n">
        <v>62247.1</v>
      </c>
      <c r="K260" s="7" t="n">
        <v>84917.60000000001</v>
      </c>
      <c r="L260" s="7" t="n">
        <v>102731.4</v>
      </c>
      <c r="M260" s="7" t="n">
        <v>98216</v>
      </c>
      <c r="N260" s="7" t="n">
        <v>76772.2</v>
      </c>
      <c r="O260" s="7" t="n">
        <v>87190.10000000001</v>
      </c>
      <c r="P260" s="7" t="n">
        <v>162432.9</v>
      </c>
      <c r="Q260" s="7" t="n">
        <v>96080.60000000001</v>
      </c>
      <c r="R260" s="7" t="n">
        <v>132568.9</v>
      </c>
      <c r="S260" s="7" t="n">
        <v>101596.3</v>
      </c>
      <c r="T260" s="7" t="n">
        <v>119931.3</v>
      </c>
      <c r="U260" s="7" t="n">
        <v>104849.9</v>
      </c>
      <c r="V260" s="7" t="n">
        <v>142969.3</v>
      </c>
      <c r="W260" s="7" t="n">
        <v>98320</v>
      </c>
      <c r="X260" s="7" t="n">
        <v>85388.10000000001</v>
      </c>
      <c r="Y260" s="7" t="n">
        <v>92578</v>
      </c>
      <c r="Z260" s="7" t="n">
        <v>48723.6</v>
      </c>
      <c r="AA260" s="7" t="n">
        <v>1159384.9</v>
      </c>
      <c r="AB260" s="7" t="n">
        <v>1143018.7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209968.7</v>
      </c>
      <c r="D261" s="7" t="n">
        <v>151661.4</v>
      </c>
      <c r="E261" s="7" t="n">
        <v>339855.7</v>
      </c>
      <c r="F261" s="7" t="n">
        <v>218458</v>
      </c>
      <c r="G261" s="7" t="n">
        <v>252801.3</v>
      </c>
      <c r="H261" s="7" t="n">
        <v>257642.3</v>
      </c>
      <c r="I261" s="7" t="n">
        <v>266908.2</v>
      </c>
      <c r="J261" s="7" t="n">
        <v>186741.4</v>
      </c>
      <c r="K261" s="7" t="n">
        <v>227210.5</v>
      </c>
      <c r="L261" s="7" t="n">
        <v>308194.3</v>
      </c>
      <c r="M261" s="7" t="n">
        <v>293975.6</v>
      </c>
      <c r="N261" s="7" t="n">
        <v>230316.7</v>
      </c>
      <c r="O261" s="7" t="n">
        <v>299994.5</v>
      </c>
      <c r="P261" s="7" t="n">
        <v>487298.6</v>
      </c>
      <c r="Q261" s="7" t="n">
        <v>339228.2</v>
      </c>
      <c r="R261" s="7" t="n">
        <v>397706.8</v>
      </c>
      <c r="S261" s="7" t="n">
        <v>231437.7</v>
      </c>
      <c r="T261" s="7" t="n">
        <v>359793.8</v>
      </c>
      <c r="U261" s="7" t="n">
        <v>215678.6</v>
      </c>
      <c r="V261" s="7" t="n">
        <v>428907.8</v>
      </c>
      <c r="W261" s="7" t="n">
        <v>352789.1</v>
      </c>
      <c r="X261" s="7" t="n">
        <v>256164.1</v>
      </c>
      <c r="Y261" s="7" t="n">
        <v>309306.7</v>
      </c>
      <c r="Z261" s="7" t="n">
        <v>146170.9</v>
      </c>
      <c r="AA261" s="8" t="n">
        <v>3339154.8</v>
      </c>
      <c r="AB261" s="8" t="n">
        <v>3429056.1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30566.8</v>
      </c>
      <c r="E262" s="7" t="n">
        <v>0</v>
      </c>
      <c r="F262" s="7" t="n">
        <v>1979.9</v>
      </c>
      <c r="G262" s="7" t="n">
        <v>0</v>
      </c>
      <c r="H262" s="7" t="n">
        <v>20347</v>
      </c>
      <c r="I262" s="7" t="n">
        <v>0</v>
      </c>
      <c r="J262" s="7" t="n">
        <v>51457.9</v>
      </c>
      <c r="K262" s="7" t="n">
        <v>0</v>
      </c>
      <c r="L262" s="7" t="n">
        <v>48384.9</v>
      </c>
      <c r="M262" s="7" t="n">
        <v>0</v>
      </c>
      <c r="N262" s="7" t="n">
        <v>27180.9</v>
      </c>
      <c r="O262" s="7" t="n">
        <v>0</v>
      </c>
      <c r="P262" s="7" t="n">
        <v>99324.60000000001</v>
      </c>
      <c r="Q262" s="7" t="n">
        <v>0</v>
      </c>
      <c r="R262" s="7" t="n">
        <v>21042.5</v>
      </c>
      <c r="S262" s="7" t="n">
        <v>0</v>
      </c>
      <c r="T262" s="7" t="n">
        <v>74900.60000000001</v>
      </c>
      <c r="U262" s="7" t="n">
        <v>0</v>
      </c>
      <c r="V262" s="7" t="n">
        <v>100386.6</v>
      </c>
      <c r="W262" s="7" t="n">
        <v>0</v>
      </c>
      <c r="X262" s="7" t="n">
        <v>59744.2</v>
      </c>
      <c r="Y262" s="7" t="n">
        <v>0</v>
      </c>
      <c r="Z262" s="7" t="n">
        <v>11388.5</v>
      </c>
      <c r="AA262" s="7" t="n">
        <v>0</v>
      </c>
      <c r="AB262" s="7" t="n">
        <v>546704.4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209968.7</v>
      </c>
      <c r="D263" s="7" t="n">
        <v>121094.6</v>
      </c>
      <c r="E263" s="7" t="n">
        <v>339855.7</v>
      </c>
      <c r="F263" s="7" t="n">
        <v>216478.1</v>
      </c>
      <c r="G263" s="7" t="n">
        <v>252801.3</v>
      </c>
      <c r="H263" s="7" t="n">
        <v>237295.3</v>
      </c>
      <c r="I263" s="7" t="n">
        <v>266908.2</v>
      </c>
      <c r="J263" s="7" t="n">
        <v>135283.5</v>
      </c>
      <c r="K263" s="7" t="n">
        <v>227210.5</v>
      </c>
      <c r="L263" s="7" t="n">
        <v>259809.4</v>
      </c>
      <c r="M263" s="7" t="n">
        <v>293975.6</v>
      </c>
      <c r="N263" s="7" t="n">
        <v>203135.8</v>
      </c>
      <c r="O263" s="7" t="n">
        <v>299994.5</v>
      </c>
      <c r="P263" s="7" t="n">
        <v>387974</v>
      </c>
      <c r="Q263" s="7" t="n">
        <v>339228.2</v>
      </c>
      <c r="R263" s="7" t="n">
        <v>376664.3</v>
      </c>
      <c r="S263" s="7" t="n">
        <v>231437.7</v>
      </c>
      <c r="T263" s="7" t="n">
        <v>284893.2</v>
      </c>
      <c r="U263" s="7" t="n">
        <v>215678.6</v>
      </c>
      <c r="V263" s="7" t="n">
        <v>328521.2</v>
      </c>
      <c r="W263" s="7" t="n">
        <v>352789.1</v>
      </c>
      <c r="X263" s="7" t="n">
        <v>196419.9</v>
      </c>
      <c r="Y263" s="7" t="n">
        <v>309306.7</v>
      </c>
      <c r="Z263" s="7" t="n">
        <v>134782.4</v>
      </c>
      <c r="AA263" s="8" t="n">
        <v>3339154.8</v>
      </c>
      <c r="AB263" s="8" t="n">
        <v>2882351.7</v>
      </c>
    </row>
    <row r="264">
      <c r="A264" s="4" t="inlineStr">
        <is>
          <t>净利率</t>
        </is>
      </c>
      <c r="D264" s="13" t="n">
        <v>7.6</v>
      </c>
      <c r="F264" s="13" t="n">
        <v>8.4</v>
      </c>
      <c r="H264" s="13" t="n">
        <v>8</v>
      </c>
      <c r="J264" s="13" t="n">
        <v>5.1</v>
      </c>
      <c r="L264" s="13" t="n">
        <v>7.8</v>
      </c>
      <c r="N264" s="13" t="n">
        <v>5.3</v>
      </c>
      <c r="P264" s="13" t="n">
        <v>10.2</v>
      </c>
      <c r="R264" s="13" t="n">
        <v>9.699999999999999</v>
      </c>
      <c r="T264" s="13" t="n">
        <v>10.2</v>
      </c>
      <c r="V264" s="13" t="n">
        <v>9.6</v>
      </c>
      <c r="X264" s="13" t="n">
        <v>7.6</v>
      </c>
      <c r="Z264" s="13" t="n">
        <v>5.7</v>
      </c>
    </row>
    <row r="265">
      <c r="A265" s="4" t="inlineStr">
        <is>
          <t>销售达成率</t>
        </is>
      </c>
      <c r="D265" s="13" t="n">
        <v>59.1</v>
      </c>
      <c r="F265" s="13" t="n">
        <v>69.40000000000001</v>
      </c>
      <c r="H265" s="13" t="n">
        <v>86.40000000000001</v>
      </c>
      <c r="J265" s="13" t="n">
        <v>93.2</v>
      </c>
      <c r="L265" s="13" t="n">
        <v>100.1</v>
      </c>
      <c r="N265" s="13" t="n">
        <v>109.3</v>
      </c>
      <c r="P265" s="13" t="n">
        <v>139.6</v>
      </c>
      <c r="R265" s="13" t="n">
        <v>122</v>
      </c>
      <c r="T265" s="13" t="n">
        <v>93</v>
      </c>
      <c r="V265" s="13" t="n">
        <v>116</v>
      </c>
      <c r="X265" s="13" t="n">
        <v>85.09999999999999</v>
      </c>
      <c r="Z265" s="13" t="n">
        <v>83.3</v>
      </c>
    </row>
    <row r="266">
      <c r="A266" s="4" t="inlineStr">
        <is>
          <t>净利达成率</t>
        </is>
      </c>
      <c r="D266" s="13" t="n">
        <v>72.2</v>
      </c>
      <c r="F266" s="13" t="n">
        <v>64.3</v>
      </c>
      <c r="H266" s="13" t="n">
        <v>101.9</v>
      </c>
      <c r="J266" s="13" t="n">
        <v>70</v>
      </c>
      <c r="L266" s="13" t="n">
        <v>135.6</v>
      </c>
      <c r="N266" s="13" t="n">
        <v>78.3</v>
      </c>
      <c r="P266" s="13" t="n">
        <v>162.4</v>
      </c>
      <c r="R266" s="13" t="n">
        <v>117.2</v>
      </c>
      <c r="T266" s="13" t="n">
        <v>155.5</v>
      </c>
      <c r="V266" s="13" t="n">
        <v>198.9</v>
      </c>
      <c r="X266" s="13" t="n">
        <v>72.59999999999999</v>
      </c>
      <c r="Z266" s="13" t="n">
        <v>47.3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安徽省区利润表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1964812.3</v>
      </c>
      <c r="D6" s="7" t="n">
        <v>1180215.1</v>
      </c>
      <c r="E6" s="7" t="n">
        <v>2212767.7</v>
      </c>
      <c r="F6" s="7" t="n">
        <v>1310837.4</v>
      </c>
      <c r="G6" s="7" t="n">
        <v>1718425.7</v>
      </c>
      <c r="H6" s="7" t="n">
        <v>1657482.4</v>
      </c>
      <c r="I6" s="7" t="n">
        <v>1722741.1</v>
      </c>
      <c r="J6" s="7" t="n">
        <v>2004896.5</v>
      </c>
      <c r="K6" s="7" t="n">
        <v>2034587.2</v>
      </c>
      <c r="L6" s="7" t="n">
        <v>2205544.7</v>
      </c>
      <c r="M6" s="7" t="n">
        <v>1713809.6</v>
      </c>
      <c r="N6" s="7" t="n">
        <v>2423684.5</v>
      </c>
      <c r="O6" s="7" t="n">
        <v>1837561.3</v>
      </c>
      <c r="P6" s="7" t="n">
        <v>2543436.3</v>
      </c>
      <c r="Q6" s="7" t="n">
        <v>2049235.9</v>
      </c>
      <c r="R6" s="7" t="n">
        <v>2249282.6</v>
      </c>
      <c r="S6" s="7" t="n">
        <v>1999151.9</v>
      </c>
      <c r="T6" s="7" t="n">
        <v>2100856.8</v>
      </c>
      <c r="U6" s="7" t="n">
        <v>1867220</v>
      </c>
      <c r="V6" s="7" t="n">
        <v>2291373</v>
      </c>
      <c r="W6" s="7" t="n">
        <v>2262973.9</v>
      </c>
      <c r="X6" s="7" t="n">
        <v>1967767.1</v>
      </c>
      <c r="Y6" s="7" t="n">
        <v>1988629.3</v>
      </c>
      <c r="Z6" s="7" t="n">
        <v>1408668.8</v>
      </c>
      <c r="AA6" s="8" t="n">
        <v>23371915.9</v>
      </c>
      <c r="AB6" s="8" t="n">
        <v>23344045.2</v>
      </c>
    </row>
    <row r="7">
      <c r="A7" s="4" t="inlineStr">
        <is>
          <t>中式汤底</t>
        </is>
      </c>
      <c r="D7" s="7" t="n">
        <v>158282.5</v>
      </c>
      <c r="F7" s="7" t="n">
        <v>194215.2</v>
      </c>
      <c r="H7" s="7" t="n">
        <v>222609.7</v>
      </c>
      <c r="J7" s="7" t="n">
        <v>357120.5</v>
      </c>
      <c r="L7" s="7" t="n">
        <v>292196.4</v>
      </c>
      <c r="N7" s="7" t="n">
        <v>346469.1</v>
      </c>
      <c r="P7" s="7" t="n">
        <v>422287.6</v>
      </c>
      <c r="R7" s="7" t="n">
        <v>304670.1</v>
      </c>
      <c r="T7" s="7" t="n">
        <v>270709.7</v>
      </c>
      <c r="V7" s="7" t="n">
        <v>366800.6</v>
      </c>
      <c r="X7" s="7" t="n">
        <v>284928.6</v>
      </c>
      <c r="Z7" s="7" t="n">
        <v>257867</v>
      </c>
      <c r="AB7" s="7" t="n">
        <v>3478157</v>
      </c>
    </row>
    <row r="8">
      <c r="A8" s="4" t="inlineStr">
        <is>
          <t>酱料</t>
        </is>
      </c>
      <c r="D8" s="7" t="n">
        <v>208169.2</v>
      </c>
      <c r="F8" s="7" t="n">
        <v>234431.2</v>
      </c>
      <c r="H8" s="7" t="n">
        <v>322407.5</v>
      </c>
      <c r="J8" s="7" t="n">
        <v>340184.8</v>
      </c>
      <c r="L8" s="7" t="n">
        <v>416951.2</v>
      </c>
      <c r="N8" s="7" t="n">
        <v>438364.3</v>
      </c>
      <c r="P8" s="7" t="n">
        <v>399128.4</v>
      </c>
      <c r="R8" s="7" t="n">
        <v>376282.8</v>
      </c>
      <c r="T8" s="7" t="n">
        <v>355132</v>
      </c>
      <c r="V8" s="7" t="n">
        <v>444547.3</v>
      </c>
      <c r="X8" s="7" t="n">
        <v>341053.6</v>
      </c>
      <c r="Z8" s="7" t="n">
        <v>210951.2</v>
      </c>
      <c r="AB8" s="7" t="n">
        <v>4087603.5</v>
      </c>
    </row>
    <row r="9">
      <c r="A9" s="4" t="inlineStr">
        <is>
          <t>川味底料</t>
        </is>
      </c>
      <c r="D9" s="7" t="n">
        <v>139502.7</v>
      </c>
      <c r="F9" s="7" t="n">
        <v>136708.4</v>
      </c>
      <c r="H9" s="7" t="n">
        <v>166618.5</v>
      </c>
      <c r="J9" s="7" t="n">
        <v>216085.7</v>
      </c>
      <c r="L9" s="7" t="n">
        <v>236893.4</v>
      </c>
      <c r="N9" s="7" t="n">
        <v>289023.9</v>
      </c>
      <c r="P9" s="7" t="n">
        <v>312469.5</v>
      </c>
      <c r="R9" s="7" t="n">
        <v>262693.6</v>
      </c>
      <c r="T9" s="7" t="n">
        <v>199008.2</v>
      </c>
      <c r="V9" s="7" t="n">
        <v>302545.6</v>
      </c>
      <c r="X9" s="7" t="n">
        <v>227185.4</v>
      </c>
      <c r="Z9" s="7" t="n">
        <v>162268.1</v>
      </c>
      <c r="AB9" s="7" t="n">
        <v>2651003</v>
      </c>
    </row>
    <row r="10">
      <c r="A10" s="4" t="inlineStr">
        <is>
          <t>调味汁</t>
        </is>
      </c>
      <c r="D10" s="7" t="n">
        <v>217582.4</v>
      </c>
      <c r="F10" s="7" t="n">
        <v>252587.5</v>
      </c>
      <c r="H10" s="7" t="n">
        <v>295184.3</v>
      </c>
      <c r="J10" s="7" t="n">
        <v>345600.6</v>
      </c>
      <c r="L10" s="7" t="n">
        <v>367606.2</v>
      </c>
      <c r="N10" s="7" t="n">
        <v>456220.9</v>
      </c>
      <c r="P10" s="7" t="n">
        <v>375487.4</v>
      </c>
      <c r="R10" s="7" t="n">
        <v>410229.4</v>
      </c>
      <c r="T10" s="7" t="n">
        <v>376946.9</v>
      </c>
      <c r="V10" s="7" t="n">
        <v>320132.4</v>
      </c>
      <c r="X10" s="7" t="n">
        <v>338569.3</v>
      </c>
      <c r="Z10" s="7" t="n">
        <v>217977.3</v>
      </c>
      <c r="AB10" s="7" t="n">
        <v>3974124.6</v>
      </c>
    </row>
    <row r="11">
      <c r="A11" s="4" t="inlineStr">
        <is>
          <t>复合调味粉</t>
        </is>
      </c>
      <c r="D11" s="7" t="n">
        <v>175462.5</v>
      </c>
      <c r="F11" s="7" t="n">
        <v>186302.3</v>
      </c>
      <c r="H11" s="7" t="n">
        <v>243925.6</v>
      </c>
      <c r="J11" s="7" t="n">
        <v>338900.5</v>
      </c>
      <c r="L11" s="7" t="n">
        <v>411247.7</v>
      </c>
      <c r="N11" s="7" t="n">
        <v>417612.2</v>
      </c>
      <c r="P11" s="7" t="n">
        <v>398402.1</v>
      </c>
      <c r="R11" s="7" t="n">
        <v>347504.2</v>
      </c>
      <c r="T11" s="7" t="n">
        <v>374565.6</v>
      </c>
      <c r="V11" s="7" t="n">
        <v>361001.2</v>
      </c>
      <c r="X11" s="7" t="n">
        <v>336998.6</v>
      </c>
      <c r="Z11" s="7" t="n">
        <v>186494.4</v>
      </c>
      <c r="AB11" s="7" t="n">
        <v>3778416.9</v>
      </c>
    </row>
    <row r="12">
      <c r="A12" s="4" t="inlineStr">
        <is>
          <t>团餐</t>
        </is>
      </c>
      <c r="D12" s="7" t="n">
        <v>144883.3</v>
      </c>
      <c r="F12" s="7" t="n">
        <v>136125</v>
      </c>
      <c r="H12" s="7" t="n">
        <v>154876.6</v>
      </c>
      <c r="J12" s="7" t="n">
        <v>199052.1</v>
      </c>
      <c r="L12" s="7" t="n">
        <v>235636.3</v>
      </c>
      <c r="N12" s="7" t="n">
        <v>196693.3</v>
      </c>
      <c r="P12" s="7" t="n">
        <v>236509.2</v>
      </c>
      <c r="R12" s="7" t="n">
        <v>228756.7</v>
      </c>
      <c r="T12" s="7" t="n">
        <v>224225.6</v>
      </c>
      <c r="V12" s="7" t="n">
        <v>215628.8</v>
      </c>
      <c r="X12" s="7" t="n">
        <v>169939.8</v>
      </c>
      <c r="Z12" s="7" t="n">
        <v>164642.1</v>
      </c>
      <c r="AB12" s="7" t="n">
        <v>2306968.8</v>
      </c>
    </row>
    <row r="13">
      <c r="A13" s="4" t="inlineStr">
        <is>
          <t>预制菜</t>
        </is>
      </c>
      <c r="D13" s="7" t="n">
        <v>150412.8</v>
      </c>
      <c r="F13" s="7" t="n">
        <v>184151.9</v>
      </c>
      <c r="H13" s="7" t="n">
        <v>279940.8</v>
      </c>
      <c r="J13" s="7" t="n">
        <v>235512.7</v>
      </c>
      <c r="L13" s="7" t="n">
        <v>287745.8</v>
      </c>
      <c r="N13" s="7" t="n">
        <v>304971.6</v>
      </c>
      <c r="P13" s="7" t="n">
        <v>416615.7</v>
      </c>
      <c r="R13" s="7" t="n">
        <v>353028.5</v>
      </c>
      <c r="T13" s="7" t="n">
        <v>324716.5</v>
      </c>
      <c r="V13" s="7" t="n">
        <v>295827.4</v>
      </c>
      <c r="X13" s="7" t="n">
        <v>309855</v>
      </c>
      <c r="Z13" s="7" t="n">
        <v>227727.8</v>
      </c>
      <c r="AB13" s="7" t="n">
        <v>3370506.5</v>
      </c>
    </row>
    <row r="14">
      <c r="A14" s="4" t="inlineStr">
        <is>
          <t>返利</t>
        </is>
      </c>
      <c r="D14" s="7" t="n">
        <v>-20227.9</v>
      </c>
      <c r="F14" s="7" t="n">
        <v>-13918.1</v>
      </c>
      <c r="H14" s="7" t="n">
        <v>-34548.2</v>
      </c>
      <c r="J14" s="7" t="n">
        <v>-54235.9</v>
      </c>
      <c r="L14" s="7" t="n">
        <v>-57196.3</v>
      </c>
      <c r="N14" s="7" t="n">
        <v>-47726.4</v>
      </c>
      <c r="P14" s="7" t="n">
        <v>-55198.2</v>
      </c>
      <c r="R14" s="7" t="n">
        <v>-56723.1</v>
      </c>
      <c r="T14" s="7" t="n">
        <v>-61931.1</v>
      </c>
      <c r="V14" s="7" t="n">
        <v>-38166.4</v>
      </c>
      <c r="X14" s="7" t="n">
        <v>-54381.1</v>
      </c>
      <c r="Z14" s="7" t="n">
        <v>-26532.7</v>
      </c>
      <c r="AB14" s="7" t="n">
        <v>-520785.4</v>
      </c>
    </row>
    <row r="15">
      <c r="A15" s="4" t="inlineStr">
        <is>
          <t>其他</t>
        </is>
      </c>
      <c r="D15" s="7" t="n">
        <v>6147.6</v>
      </c>
      <c r="F15" s="7" t="n">
        <v>234</v>
      </c>
      <c r="H15" s="7" t="n">
        <v>6467.6</v>
      </c>
      <c r="J15" s="7" t="n">
        <v>26675.5</v>
      </c>
      <c r="L15" s="7" t="n">
        <v>14464</v>
      </c>
      <c r="N15" s="7" t="n">
        <v>22055.6</v>
      </c>
      <c r="P15" s="7" t="n">
        <v>37734.6</v>
      </c>
      <c r="R15" s="7" t="n">
        <v>22840.4</v>
      </c>
      <c r="T15" s="7" t="n">
        <v>37483.4</v>
      </c>
      <c r="V15" s="7" t="n">
        <v>23056.1</v>
      </c>
      <c r="X15" s="7" t="n">
        <v>13617.9</v>
      </c>
      <c r="Z15" s="7" t="n">
        <v>7273.6</v>
      </c>
      <c r="AB15" s="7" t="n">
        <v>218050.3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1221208.6</v>
      </c>
      <c r="D16" s="7" t="n">
        <v>810588.5</v>
      </c>
      <c r="E16" s="7" t="n">
        <v>1162306.9</v>
      </c>
      <c r="F16" s="7" t="n">
        <v>883247.9</v>
      </c>
      <c r="G16" s="7" t="n">
        <v>1209083.9</v>
      </c>
      <c r="H16" s="7" t="n">
        <v>1159081.5</v>
      </c>
      <c r="I16" s="7" t="n">
        <v>1517493.9</v>
      </c>
      <c r="J16" s="7" t="n">
        <v>1355230.3</v>
      </c>
      <c r="K16" s="7" t="n">
        <v>1197497.4</v>
      </c>
      <c r="L16" s="7" t="n">
        <v>1554202.5</v>
      </c>
      <c r="M16" s="7" t="n">
        <v>1179844.6</v>
      </c>
      <c r="N16" s="7" t="n">
        <v>1670074</v>
      </c>
      <c r="O16" s="7" t="n">
        <v>1444325.2</v>
      </c>
      <c r="P16" s="7" t="n">
        <v>1730767.2</v>
      </c>
      <c r="Q16" s="7" t="n">
        <v>1474192.7</v>
      </c>
      <c r="R16" s="7" t="n">
        <v>1535787.4</v>
      </c>
      <c r="S16" s="7" t="n">
        <v>1471868.7</v>
      </c>
      <c r="T16" s="7" t="n">
        <v>1426987.6</v>
      </c>
      <c r="U16" s="7" t="n">
        <v>1399998.8</v>
      </c>
      <c r="V16" s="7" t="n">
        <v>1576243.2</v>
      </c>
      <c r="W16" s="7" t="n">
        <v>1335252.4</v>
      </c>
      <c r="X16" s="7" t="n">
        <v>1392645.6</v>
      </c>
      <c r="Y16" s="7" t="n">
        <v>1382119.4</v>
      </c>
      <c r="Z16" s="7" t="n">
        <v>975923.7</v>
      </c>
      <c r="AA16" s="8" t="n">
        <v>15995192.5</v>
      </c>
      <c r="AB16" s="8" t="n">
        <v>16070779.4</v>
      </c>
    </row>
    <row r="17">
      <c r="A17" s="4" t="inlineStr">
        <is>
          <t>中式汤底</t>
        </is>
      </c>
      <c r="D17" s="7" t="n">
        <v>103562.7</v>
      </c>
      <c r="F17" s="7" t="n">
        <v>127073.1</v>
      </c>
      <c r="H17" s="7" t="n">
        <v>145651.4</v>
      </c>
      <c r="J17" s="7" t="n">
        <v>233660.5</v>
      </c>
      <c r="L17" s="7" t="n">
        <v>191181.3</v>
      </c>
      <c r="N17" s="7" t="n">
        <v>226691.4</v>
      </c>
      <c r="P17" s="7" t="n">
        <v>276298.7</v>
      </c>
      <c r="R17" s="7" t="n">
        <v>199342.7</v>
      </c>
      <c r="T17" s="7" t="n">
        <v>177122.7</v>
      </c>
      <c r="V17" s="7" t="n">
        <v>239994.1</v>
      </c>
      <c r="X17" s="7" t="n">
        <v>186426</v>
      </c>
      <c r="Z17" s="7" t="n">
        <v>168719.9</v>
      </c>
      <c r="AB17" s="7" t="n">
        <v>2275724.5</v>
      </c>
    </row>
    <row r="18">
      <c r="A18" s="4" t="inlineStr">
        <is>
          <t>酱料</t>
        </is>
      </c>
      <c r="D18" s="7" t="n">
        <v>133563.1</v>
      </c>
      <c r="F18" s="7" t="n">
        <v>150413.1</v>
      </c>
      <c r="H18" s="7" t="n">
        <v>206859.4</v>
      </c>
      <c r="J18" s="7" t="n">
        <v>218265.5</v>
      </c>
      <c r="L18" s="7" t="n">
        <v>267519.4</v>
      </c>
      <c r="N18" s="7" t="n">
        <v>281258.3</v>
      </c>
      <c r="P18" s="7" t="n">
        <v>256084.2</v>
      </c>
      <c r="R18" s="7" t="n">
        <v>241426.2</v>
      </c>
      <c r="T18" s="7" t="n">
        <v>227855.7</v>
      </c>
      <c r="V18" s="7" t="n">
        <v>285225.3</v>
      </c>
      <c r="X18" s="7" t="n">
        <v>218822.9</v>
      </c>
      <c r="Z18" s="7" t="n">
        <v>135348.1</v>
      </c>
      <c r="AB18" s="7" t="n">
        <v>2622641.2</v>
      </c>
    </row>
    <row r="19">
      <c r="A19" s="4" t="inlineStr">
        <is>
          <t>川味底料</t>
        </is>
      </c>
      <c r="D19" s="7" t="n">
        <v>103623.3</v>
      </c>
      <c r="F19" s="7" t="n">
        <v>101547.7</v>
      </c>
      <c r="H19" s="7" t="n">
        <v>123765.1</v>
      </c>
      <c r="J19" s="7" t="n">
        <v>160509.6</v>
      </c>
      <c r="L19" s="7" t="n">
        <v>175965.7</v>
      </c>
      <c r="N19" s="7" t="n">
        <v>214688.5</v>
      </c>
      <c r="P19" s="7" t="n">
        <v>232104</v>
      </c>
      <c r="R19" s="7" t="n">
        <v>195130.2</v>
      </c>
      <c r="T19" s="7" t="n">
        <v>147824.3</v>
      </c>
      <c r="V19" s="7" t="n">
        <v>224732.5</v>
      </c>
      <c r="X19" s="7" t="n">
        <v>168754.5</v>
      </c>
      <c r="Z19" s="7" t="n">
        <v>120533.6</v>
      </c>
      <c r="AB19" s="7" t="n">
        <v>1969179</v>
      </c>
    </row>
    <row r="20">
      <c r="A20" s="4" t="inlineStr">
        <is>
          <t>调味汁</t>
        </is>
      </c>
      <c r="D20" s="7" t="n">
        <v>122317.2</v>
      </c>
      <c r="F20" s="7" t="n">
        <v>141995.9</v>
      </c>
      <c r="H20" s="7" t="n">
        <v>165942.3</v>
      </c>
      <c r="J20" s="7" t="n">
        <v>194284.6</v>
      </c>
      <c r="L20" s="7" t="n">
        <v>206655.4</v>
      </c>
      <c r="N20" s="7" t="n">
        <v>256471.5</v>
      </c>
      <c r="P20" s="7" t="n">
        <v>211085.9</v>
      </c>
      <c r="R20" s="7" t="n">
        <v>230616.6</v>
      </c>
      <c r="T20" s="7" t="n">
        <v>211906.4</v>
      </c>
      <c r="V20" s="7" t="n">
        <v>179967.3</v>
      </c>
      <c r="X20" s="7" t="n">
        <v>190331.8</v>
      </c>
      <c r="Z20" s="7" t="n">
        <v>122539.2</v>
      </c>
      <c r="AB20" s="7" t="n">
        <v>2234114.1</v>
      </c>
    </row>
    <row r="21">
      <c r="A21" s="4" t="inlineStr">
        <is>
          <t>复合调味粉</t>
        </is>
      </c>
      <c r="D21" s="7" t="n">
        <v>113313</v>
      </c>
      <c r="F21" s="7" t="n">
        <v>120313.4</v>
      </c>
      <c r="H21" s="7" t="n">
        <v>157526.3</v>
      </c>
      <c r="J21" s="7" t="n">
        <v>218860.7</v>
      </c>
      <c r="L21" s="7" t="n">
        <v>265582.3</v>
      </c>
      <c r="N21" s="7" t="n">
        <v>269692.4</v>
      </c>
      <c r="P21" s="7" t="n">
        <v>257286.6</v>
      </c>
      <c r="R21" s="7" t="n">
        <v>224417</v>
      </c>
      <c r="T21" s="7" t="n">
        <v>241893.1</v>
      </c>
      <c r="V21" s="7" t="n">
        <v>233133.3</v>
      </c>
      <c r="X21" s="7" t="n">
        <v>217632.5</v>
      </c>
      <c r="Z21" s="7" t="n">
        <v>120437.4</v>
      </c>
      <c r="AB21" s="7" t="n">
        <v>2440088</v>
      </c>
    </row>
    <row r="22">
      <c r="A22" s="4" t="inlineStr">
        <is>
          <t>团餐</t>
        </is>
      </c>
      <c r="D22" s="7" t="n">
        <v>91323.3</v>
      </c>
      <c r="F22" s="7" t="n">
        <v>85802.8</v>
      </c>
      <c r="H22" s="7" t="n">
        <v>97622.39999999999</v>
      </c>
      <c r="J22" s="7" t="n">
        <v>125467.2</v>
      </c>
      <c r="L22" s="7" t="n">
        <v>148527.1</v>
      </c>
      <c r="N22" s="7" t="n">
        <v>123980.4</v>
      </c>
      <c r="P22" s="7" t="n">
        <v>149077.3</v>
      </c>
      <c r="R22" s="7" t="n">
        <v>144190.7</v>
      </c>
      <c r="T22" s="7" t="n">
        <v>141334.7</v>
      </c>
      <c r="V22" s="7" t="n">
        <v>135915.9</v>
      </c>
      <c r="X22" s="7" t="n">
        <v>107117</v>
      </c>
      <c r="Z22" s="7" t="n">
        <v>103777.8</v>
      </c>
      <c r="AB22" s="7" t="n">
        <v>1454136.6</v>
      </c>
    </row>
    <row r="23">
      <c r="A23" s="4" t="inlineStr">
        <is>
          <t>预制菜</t>
        </is>
      </c>
      <c r="D23" s="7" t="n">
        <v>103366.6</v>
      </c>
      <c r="F23" s="7" t="n">
        <v>126552.8</v>
      </c>
      <c r="H23" s="7" t="n">
        <v>192380.8</v>
      </c>
      <c r="J23" s="7" t="n">
        <v>161848.9</v>
      </c>
      <c r="L23" s="7" t="n">
        <v>197744.5</v>
      </c>
      <c r="N23" s="7" t="n">
        <v>209582.4</v>
      </c>
      <c r="P23" s="7" t="n">
        <v>286306.4</v>
      </c>
      <c r="R23" s="7" t="n">
        <v>242608.1</v>
      </c>
      <c r="T23" s="7" t="n">
        <v>223151.5</v>
      </c>
      <c r="V23" s="7" t="n">
        <v>203298.4</v>
      </c>
      <c r="X23" s="7" t="n">
        <v>212938.4</v>
      </c>
      <c r="Z23" s="7" t="n">
        <v>156499</v>
      </c>
      <c r="AB23" s="7" t="n">
        <v>2316277.8</v>
      </c>
    </row>
    <row r="24">
      <c r="A24" s="4" t="inlineStr">
        <is>
          <t>其他</t>
        </is>
      </c>
      <c r="D24" s="7" t="n">
        <v>14938.9</v>
      </c>
      <c r="F24" s="7" t="n">
        <v>1820.2</v>
      </c>
      <c r="H24" s="7" t="n">
        <v>3582.7</v>
      </c>
      <c r="J24" s="7" t="n">
        <v>20466.4</v>
      </c>
      <c r="L24" s="7" t="n">
        <v>4580.8</v>
      </c>
      <c r="N24" s="7" t="n">
        <v>27945.9</v>
      </c>
      <c r="P24" s="7" t="n">
        <v>12410</v>
      </c>
      <c r="R24" s="7" t="n">
        <v>8539.799999999999</v>
      </c>
      <c r="T24" s="7" t="n">
        <v>22956.1</v>
      </c>
      <c r="V24" s="7" t="n">
        <v>12142.8</v>
      </c>
      <c r="X24" s="7" t="n">
        <v>14412.3</v>
      </c>
      <c r="Z24" s="7" t="n">
        <v>600.9</v>
      </c>
      <c r="AB24" s="7" t="n">
        <v>144396.8</v>
      </c>
    </row>
    <row r="25">
      <c r="A25" s="4" t="inlineStr">
        <is>
          <t>运费</t>
        </is>
      </c>
      <c r="D25" s="7" t="n">
        <v>39519.3</v>
      </c>
      <c r="F25" s="7" t="n">
        <v>29549.1</v>
      </c>
      <c r="H25" s="7" t="n">
        <v>69333.8</v>
      </c>
      <c r="J25" s="7" t="n">
        <v>42333.3</v>
      </c>
      <c r="L25" s="7" t="n">
        <v>101026.8</v>
      </c>
      <c r="N25" s="7" t="n">
        <v>87709.10000000001</v>
      </c>
      <c r="P25" s="7" t="n">
        <v>62524.1</v>
      </c>
      <c r="R25" s="7" t="n">
        <v>58055.9</v>
      </c>
      <c r="T25" s="7" t="n">
        <v>55899.2</v>
      </c>
      <c r="V25" s="7" t="n">
        <v>73976.39999999999</v>
      </c>
      <c r="X25" s="7" t="n">
        <v>90622.5</v>
      </c>
      <c r="Z25" s="7" t="n">
        <v>48068.7</v>
      </c>
      <c r="AB25" s="7" t="n">
        <v>758618.2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743603.7</v>
      </c>
      <c r="D26" s="7" t="n">
        <v>369626.6</v>
      </c>
      <c r="E26" s="7" t="n">
        <v>1050460.8</v>
      </c>
      <c r="F26" s="7" t="n">
        <v>427589.5</v>
      </c>
      <c r="G26" s="7" t="n">
        <v>509341.8</v>
      </c>
      <c r="H26" s="7" t="n">
        <v>498400.9</v>
      </c>
      <c r="I26" s="7" t="n">
        <v>205247.2</v>
      </c>
      <c r="J26" s="7" t="n">
        <v>649666.2</v>
      </c>
      <c r="K26" s="7" t="n">
        <v>837089.8</v>
      </c>
      <c r="L26" s="7" t="n">
        <v>651342.2</v>
      </c>
      <c r="M26" s="7" t="n">
        <v>533965</v>
      </c>
      <c r="N26" s="7" t="n">
        <v>753610.5</v>
      </c>
      <c r="O26" s="7" t="n">
        <v>393236.1</v>
      </c>
      <c r="P26" s="7" t="n">
        <v>812669.1</v>
      </c>
      <c r="Q26" s="7" t="n">
        <v>575043.2</v>
      </c>
      <c r="R26" s="7" t="n">
        <v>713495.2</v>
      </c>
      <c r="S26" s="7" t="n">
        <v>527283.2</v>
      </c>
      <c r="T26" s="7" t="n">
        <v>673869.2</v>
      </c>
      <c r="U26" s="7" t="n">
        <v>467221.2</v>
      </c>
      <c r="V26" s="7" t="n">
        <v>715129.8</v>
      </c>
      <c r="W26" s="7" t="n">
        <v>927721.5</v>
      </c>
      <c r="X26" s="7" t="n">
        <v>575121.5</v>
      </c>
      <c r="Y26" s="7" t="n">
        <v>606509.9</v>
      </c>
      <c r="Z26" s="7" t="n">
        <v>432745.1</v>
      </c>
      <c r="AA26" s="8" t="n">
        <v>7376723.4</v>
      </c>
      <c r="AB26" s="8" t="n">
        <v>7273265.8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37.8</v>
      </c>
      <c r="D27" s="13" t="n">
        <v>31.3</v>
      </c>
      <c r="E27" s="13" t="n">
        <v>47.5</v>
      </c>
      <c r="F27" s="13" t="n">
        <v>32.6</v>
      </c>
      <c r="G27" s="13" t="n">
        <v>29.6</v>
      </c>
      <c r="H27" s="13" t="n">
        <v>30.1</v>
      </c>
      <c r="I27" s="13" t="n">
        <v>11.9</v>
      </c>
      <c r="J27" s="13" t="n">
        <v>32.4</v>
      </c>
      <c r="K27" s="13" t="n">
        <v>41.1</v>
      </c>
      <c r="L27" s="13" t="n">
        <v>29.5</v>
      </c>
      <c r="M27" s="13" t="n">
        <v>31.2</v>
      </c>
      <c r="N27" s="13" t="n">
        <v>31.1</v>
      </c>
      <c r="O27" s="13" t="n">
        <v>21.4</v>
      </c>
      <c r="P27" s="13" t="n">
        <v>32</v>
      </c>
      <c r="Q27" s="13" t="n">
        <v>28.1</v>
      </c>
      <c r="R27" s="13" t="n">
        <v>31.7</v>
      </c>
      <c r="S27" s="13" t="n">
        <v>26.4</v>
      </c>
      <c r="T27" s="13" t="n">
        <v>32.1</v>
      </c>
      <c r="U27" s="13" t="n">
        <v>25</v>
      </c>
      <c r="V27" s="13" t="n">
        <v>31.2</v>
      </c>
      <c r="W27" s="13" t="n">
        <v>41</v>
      </c>
      <c r="X27" s="13" t="n">
        <v>29.2</v>
      </c>
      <c r="Y27" s="13" t="n">
        <v>30.5</v>
      </c>
      <c r="Z27" s="13" t="n">
        <v>30.7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17720</v>
      </c>
      <c r="D28" s="7" t="n">
        <v>7975</v>
      </c>
      <c r="E28" s="7" t="n">
        <v>15342.2</v>
      </c>
      <c r="F28" s="7" t="n">
        <v>7911.8</v>
      </c>
      <c r="G28" s="7" t="n">
        <v>19970.8</v>
      </c>
      <c r="H28" s="7" t="n">
        <v>15328.9</v>
      </c>
      <c r="I28" s="7" t="n">
        <v>16235.2</v>
      </c>
      <c r="J28" s="7" t="n">
        <v>21624.5</v>
      </c>
      <c r="K28" s="7" t="n">
        <v>18395.8</v>
      </c>
      <c r="L28" s="7" t="n">
        <v>15600.5</v>
      </c>
      <c r="M28" s="7" t="n">
        <v>16248.3</v>
      </c>
      <c r="N28" s="7" t="n">
        <v>32876.7</v>
      </c>
      <c r="O28" s="7" t="n">
        <v>19182.6</v>
      </c>
      <c r="P28" s="7" t="n">
        <v>17274.3</v>
      </c>
      <c r="Q28" s="7" t="n">
        <v>15158.3</v>
      </c>
      <c r="R28" s="7" t="n">
        <v>11911.9</v>
      </c>
      <c r="S28" s="7" t="n">
        <v>17703.1</v>
      </c>
      <c r="T28" s="7" t="n">
        <v>14289.7</v>
      </c>
      <c r="U28" s="7" t="n">
        <v>19389.7</v>
      </c>
      <c r="V28" s="7" t="n">
        <v>20925</v>
      </c>
      <c r="W28" s="7" t="n">
        <v>17201.3</v>
      </c>
      <c r="X28" s="7" t="n">
        <v>28750.7</v>
      </c>
      <c r="Y28" s="7" t="n">
        <v>19469.2</v>
      </c>
      <c r="Z28" s="7" t="n">
        <v>15053.6</v>
      </c>
      <c r="AA28" s="8" t="n">
        <v>212016.5</v>
      </c>
      <c r="AB28" s="8" t="n">
        <v>209522.6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347560.1</v>
      </c>
      <c r="D29" s="7" t="n">
        <v>252472.8</v>
      </c>
      <c r="E29" s="7" t="n">
        <v>422457.5</v>
      </c>
      <c r="F29" s="7" t="n">
        <v>312292.2</v>
      </c>
      <c r="G29" s="7" t="n">
        <v>347420.8</v>
      </c>
      <c r="H29" s="7" t="n">
        <v>366193.4</v>
      </c>
      <c r="I29" s="7" t="n">
        <v>431864.8</v>
      </c>
      <c r="J29" s="7" t="n">
        <v>224664.2</v>
      </c>
      <c r="K29" s="7" t="n">
        <v>369669</v>
      </c>
      <c r="L29" s="7" t="n">
        <v>526193.6</v>
      </c>
      <c r="M29" s="7" t="n">
        <v>352066</v>
      </c>
      <c r="N29" s="7" t="n">
        <v>404385.1</v>
      </c>
      <c r="O29" s="7" t="n">
        <v>339312.8</v>
      </c>
      <c r="P29" s="7" t="n">
        <v>551365.8</v>
      </c>
      <c r="Q29" s="7" t="n">
        <v>419372.3</v>
      </c>
      <c r="R29" s="7" t="n">
        <v>524590.8</v>
      </c>
      <c r="S29" s="7" t="n">
        <v>344699.6</v>
      </c>
      <c r="T29" s="7" t="n">
        <v>426027.8</v>
      </c>
      <c r="U29" s="7" t="n">
        <v>358372.1</v>
      </c>
      <c r="V29" s="7" t="n">
        <v>552689.1</v>
      </c>
      <c r="W29" s="7" t="n">
        <v>377369.3</v>
      </c>
      <c r="X29" s="7" t="n">
        <v>282730.3</v>
      </c>
      <c r="Y29" s="7" t="n">
        <v>439012.5</v>
      </c>
      <c r="Z29" s="7" t="n">
        <v>182764.5</v>
      </c>
      <c r="AA29" s="8" t="n">
        <v>4549176.8</v>
      </c>
      <c r="AB29" s="8" t="n">
        <v>4606369.6</v>
      </c>
    </row>
    <row r="30">
      <c r="A30" s="4" t="inlineStr">
        <is>
          <t>职工薪酬</t>
        </is>
      </c>
      <c r="D30" s="7" t="n">
        <v>126243.2</v>
      </c>
      <c r="F30" s="7" t="n">
        <v>170809.8</v>
      </c>
      <c r="H30" s="7" t="n">
        <v>158882.9</v>
      </c>
      <c r="J30" s="7" t="n">
        <v>131948.1</v>
      </c>
      <c r="L30" s="7" t="n">
        <v>241201.7</v>
      </c>
      <c r="N30" s="7" t="n">
        <v>216713</v>
      </c>
      <c r="P30" s="7" t="n">
        <v>328828.3</v>
      </c>
      <c r="R30" s="7" t="n">
        <v>270342.6</v>
      </c>
      <c r="T30" s="7" t="n">
        <v>212077</v>
      </c>
      <c r="V30" s="7" t="n">
        <v>247010.5</v>
      </c>
      <c r="X30" s="7" t="n">
        <v>163474.7</v>
      </c>
      <c r="Z30" s="7" t="n">
        <v>78308.3</v>
      </c>
      <c r="AB30" s="7" t="n">
        <v>2345840.1</v>
      </c>
    </row>
    <row r="31">
      <c r="A31" s="4" t="inlineStr">
        <is>
          <t>工资</t>
        </is>
      </c>
      <c r="D31" s="7" t="n">
        <v>67791.2</v>
      </c>
      <c r="F31" s="7" t="n">
        <v>104867.3</v>
      </c>
      <c r="H31" s="7" t="n">
        <v>91334.89999999999</v>
      </c>
      <c r="J31" s="7" t="n">
        <v>71633.7</v>
      </c>
      <c r="L31" s="7" t="n">
        <v>122550.3</v>
      </c>
      <c r="N31" s="7" t="n">
        <v>135925.4</v>
      </c>
      <c r="P31" s="7" t="n">
        <v>214169.9</v>
      </c>
      <c r="R31" s="7" t="n">
        <v>156740.5</v>
      </c>
      <c r="T31" s="7" t="n">
        <v>130946.1</v>
      </c>
      <c r="V31" s="7" t="n">
        <v>124720.5</v>
      </c>
      <c r="X31" s="7" t="n">
        <v>104911.4</v>
      </c>
      <c r="Z31" s="7" t="n">
        <v>42258.3</v>
      </c>
      <c r="AB31" s="7" t="n">
        <v>1367849.5</v>
      </c>
    </row>
    <row r="32">
      <c r="A32" s="4" t="inlineStr">
        <is>
          <t>奖金及提成</t>
        </is>
      </c>
      <c r="D32" s="7" t="n">
        <v>23544.9</v>
      </c>
      <c r="F32" s="7" t="n">
        <v>28382.3</v>
      </c>
      <c r="H32" s="7" t="n">
        <v>26682.9</v>
      </c>
      <c r="J32" s="7" t="n">
        <v>28868.5</v>
      </c>
      <c r="L32" s="7" t="n">
        <v>54615.1</v>
      </c>
      <c r="N32" s="7" t="n">
        <v>38721.6</v>
      </c>
      <c r="P32" s="7" t="n">
        <v>42745.4</v>
      </c>
      <c r="R32" s="7" t="n">
        <v>50269.9</v>
      </c>
      <c r="T32" s="7" t="n">
        <v>40552.3</v>
      </c>
      <c r="V32" s="7" t="n">
        <v>51791.4</v>
      </c>
      <c r="X32" s="7" t="n">
        <v>25408.3</v>
      </c>
      <c r="Z32" s="7" t="n">
        <v>14675.8</v>
      </c>
      <c r="AB32" s="7" t="n">
        <v>426258.4</v>
      </c>
    </row>
    <row r="33">
      <c r="A33" s="4" t="inlineStr">
        <is>
          <t>社保</t>
        </is>
      </c>
      <c r="D33" s="7" t="n">
        <v>24597.1</v>
      </c>
      <c r="F33" s="7" t="n">
        <v>25777.3</v>
      </c>
      <c r="H33" s="7" t="n">
        <v>25845.4</v>
      </c>
      <c r="J33" s="7" t="n">
        <v>23119.5</v>
      </c>
      <c r="L33" s="7" t="n">
        <v>44321</v>
      </c>
      <c r="N33" s="7" t="n">
        <v>27785</v>
      </c>
      <c r="P33" s="7" t="n">
        <v>50697</v>
      </c>
      <c r="R33" s="7" t="n">
        <v>44142.4</v>
      </c>
      <c r="T33" s="7" t="n">
        <v>24336</v>
      </c>
      <c r="V33" s="7" t="n">
        <v>50125.4</v>
      </c>
      <c r="X33" s="7" t="n">
        <v>22695.3</v>
      </c>
      <c r="Z33" s="7" t="n">
        <v>15025.9</v>
      </c>
      <c r="AB33" s="7" t="n">
        <v>378467.3</v>
      </c>
    </row>
    <row r="34">
      <c r="A34" s="4" t="inlineStr">
        <is>
          <t>养老</t>
        </is>
      </c>
      <c r="D34" s="7" t="n">
        <v>350.1</v>
      </c>
      <c r="F34" s="7" t="n">
        <v>709</v>
      </c>
      <c r="H34" s="7" t="n">
        <v>938</v>
      </c>
      <c r="J34" s="7" t="n">
        <v>511.5</v>
      </c>
      <c r="L34" s="7" t="n">
        <v>1256</v>
      </c>
      <c r="N34" s="7" t="n">
        <v>569.8</v>
      </c>
      <c r="P34" s="7" t="n">
        <v>791.8</v>
      </c>
      <c r="R34" s="7" t="n">
        <v>732</v>
      </c>
      <c r="T34" s="7" t="n">
        <v>950.4</v>
      </c>
      <c r="V34" s="7" t="n">
        <v>832.2</v>
      </c>
      <c r="X34" s="7" t="n">
        <v>712.8</v>
      </c>
      <c r="Z34" s="7" t="n">
        <v>435.8</v>
      </c>
      <c r="AB34" s="7" t="n">
        <v>8789.4</v>
      </c>
    </row>
    <row r="35">
      <c r="A35" s="4" t="inlineStr">
        <is>
          <t>医疗</t>
        </is>
      </c>
      <c r="D35" s="7" t="n">
        <v>787.6</v>
      </c>
      <c r="F35" s="7" t="n">
        <v>1417.1</v>
      </c>
      <c r="H35" s="7" t="n">
        <v>1775.3</v>
      </c>
      <c r="J35" s="7" t="n">
        <v>1022.1</v>
      </c>
      <c r="L35" s="7" t="n">
        <v>2600.6</v>
      </c>
      <c r="N35" s="7" t="n">
        <v>1939.6</v>
      </c>
      <c r="P35" s="7" t="n">
        <v>1813.4</v>
      </c>
      <c r="R35" s="7" t="n">
        <v>1472.8</v>
      </c>
      <c r="T35" s="7" t="n">
        <v>1422</v>
      </c>
      <c r="V35" s="7" t="n">
        <v>2250.2</v>
      </c>
      <c r="X35" s="7" t="n">
        <v>795.1</v>
      </c>
      <c r="Z35" s="7" t="n">
        <v>595.5</v>
      </c>
      <c r="AB35" s="7" t="n">
        <v>17891.3</v>
      </c>
    </row>
    <row r="36">
      <c r="A36" s="4" t="inlineStr">
        <is>
          <t>工伤</t>
        </is>
      </c>
      <c r="D36" s="7" t="n">
        <v>1352.7</v>
      </c>
      <c r="F36" s="7" t="n">
        <v>1500.8</v>
      </c>
      <c r="H36" s="7" t="n">
        <v>1777.8</v>
      </c>
      <c r="J36" s="7" t="n">
        <v>932</v>
      </c>
      <c r="L36" s="7" t="n">
        <v>2482.9</v>
      </c>
      <c r="N36" s="7" t="n">
        <v>2179.5</v>
      </c>
      <c r="P36" s="7" t="n">
        <v>2354</v>
      </c>
      <c r="R36" s="7" t="n">
        <v>3665.9</v>
      </c>
      <c r="T36" s="7" t="n">
        <v>3122.2</v>
      </c>
      <c r="V36" s="7" t="n">
        <v>3854</v>
      </c>
      <c r="X36" s="7" t="n">
        <v>1510.3</v>
      </c>
      <c r="Z36" s="7" t="n">
        <v>1383.1</v>
      </c>
      <c r="AB36" s="7" t="n">
        <v>26115.2</v>
      </c>
    </row>
    <row r="37">
      <c r="A37" s="4" t="inlineStr">
        <is>
          <t>失业</t>
        </is>
      </c>
      <c r="D37" s="7" t="n">
        <v>231.3</v>
      </c>
      <c r="F37" s="7" t="n">
        <v>194.3</v>
      </c>
      <c r="H37" s="7" t="n">
        <v>246</v>
      </c>
      <c r="J37" s="7" t="n">
        <v>150</v>
      </c>
      <c r="L37" s="7" t="n">
        <v>442.9</v>
      </c>
      <c r="N37" s="7" t="n">
        <v>372.8</v>
      </c>
      <c r="P37" s="7" t="n">
        <v>343</v>
      </c>
      <c r="R37" s="7" t="n">
        <v>368.2</v>
      </c>
      <c r="T37" s="7" t="n">
        <v>318</v>
      </c>
      <c r="V37" s="7" t="n">
        <v>424.9</v>
      </c>
      <c r="X37" s="7" t="n">
        <v>218.1</v>
      </c>
      <c r="Z37" s="7" t="n">
        <v>152</v>
      </c>
      <c r="AB37" s="7" t="n">
        <v>3461.5</v>
      </c>
    </row>
    <row r="38">
      <c r="A38" s="4" t="inlineStr">
        <is>
          <t>生育</t>
        </is>
      </c>
      <c r="D38" s="7" t="n">
        <v>281.3</v>
      </c>
      <c r="F38" s="7" t="n">
        <v>496.8</v>
      </c>
      <c r="H38" s="7" t="n">
        <v>407.7</v>
      </c>
      <c r="J38" s="7" t="n">
        <v>244.5</v>
      </c>
      <c r="L38" s="7" t="n">
        <v>869</v>
      </c>
      <c r="N38" s="7" t="n">
        <v>516.9</v>
      </c>
      <c r="P38" s="7" t="n">
        <v>600.5</v>
      </c>
      <c r="R38" s="7" t="n">
        <v>684.6</v>
      </c>
      <c r="T38" s="7" t="n">
        <v>409.6</v>
      </c>
      <c r="V38" s="7" t="n">
        <v>771.3</v>
      </c>
      <c r="X38" s="7" t="n">
        <v>350.4</v>
      </c>
      <c r="Z38" s="7" t="n">
        <v>286.4</v>
      </c>
      <c r="AB38" s="7" t="n">
        <v>5919</v>
      </c>
    </row>
    <row r="39">
      <c r="A39" s="4" t="inlineStr">
        <is>
          <t>公积金</t>
        </is>
      </c>
      <c r="D39" s="7" t="n">
        <v>968.9</v>
      </c>
      <c r="F39" s="7" t="n">
        <v>852.7</v>
      </c>
      <c r="H39" s="7" t="n">
        <v>1550</v>
      </c>
      <c r="J39" s="7" t="n">
        <v>930.5</v>
      </c>
      <c r="L39" s="7" t="n">
        <v>2139.2</v>
      </c>
      <c r="N39" s="7" t="n">
        <v>1076.8</v>
      </c>
      <c r="P39" s="7" t="n">
        <v>2389.9</v>
      </c>
      <c r="R39" s="7" t="n">
        <v>1360.3</v>
      </c>
      <c r="T39" s="7" t="n">
        <v>1756.7</v>
      </c>
      <c r="V39" s="7" t="n">
        <v>2245.4</v>
      </c>
      <c r="X39" s="7" t="n">
        <v>933.9</v>
      </c>
      <c r="Z39" s="7" t="n">
        <v>803</v>
      </c>
      <c r="AB39" s="7" t="n">
        <v>17007.3</v>
      </c>
    </row>
    <row r="40">
      <c r="A40" s="4" t="inlineStr">
        <is>
          <t>工会经费</t>
        </is>
      </c>
      <c r="D40" s="7" t="n">
        <v>1082.5</v>
      </c>
      <c r="F40" s="7" t="n">
        <v>1592</v>
      </c>
      <c r="H40" s="7" t="n">
        <v>1132.2</v>
      </c>
      <c r="J40" s="7" t="n">
        <v>762.1</v>
      </c>
      <c r="L40" s="7" t="n">
        <v>2106.2</v>
      </c>
      <c r="N40" s="7" t="n">
        <v>1328.3</v>
      </c>
      <c r="P40" s="7" t="n">
        <v>2186.7</v>
      </c>
      <c r="R40" s="7" t="n">
        <v>1863.1</v>
      </c>
      <c r="T40" s="7" t="n">
        <v>1577.4</v>
      </c>
      <c r="V40" s="7" t="n">
        <v>1764.8</v>
      </c>
      <c r="X40" s="7" t="n">
        <v>1410.7</v>
      </c>
      <c r="Z40" s="7" t="n">
        <v>682.1</v>
      </c>
      <c r="AB40" s="7" t="n">
        <v>17488.1</v>
      </c>
    </row>
    <row r="41">
      <c r="A41" s="4" t="inlineStr">
        <is>
          <t>职工教育经费</t>
        </is>
      </c>
      <c r="D41" s="7" t="n">
        <v>1202.5</v>
      </c>
      <c r="F41" s="7" t="n">
        <v>1322.1</v>
      </c>
      <c r="H41" s="7" t="n">
        <v>1486.4</v>
      </c>
      <c r="J41" s="7" t="n">
        <v>1088.4</v>
      </c>
      <c r="L41" s="7" t="n">
        <v>1859.2</v>
      </c>
      <c r="N41" s="7" t="n">
        <v>2038.8</v>
      </c>
      <c r="P41" s="7" t="n">
        <v>1632.9</v>
      </c>
      <c r="R41" s="7" t="n">
        <v>1596.2</v>
      </c>
      <c r="T41" s="7" t="n">
        <v>1558.8</v>
      </c>
      <c r="V41" s="7" t="n">
        <v>1608.6</v>
      </c>
      <c r="X41" s="7" t="n">
        <v>924.3</v>
      </c>
      <c r="Z41" s="7" t="n">
        <v>705.6</v>
      </c>
      <c r="AB41" s="7" t="n">
        <v>17023.8</v>
      </c>
    </row>
    <row r="42">
      <c r="A42" s="4" t="inlineStr">
        <is>
          <t>福利费</t>
        </is>
      </c>
      <c r="D42" s="7" t="n">
        <v>7056.1</v>
      </c>
      <c r="F42" s="7" t="n">
        <v>8016.1</v>
      </c>
      <c r="H42" s="7" t="n">
        <v>10851.1</v>
      </c>
      <c r="J42" s="7" t="n">
        <v>5545.4</v>
      </c>
      <c r="L42" s="7" t="n">
        <v>13610.7</v>
      </c>
      <c r="N42" s="7" t="n">
        <v>9837.1</v>
      </c>
      <c r="P42" s="7" t="n">
        <v>15006.5</v>
      </c>
      <c r="R42" s="7" t="n">
        <v>14370.2</v>
      </c>
      <c r="T42" s="7" t="n">
        <v>11349.7</v>
      </c>
      <c r="V42" s="7" t="n">
        <v>14754.4</v>
      </c>
      <c r="X42" s="7" t="n">
        <v>7190.8</v>
      </c>
      <c r="Z42" s="7" t="n">
        <v>4157.6</v>
      </c>
      <c r="AB42" s="7" t="n">
        <v>121745.7</v>
      </c>
    </row>
    <row r="43">
      <c r="A43" s="4" t="inlineStr">
        <is>
          <t>职工房租</t>
        </is>
      </c>
      <c r="D43" s="7" t="n">
        <v>1432.8</v>
      </c>
      <c r="F43" s="7" t="n">
        <v>1372</v>
      </c>
      <c r="H43" s="7" t="n">
        <v>1631.9</v>
      </c>
      <c r="J43" s="7" t="n">
        <v>1198.2</v>
      </c>
      <c r="L43" s="7" t="n">
        <v>1732.1</v>
      </c>
      <c r="N43" s="7" t="n">
        <v>1938.7</v>
      </c>
      <c r="P43" s="7" t="n">
        <v>2015.5</v>
      </c>
      <c r="R43" s="7" t="n">
        <v>2762.1</v>
      </c>
      <c r="T43" s="7" t="n">
        <v>1997.8</v>
      </c>
      <c r="V43" s="7" t="n">
        <v>2188.5</v>
      </c>
      <c r="X43" s="7" t="n">
        <v>1592.2</v>
      </c>
      <c r="Z43" s="7" t="n">
        <v>724.7</v>
      </c>
      <c r="AB43" s="7" t="n">
        <v>20586.5</v>
      </c>
    </row>
    <row r="44">
      <c r="A44" s="4" t="inlineStr">
        <is>
          <t>水电物业费</t>
        </is>
      </c>
      <c r="D44" s="7" t="n">
        <v>355.2</v>
      </c>
      <c r="F44" s="7" t="n">
        <v>288.6</v>
      </c>
      <c r="H44" s="7" t="n">
        <v>511.4</v>
      </c>
      <c r="J44" s="7" t="n">
        <v>342.3</v>
      </c>
      <c r="L44" s="7" t="n">
        <v>601.7</v>
      </c>
      <c r="N44" s="7" t="n">
        <v>451.2</v>
      </c>
      <c r="P44" s="7" t="n">
        <v>595.8</v>
      </c>
      <c r="R44" s="7" t="n">
        <v>743.9</v>
      </c>
      <c r="T44" s="7" t="n">
        <v>418.3</v>
      </c>
      <c r="V44" s="7" t="n">
        <v>726.4</v>
      </c>
      <c r="X44" s="7" t="n">
        <v>270.3</v>
      </c>
      <c r="Z44" s="7" t="n">
        <v>192.9</v>
      </c>
      <c r="AB44" s="7" t="n">
        <v>5498</v>
      </c>
    </row>
    <row r="45">
      <c r="A45" s="4" t="inlineStr">
        <is>
          <t>员工餐</t>
        </is>
      </c>
      <c r="D45" s="7" t="n">
        <v>1407.4</v>
      </c>
      <c r="F45" s="7" t="n">
        <v>1662.5</v>
      </c>
      <c r="H45" s="7" t="n">
        <v>2526.1</v>
      </c>
      <c r="J45" s="7" t="n">
        <v>1210.4</v>
      </c>
      <c r="L45" s="7" t="n">
        <v>2275.3</v>
      </c>
      <c r="N45" s="7" t="n">
        <v>2185.6</v>
      </c>
      <c r="P45" s="7" t="n">
        <v>3906.6</v>
      </c>
      <c r="R45" s="7" t="n">
        <v>2675.9</v>
      </c>
      <c r="T45" s="7" t="n">
        <v>2690.5</v>
      </c>
      <c r="V45" s="7" t="n">
        <v>3707.6</v>
      </c>
      <c r="X45" s="7" t="n">
        <v>1235.3</v>
      </c>
      <c r="Z45" s="7" t="n">
        <v>762.3</v>
      </c>
      <c r="AB45" s="7" t="n">
        <v>26245.5</v>
      </c>
    </row>
    <row r="46">
      <c r="A46" s="4" t="inlineStr">
        <is>
          <t>节日礼品</t>
        </is>
      </c>
      <c r="D46" s="7" t="n">
        <v>1015.5</v>
      </c>
      <c r="F46" s="7" t="n">
        <v>952</v>
      </c>
      <c r="H46" s="7" t="n">
        <v>1543.3</v>
      </c>
      <c r="J46" s="7" t="n">
        <v>717.2</v>
      </c>
      <c r="L46" s="7" t="n">
        <v>2368.8</v>
      </c>
      <c r="N46" s="7" t="n">
        <v>1698.5</v>
      </c>
      <c r="P46" s="7" t="n">
        <v>2078.7</v>
      </c>
      <c r="R46" s="7" t="n">
        <v>2141.2</v>
      </c>
      <c r="T46" s="7" t="n">
        <v>1952</v>
      </c>
      <c r="V46" s="7" t="n">
        <v>1742</v>
      </c>
      <c r="X46" s="7" t="n">
        <v>1036.8</v>
      </c>
      <c r="Z46" s="7" t="n">
        <v>650.6</v>
      </c>
      <c r="AB46" s="7" t="n">
        <v>17896.6</v>
      </c>
    </row>
    <row r="47">
      <c r="A47" s="4" t="inlineStr">
        <is>
          <t>生日礼品</t>
        </is>
      </c>
      <c r="D47" s="7" t="n">
        <v>771.7</v>
      </c>
      <c r="F47" s="7" t="n">
        <v>1058.1</v>
      </c>
      <c r="H47" s="7" t="n">
        <v>848.4</v>
      </c>
      <c r="J47" s="7" t="n">
        <v>524.6</v>
      </c>
      <c r="L47" s="7" t="n">
        <v>1251.4</v>
      </c>
      <c r="N47" s="7" t="n">
        <v>917.6</v>
      </c>
      <c r="P47" s="7" t="n">
        <v>1643.6</v>
      </c>
      <c r="R47" s="7" t="n">
        <v>1535.9</v>
      </c>
      <c r="T47" s="7" t="n">
        <v>1099.9</v>
      </c>
      <c r="V47" s="7" t="n">
        <v>1430.3</v>
      </c>
      <c r="X47" s="7" t="n">
        <v>856.2</v>
      </c>
      <c r="Z47" s="7" t="n">
        <v>379.7</v>
      </c>
      <c r="AB47" s="7" t="n">
        <v>12317.4</v>
      </c>
    </row>
    <row r="48">
      <c r="A48" s="4" t="inlineStr">
        <is>
          <t>体检</t>
        </is>
      </c>
      <c r="D48" s="7" t="n">
        <v>636.5</v>
      </c>
      <c r="F48" s="7" t="n">
        <v>766.1</v>
      </c>
      <c r="H48" s="7" t="n">
        <v>1042.7</v>
      </c>
      <c r="J48" s="7" t="n">
        <v>433.6</v>
      </c>
      <c r="L48" s="7" t="n">
        <v>1444.3</v>
      </c>
      <c r="N48" s="7" t="n">
        <v>812.2</v>
      </c>
      <c r="P48" s="7" t="n">
        <v>1232.9</v>
      </c>
      <c r="R48" s="7" t="n">
        <v>1370.3</v>
      </c>
      <c r="T48" s="7" t="n">
        <v>1084.8</v>
      </c>
      <c r="V48" s="7" t="n">
        <v>1255.8</v>
      </c>
      <c r="X48" s="7" t="n">
        <v>755.6</v>
      </c>
      <c r="Z48" s="7" t="n">
        <v>418</v>
      </c>
      <c r="AB48" s="7" t="n">
        <v>11252.8</v>
      </c>
    </row>
    <row r="49">
      <c r="A49" s="4" t="inlineStr">
        <is>
          <t>其他福利支出</t>
        </is>
      </c>
      <c r="D49" s="7" t="n">
        <v>1437</v>
      </c>
      <c r="F49" s="7" t="n">
        <v>1916.8</v>
      </c>
      <c r="H49" s="7" t="n">
        <v>2747.3</v>
      </c>
      <c r="J49" s="7" t="n">
        <v>1119.1</v>
      </c>
      <c r="L49" s="7" t="n">
        <v>3937.1</v>
      </c>
      <c r="N49" s="7" t="n">
        <v>1833.3</v>
      </c>
      <c r="P49" s="7" t="n">
        <v>3533.4</v>
      </c>
      <c r="R49" s="7" t="n">
        <v>3140.9</v>
      </c>
      <c r="T49" s="7" t="n">
        <v>2106.4</v>
      </c>
      <c r="V49" s="7" t="n">
        <v>3703.8</v>
      </c>
      <c r="X49" s="7" t="n">
        <v>1444.4</v>
      </c>
      <c r="Z49" s="7" t="n">
        <v>1029.4</v>
      </c>
      <c r="AB49" s="7" t="n">
        <v>27948.9</v>
      </c>
    </row>
    <row r="50">
      <c r="A50" s="4" t="inlineStr">
        <is>
          <t>招聘费</t>
        </is>
      </c>
      <c r="D50" s="7" t="n">
        <v>419.1</v>
      </c>
      <c r="F50" s="7" t="n">
        <v>543.6</v>
      </c>
      <c r="H50" s="7" t="n">
        <v>594.4</v>
      </c>
      <c r="J50" s="7" t="n">
        <v>238.8</v>
      </c>
      <c r="L50" s="7" t="n">
        <v>786.1</v>
      </c>
      <c r="N50" s="7" t="n">
        <v>460.4</v>
      </c>
      <c r="P50" s="7" t="n">
        <v>623.2</v>
      </c>
      <c r="R50" s="7" t="n">
        <v>603.9</v>
      </c>
      <c r="T50" s="7" t="n">
        <v>551</v>
      </c>
      <c r="V50" s="7" t="n">
        <v>905.5</v>
      </c>
      <c r="X50" s="7" t="n">
        <v>409.8</v>
      </c>
      <c r="Z50" s="7" t="n">
        <v>236.8</v>
      </c>
      <c r="AB50" s="7" t="n">
        <v>6372.6</v>
      </c>
    </row>
    <row r="51">
      <c r="A51" s="4" t="inlineStr">
        <is>
          <t>办公费</t>
        </is>
      </c>
      <c r="D51" s="7" t="n">
        <v>8918.5</v>
      </c>
      <c r="F51" s="7" t="n">
        <v>11807.4</v>
      </c>
      <c r="H51" s="7" t="n">
        <v>10364.5</v>
      </c>
      <c r="J51" s="7" t="n">
        <v>7779</v>
      </c>
      <c r="L51" s="7" t="n">
        <v>20416</v>
      </c>
      <c r="N51" s="7" t="n">
        <v>11747.4</v>
      </c>
      <c r="P51" s="7" t="n">
        <v>17061.7</v>
      </c>
      <c r="R51" s="7" t="n">
        <v>12798.3</v>
      </c>
      <c r="T51" s="7" t="n">
        <v>14778.3</v>
      </c>
      <c r="V51" s="7" t="n">
        <v>20369.1</v>
      </c>
      <c r="X51" s="7" t="n">
        <v>9225.5</v>
      </c>
      <c r="Z51" s="7" t="n">
        <v>4136.2</v>
      </c>
      <c r="AB51" s="7" t="n">
        <v>149401.9</v>
      </c>
    </row>
    <row r="52">
      <c r="A52" s="4" t="inlineStr">
        <is>
          <t>市内交通费</t>
        </is>
      </c>
      <c r="D52" s="7" t="n">
        <v>1841</v>
      </c>
      <c r="F52" s="7" t="n">
        <v>1641.2</v>
      </c>
      <c r="H52" s="7" t="n">
        <v>1962.4</v>
      </c>
      <c r="J52" s="7" t="n">
        <v>1215.6</v>
      </c>
      <c r="L52" s="7" t="n">
        <v>3407</v>
      </c>
      <c r="N52" s="7" t="n">
        <v>2649.4</v>
      </c>
      <c r="P52" s="7" t="n">
        <v>4010.4</v>
      </c>
      <c r="R52" s="7" t="n">
        <v>3459.3</v>
      </c>
      <c r="T52" s="7" t="n">
        <v>2888</v>
      </c>
      <c r="V52" s="7" t="n">
        <v>3210.5</v>
      </c>
      <c r="X52" s="7" t="n">
        <v>2102.1</v>
      </c>
      <c r="Z52" s="7" t="n">
        <v>1095</v>
      </c>
      <c r="AB52" s="7" t="n">
        <v>29481.9</v>
      </c>
    </row>
    <row r="53">
      <c r="A53" s="4" t="inlineStr">
        <is>
          <t>差旅费</t>
        </is>
      </c>
      <c r="D53" s="7" t="n">
        <v>11825.2</v>
      </c>
      <c r="F53" s="7" t="n">
        <v>17596.4</v>
      </c>
      <c r="H53" s="7" t="n">
        <v>18837.7</v>
      </c>
      <c r="J53" s="7" t="n">
        <v>16157.3</v>
      </c>
      <c r="L53" s="7" t="n">
        <v>28591.7</v>
      </c>
      <c r="N53" s="7" t="n">
        <v>29200.3</v>
      </c>
      <c r="P53" s="7" t="n">
        <v>42269.6</v>
      </c>
      <c r="R53" s="7" t="n">
        <v>28856.2</v>
      </c>
      <c r="T53" s="7" t="n">
        <v>20871.7</v>
      </c>
      <c r="V53" s="7" t="n">
        <v>24541.1</v>
      </c>
      <c r="X53" s="7" t="n">
        <v>20383.3</v>
      </c>
      <c r="Z53" s="7" t="n">
        <v>11933.2</v>
      </c>
      <c r="AB53" s="7" t="n">
        <v>271063.7</v>
      </c>
    </row>
    <row r="54">
      <c r="A54" s="4" t="inlineStr">
        <is>
          <t>交通费</t>
        </is>
      </c>
      <c r="D54" s="7" t="n">
        <v>26.1</v>
      </c>
      <c r="F54" s="7" t="n">
        <v>28.6</v>
      </c>
      <c r="H54" s="7" t="n">
        <v>51.5</v>
      </c>
      <c r="J54" s="7" t="n">
        <v>20.7</v>
      </c>
      <c r="L54" s="7" t="n">
        <v>53.8</v>
      </c>
      <c r="N54" s="7" t="n">
        <v>45.9</v>
      </c>
      <c r="P54" s="7" t="n">
        <v>55.7</v>
      </c>
      <c r="R54" s="7" t="n">
        <v>69.2</v>
      </c>
      <c r="T54" s="7" t="n">
        <v>40.9</v>
      </c>
      <c r="V54" s="7" t="n">
        <v>59.8</v>
      </c>
      <c r="X54" s="7" t="n">
        <v>34</v>
      </c>
      <c r="Z54" s="7" t="n">
        <v>16.9</v>
      </c>
      <c r="AB54" s="7" t="n">
        <v>503.1</v>
      </c>
    </row>
    <row r="55">
      <c r="A55" s="4" t="inlineStr">
        <is>
          <t>住宿费</t>
        </is>
      </c>
      <c r="D55" s="7" t="n">
        <v>910.7</v>
      </c>
      <c r="F55" s="7" t="n">
        <v>852.7</v>
      </c>
      <c r="H55" s="7" t="n">
        <v>1034.8</v>
      </c>
      <c r="J55" s="7" t="n">
        <v>1115.3</v>
      </c>
      <c r="L55" s="7" t="n">
        <v>2571.3</v>
      </c>
      <c r="N55" s="7" t="n">
        <v>1233.9</v>
      </c>
      <c r="P55" s="7" t="n">
        <v>2121.8</v>
      </c>
      <c r="R55" s="7" t="n">
        <v>1470.8</v>
      </c>
      <c r="T55" s="7" t="n">
        <v>1554.3</v>
      </c>
      <c r="V55" s="7" t="n">
        <v>2016.7</v>
      </c>
      <c r="X55" s="7" t="n">
        <v>1376.2</v>
      </c>
      <c r="Z55" s="7" t="n">
        <v>815.1</v>
      </c>
      <c r="AB55" s="7" t="n">
        <v>17073.6</v>
      </c>
    </row>
    <row r="56">
      <c r="A56" s="4" t="inlineStr">
        <is>
          <t>餐补</t>
        </is>
      </c>
      <c r="D56" s="7" t="n">
        <v>1008.3</v>
      </c>
      <c r="F56" s="7" t="n">
        <v>2187.2</v>
      </c>
      <c r="H56" s="7" t="n">
        <v>2438.7</v>
      </c>
      <c r="J56" s="7" t="n">
        <v>1144</v>
      </c>
      <c r="L56" s="7" t="n">
        <v>2382.7</v>
      </c>
      <c r="N56" s="7" t="n">
        <v>2237.4</v>
      </c>
      <c r="P56" s="7" t="n">
        <v>3796.4</v>
      </c>
      <c r="R56" s="7" t="n">
        <v>2018.6</v>
      </c>
      <c r="T56" s="7" t="n">
        <v>2422.3</v>
      </c>
      <c r="V56" s="7" t="n">
        <v>2520.5</v>
      </c>
      <c r="X56" s="7" t="n">
        <v>1238.7</v>
      </c>
      <c r="Z56" s="7" t="n">
        <v>859.3</v>
      </c>
      <c r="AB56" s="7" t="n">
        <v>24254.1</v>
      </c>
    </row>
    <row r="57">
      <c r="A57" s="4" t="inlineStr">
        <is>
          <t>交通补助</t>
        </is>
      </c>
      <c r="D57" s="7" t="n">
        <v>178.4</v>
      </c>
      <c r="F57" s="7" t="n">
        <v>202.2</v>
      </c>
      <c r="H57" s="7" t="n">
        <v>262.8</v>
      </c>
      <c r="J57" s="7" t="n">
        <v>146.6</v>
      </c>
      <c r="L57" s="7" t="n">
        <v>256.1</v>
      </c>
      <c r="N57" s="7" t="n">
        <v>291.7</v>
      </c>
      <c r="P57" s="7" t="n">
        <v>266.9</v>
      </c>
      <c r="R57" s="7" t="n">
        <v>293.4</v>
      </c>
      <c r="T57" s="7" t="n">
        <v>178.1</v>
      </c>
      <c r="V57" s="7" t="n">
        <v>412.3</v>
      </c>
      <c r="X57" s="7" t="n">
        <v>178.9</v>
      </c>
      <c r="Z57" s="7" t="n">
        <v>94</v>
      </c>
      <c r="AB57" s="7" t="n">
        <v>2761.4</v>
      </c>
    </row>
    <row r="58">
      <c r="A58" s="4" t="inlineStr">
        <is>
          <t>通讯补助</t>
        </is>
      </c>
      <c r="D58" s="7" t="n">
        <v>148.2</v>
      </c>
      <c r="F58" s="7" t="n">
        <v>149.2</v>
      </c>
      <c r="H58" s="7" t="n">
        <v>183.4</v>
      </c>
      <c r="J58" s="7" t="n">
        <v>104.2</v>
      </c>
      <c r="L58" s="7" t="n">
        <v>292.3</v>
      </c>
      <c r="N58" s="7" t="n">
        <v>306.3</v>
      </c>
      <c r="P58" s="7" t="n">
        <v>293.9</v>
      </c>
      <c r="R58" s="7" t="n">
        <v>400.3</v>
      </c>
      <c r="T58" s="7" t="n">
        <v>212.9</v>
      </c>
      <c r="V58" s="7" t="n">
        <v>272.5</v>
      </c>
      <c r="X58" s="7" t="n">
        <v>169.6</v>
      </c>
      <c r="Z58" s="7" t="n">
        <v>138.1</v>
      </c>
      <c r="AB58" s="7" t="n">
        <v>2670.9</v>
      </c>
    </row>
    <row r="59">
      <c r="A59" s="4" t="inlineStr">
        <is>
          <t>招待费</t>
        </is>
      </c>
      <c r="D59" s="7" t="n">
        <v>10240.5</v>
      </c>
      <c r="F59" s="7" t="n">
        <v>12316.4</v>
      </c>
      <c r="H59" s="7" t="n">
        <v>13946.6</v>
      </c>
      <c r="J59" s="7" t="n">
        <v>11243.6</v>
      </c>
      <c r="L59" s="7" t="n">
        <v>15133.1</v>
      </c>
      <c r="N59" s="7" t="n">
        <v>19656.2</v>
      </c>
      <c r="P59" s="7" t="n">
        <v>18196.3</v>
      </c>
      <c r="R59" s="7" t="n">
        <v>17848.8</v>
      </c>
      <c r="T59" s="7" t="n">
        <v>14917.6</v>
      </c>
      <c r="V59" s="7" t="n">
        <v>23748.1</v>
      </c>
      <c r="X59" s="7" t="n">
        <v>8221.799999999999</v>
      </c>
      <c r="Z59" s="7" t="n">
        <v>6334.4</v>
      </c>
      <c r="AB59" s="7" t="n">
        <v>171803.4</v>
      </c>
    </row>
    <row r="60">
      <c r="A60" s="4" t="inlineStr">
        <is>
          <t>通讯费</t>
        </is>
      </c>
      <c r="D60" s="7" t="n">
        <v>526.2</v>
      </c>
      <c r="F60" s="7" t="n">
        <v>786.9</v>
      </c>
      <c r="H60" s="7" t="n">
        <v>930.4</v>
      </c>
      <c r="J60" s="7" t="n">
        <v>635.8</v>
      </c>
      <c r="L60" s="7" t="n">
        <v>1426.7</v>
      </c>
      <c r="N60" s="7" t="n">
        <v>1476</v>
      </c>
      <c r="P60" s="7" t="n">
        <v>1861.8</v>
      </c>
      <c r="R60" s="7" t="n">
        <v>1469.3</v>
      </c>
      <c r="T60" s="7" t="n">
        <v>1280.2</v>
      </c>
      <c r="V60" s="7" t="n">
        <v>1263.2</v>
      </c>
      <c r="X60" s="7" t="n">
        <v>699.1</v>
      </c>
      <c r="Z60" s="7" t="n">
        <v>415.9</v>
      </c>
      <c r="AB60" s="7" t="n">
        <v>12771.5</v>
      </c>
    </row>
    <row r="61">
      <c r="A61" s="4" t="inlineStr">
        <is>
          <t>网络费</t>
        </is>
      </c>
      <c r="D61" s="7" t="n">
        <v>1273.9</v>
      </c>
      <c r="F61" s="7" t="n">
        <v>1502.2</v>
      </c>
      <c r="H61" s="7" t="n">
        <v>1873.9</v>
      </c>
      <c r="J61" s="7" t="n">
        <v>1511.4</v>
      </c>
      <c r="L61" s="7" t="n">
        <v>2272.8</v>
      </c>
      <c r="N61" s="7" t="n">
        <v>2334</v>
      </c>
      <c r="P61" s="7" t="n">
        <v>2651.9</v>
      </c>
      <c r="R61" s="7" t="n">
        <v>2753.1</v>
      </c>
      <c r="T61" s="7" t="n">
        <v>2879.9</v>
      </c>
      <c r="V61" s="7" t="n">
        <v>3765.4</v>
      </c>
      <c r="X61" s="7" t="n">
        <v>1636.5</v>
      </c>
      <c r="Z61" s="7" t="n">
        <v>986.7</v>
      </c>
      <c r="AB61" s="7" t="n">
        <v>25441.7</v>
      </c>
    </row>
    <row r="62">
      <c r="A62" s="4" t="inlineStr">
        <is>
          <t>修理费</t>
        </is>
      </c>
      <c r="D62" s="7" t="n">
        <v>440.9</v>
      </c>
      <c r="F62" s="7" t="n">
        <v>679.5</v>
      </c>
      <c r="H62" s="7" t="n">
        <v>490.4</v>
      </c>
      <c r="J62" s="7" t="n">
        <v>461</v>
      </c>
      <c r="L62" s="7" t="n">
        <v>1026</v>
      </c>
      <c r="N62" s="7" t="n">
        <v>624.6</v>
      </c>
      <c r="P62" s="7" t="n">
        <v>771.6</v>
      </c>
      <c r="R62" s="7" t="n">
        <v>1059.4</v>
      </c>
      <c r="T62" s="7" t="n">
        <v>558.3</v>
      </c>
      <c r="V62" s="7" t="n">
        <v>959.1</v>
      </c>
      <c r="X62" s="7" t="n">
        <v>343.4</v>
      </c>
      <c r="Z62" s="7" t="n">
        <v>340.8</v>
      </c>
      <c r="AB62" s="7" t="n">
        <v>7755</v>
      </c>
    </row>
    <row r="63">
      <c r="A63" s="4" t="inlineStr">
        <is>
          <t>车辆费</t>
        </is>
      </c>
      <c r="D63" s="7" t="n">
        <v>289</v>
      </c>
      <c r="F63" s="7" t="n">
        <v>403.9</v>
      </c>
      <c r="H63" s="7" t="n">
        <v>357.1</v>
      </c>
      <c r="J63" s="7" t="n">
        <v>278.2</v>
      </c>
      <c r="L63" s="7" t="n">
        <v>768.4</v>
      </c>
      <c r="N63" s="7" t="n">
        <v>321.9</v>
      </c>
      <c r="P63" s="7" t="n">
        <v>564.9</v>
      </c>
      <c r="R63" s="7" t="n">
        <v>595.3</v>
      </c>
      <c r="T63" s="7" t="n">
        <v>436</v>
      </c>
      <c r="V63" s="7" t="n">
        <v>771.9</v>
      </c>
      <c r="X63" s="7" t="n">
        <v>317.1</v>
      </c>
      <c r="Z63" s="7" t="n">
        <v>262.5</v>
      </c>
      <c r="AB63" s="7" t="n">
        <v>5366.2</v>
      </c>
    </row>
    <row r="64">
      <c r="A64" s="4" t="inlineStr">
        <is>
          <t>租赁费</t>
        </is>
      </c>
      <c r="D64" s="7" t="n">
        <v>10157.3</v>
      </c>
      <c r="F64" s="7" t="n">
        <v>14591.7</v>
      </c>
      <c r="H64" s="7" t="n">
        <v>15876.6</v>
      </c>
      <c r="J64" s="7" t="n">
        <v>10028.7</v>
      </c>
      <c r="L64" s="7" t="n">
        <v>27729.9</v>
      </c>
      <c r="N64" s="7" t="n">
        <v>14347.6</v>
      </c>
      <c r="P64" s="7" t="n">
        <v>32498.9</v>
      </c>
      <c r="R64" s="7" t="n">
        <v>27513</v>
      </c>
      <c r="T64" s="7" t="n">
        <v>17727.5</v>
      </c>
      <c r="V64" s="7" t="n">
        <v>28192.1</v>
      </c>
      <c r="X64" s="7" t="n">
        <v>12116.6</v>
      </c>
      <c r="Z64" s="7" t="n">
        <v>8739.799999999999</v>
      </c>
      <c r="AB64" s="7" t="n">
        <v>219519.7</v>
      </c>
    </row>
    <row r="65">
      <c r="A65" s="4" t="inlineStr">
        <is>
          <t>能源费</t>
        </is>
      </c>
      <c r="D65" s="7" t="n">
        <v>4286.1</v>
      </c>
      <c r="F65" s="7" t="n">
        <v>6683.1</v>
      </c>
      <c r="H65" s="7" t="n">
        <v>8109.4</v>
      </c>
      <c r="J65" s="7" t="n">
        <v>4703.9</v>
      </c>
      <c r="L65" s="7" t="n">
        <v>10963.2</v>
      </c>
      <c r="N65" s="7" t="n">
        <v>8609</v>
      </c>
      <c r="P65" s="7" t="n">
        <v>11525.6</v>
      </c>
      <c r="R65" s="7" t="n">
        <v>10353.2</v>
      </c>
      <c r="T65" s="7" t="n">
        <v>8141.1</v>
      </c>
      <c r="V65" s="7" t="n">
        <v>10267.9</v>
      </c>
      <c r="X65" s="7" t="n">
        <v>6775.2</v>
      </c>
      <c r="Z65" s="7" t="n">
        <v>3630.8</v>
      </c>
      <c r="AB65" s="7" t="n">
        <v>94048.5</v>
      </c>
    </row>
    <row r="66">
      <c r="A66" s="4" t="inlineStr">
        <is>
          <t>水费</t>
        </is>
      </c>
      <c r="D66" s="7" t="n">
        <v>871.5</v>
      </c>
      <c r="F66" s="7" t="n">
        <v>1211.5</v>
      </c>
      <c r="H66" s="7" t="n">
        <v>1580.3</v>
      </c>
      <c r="J66" s="7" t="n">
        <v>980.2</v>
      </c>
      <c r="L66" s="7" t="n">
        <v>1597.5</v>
      </c>
      <c r="N66" s="7" t="n">
        <v>1363.7</v>
      </c>
      <c r="P66" s="7" t="n">
        <v>1922</v>
      </c>
      <c r="R66" s="7" t="n">
        <v>2066.1</v>
      </c>
      <c r="T66" s="7" t="n">
        <v>1412.7</v>
      </c>
      <c r="V66" s="7" t="n">
        <v>1651.3</v>
      </c>
      <c r="X66" s="7" t="n">
        <v>1037.5</v>
      </c>
      <c r="Z66" s="7" t="n">
        <v>770.4</v>
      </c>
      <c r="AB66" s="7" t="n">
        <v>16464.7</v>
      </c>
    </row>
    <row r="67">
      <c r="A67" s="4" t="inlineStr">
        <is>
          <t>电费</t>
        </is>
      </c>
      <c r="D67" s="7" t="n">
        <v>1182.3</v>
      </c>
      <c r="F67" s="7" t="n">
        <v>2164.1</v>
      </c>
      <c r="H67" s="7" t="n">
        <v>2847.7</v>
      </c>
      <c r="J67" s="7" t="n">
        <v>1069.1</v>
      </c>
      <c r="L67" s="7" t="n">
        <v>3074.5</v>
      </c>
      <c r="N67" s="7" t="n">
        <v>2584.9</v>
      </c>
      <c r="P67" s="7" t="n">
        <v>3715.8</v>
      </c>
      <c r="R67" s="7" t="n">
        <v>2389.7</v>
      </c>
      <c r="T67" s="7" t="n">
        <v>1983.2</v>
      </c>
      <c r="V67" s="7" t="n">
        <v>3397.2</v>
      </c>
      <c r="X67" s="7" t="n">
        <v>2244</v>
      </c>
      <c r="Z67" s="7" t="n">
        <v>925.1</v>
      </c>
      <c r="AB67" s="7" t="n">
        <v>27577.6</v>
      </c>
    </row>
    <row r="68">
      <c r="A68" s="4" t="inlineStr">
        <is>
          <t>燃气费</t>
        </is>
      </c>
      <c r="D68" s="7" t="n">
        <v>986.4</v>
      </c>
      <c r="F68" s="7" t="n">
        <v>1744.2</v>
      </c>
      <c r="H68" s="7" t="n">
        <v>1823.6</v>
      </c>
      <c r="J68" s="7" t="n">
        <v>1389.3</v>
      </c>
      <c r="L68" s="7" t="n">
        <v>3170.7</v>
      </c>
      <c r="N68" s="7" t="n">
        <v>2688.6</v>
      </c>
      <c r="P68" s="7" t="n">
        <v>2838.1</v>
      </c>
      <c r="R68" s="7" t="n">
        <v>2535</v>
      </c>
      <c r="T68" s="7" t="n">
        <v>1982.5</v>
      </c>
      <c r="V68" s="7" t="n">
        <v>2894.1</v>
      </c>
      <c r="X68" s="7" t="n">
        <v>1921.7</v>
      </c>
      <c r="Z68" s="7" t="n">
        <v>727.5</v>
      </c>
      <c r="AB68" s="7" t="n">
        <v>24701.7</v>
      </c>
    </row>
    <row r="69">
      <c r="A69" s="4" t="inlineStr">
        <is>
          <t>蒸汽费</t>
        </is>
      </c>
      <c r="D69" s="7" t="n">
        <v>1245.9</v>
      </c>
      <c r="F69" s="7" t="n">
        <v>1563.3</v>
      </c>
      <c r="H69" s="7" t="n">
        <v>1857.8</v>
      </c>
      <c r="J69" s="7" t="n">
        <v>1265.3</v>
      </c>
      <c r="L69" s="7" t="n">
        <v>3120.5</v>
      </c>
      <c r="N69" s="7" t="n">
        <v>1971.8</v>
      </c>
      <c r="P69" s="7" t="n">
        <v>3049.7</v>
      </c>
      <c r="R69" s="7" t="n">
        <v>3362.4</v>
      </c>
      <c r="T69" s="7" t="n">
        <v>2762.7</v>
      </c>
      <c r="V69" s="7" t="n">
        <v>2325.3</v>
      </c>
      <c r="X69" s="7" t="n">
        <v>1572</v>
      </c>
      <c r="Z69" s="7" t="n">
        <v>1207.8</v>
      </c>
      <c r="AB69" s="7" t="n">
        <v>25304.5</v>
      </c>
    </row>
    <row r="70">
      <c r="A70" s="4" t="inlineStr">
        <is>
          <t>物业费</t>
        </is>
      </c>
      <c r="D70" s="7" t="n">
        <v>1134.7</v>
      </c>
      <c r="F70" s="7" t="n">
        <v>2290</v>
      </c>
      <c r="H70" s="7" t="n">
        <v>1726.2</v>
      </c>
      <c r="J70" s="7" t="n">
        <v>1059.3</v>
      </c>
      <c r="L70" s="7" t="n">
        <v>2898</v>
      </c>
      <c r="N70" s="7" t="n">
        <v>2858.9</v>
      </c>
      <c r="P70" s="7" t="n">
        <v>4001.2</v>
      </c>
      <c r="R70" s="7" t="n">
        <v>3314.4</v>
      </c>
      <c r="T70" s="7" t="n">
        <v>2890.6</v>
      </c>
      <c r="V70" s="7" t="n">
        <v>3437.7</v>
      </c>
      <c r="X70" s="7" t="n">
        <v>1913.4</v>
      </c>
      <c r="Z70" s="7" t="n">
        <v>1033.3</v>
      </c>
      <c r="AB70" s="7" t="n">
        <v>28557.7</v>
      </c>
    </row>
    <row r="71">
      <c r="A71" s="4" t="inlineStr">
        <is>
          <t>劳动保护费</t>
        </is>
      </c>
      <c r="D71" s="7" t="n">
        <v>1026.8</v>
      </c>
      <c r="F71" s="7" t="n">
        <v>1100.9</v>
      </c>
      <c r="H71" s="7" t="n">
        <v>1796</v>
      </c>
      <c r="J71" s="7" t="n">
        <v>1054</v>
      </c>
      <c r="L71" s="7" t="n">
        <v>2645.6</v>
      </c>
      <c r="N71" s="7" t="n">
        <v>1249.1</v>
      </c>
      <c r="P71" s="7" t="n">
        <v>2298.3</v>
      </c>
      <c r="R71" s="7" t="n">
        <v>1832.2</v>
      </c>
      <c r="T71" s="7" t="n">
        <v>1715.1</v>
      </c>
      <c r="V71" s="7" t="n">
        <v>2070.2</v>
      </c>
      <c r="X71" s="7" t="n">
        <v>1425</v>
      </c>
      <c r="Z71" s="7" t="n">
        <v>866.8</v>
      </c>
      <c r="AB71" s="7" t="n">
        <v>19080</v>
      </c>
    </row>
    <row r="72">
      <c r="A72" s="4" t="inlineStr">
        <is>
          <t>顾问费</t>
        </is>
      </c>
      <c r="D72" s="7" t="n">
        <v>1402.2</v>
      </c>
      <c r="F72" s="7" t="n">
        <v>1423.5</v>
      </c>
      <c r="H72" s="7" t="n">
        <v>1647.1</v>
      </c>
      <c r="J72" s="7" t="n">
        <v>960.4</v>
      </c>
      <c r="L72" s="7" t="n">
        <v>2740.6</v>
      </c>
      <c r="N72" s="7" t="n">
        <v>1635</v>
      </c>
      <c r="P72" s="7" t="n">
        <v>3251.4</v>
      </c>
      <c r="R72" s="7" t="n">
        <v>2132.1</v>
      </c>
      <c r="T72" s="7" t="n">
        <v>1381.8</v>
      </c>
      <c r="V72" s="7" t="n">
        <v>2771.3</v>
      </c>
      <c r="X72" s="7" t="n">
        <v>1133.7</v>
      </c>
      <c r="Z72" s="7" t="n">
        <v>650.7</v>
      </c>
      <c r="AB72" s="7" t="n">
        <v>21129.8</v>
      </c>
    </row>
    <row r="73">
      <c r="A73" s="4" t="inlineStr">
        <is>
          <t>快递费</t>
        </is>
      </c>
      <c r="D73" s="7" t="n">
        <v>1531.6</v>
      </c>
      <c r="F73" s="7" t="n">
        <v>1247.3</v>
      </c>
      <c r="H73" s="7" t="n">
        <v>2165.8</v>
      </c>
      <c r="J73" s="7" t="n">
        <v>1265.2</v>
      </c>
      <c r="L73" s="7" t="n">
        <v>3313</v>
      </c>
      <c r="N73" s="7" t="n">
        <v>2545.8</v>
      </c>
      <c r="P73" s="7" t="n">
        <v>3076.2</v>
      </c>
      <c r="R73" s="7" t="n">
        <v>2681.3</v>
      </c>
      <c r="T73" s="7" t="n">
        <v>2624.4</v>
      </c>
      <c r="V73" s="7" t="n">
        <v>2155.3</v>
      </c>
      <c r="X73" s="7" t="n">
        <v>1435.2</v>
      </c>
      <c r="Z73" s="7" t="n">
        <v>806.3</v>
      </c>
      <c r="AB73" s="7" t="n">
        <v>24847.4</v>
      </c>
    </row>
    <row r="74">
      <c r="A74" s="4" t="inlineStr">
        <is>
          <t>诉讼费</t>
        </is>
      </c>
      <c r="D74" s="7" t="n">
        <v>75.2</v>
      </c>
      <c r="F74" s="7" t="n">
        <v>145.1</v>
      </c>
      <c r="H74" s="7" t="n">
        <v>153.8</v>
      </c>
      <c r="J74" s="7" t="n">
        <v>115.1</v>
      </c>
      <c r="L74" s="7" t="n">
        <v>261.3</v>
      </c>
      <c r="N74" s="7" t="n">
        <v>115</v>
      </c>
      <c r="P74" s="7" t="n">
        <v>180.3</v>
      </c>
      <c r="R74" s="7" t="n">
        <v>249.6</v>
      </c>
      <c r="T74" s="7" t="n">
        <v>179.3</v>
      </c>
      <c r="V74" s="7" t="n">
        <v>257.3</v>
      </c>
      <c r="X74" s="7" t="n">
        <v>114.1</v>
      </c>
      <c r="Z74" s="7" t="n">
        <v>78.40000000000001</v>
      </c>
      <c r="AB74" s="7" t="n">
        <v>1924.5</v>
      </c>
    </row>
    <row r="75">
      <c r="A75" s="4" t="inlineStr">
        <is>
          <t>会员费</t>
        </is>
      </c>
      <c r="D75" s="7" t="n">
        <v>1158.6</v>
      </c>
      <c r="F75" s="7" t="n">
        <v>1408.2</v>
      </c>
      <c r="H75" s="7" t="n">
        <v>1285.9</v>
      </c>
      <c r="J75" s="7" t="n">
        <v>765.3</v>
      </c>
      <c r="L75" s="7" t="n">
        <v>1839.7</v>
      </c>
      <c r="N75" s="7" t="n">
        <v>2001.1</v>
      </c>
      <c r="P75" s="7" t="n">
        <v>3112.8</v>
      </c>
      <c r="R75" s="7" t="n">
        <v>2689</v>
      </c>
      <c r="T75" s="7" t="n">
        <v>2187.3</v>
      </c>
      <c r="V75" s="7" t="n">
        <v>2048.6</v>
      </c>
      <c r="X75" s="7" t="n">
        <v>941</v>
      </c>
      <c r="Z75" s="7" t="n">
        <v>921.4</v>
      </c>
      <c r="AB75" s="7" t="n">
        <v>20358.9</v>
      </c>
    </row>
    <row r="76">
      <c r="A76" s="4" t="inlineStr">
        <is>
          <t>广告宣传费</t>
        </is>
      </c>
      <c r="D76" s="7" t="n">
        <v>9492.200000000001</v>
      </c>
      <c r="F76" s="7" t="n">
        <v>9559.299999999999</v>
      </c>
      <c r="H76" s="7" t="n">
        <v>13110.6</v>
      </c>
      <c r="J76" s="7" t="n">
        <v>5963.3</v>
      </c>
      <c r="L76" s="7" t="n">
        <v>13535.5</v>
      </c>
      <c r="N76" s="7" t="n">
        <v>11441.7</v>
      </c>
      <c r="P76" s="7" t="n">
        <v>14476</v>
      </c>
      <c r="R76" s="7" t="n">
        <v>11301.6</v>
      </c>
      <c r="T76" s="7" t="n">
        <v>14452.3</v>
      </c>
      <c r="V76" s="7" t="n">
        <v>17489.5</v>
      </c>
      <c r="X76" s="7" t="n">
        <v>9433.4</v>
      </c>
      <c r="Z76" s="7" t="n">
        <v>6025.3</v>
      </c>
      <c r="AB76" s="7" t="n">
        <v>136280.7</v>
      </c>
    </row>
    <row r="77">
      <c r="A77" s="4" t="inlineStr">
        <is>
          <t>会务费</t>
        </is>
      </c>
      <c r="D77" s="7" t="n">
        <v>1211.1</v>
      </c>
      <c r="F77" s="7" t="n">
        <v>2315.4</v>
      </c>
      <c r="H77" s="7" t="n">
        <v>2976.4</v>
      </c>
      <c r="J77" s="7" t="n">
        <v>1262.9</v>
      </c>
      <c r="L77" s="7" t="n">
        <v>4341.1</v>
      </c>
      <c r="N77" s="7" t="n">
        <v>2735.8</v>
      </c>
      <c r="P77" s="7" t="n">
        <v>2501.9</v>
      </c>
      <c r="R77" s="7" t="n">
        <v>2908.3</v>
      </c>
      <c r="T77" s="7" t="n">
        <v>3165.1</v>
      </c>
      <c r="V77" s="7" t="n">
        <v>3758.1</v>
      </c>
      <c r="X77" s="7" t="n">
        <v>1714.8</v>
      </c>
      <c r="Z77" s="7" t="n">
        <v>834.6</v>
      </c>
      <c r="AB77" s="7" t="n">
        <v>29725.5</v>
      </c>
    </row>
    <row r="78">
      <c r="A78" s="4" t="inlineStr">
        <is>
          <t>装修费</t>
        </is>
      </c>
      <c r="D78" s="7" t="n">
        <v>508.7</v>
      </c>
      <c r="F78" s="7" t="n">
        <v>833.6</v>
      </c>
      <c r="H78" s="7" t="n">
        <v>1088.5</v>
      </c>
      <c r="J78" s="7" t="n">
        <v>539.9</v>
      </c>
      <c r="L78" s="7" t="n">
        <v>920.3</v>
      </c>
      <c r="N78" s="7" t="n">
        <v>862.5</v>
      </c>
      <c r="P78" s="7" t="n">
        <v>1463.8</v>
      </c>
      <c r="R78" s="7" t="n">
        <v>1043.4</v>
      </c>
      <c r="T78" s="7" t="n">
        <v>1381</v>
      </c>
      <c r="V78" s="7" t="n">
        <v>1156.9</v>
      </c>
      <c r="X78" s="7" t="n">
        <v>879.7</v>
      </c>
      <c r="Z78" s="7" t="n">
        <v>522.2</v>
      </c>
      <c r="AB78" s="7" t="n">
        <v>11200.5</v>
      </c>
    </row>
    <row r="79">
      <c r="A79" s="4" t="inlineStr">
        <is>
          <t>推广费</t>
        </is>
      </c>
      <c r="D79" s="7" t="n">
        <v>539.2</v>
      </c>
      <c r="F79" s="7" t="n">
        <v>675.6</v>
      </c>
      <c r="H79" s="7" t="n">
        <v>746.4</v>
      </c>
      <c r="J79" s="7" t="n">
        <v>478.9</v>
      </c>
      <c r="L79" s="7" t="n">
        <v>1070.5</v>
      </c>
      <c r="N79" s="7" t="n">
        <v>879.4</v>
      </c>
      <c r="P79" s="7" t="n">
        <v>748.8</v>
      </c>
      <c r="R79" s="7" t="n">
        <v>1085</v>
      </c>
      <c r="T79" s="7" t="n">
        <v>595.5</v>
      </c>
      <c r="V79" s="7" t="n">
        <v>990.1</v>
      </c>
      <c r="X79" s="7" t="n">
        <v>626.6</v>
      </c>
      <c r="Z79" s="7" t="n">
        <v>234.3</v>
      </c>
      <c r="AB79" s="7" t="n">
        <v>8670.299999999999</v>
      </c>
    </row>
    <row r="80">
      <c r="A80" s="4" t="inlineStr">
        <is>
          <t>展会费</t>
        </is>
      </c>
      <c r="D80" s="7" t="n">
        <v>1335.5</v>
      </c>
      <c r="F80" s="7" t="n">
        <v>1120</v>
      </c>
      <c r="H80" s="7" t="n">
        <v>1268.3</v>
      </c>
      <c r="J80" s="7" t="n">
        <v>717.7</v>
      </c>
      <c r="L80" s="7" t="n">
        <v>2690.4</v>
      </c>
      <c r="N80" s="7" t="n">
        <v>1709.2</v>
      </c>
      <c r="P80" s="7" t="n">
        <v>2792.5</v>
      </c>
      <c r="R80" s="7" t="n">
        <v>2519.4</v>
      </c>
      <c r="T80" s="7" t="n">
        <v>2218.8</v>
      </c>
      <c r="V80" s="7" t="n">
        <v>1750.4</v>
      </c>
      <c r="X80" s="7" t="n">
        <v>1281.6</v>
      </c>
      <c r="Z80" s="7" t="n">
        <v>647.1</v>
      </c>
      <c r="AB80" s="7" t="n">
        <v>20050.9</v>
      </c>
    </row>
    <row r="81">
      <c r="A81" s="4" t="inlineStr">
        <is>
          <t>设计费</t>
        </is>
      </c>
      <c r="D81" s="7" t="n">
        <v>1601.8</v>
      </c>
      <c r="F81" s="7" t="n">
        <v>1731.8</v>
      </c>
      <c r="H81" s="7" t="n">
        <v>2301.3</v>
      </c>
      <c r="J81" s="7" t="n">
        <v>1243.1</v>
      </c>
      <c r="L81" s="7" t="n">
        <v>2014.5</v>
      </c>
      <c r="N81" s="7" t="n">
        <v>1435.5</v>
      </c>
      <c r="P81" s="7" t="n">
        <v>3529</v>
      </c>
      <c r="R81" s="7" t="n">
        <v>3094.9</v>
      </c>
      <c r="T81" s="7" t="n">
        <v>1658.6</v>
      </c>
      <c r="V81" s="7" t="n">
        <v>2050.9</v>
      </c>
      <c r="X81" s="7" t="n">
        <v>1517.1</v>
      </c>
      <c r="Z81" s="7" t="n">
        <v>734.7</v>
      </c>
      <c r="AB81" s="7" t="n">
        <v>22913.2</v>
      </c>
    </row>
    <row r="82">
      <c r="A82" s="4" t="inlineStr">
        <is>
          <t>折旧费</t>
        </is>
      </c>
      <c r="D82" s="7" t="n">
        <v>10891.5</v>
      </c>
      <c r="F82" s="7" t="n">
        <v>9063</v>
      </c>
      <c r="H82" s="7" t="n">
        <v>17986</v>
      </c>
      <c r="J82" s="7" t="n">
        <v>7388.3</v>
      </c>
      <c r="L82" s="7" t="n">
        <v>21214.2</v>
      </c>
      <c r="N82" s="7" t="n">
        <v>16558</v>
      </c>
      <c r="P82" s="7" t="n">
        <v>22287.3</v>
      </c>
      <c r="R82" s="7" t="n">
        <v>25997.7</v>
      </c>
      <c r="T82" s="7" t="n">
        <v>21754.1</v>
      </c>
      <c r="V82" s="7" t="n">
        <v>16345.3</v>
      </c>
      <c r="X82" s="7" t="n">
        <v>8997.6</v>
      </c>
      <c r="Z82" s="7" t="n">
        <v>5776.3</v>
      </c>
      <c r="AB82" s="7" t="n">
        <v>184259.3</v>
      </c>
    </row>
    <row r="83">
      <c r="A83" s="4" t="inlineStr">
        <is>
          <t>认证费</t>
        </is>
      </c>
      <c r="D83" s="7" t="n">
        <v>347.5</v>
      </c>
      <c r="F83" s="7" t="n">
        <v>349.4</v>
      </c>
      <c r="H83" s="7" t="n">
        <v>433.8</v>
      </c>
      <c r="J83" s="7" t="n">
        <v>283.6</v>
      </c>
      <c r="L83" s="7" t="n">
        <v>685.6</v>
      </c>
      <c r="N83" s="7" t="n">
        <v>529.4</v>
      </c>
      <c r="P83" s="7" t="n">
        <v>536.3</v>
      </c>
      <c r="R83" s="7" t="n">
        <v>722.3</v>
      </c>
      <c r="T83" s="7" t="n">
        <v>507.2</v>
      </c>
      <c r="V83" s="7" t="n">
        <v>427.1</v>
      </c>
      <c r="X83" s="7" t="n">
        <v>242.1</v>
      </c>
      <c r="Z83" s="7" t="n">
        <v>199.4</v>
      </c>
      <c r="AB83" s="7" t="n">
        <v>5263.7</v>
      </c>
    </row>
    <row r="84">
      <c r="A84" s="4" t="inlineStr">
        <is>
          <t>样品费</t>
        </is>
      </c>
      <c r="D84" s="7" t="n">
        <v>5290.2</v>
      </c>
      <c r="F84" s="7" t="n">
        <v>5642</v>
      </c>
      <c r="H84" s="7" t="n">
        <v>7609.3</v>
      </c>
      <c r="J84" s="7" t="n">
        <v>4875</v>
      </c>
      <c r="L84" s="7" t="n">
        <v>10315</v>
      </c>
      <c r="N84" s="7" t="n">
        <v>6998.8</v>
      </c>
      <c r="P84" s="7" t="n">
        <v>8217.1</v>
      </c>
      <c r="R84" s="7" t="n">
        <v>10742.6</v>
      </c>
      <c r="T84" s="7" t="n">
        <v>8126.8</v>
      </c>
      <c r="V84" s="7" t="n">
        <v>11666.2</v>
      </c>
      <c r="X84" s="7" t="n">
        <v>4339.3</v>
      </c>
      <c r="Z84" s="7" t="n">
        <v>3874.3</v>
      </c>
      <c r="AB84" s="7" t="n">
        <v>87696.60000000001</v>
      </c>
    </row>
    <row r="85">
      <c r="A85" s="4" t="inlineStr">
        <is>
          <t>劳务费</t>
        </is>
      </c>
      <c r="D85" s="7" t="n">
        <v>1799.2</v>
      </c>
      <c r="F85" s="7" t="n">
        <v>1470.5</v>
      </c>
      <c r="H85" s="7" t="n">
        <v>2111.8</v>
      </c>
      <c r="J85" s="7" t="n">
        <v>1232.1</v>
      </c>
      <c r="L85" s="7" t="n">
        <v>2188.9</v>
      </c>
      <c r="N85" s="7" t="n">
        <v>1707.2</v>
      </c>
      <c r="P85" s="7" t="n">
        <v>2522.4</v>
      </c>
      <c r="R85" s="7" t="n">
        <v>2184.5</v>
      </c>
      <c r="T85" s="7" t="n">
        <v>2685.7</v>
      </c>
      <c r="V85" s="7" t="n">
        <v>3156.3</v>
      </c>
      <c r="X85" s="7" t="n">
        <v>1793</v>
      </c>
      <c r="Z85" s="7" t="n">
        <v>1267.6</v>
      </c>
      <c r="AB85" s="7" t="n">
        <v>24119.2</v>
      </c>
    </row>
    <row r="86">
      <c r="A86" s="4" t="inlineStr">
        <is>
          <t>销售佣金</t>
        </is>
      </c>
      <c r="D86" s="7" t="n">
        <v>1568.3</v>
      </c>
      <c r="F86" s="7" t="n">
        <v>2246.8</v>
      </c>
      <c r="H86" s="7" t="n">
        <v>2935.2</v>
      </c>
      <c r="J86" s="7" t="n">
        <v>1271.9</v>
      </c>
      <c r="L86" s="7" t="n">
        <v>2850.9</v>
      </c>
      <c r="N86" s="7" t="n">
        <v>3115.9</v>
      </c>
      <c r="P86" s="7" t="n">
        <v>3339.2</v>
      </c>
      <c r="R86" s="7" t="n">
        <v>3730</v>
      </c>
      <c r="T86" s="7" t="n">
        <v>3014.1</v>
      </c>
      <c r="V86" s="7" t="n">
        <v>3244.5</v>
      </c>
      <c r="X86" s="7" t="n">
        <v>1867.6</v>
      </c>
      <c r="Z86" s="7" t="n">
        <v>1421.3</v>
      </c>
      <c r="AB86" s="7" t="n">
        <v>30605.7</v>
      </c>
    </row>
    <row r="87">
      <c r="A87" s="4" t="inlineStr">
        <is>
          <t>检测费</t>
        </is>
      </c>
      <c r="D87" s="7" t="n">
        <v>564.4</v>
      </c>
      <c r="F87" s="7" t="n">
        <v>801</v>
      </c>
      <c r="H87" s="7" t="n">
        <v>1328.1</v>
      </c>
      <c r="J87" s="7" t="n">
        <v>626.1</v>
      </c>
      <c r="L87" s="7" t="n">
        <v>1834.4</v>
      </c>
      <c r="N87" s="7" t="n">
        <v>1406.5</v>
      </c>
      <c r="P87" s="7" t="n">
        <v>1539.8</v>
      </c>
      <c r="R87" s="7" t="n">
        <v>1824.5</v>
      </c>
      <c r="T87" s="7" t="n">
        <v>1251.3</v>
      </c>
      <c r="V87" s="7" t="n">
        <v>1659</v>
      </c>
      <c r="X87" s="7" t="n">
        <v>638.9</v>
      </c>
      <c r="Z87" s="7" t="n">
        <v>437.9</v>
      </c>
      <c r="AB87" s="7" t="n">
        <v>13911.9</v>
      </c>
    </row>
    <row r="88">
      <c r="A88" s="4" t="inlineStr">
        <is>
          <t>质量赔偿</t>
        </is>
      </c>
      <c r="D88" s="7" t="n">
        <v>1953.3</v>
      </c>
      <c r="F88" s="7" t="n">
        <v>1849.2</v>
      </c>
      <c r="H88" s="7" t="n">
        <v>1888.3</v>
      </c>
      <c r="J88" s="7" t="n">
        <v>1104.5</v>
      </c>
      <c r="L88" s="7" t="n">
        <v>3980.2</v>
      </c>
      <c r="N88" s="7" t="n">
        <v>2558.5</v>
      </c>
      <c r="P88" s="7" t="n">
        <v>3157.4</v>
      </c>
      <c r="R88" s="7" t="n">
        <v>3790.2</v>
      </c>
      <c r="T88" s="7" t="n">
        <v>2904</v>
      </c>
      <c r="V88" s="7" t="n">
        <v>2852.6</v>
      </c>
      <c r="X88" s="7" t="n">
        <v>1589.8</v>
      </c>
      <c r="Z88" s="7" t="n">
        <v>1283.6</v>
      </c>
      <c r="AB88" s="7" t="n">
        <v>28911.6</v>
      </c>
    </row>
    <row r="89">
      <c r="A89" s="4" t="inlineStr">
        <is>
          <t>保险费</t>
        </is>
      </c>
      <c r="D89" s="7" t="n">
        <v>1.6</v>
      </c>
      <c r="F89" s="7" t="n">
        <v>1.4</v>
      </c>
      <c r="H89" s="7" t="n">
        <v>1.7</v>
      </c>
      <c r="J89" s="7" t="n">
        <v>0.9</v>
      </c>
      <c r="L89" s="7" t="n">
        <v>3.1</v>
      </c>
      <c r="N89" s="7" t="n">
        <v>2.3</v>
      </c>
      <c r="P89" s="7" t="n">
        <v>2</v>
      </c>
      <c r="R89" s="7" t="n">
        <v>2.4</v>
      </c>
      <c r="T89" s="7" t="n">
        <v>2.4</v>
      </c>
      <c r="V89" s="7" t="n">
        <v>2.7</v>
      </c>
      <c r="X89" s="7" t="n">
        <v>1.4</v>
      </c>
      <c r="Z89" s="7" t="n">
        <v>0.7</v>
      </c>
      <c r="AB89" s="7" t="n">
        <v>22.6</v>
      </c>
    </row>
    <row r="90">
      <c r="A90" s="4" t="inlineStr">
        <is>
          <t>清洁费</t>
        </is>
      </c>
      <c r="D90" s="7" t="n">
        <v>850.1</v>
      </c>
      <c r="F90" s="7" t="n">
        <v>1004.1</v>
      </c>
      <c r="H90" s="7" t="n">
        <v>1618.4</v>
      </c>
      <c r="J90" s="7" t="n">
        <v>869.5</v>
      </c>
      <c r="L90" s="7" t="n">
        <v>2357.8</v>
      </c>
      <c r="N90" s="7" t="n">
        <v>1729.6</v>
      </c>
      <c r="P90" s="7" t="n">
        <v>2304.3</v>
      </c>
      <c r="R90" s="7" t="n">
        <v>1582</v>
      </c>
      <c r="T90" s="7" t="n">
        <v>1825.3</v>
      </c>
      <c r="V90" s="7" t="n">
        <v>1942.5</v>
      </c>
      <c r="X90" s="7" t="n">
        <v>778.5</v>
      </c>
      <c r="Z90" s="7" t="n">
        <v>581.9</v>
      </c>
      <c r="AB90" s="7" t="n">
        <v>17444</v>
      </c>
    </row>
    <row r="91">
      <c r="A91" s="4" t="inlineStr">
        <is>
          <t>低值易耗品</t>
        </is>
      </c>
      <c r="D91" s="7" t="n">
        <v>1152.4</v>
      </c>
      <c r="F91" s="7" t="n">
        <v>1466.6</v>
      </c>
      <c r="H91" s="7" t="n">
        <v>1739.7</v>
      </c>
      <c r="J91" s="7" t="n">
        <v>914.4</v>
      </c>
      <c r="L91" s="7" t="n">
        <v>2788.5</v>
      </c>
      <c r="N91" s="7" t="n">
        <v>1799.5</v>
      </c>
      <c r="P91" s="7" t="n">
        <v>3367.9</v>
      </c>
      <c r="R91" s="7" t="n">
        <v>3147.6</v>
      </c>
      <c r="T91" s="7" t="n">
        <v>1679.2</v>
      </c>
      <c r="V91" s="7" t="n">
        <v>1878.5</v>
      </c>
      <c r="X91" s="7" t="n">
        <v>1251.9</v>
      </c>
      <c r="Z91" s="7" t="n">
        <v>840.3</v>
      </c>
      <c r="AB91" s="7" t="n">
        <v>22026.5</v>
      </c>
    </row>
    <row r="92">
      <c r="A92" s="4" t="inlineStr">
        <is>
          <t>物料消耗</t>
        </is>
      </c>
      <c r="D92" s="7" t="n">
        <v>1646</v>
      </c>
      <c r="F92" s="7" t="n">
        <v>1500.1</v>
      </c>
      <c r="H92" s="7" t="n">
        <v>1957.4</v>
      </c>
      <c r="J92" s="7" t="n">
        <v>888.4</v>
      </c>
      <c r="L92" s="7" t="n">
        <v>2806.5</v>
      </c>
      <c r="N92" s="7" t="n">
        <v>2138.9</v>
      </c>
      <c r="P92" s="7" t="n">
        <v>2777.8</v>
      </c>
      <c r="R92" s="7" t="n">
        <v>3326</v>
      </c>
      <c r="T92" s="7" t="n">
        <v>2670</v>
      </c>
      <c r="V92" s="7" t="n">
        <v>3493.5</v>
      </c>
      <c r="X92" s="7" t="n">
        <v>1122.7</v>
      </c>
      <c r="Z92" s="7" t="n">
        <v>678.7</v>
      </c>
      <c r="AB92" s="7" t="n">
        <v>25006</v>
      </c>
    </row>
    <row r="93">
      <c r="A93" s="4" t="inlineStr">
        <is>
          <t>盘盈盘亏</t>
        </is>
      </c>
      <c r="D93" s="7" t="n">
        <v>451.5</v>
      </c>
      <c r="F93" s="7" t="n">
        <v>489.8</v>
      </c>
      <c r="H93" s="7" t="n">
        <v>492.6</v>
      </c>
      <c r="J93" s="7" t="n">
        <v>357.7</v>
      </c>
      <c r="L93" s="7" t="n">
        <v>949</v>
      </c>
      <c r="N93" s="7" t="n">
        <v>480.8</v>
      </c>
      <c r="P93" s="7" t="n">
        <v>881.4</v>
      </c>
      <c r="R93" s="7" t="n">
        <v>656.3</v>
      </c>
      <c r="T93" s="7" t="n">
        <v>696.9</v>
      </c>
      <c r="V93" s="7" t="n">
        <v>1170.6</v>
      </c>
      <c r="X93" s="7" t="n">
        <v>499.5</v>
      </c>
      <c r="Z93" s="7" t="n">
        <v>247.9</v>
      </c>
      <c r="AB93" s="7" t="n">
        <v>7374</v>
      </c>
    </row>
    <row r="94">
      <c r="A94" s="4" t="inlineStr">
        <is>
          <t>平台服务费</t>
        </is>
      </c>
      <c r="D94" s="7" t="n">
        <v>1368.6</v>
      </c>
      <c r="F94" s="7" t="n">
        <v>2359.9</v>
      </c>
      <c r="H94" s="7" t="n">
        <v>2668.8</v>
      </c>
      <c r="J94" s="7" t="n">
        <v>1668.3</v>
      </c>
      <c r="L94" s="7" t="n">
        <v>3370.3</v>
      </c>
      <c r="N94" s="7" t="n">
        <v>1875.9</v>
      </c>
      <c r="P94" s="7" t="n">
        <v>4030.2</v>
      </c>
      <c r="R94" s="7" t="n">
        <v>3260.4</v>
      </c>
      <c r="T94" s="7" t="n">
        <v>3168.7</v>
      </c>
      <c r="V94" s="7" t="n">
        <v>3328.2</v>
      </c>
      <c r="X94" s="7" t="n">
        <v>1372.1</v>
      </c>
      <c r="Z94" s="7" t="n">
        <v>1231.1</v>
      </c>
      <c r="AB94" s="7" t="n">
        <v>29702.5</v>
      </c>
    </row>
    <row r="95">
      <c r="A95" s="4" t="inlineStr">
        <is>
          <t>无形资产摊销</t>
        </is>
      </c>
      <c r="D95" s="7" t="n">
        <v>1483</v>
      </c>
      <c r="F95" s="7" t="n">
        <v>1414.3</v>
      </c>
      <c r="H95" s="7" t="n">
        <v>1780.1</v>
      </c>
      <c r="J95" s="7" t="n">
        <v>1219</v>
      </c>
      <c r="L95" s="7" t="n">
        <v>2460.8</v>
      </c>
      <c r="N95" s="7" t="n">
        <v>1582.9</v>
      </c>
      <c r="P95" s="7" t="n">
        <v>3320.4</v>
      </c>
      <c r="R95" s="7" t="n">
        <v>2427.3</v>
      </c>
      <c r="T95" s="7" t="n">
        <v>1807.8</v>
      </c>
      <c r="V95" s="7" t="n">
        <v>2258.9</v>
      </c>
      <c r="X95" s="7" t="n">
        <v>1382.9</v>
      </c>
      <c r="Z95" s="7" t="n">
        <v>642.3</v>
      </c>
      <c r="AB95" s="7" t="n">
        <v>21779.7</v>
      </c>
    </row>
    <row r="96">
      <c r="A96" s="4" t="inlineStr">
        <is>
          <t>研发材料</t>
        </is>
      </c>
      <c r="D96" s="7" t="n">
        <v>1858.1</v>
      </c>
      <c r="F96" s="7" t="n">
        <v>2400.5</v>
      </c>
      <c r="H96" s="7" t="n">
        <v>2702.7</v>
      </c>
      <c r="J96" s="7" t="n">
        <v>1057.2</v>
      </c>
      <c r="L96" s="7" t="n">
        <v>2681.2</v>
      </c>
      <c r="N96" s="7" t="n">
        <v>2554.6</v>
      </c>
      <c r="P96" s="7" t="n">
        <v>2787.8</v>
      </c>
      <c r="R96" s="7" t="n">
        <v>3776.6</v>
      </c>
      <c r="T96" s="7" t="n">
        <v>1987.3</v>
      </c>
      <c r="V96" s="7" t="n">
        <v>4445.8</v>
      </c>
      <c r="X96" s="7" t="n">
        <v>1653.9</v>
      </c>
      <c r="Z96" s="7" t="n">
        <v>814.9</v>
      </c>
      <c r="AB96" s="7" t="n">
        <v>28720.6</v>
      </c>
    </row>
    <row r="97">
      <c r="A97" s="4" t="inlineStr">
        <is>
          <t>项目名称</t>
        </is>
      </c>
      <c r="D97" s="7" t="n">
        <v>1297.3</v>
      </c>
      <c r="F97" s="7" t="n">
        <v>1340.3</v>
      </c>
      <c r="H97" s="7" t="n">
        <v>2772.2</v>
      </c>
      <c r="J97" s="7" t="n">
        <v>1478.4</v>
      </c>
      <c r="L97" s="7" t="n">
        <v>3892.6</v>
      </c>
      <c r="N97" s="7" t="n">
        <v>1874.1</v>
      </c>
      <c r="P97" s="7" t="n">
        <v>3469.9</v>
      </c>
      <c r="R97" s="7" t="n">
        <v>3542.1</v>
      </c>
      <c r="T97" s="7" t="n">
        <v>1855</v>
      </c>
      <c r="V97" s="7" t="n">
        <v>3820.4</v>
      </c>
      <c r="X97" s="7" t="n">
        <v>1903.3</v>
      </c>
      <c r="Z97" s="7" t="n">
        <v>1178.8</v>
      </c>
      <c r="AB97" s="7" t="n">
        <v>28424.4</v>
      </c>
    </row>
    <row r="98">
      <c r="A98" s="4" t="inlineStr">
        <is>
          <t>研发费</t>
        </is>
      </c>
      <c r="D98" s="7" t="n">
        <v>1726.1</v>
      </c>
      <c r="F98" s="7" t="n">
        <v>1988.8</v>
      </c>
      <c r="H98" s="7" t="n">
        <v>2126.7</v>
      </c>
      <c r="J98" s="7" t="n">
        <v>1043.7</v>
      </c>
      <c r="L98" s="7" t="n">
        <v>2268.8</v>
      </c>
      <c r="N98" s="7" t="n">
        <v>1860.2</v>
      </c>
      <c r="P98" s="7" t="n">
        <v>3660.1</v>
      </c>
      <c r="R98" s="7" t="n">
        <v>2926.4</v>
      </c>
      <c r="T98" s="7" t="n">
        <v>1885.6</v>
      </c>
      <c r="V98" s="7" t="n">
        <v>3342.5</v>
      </c>
      <c r="X98" s="7" t="n">
        <v>1622.6</v>
      </c>
      <c r="Z98" s="7" t="n">
        <v>796.7</v>
      </c>
      <c r="AB98" s="7" t="n">
        <v>25248.2</v>
      </c>
    </row>
    <row r="99">
      <c r="A99" s="4" t="inlineStr">
        <is>
          <t>残保金</t>
        </is>
      </c>
      <c r="D99" s="7" t="n">
        <v>1002.7</v>
      </c>
      <c r="F99" s="7" t="n">
        <v>1316.1</v>
      </c>
      <c r="H99" s="7" t="n">
        <v>1703.8</v>
      </c>
      <c r="J99" s="7" t="n">
        <v>810.5</v>
      </c>
      <c r="L99" s="7" t="n">
        <v>1624.1</v>
      </c>
      <c r="N99" s="7" t="n">
        <v>1837.3</v>
      </c>
      <c r="P99" s="7" t="n">
        <v>2702.6</v>
      </c>
      <c r="R99" s="7" t="n">
        <v>1589.5</v>
      </c>
      <c r="T99" s="7" t="n">
        <v>2057.3</v>
      </c>
      <c r="V99" s="7" t="n">
        <v>1924.2</v>
      </c>
      <c r="X99" s="7" t="n">
        <v>1405.5</v>
      </c>
      <c r="Z99" s="7" t="n">
        <v>772.2</v>
      </c>
      <c r="AB99" s="7" t="n">
        <v>18745.8</v>
      </c>
    </row>
    <row r="100">
      <c r="A100" s="4" t="inlineStr">
        <is>
          <t>环保费</t>
        </is>
      </c>
      <c r="D100" s="7" t="n">
        <v>74.5</v>
      </c>
      <c r="F100" s="7" t="n">
        <v>102.7</v>
      </c>
      <c r="H100" s="7" t="n">
        <v>112.1</v>
      </c>
      <c r="J100" s="7" t="n">
        <v>85.40000000000001</v>
      </c>
      <c r="L100" s="7" t="n">
        <v>190.1</v>
      </c>
      <c r="N100" s="7" t="n">
        <v>141</v>
      </c>
      <c r="P100" s="7" t="n">
        <v>214.2</v>
      </c>
      <c r="R100" s="7" t="n">
        <v>225.8</v>
      </c>
      <c r="T100" s="7" t="n">
        <v>166.8</v>
      </c>
      <c r="V100" s="7" t="n">
        <v>172.6</v>
      </c>
      <c r="X100" s="7" t="n">
        <v>128.2</v>
      </c>
      <c r="Z100" s="7" t="n">
        <v>62.7</v>
      </c>
      <c r="AB100" s="7" t="n">
        <v>1676.1</v>
      </c>
    </row>
    <row r="101">
      <c r="A101" s="4" t="inlineStr">
        <is>
          <t>报废损失</t>
        </is>
      </c>
      <c r="D101" s="7" t="n">
        <v>1577.6</v>
      </c>
      <c r="F101" s="7" t="n">
        <v>2410.7</v>
      </c>
      <c r="H101" s="7" t="n">
        <v>2563.1</v>
      </c>
      <c r="J101" s="7" t="n">
        <v>1689.4</v>
      </c>
      <c r="L101" s="7" t="n">
        <v>4066.2</v>
      </c>
      <c r="N101" s="7" t="n">
        <v>1748.6</v>
      </c>
      <c r="P101" s="7" t="n">
        <v>4278.1</v>
      </c>
      <c r="R101" s="7" t="n">
        <v>2903.3</v>
      </c>
      <c r="T101" s="7" t="n">
        <v>2609.3</v>
      </c>
      <c r="V101" s="7" t="n">
        <v>4072.6</v>
      </c>
      <c r="X101" s="7" t="n">
        <v>1274.7</v>
      </c>
      <c r="Z101" s="7" t="n">
        <v>1201.6</v>
      </c>
      <c r="AB101" s="7" t="n">
        <v>30395.2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121723.9</v>
      </c>
      <c r="D102" s="7" t="n">
        <v>49923.4</v>
      </c>
      <c r="E102" s="7" t="n">
        <v>124369</v>
      </c>
      <c r="F102" s="7" t="n">
        <v>100622.7</v>
      </c>
      <c r="G102" s="7" t="n">
        <v>95906.7</v>
      </c>
      <c r="H102" s="7" t="n">
        <v>86899.3</v>
      </c>
      <c r="I102" s="7" t="n">
        <v>104051.2</v>
      </c>
      <c r="J102" s="7" t="n">
        <v>101096</v>
      </c>
      <c r="K102" s="7" t="n">
        <v>127401.6</v>
      </c>
      <c r="L102" s="7" t="n">
        <v>77249.60000000001</v>
      </c>
      <c r="M102" s="7" t="n">
        <v>112251.9</v>
      </c>
      <c r="N102" s="7" t="n">
        <v>136476.7</v>
      </c>
      <c r="O102" s="7" t="n">
        <v>99749.3</v>
      </c>
      <c r="P102" s="7" t="n">
        <v>149029</v>
      </c>
      <c r="Q102" s="7" t="n">
        <v>101196.3</v>
      </c>
      <c r="R102" s="7" t="n">
        <v>177487.6</v>
      </c>
      <c r="S102" s="7" t="n">
        <v>103295.8</v>
      </c>
      <c r="T102" s="7" t="n">
        <v>79090.5</v>
      </c>
      <c r="U102" s="7" t="n">
        <v>98129.2</v>
      </c>
      <c r="V102" s="7" t="n">
        <v>156326.8</v>
      </c>
      <c r="W102" s="7" t="n">
        <v>102236.5</v>
      </c>
      <c r="X102" s="7" t="n">
        <v>149093</v>
      </c>
      <c r="Y102" s="7" t="n">
        <v>117983.3</v>
      </c>
      <c r="Z102" s="7" t="n">
        <v>87475.2</v>
      </c>
      <c r="AA102" s="8" t="n">
        <v>1308294.7</v>
      </c>
      <c r="AB102" s="8" t="n">
        <v>1350769.8</v>
      </c>
    </row>
    <row r="103">
      <c r="A103" s="4" t="inlineStr">
        <is>
          <t>职工薪酬</t>
        </is>
      </c>
      <c r="D103" s="7" t="n">
        <v>25848.8</v>
      </c>
      <c r="F103" s="7" t="n">
        <v>55427.2</v>
      </c>
      <c r="H103" s="7" t="n">
        <v>36228.9</v>
      </c>
      <c r="J103" s="7" t="n">
        <v>53276.6</v>
      </c>
      <c r="L103" s="7" t="n">
        <v>41378.9</v>
      </c>
      <c r="N103" s="7" t="n">
        <v>79759.5</v>
      </c>
      <c r="P103" s="7" t="n">
        <v>79854.8</v>
      </c>
      <c r="R103" s="7" t="n">
        <v>71372.8</v>
      </c>
      <c r="T103" s="7" t="n">
        <v>33883.2</v>
      </c>
      <c r="V103" s="7" t="n">
        <v>79900.5</v>
      </c>
      <c r="X103" s="7" t="n">
        <v>68342.5</v>
      </c>
      <c r="Z103" s="7" t="n">
        <v>40714.5</v>
      </c>
      <c r="AB103" s="7" t="n">
        <v>665988.2</v>
      </c>
    </row>
    <row r="104">
      <c r="A104" s="4" t="inlineStr">
        <is>
          <t>工资</t>
        </is>
      </c>
      <c r="D104" s="7" t="n">
        <v>16443.9</v>
      </c>
      <c r="F104" s="7" t="n">
        <v>38627</v>
      </c>
      <c r="H104" s="7" t="n">
        <v>20542.2</v>
      </c>
      <c r="J104" s="7" t="n">
        <v>27299.4</v>
      </c>
      <c r="L104" s="7" t="n">
        <v>24871.5</v>
      </c>
      <c r="N104" s="7" t="n">
        <v>49192.8</v>
      </c>
      <c r="P104" s="7" t="n">
        <v>47327.4</v>
      </c>
      <c r="R104" s="7" t="n">
        <v>39540.1</v>
      </c>
      <c r="T104" s="7" t="n">
        <v>19431.7</v>
      </c>
      <c r="V104" s="7" t="n">
        <v>46455.7</v>
      </c>
      <c r="X104" s="7" t="n">
        <v>36944.4</v>
      </c>
      <c r="Z104" s="7" t="n">
        <v>19004.6</v>
      </c>
      <c r="AB104" s="7" t="n">
        <v>385680.7</v>
      </c>
    </row>
    <row r="105">
      <c r="A105" s="4" t="inlineStr">
        <is>
          <t>奖金及提成</t>
        </is>
      </c>
      <c r="D105" s="7" t="n">
        <v>4388.1</v>
      </c>
      <c r="F105" s="7" t="n">
        <v>8153.5</v>
      </c>
      <c r="H105" s="7" t="n">
        <v>7615.5</v>
      </c>
      <c r="J105" s="7" t="n">
        <v>13120.1</v>
      </c>
      <c r="L105" s="7" t="n">
        <v>6682.4</v>
      </c>
      <c r="N105" s="7" t="n">
        <v>13226.4</v>
      </c>
      <c r="P105" s="7" t="n">
        <v>15349.5</v>
      </c>
      <c r="R105" s="7" t="n">
        <v>12425</v>
      </c>
      <c r="T105" s="7" t="n">
        <v>6822</v>
      </c>
      <c r="V105" s="7" t="n">
        <v>14987.8</v>
      </c>
      <c r="X105" s="7" t="n">
        <v>14407.7</v>
      </c>
      <c r="Z105" s="7" t="n">
        <v>11155.4</v>
      </c>
      <c r="AB105" s="7" t="n">
        <v>128333.4</v>
      </c>
    </row>
    <row r="106">
      <c r="A106" s="4" t="inlineStr">
        <is>
          <t>社保</t>
        </is>
      </c>
      <c r="D106" s="7" t="n">
        <v>3792.5</v>
      </c>
      <c r="F106" s="7" t="n">
        <v>6256.3</v>
      </c>
      <c r="H106" s="7" t="n">
        <v>5806.9</v>
      </c>
      <c r="J106" s="7" t="n">
        <v>10448.2</v>
      </c>
      <c r="L106" s="7" t="n">
        <v>7748.5</v>
      </c>
      <c r="N106" s="7" t="n">
        <v>13439.3</v>
      </c>
      <c r="P106" s="7" t="n">
        <v>13294.5</v>
      </c>
      <c r="R106" s="7" t="n">
        <v>13947.1</v>
      </c>
      <c r="T106" s="7" t="n">
        <v>5649</v>
      </c>
      <c r="V106" s="7" t="n">
        <v>14587.6</v>
      </c>
      <c r="X106" s="7" t="n">
        <v>12702.5</v>
      </c>
      <c r="Z106" s="7" t="n">
        <v>8200.700000000001</v>
      </c>
      <c r="AB106" s="7" t="n">
        <v>115873.1</v>
      </c>
    </row>
    <row r="107">
      <c r="A107" s="4" t="inlineStr">
        <is>
          <t>养老</t>
        </is>
      </c>
      <c r="D107" s="7" t="n">
        <v>265.3</v>
      </c>
      <c r="F107" s="7" t="n">
        <v>462.5</v>
      </c>
      <c r="H107" s="7" t="n">
        <v>435</v>
      </c>
      <c r="J107" s="7" t="n">
        <v>536.6</v>
      </c>
      <c r="L107" s="7" t="n">
        <v>240.5</v>
      </c>
      <c r="N107" s="7" t="n">
        <v>629.7</v>
      </c>
      <c r="P107" s="7" t="n">
        <v>785.8</v>
      </c>
      <c r="R107" s="7" t="n">
        <v>586.4</v>
      </c>
      <c r="T107" s="7" t="n">
        <v>334.2</v>
      </c>
      <c r="V107" s="7" t="n">
        <v>586.5</v>
      </c>
      <c r="X107" s="7" t="n">
        <v>530.1</v>
      </c>
      <c r="Z107" s="7" t="n">
        <v>336.1</v>
      </c>
      <c r="AB107" s="7" t="n">
        <v>5728.7</v>
      </c>
    </row>
    <row r="108">
      <c r="A108" s="4" t="inlineStr">
        <is>
          <t>医疗</t>
        </is>
      </c>
      <c r="D108" s="7" t="n">
        <v>229.7</v>
      </c>
      <c r="F108" s="7" t="n">
        <v>761.8</v>
      </c>
      <c r="H108" s="7" t="n">
        <v>573</v>
      </c>
      <c r="J108" s="7" t="n">
        <v>587.7</v>
      </c>
      <c r="L108" s="7" t="n">
        <v>344.9</v>
      </c>
      <c r="N108" s="7" t="n">
        <v>789.3</v>
      </c>
      <c r="P108" s="7" t="n">
        <v>1087.3</v>
      </c>
      <c r="R108" s="7" t="n">
        <v>1286.1</v>
      </c>
      <c r="T108" s="7" t="n">
        <v>596.9</v>
      </c>
      <c r="V108" s="7" t="n">
        <v>889</v>
      </c>
      <c r="X108" s="7" t="n">
        <v>1140.9</v>
      </c>
      <c r="Z108" s="7" t="n">
        <v>477.3</v>
      </c>
      <c r="AB108" s="7" t="n">
        <v>8763.9</v>
      </c>
    </row>
    <row r="109">
      <c r="A109" s="4" t="inlineStr">
        <is>
          <t>工伤</t>
        </is>
      </c>
      <c r="D109" s="7" t="n">
        <v>252</v>
      </c>
      <c r="F109" s="7" t="n">
        <v>522</v>
      </c>
      <c r="H109" s="7" t="n">
        <v>347.6</v>
      </c>
      <c r="J109" s="7" t="n">
        <v>523.7</v>
      </c>
      <c r="L109" s="7" t="n">
        <v>456</v>
      </c>
      <c r="N109" s="7" t="n">
        <v>468.1</v>
      </c>
      <c r="P109" s="7" t="n">
        <v>698.6</v>
      </c>
      <c r="R109" s="7" t="n">
        <v>822.4</v>
      </c>
      <c r="T109" s="7" t="n">
        <v>272.1</v>
      </c>
      <c r="V109" s="7" t="n">
        <v>520.4</v>
      </c>
      <c r="X109" s="7" t="n">
        <v>595.2</v>
      </c>
      <c r="Z109" s="7" t="n">
        <v>493.3</v>
      </c>
      <c r="AB109" s="7" t="n">
        <v>5971.4</v>
      </c>
    </row>
    <row r="110">
      <c r="A110" s="4" t="inlineStr">
        <is>
          <t>失业</t>
        </is>
      </c>
      <c r="D110" s="7" t="n">
        <v>3.7</v>
      </c>
      <c r="F110" s="7" t="n">
        <v>10.3</v>
      </c>
      <c r="H110" s="7" t="n">
        <v>5.5</v>
      </c>
      <c r="J110" s="7" t="n">
        <v>7.2</v>
      </c>
      <c r="L110" s="7" t="n">
        <v>4.5</v>
      </c>
      <c r="N110" s="7" t="n">
        <v>13</v>
      </c>
      <c r="P110" s="7" t="n">
        <v>13.1</v>
      </c>
      <c r="R110" s="7" t="n">
        <v>17.2</v>
      </c>
      <c r="T110" s="7" t="n">
        <v>6.7</v>
      </c>
      <c r="V110" s="7" t="n">
        <v>10.4</v>
      </c>
      <c r="X110" s="7" t="n">
        <v>14.6</v>
      </c>
      <c r="Z110" s="7" t="n">
        <v>5.2</v>
      </c>
      <c r="AB110" s="7" t="n">
        <v>111.4</v>
      </c>
    </row>
    <row r="111">
      <c r="A111" s="4" t="inlineStr">
        <is>
          <t>生育</t>
        </is>
      </c>
      <c r="D111" s="7" t="n">
        <v>63.6</v>
      </c>
      <c r="F111" s="7" t="n">
        <v>160.2</v>
      </c>
      <c r="H111" s="7" t="n">
        <v>138.2</v>
      </c>
      <c r="J111" s="7" t="n">
        <v>158.4</v>
      </c>
      <c r="L111" s="7" t="n">
        <v>76.59999999999999</v>
      </c>
      <c r="N111" s="7" t="n">
        <v>188.6</v>
      </c>
      <c r="P111" s="7" t="n">
        <v>255.1</v>
      </c>
      <c r="R111" s="7" t="n">
        <v>249.7</v>
      </c>
      <c r="T111" s="7" t="n">
        <v>101.8</v>
      </c>
      <c r="V111" s="7" t="n">
        <v>271.9</v>
      </c>
      <c r="X111" s="7" t="n">
        <v>220.1</v>
      </c>
      <c r="Z111" s="7" t="n">
        <v>133.8</v>
      </c>
      <c r="AB111" s="7" t="n">
        <v>2018</v>
      </c>
    </row>
    <row r="112">
      <c r="A112" s="4" t="inlineStr">
        <is>
          <t>公积金</t>
        </is>
      </c>
      <c r="D112" s="7" t="n">
        <v>6.7</v>
      </c>
      <c r="F112" s="7" t="n">
        <v>14.2</v>
      </c>
      <c r="H112" s="7" t="n">
        <v>9.5</v>
      </c>
      <c r="J112" s="7" t="n">
        <v>12.5</v>
      </c>
      <c r="L112" s="7" t="n">
        <v>11.4</v>
      </c>
      <c r="N112" s="7" t="n">
        <v>17</v>
      </c>
      <c r="P112" s="7" t="n">
        <v>26.4</v>
      </c>
      <c r="R112" s="7" t="n">
        <v>22.8</v>
      </c>
      <c r="T112" s="7" t="n">
        <v>12.2</v>
      </c>
      <c r="V112" s="7" t="n">
        <v>24.3</v>
      </c>
      <c r="X112" s="7" t="n">
        <v>17</v>
      </c>
      <c r="Z112" s="7" t="n">
        <v>9.9</v>
      </c>
      <c r="AB112" s="7" t="n">
        <v>183.9</v>
      </c>
    </row>
    <row r="113">
      <c r="A113" s="4" t="inlineStr">
        <is>
          <t>工会经费</t>
        </is>
      </c>
      <c r="D113" s="7" t="n">
        <v>87.8</v>
      </c>
      <c r="F113" s="7" t="n">
        <v>121.7</v>
      </c>
      <c r="H113" s="7" t="n">
        <v>98.90000000000001</v>
      </c>
      <c r="J113" s="7" t="n">
        <v>127.7</v>
      </c>
      <c r="L113" s="7" t="n">
        <v>154.8</v>
      </c>
      <c r="N113" s="7" t="n">
        <v>186.4</v>
      </c>
      <c r="P113" s="7" t="n">
        <v>279.9</v>
      </c>
      <c r="R113" s="7" t="n">
        <v>276</v>
      </c>
      <c r="T113" s="7" t="n">
        <v>123.3</v>
      </c>
      <c r="V113" s="7" t="n">
        <v>177.6</v>
      </c>
      <c r="X113" s="7" t="n">
        <v>268.7</v>
      </c>
      <c r="Z113" s="7" t="n">
        <v>130.3</v>
      </c>
      <c r="AB113" s="7" t="n">
        <v>2033.1</v>
      </c>
    </row>
    <row r="114">
      <c r="A114" s="4" t="inlineStr">
        <is>
          <t>职工教育经费</t>
        </is>
      </c>
      <c r="D114" s="7" t="n">
        <v>15.8</v>
      </c>
      <c r="F114" s="7" t="n">
        <v>29.9</v>
      </c>
      <c r="H114" s="7" t="n">
        <v>24</v>
      </c>
      <c r="J114" s="7" t="n">
        <v>36.2</v>
      </c>
      <c r="L114" s="7" t="n">
        <v>22.8</v>
      </c>
      <c r="N114" s="7" t="n">
        <v>27.6</v>
      </c>
      <c r="P114" s="7" t="n">
        <v>46.1</v>
      </c>
      <c r="R114" s="7" t="n">
        <v>38.2</v>
      </c>
      <c r="T114" s="7" t="n">
        <v>24.7</v>
      </c>
      <c r="V114" s="7" t="n">
        <v>33</v>
      </c>
      <c r="X114" s="7" t="n">
        <v>50.1</v>
      </c>
      <c r="Z114" s="7" t="n">
        <v>29.1</v>
      </c>
      <c r="AB114" s="7" t="n">
        <v>377.5</v>
      </c>
    </row>
    <row r="115">
      <c r="A115" s="4" t="inlineStr">
        <is>
          <t>福利费</t>
        </is>
      </c>
      <c r="D115" s="7" t="n">
        <v>1114</v>
      </c>
      <c r="F115" s="7" t="n">
        <v>2224.6</v>
      </c>
      <c r="H115" s="7" t="n">
        <v>2131.9</v>
      </c>
      <c r="J115" s="7" t="n">
        <v>2232.5</v>
      </c>
      <c r="L115" s="7" t="n">
        <v>1887.5</v>
      </c>
      <c r="N115" s="7" t="n">
        <v>3670</v>
      </c>
      <c r="P115" s="7" t="n">
        <v>3531</v>
      </c>
      <c r="R115" s="7" t="n">
        <v>5123.6</v>
      </c>
      <c r="T115" s="7" t="n">
        <v>1820.3</v>
      </c>
      <c r="V115" s="7" t="n">
        <v>3634.5</v>
      </c>
      <c r="X115" s="7" t="n">
        <v>3952.1</v>
      </c>
      <c r="Z115" s="7" t="n">
        <v>2184.5</v>
      </c>
      <c r="AB115" s="7" t="n">
        <v>33506.5</v>
      </c>
    </row>
    <row r="116">
      <c r="A116" s="4" t="inlineStr">
        <is>
          <t>职工房租</t>
        </is>
      </c>
      <c r="D116" s="7" t="n">
        <v>12.3</v>
      </c>
      <c r="F116" s="7" t="n">
        <v>29.2</v>
      </c>
      <c r="H116" s="7" t="n">
        <v>21.8</v>
      </c>
      <c r="J116" s="7" t="n">
        <v>24.1</v>
      </c>
      <c r="L116" s="7" t="n">
        <v>25.2</v>
      </c>
      <c r="N116" s="7" t="n">
        <v>39.7</v>
      </c>
      <c r="P116" s="7" t="n">
        <v>40.3</v>
      </c>
      <c r="R116" s="7" t="n">
        <v>53.3</v>
      </c>
      <c r="T116" s="7" t="n">
        <v>27.1</v>
      </c>
      <c r="V116" s="7" t="n">
        <v>62.3</v>
      </c>
      <c r="X116" s="7" t="n">
        <v>36.2</v>
      </c>
      <c r="Z116" s="7" t="n">
        <v>24</v>
      </c>
      <c r="AB116" s="7" t="n">
        <v>395.5</v>
      </c>
    </row>
    <row r="117">
      <c r="A117" s="4" t="inlineStr">
        <is>
          <t>水电物业费</t>
        </is>
      </c>
      <c r="D117" s="7" t="n">
        <v>193.1</v>
      </c>
      <c r="F117" s="7" t="n">
        <v>279.1</v>
      </c>
      <c r="H117" s="7" t="n">
        <v>337.6</v>
      </c>
      <c r="J117" s="7" t="n">
        <v>343.8</v>
      </c>
      <c r="L117" s="7" t="n">
        <v>342.8</v>
      </c>
      <c r="N117" s="7" t="n">
        <v>471.8</v>
      </c>
      <c r="P117" s="7" t="n">
        <v>666.7</v>
      </c>
      <c r="R117" s="7" t="n">
        <v>891.4</v>
      </c>
      <c r="T117" s="7" t="n">
        <v>228.6</v>
      </c>
      <c r="V117" s="7" t="n">
        <v>627.4</v>
      </c>
      <c r="X117" s="7" t="n">
        <v>725.2</v>
      </c>
      <c r="Z117" s="7" t="n">
        <v>400.9</v>
      </c>
      <c r="AB117" s="7" t="n">
        <v>5508.4</v>
      </c>
    </row>
    <row r="118">
      <c r="A118" s="4" t="inlineStr">
        <is>
          <t>员工餐</t>
        </is>
      </c>
      <c r="D118" s="7" t="n">
        <v>372</v>
      </c>
      <c r="F118" s="7" t="n">
        <v>453.3</v>
      </c>
      <c r="H118" s="7" t="n">
        <v>602.1</v>
      </c>
      <c r="J118" s="7" t="n">
        <v>531.9</v>
      </c>
      <c r="L118" s="7" t="n">
        <v>533.9</v>
      </c>
      <c r="N118" s="7" t="n">
        <v>981.3</v>
      </c>
      <c r="P118" s="7" t="n">
        <v>936.6</v>
      </c>
      <c r="R118" s="7" t="n">
        <v>1216</v>
      </c>
      <c r="T118" s="7" t="n">
        <v>498.3</v>
      </c>
      <c r="V118" s="7" t="n">
        <v>897.1</v>
      </c>
      <c r="X118" s="7" t="n">
        <v>1055.7</v>
      </c>
      <c r="Z118" s="7" t="n">
        <v>623</v>
      </c>
      <c r="AB118" s="7" t="n">
        <v>8701.200000000001</v>
      </c>
    </row>
    <row r="119">
      <c r="A119" s="4" t="inlineStr">
        <is>
          <t>节日礼品</t>
        </is>
      </c>
      <c r="D119" s="7" t="n">
        <v>254.6</v>
      </c>
      <c r="F119" s="7" t="n">
        <v>621.8</v>
      </c>
      <c r="H119" s="7" t="n">
        <v>482.7</v>
      </c>
      <c r="J119" s="7" t="n">
        <v>742.1</v>
      </c>
      <c r="L119" s="7" t="n">
        <v>528.6</v>
      </c>
      <c r="N119" s="7" t="n">
        <v>1119.5</v>
      </c>
      <c r="P119" s="7" t="n">
        <v>895.1</v>
      </c>
      <c r="R119" s="7" t="n">
        <v>1493.1</v>
      </c>
      <c r="T119" s="7" t="n">
        <v>405</v>
      </c>
      <c r="V119" s="7" t="n">
        <v>951.9</v>
      </c>
      <c r="X119" s="7" t="n">
        <v>1115.9</v>
      </c>
      <c r="Z119" s="7" t="n">
        <v>504.1</v>
      </c>
      <c r="AB119" s="7" t="n">
        <v>9114.4</v>
      </c>
    </row>
    <row r="120">
      <c r="A120" s="4" t="inlineStr">
        <is>
          <t>生日礼品</t>
        </is>
      </c>
      <c r="D120" s="7" t="n">
        <v>42.1</v>
      </c>
      <c r="F120" s="7" t="n">
        <v>88.5</v>
      </c>
      <c r="H120" s="7" t="n">
        <v>71.59999999999999</v>
      </c>
      <c r="J120" s="7" t="n">
        <v>71.40000000000001</v>
      </c>
      <c r="L120" s="7" t="n">
        <v>61.3</v>
      </c>
      <c r="N120" s="7" t="n">
        <v>109.2</v>
      </c>
      <c r="P120" s="7" t="n">
        <v>113.9</v>
      </c>
      <c r="R120" s="7" t="n">
        <v>179.3</v>
      </c>
      <c r="T120" s="7" t="n">
        <v>63</v>
      </c>
      <c r="V120" s="7" t="n">
        <v>96.40000000000001</v>
      </c>
      <c r="X120" s="7" t="n">
        <v>118.9</v>
      </c>
      <c r="Z120" s="7" t="n">
        <v>71.5</v>
      </c>
      <c r="AB120" s="7" t="n">
        <v>1087.1</v>
      </c>
    </row>
    <row r="121">
      <c r="A121" s="4" t="inlineStr">
        <is>
          <t>体检</t>
        </is>
      </c>
      <c r="D121" s="7" t="n">
        <v>2</v>
      </c>
      <c r="F121" s="7" t="n">
        <v>6.3</v>
      </c>
      <c r="H121" s="7" t="n">
        <v>5.9</v>
      </c>
      <c r="J121" s="7" t="n">
        <v>4.2</v>
      </c>
      <c r="L121" s="7" t="n">
        <v>4.6</v>
      </c>
      <c r="N121" s="7" t="n">
        <v>6.4</v>
      </c>
      <c r="P121" s="7" t="n">
        <v>5.8</v>
      </c>
      <c r="R121" s="7" t="n">
        <v>10</v>
      </c>
      <c r="T121" s="7" t="n">
        <v>3.4</v>
      </c>
      <c r="V121" s="7" t="n">
        <v>10.4</v>
      </c>
      <c r="X121" s="7" t="n">
        <v>8.6</v>
      </c>
      <c r="Z121" s="7" t="n">
        <v>5.1</v>
      </c>
      <c r="AB121" s="7" t="n">
        <v>72.7</v>
      </c>
    </row>
    <row r="122">
      <c r="A122" s="4" t="inlineStr">
        <is>
          <t>其他福利支出</t>
        </is>
      </c>
      <c r="D122" s="7" t="n">
        <v>237.9</v>
      </c>
      <c r="F122" s="7" t="n">
        <v>746.4</v>
      </c>
      <c r="H122" s="7" t="n">
        <v>610.2</v>
      </c>
      <c r="J122" s="7" t="n">
        <v>515</v>
      </c>
      <c r="L122" s="7" t="n">
        <v>391.1</v>
      </c>
      <c r="N122" s="7" t="n">
        <v>942.1</v>
      </c>
      <c r="P122" s="7" t="n">
        <v>872.6</v>
      </c>
      <c r="R122" s="7" t="n">
        <v>1280.5</v>
      </c>
      <c r="T122" s="7" t="n">
        <v>594.9</v>
      </c>
      <c r="V122" s="7" t="n">
        <v>989</v>
      </c>
      <c r="X122" s="7" t="n">
        <v>891.6</v>
      </c>
      <c r="Z122" s="7" t="n">
        <v>555.9</v>
      </c>
      <c r="AB122" s="7" t="n">
        <v>8627.200000000001</v>
      </c>
    </row>
    <row r="123">
      <c r="A123" s="4" t="inlineStr">
        <is>
          <t>招聘费</t>
        </is>
      </c>
      <c r="D123" s="7" t="n">
        <v>164.1</v>
      </c>
      <c r="F123" s="7" t="n">
        <v>302.5</v>
      </c>
      <c r="H123" s="7" t="n">
        <v>370.9</v>
      </c>
      <c r="J123" s="7" t="n">
        <v>321.6</v>
      </c>
      <c r="L123" s="7" t="n">
        <v>283.1</v>
      </c>
      <c r="N123" s="7" t="n">
        <v>390.2</v>
      </c>
      <c r="P123" s="7" t="n">
        <v>659.7</v>
      </c>
      <c r="R123" s="7" t="n">
        <v>666.3</v>
      </c>
      <c r="T123" s="7" t="n">
        <v>241.6</v>
      </c>
      <c r="V123" s="7" t="n">
        <v>784.1</v>
      </c>
      <c r="X123" s="7" t="n">
        <v>531.1</v>
      </c>
      <c r="Z123" s="7" t="n">
        <v>407.4</v>
      </c>
      <c r="AB123" s="7" t="n">
        <v>5122.6</v>
      </c>
    </row>
    <row r="124">
      <c r="A124" s="4" t="inlineStr">
        <is>
          <t>办公费</t>
        </is>
      </c>
      <c r="D124" s="7" t="n">
        <v>1491.4</v>
      </c>
      <c r="F124" s="7" t="n">
        <v>2647.9</v>
      </c>
      <c r="H124" s="7" t="n">
        <v>2328.1</v>
      </c>
      <c r="J124" s="7" t="n">
        <v>3599.4</v>
      </c>
      <c r="L124" s="7" t="n">
        <v>2987</v>
      </c>
      <c r="N124" s="7" t="n">
        <v>4316.7</v>
      </c>
      <c r="P124" s="7" t="n">
        <v>3497.3</v>
      </c>
      <c r="R124" s="7" t="n">
        <v>4746.4</v>
      </c>
      <c r="T124" s="7" t="n">
        <v>2724.6</v>
      </c>
      <c r="V124" s="7" t="n">
        <v>5991.6</v>
      </c>
      <c r="X124" s="7" t="n">
        <v>3886.4</v>
      </c>
      <c r="Z124" s="7" t="n">
        <v>2286.2</v>
      </c>
      <c r="AB124" s="7" t="n">
        <v>40503</v>
      </c>
    </row>
    <row r="125">
      <c r="A125" s="4" t="inlineStr">
        <is>
          <t>市内交通费</t>
        </is>
      </c>
      <c r="D125" s="7" t="n">
        <v>108.7</v>
      </c>
      <c r="F125" s="7" t="n">
        <v>168.3</v>
      </c>
      <c r="H125" s="7" t="n">
        <v>133.2</v>
      </c>
      <c r="J125" s="7" t="n">
        <v>226.4</v>
      </c>
      <c r="L125" s="7" t="n">
        <v>188.7</v>
      </c>
      <c r="N125" s="7" t="n">
        <v>311.6</v>
      </c>
      <c r="P125" s="7" t="n">
        <v>292.5</v>
      </c>
      <c r="R125" s="7" t="n">
        <v>348.9</v>
      </c>
      <c r="T125" s="7" t="n">
        <v>141.2</v>
      </c>
      <c r="V125" s="7" t="n">
        <v>415.9</v>
      </c>
      <c r="X125" s="7" t="n">
        <v>388.7</v>
      </c>
      <c r="Z125" s="7" t="n">
        <v>218.6</v>
      </c>
      <c r="AB125" s="7" t="n">
        <v>2942.7</v>
      </c>
    </row>
    <row r="126">
      <c r="A126" s="4" t="inlineStr">
        <is>
          <t>差旅费</t>
        </is>
      </c>
      <c r="D126" s="7" t="n">
        <v>2812.3</v>
      </c>
      <c r="F126" s="7" t="n">
        <v>5697.4</v>
      </c>
      <c r="H126" s="7" t="n">
        <v>6361.9</v>
      </c>
      <c r="J126" s="7" t="n">
        <v>6419.2</v>
      </c>
      <c r="L126" s="7" t="n">
        <v>5151.8</v>
      </c>
      <c r="N126" s="7" t="n">
        <v>6466.1</v>
      </c>
      <c r="P126" s="7" t="n">
        <v>8905.9</v>
      </c>
      <c r="R126" s="7" t="n">
        <v>10617.6</v>
      </c>
      <c r="T126" s="7" t="n">
        <v>4218.4</v>
      </c>
      <c r="V126" s="7" t="n">
        <v>8858.5</v>
      </c>
      <c r="X126" s="7" t="n">
        <v>6326.7</v>
      </c>
      <c r="Z126" s="7" t="n">
        <v>6727</v>
      </c>
      <c r="AB126" s="7" t="n">
        <v>78562.8</v>
      </c>
    </row>
    <row r="127">
      <c r="A127" s="4" t="inlineStr">
        <is>
          <t>交通费</t>
        </is>
      </c>
      <c r="D127" s="7" t="n">
        <v>158.6</v>
      </c>
      <c r="F127" s="7" t="n">
        <v>324.5</v>
      </c>
      <c r="H127" s="7" t="n">
        <v>206.1</v>
      </c>
      <c r="J127" s="7" t="n">
        <v>258.2</v>
      </c>
      <c r="L127" s="7" t="n">
        <v>200.4</v>
      </c>
      <c r="N127" s="7" t="n">
        <v>320.8</v>
      </c>
      <c r="P127" s="7" t="n">
        <v>486.2</v>
      </c>
      <c r="R127" s="7" t="n">
        <v>376.7</v>
      </c>
      <c r="T127" s="7" t="n">
        <v>201.8</v>
      </c>
      <c r="V127" s="7" t="n">
        <v>524.5</v>
      </c>
      <c r="X127" s="7" t="n">
        <v>283.3</v>
      </c>
      <c r="Z127" s="7" t="n">
        <v>191.6</v>
      </c>
      <c r="AB127" s="7" t="n">
        <v>3532.7</v>
      </c>
    </row>
    <row r="128">
      <c r="A128" s="4" t="inlineStr">
        <is>
          <t>住宿费</t>
        </is>
      </c>
      <c r="D128" s="7" t="n">
        <v>193.2</v>
      </c>
      <c r="F128" s="7" t="n">
        <v>529</v>
      </c>
      <c r="H128" s="7" t="n">
        <v>326.4</v>
      </c>
      <c r="J128" s="7" t="n">
        <v>490.3</v>
      </c>
      <c r="L128" s="7" t="n">
        <v>332</v>
      </c>
      <c r="N128" s="7" t="n">
        <v>502.9</v>
      </c>
      <c r="P128" s="7" t="n">
        <v>754</v>
      </c>
      <c r="R128" s="7" t="n">
        <v>1031</v>
      </c>
      <c r="T128" s="7" t="n">
        <v>448.3</v>
      </c>
      <c r="V128" s="7" t="n">
        <v>618.2</v>
      </c>
      <c r="X128" s="7" t="n">
        <v>780.5</v>
      </c>
      <c r="Z128" s="7" t="n">
        <v>347</v>
      </c>
      <c r="AB128" s="7" t="n">
        <v>6352.8</v>
      </c>
    </row>
    <row r="129">
      <c r="A129" s="4" t="inlineStr">
        <is>
          <t>餐补</t>
        </is>
      </c>
      <c r="D129" s="7" t="n">
        <v>125.8</v>
      </c>
      <c r="F129" s="7" t="n">
        <v>269.2</v>
      </c>
      <c r="H129" s="7" t="n">
        <v>177.8</v>
      </c>
      <c r="J129" s="7" t="n">
        <v>218.1</v>
      </c>
      <c r="L129" s="7" t="n">
        <v>183</v>
      </c>
      <c r="N129" s="7" t="n">
        <v>282.2</v>
      </c>
      <c r="P129" s="7" t="n">
        <v>350.4</v>
      </c>
      <c r="R129" s="7" t="n">
        <v>441.3</v>
      </c>
      <c r="T129" s="7" t="n">
        <v>211.9</v>
      </c>
      <c r="V129" s="7" t="n">
        <v>372.8</v>
      </c>
      <c r="X129" s="7" t="n">
        <v>465.8</v>
      </c>
      <c r="Z129" s="7" t="n">
        <v>311</v>
      </c>
      <c r="AB129" s="7" t="n">
        <v>3409.3</v>
      </c>
    </row>
    <row r="130">
      <c r="A130" s="4" t="inlineStr">
        <is>
          <t>交通补助</t>
        </is>
      </c>
      <c r="D130" s="7" t="n">
        <v>220.3</v>
      </c>
      <c r="F130" s="7" t="n">
        <v>366.2</v>
      </c>
      <c r="H130" s="7" t="n">
        <v>495.1</v>
      </c>
      <c r="J130" s="7" t="n">
        <v>541.8</v>
      </c>
      <c r="L130" s="7" t="n">
        <v>479.2</v>
      </c>
      <c r="N130" s="7" t="n">
        <v>642.3</v>
      </c>
      <c r="P130" s="7" t="n">
        <v>524</v>
      </c>
      <c r="R130" s="7" t="n">
        <v>965.7</v>
      </c>
      <c r="T130" s="7" t="n">
        <v>293.8</v>
      </c>
      <c r="V130" s="7" t="n">
        <v>945.5</v>
      </c>
      <c r="X130" s="7" t="n">
        <v>535.2</v>
      </c>
      <c r="Z130" s="7" t="n">
        <v>455.9</v>
      </c>
      <c r="AB130" s="7" t="n">
        <v>6465</v>
      </c>
    </row>
    <row r="131">
      <c r="A131" s="4" t="inlineStr">
        <is>
          <t>通讯补助</t>
        </is>
      </c>
      <c r="D131" s="7" t="n">
        <v>179.6</v>
      </c>
      <c r="F131" s="7" t="n">
        <v>325</v>
      </c>
      <c r="H131" s="7" t="n">
        <v>382.3</v>
      </c>
      <c r="J131" s="7" t="n">
        <v>439</v>
      </c>
      <c r="L131" s="7" t="n">
        <v>321.2</v>
      </c>
      <c r="N131" s="7" t="n">
        <v>442.7</v>
      </c>
      <c r="P131" s="7" t="n">
        <v>425</v>
      </c>
      <c r="R131" s="7" t="n">
        <v>548.4</v>
      </c>
      <c r="T131" s="7" t="n">
        <v>335</v>
      </c>
      <c r="V131" s="7" t="n">
        <v>555.2</v>
      </c>
      <c r="X131" s="7" t="n">
        <v>419.1</v>
      </c>
      <c r="Z131" s="7" t="n">
        <v>268.9</v>
      </c>
      <c r="AB131" s="7" t="n">
        <v>4641.4</v>
      </c>
    </row>
    <row r="132">
      <c r="A132" s="4" t="inlineStr">
        <is>
          <t>招待费</t>
        </is>
      </c>
      <c r="D132" s="7" t="n">
        <v>2125.5</v>
      </c>
      <c r="F132" s="7" t="n">
        <v>3454.6</v>
      </c>
      <c r="H132" s="7" t="n">
        <v>3831.7</v>
      </c>
      <c r="J132" s="7" t="n">
        <v>3946.8</v>
      </c>
      <c r="L132" s="7" t="n">
        <v>3177</v>
      </c>
      <c r="N132" s="7" t="n">
        <v>3844</v>
      </c>
      <c r="P132" s="7" t="n">
        <v>6628.8</v>
      </c>
      <c r="R132" s="7" t="n">
        <v>5179.1</v>
      </c>
      <c r="T132" s="7" t="n">
        <v>2567.1</v>
      </c>
      <c r="V132" s="7" t="n">
        <v>5288.4</v>
      </c>
      <c r="X132" s="7" t="n">
        <v>6844.3</v>
      </c>
      <c r="Z132" s="7" t="n">
        <v>3453.4</v>
      </c>
      <c r="AB132" s="7" t="n">
        <v>50340.7</v>
      </c>
    </row>
    <row r="133">
      <c r="A133" s="4" t="inlineStr">
        <is>
          <t>通讯费</t>
        </is>
      </c>
      <c r="D133" s="7" t="n">
        <v>176.7</v>
      </c>
      <c r="F133" s="7" t="n">
        <v>320.7</v>
      </c>
      <c r="H133" s="7" t="n">
        <v>228.7</v>
      </c>
      <c r="J133" s="7" t="n">
        <v>221.1</v>
      </c>
      <c r="L133" s="7" t="n">
        <v>260.6</v>
      </c>
      <c r="N133" s="7" t="n">
        <v>440.4</v>
      </c>
      <c r="P133" s="7" t="n">
        <v>369.8</v>
      </c>
      <c r="R133" s="7" t="n">
        <v>586</v>
      </c>
      <c r="T133" s="7" t="n">
        <v>235.9</v>
      </c>
      <c r="V133" s="7" t="n">
        <v>410.7</v>
      </c>
      <c r="X133" s="7" t="n">
        <v>377.2</v>
      </c>
      <c r="Z133" s="7" t="n">
        <v>323.7</v>
      </c>
      <c r="AB133" s="7" t="n">
        <v>3951.5</v>
      </c>
    </row>
    <row r="134">
      <c r="A134" s="4" t="inlineStr">
        <is>
          <t>网络费</t>
        </is>
      </c>
      <c r="D134" s="7" t="n">
        <v>240</v>
      </c>
      <c r="F134" s="7" t="n">
        <v>449.7</v>
      </c>
      <c r="H134" s="7" t="n">
        <v>460.8</v>
      </c>
      <c r="J134" s="7" t="n">
        <v>356.9</v>
      </c>
      <c r="L134" s="7" t="n">
        <v>363.4</v>
      </c>
      <c r="N134" s="7" t="n">
        <v>751.3</v>
      </c>
      <c r="P134" s="7" t="n">
        <v>589.1</v>
      </c>
      <c r="R134" s="7" t="n">
        <v>581.5</v>
      </c>
      <c r="T134" s="7" t="n">
        <v>437.1</v>
      </c>
      <c r="V134" s="7" t="n">
        <v>886.5</v>
      </c>
      <c r="X134" s="7" t="n">
        <v>602.8</v>
      </c>
      <c r="Z134" s="7" t="n">
        <v>458.4</v>
      </c>
      <c r="AB134" s="7" t="n">
        <v>6177.5</v>
      </c>
    </row>
    <row r="135">
      <c r="A135" s="4" t="inlineStr">
        <is>
          <t>修理费</t>
        </is>
      </c>
      <c r="D135" s="7" t="n">
        <v>336.6</v>
      </c>
      <c r="F135" s="7" t="n">
        <v>665.8</v>
      </c>
      <c r="H135" s="7" t="n">
        <v>453.6</v>
      </c>
      <c r="J135" s="7" t="n">
        <v>578.7</v>
      </c>
      <c r="L135" s="7" t="n">
        <v>436.3</v>
      </c>
      <c r="N135" s="7" t="n">
        <v>592.7</v>
      </c>
      <c r="P135" s="7" t="n">
        <v>636.9</v>
      </c>
      <c r="R135" s="7" t="n">
        <v>933.9</v>
      </c>
      <c r="T135" s="7" t="n">
        <v>356.1</v>
      </c>
      <c r="V135" s="7" t="n">
        <v>1053.1</v>
      </c>
      <c r="X135" s="7" t="n">
        <v>634.4</v>
      </c>
      <c r="Z135" s="7" t="n">
        <v>529.8</v>
      </c>
      <c r="AB135" s="7" t="n">
        <v>7207.9</v>
      </c>
    </row>
    <row r="136">
      <c r="A136" s="4" t="inlineStr">
        <is>
          <t>车辆费</t>
        </is>
      </c>
      <c r="D136" s="7" t="n">
        <v>309.8</v>
      </c>
      <c r="F136" s="7" t="n">
        <v>416.7</v>
      </c>
      <c r="H136" s="7" t="n">
        <v>416.7</v>
      </c>
      <c r="J136" s="7" t="n">
        <v>465.5</v>
      </c>
      <c r="L136" s="7" t="n">
        <v>459.3</v>
      </c>
      <c r="N136" s="7" t="n">
        <v>660.5</v>
      </c>
      <c r="P136" s="7" t="n">
        <v>1097.8</v>
      </c>
      <c r="R136" s="7" t="n">
        <v>746.3</v>
      </c>
      <c r="T136" s="7" t="n">
        <v>481.4</v>
      </c>
      <c r="V136" s="7" t="n">
        <v>744.1</v>
      </c>
      <c r="X136" s="7" t="n">
        <v>999.9</v>
      </c>
      <c r="Z136" s="7" t="n">
        <v>502.4</v>
      </c>
      <c r="AB136" s="7" t="n">
        <v>7300.4</v>
      </c>
    </row>
    <row r="137">
      <c r="A137" s="4" t="inlineStr">
        <is>
          <t>租赁费</t>
        </is>
      </c>
      <c r="D137" s="7" t="n">
        <v>2186.6</v>
      </c>
      <c r="F137" s="7" t="n">
        <v>4163</v>
      </c>
      <c r="H137" s="7" t="n">
        <v>3815.5</v>
      </c>
      <c r="J137" s="7" t="n">
        <v>5539.6</v>
      </c>
      <c r="L137" s="7" t="n">
        <v>4105</v>
      </c>
      <c r="N137" s="7" t="n">
        <v>6927.3</v>
      </c>
      <c r="P137" s="7" t="n">
        <v>9192.700000000001</v>
      </c>
      <c r="R137" s="7" t="n">
        <v>6260.5</v>
      </c>
      <c r="T137" s="7" t="n">
        <v>4364.2</v>
      </c>
      <c r="V137" s="7" t="n">
        <v>7025.6</v>
      </c>
      <c r="X137" s="7" t="n">
        <v>6654.4</v>
      </c>
      <c r="Z137" s="7" t="n">
        <v>3282.3</v>
      </c>
      <c r="AB137" s="7" t="n">
        <v>63516.7</v>
      </c>
    </row>
    <row r="138">
      <c r="A138" s="4" t="inlineStr">
        <is>
          <t>能源费</t>
        </is>
      </c>
      <c r="D138" s="7" t="n">
        <v>129.5</v>
      </c>
      <c r="F138" s="7" t="n">
        <v>194.9</v>
      </c>
      <c r="H138" s="7" t="n">
        <v>209.8</v>
      </c>
      <c r="J138" s="7" t="n">
        <v>235.4</v>
      </c>
      <c r="L138" s="7" t="n">
        <v>134.5</v>
      </c>
      <c r="N138" s="7" t="n">
        <v>284.3</v>
      </c>
      <c r="P138" s="7" t="n">
        <v>379.5</v>
      </c>
      <c r="R138" s="7" t="n">
        <v>399.4</v>
      </c>
      <c r="T138" s="7" t="n">
        <v>142.4</v>
      </c>
      <c r="V138" s="7" t="n">
        <v>378.2</v>
      </c>
      <c r="X138" s="7" t="n">
        <v>279.6</v>
      </c>
      <c r="Z138" s="7" t="n">
        <v>195.2</v>
      </c>
      <c r="AB138" s="7" t="n">
        <v>2962.7</v>
      </c>
    </row>
    <row r="139">
      <c r="A139" s="4" t="inlineStr">
        <is>
          <t>水费</t>
        </is>
      </c>
      <c r="D139" s="7" t="n">
        <v>1.5</v>
      </c>
      <c r="F139" s="7" t="n">
        <v>2.9</v>
      </c>
      <c r="H139" s="7" t="n">
        <v>2.8</v>
      </c>
      <c r="J139" s="7" t="n">
        <v>2.1</v>
      </c>
      <c r="L139" s="7" t="n">
        <v>1.5</v>
      </c>
      <c r="N139" s="7" t="n">
        <v>3.9</v>
      </c>
      <c r="P139" s="7" t="n">
        <v>3.5</v>
      </c>
      <c r="R139" s="7" t="n">
        <v>4.7</v>
      </c>
      <c r="T139" s="7" t="n">
        <v>2.3</v>
      </c>
      <c r="V139" s="7" t="n">
        <v>4.8</v>
      </c>
      <c r="X139" s="7" t="n">
        <v>3.7</v>
      </c>
      <c r="Z139" s="7" t="n">
        <v>2.1</v>
      </c>
      <c r="AB139" s="7" t="n">
        <v>35.8</v>
      </c>
    </row>
    <row r="140">
      <c r="A140" s="4" t="inlineStr">
        <is>
          <t>电费</t>
        </is>
      </c>
      <c r="D140" s="7" t="n">
        <v>90.3</v>
      </c>
      <c r="F140" s="7" t="n">
        <v>136.6</v>
      </c>
      <c r="H140" s="7" t="n">
        <v>141.3</v>
      </c>
      <c r="J140" s="7" t="n">
        <v>162.1</v>
      </c>
      <c r="L140" s="7" t="n">
        <v>79.7</v>
      </c>
      <c r="N140" s="7" t="n">
        <v>183.5</v>
      </c>
      <c r="P140" s="7" t="n">
        <v>268.2</v>
      </c>
      <c r="R140" s="7" t="n">
        <v>289.2</v>
      </c>
      <c r="T140" s="7" t="n">
        <v>81.2</v>
      </c>
      <c r="V140" s="7" t="n">
        <v>264.5</v>
      </c>
      <c r="X140" s="7" t="n">
        <v>149.9</v>
      </c>
      <c r="Z140" s="7" t="n">
        <v>129.6</v>
      </c>
      <c r="AB140" s="7" t="n">
        <v>1976.1</v>
      </c>
    </row>
    <row r="141">
      <c r="A141" s="4" t="inlineStr">
        <is>
          <t>燃气费</t>
        </is>
      </c>
      <c r="D141" s="7" t="n">
        <v>15.9</v>
      </c>
      <c r="F141" s="7" t="n">
        <v>24.9</v>
      </c>
      <c r="H141" s="7" t="n">
        <v>31.9</v>
      </c>
      <c r="J141" s="7" t="n">
        <v>27.8</v>
      </c>
      <c r="L141" s="7" t="n">
        <v>26.6</v>
      </c>
      <c r="N141" s="7" t="n">
        <v>41.4</v>
      </c>
      <c r="P141" s="7" t="n">
        <v>55.2</v>
      </c>
      <c r="R141" s="7" t="n">
        <v>45.8</v>
      </c>
      <c r="T141" s="7" t="n">
        <v>32.4</v>
      </c>
      <c r="V141" s="7" t="n">
        <v>58.2</v>
      </c>
      <c r="X141" s="7" t="n">
        <v>60.1</v>
      </c>
      <c r="Z141" s="7" t="n">
        <v>26.4</v>
      </c>
      <c r="AB141" s="7" t="n">
        <v>446.6</v>
      </c>
    </row>
    <row r="142">
      <c r="A142" s="4" t="inlineStr">
        <is>
          <t>蒸汽费</t>
        </is>
      </c>
      <c r="D142" s="7" t="n">
        <v>21.8</v>
      </c>
      <c r="F142" s="7" t="n">
        <v>30.5</v>
      </c>
      <c r="H142" s="7" t="n">
        <v>33.8</v>
      </c>
      <c r="J142" s="7" t="n">
        <v>43.4</v>
      </c>
      <c r="L142" s="7" t="n">
        <v>26.7</v>
      </c>
      <c r="N142" s="7" t="n">
        <v>55.5</v>
      </c>
      <c r="P142" s="7" t="n">
        <v>52.6</v>
      </c>
      <c r="R142" s="7" t="n">
        <v>59.7</v>
      </c>
      <c r="T142" s="7" t="n">
        <v>26.5</v>
      </c>
      <c r="V142" s="7" t="n">
        <v>50.7</v>
      </c>
      <c r="X142" s="7" t="n">
        <v>65.90000000000001</v>
      </c>
      <c r="Z142" s="7" t="n">
        <v>37.1</v>
      </c>
      <c r="AB142" s="7" t="n">
        <v>504.2</v>
      </c>
    </row>
    <row r="143">
      <c r="A143" s="4" t="inlineStr">
        <is>
          <t>物业费</t>
        </is>
      </c>
      <c r="D143" s="7" t="n">
        <v>112</v>
      </c>
      <c r="F143" s="7" t="n">
        <v>341.8</v>
      </c>
      <c r="H143" s="7" t="n">
        <v>207.4</v>
      </c>
      <c r="J143" s="7" t="n">
        <v>268.6</v>
      </c>
      <c r="L143" s="7" t="n">
        <v>257.5</v>
      </c>
      <c r="N143" s="7" t="n">
        <v>422</v>
      </c>
      <c r="P143" s="7" t="n">
        <v>383.8</v>
      </c>
      <c r="R143" s="7" t="n">
        <v>604.2</v>
      </c>
      <c r="T143" s="7" t="n">
        <v>264.2</v>
      </c>
      <c r="V143" s="7" t="n">
        <v>415</v>
      </c>
      <c r="X143" s="7" t="n">
        <v>534.8</v>
      </c>
      <c r="Z143" s="7" t="n">
        <v>211.3</v>
      </c>
      <c r="AB143" s="7" t="n">
        <v>4022.6</v>
      </c>
    </row>
    <row r="144">
      <c r="A144" s="4" t="inlineStr">
        <is>
          <t>劳动保护费</t>
        </is>
      </c>
      <c r="D144" s="7" t="n">
        <v>100.1</v>
      </c>
      <c r="F144" s="7" t="n">
        <v>283.6</v>
      </c>
      <c r="H144" s="7" t="n">
        <v>201.8</v>
      </c>
      <c r="J144" s="7" t="n">
        <v>288.4</v>
      </c>
      <c r="L144" s="7" t="n">
        <v>226.7</v>
      </c>
      <c r="N144" s="7" t="n">
        <v>304</v>
      </c>
      <c r="P144" s="7" t="n">
        <v>407.7</v>
      </c>
      <c r="R144" s="7" t="n">
        <v>397.9</v>
      </c>
      <c r="T144" s="7" t="n">
        <v>224.6</v>
      </c>
      <c r="V144" s="7" t="n">
        <v>490.3</v>
      </c>
      <c r="X144" s="7" t="n">
        <v>445.7</v>
      </c>
      <c r="Z144" s="7" t="n">
        <v>271.3</v>
      </c>
      <c r="AB144" s="7" t="n">
        <v>3642.1</v>
      </c>
    </row>
    <row r="145">
      <c r="A145" s="4" t="inlineStr">
        <is>
          <t>顾问费</t>
        </is>
      </c>
      <c r="D145" s="7" t="n">
        <v>308.8</v>
      </c>
      <c r="F145" s="7" t="n">
        <v>666.9</v>
      </c>
      <c r="H145" s="7" t="n">
        <v>506</v>
      </c>
      <c r="J145" s="7" t="n">
        <v>415</v>
      </c>
      <c r="L145" s="7" t="n">
        <v>450</v>
      </c>
      <c r="N145" s="7" t="n">
        <v>843.3</v>
      </c>
      <c r="P145" s="7" t="n">
        <v>783.8</v>
      </c>
      <c r="R145" s="7" t="n">
        <v>1028.3</v>
      </c>
      <c r="T145" s="7" t="n">
        <v>466.3</v>
      </c>
      <c r="V145" s="7" t="n">
        <v>764.3</v>
      </c>
      <c r="X145" s="7" t="n">
        <v>728.2</v>
      </c>
      <c r="Z145" s="7" t="n">
        <v>586.9</v>
      </c>
      <c r="AB145" s="7" t="n">
        <v>7547.8</v>
      </c>
    </row>
    <row r="146">
      <c r="A146" s="4" t="inlineStr">
        <is>
          <t>快递费</t>
        </is>
      </c>
      <c r="D146" s="7" t="n">
        <v>230.8</v>
      </c>
      <c r="F146" s="7" t="n">
        <v>324.9</v>
      </c>
      <c r="H146" s="7" t="n">
        <v>406.4</v>
      </c>
      <c r="J146" s="7" t="n">
        <v>461.3</v>
      </c>
      <c r="L146" s="7" t="n">
        <v>291</v>
      </c>
      <c r="N146" s="7" t="n">
        <v>443.5</v>
      </c>
      <c r="P146" s="7" t="n">
        <v>454.7</v>
      </c>
      <c r="R146" s="7" t="n">
        <v>579.3</v>
      </c>
      <c r="T146" s="7" t="n">
        <v>326.5</v>
      </c>
      <c r="V146" s="7" t="n">
        <v>756.6</v>
      </c>
      <c r="X146" s="7" t="n">
        <v>444.2</v>
      </c>
      <c r="Z146" s="7" t="n">
        <v>260.5</v>
      </c>
      <c r="AB146" s="7" t="n">
        <v>4979.7</v>
      </c>
    </row>
    <row r="147">
      <c r="A147" s="4" t="inlineStr">
        <is>
          <t>诉讼费</t>
        </is>
      </c>
      <c r="D147" s="7" t="n">
        <v>247.3</v>
      </c>
      <c r="F147" s="7" t="n">
        <v>597.8</v>
      </c>
      <c r="H147" s="7" t="n">
        <v>417.8</v>
      </c>
      <c r="J147" s="7" t="n">
        <v>519.5</v>
      </c>
      <c r="L147" s="7" t="n">
        <v>399.1</v>
      </c>
      <c r="N147" s="7" t="n">
        <v>801.4</v>
      </c>
      <c r="P147" s="7" t="n">
        <v>630.4</v>
      </c>
      <c r="R147" s="7" t="n">
        <v>730.1</v>
      </c>
      <c r="T147" s="7" t="n">
        <v>469.5</v>
      </c>
      <c r="V147" s="7" t="n">
        <v>616.4</v>
      </c>
      <c r="X147" s="7" t="n">
        <v>498.6</v>
      </c>
      <c r="Z147" s="7" t="n">
        <v>461.6</v>
      </c>
      <c r="AB147" s="7" t="n">
        <v>6389.5</v>
      </c>
    </row>
    <row r="148">
      <c r="A148" s="4" t="inlineStr">
        <is>
          <t>会员费</t>
        </is>
      </c>
      <c r="D148" s="7" t="n">
        <v>58</v>
      </c>
      <c r="F148" s="7" t="n">
        <v>137.8</v>
      </c>
      <c r="H148" s="7" t="n">
        <v>134.4</v>
      </c>
      <c r="J148" s="7" t="n">
        <v>148.2</v>
      </c>
      <c r="L148" s="7" t="n">
        <v>72.3</v>
      </c>
      <c r="N148" s="7" t="n">
        <v>133.2</v>
      </c>
      <c r="P148" s="7" t="n">
        <v>188.1</v>
      </c>
      <c r="R148" s="7" t="n">
        <v>216.3</v>
      </c>
      <c r="T148" s="7" t="n">
        <v>118.2</v>
      </c>
      <c r="V148" s="7" t="n">
        <v>236.3</v>
      </c>
      <c r="X148" s="7" t="n">
        <v>157</v>
      </c>
      <c r="Z148" s="7" t="n">
        <v>125.2</v>
      </c>
      <c r="AB148" s="7" t="n">
        <v>1725</v>
      </c>
    </row>
    <row r="149">
      <c r="A149" s="4" t="inlineStr">
        <is>
          <t>广告宣传费</t>
        </is>
      </c>
      <c r="D149" s="7" t="n">
        <v>1883.3</v>
      </c>
      <c r="F149" s="7" t="n">
        <v>2405.8</v>
      </c>
      <c r="H149" s="7" t="n">
        <v>2446.9</v>
      </c>
      <c r="J149" s="7" t="n">
        <v>2962.1</v>
      </c>
      <c r="L149" s="7" t="n">
        <v>2323.1</v>
      </c>
      <c r="N149" s="7" t="n">
        <v>4073.9</v>
      </c>
      <c r="P149" s="7" t="n">
        <v>5402.4</v>
      </c>
      <c r="R149" s="7" t="n">
        <v>6201.1</v>
      </c>
      <c r="T149" s="7" t="n">
        <v>2410.2</v>
      </c>
      <c r="V149" s="7" t="n">
        <v>5840.7</v>
      </c>
      <c r="X149" s="7" t="n">
        <v>3476.5</v>
      </c>
      <c r="Z149" s="7" t="n">
        <v>2545.9</v>
      </c>
      <c r="AB149" s="7" t="n">
        <v>41971.9</v>
      </c>
    </row>
    <row r="150">
      <c r="A150" s="4" t="inlineStr">
        <is>
          <t>会务费</t>
        </is>
      </c>
      <c r="D150" s="7" t="n">
        <v>229.3</v>
      </c>
      <c r="F150" s="7" t="n">
        <v>311.7</v>
      </c>
      <c r="H150" s="7" t="n">
        <v>400.9</v>
      </c>
      <c r="J150" s="7" t="n">
        <v>547.1</v>
      </c>
      <c r="L150" s="7" t="n">
        <v>284.7</v>
      </c>
      <c r="N150" s="7" t="n">
        <v>536.7</v>
      </c>
      <c r="P150" s="7" t="n">
        <v>458.5</v>
      </c>
      <c r="R150" s="7" t="n">
        <v>837</v>
      </c>
      <c r="T150" s="7" t="n">
        <v>431</v>
      </c>
      <c r="V150" s="7" t="n">
        <v>540.4</v>
      </c>
      <c r="X150" s="7" t="n">
        <v>712.8</v>
      </c>
      <c r="Z150" s="7" t="n">
        <v>385.5</v>
      </c>
      <c r="AB150" s="7" t="n">
        <v>5675.6</v>
      </c>
    </row>
    <row r="151">
      <c r="A151" s="4" t="inlineStr">
        <is>
          <t>装修费</t>
        </is>
      </c>
      <c r="D151" s="7" t="n">
        <v>107</v>
      </c>
      <c r="F151" s="7" t="n">
        <v>280.5</v>
      </c>
      <c r="H151" s="7" t="n">
        <v>220.4</v>
      </c>
      <c r="J151" s="7" t="n">
        <v>250.7</v>
      </c>
      <c r="L151" s="7" t="n">
        <v>229.1</v>
      </c>
      <c r="N151" s="7" t="n">
        <v>285.7</v>
      </c>
      <c r="P151" s="7" t="n">
        <v>258.5</v>
      </c>
      <c r="R151" s="7" t="n">
        <v>477.1</v>
      </c>
      <c r="T151" s="7" t="n">
        <v>193.7</v>
      </c>
      <c r="V151" s="7" t="n">
        <v>421.9</v>
      </c>
      <c r="X151" s="7" t="n">
        <v>388.6</v>
      </c>
      <c r="Z151" s="7" t="n">
        <v>220.9</v>
      </c>
      <c r="AB151" s="7" t="n">
        <v>3334.1</v>
      </c>
    </row>
    <row r="152">
      <c r="A152" s="4" t="inlineStr">
        <is>
          <t>推广费</t>
        </is>
      </c>
      <c r="D152" s="7" t="n">
        <v>212.8</v>
      </c>
      <c r="F152" s="7" t="n">
        <v>582</v>
      </c>
      <c r="H152" s="7" t="n">
        <v>383.6</v>
      </c>
      <c r="J152" s="7" t="n">
        <v>370.9</v>
      </c>
      <c r="L152" s="7" t="n">
        <v>432.9</v>
      </c>
      <c r="N152" s="7" t="n">
        <v>892</v>
      </c>
      <c r="P152" s="7" t="n">
        <v>617.1</v>
      </c>
      <c r="R152" s="7" t="n">
        <v>868.9</v>
      </c>
      <c r="T152" s="7" t="n">
        <v>318.8</v>
      </c>
      <c r="V152" s="7" t="n">
        <v>983.1</v>
      </c>
      <c r="X152" s="7" t="n">
        <v>573</v>
      </c>
      <c r="Z152" s="7" t="n">
        <v>561.3</v>
      </c>
      <c r="AB152" s="7" t="n">
        <v>6796.4</v>
      </c>
    </row>
    <row r="153">
      <c r="A153" s="4" t="inlineStr">
        <is>
          <t>展会费</t>
        </is>
      </c>
      <c r="D153" s="7" t="n">
        <v>127.1</v>
      </c>
      <c r="F153" s="7" t="n">
        <v>214.6</v>
      </c>
      <c r="H153" s="7" t="n">
        <v>180.5</v>
      </c>
      <c r="J153" s="7" t="n">
        <v>247.1</v>
      </c>
      <c r="L153" s="7" t="n">
        <v>262.2</v>
      </c>
      <c r="N153" s="7" t="n">
        <v>425.4</v>
      </c>
      <c r="P153" s="7" t="n">
        <v>452.8</v>
      </c>
      <c r="R153" s="7" t="n">
        <v>458.3</v>
      </c>
      <c r="T153" s="7" t="n">
        <v>187.5</v>
      </c>
      <c r="V153" s="7" t="n">
        <v>427.5</v>
      </c>
      <c r="X153" s="7" t="n">
        <v>512.3</v>
      </c>
      <c r="Z153" s="7" t="n">
        <v>303.5</v>
      </c>
      <c r="AB153" s="7" t="n">
        <v>3798.8</v>
      </c>
    </row>
    <row r="154">
      <c r="A154" s="4" t="inlineStr">
        <is>
          <t>设计费</t>
        </is>
      </c>
      <c r="D154" s="7" t="n">
        <v>121.5</v>
      </c>
      <c r="F154" s="7" t="n">
        <v>194.7</v>
      </c>
      <c r="H154" s="7" t="n">
        <v>183</v>
      </c>
      <c r="J154" s="7" t="n">
        <v>162.5</v>
      </c>
      <c r="L154" s="7" t="n">
        <v>209</v>
      </c>
      <c r="N154" s="7" t="n">
        <v>246.1</v>
      </c>
      <c r="P154" s="7" t="n">
        <v>302.1</v>
      </c>
      <c r="R154" s="7" t="n">
        <v>264</v>
      </c>
      <c r="T154" s="7" t="n">
        <v>122.3</v>
      </c>
      <c r="V154" s="7" t="n">
        <v>335.3</v>
      </c>
      <c r="X154" s="7" t="n">
        <v>284.5</v>
      </c>
      <c r="Z154" s="7" t="n">
        <v>216.8</v>
      </c>
      <c r="AB154" s="7" t="n">
        <v>2641.8</v>
      </c>
    </row>
    <row r="155">
      <c r="A155" s="4" t="inlineStr">
        <is>
          <t>折旧费</t>
        </is>
      </c>
      <c r="D155" s="7" t="n">
        <v>1895</v>
      </c>
      <c r="F155" s="7" t="n">
        <v>4099.7</v>
      </c>
      <c r="H155" s="7" t="n">
        <v>2710.1</v>
      </c>
      <c r="J155" s="7" t="n">
        <v>4488.6</v>
      </c>
      <c r="L155" s="7" t="n">
        <v>2825.6</v>
      </c>
      <c r="N155" s="7" t="n">
        <v>5179.7</v>
      </c>
      <c r="P155" s="7" t="n">
        <v>5435</v>
      </c>
      <c r="R155" s="7" t="n">
        <v>6354.5</v>
      </c>
      <c r="T155" s="7" t="n">
        <v>2506.7</v>
      </c>
      <c r="V155" s="7" t="n">
        <v>7722.9</v>
      </c>
      <c r="X155" s="7" t="n">
        <v>7257.5</v>
      </c>
      <c r="Z155" s="7" t="n">
        <v>2995.2</v>
      </c>
      <c r="AB155" s="7" t="n">
        <v>53470.5</v>
      </c>
    </row>
    <row r="156">
      <c r="A156" s="4" t="inlineStr">
        <is>
          <t>认证费</t>
        </is>
      </c>
      <c r="D156" s="7" t="n">
        <v>265.4</v>
      </c>
      <c r="F156" s="7" t="n">
        <v>499.5</v>
      </c>
      <c r="H156" s="7" t="n">
        <v>385</v>
      </c>
      <c r="J156" s="7" t="n">
        <v>401.3</v>
      </c>
      <c r="L156" s="7" t="n">
        <v>471.4</v>
      </c>
      <c r="N156" s="7" t="n">
        <v>565.7</v>
      </c>
      <c r="P156" s="7" t="n">
        <v>765.5</v>
      </c>
      <c r="R156" s="7" t="n">
        <v>1117.5</v>
      </c>
      <c r="T156" s="7" t="n">
        <v>518.6</v>
      </c>
      <c r="V156" s="7" t="n">
        <v>560.5</v>
      </c>
      <c r="X156" s="7" t="n">
        <v>877.1</v>
      </c>
      <c r="Z156" s="7" t="n">
        <v>530.7</v>
      </c>
      <c r="AB156" s="7" t="n">
        <v>6958.2</v>
      </c>
    </row>
    <row r="157">
      <c r="A157" s="4" t="inlineStr">
        <is>
          <t>样品费</t>
        </is>
      </c>
      <c r="D157" s="7" t="n">
        <v>1190.5</v>
      </c>
      <c r="F157" s="7" t="n">
        <v>2455.9</v>
      </c>
      <c r="H157" s="7" t="n">
        <v>1978</v>
      </c>
      <c r="J157" s="7" t="n">
        <v>1964.5</v>
      </c>
      <c r="L157" s="7" t="n">
        <v>1969.9</v>
      </c>
      <c r="N157" s="7" t="n">
        <v>2579.2</v>
      </c>
      <c r="P157" s="7" t="n">
        <v>2167.9</v>
      </c>
      <c r="R157" s="7" t="n">
        <v>3810</v>
      </c>
      <c r="T157" s="7" t="n">
        <v>1875.9</v>
      </c>
      <c r="V157" s="7" t="n">
        <v>2690.9</v>
      </c>
      <c r="X157" s="7" t="n">
        <v>3726.7</v>
      </c>
      <c r="Z157" s="7" t="n">
        <v>1762.8</v>
      </c>
      <c r="AB157" s="7" t="n">
        <v>28172.2</v>
      </c>
    </row>
    <row r="158">
      <c r="A158" s="4" t="inlineStr">
        <is>
          <t>劳务费</t>
        </is>
      </c>
      <c r="D158" s="7" t="n">
        <v>108.2</v>
      </c>
      <c r="F158" s="7" t="n">
        <v>319.7</v>
      </c>
      <c r="H158" s="7" t="n">
        <v>210.8</v>
      </c>
      <c r="J158" s="7" t="n">
        <v>198.8</v>
      </c>
      <c r="L158" s="7" t="n">
        <v>222.2</v>
      </c>
      <c r="N158" s="7" t="n">
        <v>375.7</v>
      </c>
      <c r="P158" s="7" t="n">
        <v>288.6</v>
      </c>
      <c r="R158" s="7" t="n">
        <v>509.8</v>
      </c>
      <c r="T158" s="7" t="n">
        <v>260.9</v>
      </c>
      <c r="V158" s="7" t="n">
        <v>483.9</v>
      </c>
      <c r="X158" s="7" t="n">
        <v>332.7</v>
      </c>
      <c r="Z158" s="7" t="n">
        <v>259.6</v>
      </c>
      <c r="AB158" s="7" t="n">
        <v>3570.9</v>
      </c>
    </row>
    <row r="159">
      <c r="A159" s="4" t="inlineStr">
        <is>
          <t>销售佣金</t>
        </is>
      </c>
      <c r="D159" s="7" t="n">
        <v>4.6</v>
      </c>
      <c r="F159" s="7" t="n">
        <v>8.699999999999999</v>
      </c>
      <c r="H159" s="7" t="n">
        <v>8.199999999999999</v>
      </c>
      <c r="J159" s="7" t="n">
        <v>7.9</v>
      </c>
      <c r="L159" s="7" t="n">
        <v>6.1</v>
      </c>
      <c r="N159" s="7" t="n">
        <v>13.1</v>
      </c>
      <c r="P159" s="7" t="n">
        <v>14.1</v>
      </c>
      <c r="R159" s="7" t="n">
        <v>14.7</v>
      </c>
      <c r="T159" s="7" t="n">
        <v>6.2</v>
      </c>
      <c r="V159" s="7" t="n">
        <v>15</v>
      </c>
      <c r="X159" s="7" t="n">
        <v>10.7</v>
      </c>
      <c r="Z159" s="7" t="n">
        <v>5.5</v>
      </c>
      <c r="AB159" s="7" t="n">
        <v>114.8</v>
      </c>
    </row>
    <row r="160">
      <c r="A160" s="4" t="inlineStr">
        <is>
          <t>检测费</t>
        </is>
      </c>
      <c r="D160" s="7" t="n">
        <v>72.7</v>
      </c>
      <c r="F160" s="7" t="n">
        <v>165.5</v>
      </c>
      <c r="H160" s="7" t="n">
        <v>132</v>
      </c>
      <c r="J160" s="7" t="n">
        <v>126.1</v>
      </c>
      <c r="L160" s="7" t="n">
        <v>121.2</v>
      </c>
      <c r="N160" s="7" t="n">
        <v>174.4</v>
      </c>
      <c r="P160" s="7" t="n">
        <v>216.1</v>
      </c>
      <c r="R160" s="7" t="n">
        <v>360.3</v>
      </c>
      <c r="T160" s="7" t="n">
        <v>129.1</v>
      </c>
      <c r="V160" s="7" t="n">
        <v>307.1</v>
      </c>
      <c r="X160" s="7" t="n">
        <v>231.1</v>
      </c>
      <c r="Z160" s="7" t="n">
        <v>155</v>
      </c>
      <c r="AB160" s="7" t="n">
        <v>2190.6</v>
      </c>
    </row>
    <row r="161">
      <c r="A161" s="4" t="inlineStr">
        <is>
          <t>质量赔偿</t>
        </is>
      </c>
      <c r="D161" s="7" t="n">
        <v>336.1</v>
      </c>
      <c r="F161" s="7" t="n">
        <v>648.4</v>
      </c>
      <c r="H161" s="7" t="n">
        <v>607.3</v>
      </c>
      <c r="J161" s="7" t="n">
        <v>543.6</v>
      </c>
      <c r="L161" s="7" t="n">
        <v>423.9</v>
      </c>
      <c r="N161" s="7" t="n">
        <v>626.2</v>
      </c>
      <c r="P161" s="7" t="n">
        <v>867.1</v>
      </c>
      <c r="R161" s="7" t="n">
        <v>1370.4</v>
      </c>
      <c r="T161" s="7" t="n">
        <v>590.1</v>
      </c>
      <c r="V161" s="7" t="n">
        <v>733.2</v>
      </c>
      <c r="X161" s="7" t="n">
        <v>1052.8</v>
      </c>
      <c r="Z161" s="7" t="n">
        <v>541.3</v>
      </c>
      <c r="AB161" s="7" t="n">
        <v>8340.4</v>
      </c>
    </row>
    <row r="162">
      <c r="A162" s="4" t="inlineStr">
        <is>
          <t>保险费</t>
        </is>
      </c>
      <c r="D162" s="7" t="n">
        <v>59.1</v>
      </c>
      <c r="F162" s="7" t="n">
        <v>95.90000000000001</v>
      </c>
      <c r="H162" s="7" t="n">
        <v>104.8</v>
      </c>
      <c r="J162" s="7" t="n">
        <v>132.5</v>
      </c>
      <c r="L162" s="7" t="n">
        <v>62</v>
      </c>
      <c r="N162" s="7" t="n">
        <v>126.7</v>
      </c>
      <c r="P162" s="7" t="n">
        <v>124.2</v>
      </c>
      <c r="R162" s="7" t="n">
        <v>244.6</v>
      </c>
      <c r="T162" s="7" t="n">
        <v>92.7</v>
      </c>
      <c r="V162" s="7" t="n">
        <v>200.1</v>
      </c>
      <c r="X162" s="7" t="n">
        <v>148.2</v>
      </c>
      <c r="Z162" s="7" t="n">
        <v>84</v>
      </c>
      <c r="AB162" s="7" t="n">
        <v>1474.8</v>
      </c>
    </row>
    <row r="163">
      <c r="A163" s="4" t="inlineStr">
        <is>
          <t>清洁费</t>
        </is>
      </c>
      <c r="D163" s="7" t="n">
        <v>195.7</v>
      </c>
      <c r="F163" s="7" t="n">
        <v>452.4</v>
      </c>
      <c r="H163" s="7" t="n">
        <v>425.5</v>
      </c>
      <c r="J163" s="7" t="n">
        <v>404.2</v>
      </c>
      <c r="L163" s="7" t="n">
        <v>323</v>
      </c>
      <c r="N163" s="7" t="n">
        <v>863.4</v>
      </c>
      <c r="P163" s="7" t="n">
        <v>903.8</v>
      </c>
      <c r="R163" s="7" t="n">
        <v>962.5</v>
      </c>
      <c r="T163" s="7" t="n">
        <v>445</v>
      </c>
      <c r="V163" s="7" t="n">
        <v>842.1</v>
      </c>
      <c r="X163" s="7" t="n">
        <v>876.9</v>
      </c>
      <c r="Z163" s="7" t="n">
        <v>614.7</v>
      </c>
      <c r="AB163" s="7" t="n">
        <v>7309.2</v>
      </c>
    </row>
    <row r="164">
      <c r="A164" s="4" t="inlineStr">
        <is>
          <t>低值易耗品</t>
        </is>
      </c>
      <c r="D164" s="7" t="n">
        <v>32.9</v>
      </c>
      <c r="F164" s="7" t="n">
        <v>75.59999999999999</v>
      </c>
      <c r="H164" s="7" t="n">
        <v>61.9</v>
      </c>
      <c r="J164" s="7" t="n">
        <v>64.8</v>
      </c>
      <c r="L164" s="7" t="n">
        <v>71.7</v>
      </c>
      <c r="N164" s="7" t="n">
        <v>103.1</v>
      </c>
      <c r="P164" s="7" t="n">
        <v>88.40000000000001</v>
      </c>
      <c r="R164" s="7" t="n">
        <v>92.90000000000001</v>
      </c>
      <c r="T164" s="7" t="n">
        <v>59.7</v>
      </c>
      <c r="V164" s="7" t="n">
        <v>132.2</v>
      </c>
      <c r="X164" s="7" t="n">
        <v>133.8</v>
      </c>
      <c r="Z164" s="7" t="n">
        <v>58.2</v>
      </c>
      <c r="AB164" s="7" t="n">
        <v>975.2</v>
      </c>
    </row>
    <row r="165">
      <c r="A165" s="4" t="inlineStr">
        <is>
          <t>物料消耗</t>
        </is>
      </c>
      <c r="D165" s="7" t="n">
        <v>257.1</v>
      </c>
      <c r="F165" s="7" t="n">
        <v>473.1</v>
      </c>
      <c r="H165" s="7" t="n">
        <v>432.6</v>
      </c>
      <c r="J165" s="7" t="n">
        <v>368.2</v>
      </c>
      <c r="L165" s="7" t="n">
        <v>338.7</v>
      </c>
      <c r="N165" s="7" t="n">
        <v>456.6</v>
      </c>
      <c r="P165" s="7" t="n">
        <v>682</v>
      </c>
      <c r="R165" s="7" t="n">
        <v>621</v>
      </c>
      <c r="T165" s="7" t="n">
        <v>426.7</v>
      </c>
      <c r="V165" s="7" t="n">
        <v>629.6</v>
      </c>
      <c r="X165" s="7" t="n">
        <v>716.2</v>
      </c>
      <c r="Z165" s="7" t="n">
        <v>337.1</v>
      </c>
      <c r="AB165" s="7" t="n">
        <v>5738.9</v>
      </c>
    </row>
    <row r="166">
      <c r="A166" s="4" t="inlineStr">
        <is>
          <t>盘盈盘亏</t>
        </is>
      </c>
      <c r="D166" s="7" t="n">
        <v>202.9</v>
      </c>
      <c r="F166" s="7" t="n">
        <v>417.8</v>
      </c>
      <c r="H166" s="7" t="n">
        <v>249.9</v>
      </c>
      <c r="J166" s="7" t="n">
        <v>346.2</v>
      </c>
      <c r="L166" s="7" t="n">
        <v>274.7</v>
      </c>
      <c r="N166" s="7" t="n">
        <v>617.1</v>
      </c>
      <c r="P166" s="7" t="n">
        <v>442.8</v>
      </c>
      <c r="R166" s="7" t="n">
        <v>772.4</v>
      </c>
      <c r="T166" s="7" t="n">
        <v>274.9</v>
      </c>
      <c r="V166" s="7" t="n">
        <v>629.8</v>
      </c>
      <c r="X166" s="7" t="n">
        <v>499</v>
      </c>
      <c r="Z166" s="7" t="n">
        <v>254.6</v>
      </c>
      <c r="AB166" s="7" t="n">
        <v>4982.1</v>
      </c>
    </row>
    <row r="167">
      <c r="A167" s="4" t="inlineStr">
        <is>
          <t>平台服务费</t>
        </is>
      </c>
      <c r="D167" s="7" t="n">
        <v>211.5</v>
      </c>
      <c r="F167" s="7" t="n">
        <v>422.8</v>
      </c>
      <c r="H167" s="7" t="n">
        <v>373</v>
      </c>
      <c r="J167" s="7" t="n">
        <v>361.2</v>
      </c>
      <c r="L167" s="7" t="n">
        <v>385.5</v>
      </c>
      <c r="N167" s="7" t="n">
        <v>537.7</v>
      </c>
      <c r="P167" s="7" t="n">
        <v>713.1</v>
      </c>
      <c r="R167" s="7" t="n">
        <v>796.1</v>
      </c>
      <c r="T167" s="7" t="n">
        <v>300.4</v>
      </c>
      <c r="V167" s="7" t="n">
        <v>605.4</v>
      </c>
      <c r="X167" s="7" t="n">
        <v>506.1</v>
      </c>
      <c r="Z167" s="7" t="n">
        <v>266.8</v>
      </c>
      <c r="AB167" s="7" t="n">
        <v>5479.6</v>
      </c>
    </row>
    <row r="168">
      <c r="A168" s="4" t="inlineStr">
        <is>
          <t>无形资产摊销</t>
        </is>
      </c>
      <c r="D168" s="7" t="n">
        <v>114.5</v>
      </c>
      <c r="F168" s="7" t="n">
        <v>227.5</v>
      </c>
      <c r="H168" s="7" t="n">
        <v>192.9</v>
      </c>
      <c r="J168" s="7" t="n">
        <v>271.5</v>
      </c>
      <c r="L168" s="7" t="n">
        <v>204.1</v>
      </c>
      <c r="N168" s="7" t="n">
        <v>243.8</v>
      </c>
      <c r="P168" s="7" t="n">
        <v>355</v>
      </c>
      <c r="R168" s="7" t="n">
        <v>351.5</v>
      </c>
      <c r="T168" s="7" t="n">
        <v>154.3</v>
      </c>
      <c r="V168" s="7" t="n">
        <v>443.8</v>
      </c>
      <c r="X168" s="7" t="n">
        <v>310.3</v>
      </c>
      <c r="Z168" s="7" t="n">
        <v>215.4</v>
      </c>
      <c r="AB168" s="7" t="n">
        <v>3084.6</v>
      </c>
    </row>
    <row r="169">
      <c r="A169" s="4" t="inlineStr">
        <is>
          <t>研发材料</t>
        </is>
      </c>
      <c r="D169" s="7" t="n">
        <v>147.6</v>
      </c>
      <c r="F169" s="7" t="n">
        <v>311.3</v>
      </c>
      <c r="H169" s="7" t="n">
        <v>330.6</v>
      </c>
      <c r="J169" s="7" t="n">
        <v>367.3</v>
      </c>
      <c r="L169" s="7" t="n">
        <v>190.9</v>
      </c>
      <c r="N169" s="7" t="n">
        <v>446.4</v>
      </c>
      <c r="P169" s="7" t="n">
        <v>459.4</v>
      </c>
      <c r="R169" s="7" t="n">
        <v>378.2</v>
      </c>
      <c r="T169" s="7" t="n">
        <v>277.3</v>
      </c>
      <c r="V169" s="7" t="n">
        <v>534.4</v>
      </c>
      <c r="X169" s="7" t="n">
        <v>421.3</v>
      </c>
      <c r="Z169" s="7" t="n">
        <v>308.5</v>
      </c>
      <c r="AB169" s="7" t="n">
        <v>4173.2</v>
      </c>
    </row>
    <row r="170">
      <c r="A170" s="4" t="inlineStr">
        <is>
          <t>项目名称</t>
        </is>
      </c>
      <c r="D170" s="7" t="n">
        <v>322.5</v>
      </c>
      <c r="F170" s="7" t="n">
        <v>620.1</v>
      </c>
      <c r="H170" s="7" t="n">
        <v>481.9</v>
      </c>
      <c r="J170" s="7" t="n">
        <v>638.1</v>
      </c>
      <c r="L170" s="7" t="n">
        <v>456</v>
      </c>
      <c r="N170" s="7" t="n">
        <v>926.5</v>
      </c>
      <c r="P170" s="7" t="n">
        <v>1101</v>
      </c>
      <c r="R170" s="7" t="n">
        <v>1065.3</v>
      </c>
      <c r="T170" s="7" t="n">
        <v>507.9</v>
      </c>
      <c r="V170" s="7" t="n">
        <v>664.3</v>
      </c>
      <c r="X170" s="7" t="n">
        <v>1002.5</v>
      </c>
      <c r="Z170" s="7" t="n">
        <v>476.9</v>
      </c>
      <c r="AB170" s="7" t="n">
        <v>8263</v>
      </c>
    </row>
    <row r="171">
      <c r="A171" s="4" t="inlineStr">
        <is>
          <t>研发费</t>
        </is>
      </c>
      <c r="D171" s="7" t="n">
        <v>84.40000000000001</v>
      </c>
      <c r="F171" s="7" t="n">
        <v>210.2</v>
      </c>
      <c r="H171" s="7" t="n">
        <v>231.4</v>
      </c>
      <c r="J171" s="7" t="n">
        <v>255.4</v>
      </c>
      <c r="L171" s="7" t="n">
        <v>163.3</v>
      </c>
      <c r="N171" s="7" t="n">
        <v>301.9</v>
      </c>
      <c r="P171" s="7" t="n">
        <v>222.1</v>
      </c>
      <c r="R171" s="7" t="n">
        <v>355</v>
      </c>
      <c r="T171" s="7" t="n">
        <v>134.5</v>
      </c>
      <c r="V171" s="7" t="n">
        <v>324.6</v>
      </c>
      <c r="X171" s="7" t="n">
        <v>279.8</v>
      </c>
      <c r="Z171" s="7" t="n">
        <v>133.1</v>
      </c>
      <c r="AB171" s="7" t="n">
        <v>2695.7</v>
      </c>
    </row>
    <row r="172">
      <c r="A172" s="4" t="inlineStr">
        <is>
          <t>残保金</t>
        </is>
      </c>
      <c r="D172" s="7" t="n">
        <v>118.9</v>
      </c>
      <c r="F172" s="7" t="n">
        <v>341.9</v>
      </c>
      <c r="H172" s="7" t="n">
        <v>259.5</v>
      </c>
      <c r="J172" s="7" t="n">
        <v>423.4</v>
      </c>
      <c r="L172" s="7" t="n">
        <v>289.7</v>
      </c>
      <c r="N172" s="7" t="n">
        <v>475.9</v>
      </c>
      <c r="P172" s="7" t="n">
        <v>386.6</v>
      </c>
      <c r="R172" s="7" t="n">
        <v>687.8</v>
      </c>
      <c r="T172" s="7" t="n">
        <v>211.7</v>
      </c>
      <c r="V172" s="7" t="n">
        <v>434.7</v>
      </c>
      <c r="X172" s="7" t="n">
        <v>486.5</v>
      </c>
      <c r="Z172" s="7" t="n">
        <v>268.3</v>
      </c>
      <c r="AB172" s="7" t="n">
        <v>4384.9</v>
      </c>
    </row>
    <row r="173">
      <c r="A173" s="4" t="inlineStr">
        <is>
          <t>环保费</t>
        </is>
      </c>
      <c r="D173" s="7" t="n">
        <v>209.2</v>
      </c>
      <c r="F173" s="7" t="n">
        <v>442</v>
      </c>
      <c r="H173" s="7" t="n">
        <v>332.5</v>
      </c>
      <c r="J173" s="7" t="n">
        <v>326.9</v>
      </c>
      <c r="L173" s="7" t="n">
        <v>210.3</v>
      </c>
      <c r="N173" s="7" t="n">
        <v>496.4</v>
      </c>
      <c r="P173" s="7" t="n">
        <v>569</v>
      </c>
      <c r="R173" s="7" t="n">
        <v>494</v>
      </c>
      <c r="T173" s="7" t="n">
        <v>343.5</v>
      </c>
      <c r="V173" s="7" t="n">
        <v>630.8</v>
      </c>
      <c r="X173" s="7" t="n">
        <v>545</v>
      </c>
      <c r="Z173" s="7" t="n">
        <v>325.1</v>
      </c>
      <c r="AB173" s="7" t="n">
        <v>4924.7</v>
      </c>
    </row>
    <row r="174">
      <c r="A174" s="4" t="inlineStr">
        <is>
          <t>报废损失</t>
        </is>
      </c>
      <c r="D174" s="7" t="n">
        <v>82.3</v>
      </c>
      <c r="F174" s="7" t="n">
        <v>270.2</v>
      </c>
      <c r="H174" s="7" t="n">
        <v>195.5</v>
      </c>
      <c r="J174" s="7" t="n">
        <v>175.4</v>
      </c>
      <c r="L174" s="7" t="n">
        <v>175.9</v>
      </c>
      <c r="N174" s="7" t="n">
        <v>350.5</v>
      </c>
      <c r="P174" s="7" t="n">
        <v>330.6</v>
      </c>
      <c r="R174" s="7" t="n">
        <v>362.1</v>
      </c>
      <c r="T174" s="7" t="n">
        <v>189.3</v>
      </c>
      <c r="V174" s="7" t="n">
        <v>396</v>
      </c>
      <c r="X174" s="7" t="n">
        <v>328.4</v>
      </c>
      <c r="Z174" s="7" t="n">
        <v>149.4</v>
      </c>
      <c r="AB174" s="7" t="n">
        <v>3005.6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44022.4</v>
      </c>
      <c r="D175" s="7" t="n">
        <v>40425.5</v>
      </c>
      <c r="E175" s="7" t="n">
        <v>50051</v>
      </c>
      <c r="F175" s="7" t="n">
        <v>38624.7</v>
      </c>
      <c r="G175" s="7" t="n">
        <v>47580.8</v>
      </c>
      <c r="H175" s="7" t="n">
        <v>40863</v>
      </c>
      <c r="I175" s="7" t="n">
        <v>50817</v>
      </c>
      <c r="J175" s="7" t="n">
        <v>75107.89999999999</v>
      </c>
      <c r="K175" s="7" t="n">
        <v>45266.7</v>
      </c>
      <c r="L175" s="7" t="n">
        <v>47729.6</v>
      </c>
      <c r="M175" s="7" t="n">
        <v>45915.7</v>
      </c>
      <c r="N175" s="7" t="n">
        <v>79527.8</v>
      </c>
      <c r="O175" s="7" t="n">
        <v>52290.5</v>
      </c>
      <c r="P175" s="7" t="n">
        <v>99122.10000000001</v>
      </c>
      <c r="Q175" s="7" t="n">
        <v>51645.1</v>
      </c>
      <c r="R175" s="7" t="n">
        <v>24965.8</v>
      </c>
      <c r="S175" s="7" t="n">
        <v>54404.4</v>
      </c>
      <c r="T175" s="7" t="n">
        <v>28472.2</v>
      </c>
      <c r="U175" s="7" t="n">
        <v>51624.5</v>
      </c>
      <c r="V175" s="7" t="n">
        <v>54169.1</v>
      </c>
      <c r="W175" s="7" t="n">
        <v>50828.5</v>
      </c>
      <c r="X175" s="7" t="n">
        <v>27467.4</v>
      </c>
      <c r="Y175" s="7" t="n">
        <v>48563.2</v>
      </c>
      <c r="Z175" s="7" t="n">
        <v>34415.8</v>
      </c>
      <c r="AA175" s="8" t="n">
        <v>593009.8</v>
      </c>
      <c r="AB175" s="8" t="n">
        <v>590890.9</v>
      </c>
    </row>
    <row r="176">
      <c r="A176" s="4" t="inlineStr">
        <is>
          <t>职工薪酬</t>
        </is>
      </c>
      <c r="D176" s="7" t="n">
        <v>19845.8</v>
      </c>
      <c r="F176" s="7" t="n">
        <v>21269.2</v>
      </c>
      <c r="H176" s="7" t="n">
        <v>21449.7</v>
      </c>
      <c r="J176" s="7" t="n">
        <v>39654.3</v>
      </c>
      <c r="L176" s="7" t="n">
        <v>28024.5</v>
      </c>
      <c r="N176" s="7" t="n">
        <v>44479</v>
      </c>
      <c r="P176" s="7" t="n">
        <v>53267.4</v>
      </c>
      <c r="R176" s="7" t="n">
        <v>14614.3</v>
      </c>
      <c r="T176" s="7" t="n">
        <v>12174.2</v>
      </c>
      <c r="V176" s="7" t="n">
        <v>26970.2</v>
      </c>
      <c r="X176" s="7" t="n">
        <v>14406.3</v>
      </c>
      <c r="Z176" s="7" t="n">
        <v>17473.8</v>
      </c>
      <c r="AB176" s="7" t="n">
        <v>313628.7</v>
      </c>
    </row>
    <row r="177">
      <c r="A177" s="4" t="inlineStr">
        <is>
          <t>工资</t>
        </is>
      </c>
      <c r="D177" s="7" t="n">
        <v>11735.4</v>
      </c>
      <c r="F177" s="7" t="n">
        <v>13675.7</v>
      </c>
      <c r="H177" s="7" t="n">
        <v>11834.2</v>
      </c>
      <c r="J177" s="7" t="n">
        <v>25773.4</v>
      </c>
      <c r="L177" s="7" t="n">
        <v>16603.7</v>
      </c>
      <c r="N177" s="7" t="n">
        <v>28723.5</v>
      </c>
      <c r="P177" s="7" t="n">
        <v>32559.2</v>
      </c>
      <c r="R177" s="7" t="n">
        <v>9196.700000000001</v>
      </c>
      <c r="T177" s="7" t="n">
        <v>6492.4</v>
      </c>
      <c r="V177" s="7" t="n">
        <v>14586</v>
      </c>
      <c r="X177" s="7" t="n">
        <v>8893.5</v>
      </c>
      <c r="Z177" s="7" t="n">
        <v>11448.1</v>
      </c>
      <c r="AB177" s="7" t="n">
        <v>191521.8</v>
      </c>
    </row>
    <row r="178">
      <c r="A178" s="4" t="inlineStr">
        <is>
          <t>奖金及提成</t>
        </is>
      </c>
      <c r="D178" s="7" t="n">
        <v>4691.7</v>
      </c>
      <c r="F178" s="7" t="n">
        <v>3723.4</v>
      </c>
      <c r="H178" s="7" t="n">
        <v>5079.4</v>
      </c>
      <c r="J178" s="7" t="n">
        <v>6868.5</v>
      </c>
      <c r="L178" s="7" t="n">
        <v>5184.5</v>
      </c>
      <c r="N178" s="7" t="n">
        <v>8071.1</v>
      </c>
      <c r="P178" s="7" t="n">
        <v>10613.2</v>
      </c>
      <c r="R178" s="7" t="n">
        <v>2759.5</v>
      </c>
      <c r="T178" s="7" t="n">
        <v>3255.8</v>
      </c>
      <c r="V178" s="7" t="n">
        <v>5470.8</v>
      </c>
      <c r="X178" s="7" t="n">
        <v>3094.3</v>
      </c>
      <c r="Z178" s="7" t="n">
        <v>2987.6</v>
      </c>
      <c r="AB178" s="7" t="n">
        <v>61799.8</v>
      </c>
    </row>
    <row r="179">
      <c r="A179" s="4" t="inlineStr">
        <is>
          <t>社保</t>
        </is>
      </c>
      <c r="D179" s="7" t="n">
        <v>2350.6</v>
      </c>
      <c r="F179" s="7" t="n">
        <v>2844.6</v>
      </c>
      <c r="H179" s="7" t="n">
        <v>3286.9</v>
      </c>
      <c r="J179" s="7" t="n">
        <v>4960.4</v>
      </c>
      <c r="L179" s="7" t="n">
        <v>4899.4</v>
      </c>
      <c r="N179" s="7" t="n">
        <v>5642.1</v>
      </c>
      <c r="P179" s="7" t="n">
        <v>7019</v>
      </c>
      <c r="R179" s="7" t="n">
        <v>1977.4</v>
      </c>
      <c r="T179" s="7" t="n">
        <v>1664.7</v>
      </c>
      <c r="V179" s="7" t="n">
        <v>5424.9</v>
      </c>
      <c r="X179" s="7" t="n">
        <v>1673.2</v>
      </c>
      <c r="Z179" s="7" t="n">
        <v>2179</v>
      </c>
      <c r="AB179" s="7" t="n">
        <v>43922.2</v>
      </c>
    </row>
    <row r="180">
      <c r="A180" s="4" t="inlineStr">
        <is>
          <t>养老</t>
        </is>
      </c>
      <c r="D180" s="7" t="n">
        <v>65.5</v>
      </c>
      <c r="F180" s="7" t="n">
        <v>51.3</v>
      </c>
      <c r="H180" s="7" t="n">
        <v>44.3</v>
      </c>
      <c r="J180" s="7" t="n">
        <v>105</v>
      </c>
      <c r="L180" s="7" t="n">
        <v>91.90000000000001</v>
      </c>
      <c r="N180" s="7" t="n">
        <v>90.90000000000001</v>
      </c>
      <c r="P180" s="7" t="n">
        <v>158.7</v>
      </c>
      <c r="R180" s="7" t="n">
        <v>34.8</v>
      </c>
      <c r="T180" s="7" t="n">
        <v>53.4</v>
      </c>
      <c r="V180" s="7" t="n">
        <v>82.2</v>
      </c>
      <c r="X180" s="7" t="n">
        <v>30.4</v>
      </c>
      <c r="Z180" s="7" t="n">
        <v>37</v>
      </c>
      <c r="AB180" s="7" t="n">
        <v>845.4</v>
      </c>
    </row>
    <row r="181">
      <c r="A181" s="4" t="inlineStr">
        <is>
          <t>医疗</t>
        </is>
      </c>
      <c r="D181" s="7" t="n">
        <v>207.8</v>
      </c>
      <c r="F181" s="7" t="n">
        <v>157</v>
      </c>
      <c r="H181" s="7" t="n">
        <v>165.7</v>
      </c>
      <c r="J181" s="7" t="n">
        <v>230.3</v>
      </c>
      <c r="L181" s="7" t="n">
        <v>245.8</v>
      </c>
      <c r="N181" s="7" t="n">
        <v>279.6</v>
      </c>
      <c r="P181" s="7" t="n">
        <v>533.2</v>
      </c>
      <c r="R181" s="7" t="n">
        <v>123.7</v>
      </c>
      <c r="T181" s="7" t="n">
        <v>128.4</v>
      </c>
      <c r="V181" s="7" t="n">
        <v>207.5</v>
      </c>
      <c r="X181" s="7" t="n">
        <v>115.9</v>
      </c>
      <c r="Z181" s="7" t="n">
        <v>123.7</v>
      </c>
      <c r="AB181" s="7" t="n">
        <v>2518.6</v>
      </c>
    </row>
    <row r="182">
      <c r="A182" s="4" t="inlineStr">
        <is>
          <t>工伤</t>
        </is>
      </c>
      <c r="D182" s="7" t="n">
        <v>270.4</v>
      </c>
      <c r="F182" s="7" t="n">
        <v>216.6</v>
      </c>
      <c r="H182" s="7" t="n">
        <v>326.7</v>
      </c>
      <c r="J182" s="7" t="n">
        <v>622.1</v>
      </c>
      <c r="L182" s="7" t="n">
        <v>364.1</v>
      </c>
      <c r="N182" s="7" t="n">
        <v>485.7</v>
      </c>
      <c r="P182" s="7" t="n">
        <v>770.2</v>
      </c>
      <c r="R182" s="7" t="n">
        <v>203.4</v>
      </c>
      <c r="T182" s="7" t="n">
        <v>216.7</v>
      </c>
      <c r="V182" s="7" t="n">
        <v>256.6</v>
      </c>
      <c r="X182" s="7" t="n">
        <v>146.1</v>
      </c>
      <c r="Z182" s="7" t="n">
        <v>172</v>
      </c>
      <c r="AB182" s="7" t="n">
        <v>4050.6</v>
      </c>
    </row>
    <row r="183">
      <c r="A183" s="4" t="inlineStr">
        <is>
          <t>失业</t>
        </is>
      </c>
      <c r="D183" s="7" t="n">
        <v>70.40000000000001</v>
      </c>
      <c r="F183" s="7" t="n">
        <v>80.8</v>
      </c>
      <c r="H183" s="7" t="n">
        <v>93.90000000000001</v>
      </c>
      <c r="J183" s="7" t="n">
        <v>192</v>
      </c>
      <c r="L183" s="7" t="n">
        <v>91.2</v>
      </c>
      <c r="N183" s="7" t="n">
        <v>211</v>
      </c>
      <c r="P183" s="7" t="n">
        <v>190.9</v>
      </c>
      <c r="R183" s="7" t="n">
        <v>58.7</v>
      </c>
      <c r="T183" s="7" t="n">
        <v>47.5</v>
      </c>
      <c r="V183" s="7" t="n">
        <v>141.3</v>
      </c>
      <c r="X183" s="7" t="n">
        <v>63.4</v>
      </c>
      <c r="Z183" s="7" t="n">
        <v>79.09999999999999</v>
      </c>
      <c r="AB183" s="7" t="n">
        <v>1320.2</v>
      </c>
    </row>
    <row r="184">
      <c r="A184" s="4" t="inlineStr">
        <is>
          <t>生育</t>
        </is>
      </c>
      <c r="D184" s="7" t="n">
        <v>62.2</v>
      </c>
      <c r="F184" s="7" t="n">
        <v>75.5</v>
      </c>
      <c r="H184" s="7" t="n">
        <v>72.90000000000001</v>
      </c>
      <c r="J184" s="7" t="n">
        <v>94.90000000000001</v>
      </c>
      <c r="L184" s="7" t="n">
        <v>52.8</v>
      </c>
      <c r="N184" s="7" t="n">
        <v>126.5</v>
      </c>
      <c r="P184" s="7" t="n">
        <v>114.3</v>
      </c>
      <c r="R184" s="7" t="n">
        <v>39.6</v>
      </c>
      <c r="T184" s="7" t="n">
        <v>54.6</v>
      </c>
      <c r="V184" s="7" t="n">
        <v>91</v>
      </c>
      <c r="X184" s="7" t="n">
        <v>45.7</v>
      </c>
      <c r="Z184" s="7" t="n">
        <v>68.40000000000001</v>
      </c>
      <c r="AB184" s="7" t="n">
        <v>898.4</v>
      </c>
    </row>
    <row r="185">
      <c r="A185" s="4" t="inlineStr">
        <is>
          <t>公积金</t>
        </is>
      </c>
      <c r="D185" s="7" t="n">
        <v>48.4</v>
      </c>
      <c r="F185" s="7" t="n">
        <v>43.3</v>
      </c>
      <c r="H185" s="7" t="n">
        <v>73.7</v>
      </c>
      <c r="J185" s="7" t="n">
        <v>127.5</v>
      </c>
      <c r="L185" s="7" t="n">
        <v>52.6</v>
      </c>
      <c r="N185" s="7" t="n">
        <v>107.4</v>
      </c>
      <c r="P185" s="7" t="n">
        <v>168.5</v>
      </c>
      <c r="R185" s="7" t="n">
        <v>38</v>
      </c>
      <c r="T185" s="7" t="n">
        <v>44.4</v>
      </c>
      <c r="V185" s="7" t="n">
        <v>94.90000000000001</v>
      </c>
      <c r="X185" s="7" t="n">
        <v>29.2</v>
      </c>
      <c r="Z185" s="7" t="n">
        <v>50.1</v>
      </c>
      <c r="AB185" s="7" t="n">
        <v>878</v>
      </c>
    </row>
    <row r="186">
      <c r="A186" s="4" t="inlineStr">
        <is>
          <t>工会经费</t>
        </is>
      </c>
      <c r="D186" s="7" t="n">
        <v>48.1</v>
      </c>
      <c r="F186" s="7" t="n">
        <v>48.9</v>
      </c>
      <c r="H186" s="7" t="n">
        <v>54.6</v>
      </c>
      <c r="J186" s="7" t="n">
        <v>87.09999999999999</v>
      </c>
      <c r="L186" s="7" t="n">
        <v>52.3</v>
      </c>
      <c r="N186" s="7" t="n">
        <v>83.59999999999999</v>
      </c>
      <c r="P186" s="7" t="n">
        <v>154.4</v>
      </c>
      <c r="R186" s="7" t="n">
        <v>35.4</v>
      </c>
      <c r="T186" s="7" t="n">
        <v>39.7</v>
      </c>
      <c r="V186" s="7" t="n">
        <v>80.3</v>
      </c>
      <c r="X186" s="7" t="n">
        <v>46.8</v>
      </c>
      <c r="Z186" s="7" t="n">
        <v>46.4</v>
      </c>
      <c r="AB186" s="7" t="n">
        <v>777.6</v>
      </c>
    </row>
    <row r="187">
      <c r="A187" s="4" t="inlineStr">
        <is>
          <t>职工教育经费</t>
        </is>
      </c>
      <c r="D187" s="7" t="n">
        <v>246.2</v>
      </c>
      <c r="F187" s="7" t="n">
        <v>200</v>
      </c>
      <c r="H187" s="7" t="n">
        <v>189.5</v>
      </c>
      <c r="J187" s="7" t="n">
        <v>352.1</v>
      </c>
      <c r="L187" s="7" t="n">
        <v>209.1</v>
      </c>
      <c r="N187" s="7" t="n">
        <v>490.2</v>
      </c>
      <c r="P187" s="7" t="n">
        <v>596.3</v>
      </c>
      <c r="R187" s="7" t="n">
        <v>90.5</v>
      </c>
      <c r="T187" s="7" t="n">
        <v>151.9</v>
      </c>
      <c r="V187" s="7" t="n">
        <v>248</v>
      </c>
      <c r="X187" s="7" t="n">
        <v>137.6</v>
      </c>
      <c r="Z187" s="7" t="n">
        <v>181.8</v>
      </c>
      <c r="AB187" s="7" t="n">
        <v>3093.2</v>
      </c>
    </row>
    <row r="188">
      <c r="A188" s="4" t="inlineStr">
        <is>
          <t>福利费</t>
        </is>
      </c>
      <c r="D188" s="7" t="n">
        <v>725.4</v>
      </c>
      <c r="F188" s="7" t="n">
        <v>733.3</v>
      </c>
      <c r="H188" s="7" t="n">
        <v>931.4</v>
      </c>
      <c r="J188" s="7" t="n">
        <v>1485.3</v>
      </c>
      <c r="L188" s="7" t="n">
        <v>1022.9</v>
      </c>
      <c r="N188" s="7" t="n">
        <v>1361.1</v>
      </c>
      <c r="P188" s="7" t="n">
        <v>2156.8</v>
      </c>
      <c r="R188" s="7" t="n">
        <v>516.8</v>
      </c>
      <c r="T188" s="7" t="n">
        <v>525.3</v>
      </c>
      <c r="V188" s="7" t="n">
        <v>1065.3</v>
      </c>
      <c r="X188" s="7" t="n">
        <v>531.7</v>
      </c>
      <c r="Z188" s="7" t="n">
        <v>580.8</v>
      </c>
      <c r="AB188" s="7" t="n">
        <v>11636.1</v>
      </c>
    </row>
    <row r="189">
      <c r="A189" s="4" t="inlineStr">
        <is>
          <t>职工房租</t>
        </is>
      </c>
      <c r="D189" s="7" t="n">
        <v>125.2</v>
      </c>
      <c r="F189" s="7" t="n">
        <v>88.2</v>
      </c>
      <c r="H189" s="7" t="n">
        <v>169.3</v>
      </c>
      <c r="J189" s="7" t="n">
        <v>252.9</v>
      </c>
      <c r="L189" s="7" t="n">
        <v>172.4</v>
      </c>
      <c r="N189" s="7" t="n">
        <v>196.8</v>
      </c>
      <c r="P189" s="7" t="n">
        <v>298.4</v>
      </c>
      <c r="R189" s="7" t="n">
        <v>87.59999999999999</v>
      </c>
      <c r="T189" s="7" t="n">
        <v>118</v>
      </c>
      <c r="V189" s="7" t="n">
        <v>221.8</v>
      </c>
      <c r="X189" s="7" t="n">
        <v>101.9</v>
      </c>
      <c r="Z189" s="7" t="n">
        <v>78.8</v>
      </c>
      <c r="AB189" s="7" t="n">
        <v>1911.3</v>
      </c>
    </row>
    <row r="190">
      <c r="A190" s="4" t="inlineStr">
        <is>
          <t>水电物业费</t>
        </is>
      </c>
      <c r="D190" s="7" t="n">
        <v>51.3</v>
      </c>
      <c r="F190" s="7" t="n">
        <v>41.5</v>
      </c>
      <c r="H190" s="7" t="n">
        <v>52</v>
      </c>
      <c r="J190" s="7" t="n">
        <v>85.8</v>
      </c>
      <c r="L190" s="7" t="n">
        <v>49.6</v>
      </c>
      <c r="N190" s="7" t="n">
        <v>86</v>
      </c>
      <c r="P190" s="7" t="n">
        <v>91.7</v>
      </c>
      <c r="R190" s="7" t="n">
        <v>29.6</v>
      </c>
      <c r="T190" s="7" t="n">
        <v>21.8</v>
      </c>
      <c r="V190" s="7" t="n">
        <v>66.5</v>
      </c>
      <c r="X190" s="7" t="n">
        <v>25.9</v>
      </c>
      <c r="Z190" s="7" t="n">
        <v>33.2</v>
      </c>
      <c r="AB190" s="7" t="n">
        <v>634.9</v>
      </c>
    </row>
    <row r="191">
      <c r="A191" s="4" t="inlineStr">
        <is>
          <t>员工餐</t>
        </is>
      </c>
      <c r="D191" s="7" t="n">
        <v>37.5</v>
      </c>
      <c r="F191" s="7" t="n">
        <v>40.3</v>
      </c>
      <c r="H191" s="7" t="n">
        <v>31.3</v>
      </c>
      <c r="J191" s="7" t="n">
        <v>77.09999999999999</v>
      </c>
      <c r="L191" s="7" t="n">
        <v>27</v>
      </c>
      <c r="N191" s="7" t="n">
        <v>83.40000000000001</v>
      </c>
      <c r="P191" s="7" t="n">
        <v>91.90000000000001</v>
      </c>
      <c r="R191" s="7" t="n">
        <v>25.2</v>
      </c>
      <c r="T191" s="7" t="n">
        <v>19.9</v>
      </c>
      <c r="V191" s="7" t="n">
        <v>51.9</v>
      </c>
      <c r="X191" s="7" t="n">
        <v>27.8</v>
      </c>
      <c r="Z191" s="7" t="n">
        <v>21.7</v>
      </c>
      <c r="AB191" s="7" t="n">
        <v>535</v>
      </c>
    </row>
    <row r="192">
      <c r="A192" s="4" t="inlineStr">
        <is>
          <t>节日礼品</t>
        </is>
      </c>
      <c r="D192" s="7" t="n">
        <v>174.8</v>
      </c>
      <c r="F192" s="7" t="n">
        <v>238.3</v>
      </c>
      <c r="H192" s="7" t="n">
        <v>292.9</v>
      </c>
      <c r="J192" s="7" t="n">
        <v>360.1</v>
      </c>
      <c r="L192" s="7" t="n">
        <v>279.8</v>
      </c>
      <c r="N192" s="7" t="n">
        <v>320.5</v>
      </c>
      <c r="P192" s="7" t="n">
        <v>684.2</v>
      </c>
      <c r="R192" s="7" t="n">
        <v>114.7</v>
      </c>
      <c r="T192" s="7" t="n">
        <v>152.6</v>
      </c>
      <c r="V192" s="7" t="n">
        <v>287.7</v>
      </c>
      <c r="X192" s="7" t="n">
        <v>127.3</v>
      </c>
      <c r="Z192" s="7" t="n">
        <v>182.5</v>
      </c>
      <c r="AB192" s="7" t="n">
        <v>3215.4</v>
      </c>
    </row>
    <row r="193">
      <c r="A193" s="4" t="inlineStr">
        <is>
          <t>生日礼品</t>
        </is>
      </c>
      <c r="D193" s="7" t="n">
        <v>108.6</v>
      </c>
      <c r="F193" s="7" t="n">
        <v>68.59999999999999</v>
      </c>
      <c r="H193" s="7" t="n">
        <v>116.9</v>
      </c>
      <c r="J193" s="7" t="n">
        <v>188.5</v>
      </c>
      <c r="L193" s="7" t="n">
        <v>100.5</v>
      </c>
      <c r="N193" s="7" t="n">
        <v>201.9</v>
      </c>
      <c r="P193" s="7" t="n">
        <v>201.5</v>
      </c>
      <c r="R193" s="7" t="n">
        <v>55.2</v>
      </c>
      <c r="T193" s="7" t="n">
        <v>57.8</v>
      </c>
      <c r="V193" s="7" t="n">
        <v>91.09999999999999</v>
      </c>
      <c r="X193" s="7" t="n">
        <v>51.5</v>
      </c>
      <c r="Z193" s="7" t="n">
        <v>68.5</v>
      </c>
      <c r="AB193" s="7" t="n">
        <v>1310.6</v>
      </c>
    </row>
    <row r="194">
      <c r="A194" s="4" t="inlineStr">
        <is>
          <t>体检</t>
        </is>
      </c>
      <c r="D194" s="7" t="n">
        <v>167.8</v>
      </c>
      <c r="F194" s="7" t="n">
        <v>191.8</v>
      </c>
      <c r="H194" s="7" t="n">
        <v>215.6</v>
      </c>
      <c r="J194" s="7" t="n">
        <v>387.4</v>
      </c>
      <c r="L194" s="7" t="n">
        <v>330.2</v>
      </c>
      <c r="N194" s="7" t="n">
        <v>351</v>
      </c>
      <c r="P194" s="7" t="n">
        <v>661.3</v>
      </c>
      <c r="R194" s="7" t="n">
        <v>167</v>
      </c>
      <c r="T194" s="7" t="n">
        <v>122.8</v>
      </c>
      <c r="V194" s="7" t="n">
        <v>283.6</v>
      </c>
      <c r="X194" s="7" t="n">
        <v>153.6</v>
      </c>
      <c r="Z194" s="7" t="n">
        <v>150.5</v>
      </c>
      <c r="AB194" s="7" t="n">
        <v>3182.6</v>
      </c>
    </row>
    <row r="195">
      <c r="A195" s="4" t="inlineStr">
        <is>
          <t>其他福利支出</t>
        </is>
      </c>
      <c r="D195" s="7" t="n">
        <v>60.2</v>
      </c>
      <c r="F195" s="7" t="n">
        <v>64.59999999999999</v>
      </c>
      <c r="H195" s="7" t="n">
        <v>53.4</v>
      </c>
      <c r="J195" s="7" t="n">
        <v>133.5</v>
      </c>
      <c r="L195" s="7" t="n">
        <v>63.4</v>
      </c>
      <c r="N195" s="7" t="n">
        <v>121.5</v>
      </c>
      <c r="P195" s="7" t="n">
        <v>127.8</v>
      </c>
      <c r="R195" s="7" t="n">
        <v>37.5</v>
      </c>
      <c r="T195" s="7" t="n">
        <v>32.4</v>
      </c>
      <c r="V195" s="7" t="n">
        <v>62.7</v>
      </c>
      <c r="X195" s="7" t="n">
        <v>43.7</v>
      </c>
      <c r="Z195" s="7" t="n">
        <v>45.6</v>
      </c>
      <c r="AB195" s="7" t="n">
        <v>846.3</v>
      </c>
    </row>
    <row r="196">
      <c r="A196" s="4" t="inlineStr">
        <is>
          <t>招聘费</t>
        </is>
      </c>
      <c r="D196" s="7" t="n">
        <v>277.2</v>
      </c>
      <c r="F196" s="7" t="n">
        <v>196.1</v>
      </c>
      <c r="H196" s="7" t="n">
        <v>171.6</v>
      </c>
      <c r="J196" s="7" t="n">
        <v>360</v>
      </c>
      <c r="L196" s="7" t="n">
        <v>334.9</v>
      </c>
      <c r="N196" s="7" t="n">
        <v>540</v>
      </c>
      <c r="P196" s="7" t="n">
        <v>680.5</v>
      </c>
      <c r="R196" s="7" t="n">
        <v>128.9</v>
      </c>
      <c r="T196" s="7" t="n">
        <v>211.1</v>
      </c>
      <c r="V196" s="7" t="n">
        <v>358.5</v>
      </c>
      <c r="X196" s="7" t="n">
        <v>142.9</v>
      </c>
      <c r="Z196" s="7" t="n">
        <v>146.7</v>
      </c>
      <c r="AB196" s="7" t="n">
        <v>3548.4</v>
      </c>
    </row>
    <row r="197">
      <c r="A197" s="4" t="inlineStr">
        <is>
          <t>办公费</t>
        </is>
      </c>
      <c r="D197" s="7" t="n">
        <v>1374.3</v>
      </c>
      <c r="F197" s="7" t="n">
        <v>955.9</v>
      </c>
      <c r="H197" s="7" t="n">
        <v>1547.2</v>
      </c>
      <c r="J197" s="7" t="n">
        <v>2886.7</v>
      </c>
      <c r="L197" s="7" t="n">
        <v>1672</v>
      </c>
      <c r="N197" s="7" t="n">
        <v>2994.7</v>
      </c>
      <c r="P197" s="7" t="n">
        <v>2538</v>
      </c>
      <c r="R197" s="7" t="n">
        <v>771.1</v>
      </c>
      <c r="T197" s="7" t="n">
        <v>844.5</v>
      </c>
      <c r="V197" s="7" t="n">
        <v>1313.6</v>
      </c>
      <c r="X197" s="7" t="n">
        <v>1027</v>
      </c>
      <c r="Z197" s="7" t="n">
        <v>864.4</v>
      </c>
      <c r="AB197" s="7" t="n">
        <v>18789.4</v>
      </c>
    </row>
    <row r="198">
      <c r="A198" s="4" t="inlineStr">
        <is>
          <t>市内交通费</t>
        </is>
      </c>
      <c r="D198" s="7" t="n">
        <v>0.2</v>
      </c>
      <c r="F198" s="7" t="n">
        <v>0.2</v>
      </c>
      <c r="H198" s="7" t="n">
        <v>0.2</v>
      </c>
      <c r="J198" s="7" t="n">
        <v>0.3</v>
      </c>
      <c r="L198" s="7" t="n">
        <v>0.2</v>
      </c>
      <c r="N198" s="7" t="n">
        <v>0.4</v>
      </c>
      <c r="P198" s="7" t="n">
        <v>0.6</v>
      </c>
      <c r="R198" s="7" t="n">
        <v>0.1</v>
      </c>
      <c r="T198" s="7" t="n">
        <v>0.2</v>
      </c>
      <c r="V198" s="7" t="n">
        <v>0.2</v>
      </c>
      <c r="X198" s="7" t="n">
        <v>0.2</v>
      </c>
      <c r="Z198" s="7" t="n">
        <v>0.1</v>
      </c>
      <c r="AB198" s="7" t="n">
        <v>2.9</v>
      </c>
    </row>
    <row r="199">
      <c r="A199" s="4" t="inlineStr">
        <is>
          <t>差旅费</t>
        </is>
      </c>
      <c r="D199" s="7" t="n">
        <v>1832.9</v>
      </c>
      <c r="F199" s="7" t="n">
        <v>1984.8</v>
      </c>
      <c r="H199" s="7" t="n">
        <v>2866.1</v>
      </c>
      <c r="J199" s="7" t="n">
        <v>4392.9</v>
      </c>
      <c r="L199" s="7" t="n">
        <v>2893.1</v>
      </c>
      <c r="N199" s="7" t="n">
        <v>5028.3</v>
      </c>
      <c r="P199" s="7" t="n">
        <v>5293.7</v>
      </c>
      <c r="R199" s="7" t="n">
        <v>1105.7</v>
      </c>
      <c r="T199" s="7" t="n">
        <v>2092.6</v>
      </c>
      <c r="V199" s="7" t="n">
        <v>2290.9</v>
      </c>
      <c r="X199" s="7" t="n">
        <v>1167.4</v>
      </c>
      <c r="Z199" s="7" t="n">
        <v>1844.7</v>
      </c>
      <c r="AB199" s="7" t="n">
        <v>32793.1</v>
      </c>
    </row>
    <row r="200">
      <c r="A200" s="4" t="inlineStr">
        <is>
          <t>交通费</t>
        </is>
      </c>
      <c r="D200" s="7" t="n">
        <v>64.5</v>
      </c>
      <c r="F200" s="7" t="n">
        <v>59.4</v>
      </c>
      <c r="H200" s="7" t="n">
        <v>49.5</v>
      </c>
      <c r="J200" s="7" t="n">
        <v>98.09999999999999</v>
      </c>
      <c r="L200" s="7" t="n">
        <v>85.40000000000001</v>
      </c>
      <c r="N200" s="7" t="n">
        <v>150.4</v>
      </c>
      <c r="P200" s="7" t="n">
        <v>158.7</v>
      </c>
      <c r="R200" s="7" t="n">
        <v>29.4</v>
      </c>
      <c r="T200" s="7" t="n">
        <v>51.6</v>
      </c>
      <c r="V200" s="7" t="n">
        <v>88.5</v>
      </c>
      <c r="X200" s="7" t="n">
        <v>56.2</v>
      </c>
      <c r="Z200" s="7" t="n">
        <v>41.4</v>
      </c>
      <c r="AB200" s="7" t="n">
        <v>933.1</v>
      </c>
    </row>
    <row r="201">
      <c r="A201" s="4" t="inlineStr">
        <is>
          <t>住宿费</t>
        </is>
      </c>
      <c r="D201" s="7" t="n">
        <v>41</v>
      </c>
      <c r="F201" s="7" t="n">
        <v>39.4</v>
      </c>
      <c r="H201" s="7" t="n">
        <v>40.8</v>
      </c>
      <c r="J201" s="7" t="n">
        <v>85</v>
      </c>
      <c r="L201" s="7" t="n">
        <v>63.8</v>
      </c>
      <c r="N201" s="7" t="n">
        <v>101.9</v>
      </c>
      <c r="P201" s="7" t="n">
        <v>144.5</v>
      </c>
      <c r="R201" s="7" t="n">
        <v>42.8</v>
      </c>
      <c r="T201" s="7" t="n">
        <v>27.3</v>
      </c>
      <c r="V201" s="7" t="n">
        <v>86.3</v>
      </c>
      <c r="X201" s="7" t="n">
        <v>27.7</v>
      </c>
      <c r="Z201" s="7" t="n">
        <v>45.3</v>
      </c>
      <c r="AB201" s="7" t="n">
        <v>745.8</v>
      </c>
    </row>
    <row r="202">
      <c r="A202" s="4" t="inlineStr">
        <is>
          <t>餐补</t>
        </is>
      </c>
      <c r="D202" s="7" t="n">
        <v>13.3</v>
      </c>
      <c r="F202" s="7" t="n">
        <v>12.4</v>
      </c>
      <c r="H202" s="7" t="n">
        <v>10.8</v>
      </c>
      <c r="J202" s="7" t="n">
        <v>19.7</v>
      </c>
      <c r="L202" s="7" t="n">
        <v>12.7</v>
      </c>
      <c r="N202" s="7" t="n">
        <v>23</v>
      </c>
      <c r="P202" s="7" t="n">
        <v>21.6</v>
      </c>
      <c r="R202" s="7" t="n">
        <v>8.1</v>
      </c>
      <c r="T202" s="7" t="n">
        <v>9.199999999999999</v>
      </c>
      <c r="V202" s="7" t="n">
        <v>11.3</v>
      </c>
      <c r="X202" s="7" t="n">
        <v>9.9</v>
      </c>
      <c r="Z202" s="7" t="n">
        <v>12.2</v>
      </c>
      <c r="AB202" s="7" t="n">
        <v>164.2</v>
      </c>
    </row>
    <row r="203">
      <c r="A203" s="4" t="inlineStr">
        <is>
          <t>交通补助</t>
        </is>
      </c>
      <c r="D203" s="7" t="n">
        <v>147.3</v>
      </c>
      <c r="F203" s="7" t="n">
        <v>197.1</v>
      </c>
      <c r="H203" s="7" t="n">
        <v>130.8</v>
      </c>
      <c r="J203" s="7" t="n">
        <v>409.1</v>
      </c>
      <c r="L203" s="7" t="n">
        <v>165.9</v>
      </c>
      <c r="N203" s="7" t="n">
        <v>392.3</v>
      </c>
      <c r="P203" s="7" t="n">
        <v>301.9</v>
      </c>
      <c r="R203" s="7" t="n">
        <v>77.40000000000001</v>
      </c>
      <c r="T203" s="7" t="n">
        <v>99.40000000000001</v>
      </c>
      <c r="V203" s="7" t="n">
        <v>170.8</v>
      </c>
      <c r="X203" s="7" t="n">
        <v>150.8</v>
      </c>
      <c r="Z203" s="7" t="n">
        <v>142.1</v>
      </c>
      <c r="AB203" s="7" t="n">
        <v>2384.9</v>
      </c>
    </row>
    <row r="204">
      <c r="A204" s="4" t="inlineStr">
        <is>
          <t>通讯补助</t>
        </is>
      </c>
      <c r="D204" s="7" t="n">
        <v>96.7</v>
      </c>
      <c r="F204" s="7" t="n">
        <v>107.4</v>
      </c>
      <c r="H204" s="7" t="n">
        <v>111.9</v>
      </c>
      <c r="J204" s="7" t="n">
        <v>117.4</v>
      </c>
      <c r="L204" s="7" t="n">
        <v>94</v>
      </c>
      <c r="N204" s="7" t="n">
        <v>209.5</v>
      </c>
      <c r="P204" s="7" t="n">
        <v>174.5</v>
      </c>
      <c r="R204" s="7" t="n">
        <v>62.8</v>
      </c>
      <c r="T204" s="7" t="n">
        <v>47.4</v>
      </c>
      <c r="V204" s="7" t="n">
        <v>139.7</v>
      </c>
      <c r="X204" s="7" t="n">
        <v>43.3</v>
      </c>
      <c r="Z204" s="7" t="n">
        <v>71.5</v>
      </c>
      <c r="AB204" s="7" t="n">
        <v>1276.1</v>
      </c>
    </row>
    <row r="205">
      <c r="A205" s="4" t="inlineStr">
        <is>
          <t>招待费</t>
        </is>
      </c>
      <c r="D205" s="7" t="n">
        <v>1167.5</v>
      </c>
      <c r="F205" s="7" t="n">
        <v>1373.5</v>
      </c>
      <c r="H205" s="7" t="n">
        <v>1395.3</v>
      </c>
      <c r="J205" s="7" t="n">
        <v>3434.3</v>
      </c>
      <c r="L205" s="7" t="n">
        <v>1985.2</v>
      </c>
      <c r="N205" s="7" t="n">
        <v>2263.2</v>
      </c>
      <c r="P205" s="7" t="n">
        <v>5114.2</v>
      </c>
      <c r="R205" s="7" t="n">
        <v>939.8</v>
      </c>
      <c r="T205" s="7" t="n">
        <v>1407.3</v>
      </c>
      <c r="V205" s="7" t="n">
        <v>1784.3</v>
      </c>
      <c r="X205" s="7" t="n">
        <v>1257</v>
      </c>
      <c r="Z205" s="7" t="n">
        <v>1079.8</v>
      </c>
      <c r="AB205" s="7" t="n">
        <v>23201.4</v>
      </c>
    </row>
    <row r="206">
      <c r="A206" s="4" t="inlineStr">
        <is>
          <t>通讯费</t>
        </is>
      </c>
      <c r="D206" s="7" t="n">
        <v>28.1</v>
      </c>
      <c r="F206" s="7" t="n">
        <v>24.8</v>
      </c>
      <c r="H206" s="7" t="n">
        <v>47.1</v>
      </c>
      <c r="J206" s="7" t="n">
        <v>56.1</v>
      </c>
      <c r="L206" s="7" t="n">
        <v>54.6</v>
      </c>
      <c r="N206" s="7" t="n">
        <v>55.1</v>
      </c>
      <c r="P206" s="7" t="n">
        <v>96.90000000000001</v>
      </c>
      <c r="R206" s="7" t="n">
        <v>16.2</v>
      </c>
      <c r="T206" s="7" t="n">
        <v>23.5</v>
      </c>
      <c r="V206" s="7" t="n">
        <v>52.7</v>
      </c>
      <c r="X206" s="7" t="n">
        <v>18.5</v>
      </c>
      <c r="Z206" s="7" t="n">
        <v>33.6</v>
      </c>
      <c r="AB206" s="7" t="n">
        <v>507.2</v>
      </c>
    </row>
    <row r="207">
      <c r="A207" s="4" t="inlineStr">
        <is>
          <t>网络费</t>
        </is>
      </c>
      <c r="D207" s="7" t="n">
        <v>118.5</v>
      </c>
      <c r="F207" s="7" t="n">
        <v>115.9</v>
      </c>
      <c r="H207" s="7" t="n">
        <v>190</v>
      </c>
      <c r="J207" s="7" t="n">
        <v>258.1</v>
      </c>
      <c r="L207" s="7" t="n">
        <v>169.9</v>
      </c>
      <c r="N207" s="7" t="n">
        <v>267.1</v>
      </c>
      <c r="P207" s="7" t="n">
        <v>303.5</v>
      </c>
      <c r="R207" s="7" t="n">
        <v>84.09999999999999</v>
      </c>
      <c r="T207" s="7" t="n">
        <v>92.2</v>
      </c>
      <c r="V207" s="7" t="n">
        <v>176.4</v>
      </c>
      <c r="X207" s="7" t="n">
        <v>102.5</v>
      </c>
      <c r="Z207" s="7" t="n">
        <v>177.9</v>
      </c>
      <c r="AB207" s="7" t="n">
        <v>2056.1</v>
      </c>
    </row>
    <row r="208">
      <c r="A208" s="4" t="inlineStr">
        <is>
          <t>修理费</t>
        </is>
      </c>
      <c r="D208" s="7" t="n">
        <v>167.9</v>
      </c>
      <c r="F208" s="7" t="n">
        <v>230</v>
      </c>
      <c r="H208" s="7" t="n">
        <v>182</v>
      </c>
      <c r="J208" s="7" t="n">
        <v>470.6</v>
      </c>
      <c r="L208" s="7" t="n">
        <v>236.1</v>
      </c>
      <c r="N208" s="7" t="n">
        <v>361.4</v>
      </c>
      <c r="P208" s="7" t="n">
        <v>401.7</v>
      </c>
      <c r="R208" s="7" t="n">
        <v>115.1</v>
      </c>
      <c r="T208" s="7" t="n">
        <v>148.8</v>
      </c>
      <c r="V208" s="7" t="n">
        <v>248.7</v>
      </c>
      <c r="X208" s="7" t="n">
        <v>169.7</v>
      </c>
      <c r="Z208" s="7" t="n">
        <v>191.6</v>
      </c>
      <c r="AB208" s="7" t="n">
        <v>2923.6</v>
      </c>
    </row>
    <row r="209">
      <c r="A209" s="4" t="inlineStr">
        <is>
          <t>车辆费</t>
        </is>
      </c>
      <c r="D209" s="7" t="n">
        <v>79.8</v>
      </c>
      <c r="F209" s="7" t="n">
        <v>93.09999999999999</v>
      </c>
      <c r="H209" s="7" t="n">
        <v>115.6</v>
      </c>
      <c r="J209" s="7" t="n">
        <v>202</v>
      </c>
      <c r="L209" s="7" t="n">
        <v>115.3</v>
      </c>
      <c r="N209" s="7" t="n">
        <v>256.2</v>
      </c>
      <c r="P209" s="7" t="n">
        <v>316.7</v>
      </c>
      <c r="R209" s="7" t="n">
        <v>73.59999999999999</v>
      </c>
      <c r="T209" s="7" t="n">
        <v>73.09999999999999</v>
      </c>
      <c r="V209" s="7" t="n">
        <v>146.4</v>
      </c>
      <c r="X209" s="7" t="n">
        <v>75</v>
      </c>
      <c r="Z209" s="7" t="n">
        <v>106.5</v>
      </c>
      <c r="AB209" s="7" t="n">
        <v>1653.3</v>
      </c>
    </row>
    <row r="210">
      <c r="A210" s="4" t="inlineStr">
        <is>
          <t>租赁费</t>
        </is>
      </c>
      <c r="D210" s="7" t="n">
        <v>2173</v>
      </c>
      <c r="F210" s="7" t="n">
        <v>2356.5</v>
      </c>
      <c r="H210" s="7" t="n">
        <v>1727.5</v>
      </c>
      <c r="J210" s="7" t="n">
        <v>4120.1</v>
      </c>
      <c r="L210" s="7" t="n">
        <v>2458.3</v>
      </c>
      <c r="N210" s="7" t="n">
        <v>4274.8</v>
      </c>
      <c r="P210" s="7" t="n">
        <v>3996.6</v>
      </c>
      <c r="R210" s="7" t="n">
        <v>1227.2</v>
      </c>
      <c r="T210" s="7" t="n">
        <v>1194.7</v>
      </c>
      <c r="V210" s="7" t="n">
        <v>2553.7</v>
      </c>
      <c r="X210" s="7" t="n">
        <v>1599.5</v>
      </c>
      <c r="Z210" s="7" t="n">
        <v>1550</v>
      </c>
      <c r="AB210" s="7" t="n">
        <v>29231.9</v>
      </c>
    </row>
    <row r="211">
      <c r="A211" s="4" t="inlineStr">
        <is>
          <t>能源费</t>
        </is>
      </c>
      <c r="D211" s="7" t="n">
        <v>946.6</v>
      </c>
      <c r="F211" s="7" t="n">
        <v>733.7</v>
      </c>
      <c r="H211" s="7" t="n">
        <v>802</v>
      </c>
      <c r="J211" s="7" t="n">
        <v>1602.5</v>
      </c>
      <c r="L211" s="7" t="n">
        <v>944.2</v>
      </c>
      <c r="N211" s="7" t="n">
        <v>1481</v>
      </c>
      <c r="P211" s="7" t="n">
        <v>2226.4</v>
      </c>
      <c r="R211" s="7" t="n">
        <v>482.2</v>
      </c>
      <c r="T211" s="7" t="n">
        <v>524.4</v>
      </c>
      <c r="V211" s="7" t="n">
        <v>1074.2</v>
      </c>
      <c r="X211" s="7" t="n">
        <v>561.1</v>
      </c>
      <c r="Z211" s="7" t="n">
        <v>714.2</v>
      </c>
      <c r="AB211" s="7" t="n">
        <v>12092.5</v>
      </c>
    </row>
    <row r="212">
      <c r="A212" s="4" t="inlineStr">
        <is>
          <t>水费</t>
        </is>
      </c>
      <c r="D212" s="7" t="n">
        <v>145.1</v>
      </c>
      <c r="F212" s="7" t="n">
        <v>122.9</v>
      </c>
      <c r="H212" s="7" t="n">
        <v>120.5</v>
      </c>
      <c r="J212" s="7" t="n">
        <v>216.4</v>
      </c>
      <c r="L212" s="7" t="n">
        <v>187</v>
      </c>
      <c r="N212" s="7" t="n">
        <v>245.6</v>
      </c>
      <c r="P212" s="7" t="n">
        <v>282.1</v>
      </c>
      <c r="R212" s="7" t="n">
        <v>101.2</v>
      </c>
      <c r="T212" s="7" t="n">
        <v>106.7</v>
      </c>
      <c r="V212" s="7" t="n">
        <v>144.4</v>
      </c>
      <c r="X212" s="7" t="n">
        <v>112.9</v>
      </c>
      <c r="Z212" s="7" t="n">
        <v>134.5</v>
      </c>
      <c r="AB212" s="7" t="n">
        <v>1919.3</v>
      </c>
    </row>
    <row r="213">
      <c r="A213" s="4" t="inlineStr">
        <is>
          <t>电费</t>
        </is>
      </c>
      <c r="D213" s="7" t="n">
        <v>315.5</v>
      </c>
      <c r="F213" s="7" t="n">
        <v>225</v>
      </c>
      <c r="H213" s="7" t="n">
        <v>287.8</v>
      </c>
      <c r="J213" s="7" t="n">
        <v>514.2</v>
      </c>
      <c r="L213" s="7" t="n">
        <v>268.2</v>
      </c>
      <c r="N213" s="7" t="n">
        <v>513.1</v>
      </c>
      <c r="P213" s="7" t="n">
        <v>690.4</v>
      </c>
      <c r="R213" s="7" t="n">
        <v>174</v>
      </c>
      <c r="T213" s="7" t="n">
        <v>167.4</v>
      </c>
      <c r="V213" s="7" t="n">
        <v>390</v>
      </c>
      <c r="X213" s="7" t="n">
        <v>210</v>
      </c>
      <c r="Z213" s="7" t="n">
        <v>224</v>
      </c>
      <c r="AB213" s="7" t="n">
        <v>3979.6</v>
      </c>
    </row>
    <row r="214">
      <c r="A214" s="4" t="inlineStr">
        <is>
          <t>燃气费</t>
        </is>
      </c>
      <c r="D214" s="7" t="n">
        <v>270.5</v>
      </c>
      <c r="F214" s="7" t="n">
        <v>178.3</v>
      </c>
      <c r="H214" s="7" t="n">
        <v>195.5</v>
      </c>
      <c r="J214" s="7" t="n">
        <v>545.3</v>
      </c>
      <c r="L214" s="7" t="n">
        <v>320.5</v>
      </c>
      <c r="N214" s="7" t="n">
        <v>432.1</v>
      </c>
      <c r="P214" s="7" t="n">
        <v>724.1</v>
      </c>
      <c r="R214" s="7" t="n">
        <v>114.9</v>
      </c>
      <c r="T214" s="7" t="n">
        <v>126.4</v>
      </c>
      <c r="V214" s="7" t="n">
        <v>310.7</v>
      </c>
      <c r="X214" s="7" t="n">
        <v>127</v>
      </c>
      <c r="Z214" s="7" t="n">
        <v>195.4</v>
      </c>
      <c r="AB214" s="7" t="n">
        <v>3540.7</v>
      </c>
    </row>
    <row r="215">
      <c r="A215" s="4" t="inlineStr">
        <is>
          <t>蒸汽费</t>
        </is>
      </c>
      <c r="D215" s="7" t="n">
        <v>215.5</v>
      </c>
      <c r="F215" s="7" t="n">
        <v>207.5</v>
      </c>
      <c r="H215" s="7" t="n">
        <v>198.2</v>
      </c>
      <c r="J215" s="7" t="n">
        <v>326.6</v>
      </c>
      <c r="L215" s="7" t="n">
        <v>168.5</v>
      </c>
      <c r="N215" s="7" t="n">
        <v>290.2</v>
      </c>
      <c r="P215" s="7" t="n">
        <v>529.8</v>
      </c>
      <c r="R215" s="7" t="n">
        <v>92.09999999999999</v>
      </c>
      <c r="T215" s="7" t="n">
        <v>123.9</v>
      </c>
      <c r="V215" s="7" t="n">
        <v>229.1</v>
      </c>
      <c r="X215" s="7" t="n">
        <v>111.2</v>
      </c>
      <c r="Z215" s="7" t="n">
        <v>160.3</v>
      </c>
      <c r="AB215" s="7" t="n">
        <v>2652.9</v>
      </c>
    </row>
    <row r="216">
      <c r="A216" s="4" t="inlineStr">
        <is>
          <t>物业费</t>
        </is>
      </c>
      <c r="D216" s="7" t="n">
        <v>8.1</v>
      </c>
      <c r="F216" s="7" t="n">
        <v>6.2</v>
      </c>
      <c r="H216" s="7" t="n">
        <v>7.2</v>
      </c>
      <c r="J216" s="7" t="n">
        <v>11.3</v>
      </c>
      <c r="L216" s="7" t="n">
        <v>8</v>
      </c>
      <c r="N216" s="7" t="n">
        <v>14.8</v>
      </c>
      <c r="P216" s="7" t="n">
        <v>18.2</v>
      </c>
      <c r="R216" s="7" t="n">
        <v>4.9</v>
      </c>
      <c r="T216" s="7" t="n">
        <v>5.6</v>
      </c>
      <c r="V216" s="7" t="n">
        <v>10.9</v>
      </c>
      <c r="X216" s="7" t="n">
        <v>3.5</v>
      </c>
      <c r="Z216" s="7" t="n">
        <v>4.5</v>
      </c>
      <c r="AB216" s="7" t="n">
        <v>103.2</v>
      </c>
    </row>
    <row r="217">
      <c r="A217" s="4" t="inlineStr">
        <is>
          <t>劳动保护费</t>
        </is>
      </c>
      <c r="D217" s="7" t="n">
        <v>251.9</v>
      </c>
      <c r="F217" s="7" t="n">
        <v>217.9</v>
      </c>
      <c r="H217" s="7" t="n">
        <v>175.4</v>
      </c>
      <c r="J217" s="7" t="n">
        <v>524.7</v>
      </c>
      <c r="L217" s="7" t="n">
        <v>271.8</v>
      </c>
      <c r="N217" s="7" t="n">
        <v>367.1</v>
      </c>
      <c r="P217" s="7" t="n">
        <v>546.5</v>
      </c>
      <c r="R217" s="7" t="n">
        <v>101.1</v>
      </c>
      <c r="T217" s="7" t="n">
        <v>114.7</v>
      </c>
      <c r="V217" s="7" t="n">
        <v>361.8</v>
      </c>
      <c r="X217" s="7" t="n">
        <v>152.6</v>
      </c>
      <c r="Z217" s="7" t="n">
        <v>180.1</v>
      </c>
      <c r="AB217" s="7" t="n">
        <v>3265.6</v>
      </c>
    </row>
    <row r="218">
      <c r="A218" s="4" t="inlineStr">
        <is>
          <t>顾问费</t>
        </is>
      </c>
      <c r="D218" s="7" t="n">
        <v>100</v>
      </c>
      <c r="F218" s="7" t="n">
        <v>143.1</v>
      </c>
      <c r="H218" s="7" t="n">
        <v>88.8</v>
      </c>
      <c r="J218" s="7" t="n">
        <v>175.9</v>
      </c>
      <c r="L218" s="7" t="n">
        <v>150.8</v>
      </c>
      <c r="N218" s="7" t="n">
        <v>234.6</v>
      </c>
      <c r="P218" s="7" t="n">
        <v>303.2</v>
      </c>
      <c r="R218" s="7" t="n">
        <v>79.7</v>
      </c>
      <c r="T218" s="7" t="n">
        <v>99.2</v>
      </c>
      <c r="V218" s="7" t="n">
        <v>173.1</v>
      </c>
      <c r="X218" s="7" t="n">
        <v>66.59999999999999</v>
      </c>
      <c r="Z218" s="7" t="n">
        <v>121.2</v>
      </c>
      <c r="AB218" s="7" t="n">
        <v>1736.2</v>
      </c>
    </row>
    <row r="219">
      <c r="A219" s="4" t="inlineStr">
        <is>
          <t>快递费</t>
        </is>
      </c>
      <c r="D219" s="7" t="n">
        <v>117.2</v>
      </c>
      <c r="F219" s="7" t="n">
        <v>187.1</v>
      </c>
      <c r="H219" s="7" t="n">
        <v>198</v>
      </c>
      <c r="J219" s="7" t="n">
        <v>265.4</v>
      </c>
      <c r="L219" s="7" t="n">
        <v>146.9</v>
      </c>
      <c r="N219" s="7" t="n">
        <v>347.4</v>
      </c>
      <c r="P219" s="7" t="n">
        <v>436.3</v>
      </c>
      <c r="R219" s="7" t="n">
        <v>90.7</v>
      </c>
      <c r="T219" s="7" t="n">
        <v>86.8</v>
      </c>
      <c r="V219" s="7" t="n">
        <v>221.3</v>
      </c>
      <c r="X219" s="7" t="n">
        <v>124.3</v>
      </c>
      <c r="Z219" s="7" t="n">
        <v>148.8</v>
      </c>
      <c r="AB219" s="7" t="n">
        <v>2370.2</v>
      </c>
    </row>
    <row r="220">
      <c r="A220" s="4" t="inlineStr">
        <is>
          <t>诉讼费</t>
        </is>
      </c>
      <c r="D220" s="7" t="n">
        <v>283.8</v>
      </c>
      <c r="F220" s="7" t="n">
        <v>234.3</v>
      </c>
      <c r="H220" s="7" t="n">
        <v>298</v>
      </c>
      <c r="J220" s="7" t="n">
        <v>442.8</v>
      </c>
      <c r="L220" s="7" t="n">
        <v>292.7</v>
      </c>
      <c r="N220" s="7" t="n">
        <v>646.5</v>
      </c>
      <c r="P220" s="7" t="n">
        <v>525.1</v>
      </c>
      <c r="R220" s="7" t="n">
        <v>124.2</v>
      </c>
      <c r="T220" s="7" t="n">
        <v>145</v>
      </c>
      <c r="V220" s="7" t="n">
        <v>443.2</v>
      </c>
      <c r="X220" s="7" t="n">
        <v>217.2</v>
      </c>
      <c r="Z220" s="7" t="n">
        <v>235.7</v>
      </c>
      <c r="AB220" s="7" t="n">
        <v>3888.5</v>
      </c>
    </row>
    <row r="221">
      <c r="A221" s="4" t="inlineStr">
        <is>
          <t>会员费</t>
        </is>
      </c>
      <c r="D221" s="7" t="n">
        <v>168.5</v>
      </c>
      <c r="F221" s="7" t="n">
        <v>213.5</v>
      </c>
      <c r="H221" s="7" t="n">
        <v>251.5</v>
      </c>
      <c r="J221" s="7" t="n">
        <v>444.4</v>
      </c>
      <c r="L221" s="7" t="n">
        <v>309.3</v>
      </c>
      <c r="N221" s="7" t="n">
        <v>607.8</v>
      </c>
      <c r="P221" s="7" t="n">
        <v>447.7</v>
      </c>
      <c r="R221" s="7" t="n">
        <v>159.8</v>
      </c>
      <c r="T221" s="7" t="n">
        <v>188.3</v>
      </c>
      <c r="V221" s="7" t="n">
        <v>297.1</v>
      </c>
      <c r="X221" s="7" t="n">
        <v>141.8</v>
      </c>
      <c r="Z221" s="7" t="n">
        <v>198.1</v>
      </c>
      <c r="AB221" s="7" t="n">
        <v>3427.8</v>
      </c>
    </row>
    <row r="222">
      <c r="A222" s="4" t="inlineStr">
        <is>
          <t>广告宣传费</t>
        </is>
      </c>
      <c r="D222" s="7" t="n">
        <v>1300.4</v>
      </c>
      <c r="F222" s="7" t="n">
        <v>1125</v>
      </c>
      <c r="H222" s="7" t="n">
        <v>1352.6</v>
      </c>
      <c r="J222" s="7" t="n">
        <v>2133.9</v>
      </c>
      <c r="L222" s="7" t="n">
        <v>1766.1</v>
      </c>
      <c r="N222" s="7" t="n">
        <v>1991</v>
      </c>
      <c r="P222" s="7" t="n">
        <v>2667.9</v>
      </c>
      <c r="R222" s="7" t="n">
        <v>793.9</v>
      </c>
      <c r="T222" s="7" t="n">
        <v>614.8</v>
      </c>
      <c r="V222" s="7" t="n">
        <v>2069.6</v>
      </c>
      <c r="X222" s="7" t="n">
        <v>629.9</v>
      </c>
      <c r="Z222" s="7" t="n">
        <v>939.5</v>
      </c>
      <c r="AB222" s="7" t="n">
        <v>17384.6</v>
      </c>
    </row>
    <row r="223">
      <c r="A223" s="4" t="inlineStr">
        <is>
          <t>会务费</t>
        </is>
      </c>
      <c r="D223" s="7" t="n">
        <v>146.9</v>
      </c>
      <c r="F223" s="7" t="n">
        <v>184.3</v>
      </c>
      <c r="H223" s="7" t="n">
        <v>234.4</v>
      </c>
      <c r="J223" s="7" t="n">
        <v>396.4</v>
      </c>
      <c r="L223" s="7" t="n">
        <v>209</v>
      </c>
      <c r="N223" s="7" t="n">
        <v>423.9</v>
      </c>
      <c r="P223" s="7" t="n">
        <v>581.5</v>
      </c>
      <c r="R223" s="7" t="n">
        <v>94.8</v>
      </c>
      <c r="T223" s="7" t="n">
        <v>120.7</v>
      </c>
      <c r="V223" s="7" t="n">
        <v>237.2</v>
      </c>
      <c r="X223" s="7" t="n">
        <v>120.2</v>
      </c>
      <c r="Z223" s="7" t="n">
        <v>172</v>
      </c>
      <c r="AB223" s="7" t="n">
        <v>2921.3</v>
      </c>
    </row>
    <row r="224">
      <c r="A224" s="4" t="inlineStr">
        <is>
          <t>装修费</t>
        </is>
      </c>
      <c r="D224" s="7" t="n">
        <v>211.8</v>
      </c>
      <c r="F224" s="7" t="n">
        <v>184.5</v>
      </c>
      <c r="H224" s="7" t="n">
        <v>146.9</v>
      </c>
      <c r="J224" s="7" t="n">
        <v>364.5</v>
      </c>
      <c r="L224" s="7" t="n">
        <v>212.6</v>
      </c>
      <c r="N224" s="7" t="n">
        <v>264</v>
      </c>
      <c r="P224" s="7" t="n">
        <v>314.8</v>
      </c>
      <c r="R224" s="7" t="n">
        <v>113.2</v>
      </c>
      <c r="T224" s="7" t="n">
        <v>146.5</v>
      </c>
      <c r="V224" s="7" t="n">
        <v>203.2</v>
      </c>
      <c r="X224" s="7" t="n">
        <v>136.4</v>
      </c>
      <c r="Z224" s="7" t="n">
        <v>191.3</v>
      </c>
      <c r="AB224" s="7" t="n">
        <v>2489.7</v>
      </c>
    </row>
    <row r="225">
      <c r="A225" s="4" t="inlineStr">
        <is>
          <t>推广费</t>
        </is>
      </c>
      <c r="D225" s="7" t="n">
        <v>228.4</v>
      </c>
      <c r="F225" s="7" t="n">
        <v>181.8</v>
      </c>
      <c r="H225" s="7" t="n">
        <v>172.5</v>
      </c>
      <c r="J225" s="7" t="n">
        <v>362.4</v>
      </c>
      <c r="L225" s="7" t="n">
        <v>277.9</v>
      </c>
      <c r="N225" s="7" t="n">
        <v>343.8</v>
      </c>
      <c r="P225" s="7" t="n">
        <v>397.1</v>
      </c>
      <c r="R225" s="7" t="n">
        <v>123.2</v>
      </c>
      <c r="T225" s="7" t="n">
        <v>176.5</v>
      </c>
      <c r="V225" s="7" t="n">
        <v>323.9</v>
      </c>
      <c r="X225" s="7" t="n">
        <v>170.5</v>
      </c>
      <c r="Z225" s="7" t="n">
        <v>227</v>
      </c>
      <c r="AB225" s="7" t="n">
        <v>2985</v>
      </c>
    </row>
    <row r="226">
      <c r="A226" s="4" t="inlineStr">
        <is>
          <t>展会费</t>
        </is>
      </c>
      <c r="D226" s="7" t="n">
        <v>11.2</v>
      </c>
      <c r="F226" s="7" t="n">
        <v>14.9</v>
      </c>
      <c r="H226" s="7" t="n">
        <v>10.2</v>
      </c>
      <c r="J226" s="7" t="n">
        <v>29.2</v>
      </c>
      <c r="L226" s="7" t="n">
        <v>11.8</v>
      </c>
      <c r="N226" s="7" t="n">
        <v>25.7</v>
      </c>
      <c r="P226" s="7" t="n">
        <v>38</v>
      </c>
      <c r="R226" s="7" t="n">
        <v>9.4</v>
      </c>
      <c r="T226" s="7" t="n">
        <v>11.1</v>
      </c>
      <c r="V226" s="7" t="n">
        <v>15.9</v>
      </c>
      <c r="X226" s="7" t="n">
        <v>8.800000000000001</v>
      </c>
      <c r="Z226" s="7" t="n">
        <v>7.7</v>
      </c>
      <c r="AB226" s="7" t="n">
        <v>193.9</v>
      </c>
    </row>
    <row r="227">
      <c r="A227" s="4" t="inlineStr">
        <is>
          <t>设计费</t>
        </is>
      </c>
      <c r="D227" s="7" t="n">
        <v>313.5</v>
      </c>
      <c r="F227" s="7" t="n">
        <v>259.4</v>
      </c>
      <c r="H227" s="7" t="n">
        <v>219.2</v>
      </c>
      <c r="J227" s="7" t="n">
        <v>373.8</v>
      </c>
      <c r="L227" s="7" t="n">
        <v>384.4</v>
      </c>
      <c r="N227" s="7" t="n">
        <v>584.6</v>
      </c>
      <c r="P227" s="7" t="n">
        <v>536</v>
      </c>
      <c r="R227" s="7" t="n">
        <v>195.4</v>
      </c>
      <c r="T227" s="7" t="n">
        <v>227.1</v>
      </c>
      <c r="V227" s="7" t="n">
        <v>302.1</v>
      </c>
      <c r="X227" s="7" t="n">
        <v>148.9</v>
      </c>
      <c r="Z227" s="7" t="n">
        <v>172.8</v>
      </c>
      <c r="AB227" s="7" t="n">
        <v>3717.2</v>
      </c>
    </row>
    <row r="228">
      <c r="A228" s="4" t="inlineStr">
        <is>
          <t>折旧费</t>
        </is>
      </c>
      <c r="D228" s="7" t="n">
        <v>1190</v>
      </c>
      <c r="F228" s="7" t="n">
        <v>1377.4</v>
      </c>
      <c r="H228" s="7" t="n">
        <v>1217.4</v>
      </c>
      <c r="J228" s="7" t="n">
        <v>2213.7</v>
      </c>
      <c r="L228" s="7" t="n">
        <v>1884</v>
      </c>
      <c r="N228" s="7" t="n">
        <v>4105.6</v>
      </c>
      <c r="P228" s="7" t="n">
        <v>3004.2</v>
      </c>
      <c r="R228" s="7" t="n">
        <v>1200.8</v>
      </c>
      <c r="T228" s="7" t="n">
        <v>1431.5</v>
      </c>
      <c r="V228" s="7" t="n">
        <v>1646.3</v>
      </c>
      <c r="X228" s="7" t="n">
        <v>1376.1</v>
      </c>
      <c r="Z228" s="7" t="n">
        <v>1279.3</v>
      </c>
      <c r="AB228" s="7" t="n">
        <v>21926.3</v>
      </c>
    </row>
    <row r="229">
      <c r="A229" s="4" t="inlineStr">
        <is>
          <t>认证费</t>
        </is>
      </c>
      <c r="D229" s="7" t="n">
        <v>24.8</v>
      </c>
      <c r="F229" s="7" t="n">
        <v>15.4</v>
      </c>
      <c r="H229" s="7" t="n">
        <v>24</v>
      </c>
      <c r="J229" s="7" t="n">
        <v>29.6</v>
      </c>
      <c r="L229" s="7" t="n">
        <v>24.9</v>
      </c>
      <c r="N229" s="7" t="n">
        <v>34.2</v>
      </c>
      <c r="P229" s="7" t="n">
        <v>40.5</v>
      </c>
      <c r="R229" s="7" t="n">
        <v>14.7</v>
      </c>
      <c r="T229" s="7" t="n">
        <v>15.6</v>
      </c>
      <c r="V229" s="7" t="n">
        <v>25.1</v>
      </c>
      <c r="X229" s="7" t="n">
        <v>17.4</v>
      </c>
      <c r="Z229" s="7" t="n">
        <v>12.8</v>
      </c>
      <c r="AB229" s="7" t="n">
        <v>279</v>
      </c>
    </row>
    <row r="230">
      <c r="A230" s="4" t="inlineStr">
        <is>
          <t>样品费</t>
        </is>
      </c>
      <c r="D230" s="7" t="n">
        <v>631.6</v>
      </c>
      <c r="F230" s="7" t="n">
        <v>960.8</v>
      </c>
      <c r="H230" s="7" t="n">
        <v>900.1</v>
      </c>
      <c r="J230" s="7" t="n">
        <v>1055.4</v>
      </c>
      <c r="L230" s="7" t="n">
        <v>1224.2</v>
      </c>
      <c r="N230" s="7" t="n">
        <v>1610.4</v>
      </c>
      <c r="P230" s="7" t="n">
        <v>2342.9</v>
      </c>
      <c r="R230" s="7" t="n">
        <v>376</v>
      </c>
      <c r="T230" s="7" t="n">
        <v>430</v>
      </c>
      <c r="V230" s="7" t="n">
        <v>844.5</v>
      </c>
      <c r="X230" s="7" t="n">
        <v>560.4</v>
      </c>
      <c r="Z230" s="7" t="n">
        <v>833.3</v>
      </c>
      <c r="AB230" s="7" t="n">
        <v>11769.6</v>
      </c>
    </row>
    <row r="231">
      <c r="A231" s="4" t="inlineStr">
        <is>
          <t>劳务费</t>
        </is>
      </c>
      <c r="D231" s="7" t="n">
        <v>62</v>
      </c>
      <c r="F231" s="7" t="n">
        <v>75</v>
      </c>
      <c r="H231" s="7" t="n">
        <v>89.59999999999999</v>
      </c>
      <c r="J231" s="7" t="n">
        <v>171.4</v>
      </c>
      <c r="L231" s="7" t="n">
        <v>99.59999999999999</v>
      </c>
      <c r="N231" s="7" t="n">
        <v>199.9</v>
      </c>
      <c r="P231" s="7" t="n">
        <v>191.6</v>
      </c>
      <c r="R231" s="7" t="n">
        <v>49.3</v>
      </c>
      <c r="T231" s="7" t="n">
        <v>55.5</v>
      </c>
      <c r="V231" s="7" t="n">
        <v>93.09999999999999</v>
      </c>
      <c r="X231" s="7" t="n">
        <v>51.6</v>
      </c>
      <c r="Z231" s="7" t="n">
        <v>71.8</v>
      </c>
      <c r="AB231" s="7" t="n">
        <v>1210.4</v>
      </c>
    </row>
    <row r="232">
      <c r="A232" s="4" t="inlineStr">
        <is>
          <t>销售佣金</t>
        </is>
      </c>
      <c r="D232" s="7" t="n">
        <v>74.3</v>
      </c>
      <c r="F232" s="7" t="n">
        <v>45.2</v>
      </c>
      <c r="H232" s="7" t="n">
        <v>80</v>
      </c>
      <c r="J232" s="7" t="n">
        <v>117.6</v>
      </c>
      <c r="L232" s="7" t="n">
        <v>79.90000000000001</v>
      </c>
      <c r="N232" s="7" t="n">
        <v>95.5</v>
      </c>
      <c r="P232" s="7" t="n">
        <v>200.5</v>
      </c>
      <c r="R232" s="7" t="n">
        <v>30.2</v>
      </c>
      <c r="T232" s="7" t="n">
        <v>46.7</v>
      </c>
      <c r="V232" s="7" t="n">
        <v>74</v>
      </c>
      <c r="X232" s="7" t="n">
        <v>36.6</v>
      </c>
      <c r="Z232" s="7" t="n">
        <v>42.6</v>
      </c>
      <c r="AB232" s="7" t="n">
        <v>923.1</v>
      </c>
    </row>
    <row r="233">
      <c r="A233" s="4" t="inlineStr">
        <is>
          <t>检测费</t>
        </is>
      </c>
      <c r="D233" s="7" t="n">
        <v>113.2</v>
      </c>
      <c r="F233" s="7" t="n">
        <v>65.8</v>
      </c>
      <c r="H233" s="7" t="n">
        <v>78.59999999999999</v>
      </c>
      <c r="J233" s="7" t="n">
        <v>214.8</v>
      </c>
      <c r="L233" s="7" t="n">
        <v>90.59999999999999</v>
      </c>
      <c r="N233" s="7" t="n">
        <v>132.8</v>
      </c>
      <c r="P233" s="7" t="n">
        <v>239.6</v>
      </c>
      <c r="R233" s="7" t="n">
        <v>54.7</v>
      </c>
      <c r="T233" s="7" t="n">
        <v>71.40000000000001</v>
      </c>
      <c r="V233" s="7" t="n">
        <v>115.5</v>
      </c>
      <c r="X233" s="7" t="n">
        <v>59.2</v>
      </c>
      <c r="Z233" s="7" t="n">
        <v>67</v>
      </c>
      <c r="AB233" s="7" t="n">
        <v>1303.2</v>
      </c>
    </row>
    <row r="234">
      <c r="A234" s="4" t="inlineStr">
        <is>
          <t>质量赔偿</t>
        </is>
      </c>
      <c r="D234" s="7" t="n">
        <v>73.09999999999999</v>
      </c>
      <c r="F234" s="7" t="n">
        <v>78</v>
      </c>
      <c r="H234" s="7" t="n">
        <v>106.5</v>
      </c>
      <c r="J234" s="7" t="n">
        <v>169.3</v>
      </c>
      <c r="L234" s="7" t="n">
        <v>95.59999999999999</v>
      </c>
      <c r="N234" s="7" t="n">
        <v>133.8</v>
      </c>
      <c r="P234" s="7" t="n">
        <v>175.4</v>
      </c>
      <c r="R234" s="7" t="n">
        <v>51.8</v>
      </c>
      <c r="T234" s="7" t="n">
        <v>63.8</v>
      </c>
      <c r="V234" s="7" t="n">
        <v>145</v>
      </c>
      <c r="X234" s="7" t="n">
        <v>78.2</v>
      </c>
      <c r="Z234" s="7" t="n">
        <v>76.2</v>
      </c>
      <c r="AB234" s="7" t="n">
        <v>1246.7</v>
      </c>
    </row>
    <row r="235">
      <c r="A235" s="4" t="inlineStr">
        <is>
          <t>保险费</t>
        </is>
      </c>
      <c r="D235" s="7" t="n">
        <v>161.6</v>
      </c>
      <c r="F235" s="7" t="n">
        <v>119</v>
      </c>
      <c r="H235" s="7" t="n">
        <v>147.7</v>
      </c>
      <c r="J235" s="7" t="n">
        <v>333.1</v>
      </c>
      <c r="L235" s="7" t="n">
        <v>162.3</v>
      </c>
      <c r="N235" s="7" t="n">
        <v>300.8</v>
      </c>
      <c r="P235" s="7" t="n">
        <v>354.2</v>
      </c>
      <c r="R235" s="7" t="n">
        <v>114.6</v>
      </c>
      <c r="T235" s="7" t="n">
        <v>107.3</v>
      </c>
      <c r="V235" s="7" t="n">
        <v>248.5</v>
      </c>
      <c r="X235" s="7" t="n">
        <v>70.2</v>
      </c>
      <c r="Z235" s="7" t="n">
        <v>93.5</v>
      </c>
      <c r="AB235" s="7" t="n">
        <v>2212.8</v>
      </c>
    </row>
    <row r="236">
      <c r="A236" s="4" t="inlineStr">
        <is>
          <t>清洁费</t>
        </is>
      </c>
      <c r="D236" s="7" t="n">
        <v>294.2</v>
      </c>
      <c r="F236" s="7" t="n">
        <v>226.9</v>
      </c>
      <c r="H236" s="7" t="n">
        <v>257.6</v>
      </c>
      <c r="J236" s="7" t="n">
        <v>616.3</v>
      </c>
      <c r="L236" s="7" t="n">
        <v>387.5</v>
      </c>
      <c r="N236" s="7" t="n">
        <v>426.1</v>
      </c>
      <c r="P236" s="7" t="n">
        <v>591.2</v>
      </c>
      <c r="R236" s="7" t="n">
        <v>162.6</v>
      </c>
      <c r="T236" s="7" t="n">
        <v>227.8</v>
      </c>
      <c r="V236" s="7" t="n">
        <v>426</v>
      </c>
      <c r="X236" s="7" t="n">
        <v>144.6</v>
      </c>
      <c r="Z236" s="7" t="n">
        <v>242</v>
      </c>
      <c r="AB236" s="7" t="n">
        <v>4002.8</v>
      </c>
    </row>
    <row r="237">
      <c r="A237" s="4" t="inlineStr">
        <is>
          <t>低值易耗品</t>
        </is>
      </c>
      <c r="D237" s="7" t="n">
        <v>18.2</v>
      </c>
      <c r="F237" s="7" t="n">
        <v>20.6</v>
      </c>
      <c r="H237" s="7" t="n">
        <v>26.8</v>
      </c>
      <c r="J237" s="7" t="n">
        <v>39</v>
      </c>
      <c r="L237" s="7" t="n">
        <v>24.9</v>
      </c>
      <c r="N237" s="7" t="n">
        <v>38.6</v>
      </c>
      <c r="P237" s="7" t="n">
        <v>68.8</v>
      </c>
      <c r="R237" s="7" t="n">
        <v>13.9</v>
      </c>
      <c r="T237" s="7" t="n">
        <v>17.7</v>
      </c>
      <c r="V237" s="7" t="n">
        <v>23</v>
      </c>
      <c r="X237" s="7" t="n">
        <v>18.9</v>
      </c>
      <c r="Z237" s="7" t="n">
        <v>21.3</v>
      </c>
      <c r="AB237" s="7" t="n">
        <v>331.7</v>
      </c>
    </row>
    <row r="238">
      <c r="A238" s="4" t="inlineStr">
        <is>
          <t>物料消耗</t>
        </is>
      </c>
      <c r="D238" s="7" t="n">
        <v>87.5</v>
      </c>
      <c r="F238" s="7" t="n">
        <v>48.9</v>
      </c>
      <c r="H238" s="7" t="n">
        <v>87.59999999999999</v>
      </c>
      <c r="J238" s="7" t="n">
        <v>135.9</v>
      </c>
      <c r="L238" s="7" t="n">
        <v>109.4</v>
      </c>
      <c r="N238" s="7" t="n">
        <v>136.3</v>
      </c>
      <c r="P238" s="7" t="n">
        <v>144.1</v>
      </c>
      <c r="R238" s="7" t="n">
        <v>32.5</v>
      </c>
      <c r="T238" s="7" t="n">
        <v>57.4</v>
      </c>
      <c r="V238" s="7" t="n">
        <v>94.3</v>
      </c>
      <c r="X238" s="7" t="n">
        <v>58.6</v>
      </c>
      <c r="Z238" s="7" t="n">
        <v>75.90000000000001</v>
      </c>
      <c r="AB238" s="7" t="n">
        <v>1068.4</v>
      </c>
    </row>
    <row r="239">
      <c r="A239" s="4" t="inlineStr">
        <is>
          <t>盘盈盘亏</t>
        </is>
      </c>
      <c r="D239" s="7" t="n">
        <v>1</v>
      </c>
      <c r="F239" s="7" t="n">
        <v>1</v>
      </c>
      <c r="H239" s="7" t="n">
        <v>0.9</v>
      </c>
      <c r="J239" s="7" t="n">
        <v>1.8</v>
      </c>
      <c r="L239" s="7" t="n">
        <v>1.2</v>
      </c>
      <c r="N239" s="7" t="n">
        <v>2.3</v>
      </c>
      <c r="P239" s="7" t="n">
        <v>2.6</v>
      </c>
      <c r="R239" s="7" t="n">
        <v>0.4</v>
      </c>
      <c r="T239" s="7" t="n">
        <v>0.5</v>
      </c>
      <c r="V239" s="7" t="n">
        <v>1</v>
      </c>
      <c r="X239" s="7" t="n">
        <v>0.6</v>
      </c>
      <c r="Z239" s="7" t="n">
        <v>0.6</v>
      </c>
      <c r="AB239" s="7" t="n">
        <v>13.9</v>
      </c>
    </row>
    <row r="240">
      <c r="A240" s="4" t="inlineStr">
        <is>
          <t>平台服务费</t>
        </is>
      </c>
      <c r="D240" s="7" t="n">
        <v>101.9</v>
      </c>
      <c r="F240" s="7" t="n">
        <v>115.7</v>
      </c>
      <c r="H240" s="7" t="n">
        <v>158</v>
      </c>
      <c r="J240" s="7" t="n">
        <v>196.8</v>
      </c>
      <c r="L240" s="7" t="n">
        <v>131.5</v>
      </c>
      <c r="N240" s="7" t="n">
        <v>269.7</v>
      </c>
      <c r="P240" s="7" t="n">
        <v>263.6</v>
      </c>
      <c r="R240" s="7" t="n">
        <v>84.90000000000001</v>
      </c>
      <c r="T240" s="7" t="n">
        <v>81.5</v>
      </c>
      <c r="V240" s="7" t="n">
        <v>182</v>
      </c>
      <c r="X240" s="7" t="n">
        <v>88.8</v>
      </c>
      <c r="Z240" s="7" t="n">
        <v>138.1</v>
      </c>
      <c r="AB240" s="7" t="n">
        <v>1812.5</v>
      </c>
    </row>
    <row r="241">
      <c r="A241" s="4" t="inlineStr">
        <is>
          <t>无形资产摊销</t>
        </is>
      </c>
      <c r="D241" s="7" t="n">
        <v>127.6</v>
      </c>
      <c r="F241" s="7" t="n">
        <v>141.7</v>
      </c>
      <c r="H241" s="7" t="n">
        <v>149</v>
      </c>
      <c r="J241" s="7" t="n">
        <v>186.3</v>
      </c>
      <c r="L241" s="7" t="n">
        <v>142.2</v>
      </c>
      <c r="N241" s="7" t="n">
        <v>198.4</v>
      </c>
      <c r="P241" s="7" t="n">
        <v>393.4</v>
      </c>
      <c r="R241" s="7" t="n">
        <v>74.09999999999999</v>
      </c>
      <c r="T241" s="7" t="n">
        <v>104.4</v>
      </c>
      <c r="V241" s="7" t="n">
        <v>143.8</v>
      </c>
      <c r="X241" s="7" t="n">
        <v>87.5</v>
      </c>
      <c r="Z241" s="7" t="n">
        <v>138.8</v>
      </c>
      <c r="AB241" s="7" t="n">
        <v>1887.2</v>
      </c>
    </row>
    <row r="242">
      <c r="A242" s="4" t="inlineStr">
        <is>
          <t>研发材料</t>
        </is>
      </c>
      <c r="D242" s="7" t="n">
        <v>235.6</v>
      </c>
      <c r="F242" s="7" t="n">
        <v>162.1</v>
      </c>
      <c r="H242" s="7" t="n">
        <v>135.5</v>
      </c>
      <c r="J242" s="7" t="n">
        <v>420.5</v>
      </c>
      <c r="L242" s="7" t="n">
        <v>256.8</v>
      </c>
      <c r="N242" s="7" t="n">
        <v>300</v>
      </c>
      <c r="P242" s="7" t="n">
        <v>586.3</v>
      </c>
      <c r="R242" s="7" t="n">
        <v>146</v>
      </c>
      <c r="T242" s="7" t="n">
        <v>165.3</v>
      </c>
      <c r="V242" s="7" t="n">
        <v>199.9</v>
      </c>
      <c r="X242" s="7" t="n">
        <v>137.8</v>
      </c>
      <c r="Z242" s="7" t="n">
        <v>167.8</v>
      </c>
      <c r="AB242" s="7" t="n">
        <v>2913.6</v>
      </c>
    </row>
    <row r="243">
      <c r="A243" s="4" t="inlineStr">
        <is>
          <t>项目名称</t>
        </is>
      </c>
      <c r="D243" s="7" t="n">
        <v>172.5</v>
      </c>
      <c r="F243" s="7" t="n">
        <v>294.2</v>
      </c>
      <c r="H243" s="7" t="n">
        <v>216.2</v>
      </c>
      <c r="J243" s="7" t="n">
        <v>492.9</v>
      </c>
      <c r="L243" s="7" t="n">
        <v>364.7</v>
      </c>
      <c r="N243" s="7" t="n">
        <v>441</v>
      </c>
      <c r="P243" s="7" t="n">
        <v>596.5</v>
      </c>
      <c r="R243" s="7" t="n">
        <v>194.8</v>
      </c>
      <c r="T243" s="7" t="n">
        <v>182.6</v>
      </c>
      <c r="V243" s="7" t="n">
        <v>321</v>
      </c>
      <c r="X243" s="7" t="n">
        <v>140.4</v>
      </c>
      <c r="Z243" s="7" t="n">
        <v>161.9</v>
      </c>
      <c r="AB243" s="7" t="n">
        <v>3578.7</v>
      </c>
    </row>
    <row r="244">
      <c r="A244" s="4" t="inlineStr">
        <is>
          <t>研发费</t>
        </is>
      </c>
      <c r="D244" s="7" t="n">
        <v>173.5</v>
      </c>
      <c r="F244" s="7" t="n">
        <v>97.8</v>
      </c>
      <c r="H244" s="7" t="n">
        <v>127.4</v>
      </c>
      <c r="J244" s="7" t="n">
        <v>285.7</v>
      </c>
      <c r="L244" s="7" t="n">
        <v>210.8</v>
      </c>
      <c r="N244" s="7" t="n">
        <v>317.7</v>
      </c>
      <c r="P244" s="7" t="n">
        <v>315.3</v>
      </c>
      <c r="R244" s="7" t="n">
        <v>77.90000000000001</v>
      </c>
      <c r="T244" s="7" t="n">
        <v>107.8</v>
      </c>
      <c r="V244" s="7" t="n">
        <v>234.8</v>
      </c>
      <c r="X244" s="7" t="n">
        <v>75.5</v>
      </c>
      <c r="Z244" s="7" t="n">
        <v>141.1</v>
      </c>
      <c r="AB244" s="7" t="n">
        <v>2165.3</v>
      </c>
    </row>
    <row r="245">
      <c r="A245" s="4" t="inlineStr">
        <is>
          <t>残保金</t>
        </is>
      </c>
      <c r="D245" s="7" t="n">
        <v>152.8</v>
      </c>
      <c r="F245" s="7" t="n">
        <v>210.7</v>
      </c>
      <c r="H245" s="7" t="n">
        <v>178</v>
      </c>
      <c r="J245" s="7" t="n">
        <v>387.3</v>
      </c>
      <c r="L245" s="7" t="n">
        <v>281</v>
      </c>
      <c r="N245" s="7" t="n">
        <v>346.3</v>
      </c>
      <c r="P245" s="7" t="n">
        <v>608.5</v>
      </c>
      <c r="R245" s="7" t="n">
        <v>96.8</v>
      </c>
      <c r="T245" s="7" t="n">
        <v>102.6</v>
      </c>
      <c r="V245" s="7" t="n">
        <v>203</v>
      </c>
      <c r="X245" s="7" t="n">
        <v>137.9</v>
      </c>
      <c r="Z245" s="7" t="n">
        <v>177.4</v>
      </c>
      <c r="AB245" s="7" t="n">
        <v>2882.3</v>
      </c>
    </row>
    <row r="246">
      <c r="A246" s="4" t="inlineStr">
        <is>
          <t>环保费</t>
        </is>
      </c>
      <c r="D246" s="7" t="n">
        <v>115.4</v>
      </c>
      <c r="F246" s="7" t="n">
        <v>128.8</v>
      </c>
      <c r="H246" s="7" t="n">
        <v>148.2</v>
      </c>
      <c r="J246" s="7" t="n">
        <v>387.4</v>
      </c>
      <c r="L246" s="7" t="n">
        <v>197.8</v>
      </c>
      <c r="N246" s="7" t="n">
        <v>358.4</v>
      </c>
      <c r="P246" s="7" t="n">
        <v>283.6</v>
      </c>
      <c r="R246" s="7" t="n">
        <v>129.6</v>
      </c>
      <c r="T246" s="7" t="n">
        <v>111.5</v>
      </c>
      <c r="V246" s="7" t="n">
        <v>227.8</v>
      </c>
      <c r="X246" s="7" t="n">
        <v>84.59999999999999</v>
      </c>
      <c r="Z246" s="7" t="n">
        <v>108.5</v>
      </c>
      <c r="AB246" s="7" t="n">
        <v>2281.6</v>
      </c>
    </row>
    <row r="247">
      <c r="A247" s="4" t="inlineStr">
        <is>
          <t>报废损失</t>
        </is>
      </c>
      <c r="D247" s="7" t="n">
        <v>64.5</v>
      </c>
      <c r="F247" s="7" t="n">
        <v>63.8</v>
      </c>
      <c r="H247" s="7" t="n">
        <v>67.3</v>
      </c>
      <c r="J247" s="7" t="n">
        <v>92.90000000000001</v>
      </c>
      <c r="L247" s="7" t="n">
        <v>86.90000000000001</v>
      </c>
      <c r="N247" s="7" t="n">
        <v>97.59999999999999</v>
      </c>
      <c r="P247" s="7" t="n">
        <v>163.3</v>
      </c>
      <c r="R247" s="7" t="n">
        <v>38.4</v>
      </c>
      <c r="T247" s="7" t="n">
        <v>29.3</v>
      </c>
      <c r="V247" s="7" t="n">
        <v>93.7</v>
      </c>
      <c r="X247" s="7" t="n">
        <v>41.2</v>
      </c>
      <c r="Z247" s="7" t="n">
        <v>63.8</v>
      </c>
      <c r="AB247" s="7" t="n">
        <v>902.7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10777.4</v>
      </c>
      <c r="D248" s="7" t="n">
        <v>17874.2</v>
      </c>
      <c r="E248" s="7" t="n">
        <v>10938.4</v>
      </c>
      <c r="F248" s="7" t="n">
        <v>14606.2</v>
      </c>
      <c r="G248" s="7" t="n">
        <v>9913.200000000001</v>
      </c>
      <c r="H248" s="7" t="n">
        <v>9808.9</v>
      </c>
      <c r="I248" s="7" t="n">
        <v>9273.299999999999</v>
      </c>
      <c r="J248" s="7" t="n">
        <v>2651.5</v>
      </c>
      <c r="K248" s="7" t="n">
        <v>10684.6</v>
      </c>
      <c r="L248" s="7" t="n">
        <v>14203.9</v>
      </c>
      <c r="M248" s="7" t="n">
        <v>10484.3</v>
      </c>
      <c r="N248" s="7" t="n">
        <v>8618.299999999999</v>
      </c>
      <c r="O248" s="7" t="n">
        <v>8843.4</v>
      </c>
      <c r="P248" s="7" t="n">
        <v>1956.4</v>
      </c>
      <c r="Q248" s="7" t="n">
        <v>9004.6</v>
      </c>
      <c r="R248" s="7" t="n">
        <v>9397.799999999999</v>
      </c>
      <c r="S248" s="7" t="n">
        <v>8948.1</v>
      </c>
      <c r="T248" s="7" t="n">
        <v>13414.3</v>
      </c>
      <c r="U248" s="7" t="n">
        <v>9827.1</v>
      </c>
      <c r="V248" s="7" t="n">
        <v>15852.9</v>
      </c>
      <c r="W248" s="7" t="n">
        <v>10225</v>
      </c>
      <c r="X248" s="7" t="n">
        <v>10068.6</v>
      </c>
      <c r="Y248" s="7" t="n">
        <v>9522.700000000001</v>
      </c>
      <c r="Z248" s="7" t="n">
        <v>5748.1</v>
      </c>
      <c r="AA248" s="8" t="n">
        <v>118442.1</v>
      </c>
      <c r="AB248" s="8" t="n">
        <v>124201.1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2561.5</v>
      </c>
      <c r="E250" s="7" t="n">
        <v>0</v>
      </c>
      <c r="F250" s="7" t="n">
        <v>-1287.5</v>
      </c>
      <c r="G250" s="7" t="n">
        <v>0</v>
      </c>
      <c r="H250" s="7" t="n">
        <v>3936.8</v>
      </c>
      <c r="I250" s="7" t="n">
        <v>0</v>
      </c>
      <c r="J250" s="7" t="n">
        <v>-4170.1</v>
      </c>
      <c r="K250" s="7" t="n">
        <v>0</v>
      </c>
      <c r="L250" s="7" t="n">
        <v>-1816.5</v>
      </c>
      <c r="M250" s="7" t="n">
        <v>0</v>
      </c>
      <c r="N250" s="7" t="n">
        <v>-558.4</v>
      </c>
      <c r="O250" s="7" t="n">
        <v>0</v>
      </c>
      <c r="P250" s="7" t="n">
        <v>-4067.7</v>
      </c>
      <c r="Q250" s="7" t="n">
        <v>0</v>
      </c>
      <c r="R250" s="7" t="n">
        <v>-2773.3</v>
      </c>
      <c r="S250" s="7" t="n">
        <v>0</v>
      </c>
      <c r="T250" s="7" t="n">
        <v>1638.8</v>
      </c>
      <c r="U250" s="7" t="n">
        <v>0</v>
      </c>
      <c r="V250" s="7" t="n">
        <v>-4308.9</v>
      </c>
      <c r="W250" s="7" t="n">
        <v>0</v>
      </c>
      <c r="X250" s="7" t="n">
        <v>877.5</v>
      </c>
      <c r="Y250" s="7" t="n">
        <v>0</v>
      </c>
      <c r="Z250" s="7" t="n">
        <v>518.4</v>
      </c>
      <c r="AA250" s="7" t="n">
        <v>0</v>
      </c>
      <c r="AB250" s="7" t="n">
        <v>-9449.4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12525.7</v>
      </c>
      <c r="D255" s="7" t="n">
        <v>4200.4</v>
      </c>
      <c r="E255" s="7" t="n">
        <v>14068.7</v>
      </c>
      <c r="F255" s="7" t="n">
        <v>6598.6</v>
      </c>
      <c r="G255" s="7" t="n">
        <v>11864.9</v>
      </c>
      <c r="H255" s="7" t="n">
        <v>614.9</v>
      </c>
      <c r="I255" s="7" t="n">
        <v>13944.8</v>
      </c>
      <c r="J255" s="7" t="n">
        <v>8410.6</v>
      </c>
      <c r="K255" s="7" t="n">
        <v>10684.7</v>
      </c>
      <c r="L255" s="7" t="n">
        <v>14367.3</v>
      </c>
      <c r="M255" s="7" t="n">
        <v>11710.3</v>
      </c>
      <c r="N255" s="7" t="n">
        <v>11954</v>
      </c>
      <c r="O255" s="7" t="n">
        <v>11342.7</v>
      </c>
      <c r="P255" s="7" t="n">
        <v>18413.4</v>
      </c>
      <c r="Q255" s="7" t="n">
        <v>13446.8</v>
      </c>
      <c r="R255" s="7" t="n">
        <v>19204.4</v>
      </c>
      <c r="S255" s="7" t="n">
        <v>14037</v>
      </c>
      <c r="T255" s="7" t="n">
        <v>25466.4</v>
      </c>
      <c r="U255" s="7" t="n">
        <v>11304.8</v>
      </c>
      <c r="V255" s="7" t="n">
        <v>8872.799999999999</v>
      </c>
      <c r="W255" s="7" t="n">
        <v>11783.6</v>
      </c>
      <c r="X255" s="7" t="n">
        <v>9038.799999999999</v>
      </c>
      <c r="Y255" s="7" t="n">
        <v>10668.3</v>
      </c>
      <c r="Z255" s="7" t="n">
        <v>23216.2</v>
      </c>
      <c r="AA255" s="7" t="n">
        <v>147382.3</v>
      </c>
      <c r="AB255" s="7" t="n">
        <v>150357.8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226934</v>
      </c>
      <c r="D256" s="7" t="n">
        <v>77463.7</v>
      </c>
      <c r="E256" s="7" t="n">
        <v>225226.3</v>
      </c>
      <c r="F256" s="7" t="n">
        <v>95782.2</v>
      </c>
      <c r="G256" s="7" t="n">
        <v>192653.7</v>
      </c>
      <c r="H256" s="7" t="n">
        <v>205755.5</v>
      </c>
      <c r="I256" s="7" t="n">
        <v>219593.7</v>
      </c>
      <c r="J256" s="7" t="n">
        <v>189926.2</v>
      </c>
      <c r="K256" s="7" t="n">
        <v>203367.3</v>
      </c>
      <c r="L256" s="7" t="n">
        <v>270986.9</v>
      </c>
      <c r="M256" s="7" t="n">
        <v>192333.4</v>
      </c>
      <c r="N256" s="7" t="n">
        <v>228044.3</v>
      </c>
      <c r="O256" s="7" t="n">
        <v>179359.8</v>
      </c>
      <c r="P256" s="7" t="n">
        <v>392266.5</v>
      </c>
      <c r="Q256" s="7" t="n">
        <v>179502.9</v>
      </c>
      <c r="R256" s="7" t="n">
        <v>227958.9</v>
      </c>
      <c r="S256" s="7" t="n">
        <v>196725.7</v>
      </c>
      <c r="T256" s="7" t="n">
        <v>156609.7</v>
      </c>
      <c r="U256" s="7" t="n">
        <v>183970.9</v>
      </c>
      <c r="V256" s="7" t="n">
        <v>257713.6</v>
      </c>
      <c r="W256" s="7" t="n">
        <v>215330</v>
      </c>
      <c r="X256" s="7" t="n">
        <v>169429.4</v>
      </c>
      <c r="Y256" s="7" t="n">
        <v>182920.8</v>
      </c>
      <c r="Z256" s="7" t="n">
        <v>123131.8</v>
      </c>
      <c r="AA256" s="8" t="n">
        <v>2397918.5</v>
      </c>
      <c r="AB256" s="8" t="n">
        <v>2395068.7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722</v>
      </c>
      <c r="E257" s="7" t="n">
        <v>0</v>
      </c>
      <c r="F257" s="7" t="n">
        <v>3974.1</v>
      </c>
      <c r="G257" s="7" t="n">
        <v>0</v>
      </c>
      <c r="H257" s="7" t="n">
        <v>3378.3</v>
      </c>
      <c r="I257" s="7" t="n">
        <v>0</v>
      </c>
      <c r="J257" s="7" t="n">
        <v>1455.6</v>
      </c>
      <c r="K257" s="7" t="n">
        <v>0</v>
      </c>
      <c r="L257" s="7" t="n">
        <v>906.4</v>
      </c>
      <c r="M257" s="7" t="n">
        <v>0</v>
      </c>
      <c r="N257" s="7" t="n">
        <v>1111.2</v>
      </c>
      <c r="O257" s="7" t="n">
        <v>0</v>
      </c>
      <c r="P257" s="7" t="n">
        <v>412.8</v>
      </c>
      <c r="Q257" s="7" t="n">
        <v>0</v>
      </c>
      <c r="R257" s="7" t="n">
        <v>3200.2</v>
      </c>
      <c r="S257" s="7" t="n">
        <v>0</v>
      </c>
      <c r="T257" s="7" t="n">
        <v>4608.1</v>
      </c>
      <c r="U257" s="7" t="n">
        <v>0</v>
      </c>
      <c r="V257" s="7" t="n">
        <v>696.5</v>
      </c>
      <c r="W257" s="7" t="n">
        <v>0</v>
      </c>
      <c r="X257" s="7" t="n">
        <v>1934.4</v>
      </c>
      <c r="Y257" s="7" t="n">
        <v>0</v>
      </c>
      <c r="Z257" s="7" t="n">
        <v>230.5</v>
      </c>
      <c r="AA257" s="7" t="n">
        <v>0</v>
      </c>
      <c r="AB257" s="7" t="n">
        <v>22630.1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60.8</v>
      </c>
      <c r="E258" s="7" t="n">
        <v>0</v>
      </c>
      <c r="F258" s="7" t="n">
        <v>2484.4</v>
      </c>
      <c r="G258" s="7" t="n">
        <v>0</v>
      </c>
      <c r="H258" s="7" t="n">
        <v>1815.3</v>
      </c>
      <c r="I258" s="7" t="n">
        <v>0</v>
      </c>
      <c r="J258" s="7" t="n">
        <v>1176.9</v>
      </c>
      <c r="K258" s="7" t="n">
        <v>0</v>
      </c>
      <c r="L258" s="7" t="n">
        <v>2714.5</v>
      </c>
      <c r="M258" s="7" t="n">
        <v>0</v>
      </c>
      <c r="N258" s="7" t="n">
        <v>2070.5</v>
      </c>
      <c r="O258" s="7" t="n">
        <v>0</v>
      </c>
      <c r="P258" s="7" t="n">
        <v>1800.3</v>
      </c>
      <c r="Q258" s="7" t="n">
        <v>0</v>
      </c>
      <c r="R258" s="7" t="n">
        <v>1327.9</v>
      </c>
      <c r="S258" s="7" t="n">
        <v>0</v>
      </c>
      <c r="T258" s="7" t="n">
        <v>297.6</v>
      </c>
      <c r="U258" s="7" t="n">
        <v>0</v>
      </c>
      <c r="V258" s="7" t="n">
        <v>886.5</v>
      </c>
      <c r="W258" s="7" t="n">
        <v>0</v>
      </c>
      <c r="X258" s="7" t="n">
        <v>470.9</v>
      </c>
      <c r="Y258" s="7" t="n">
        <v>0</v>
      </c>
      <c r="Z258" s="7" t="n">
        <v>416.5</v>
      </c>
      <c r="AA258" s="7" t="n">
        <v>0</v>
      </c>
      <c r="AB258" s="7" t="n">
        <v>15522.1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227657.2</v>
      </c>
      <c r="D259" s="7" t="n">
        <v>71747.2</v>
      </c>
      <c r="E259" s="7" t="n">
        <v>168980.6</v>
      </c>
      <c r="F259" s="7" t="n">
        <v>91989.89999999999</v>
      </c>
      <c r="G259" s="7" t="n">
        <v>181860.4</v>
      </c>
      <c r="H259" s="7" t="n">
        <v>201939.6</v>
      </c>
      <c r="I259" s="7" t="n">
        <v>176199.2</v>
      </c>
      <c r="J259" s="7" t="n">
        <v>191505.4</v>
      </c>
      <c r="K259" s="7" t="n">
        <v>189818</v>
      </c>
      <c r="L259" s="7" t="n">
        <v>285571.3</v>
      </c>
      <c r="M259" s="7" t="n">
        <v>170651.3</v>
      </c>
      <c r="N259" s="7" t="n">
        <v>246523.8</v>
      </c>
      <c r="O259" s="7" t="n">
        <v>181512.6</v>
      </c>
      <c r="P259" s="7" t="n">
        <v>381218.9</v>
      </c>
      <c r="Q259" s="7" t="n">
        <v>218636.5</v>
      </c>
      <c r="R259" s="7" t="n">
        <v>216138.7</v>
      </c>
      <c r="S259" s="7" t="n">
        <v>203595.7</v>
      </c>
      <c r="T259" s="7" t="n">
        <v>146464.3</v>
      </c>
      <c r="U259" s="7" t="n">
        <v>198460.3</v>
      </c>
      <c r="V259" s="7" t="n">
        <v>252874.8</v>
      </c>
      <c r="W259" s="7" t="n">
        <v>186669.7</v>
      </c>
      <c r="X259" s="7" t="n">
        <v>172957.7</v>
      </c>
      <c r="Y259" s="7" t="n">
        <v>215137.7</v>
      </c>
      <c r="Z259" s="7" t="n">
        <v>122512.2</v>
      </c>
      <c r="AA259" s="8" t="n">
        <v>2319179.2</v>
      </c>
      <c r="AB259" s="8" t="n">
        <v>2381443.8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54396</v>
      </c>
      <c r="D260" s="7" t="n">
        <v>17936.8</v>
      </c>
      <c r="E260" s="7" t="n">
        <v>42284.4</v>
      </c>
      <c r="F260" s="7" t="n">
        <v>22997.5</v>
      </c>
      <c r="G260" s="7" t="n">
        <v>44422.2</v>
      </c>
      <c r="H260" s="7" t="n">
        <v>50484.9</v>
      </c>
      <c r="I260" s="7" t="n">
        <v>48392.7</v>
      </c>
      <c r="J260" s="7" t="n">
        <v>47876.3</v>
      </c>
      <c r="K260" s="7" t="n">
        <v>52164.9</v>
      </c>
      <c r="L260" s="7" t="n">
        <v>71392.8</v>
      </c>
      <c r="M260" s="7" t="n">
        <v>42897</v>
      </c>
      <c r="N260" s="7" t="n">
        <v>61630.9</v>
      </c>
      <c r="O260" s="7" t="n">
        <v>50751.3</v>
      </c>
      <c r="P260" s="7" t="n">
        <v>95304.7</v>
      </c>
      <c r="Q260" s="7" t="n">
        <v>51741.6</v>
      </c>
      <c r="R260" s="7" t="n">
        <v>54034.7</v>
      </c>
      <c r="S260" s="7" t="n">
        <v>45321.5</v>
      </c>
      <c r="T260" s="7" t="n">
        <v>36616.1</v>
      </c>
      <c r="U260" s="7" t="n">
        <v>51384.5</v>
      </c>
      <c r="V260" s="7" t="n">
        <v>63218.7</v>
      </c>
      <c r="W260" s="7" t="n">
        <v>49455.8</v>
      </c>
      <c r="X260" s="7" t="n">
        <v>43239.4</v>
      </c>
      <c r="Y260" s="7" t="n">
        <v>49423.1</v>
      </c>
      <c r="Z260" s="7" t="n">
        <v>30628</v>
      </c>
      <c r="AA260" s="7" t="n">
        <v>582635</v>
      </c>
      <c r="AB260" s="7" t="n">
        <v>595360.8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139615.4</v>
      </c>
      <c r="D261" s="7" t="n">
        <v>53810.4</v>
      </c>
      <c r="E261" s="7" t="n">
        <v>136383.1</v>
      </c>
      <c r="F261" s="7" t="n">
        <v>68992.39999999999</v>
      </c>
      <c r="G261" s="7" t="n">
        <v>108729.7</v>
      </c>
      <c r="H261" s="7" t="n">
        <v>151454.7</v>
      </c>
      <c r="I261" s="7" t="n">
        <v>137311.6</v>
      </c>
      <c r="J261" s="7" t="n">
        <v>143629.1</v>
      </c>
      <c r="K261" s="7" t="n">
        <v>157850.5</v>
      </c>
      <c r="L261" s="7" t="n">
        <v>214178.5</v>
      </c>
      <c r="M261" s="7" t="n">
        <v>132790.6</v>
      </c>
      <c r="N261" s="7" t="n">
        <v>184892.9</v>
      </c>
      <c r="O261" s="7" t="n">
        <v>113689.2</v>
      </c>
      <c r="P261" s="7" t="n">
        <v>285914.2</v>
      </c>
      <c r="Q261" s="7" t="n">
        <v>180072.7</v>
      </c>
      <c r="R261" s="7" t="n">
        <v>162104</v>
      </c>
      <c r="S261" s="7" t="n">
        <v>106320.9</v>
      </c>
      <c r="T261" s="7" t="n">
        <v>109848.2</v>
      </c>
      <c r="U261" s="7" t="n">
        <v>172212.5</v>
      </c>
      <c r="V261" s="7" t="n">
        <v>189656.1</v>
      </c>
      <c r="W261" s="7" t="n">
        <v>108569.8</v>
      </c>
      <c r="X261" s="7" t="n">
        <v>129718.3</v>
      </c>
      <c r="Y261" s="7" t="n">
        <v>108857.1</v>
      </c>
      <c r="Z261" s="7" t="n">
        <v>91884.2</v>
      </c>
      <c r="AA261" s="8" t="n">
        <v>1602403.1</v>
      </c>
      <c r="AB261" s="8" t="n">
        <v>1786083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9745.6</v>
      </c>
      <c r="E262" s="7" t="n">
        <v>0</v>
      </c>
      <c r="F262" s="7" t="n">
        <v>42.7</v>
      </c>
      <c r="G262" s="7" t="n">
        <v>0</v>
      </c>
      <c r="H262" s="7" t="n">
        <v>29357.7</v>
      </c>
      <c r="I262" s="7" t="n">
        <v>0</v>
      </c>
      <c r="J262" s="7" t="n">
        <v>7920</v>
      </c>
      <c r="K262" s="7" t="n">
        <v>0</v>
      </c>
      <c r="L262" s="7" t="n">
        <v>37380.6</v>
      </c>
      <c r="M262" s="7" t="n">
        <v>0</v>
      </c>
      <c r="N262" s="7" t="n">
        <v>18947.4</v>
      </c>
      <c r="O262" s="7" t="n">
        <v>0</v>
      </c>
      <c r="P262" s="7" t="n">
        <v>8530.299999999999</v>
      </c>
      <c r="Q262" s="7" t="n">
        <v>0</v>
      </c>
      <c r="R262" s="7" t="n">
        <v>7111.1</v>
      </c>
      <c r="S262" s="7" t="n">
        <v>0</v>
      </c>
      <c r="T262" s="7" t="n">
        <v>27737.3</v>
      </c>
      <c r="U262" s="7" t="n">
        <v>0</v>
      </c>
      <c r="V262" s="7" t="n">
        <v>21425.8</v>
      </c>
      <c r="W262" s="7" t="n">
        <v>0</v>
      </c>
      <c r="X262" s="7" t="n">
        <v>27939.1</v>
      </c>
      <c r="Y262" s="7" t="n">
        <v>0</v>
      </c>
      <c r="Z262" s="7" t="n">
        <v>7739.6</v>
      </c>
      <c r="AA262" s="7" t="n">
        <v>0</v>
      </c>
      <c r="AB262" s="7" t="n">
        <v>203877.2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139615.4</v>
      </c>
      <c r="D263" s="7" t="n">
        <v>44064.8</v>
      </c>
      <c r="E263" s="7" t="n">
        <v>136383.1</v>
      </c>
      <c r="F263" s="7" t="n">
        <v>68949.7</v>
      </c>
      <c r="G263" s="7" t="n">
        <v>108729.7</v>
      </c>
      <c r="H263" s="7" t="n">
        <v>122097</v>
      </c>
      <c r="I263" s="7" t="n">
        <v>137311.6</v>
      </c>
      <c r="J263" s="7" t="n">
        <v>135709.1</v>
      </c>
      <c r="K263" s="7" t="n">
        <v>157850.5</v>
      </c>
      <c r="L263" s="7" t="n">
        <v>176797.9</v>
      </c>
      <c r="M263" s="7" t="n">
        <v>132790.6</v>
      </c>
      <c r="N263" s="7" t="n">
        <v>165945.5</v>
      </c>
      <c r="O263" s="7" t="n">
        <v>113689.2</v>
      </c>
      <c r="P263" s="7" t="n">
        <v>277383.9</v>
      </c>
      <c r="Q263" s="7" t="n">
        <v>180072.7</v>
      </c>
      <c r="R263" s="7" t="n">
        <v>154992.9</v>
      </c>
      <c r="S263" s="7" t="n">
        <v>106320.9</v>
      </c>
      <c r="T263" s="7" t="n">
        <v>82110.89999999999</v>
      </c>
      <c r="U263" s="7" t="n">
        <v>172212.5</v>
      </c>
      <c r="V263" s="7" t="n">
        <v>168230.3</v>
      </c>
      <c r="W263" s="7" t="n">
        <v>108569.8</v>
      </c>
      <c r="X263" s="7" t="n">
        <v>101779.2</v>
      </c>
      <c r="Y263" s="7" t="n">
        <v>108857.1</v>
      </c>
      <c r="Z263" s="7" t="n">
        <v>84144.60000000001</v>
      </c>
      <c r="AA263" s="8" t="n">
        <v>1602403.1</v>
      </c>
      <c r="AB263" s="8" t="n">
        <v>1582205.8</v>
      </c>
    </row>
    <row r="264">
      <c r="A264" s="4" t="inlineStr">
        <is>
          <t>净利率</t>
        </is>
      </c>
      <c r="D264" s="13" t="n">
        <v>4.6</v>
      </c>
      <c r="F264" s="13" t="n">
        <v>5.3</v>
      </c>
      <c r="H264" s="13" t="n">
        <v>9.1</v>
      </c>
      <c r="J264" s="13" t="n">
        <v>7.2</v>
      </c>
      <c r="L264" s="13" t="n">
        <v>9.699999999999999</v>
      </c>
      <c r="N264" s="13" t="n">
        <v>7.6</v>
      </c>
      <c r="P264" s="13" t="n">
        <v>11.2</v>
      </c>
      <c r="R264" s="13" t="n">
        <v>7.2</v>
      </c>
      <c r="T264" s="13" t="n">
        <v>5.2</v>
      </c>
      <c r="V264" s="13" t="n">
        <v>8.300000000000001</v>
      </c>
      <c r="X264" s="13" t="n">
        <v>6.6</v>
      </c>
      <c r="Z264" s="13" t="n">
        <v>6.5</v>
      </c>
    </row>
    <row r="265">
      <c r="A265" s="4" t="inlineStr">
        <is>
          <t>销售达成率</t>
        </is>
      </c>
      <c r="D265" s="13" t="n">
        <v>60.1</v>
      </c>
      <c r="F265" s="13" t="n">
        <v>59.2</v>
      </c>
      <c r="H265" s="13" t="n">
        <v>96.5</v>
      </c>
      <c r="J265" s="13" t="n">
        <v>116.4</v>
      </c>
      <c r="L265" s="13" t="n">
        <v>108.4</v>
      </c>
      <c r="N265" s="13" t="n">
        <v>141.4</v>
      </c>
      <c r="P265" s="13" t="n">
        <v>138.4</v>
      </c>
      <c r="R265" s="13" t="n">
        <v>109.8</v>
      </c>
      <c r="T265" s="13" t="n">
        <v>105.1</v>
      </c>
      <c r="V265" s="13" t="n">
        <v>122.7</v>
      </c>
      <c r="X265" s="13" t="n">
        <v>87</v>
      </c>
      <c r="Z265" s="13" t="n">
        <v>70.8</v>
      </c>
    </row>
    <row r="266">
      <c r="A266" s="4" t="inlineStr">
        <is>
          <t>净利达成率</t>
        </is>
      </c>
      <c r="D266" s="13" t="n">
        <v>38.5</v>
      </c>
      <c r="F266" s="13" t="n">
        <v>50.6</v>
      </c>
      <c r="H266" s="13" t="n">
        <v>139.3</v>
      </c>
      <c r="J266" s="13" t="n">
        <v>104.6</v>
      </c>
      <c r="L266" s="13" t="n">
        <v>135.7</v>
      </c>
      <c r="N266" s="13" t="n">
        <v>139.2</v>
      </c>
      <c r="P266" s="13" t="n">
        <v>251.5</v>
      </c>
      <c r="R266" s="13" t="n">
        <v>90</v>
      </c>
      <c r="T266" s="13" t="n">
        <v>103.3</v>
      </c>
      <c r="V266" s="13" t="n">
        <v>110.1</v>
      </c>
      <c r="X266" s="13" t="n">
        <v>119.5</v>
      </c>
      <c r="Z266" s="13" t="n">
        <v>84.40000000000001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江西省区利润表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编制单位：江苏美鑫食品科技有限公司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3847759.1</v>
      </c>
      <c r="D6" s="7" t="n">
        <v>2334805.9</v>
      </c>
      <c r="E6" s="7" t="n">
        <v>3697014.9</v>
      </c>
      <c r="F6" s="7" t="n">
        <v>2487531.2</v>
      </c>
      <c r="G6" s="7" t="n">
        <v>3079478.7</v>
      </c>
      <c r="H6" s="7" t="n">
        <v>3287819.8</v>
      </c>
      <c r="I6" s="7" t="n">
        <v>3109850.4</v>
      </c>
      <c r="J6" s="7" t="n">
        <v>3515803.3</v>
      </c>
      <c r="K6" s="7" t="n">
        <v>3730020.6</v>
      </c>
      <c r="L6" s="7" t="n">
        <v>4218212.1</v>
      </c>
      <c r="M6" s="7" t="n">
        <v>3311280.6</v>
      </c>
      <c r="N6" s="7" t="n">
        <v>4330576.3</v>
      </c>
      <c r="O6" s="7" t="n">
        <v>3778194.4</v>
      </c>
      <c r="P6" s="7" t="n">
        <v>4667284</v>
      </c>
      <c r="Q6" s="7" t="n">
        <v>3706849.2</v>
      </c>
      <c r="R6" s="7" t="n">
        <v>3721151.5</v>
      </c>
      <c r="S6" s="7" t="n">
        <v>3972155.5</v>
      </c>
      <c r="T6" s="7" t="n">
        <v>3516340.9</v>
      </c>
      <c r="U6" s="7" t="n">
        <v>3937037.1</v>
      </c>
      <c r="V6" s="7" t="n">
        <v>4386553.6</v>
      </c>
      <c r="W6" s="7" t="n">
        <v>3363555.1</v>
      </c>
      <c r="X6" s="7" t="n">
        <v>3188911.2</v>
      </c>
      <c r="Y6" s="7" t="n">
        <v>3628435.3</v>
      </c>
      <c r="Z6" s="7" t="n">
        <v>2371897.6</v>
      </c>
      <c r="AA6" s="8" t="n">
        <v>43161630.9</v>
      </c>
      <c r="AB6" s="8" t="n">
        <v>42026887.4</v>
      </c>
    </row>
    <row r="7">
      <c r="A7" s="4" t="inlineStr">
        <is>
          <t>中式汤底</t>
        </is>
      </c>
      <c r="D7" s="7" t="n">
        <v>413260.6</v>
      </c>
      <c r="F7" s="7" t="n">
        <v>483121</v>
      </c>
      <c r="H7" s="7" t="n">
        <v>514617</v>
      </c>
      <c r="J7" s="7" t="n">
        <v>718127.5</v>
      </c>
      <c r="L7" s="7" t="n">
        <v>850030.8</v>
      </c>
      <c r="N7" s="7" t="n">
        <v>959737.2</v>
      </c>
      <c r="P7" s="7" t="n">
        <v>823690.8</v>
      </c>
      <c r="R7" s="7" t="n">
        <v>655800.5</v>
      </c>
      <c r="T7" s="7" t="n">
        <v>599282.3</v>
      </c>
      <c r="V7" s="7" t="n">
        <v>919960.9</v>
      </c>
      <c r="X7" s="7" t="n">
        <v>669900.5</v>
      </c>
      <c r="Z7" s="7" t="n">
        <v>529448.3</v>
      </c>
      <c r="AB7" s="7" t="n">
        <v>8136977.4</v>
      </c>
    </row>
    <row r="8">
      <c r="A8" s="4" t="inlineStr">
        <is>
          <t>酱料</t>
        </is>
      </c>
      <c r="D8" s="7" t="n">
        <v>531424.2</v>
      </c>
      <c r="F8" s="7" t="n">
        <v>581338.5</v>
      </c>
      <c r="H8" s="7" t="n">
        <v>828433.5</v>
      </c>
      <c r="J8" s="7" t="n">
        <v>712558.6</v>
      </c>
      <c r="L8" s="7" t="n">
        <v>934272.6</v>
      </c>
      <c r="N8" s="7" t="n">
        <v>882364.1</v>
      </c>
      <c r="P8" s="7" t="n">
        <v>1172432.3</v>
      </c>
      <c r="R8" s="7" t="n">
        <v>829906.4</v>
      </c>
      <c r="T8" s="7" t="n">
        <v>827489.5</v>
      </c>
      <c r="V8" s="7" t="n">
        <v>1035577.8</v>
      </c>
      <c r="X8" s="7" t="n">
        <v>684401.7</v>
      </c>
      <c r="Z8" s="7" t="n">
        <v>521362</v>
      </c>
      <c r="AB8" s="7" t="n">
        <v>9541561.199999999</v>
      </c>
    </row>
    <row r="9">
      <c r="A9" s="4" t="inlineStr">
        <is>
          <t>川味底料</t>
        </is>
      </c>
      <c r="D9" s="7" t="n">
        <v>400255.2</v>
      </c>
      <c r="F9" s="7" t="n">
        <v>373304.9</v>
      </c>
      <c r="H9" s="7" t="n">
        <v>612131.5</v>
      </c>
      <c r="J9" s="7" t="n">
        <v>590319.9</v>
      </c>
      <c r="L9" s="7" t="n">
        <v>710385.6</v>
      </c>
      <c r="N9" s="7" t="n">
        <v>708715.6</v>
      </c>
      <c r="P9" s="7" t="n">
        <v>713954.1</v>
      </c>
      <c r="R9" s="7" t="n">
        <v>652536.7</v>
      </c>
      <c r="T9" s="7" t="n">
        <v>646057.4</v>
      </c>
      <c r="V9" s="7" t="n">
        <v>637709.1</v>
      </c>
      <c r="X9" s="7" t="n">
        <v>607802.5</v>
      </c>
      <c r="Z9" s="7" t="n">
        <v>418555.7</v>
      </c>
      <c r="AB9" s="7" t="n">
        <v>7071728.2</v>
      </c>
    </row>
    <row r="10">
      <c r="A10" s="4" t="inlineStr">
        <is>
          <t>调味汁</t>
        </is>
      </c>
      <c r="D10" s="7" t="n">
        <v>113252.3</v>
      </c>
      <c r="F10" s="7" t="n">
        <v>117612.3</v>
      </c>
      <c r="H10" s="7" t="n">
        <v>163866.3</v>
      </c>
      <c r="J10" s="7" t="n">
        <v>226257.6</v>
      </c>
      <c r="L10" s="7" t="n">
        <v>260821.2</v>
      </c>
      <c r="N10" s="7" t="n">
        <v>208082.8</v>
      </c>
      <c r="P10" s="7" t="n">
        <v>222183.9</v>
      </c>
      <c r="R10" s="7" t="n">
        <v>268904.3</v>
      </c>
      <c r="T10" s="7" t="n">
        <v>215553.2</v>
      </c>
      <c r="V10" s="7" t="n">
        <v>272094.3</v>
      </c>
      <c r="X10" s="7" t="n">
        <v>159308.1</v>
      </c>
      <c r="Z10" s="7" t="n">
        <v>136184.3</v>
      </c>
      <c r="AB10" s="7" t="n">
        <v>2364120.6</v>
      </c>
    </row>
    <row r="11">
      <c r="A11" s="4" t="inlineStr">
        <is>
          <t>复合调味粉</t>
        </is>
      </c>
      <c r="D11" s="7" t="n">
        <v>367214.2</v>
      </c>
      <c r="F11" s="7" t="n">
        <v>315883.2</v>
      </c>
      <c r="H11" s="7" t="n">
        <v>436318.9</v>
      </c>
      <c r="J11" s="7" t="n">
        <v>545448.7</v>
      </c>
      <c r="L11" s="7" t="n">
        <v>549195.9</v>
      </c>
      <c r="N11" s="7" t="n">
        <v>605034</v>
      </c>
      <c r="P11" s="7" t="n">
        <v>705296.4</v>
      </c>
      <c r="R11" s="7" t="n">
        <v>596663</v>
      </c>
      <c r="T11" s="7" t="n">
        <v>507719</v>
      </c>
      <c r="V11" s="7" t="n">
        <v>731037.1</v>
      </c>
      <c r="X11" s="7" t="n">
        <v>434948.2</v>
      </c>
      <c r="Z11" s="7" t="n">
        <v>332393.7</v>
      </c>
      <c r="AB11" s="7" t="n">
        <v>6127152.3</v>
      </c>
    </row>
    <row r="12">
      <c r="A12" s="4" t="inlineStr">
        <is>
          <t>团餐</t>
        </is>
      </c>
      <c r="D12" s="7" t="n">
        <v>406667.9</v>
      </c>
      <c r="F12" s="7" t="n">
        <v>495410.3</v>
      </c>
      <c r="H12" s="7" t="n">
        <v>632728.9</v>
      </c>
      <c r="J12" s="7" t="n">
        <v>625047.3</v>
      </c>
      <c r="L12" s="7" t="n">
        <v>720004</v>
      </c>
      <c r="N12" s="7" t="n">
        <v>803845</v>
      </c>
      <c r="P12" s="7" t="n">
        <v>871726.5</v>
      </c>
      <c r="R12" s="7" t="n">
        <v>580689.8</v>
      </c>
      <c r="T12" s="7" t="n">
        <v>587761.3</v>
      </c>
      <c r="V12" s="7" t="n">
        <v>629769.5</v>
      </c>
      <c r="X12" s="7" t="n">
        <v>530728.1</v>
      </c>
      <c r="Z12" s="7" t="n">
        <v>367493.8</v>
      </c>
      <c r="AB12" s="7" t="n">
        <v>7251872.4</v>
      </c>
    </row>
    <row r="13">
      <c r="A13" s="4" t="inlineStr">
        <is>
          <t>预制菜</t>
        </is>
      </c>
      <c r="D13" s="7" t="n">
        <v>115184.8</v>
      </c>
      <c r="F13" s="7" t="n">
        <v>122688.5</v>
      </c>
      <c r="H13" s="7" t="n">
        <v>148555.6</v>
      </c>
      <c r="J13" s="7" t="n">
        <v>187119.9</v>
      </c>
      <c r="L13" s="7" t="n">
        <v>180611.1</v>
      </c>
      <c r="N13" s="7" t="n">
        <v>213285.4</v>
      </c>
      <c r="P13" s="7" t="n">
        <v>215705.8</v>
      </c>
      <c r="R13" s="7" t="n">
        <v>152015.4</v>
      </c>
      <c r="T13" s="7" t="n">
        <v>194312.2</v>
      </c>
      <c r="V13" s="7" t="n">
        <v>218310.4</v>
      </c>
      <c r="X13" s="7" t="n">
        <v>131053</v>
      </c>
      <c r="Z13" s="7" t="n">
        <v>114372.5</v>
      </c>
      <c r="AB13" s="7" t="n">
        <v>1993214.6</v>
      </c>
    </row>
    <row r="14">
      <c r="A14" s="4" t="inlineStr">
        <is>
          <t>返利</t>
        </is>
      </c>
      <c r="D14" s="7" t="n">
        <v>-46580.4</v>
      </c>
      <c r="F14" s="7" t="n">
        <v>-50490.3</v>
      </c>
      <c r="H14" s="7" t="n">
        <v>-57955.4</v>
      </c>
      <c r="J14" s="7" t="n">
        <v>-105971</v>
      </c>
      <c r="L14" s="7" t="n">
        <v>-68050.89999999999</v>
      </c>
      <c r="N14" s="7" t="n">
        <v>-107519.6</v>
      </c>
      <c r="P14" s="7" t="n">
        <v>-102000</v>
      </c>
      <c r="R14" s="7" t="n">
        <v>-83821.2</v>
      </c>
      <c r="T14" s="7" t="n">
        <v>-100082.9</v>
      </c>
      <c r="V14" s="7" t="n">
        <v>-64613.9</v>
      </c>
      <c r="X14" s="7" t="n">
        <v>-50567</v>
      </c>
      <c r="Z14" s="7" t="n">
        <v>-61929.5</v>
      </c>
      <c r="AB14" s="7" t="n">
        <v>-899582.1</v>
      </c>
    </row>
    <row r="15">
      <c r="A15" s="4" t="inlineStr">
        <is>
          <t>其他</t>
        </is>
      </c>
      <c r="D15" s="7" t="n">
        <v>34127.1</v>
      </c>
      <c r="F15" s="7" t="n">
        <v>48662.8</v>
      </c>
      <c r="H15" s="7" t="n">
        <v>9123.5</v>
      </c>
      <c r="J15" s="7" t="n">
        <v>16894.8</v>
      </c>
      <c r="L15" s="7" t="n">
        <v>80941.8</v>
      </c>
      <c r="N15" s="7" t="n">
        <v>57031.8</v>
      </c>
      <c r="P15" s="7" t="n">
        <v>44294.2</v>
      </c>
      <c r="R15" s="7" t="n">
        <v>68456.60000000001</v>
      </c>
      <c r="T15" s="7" t="n">
        <v>38248.9</v>
      </c>
      <c r="V15" s="7" t="n">
        <v>6708.4</v>
      </c>
      <c r="X15" s="7" t="n">
        <v>21336.1</v>
      </c>
      <c r="Z15" s="7" t="n">
        <v>14016.8</v>
      </c>
      <c r="AB15" s="7" t="n">
        <v>439842.8</v>
      </c>
    </row>
    <row r="16">
      <c r="A16" s="6" t="inlineStr">
        <is>
          <t>减：营业成本</t>
        </is>
      </c>
      <c r="B16" s="3" t="inlineStr">
        <is>
          <t>2</t>
        </is>
      </c>
      <c r="C16" s="7" t="n">
        <v>2666447.5</v>
      </c>
      <c r="D16" s="7" t="n">
        <v>1557267.2</v>
      </c>
      <c r="E16" s="7" t="n">
        <v>2283973.8</v>
      </c>
      <c r="F16" s="7" t="n">
        <v>1658987.5</v>
      </c>
      <c r="G16" s="7" t="n">
        <v>2278939.7</v>
      </c>
      <c r="H16" s="7" t="n">
        <v>2177606.4</v>
      </c>
      <c r="I16" s="7" t="n">
        <v>2284045.8</v>
      </c>
      <c r="J16" s="7" t="n">
        <v>2403183.6</v>
      </c>
      <c r="K16" s="7" t="n">
        <v>2025202.2</v>
      </c>
      <c r="L16" s="7" t="n">
        <v>2713438.4</v>
      </c>
      <c r="M16" s="7" t="n">
        <v>2108109.6</v>
      </c>
      <c r="N16" s="7" t="n">
        <v>2858415.7</v>
      </c>
      <c r="O16" s="7" t="n">
        <v>2314104.6</v>
      </c>
      <c r="P16" s="7" t="n">
        <v>3132137.8</v>
      </c>
      <c r="Q16" s="7" t="n">
        <v>2612028.2</v>
      </c>
      <c r="R16" s="7" t="n">
        <v>2416804.9</v>
      </c>
      <c r="S16" s="7" t="n">
        <v>2277098</v>
      </c>
      <c r="T16" s="7" t="n">
        <v>2359318</v>
      </c>
      <c r="U16" s="7" t="n">
        <v>2071850.6</v>
      </c>
      <c r="V16" s="7" t="n">
        <v>2975498.5</v>
      </c>
      <c r="W16" s="7" t="n">
        <v>2533186</v>
      </c>
      <c r="X16" s="7" t="n">
        <v>2156411.7</v>
      </c>
      <c r="Y16" s="7" t="n">
        <v>2096432</v>
      </c>
      <c r="Z16" s="7" t="n">
        <v>1604479.7</v>
      </c>
      <c r="AA16" s="8" t="n">
        <v>27551418</v>
      </c>
      <c r="AB16" s="8" t="n">
        <v>28013549.4</v>
      </c>
    </row>
    <row r="17">
      <c r="A17" s="4" t="inlineStr">
        <is>
          <t>中式汤底</t>
        </is>
      </c>
      <c r="D17" s="7" t="n">
        <v>270499.6</v>
      </c>
      <c r="F17" s="7" t="n">
        <v>316226.7</v>
      </c>
      <c r="H17" s="7" t="n">
        <v>336842.4</v>
      </c>
      <c r="J17" s="7" t="n">
        <v>470050.1</v>
      </c>
      <c r="L17" s="7" t="n">
        <v>556387.3</v>
      </c>
      <c r="N17" s="7" t="n">
        <v>628195.6</v>
      </c>
      <c r="P17" s="7" t="n">
        <v>539146.5</v>
      </c>
      <c r="R17" s="7" t="n">
        <v>429254</v>
      </c>
      <c r="T17" s="7" t="n">
        <v>392260</v>
      </c>
      <c r="V17" s="7" t="n">
        <v>602160</v>
      </c>
      <c r="X17" s="7" t="n">
        <v>438483.1</v>
      </c>
      <c r="Z17" s="7" t="n">
        <v>346550.2</v>
      </c>
      <c r="AB17" s="7" t="n">
        <v>5326055.5</v>
      </c>
    </row>
    <row r="18">
      <c r="A18" s="4" t="inlineStr">
        <is>
          <t>酱料</t>
        </is>
      </c>
      <c r="D18" s="7" t="n">
        <v>309155.6</v>
      </c>
      <c r="F18" s="7" t="n">
        <v>338193.2</v>
      </c>
      <c r="H18" s="7" t="n">
        <v>481940.6</v>
      </c>
      <c r="J18" s="7" t="n">
        <v>414530.4</v>
      </c>
      <c r="L18" s="7" t="n">
        <v>543512.4</v>
      </c>
      <c r="N18" s="7" t="n">
        <v>513314.6</v>
      </c>
      <c r="P18" s="7" t="n">
        <v>682061.6</v>
      </c>
      <c r="R18" s="7" t="n">
        <v>482797.4</v>
      </c>
      <c r="T18" s="7" t="n">
        <v>481391.4</v>
      </c>
      <c r="V18" s="7" t="n">
        <v>602446.6</v>
      </c>
      <c r="X18" s="7" t="n">
        <v>398150.2</v>
      </c>
      <c r="Z18" s="7" t="n">
        <v>303301.9</v>
      </c>
      <c r="AB18" s="7" t="n">
        <v>5550795.9</v>
      </c>
    </row>
    <row r="19">
      <c r="A19" s="4" t="inlineStr">
        <is>
          <t>川味底料</t>
        </is>
      </c>
      <c r="D19" s="7" t="n">
        <v>249987.5</v>
      </c>
      <c r="F19" s="7" t="n">
        <v>233155.2</v>
      </c>
      <c r="H19" s="7" t="n">
        <v>382319.2</v>
      </c>
      <c r="J19" s="7" t="n">
        <v>368696.3</v>
      </c>
      <c r="L19" s="7" t="n">
        <v>443685.8</v>
      </c>
      <c r="N19" s="7" t="n">
        <v>442642.8</v>
      </c>
      <c r="P19" s="7" t="n">
        <v>445914.6</v>
      </c>
      <c r="R19" s="7" t="n">
        <v>407555.1</v>
      </c>
      <c r="T19" s="7" t="n">
        <v>403508.3</v>
      </c>
      <c r="V19" s="7" t="n">
        <v>398294.2</v>
      </c>
      <c r="X19" s="7" t="n">
        <v>379615.4</v>
      </c>
      <c r="Z19" s="7" t="n">
        <v>261417.5</v>
      </c>
      <c r="AB19" s="7" t="n">
        <v>4416791.9</v>
      </c>
    </row>
    <row r="20">
      <c r="A20" s="4" t="inlineStr">
        <is>
          <t>调味汁</t>
        </is>
      </c>
      <c r="D20" s="7" t="n">
        <v>68696.39999999999</v>
      </c>
      <c r="F20" s="7" t="n">
        <v>71341.10000000001</v>
      </c>
      <c r="H20" s="7" t="n">
        <v>99397.8</v>
      </c>
      <c r="J20" s="7" t="n">
        <v>137243</v>
      </c>
      <c r="L20" s="7" t="n">
        <v>158208.6</v>
      </c>
      <c r="N20" s="7" t="n">
        <v>126218.6</v>
      </c>
      <c r="P20" s="7" t="n">
        <v>134772</v>
      </c>
      <c r="R20" s="7" t="n">
        <v>163111.6</v>
      </c>
      <c r="T20" s="7" t="n">
        <v>130750</v>
      </c>
      <c r="V20" s="7" t="n">
        <v>165046.6</v>
      </c>
      <c r="X20" s="7" t="n">
        <v>96632.89999999999</v>
      </c>
      <c r="Z20" s="7" t="n">
        <v>82606.5</v>
      </c>
      <c r="AB20" s="7" t="n">
        <v>1434025.1</v>
      </c>
    </row>
    <row r="21">
      <c r="A21" s="4" t="inlineStr">
        <is>
          <t>复合调味粉</t>
        </is>
      </c>
      <c r="D21" s="7" t="n">
        <v>231989</v>
      </c>
      <c r="F21" s="7" t="n">
        <v>199560.4</v>
      </c>
      <c r="H21" s="7" t="n">
        <v>275646.2</v>
      </c>
      <c r="J21" s="7" t="n">
        <v>344589.3</v>
      </c>
      <c r="L21" s="7" t="n">
        <v>346956.6</v>
      </c>
      <c r="N21" s="7" t="n">
        <v>382232.6</v>
      </c>
      <c r="P21" s="7" t="n">
        <v>445573.7</v>
      </c>
      <c r="R21" s="7" t="n">
        <v>376944.2</v>
      </c>
      <c r="T21" s="7" t="n">
        <v>320753.4</v>
      </c>
      <c r="V21" s="7" t="n">
        <v>461835.5</v>
      </c>
      <c r="X21" s="7" t="n">
        <v>274780.2</v>
      </c>
      <c r="Z21" s="7" t="n">
        <v>209991</v>
      </c>
      <c r="AB21" s="7" t="n">
        <v>3870852.1</v>
      </c>
    </row>
    <row r="22">
      <c r="A22" s="4" t="inlineStr">
        <is>
          <t>团餐</t>
        </is>
      </c>
      <c r="D22" s="7" t="n">
        <v>251188</v>
      </c>
      <c r="F22" s="7" t="n">
        <v>306001.8</v>
      </c>
      <c r="H22" s="7" t="n">
        <v>390819.8</v>
      </c>
      <c r="J22" s="7" t="n">
        <v>386075.1</v>
      </c>
      <c r="L22" s="7" t="n">
        <v>444727.3</v>
      </c>
      <c r="N22" s="7" t="n">
        <v>496513.7</v>
      </c>
      <c r="P22" s="7" t="n">
        <v>538442.3</v>
      </c>
      <c r="R22" s="7" t="n">
        <v>358676.7</v>
      </c>
      <c r="T22" s="7" t="n">
        <v>363044.5</v>
      </c>
      <c r="V22" s="7" t="n">
        <v>388991.9</v>
      </c>
      <c r="X22" s="7" t="n">
        <v>327816.6</v>
      </c>
      <c r="Z22" s="7" t="n">
        <v>226991.2</v>
      </c>
      <c r="AB22" s="7" t="n">
        <v>4479288.9</v>
      </c>
    </row>
    <row r="23">
      <c r="A23" s="4" t="inlineStr">
        <is>
          <t>预制菜</t>
        </is>
      </c>
      <c r="D23" s="7" t="n">
        <v>77125.10000000001</v>
      </c>
      <c r="F23" s="7" t="n">
        <v>82149.39999999999</v>
      </c>
      <c r="H23" s="7" t="n">
        <v>99469.39999999999</v>
      </c>
      <c r="J23" s="7" t="n">
        <v>125291.2</v>
      </c>
      <c r="L23" s="7" t="n">
        <v>120933.1</v>
      </c>
      <c r="N23" s="7" t="n">
        <v>142811</v>
      </c>
      <c r="P23" s="7" t="n">
        <v>144431.7</v>
      </c>
      <c r="R23" s="7" t="n">
        <v>101786</v>
      </c>
      <c r="T23" s="7" t="n">
        <v>130107</v>
      </c>
      <c r="V23" s="7" t="n">
        <v>146175.7</v>
      </c>
      <c r="X23" s="7" t="n">
        <v>87750.10000000001</v>
      </c>
      <c r="Z23" s="7" t="n">
        <v>76581.2</v>
      </c>
      <c r="AB23" s="7" t="n">
        <v>1334610.9</v>
      </c>
    </row>
    <row r="24">
      <c r="A24" s="4" t="inlineStr">
        <is>
          <t>其他</t>
        </is>
      </c>
      <c r="D24" s="7" t="n">
        <v>2524.6</v>
      </c>
      <c r="F24" s="7" t="n">
        <v>21661.9</v>
      </c>
      <c r="H24" s="7" t="n">
        <v>13272.8</v>
      </c>
      <c r="J24" s="7" t="n">
        <v>24596.2</v>
      </c>
      <c r="L24" s="7" t="n">
        <v>21269.8</v>
      </c>
      <c r="N24" s="7" t="n">
        <v>4053</v>
      </c>
      <c r="P24" s="7" t="n">
        <v>42276.7</v>
      </c>
      <c r="R24" s="7" t="n">
        <v>2778.3</v>
      </c>
      <c r="T24" s="7" t="n">
        <v>5867.6</v>
      </c>
      <c r="V24" s="7" t="n">
        <v>3829.3</v>
      </c>
      <c r="X24" s="7" t="n">
        <v>4562.4</v>
      </c>
      <c r="Z24" s="7" t="n">
        <v>14425</v>
      </c>
      <c r="AB24" s="7" t="n">
        <v>161117.6</v>
      </c>
    </row>
    <row r="25">
      <c r="A25" s="4" t="inlineStr">
        <is>
          <t>运费</t>
        </is>
      </c>
      <c r="D25" s="7" t="n">
        <v>98626</v>
      </c>
      <c r="F25" s="7" t="n">
        <v>112359.7</v>
      </c>
      <c r="H25" s="7" t="n">
        <v>111171</v>
      </c>
      <c r="J25" s="7" t="n">
        <v>156708.2</v>
      </c>
      <c r="L25" s="7" t="n">
        <v>99027.3</v>
      </c>
      <c r="N25" s="7" t="n">
        <v>126486.8</v>
      </c>
      <c r="P25" s="7" t="n">
        <v>201795.4</v>
      </c>
      <c r="R25" s="7" t="n">
        <v>96679.89999999999</v>
      </c>
      <c r="T25" s="7" t="n">
        <v>137503.4</v>
      </c>
      <c r="V25" s="7" t="n">
        <v>210548</v>
      </c>
      <c r="X25" s="7" t="n">
        <v>153183.2</v>
      </c>
      <c r="Z25" s="7" t="n">
        <v>97040.2</v>
      </c>
      <c r="AB25" s="7" t="n">
        <v>1601129.1</v>
      </c>
    </row>
    <row r="26">
      <c r="A26" s="6" t="inlineStr">
        <is>
          <t>毛利</t>
        </is>
      </c>
      <c r="B26" s="3" t="inlineStr">
        <is>
          <t>3</t>
        </is>
      </c>
      <c r="C26" s="7" t="n">
        <v>1181311.6</v>
      </c>
      <c r="D26" s="7" t="n">
        <v>777538.7</v>
      </c>
      <c r="E26" s="7" t="n">
        <v>1413041.1</v>
      </c>
      <c r="F26" s="7" t="n">
        <v>828543.7</v>
      </c>
      <c r="G26" s="7" t="n">
        <v>800539</v>
      </c>
      <c r="H26" s="7" t="n">
        <v>1110213.4</v>
      </c>
      <c r="I26" s="7" t="n">
        <v>825804.6</v>
      </c>
      <c r="J26" s="7" t="n">
        <v>1112619.7</v>
      </c>
      <c r="K26" s="7" t="n">
        <v>1704818.4</v>
      </c>
      <c r="L26" s="7" t="n">
        <v>1504773.7</v>
      </c>
      <c r="M26" s="7" t="n">
        <v>1203171</v>
      </c>
      <c r="N26" s="7" t="n">
        <v>1472160.6</v>
      </c>
      <c r="O26" s="7" t="n">
        <v>1464089.8</v>
      </c>
      <c r="P26" s="7" t="n">
        <v>1535146.2</v>
      </c>
      <c r="Q26" s="7" t="n">
        <v>1094821</v>
      </c>
      <c r="R26" s="7" t="n">
        <v>1304346.6</v>
      </c>
      <c r="S26" s="7" t="n">
        <v>1695057.5</v>
      </c>
      <c r="T26" s="7" t="n">
        <v>1157022.9</v>
      </c>
      <c r="U26" s="7" t="n">
        <v>1865186.5</v>
      </c>
      <c r="V26" s="7" t="n">
        <v>1411055.1</v>
      </c>
      <c r="W26" s="7" t="n">
        <v>830369.1</v>
      </c>
      <c r="X26" s="7" t="n">
        <v>1032499.5</v>
      </c>
      <c r="Y26" s="7" t="n">
        <v>1532003.3</v>
      </c>
      <c r="Z26" s="7" t="n">
        <v>767417.9</v>
      </c>
      <c r="AA26" s="8" t="n">
        <v>15610212.9</v>
      </c>
      <c r="AB26" s="8" t="n">
        <v>14013338</v>
      </c>
    </row>
    <row r="27">
      <c r="A27" s="4" t="inlineStr">
        <is>
          <t>毛利率</t>
        </is>
      </c>
      <c r="B27" s="3" t="inlineStr">
        <is>
          <t>4</t>
        </is>
      </c>
      <c r="C27" s="13" t="n">
        <v>30.7</v>
      </c>
      <c r="D27" s="13" t="n">
        <v>33.3</v>
      </c>
      <c r="E27" s="13" t="n">
        <v>38.2</v>
      </c>
      <c r="F27" s="13" t="n">
        <v>33.3</v>
      </c>
      <c r="G27" s="13" t="n">
        <v>26</v>
      </c>
      <c r="H27" s="13" t="n">
        <v>33.8</v>
      </c>
      <c r="I27" s="13" t="n">
        <v>26.6</v>
      </c>
      <c r="J27" s="13" t="n">
        <v>31.6</v>
      </c>
      <c r="K27" s="13" t="n">
        <v>45.7</v>
      </c>
      <c r="L27" s="13" t="n">
        <v>35.7</v>
      </c>
      <c r="M27" s="13" t="n">
        <v>36.3</v>
      </c>
      <c r="N27" s="13" t="n">
        <v>34</v>
      </c>
      <c r="O27" s="13" t="n">
        <v>38.8</v>
      </c>
      <c r="P27" s="13" t="n">
        <v>32.9</v>
      </c>
      <c r="Q27" s="13" t="n">
        <v>29.5</v>
      </c>
      <c r="R27" s="13" t="n">
        <v>35.1</v>
      </c>
      <c r="S27" s="13" t="n">
        <v>42.7</v>
      </c>
      <c r="T27" s="13" t="n">
        <v>32.9</v>
      </c>
      <c r="U27" s="13" t="n">
        <v>47.4</v>
      </c>
      <c r="V27" s="13" t="n">
        <v>32.2</v>
      </c>
      <c r="W27" s="13" t="n">
        <v>24.7</v>
      </c>
      <c r="X27" s="13" t="n">
        <v>32.4</v>
      </c>
      <c r="Y27" s="13" t="n">
        <v>42.2</v>
      </c>
      <c r="Z27" s="13" t="n">
        <v>32.4</v>
      </c>
    </row>
    <row r="28">
      <c r="A28" s="6" t="inlineStr">
        <is>
          <t>税金及附加</t>
        </is>
      </c>
      <c r="B28" s="3" t="inlineStr">
        <is>
          <t>5</t>
        </is>
      </c>
      <c r="C28" s="7" t="n">
        <v>28152.3</v>
      </c>
      <c r="D28" s="7" t="n">
        <v>24447.6</v>
      </c>
      <c r="E28" s="7" t="n">
        <v>28796.3</v>
      </c>
      <c r="F28" s="7" t="n">
        <v>35506</v>
      </c>
      <c r="G28" s="7" t="n">
        <v>35392.8</v>
      </c>
      <c r="H28" s="7" t="n">
        <v>17229.5</v>
      </c>
      <c r="I28" s="7" t="n">
        <v>32466.9</v>
      </c>
      <c r="J28" s="7" t="n">
        <v>39700.4</v>
      </c>
      <c r="K28" s="7" t="n">
        <v>30215.3</v>
      </c>
      <c r="L28" s="7" t="n">
        <v>41246.7</v>
      </c>
      <c r="M28" s="7" t="n">
        <v>32426.3</v>
      </c>
      <c r="N28" s="7" t="n">
        <v>40169.5</v>
      </c>
      <c r="O28" s="7" t="n">
        <v>31471.3</v>
      </c>
      <c r="P28" s="7" t="n">
        <v>38985.8</v>
      </c>
      <c r="Q28" s="7" t="n">
        <v>36292.9</v>
      </c>
      <c r="R28" s="7" t="n">
        <v>23647.3</v>
      </c>
      <c r="S28" s="7" t="n">
        <v>28270.3</v>
      </c>
      <c r="T28" s="7" t="n">
        <v>24558.9</v>
      </c>
      <c r="U28" s="7" t="n">
        <v>30230.7</v>
      </c>
      <c r="V28" s="7" t="n">
        <v>43264.3</v>
      </c>
      <c r="W28" s="7" t="n">
        <v>28933.5</v>
      </c>
      <c r="X28" s="7" t="n">
        <v>33137.6</v>
      </c>
      <c r="Y28" s="7" t="n">
        <v>30477.8</v>
      </c>
      <c r="Z28" s="7" t="n">
        <v>25753.4</v>
      </c>
      <c r="AA28" s="8" t="n">
        <v>373126.4</v>
      </c>
      <c r="AB28" s="8" t="n">
        <v>387647</v>
      </c>
    </row>
    <row r="29">
      <c r="A29" s="6" t="inlineStr">
        <is>
          <t>销售费用</t>
        </is>
      </c>
      <c r="B29" s="3" t="inlineStr">
        <is>
          <t>6</t>
        </is>
      </c>
      <c r="C29" s="7" t="n">
        <v>552732.7</v>
      </c>
      <c r="D29" s="7" t="n">
        <v>241036.1</v>
      </c>
      <c r="E29" s="7" t="n">
        <v>562271.9</v>
      </c>
      <c r="F29" s="7" t="n">
        <v>259543.3</v>
      </c>
      <c r="G29" s="7" t="n">
        <v>577710.6</v>
      </c>
      <c r="H29" s="7" t="n">
        <v>696914.7</v>
      </c>
      <c r="I29" s="7" t="n">
        <v>634815.3</v>
      </c>
      <c r="J29" s="7" t="n">
        <v>590772.3</v>
      </c>
      <c r="K29" s="7" t="n">
        <v>606365.2</v>
      </c>
      <c r="L29" s="7" t="n">
        <v>634831.7</v>
      </c>
      <c r="M29" s="7" t="n">
        <v>584167.6</v>
      </c>
      <c r="N29" s="7" t="n">
        <v>1023096.8</v>
      </c>
      <c r="O29" s="7" t="n">
        <v>626434.9</v>
      </c>
      <c r="P29" s="7" t="n">
        <v>865639.5</v>
      </c>
      <c r="Q29" s="7" t="n">
        <v>538122.4</v>
      </c>
      <c r="R29" s="7" t="n">
        <v>672341.7</v>
      </c>
      <c r="S29" s="7" t="n">
        <v>602100.9</v>
      </c>
      <c r="T29" s="7" t="n">
        <v>830487.9</v>
      </c>
      <c r="U29" s="7" t="n">
        <v>690394.9</v>
      </c>
      <c r="V29" s="7" t="n">
        <v>536367.6</v>
      </c>
      <c r="W29" s="7" t="n">
        <v>644795.6</v>
      </c>
      <c r="X29" s="7" t="n">
        <v>435265.5</v>
      </c>
      <c r="Y29" s="7" t="n">
        <v>533845.2</v>
      </c>
      <c r="Z29" s="7" t="n">
        <v>485275.3</v>
      </c>
      <c r="AA29" s="8" t="n">
        <v>7153757.2</v>
      </c>
      <c r="AB29" s="8" t="n">
        <v>7271572.4</v>
      </c>
    </row>
    <row r="30">
      <c r="A30" s="4" t="inlineStr">
        <is>
          <t>职工薪酬</t>
        </is>
      </c>
      <c r="D30" s="7" t="n">
        <v>145356</v>
      </c>
      <c r="F30" s="7" t="n">
        <v>153567.9</v>
      </c>
      <c r="H30" s="7" t="n">
        <v>390136</v>
      </c>
      <c r="J30" s="7" t="n">
        <v>260340.1</v>
      </c>
      <c r="L30" s="7" t="n">
        <v>334407.8</v>
      </c>
      <c r="N30" s="7" t="n">
        <v>500586.3</v>
      </c>
      <c r="P30" s="7" t="n">
        <v>449806.2</v>
      </c>
      <c r="R30" s="7" t="n">
        <v>408261</v>
      </c>
      <c r="T30" s="7" t="n">
        <v>502623.4</v>
      </c>
      <c r="V30" s="7" t="n">
        <v>317057.1</v>
      </c>
      <c r="X30" s="7" t="n">
        <v>212138</v>
      </c>
      <c r="Z30" s="7" t="n">
        <v>277633.8</v>
      </c>
      <c r="AB30" s="7" t="n">
        <v>3951913.6</v>
      </c>
    </row>
    <row r="31">
      <c r="A31" s="4" t="inlineStr">
        <is>
          <t>工资</t>
        </is>
      </c>
      <c r="D31" s="7" t="n">
        <v>88398.5</v>
      </c>
      <c r="F31" s="7" t="n">
        <v>92556.89999999999</v>
      </c>
      <c r="H31" s="7" t="n">
        <v>247188.1</v>
      </c>
      <c r="J31" s="7" t="n">
        <v>141466.4</v>
      </c>
      <c r="L31" s="7" t="n">
        <v>182218.7</v>
      </c>
      <c r="N31" s="7" t="n">
        <v>268778.5</v>
      </c>
      <c r="P31" s="7" t="n">
        <v>248953.5</v>
      </c>
      <c r="R31" s="7" t="n">
        <v>245972</v>
      </c>
      <c r="T31" s="7" t="n">
        <v>305477</v>
      </c>
      <c r="V31" s="7" t="n">
        <v>196777.6</v>
      </c>
      <c r="X31" s="7" t="n">
        <v>120300.4</v>
      </c>
      <c r="Z31" s="7" t="n">
        <v>172266.3</v>
      </c>
      <c r="AB31" s="7" t="n">
        <v>2310353.9</v>
      </c>
    </row>
    <row r="32">
      <c r="A32" s="4" t="inlineStr">
        <is>
          <t>奖金及提成</t>
        </is>
      </c>
      <c r="D32" s="7" t="n">
        <v>23927.9</v>
      </c>
      <c r="F32" s="7" t="n">
        <v>33638.2</v>
      </c>
      <c r="H32" s="7" t="n">
        <v>61994.3</v>
      </c>
      <c r="J32" s="7" t="n">
        <v>53598.2</v>
      </c>
      <c r="L32" s="7" t="n">
        <v>81089.7</v>
      </c>
      <c r="N32" s="7" t="n">
        <v>127452.5</v>
      </c>
      <c r="P32" s="7" t="n">
        <v>85993.10000000001</v>
      </c>
      <c r="R32" s="7" t="n">
        <v>80725</v>
      </c>
      <c r="T32" s="7" t="n">
        <v>91651.39999999999</v>
      </c>
      <c r="V32" s="7" t="n">
        <v>47651.4</v>
      </c>
      <c r="X32" s="7" t="n">
        <v>50091.3</v>
      </c>
      <c r="Z32" s="7" t="n">
        <v>51835</v>
      </c>
      <c r="AB32" s="7" t="n">
        <v>789648</v>
      </c>
    </row>
    <row r="33">
      <c r="A33" s="4" t="inlineStr">
        <is>
          <t>社保</t>
        </is>
      </c>
      <c r="D33" s="7" t="n">
        <v>24806.6</v>
      </c>
      <c r="F33" s="7" t="n">
        <v>17775.7</v>
      </c>
      <c r="H33" s="7" t="n">
        <v>53789.1</v>
      </c>
      <c r="J33" s="7" t="n">
        <v>41406.2</v>
      </c>
      <c r="L33" s="7" t="n">
        <v>48527.4</v>
      </c>
      <c r="N33" s="7" t="n">
        <v>65381</v>
      </c>
      <c r="P33" s="7" t="n">
        <v>82304.10000000001</v>
      </c>
      <c r="R33" s="7" t="n">
        <v>56296.7</v>
      </c>
      <c r="T33" s="7" t="n">
        <v>74736.89999999999</v>
      </c>
      <c r="V33" s="7" t="n">
        <v>51417.3</v>
      </c>
      <c r="X33" s="7" t="n">
        <v>24827.8</v>
      </c>
      <c r="Z33" s="7" t="n">
        <v>36651</v>
      </c>
      <c r="AB33" s="7" t="n">
        <v>577919.8</v>
      </c>
    </row>
    <row r="34">
      <c r="A34" s="4" t="inlineStr">
        <is>
          <t>养老</t>
        </is>
      </c>
      <c r="D34" s="7" t="n">
        <v>153.5</v>
      </c>
      <c r="F34" s="7" t="n">
        <v>222.8</v>
      </c>
      <c r="H34" s="7" t="n">
        <v>490.8</v>
      </c>
      <c r="J34" s="7" t="n">
        <v>556.6</v>
      </c>
      <c r="L34" s="7" t="n">
        <v>515.2</v>
      </c>
      <c r="N34" s="7" t="n">
        <v>945.2</v>
      </c>
      <c r="P34" s="7" t="n">
        <v>705.7</v>
      </c>
      <c r="R34" s="7" t="n">
        <v>466.3</v>
      </c>
      <c r="T34" s="7" t="n">
        <v>895.7</v>
      </c>
      <c r="V34" s="7" t="n">
        <v>355.8</v>
      </c>
      <c r="X34" s="7" t="n">
        <v>375.6</v>
      </c>
      <c r="Z34" s="7" t="n">
        <v>340.9</v>
      </c>
      <c r="AB34" s="7" t="n">
        <v>6024.1</v>
      </c>
    </row>
    <row r="35">
      <c r="A35" s="4" t="inlineStr">
        <is>
          <t>医疗</t>
        </is>
      </c>
      <c r="D35" s="7" t="n">
        <v>672.2</v>
      </c>
      <c r="F35" s="7" t="n">
        <v>757.7</v>
      </c>
      <c r="H35" s="7" t="n">
        <v>2163.5</v>
      </c>
      <c r="J35" s="7" t="n">
        <v>1453.6</v>
      </c>
      <c r="L35" s="7" t="n">
        <v>1660.5</v>
      </c>
      <c r="N35" s="7" t="n">
        <v>2139.9</v>
      </c>
      <c r="P35" s="7" t="n">
        <v>2449</v>
      </c>
      <c r="R35" s="7" t="n">
        <v>2300.6</v>
      </c>
      <c r="T35" s="7" t="n">
        <v>2081.4</v>
      </c>
      <c r="V35" s="7" t="n">
        <v>1929.5</v>
      </c>
      <c r="X35" s="7" t="n">
        <v>1557.4</v>
      </c>
      <c r="Z35" s="7" t="n">
        <v>1058.7</v>
      </c>
      <c r="AB35" s="7" t="n">
        <v>20224</v>
      </c>
    </row>
    <row r="36">
      <c r="A36" s="4" t="inlineStr">
        <is>
          <t>工伤</t>
        </is>
      </c>
      <c r="D36" s="7" t="n">
        <v>801.1</v>
      </c>
      <c r="F36" s="7" t="n">
        <v>1196.2</v>
      </c>
      <c r="H36" s="7" t="n">
        <v>2877.5</v>
      </c>
      <c r="J36" s="7" t="n">
        <v>2766</v>
      </c>
      <c r="L36" s="7" t="n">
        <v>1944.5</v>
      </c>
      <c r="N36" s="7" t="n">
        <v>4527</v>
      </c>
      <c r="P36" s="7" t="n">
        <v>2860.6</v>
      </c>
      <c r="R36" s="7" t="n">
        <v>2527.4</v>
      </c>
      <c r="T36" s="7" t="n">
        <v>3228.4</v>
      </c>
      <c r="V36" s="7" t="n">
        <v>2457.9</v>
      </c>
      <c r="X36" s="7" t="n">
        <v>2071.3</v>
      </c>
      <c r="Z36" s="7" t="n">
        <v>2050.3</v>
      </c>
      <c r="AB36" s="7" t="n">
        <v>29308.2</v>
      </c>
    </row>
    <row r="37">
      <c r="A37" s="4" t="inlineStr">
        <is>
          <t>失业</t>
        </is>
      </c>
      <c r="D37" s="7" t="n">
        <v>811.9</v>
      </c>
      <c r="F37" s="7" t="n">
        <v>1548.4</v>
      </c>
      <c r="H37" s="7" t="n">
        <v>4281.3</v>
      </c>
      <c r="J37" s="7" t="n">
        <v>3206.1</v>
      </c>
      <c r="L37" s="7" t="n">
        <v>2972.3</v>
      </c>
      <c r="N37" s="7" t="n">
        <v>6005.3</v>
      </c>
      <c r="P37" s="7" t="n">
        <v>3829</v>
      </c>
      <c r="R37" s="7" t="n">
        <v>3920.9</v>
      </c>
      <c r="T37" s="7" t="n">
        <v>3477.3</v>
      </c>
      <c r="V37" s="7" t="n">
        <v>2806.7</v>
      </c>
      <c r="X37" s="7" t="n">
        <v>2032</v>
      </c>
      <c r="Z37" s="7" t="n">
        <v>1909.7</v>
      </c>
      <c r="AB37" s="7" t="n">
        <v>36800.9</v>
      </c>
    </row>
    <row r="38">
      <c r="A38" s="4" t="inlineStr">
        <is>
          <t>生育</t>
        </is>
      </c>
      <c r="D38" s="7" t="n">
        <v>1045.2</v>
      </c>
      <c r="F38" s="7" t="n">
        <v>836.2</v>
      </c>
      <c r="H38" s="7" t="n">
        <v>2885.1</v>
      </c>
      <c r="J38" s="7" t="n">
        <v>2789.8</v>
      </c>
      <c r="L38" s="7" t="n">
        <v>3429.9</v>
      </c>
      <c r="N38" s="7" t="n">
        <v>5627.5</v>
      </c>
      <c r="P38" s="7" t="n">
        <v>2900.3</v>
      </c>
      <c r="R38" s="7" t="n">
        <v>2422.8</v>
      </c>
      <c r="T38" s="7" t="n">
        <v>3420.9</v>
      </c>
      <c r="V38" s="7" t="n">
        <v>2602.1</v>
      </c>
      <c r="X38" s="7" t="n">
        <v>1471.8</v>
      </c>
      <c r="Z38" s="7" t="n">
        <v>1516.9</v>
      </c>
      <c r="AB38" s="7" t="n">
        <v>30948.5</v>
      </c>
    </row>
    <row r="39">
      <c r="A39" s="4" t="inlineStr">
        <is>
          <t>公积金</t>
        </is>
      </c>
      <c r="D39" s="7" t="n">
        <v>1006.1</v>
      </c>
      <c r="F39" s="7" t="n">
        <v>859.4</v>
      </c>
      <c r="H39" s="7" t="n">
        <v>2931.7</v>
      </c>
      <c r="J39" s="7" t="n">
        <v>2059.1</v>
      </c>
      <c r="L39" s="7" t="n">
        <v>2220.5</v>
      </c>
      <c r="N39" s="7" t="n">
        <v>4331.4</v>
      </c>
      <c r="P39" s="7" t="n">
        <v>2277.2</v>
      </c>
      <c r="R39" s="7" t="n">
        <v>2046.9</v>
      </c>
      <c r="T39" s="7" t="n">
        <v>3331.2</v>
      </c>
      <c r="V39" s="7" t="n">
        <v>2200.2</v>
      </c>
      <c r="X39" s="7" t="n">
        <v>1958.3</v>
      </c>
      <c r="Z39" s="7" t="n">
        <v>2113</v>
      </c>
      <c r="AB39" s="7" t="n">
        <v>27335</v>
      </c>
    </row>
    <row r="40">
      <c r="A40" s="4" t="inlineStr">
        <is>
          <t>工会经费</t>
        </is>
      </c>
      <c r="D40" s="7" t="n">
        <v>1220.7</v>
      </c>
      <c r="F40" s="7" t="n">
        <v>966.2</v>
      </c>
      <c r="H40" s="7" t="n">
        <v>2734</v>
      </c>
      <c r="J40" s="7" t="n">
        <v>2450.9</v>
      </c>
      <c r="L40" s="7" t="n">
        <v>3956.5</v>
      </c>
      <c r="N40" s="7" t="n">
        <v>4287.5</v>
      </c>
      <c r="P40" s="7" t="n">
        <v>5471.8</v>
      </c>
      <c r="R40" s="7" t="n">
        <v>4291.2</v>
      </c>
      <c r="T40" s="7" t="n">
        <v>5433.5</v>
      </c>
      <c r="V40" s="7" t="n">
        <v>3217.1</v>
      </c>
      <c r="X40" s="7" t="n">
        <v>2331.1</v>
      </c>
      <c r="Z40" s="7" t="n">
        <v>2576.4</v>
      </c>
      <c r="AB40" s="7" t="n">
        <v>38936.9</v>
      </c>
    </row>
    <row r="41">
      <c r="A41" s="4" t="inlineStr">
        <is>
          <t>职工教育经费</t>
        </is>
      </c>
      <c r="D41" s="7" t="n">
        <v>395.7</v>
      </c>
      <c r="F41" s="7" t="n">
        <v>389.2</v>
      </c>
      <c r="H41" s="7" t="n">
        <v>1568.7</v>
      </c>
      <c r="J41" s="7" t="n">
        <v>1066.8</v>
      </c>
      <c r="L41" s="7" t="n">
        <v>919.3</v>
      </c>
      <c r="N41" s="7" t="n">
        <v>2073.9</v>
      </c>
      <c r="P41" s="7" t="n">
        <v>1453.1</v>
      </c>
      <c r="R41" s="7" t="n">
        <v>1148.9</v>
      </c>
      <c r="T41" s="7" t="n">
        <v>1528.7</v>
      </c>
      <c r="V41" s="7" t="n">
        <v>673.9</v>
      </c>
      <c r="X41" s="7" t="n">
        <v>899.4</v>
      </c>
      <c r="Z41" s="7" t="n">
        <v>683.2</v>
      </c>
      <c r="AB41" s="7" t="n">
        <v>12800.8</v>
      </c>
    </row>
    <row r="42">
      <c r="A42" s="4" t="inlineStr">
        <is>
          <t>福利费</t>
        </is>
      </c>
      <c r="D42" s="7" t="n">
        <v>5600.5</v>
      </c>
      <c r="F42" s="7" t="n">
        <v>7382.3</v>
      </c>
      <c r="H42" s="7" t="n">
        <v>19930.1</v>
      </c>
      <c r="J42" s="7" t="n">
        <v>18292.5</v>
      </c>
      <c r="L42" s="7" t="n">
        <v>15475.7</v>
      </c>
      <c r="N42" s="7" t="n">
        <v>28281.5</v>
      </c>
      <c r="P42" s="7" t="n">
        <v>23353.4</v>
      </c>
      <c r="R42" s="7" t="n">
        <v>17780.3</v>
      </c>
      <c r="T42" s="7" t="n">
        <v>20464.7</v>
      </c>
      <c r="V42" s="7" t="n">
        <v>15119.6</v>
      </c>
      <c r="X42" s="7" t="n">
        <v>11729.7</v>
      </c>
      <c r="Z42" s="7" t="n">
        <v>11508.9</v>
      </c>
      <c r="AB42" s="7" t="n">
        <v>194919.2</v>
      </c>
    </row>
    <row r="43">
      <c r="A43" s="4" t="inlineStr">
        <is>
          <t>职工房租</t>
        </is>
      </c>
      <c r="D43" s="7" t="n">
        <v>1468.3</v>
      </c>
      <c r="F43" s="7" t="n">
        <v>1066</v>
      </c>
      <c r="H43" s="7" t="n">
        <v>5173.3</v>
      </c>
      <c r="J43" s="7" t="n">
        <v>4246.5</v>
      </c>
      <c r="L43" s="7" t="n">
        <v>3167.7</v>
      </c>
      <c r="N43" s="7" t="n">
        <v>6641.1</v>
      </c>
      <c r="P43" s="7" t="n">
        <v>3638.8</v>
      </c>
      <c r="R43" s="7" t="n">
        <v>4716.6</v>
      </c>
      <c r="T43" s="7" t="n">
        <v>3759.1</v>
      </c>
      <c r="V43" s="7" t="n">
        <v>3308.6</v>
      </c>
      <c r="X43" s="7" t="n">
        <v>2898.1</v>
      </c>
      <c r="Z43" s="7" t="n">
        <v>2109.5</v>
      </c>
      <c r="AB43" s="7" t="n">
        <v>42193.6</v>
      </c>
    </row>
    <row r="44">
      <c r="A44" s="4" t="inlineStr">
        <is>
          <t>水电物业费</t>
        </is>
      </c>
      <c r="D44" s="7" t="n">
        <v>739</v>
      </c>
      <c r="F44" s="7" t="n">
        <v>700.6</v>
      </c>
      <c r="H44" s="7" t="n">
        <v>2813.8</v>
      </c>
      <c r="J44" s="7" t="n">
        <v>2695.8</v>
      </c>
      <c r="L44" s="7" t="n">
        <v>1644.6</v>
      </c>
      <c r="N44" s="7" t="n">
        <v>2894.1</v>
      </c>
      <c r="P44" s="7" t="n">
        <v>2878</v>
      </c>
      <c r="R44" s="7" t="n">
        <v>2324.4</v>
      </c>
      <c r="T44" s="7" t="n">
        <v>3025.3</v>
      </c>
      <c r="V44" s="7" t="n">
        <v>2325.1</v>
      </c>
      <c r="X44" s="7" t="n">
        <v>1639.1</v>
      </c>
      <c r="Z44" s="7" t="n">
        <v>2000.1</v>
      </c>
      <c r="AB44" s="7" t="n">
        <v>25679.9</v>
      </c>
    </row>
    <row r="45">
      <c r="A45" s="4" t="inlineStr">
        <is>
          <t>员工餐</t>
        </is>
      </c>
      <c r="D45" s="7" t="n">
        <v>824.2</v>
      </c>
      <c r="F45" s="7" t="n">
        <v>1479.1</v>
      </c>
      <c r="H45" s="7" t="n">
        <v>2687.4</v>
      </c>
      <c r="J45" s="7" t="n">
        <v>2784</v>
      </c>
      <c r="L45" s="7" t="n">
        <v>2966.2</v>
      </c>
      <c r="N45" s="7" t="n">
        <v>5149.3</v>
      </c>
      <c r="P45" s="7" t="n">
        <v>4572.3</v>
      </c>
      <c r="R45" s="7" t="n">
        <v>2253.4</v>
      </c>
      <c r="T45" s="7" t="n">
        <v>3291.8</v>
      </c>
      <c r="V45" s="7" t="n">
        <v>1846.2</v>
      </c>
      <c r="X45" s="7" t="n">
        <v>1757.5</v>
      </c>
      <c r="Z45" s="7" t="n">
        <v>1946</v>
      </c>
      <c r="AB45" s="7" t="n">
        <v>31557.4</v>
      </c>
    </row>
    <row r="46">
      <c r="A46" s="4" t="inlineStr">
        <is>
          <t>节日礼品</t>
        </is>
      </c>
      <c r="D46" s="7" t="n">
        <v>95.2</v>
      </c>
      <c r="F46" s="7" t="n">
        <v>134.4</v>
      </c>
      <c r="H46" s="7" t="n">
        <v>263.9</v>
      </c>
      <c r="J46" s="7" t="n">
        <v>275.2</v>
      </c>
      <c r="L46" s="7" t="n">
        <v>319.1</v>
      </c>
      <c r="N46" s="7" t="n">
        <v>349.1</v>
      </c>
      <c r="P46" s="7" t="n">
        <v>391.8</v>
      </c>
      <c r="R46" s="7" t="n">
        <v>214.5</v>
      </c>
      <c r="T46" s="7" t="n">
        <v>351</v>
      </c>
      <c r="V46" s="7" t="n">
        <v>186.5</v>
      </c>
      <c r="X46" s="7" t="n">
        <v>161.6</v>
      </c>
      <c r="Z46" s="7" t="n">
        <v>181.3</v>
      </c>
      <c r="AB46" s="7" t="n">
        <v>2923.6</v>
      </c>
    </row>
    <row r="47">
      <c r="A47" s="4" t="inlineStr">
        <is>
          <t>生日礼品</t>
        </is>
      </c>
      <c r="D47" s="7" t="n">
        <v>654</v>
      </c>
      <c r="F47" s="7" t="n">
        <v>924.9</v>
      </c>
      <c r="H47" s="7" t="n">
        <v>1634.3</v>
      </c>
      <c r="J47" s="7" t="n">
        <v>2455.2</v>
      </c>
      <c r="L47" s="7" t="n">
        <v>2125.7</v>
      </c>
      <c r="N47" s="7" t="n">
        <v>3021.6</v>
      </c>
      <c r="P47" s="7" t="n">
        <v>2494.7</v>
      </c>
      <c r="R47" s="7" t="n">
        <v>1707.8</v>
      </c>
      <c r="T47" s="7" t="n">
        <v>3317</v>
      </c>
      <c r="V47" s="7" t="n">
        <v>1726.1</v>
      </c>
      <c r="X47" s="7" t="n">
        <v>1237.4</v>
      </c>
      <c r="Z47" s="7" t="n">
        <v>1214.5</v>
      </c>
      <c r="AB47" s="7" t="n">
        <v>22513.2</v>
      </c>
    </row>
    <row r="48">
      <c r="A48" s="4" t="inlineStr">
        <is>
          <t>体检</t>
        </is>
      </c>
      <c r="D48" s="7" t="n">
        <v>1058.5</v>
      </c>
      <c r="F48" s="7" t="n">
        <v>1945.8</v>
      </c>
      <c r="H48" s="7" t="n">
        <v>4975</v>
      </c>
      <c r="J48" s="7" t="n">
        <v>3930.1</v>
      </c>
      <c r="L48" s="7" t="n">
        <v>3639.1</v>
      </c>
      <c r="N48" s="7" t="n">
        <v>6616.8</v>
      </c>
      <c r="P48" s="7" t="n">
        <v>5875.1</v>
      </c>
      <c r="R48" s="7" t="n">
        <v>4445.3</v>
      </c>
      <c r="T48" s="7" t="n">
        <v>4153</v>
      </c>
      <c r="V48" s="7" t="n">
        <v>3655.6</v>
      </c>
      <c r="X48" s="7" t="n">
        <v>2544.5</v>
      </c>
      <c r="Z48" s="7" t="n">
        <v>2254.1</v>
      </c>
      <c r="AB48" s="7" t="n">
        <v>45092.9</v>
      </c>
    </row>
    <row r="49">
      <c r="A49" s="4" t="inlineStr">
        <is>
          <t>其他福利支出</t>
        </is>
      </c>
      <c r="D49" s="7" t="n">
        <v>761.3</v>
      </c>
      <c r="F49" s="7" t="n">
        <v>1131.5</v>
      </c>
      <c r="H49" s="7" t="n">
        <v>2382.4</v>
      </c>
      <c r="J49" s="7" t="n">
        <v>1905.7</v>
      </c>
      <c r="L49" s="7" t="n">
        <v>1613.3</v>
      </c>
      <c r="N49" s="7" t="n">
        <v>3609.5</v>
      </c>
      <c r="P49" s="7" t="n">
        <v>3502.7</v>
      </c>
      <c r="R49" s="7" t="n">
        <v>2118.3</v>
      </c>
      <c r="T49" s="7" t="n">
        <v>2567.5</v>
      </c>
      <c r="V49" s="7" t="n">
        <v>2071.5</v>
      </c>
      <c r="X49" s="7" t="n">
        <v>1491.5</v>
      </c>
      <c r="Z49" s="7" t="n">
        <v>1803.4</v>
      </c>
      <c r="AB49" s="7" t="n">
        <v>24958.6</v>
      </c>
    </row>
    <row r="50">
      <c r="A50" s="4" t="inlineStr">
        <is>
          <t>招聘费</t>
        </is>
      </c>
      <c r="D50" s="7" t="n">
        <v>186.8</v>
      </c>
      <c r="F50" s="7" t="n">
        <v>332.4</v>
      </c>
      <c r="H50" s="7" t="n">
        <v>826.6</v>
      </c>
      <c r="J50" s="7" t="n">
        <v>754.7</v>
      </c>
      <c r="L50" s="7" t="n">
        <v>598.6</v>
      </c>
      <c r="N50" s="7" t="n">
        <v>1380.5</v>
      </c>
      <c r="P50" s="7" t="n">
        <v>748</v>
      </c>
      <c r="R50" s="7" t="n">
        <v>573.4</v>
      </c>
      <c r="T50" s="7" t="n">
        <v>795.5</v>
      </c>
      <c r="V50" s="7" t="n">
        <v>575.3</v>
      </c>
      <c r="X50" s="7" t="n">
        <v>480.3</v>
      </c>
      <c r="Z50" s="7" t="n">
        <v>484.8</v>
      </c>
      <c r="AB50" s="7" t="n">
        <v>7736.9</v>
      </c>
    </row>
    <row r="51">
      <c r="A51" s="4" t="inlineStr">
        <is>
          <t>办公费</t>
        </is>
      </c>
      <c r="D51" s="7" t="n">
        <v>6969.6</v>
      </c>
      <c r="F51" s="7" t="n">
        <v>6150.9</v>
      </c>
      <c r="H51" s="7" t="n">
        <v>19271.9</v>
      </c>
      <c r="J51" s="7" t="n">
        <v>16284.9</v>
      </c>
      <c r="L51" s="7" t="n">
        <v>16067.3</v>
      </c>
      <c r="N51" s="7" t="n">
        <v>26042.3</v>
      </c>
      <c r="P51" s="7" t="n">
        <v>28402</v>
      </c>
      <c r="R51" s="7" t="n">
        <v>23443.4</v>
      </c>
      <c r="T51" s="7" t="n">
        <v>25051.9</v>
      </c>
      <c r="V51" s="7" t="n">
        <v>13989.1</v>
      </c>
      <c r="X51" s="7" t="n">
        <v>12179.7</v>
      </c>
      <c r="Z51" s="7" t="n">
        <v>15951.1</v>
      </c>
      <c r="AB51" s="7" t="n">
        <v>209804.1</v>
      </c>
    </row>
    <row r="52">
      <c r="A52" s="4" t="inlineStr">
        <is>
          <t>市内交通费</t>
        </is>
      </c>
      <c r="D52" s="7" t="n">
        <v>185.2</v>
      </c>
      <c r="F52" s="7" t="n">
        <v>179.7</v>
      </c>
      <c r="H52" s="7" t="n">
        <v>388.2</v>
      </c>
      <c r="J52" s="7" t="n">
        <v>265.1</v>
      </c>
      <c r="L52" s="7" t="n">
        <v>435.1</v>
      </c>
      <c r="N52" s="7" t="n">
        <v>647.4</v>
      </c>
      <c r="P52" s="7" t="n">
        <v>460.5</v>
      </c>
      <c r="R52" s="7" t="n">
        <v>397</v>
      </c>
      <c r="T52" s="7" t="n">
        <v>528.1</v>
      </c>
      <c r="V52" s="7" t="n">
        <v>352.4</v>
      </c>
      <c r="X52" s="7" t="n">
        <v>221.9</v>
      </c>
      <c r="Z52" s="7" t="n">
        <v>356.6</v>
      </c>
      <c r="AB52" s="7" t="n">
        <v>4417.2</v>
      </c>
    </row>
    <row r="53">
      <c r="A53" s="4" t="inlineStr">
        <is>
          <t>差旅费</t>
        </is>
      </c>
      <c r="D53" s="7" t="n">
        <v>16860.3</v>
      </c>
      <c r="F53" s="7" t="n">
        <v>10961.2</v>
      </c>
      <c r="H53" s="7" t="n">
        <v>49057.9</v>
      </c>
      <c r="J53" s="7" t="n">
        <v>32064.2</v>
      </c>
      <c r="L53" s="7" t="n">
        <v>30264.5</v>
      </c>
      <c r="N53" s="7" t="n">
        <v>73383</v>
      </c>
      <c r="P53" s="7" t="n">
        <v>41927.9</v>
      </c>
      <c r="R53" s="7" t="n">
        <v>46487.2</v>
      </c>
      <c r="T53" s="7" t="n">
        <v>47736.4</v>
      </c>
      <c r="V53" s="7" t="n">
        <v>33344</v>
      </c>
      <c r="X53" s="7" t="n">
        <v>28424.8</v>
      </c>
      <c r="Z53" s="7" t="n">
        <v>24837.2</v>
      </c>
      <c r="AB53" s="7" t="n">
        <v>435348.6</v>
      </c>
    </row>
    <row r="54">
      <c r="A54" s="4" t="inlineStr">
        <is>
          <t>交通费</t>
        </is>
      </c>
      <c r="D54" s="7" t="n">
        <v>101.5</v>
      </c>
      <c r="F54" s="7" t="n">
        <v>135.5</v>
      </c>
      <c r="H54" s="7" t="n">
        <v>234.4</v>
      </c>
      <c r="J54" s="7" t="n">
        <v>240.6</v>
      </c>
      <c r="L54" s="7" t="n">
        <v>355.1</v>
      </c>
      <c r="N54" s="7" t="n">
        <v>430.9</v>
      </c>
      <c r="P54" s="7" t="n">
        <v>347.8</v>
      </c>
      <c r="R54" s="7" t="n">
        <v>234.5</v>
      </c>
      <c r="T54" s="7" t="n">
        <v>319.7</v>
      </c>
      <c r="V54" s="7" t="n">
        <v>289.5</v>
      </c>
      <c r="X54" s="7" t="n">
        <v>194.8</v>
      </c>
      <c r="Z54" s="7" t="n">
        <v>180.4</v>
      </c>
      <c r="AB54" s="7" t="n">
        <v>3064.7</v>
      </c>
    </row>
    <row r="55">
      <c r="A55" s="4" t="inlineStr">
        <is>
          <t>住宿费</t>
        </is>
      </c>
      <c r="D55" s="7" t="n">
        <v>1477.2</v>
      </c>
      <c r="F55" s="7" t="n">
        <v>1617.8</v>
      </c>
      <c r="H55" s="7" t="n">
        <v>4112.2</v>
      </c>
      <c r="J55" s="7" t="n">
        <v>4366.8</v>
      </c>
      <c r="L55" s="7" t="n">
        <v>4592.8</v>
      </c>
      <c r="N55" s="7" t="n">
        <v>6652.1</v>
      </c>
      <c r="P55" s="7" t="n">
        <v>6023</v>
      </c>
      <c r="R55" s="7" t="n">
        <v>3366.4</v>
      </c>
      <c r="T55" s="7" t="n">
        <v>6076</v>
      </c>
      <c r="V55" s="7" t="n">
        <v>3884.8</v>
      </c>
      <c r="X55" s="7" t="n">
        <v>3317.9</v>
      </c>
      <c r="Z55" s="7" t="n">
        <v>3425.1</v>
      </c>
      <c r="AB55" s="7" t="n">
        <v>48912.1</v>
      </c>
    </row>
    <row r="56">
      <c r="A56" s="4" t="inlineStr">
        <is>
          <t>餐补</t>
        </is>
      </c>
      <c r="D56" s="7" t="n">
        <v>928.3</v>
      </c>
      <c r="F56" s="7" t="n">
        <v>1014.1</v>
      </c>
      <c r="H56" s="7" t="n">
        <v>1649.9</v>
      </c>
      <c r="J56" s="7" t="n">
        <v>2230.5</v>
      </c>
      <c r="L56" s="7" t="n">
        <v>1954.4</v>
      </c>
      <c r="N56" s="7" t="n">
        <v>2468</v>
      </c>
      <c r="P56" s="7" t="n">
        <v>2069.1</v>
      </c>
      <c r="R56" s="7" t="n">
        <v>2356.9</v>
      </c>
      <c r="T56" s="7" t="n">
        <v>2788.6</v>
      </c>
      <c r="V56" s="7" t="n">
        <v>2067.4</v>
      </c>
      <c r="X56" s="7" t="n">
        <v>1096.7</v>
      </c>
      <c r="Z56" s="7" t="n">
        <v>1743.9</v>
      </c>
      <c r="AB56" s="7" t="n">
        <v>22367.8</v>
      </c>
    </row>
    <row r="57">
      <c r="A57" s="4" t="inlineStr">
        <is>
          <t>交通补助</t>
        </is>
      </c>
      <c r="D57" s="7" t="n">
        <v>93.8</v>
      </c>
      <c r="F57" s="7" t="n">
        <v>78.40000000000001</v>
      </c>
      <c r="H57" s="7" t="n">
        <v>209</v>
      </c>
      <c r="J57" s="7" t="n">
        <v>284.9</v>
      </c>
      <c r="L57" s="7" t="n">
        <v>289.1</v>
      </c>
      <c r="N57" s="7" t="n">
        <v>357.7</v>
      </c>
      <c r="P57" s="7" t="n">
        <v>284.8</v>
      </c>
      <c r="R57" s="7" t="n">
        <v>299.5</v>
      </c>
      <c r="T57" s="7" t="n">
        <v>332.6</v>
      </c>
      <c r="V57" s="7" t="n">
        <v>266.6</v>
      </c>
      <c r="X57" s="7" t="n">
        <v>224.4</v>
      </c>
      <c r="Z57" s="7" t="n">
        <v>177.9</v>
      </c>
      <c r="AB57" s="7" t="n">
        <v>2898.7</v>
      </c>
    </row>
    <row r="58">
      <c r="A58" s="4" t="inlineStr">
        <is>
          <t>通讯补助</t>
        </is>
      </c>
      <c r="D58" s="7" t="n">
        <v>1258.9</v>
      </c>
      <c r="F58" s="7" t="n">
        <v>1249.9</v>
      </c>
      <c r="H58" s="7" t="n">
        <v>2914.3</v>
      </c>
      <c r="J58" s="7" t="n">
        <v>2505.1</v>
      </c>
      <c r="L58" s="7" t="n">
        <v>3165.3</v>
      </c>
      <c r="N58" s="7" t="n">
        <v>5304.8</v>
      </c>
      <c r="P58" s="7" t="n">
        <v>4375.1</v>
      </c>
      <c r="R58" s="7" t="n">
        <v>3606.5</v>
      </c>
      <c r="T58" s="7" t="n">
        <v>4522.3</v>
      </c>
      <c r="V58" s="7" t="n">
        <v>2563.8</v>
      </c>
      <c r="X58" s="7" t="n">
        <v>1973</v>
      </c>
      <c r="Z58" s="7" t="n">
        <v>2064.1</v>
      </c>
      <c r="AB58" s="7" t="n">
        <v>35503.1</v>
      </c>
    </row>
    <row r="59">
      <c r="A59" s="4" t="inlineStr">
        <is>
          <t>招待费</t>
        </is>
      </c>
      <c r="D59" s="7" t="n">
        <v>8925.299999999999</v>
      </c>
      <c r="F59" s="7" t="n">
        <v>11688.4</v>
      </c>
      <c r="H59" s="7" t="n">
        <v>26781.1</v>
      </c>
      <c r="J59" s="7" t="n">
        <v>27485.8</v>
      </c>
      <c r="L59" s="7" t="n">
        <v>23909.8</v>
      </c>
      <c r="N59" s="7" t="n">
        <v>39825.3</v>
      </c>
      <c r="P59" s="7" t="n">
        <v>30387.3</v>
      </c>
      <c r="R59" s="7" t="n">
        <v>28624.4</v>
      </c>
      <c r="T59" s="7" t="n">
        <v>37672.8</v>
      </c>
      <c r="V59" s="7" t="n">
        <v>19879.4</v>
      </c>
      <c r="X59" s="7" t="n">
        <v>21115.9</v>
      </c>
      <c r="Z59" s="7" t="n">
        <v>15856.1</v>
      </c>
      <c r="AB59" s="7" t="n">
        <v>292151.6</v>
      </c>
    </row>
    <row r="60">
      <c r="A60" s="4" t="inlineStr">
        <is>
          <t>通讯费</t>
        </is>
      </c>
      <c r="D60" s="7" t="n">
        <v>873.7</v>
      </c>
      <c r="F60" s="7" t="n">
        <v>1417.2</v>
      </c>
      <c r="H60" s="7" t="n">
        <v>3275</v>
      </c>
      <c r="J60" s="7" t="n">
        <v>2404.8</v>
      </c>
      <c r="L60" s="7" t="n">
        <v>3873.4</v>
      </c>
      <c r="N60" s="7" t="n">
        <v>4541.1</v>
      </c>
      <c r="P60" s="7" t="n">
        <v>3462.4</v>
      </c>
      <c r="R60" s="7" t="n">
        <v>3793.9</v>
      </c>
      <c r="T60" s="7" t="n">
        <v>4705.8</v>
      </c>
      <c r="V60" s="7" t="n">
        <v>2517.1</v>
      </c>
      <c r="X60" s="7" t="n">
        <v>2597.3</v>
      </c>
      <c r="Z60" s="7" t="n">
        <v>2663.5</v>
      </c>
      <c r="AB60" s="7" t="n">
        <v>36125.2</v>
      </c>
    </row>
    <row r="61">
      <c r="A61" s="4" t="inlineStr">
        <is>
          <t>网络费</t>
        </is>
      </c>
      <c r="D61" s="7" t="n">
        <v>1224.5</v>
      </c>
      <c r="F61" s="7" t="n">
        <v>1959.2</v>
      </c>
      <c r="H61" s="7" t="n">
        <v>4582.8</v>
      </c>
      <c r="J61" s="7" t="n">
        <v>4287.1</v>
      </c>
      <c r="L61" s="7" t="n">
        <v>3372.3</v>
      </c>
      <c r="N61" s="7" t="n">
        <v>6898.5</v>
      </c>
      <c r="P61" s="7" t="n">
        <v>3846.6</v>
      </c>
      <c r="R61" s="7" t="n">
        <v>3007.8</v>
      </c>
      <c r="T61" s="7" t="n">
        <v>5817.2</v>
      </c>
      <c r="V61" s="7" t="n">
        <v>3322.6</v>
      </c>
      <c r="X61" s="7" t="n">
        <v>2311.1</v>
      </c>
      <c r="Z61" s="7" t="n">
        <v>2223.6</v>
      </c>
      <c r="AB61" s="7" t="n">
        <v>42853.3</v>
      </c>
    </row>
    <row r="62">
      <c r="A62" s="4" t="inlineStr">
        <is>
          <t>修理费</t>
        </is>
      </c>
      <c r="D62" s="7" t="n">
        <v>179.4</v>
      </c>
      <c r="F62" s="7" t="n">
        <v>210.4</v>
      </c>
      <c r="H62" s="7" t="n">
        <v>400.5</v>
      </c>
      <c r="J62" s="7" t="n">
        <v>549.8</v>
      </c>
      <c r="L62" s="7" t="n">
        <v>425.9</v>
      </c>
      <c r="N62" s="7" t="n">
        <v>877.5</v>
      </c>
      <c r="P62" s="7" t="n">
        <v>490.4</v>
      </c>
      <c r="R62" s="7" t="n">
        <v>372.8</v>
      </c>
      <c r="T62" s="7" t="n">
        <v>698.7</v>
      </c>
      <c r="V62" s="7" t="n">
        <v>499.6</v>
      </c>
      <c r="X62" s="7" t="n">
        <v>309.6</v>
      </c>
      <c r="Z62" s="7" t="n">
        <v>260.7</v>
      </c>
      <c r="AB62" s="7" t="n">
        <v>5275.3</v>
      </c>
    </row>
    <row r="63">
      <c r="A63" s="4" t="inlineStr">
        <is>
          <t>车辆费</t>
        </is>
      </c>
      <c r="D63" s="7" t="n">
        <v>48.6</v>
      </c>
      <c r="F63" s="7" t="n">
        <v>57.7</v>
      </c>
      <c r="H63" s="7" t="n">
        <v>168.9</v>
      </c>
      <c r="J63" s="7" t="n">
        <v>139.5</v>
      </c>
      <c r="L63" s="7" t="n">
        <v>164.3</v>
      </c>
      <c r="N63" s="7" t="n">
        <v>273.3</v>
      </c>
      <c r="P63" s="7" t="n">
        <v>196.5</v>
      </c>
      <c r="R63" s="7" t="n">
        <v>175.6</v>
      </c>
      <c r="T63" s="7" t="n">
        <v>222.8</v>
      </c>
      <c r="V63" s="7" t="n">
        <v>94.5</v>
      </c>
      <c r="X63" s="7" t="n">
        <v>83.2</v>
      </c>
      <c r="Z63" s="7" t="n">
        <v>104.5</v>
      </c>
      <c r="AB63" s="7" t="n">
        <v>1729.4</v>
      </c>
    </row>
    <row r="64">
      <c r="A64" s="4" t="inlineStr">
        <is>
          <t>租赁费</t>
        </is>
      </c>
      <c r="D64" s="7" t="n">
        <v>13597.3</v>
      </c>
      <c r="F64" s="7" t="n">
        <v>11872.7</v>
      </c>
      <c r="H64" s="7" t="n">
        <v>43092.3</v>
      </c>
      <c r="J64" s="7" t="n">
        <v>31313.1</v>
      </c>
      <c r="L64" s="7" t="n">
        <v>24272.1</v>
      </c>
      <c r="N64" s="7" t="n">
        <v>53317.3</v>
      </c>
      <c r="P64" s="7" t="n">
        <v>42554.7</v>
      </c>
      <c r="R64" s="7" t="n">
        <v>25373.3</v>
      </c>
      <c r="T64" s="7" t="n">
        <v>35349.3</v>
      </c>
      <c r="V64" s="7" t="n">
        <v>22674.4</v>
      </c>
      <c r="X64" s="7" t="n">
        <v>26937.4</v>
      </c>
      <c r="Z64" s="7" t="n">
        <v>24341.8</v>
      </c>
      <c r="AB64" s="7" t="n">
        <v>354695.7</v>
      </c>
    </row>
    <row r="65">
      <c r="A65" s="4" t="inlineStr">
        <is>
          <t>能源费</t>
        </is>
      </c>
      <c r="D65" s="7" t="n">
        <v>2708.5</v>
      </c>
      <c r="F65" s="7" t="n">
        <v>3226.2</v>
      </c>
      <c r="H65" s="7" t="n">
        <v>6284.2</v>
      </c>
      <c r="J65" s="7" t="n">
        <v>6100.1</v>
      </c>
      <c r="L65" s="7" t="n">
        <v>6569</v>
      </c>
      <c r="N65" s="7" t="n">
        <v>11178.2</v>
      </c>
      <c r="P65" s="7" t="n">
        <v>10359</v>
      </c>
      <c r="R65" s="7" t="n">
        <v>7962.7</v>
      </c>
      <c r="T65" s="7" t="n">
        <v>9080.6</v>
      </c>
      <c r="V65" s="7" t="n">
        <v>6032.1</v>
      </c>
      <c r="X65" s="7" t="n">
        <v>4408.2</v>
      </c>
      <c r="Z65" s="7" t="n">
        <v>5576.9</v>
      </c>
      <c r="AB65" s="7" t="n">
        <v>79485.7</v>
      </c>
    </row>
    <row r="66">
      <c r="A66" s="4" t="inlineStr">
        <is>
          <t>水费</t>
        </is>
      </c>
      <c r="D66" s="7" t="n">
        <v>527</v>
      </c>
      <c r="F66" s="7" t="n">
        <v>728.4</v>
      </c>
      <c r="H66" s="7" t="n">
        <v>1714.3</v>
      </c>
      <c r="J66" s="7" t="n">
        <v>1677.9</v>
      </c>
      <c r="L66" s="7" t="n">
        <v>1512.4</v>
      </c>
      <c r="N66" s="7" t="n">
        <v>3502.5</v>
      </c>
      <c r="P66" s="7" t="n">
        <v>2981.7</v>
      </c>
      <c r="R66" s="7" t="n">
        <v>2413.1</v>
      </c>
      <c r="T66" s="7" t="n">
        <v>2302.4</v>
      </c>
      <c r="V66" s="7" t="n">
        <v>1156.9</v>
      </c>
      <c r="X66" s="7" t="n">
        <v>847.6</v>
      </c>
      <c r="Z66" s="7" t="n">
        <v>1598.2</v>
      </c>
      <c r="AB66" s="7" t="n">
        <v>20962.4</v>
      </c>
    </row>
    <row r="67">
      <c r="A67" s="4" t="inlineStr">
        <is>
          <t>电费</t>
        </is>
      </c>
      <c r="D67" s="7" t="n">
        <v>1242.7</v>
      </c>
      <c r="F67" s="7" t="n">
        <v>1284.1</v>
      </c>
      <c r="H67" s="7" t="n">
        <v>2244</v>
      </c>
      <c r="J67" s="7" t="n">
        <v>2495.5</v>
      </c>
      <c r="L67" s="7" t="n">
        <v>2093.8</v>
      </c>
      <c r="N67" s="7" t="n">
        <v>4080.6</v>
      </c>
      <c r="P67" s="7" t="n">
        <v>4490.3</v>
      </c>
      <c r="R67" s="7" t="n">
        <v>3567.1</v>
      </c>
      <c r="T67" s="7" t="n">
        <v>3347.1</v>
      </c>
      <c r="V67" s="7" t="n">
        <v>2553.8</v>
      </c>
      <c r="X67" s="7" t="n">
        <v>2037.3</v>
      </c>
      <c r="Z67" s="7" t="n">
        <v>1979.9</v>
      </c>
      <c r="AB67" s="7" t="n">
        <v>31416.2</v>
      </c>
    </row>
    <row r="68">
      <c r="A68" s="4" t="inlineStr">
        <is>
          <t>燃气费</t>
        </is>
      </c>
      <c r="D68" s="7" t="n">
        <v>259</v>
      </c>
      <c r="F68" s="7" t="n">
        <v>435.1</v>
      </c>
      <c r="H68" s="7" t="n">
        <v>895.9</v>
      </c>
      <c r="J68" s="7" t="n">
        <v>881.1</v>
      </c>
      <c r="L68" s="7" t="n">
        <v>987.4</v>
      </c>
      <c r="N68" s="7" t="n">
        <v>1716.7</v>
      </c>
      <c r="P68" s="7" t="n">
        <v>1322.6</v>
      </c>
      <c r="R68" s="7" t="n">
        <v>752.6</v>
      </c>
      <c r="T68" s="7" t="n">
        <v>954.4</v>
      </c>
      <c r="V68" s="7" t="n">
        <v>908.6</v>
      </c>
      <c r="X68" s="7" t="n">
        <v>718.2</v>
      </c>
      <c r="Z68" s="7" t="n">
        <v>826.4</v>
      </c>
      <c r="AB68" s="7" t="n">
        <v>10658</v>
      </c>
    </row>
    <row r="69">
      <c r="A69" s="4" t="inlineStr">
        <is>
          <t>蒸汽费</t>
        </is>
      </c>
      <c r="D69" s="7" t="n">
        <v>679.8</v>
      </c>
      <c r="F69" s="7" t="n">
        <v>778.6</v>
      </c>
      <c r="H69" s="7" t="n">
        <v>1430</v>
      </c>
      <c r="J69" s="7" t="n">
        <v>1045.6</v>
      </c>
      <c r="L69" s="7" t="n">
        <v>1975.4</v>
      </c>
      <c r="N69" s="7" t="n">
        <v>1878.4</v>
      </c>
      <c r="P69" s="7" t="n">
        <v>1564.4</v>
      </c>
      <c r="R69" s="7" t="n">
        <v>1229.9</v>
      </c>
      <c r="T69" s="7" t="n">
        <v>2476.7</v>
      </c>
      <c r="V69" s="7" t="n">
        <v>1412.8</v>
      </c>
      <c r="X69" s="7" t="n">
        <v>805.1</v>
      </c>
      <c r="Z69" s="7" t="n">
        <v>1172.4</v>
      </c>
      <c r="AB69" s="7" t="n">
        <v>16449.1</v>
      </c>
    </row>
    <row r="70">
      <c r="A70" s="4" t="inlineStr">
        <is>
          <t>物业费</t>
        </is>
      </c>
      <c r="D70" s="7" t="n">
        <v>126.5</v>
      </c>
      <c r="F70" s="7" t="n">
        <v>245.2</v>
      </c>
      <c r="H70" s="7" t="n">
        <v>631.3</v>
      </c>
      <c r="J70" s="7" t="n">
        <v>449.9</v>
      </c>
      <c r="L70" s="7" t="n">
        <v>344.8</v>
      </c>
      <c r="N70" s="7" t="n">
        <v>776.8</v>
      </c>
      <c r="P70" s="7" t="n">
        <v>834.1</v>
      </c>
      <c r="R70" s="7" t="n">
        <v>421.2</v>
      </c>
      <c r="T70" s="7" t="n">
        <v>694.7</v>
      </c>
      <c r="V70" s="7" t="n">
        <v>347.6</v>
      </c>
      <c r="X70" s="7" t="n">
        <v>293.1</v>
      </c>
      <c r="Z70" s="7" t="n">
        <v>445.5</v>
      </c>
      <c r="AB70" s="7" t="n">
        <v>5610.7</v>
      </c>
    </row>
    <row r="71">
      <c r="A71" s="4" t="inlineStr">
        <is>
          <t>劳动保护费</t>
        </is>
      </c>
      <c r="D71" s="7" t="n">
        <v>766.3</v>
      </c>
      <c r="F71" s="7" t="n">
        <v>1133.5</v>
      </c>
      <c r="H71" s="7" t="n">
        <v>2942.7</v>
      </c>
      <c r="J71" s="7" t="n">
        <v>1948.4</v>
      </c>
      <c r="L71" s="7" t="n">
        <v>3133</v>
      </c>
      <c r="N71" s="7" t="n">
        <v>4524.5</v>
      </c>
      <c r="P71" s="7" t="n">
        <v>3679.1</v>
      </c>
      <c r="R71" s="7" t="n">
        <v>2514.4</v>
      </c>
      <c r="T71" s="7" t="n">
        <v>2461.3</v>
      </c>
      <c r="V71" s="7" t="n">
        <v>2453.1</v>
      </c>
      <c r="X71" s="7" t="n">
        <v>1603.9</v>
      </c>
      <c r="Z71" s="7" t="n">
        <v>1948.4</v>
      </c>
      <c r="AB71" s="7" t="n">
        <v>29108.6</v>
      </c>
    </row>
    <row r="72">
      <c r="A72" s="4" t="inlineStr">
        <is>
          <t>顾问费</t>
        </is>
      </c>
      <c r="D72" s="7" t="n">
        <v>1023</v>
      </c>
      <c r="F72" s="7" t="n">
        <v>1297.8</v>
      </c>
      <c r="H72" s="7" t="n">
        <v>2303.3</v>
      </c>
      <c r="J72" s="7" t="n">
        <v>1947.6</v>
      </c>
      <c r="L72" s="7" t="n">
        <v>2892.5</v>
      </c>
      <c r="N72" s="7" t="n">
        <v>4363.3</v>
      </c>
      <c r="P72" s="7" t="n">
        <v>3317.2</v>
      </c>
      <c r="R72" s="7" t="n">
        <v>3656.6</v>
      </c>
      <c r="T72" s="7" t="n">
        <v>4048.2</v>
      </c>
      <c r="V72" s="7" t="n">
        <v>1993.4</v>
      </c>
      <c r="X72" s="7" t="n">
        <v>1789.1</v>
      </c>
      <c r="Z72" s="7" t="n">
        <v>2287.4</v>
      </c>
      <c r="AB72" s="7" t="n">
        <v>30919.4</v>
      </c>
    </row>
    <row r="73">
      <c r="A73" s="4" t="inlineStr">
        <is>
          <t>快递费</t>
        </is>
      </c>
      <c r="D73" s="7" t="n">
        <v>395.1</v>
      </c>
      <c r="F73" s="7" t="n">
        <v>306.5</v>
      </c>
      <c r="H73" s="7" t="n">
        <v>1064.6</v>
      </c>
      <c r="J73" s="7" t="n">
        <v>1123.2</v>
      </c>
      <c r="L73" s="7" t="n">
        <v>794.4</v>
      </c>
      <c r="N73" s="7" t="n">
        <v>2059.2</v>
      </c>
      <c r="P73" s="7" t="n">
        <v>1890.4</v>
      </c>
      <c r="R73" s="7" t="n">
        <v>816</v>
      </c>
      <c r="T73" s="7" t="n">
        <v>1269.9</v>
      </c>
      <c r="V73" s="7" t="n">
        <v>928.2</v>
      </c>
      <c r="X73" s="7" t="n">
        <v>605.5</v>
      </c>
      <c r="Z73" s="7" t="n">
        <v>953</v>
      </c>
      <c r="AB73" s="7" t="n">
        <v>12206</v>
      </c>
    </row>
    <row r="74">
      <c r="A74" s="4" t="inlineStr">
        <is>
          <t>诉讼费</t>
        </is>
      </c>
      <c r="D74" s="7" t="n">
        <v>470.4</v>
      </c>
      <c r="F74" s="7" t="n">
        <v>399.3</v>
      </c>
      <c r="H74" s="7" t="n">
        <v>1405.6</v>
      </c>
      <c r="J74" s="7" t="n">
        <v>1006.7</v>
      </c>
      <c r="L74" s="7" t="n">
        <v>1090.4</v>
      </c>
      <c r="N74" s="7" t="n">
        <v>1433.9</v>
      </c>
      <c r="P74" s="7" t="n">
        <v>1087.7</v>
      </c>
      <c r="R74" s="7" t="n">
        <v>1115.3</v>
      </c>
      <c r="T74" s="7" t="n">
        <v>1721</v>
      </c>
      <c r="V74" s="7" t="n">
        <v>987.4</v>
      </c>
      <c r="X74" s="7" t="n">
        <v>547.1</v>
      </c>
      <c r="Z74" s="7" t="n">
        <v>741.7</v>
      </c>
      <c r="AB74" s="7" t="n">
        <v>12006.5</v>
      </c>
    </row>
    <row r="75">
      <c r="A75" s="4" t="inlineStr">
        <is>
          <t>会员费</t>
        </is>
      </c>
      <c r="D75" s="7" t="n">
        <v>478</v>
      </c>
      <c r="F75" s="7" t="n">
        <v>451.7</v>
      </c>
      <c r="H75" s="7" t="n">
        <v>971.9</v>
      </c>
      <c r="J75" s="7" t="n">
        <v>646.8</v>
      </c>
      <c r="L75" s="7" t="n">
        <v>1101.9</v>
      </c>
      <c r="N75" s="7" t="n">
        <v>1473.2</v>
      </c>
      <c r="P75" s="7" t="n">
        <v>1310.1</v>
      </c>
      <c r="R75" s="7" t="n">
        <v>1013.3</v>
      </c>
      <c r="T75" s="7" t="n">
        <v>1546.7</v>
      </c>
      <c r="V75" s="7" t="n">
        <v>823.2</v>
      </c>
      <c r="X75" s="7" t="n">
        <v>655.9</v>
      </c>
      <c r="Z75" s="7" t="n">
        <v>905.1</v>
      </c>
      <c r="AB75" s="7" t="n">
        <v>11377.8</v>
      </c>
    </row>
    <row r="76">
      <c r="A76" s="4" t="inlineStr">
        <is>
          <t>广告宣传费</t>
        </is>
      </c>
      <c r="D76" s="7" t="n">
        <v>5605.2</v>
      </c>
      <c r="F76" s="7" t="n">
        <v>7930.1</v>
      </c>
      <c r="H76" s="7" t="n">
        <v>24802.4</v>
      </c>
      <c r="J76" s="7" t="n">
        <v>14711.1</v>
      </c>
      <c r="L76" s="7" t="n">
        <v>23922.4</v>
      </c>
      <c r="N76" s="7" t="n">
        <v>29448.8</v>
      </c>
      <c r="P76" s="7" t="n">
        <v>26373.8</v>
      </c>
      <c r="R76" s="7" t="n">
        <v>22164.7</v>
      </c>
      <c r="T76" s="7" t="n">
        <v>22785</v>
      </c>
      <c r="V76" s="7" t="n">
        <v>12111.2</v>
      </c>
      <c r="X76" s="7" t="n">
        <v>14270.3</v>
      </c>
      <c r="Z76" s="7" t="n">
        <v>17869.7</v>
      </c>
      <c r="AB76" s="7" t="n">
        <v>221994.7</v>
      </c>
    </row>
    <row r="77">
      <c r="A77" s="4" t="inlineStr">
        <is>
          <t>会务费</t>
        </is>
      </c>
      <c r="D77" s="7" t="n">
        <v>985.3</v>
      </c>
      <c r="F77" s="7" t="n">
        <v>1670.4</v>
      </c>
      <c r="H77" s="7" t="n">
        <v>2871.3</v>
      </c>
      <c r="J77" s="7" t="n">
        <v>2410.4</v>
      </c>
      <c r="L77" s="7" t="n">
        <v>3110.3</v>
      </c>
      <c r="N77" s="7" t="n">
        <v>5043.7</v>
      </c>
      <c r="P77" s="7" t="n">
        <v>4479.9</v>
      </c>
      <c r="R77" s="7" t="n">
        <v>3844.6</v>
      </c>
      <c r="T77" s="7" t="n">
        <v>3010.9</v>
      </c>
      <c r="V77" s="7" t="n">
        <v>3080.5</v>
      </c>
      <c r="X77" s="7" t="n">
        <v>1823.9</v>
      </c>
      <c r="Z77" s="7" t="n">
        <v>2703.9</v>
      </c>
      <c r="AB77" s="7" t="n">
        <v>35035.1</v>
      </c>
    </row>
    <row r="78">
      <c r="A78" s="4" t="inlineStr">
        <is>
          <t>装修费</t>
        </is>
      </c>
      <c r="D78" s="7" t="n">
        <v>126.8</v>
      </c>
      <c r="F78" s="7" t="n">
        <v>173.4</v>
      </c>
      <c r="H78" s="7" t="n">
        <v>313.6</v>
      </c>
      <c r="J78" s="7" t="n">
        <v>341.7</v>
      </c>
      <c r="L78" s="7" t="n">
        <v>386.6</v>
      </c>
      <c r="N78" s="7" t="n">
        <v>635.1</v>
      </c>
      <c r="P78" s="7" t="n">
        <v>548.5</v>
      </c>
      <c r="R78" s="7" t="n">
        <v>483.4</v>
      </c>
      <c r="T78" s="7" t="n">
        <v>326.6</v>
      </c>
      <c r="V78" s="7" t="n">
        <v>263.5</v>
      </c>
      <c r="X78" s="7" t="n">
        <v>256.7</v>
      </c>
      <c r="Z78" s="7" t="n">
        <v>322.9</v>
      </c>
      <c r="AB78" s="7" t="n">
        <v>4178.8</v>
      </c>
    </row>
    <row r="79">
      <c r="A79" s="4" t="inlineStr">
        <is>
          <t>推广费</t>
        </is>
      </c>
      <c r="D79" s="7" t="n">
        <v>682.7</v>
      </c>
      <c r="F79" s="7" t="n">
        <v>860.6</v>
      </c>
      <c r="H79" s="7" t="n">
        <v>2774.7</v>
      </c>
      <c r="J79" s="7" t="n">
        <v>2165.2</v>
      </c>
      <c r="L79" s="7" t="n">
        <v>1863.3</v>
      </c>
      <c r="N79" s="7" t="n">
        <v>3390.9</v>
      </c>
      <c r="P79" s="7" t="n">
        <v>3409.4</v>
      </c>
      <c r="R79" s="7" t="n">
        <v>2487.6</v>
      </c>
      <c r="T79" s="7" t="n">
        <v>2703.9</v>
      </c>
      <c r="V79" s="7" t="n">
        <v>2047.8</v>
      </c>
      <c r="X79" s="7" t="n">
        <v>1312.1</v>
      </c>
      <c r="Z79" s="7" t="n">
        <v>1861.4</v>
      </c>
      <c r="AB79" s="7" t="n">
        <v>25559.6</v>
      </c>
    </row>
    <row r="80">
      <c r="A80" s="4" t="inlineStr">
        <is>
          <t>展会费</t>
        </is>
      </c>
      <c r="D80" s="7" t="n">
        <v>1546</v>
      </c>
      <c r="F80" s="7" t="n">
        <v>1453.9</v>
      </c>
      <c r="H80" s="7" t="n">
        <v>5501.6</v>
      </c>
      <c r="J80" s="7" t="n">
        <v>4650.7</v>
      </c>
      <c r="L80" s="7" t="n">
        <v>5052.1</v>
      </c>
      <c r="N80" s="7" t="n">
        <v>5630.1</v>
      </c>
      <c r="P80" s="7" t="n">
        <v>6339.8</v>
      </c>
      <c r="R80" s="7" t="n">
        <v>3239.1</v>
      </c>
      <c r="T80" s="7" t="n">
        <v>6628</v>
      </c>
      <c r="V80" s="7" t="n">
        <v>3147.3</v>
      </c>
      <c r="X80" s="7" t="n">
        <v>2710.7</v>
      </c>
      <c r="Z80" s="7" t="n">
        <v>3205.1</v>
      </c>
      <c r="AB80" s="7" t="n">
        <v>49104.4</v>
      </c>
    </row>
    <row r="81">
      <c r="A81" s="4" t="inlineStr">
        <is>
          <t>设计费</t>
        </is>
      </c>
      <c r="D81" s="7" t="n">
        <v>1149.3</v>
      </c>
      <c r="F81" s="7" t="n">
        <v>762.2</v>
      </c>
      <c r="H81" s="7" t="n">
        <v>3329.2</v>
      </c>
      <c r="J81" s="7" t="n">
        <v>2696.8</v>
      </c>
      <c r="L81" s="7" t="n">
        <v>2904.3</v>
      </c>
      <c r="N81" s="7" t="n">
        <v>3492.1</v>
      </c>
      <c r="P81" s="7" t="n">
        <v>2452.1</v>
      </c>
      <c r="R81" s="7" t="n">
        <v>2570</v>
      </c>
      <c r="T81" s="7" t="n">
        <v>2329.2</v>
      </c>
      <c r="V81" s="7" t="n">
        <v>1545.1</v>
      </c>
      <c r="X81" s="7" t="n">
        <v>2098.6</v>
      </c>
      <c r="Z81" s="7" t="n">
        <v>1847</v>
      </c>
      <c r="AB81" s="7" t="n">
        <v>27175.9</v>
      </c>
    </row>
    <row r="82">
      <c r="A82" s="4" t="inlineStr">
        <is>
          <t>折旧费</t>
        </is>
      </c>
      <c r="D82" s="7" t="n">
        <v>6976.8</v>
      </c>
      <c r="F82" s="7" t="n">
        <v>12705.4</v>
      </c>
      <c r="H82" s="7" t="n">
        <v>25552.7</v>
      </c>
      <c r="J82" s="7" t="n">
        <v>17159.6</v>
      </c>
      <c r="L82" s="7" t="n">
        <v>28720.8</v>
      </c>
      <c r="N82" s="7" t="n">
        <v>33155.8</v>
      </c>
      <c r="P82" s="7" t="n">
        <v>29842.5</v>
      </c>
      <c r="R82" s="7" t="n">
        <v>30185.5</v>
      </c>
      <c r="T82" s="7" t="n">
        <v>26860.2</v>
      </c>
      <c r="V82" s="7" t="n">
        <v>27220.4</v>
      </c>
      <c r="X82" s="7" t="n">
        <v>18049.7</v>
      </c>
      <c r="Z82" s="7" t="n">
        <v>23941.5</v>
      </c>
      <c r="AB82" s="7" t="n">
        <v>280370.9</v>
      </c>
    </row>
    <row r="83">
      <c r="A83" s="4" t="inlineStr">
        <is>
          <t>认证费</t>
        </is>
      </c>
      <c r="D83" s="7" t="n">
        <v>540.3</v>
      </c>
      <c r="F83" s="7" t="n">
        <v>434.2</v>
      </c>
      <c r="H83" s="7" t="n">
        <v>1341.5</v>
      </c>
      <c r="J83" s="7" t="n">
        <v>961.5</v>
      </c>
      <c r="L83" s="7" t="n">
        <v>1142</v>
      </c>
      <c r="N83" s="7" t="n">
        <v>1917.7</v>
      </c>
      <c r="P83" s="7" t="n">
        <v>1536.1</v>
      </c>
      <c r="R83" s="7" t="n">
        <v>1754.9</v>
      </c>
      <c r="T83" s="7" t="n">
        <v>1503.9</v>
      </c>
      <c r="V83" s="7" t="n">
        <v>1328.1</v>
      </c>
      <c r="X83" s="7" t="n">
        <v>736.6</v>
      </c>
      <c r="Z83" s="7" t="n">
        <v>1117.2</v>
      </c>
      <c r="AB83" s="7" t="n">
        <v>14314</v>
      </c>
    </row>
    <row r="84">
      <c r="A84" s="4" t="inlineStr">
        <is>
          <t>样品费</t>
        </is>
      </c>
      <c r="D84" s="7" t="n">
        <v>5791.5</v>
      </c>
      <c r="F84" s="7" t="n">
        <v>3746.1</v>
      </c>
      <c r="H84" s="7" t="n">
        <v>12058.6</v>
      </c>
      <c r="J84" s="7" t="n">
        <v>12323.2</v>
      </c>
      <c r="L84" s="7" t="n">
        <v>16269.8</v>
      </c>
      <c r="N84" s="7" t="n">
        <v>19252.6</v>
      </c>
      <c r="P84" s="7" t="n">
        <v>18799.6</v>
      </c>
      <c r="R84" s="7" t="n">
        <v>12193.3</v>
      </c>
      <c r="T84" s="7" t="n">
        <v>21547.5</v>
      </c>
      <c r="V84" s="7" t="n">
        <v>8552.200000000001</v>
      </c>
      <c r="X84" s="7" t="n">
        <v>10538.6</v>
      </c>
      <c r="Z84" s="7" t="n">
        <v>9170.200000000001</v>
      </c>
      <c r="AB84" s="7" t="n">
        <v>150243.2</v>
      </c>
    </row>
    <row r="85">
      <c r="A85" s="4" t="inlineStr">
        <is>
          <t>劳务费</t>
        </is>
      </c>
      <c r="D85" s="7" t="n">
        <v>257.1</v>
      </c>
      <c r="F85" s="7" t="n">
        <v>371.9</v>
      </c>
      <c r="H85" s="7" t="n">
        <v>896.6</v>
      </c>
      <c r="J85" s="7" t="n">
        <v>1006.1</v>
      </c>
      <c r="L85" s="7" t="n">
        <v>621.5</v>
      </c>
      <c r="N85" s="7" t="n">
        <v>1798.1</v>
      </c>
      <c r="P85" s="7" t="n">
        <v>1296.4</v>
      </c>
      <c r="R85" s="7" t="n">
        <v>661.7</v>
      </c>
      <c r="T85" s="7" t="n">
        <v>897.4</v>
      </c>
      <c r="V85" s="7" t="n">
        <v>635.5</v>
      </c>
      <c r="X85" s="7" t="n">
        <v>483.6</v>
      </c>
      <c r="Z85" s="7" t="n">
        <v>624.5</v>
      </c>
      <c r="AB85" s="7" t="n">
        <v>9550.4</v>
      </c>
    </row>
    <row r="86">
      <c r="A86" s="4" t="inlineStr">
        <is>
          <t>销售佣金</t>
        </is>
      </c>
      <c r="D86" s="7" t="n">
        <v>879.8</v>
      </c>
      <c r="F86" s="7" t="n">
        <v>1355.8</v>
      </c>
      <c r="H86" s="7" t="n">
        <v>3391.9</v>
      </c>
      <c r="J86" s="7" t="n">
        <v>2527.3</v>
      </c>
      <c r="L86" s="7" t="n">
        <v>2904</v>
      </c>
      <c r="N86" s="7" t="n">
        <v>5604.1</v>
      </c>
      <c r="P86" s="7" t="n">
        <v>4360.4</v>
      </c>
      <c r="R86" s="7" t="n">
        <v>4061.7</v>
      </c>
      <c r="T86" s="7" t="n">
        <v>4327.8</v>
      </c>
      <c r="V86" s="7" t="n">
        <v>2239.3</v>
      </c>
      <c r="X86" s="7" t="n">
        <v>2495.6</v>
      </c>
      <c r="Z86" s="7" t="n">
        <v>2519.5</v>
      </c>
      <c r="AB86" s="7" t="n">
        <v>36667.2</v>
      </c>
    </row>
    <row r="87">
      <c r="A87" s="4" t="inlineStr">
        <is>
          <t>检测费</t>
        </is>
      </c>
      <c r="D87" s="7" t="n">
        <v>1476.1</v>
      </c>
      <c r="F87" s="7" t="n">
        <v>1212.5</v>
      </c>
      <c r="H87" s="7" t="n">
        <v>4673.5</v>
      </c>
      <c r="J87" s="7" t="n">
        <v>3989.8</v>
      </c>
      <c r="L87" s="7" t="n">
        <v>3091.4</v>
      </c>
      <c r="N87" s="7" t="n">
        <v>5113.7</v>
      </c>
      <c r="P87" s="7" t="n">
        <v>5340.5</v>
      </c>
      <c r="R87" s="7" t="n">
        <v>3548.4</v>
      </c>
      <c r="T87" s="7" t="n">
        <v>3206.4</v>
      </c>
      <c r="V87" s="7" t="n">
        <v>2633.9</v>
      </c>
      <c r="X87" s="7" t="n">
        <v>2859.7</v>
      </c>
      <c r="Z87" s="7" t="n">
        <v>3012.3</v>
      </c>
      <c r="AB87" s="7" t="n">
        <v>40158.2</v>
      </c>
    </row>
    <row r="88">
      <c r="A88" s="4" t="inlineStr">
        <is>
          <t>质量赔偿</t>
        </is>
      </c>
      <c r="D88" s="7" t="n">
        <v>504.7</v>
      </c>
      <c r="F88" s="7" t="n">
        <v>778.4</v>
      </c>
      <c r="H88" s="7" t="n">
        <v>1374.8</v>
      </c>
      <c r="J88" s="7" t="n">
        <v>1259.2</v>
      </c>
      <c r="L88" s="7" t="n">
        <v>1113.8</v>
      </c>
      <c r="N88" s="7" t="n">
        <v>2254.2</v>
      </c>
      <c r="P88" s="7" t="n">
        <v>1966.8</v>
      </c>
      <c r="R88" s="7" t="n">
        <v>1642.4</v>
      </c>
      <c r="T88" s="7" t="n">
        <v>2013.9</v>
      </c>
      <c r="V88" s="7" t="n">
        <v>1519.3</v>
      </c>
      <c r="X88" s="7" t="n">
        <v>942.4</v>
      </c>
      <c r="Z88" s="7" t="n">
        <v>1410</v>
      </c>
      <c r="AB88" s="7" t="n">
        <v>16779.9</v>
      </c>
    </row>
    <row r="89">
      <c r="A89" s="4" t="inlineStr">
        <is>
          <t>保险费</t>
        </is>
      </c>
      <c r="D89" s="7" t="n">
        <v>360.6</v>
      </c>
      <c r="F89" s="7" t="n">
        <v>290.9</v>
      </c>
      <c r="H89" s="7" t="n">
        <v>743.4</v>
      </c>
      <c r="J89" s="7" t="n">
        <v>675.6</v>
      </c>
      <c r="L89" s="7" t="n">
        <v>946.6</v>
      </c>
      <c r="N89" s="7" t="n">
        <v>1115.6</v>
      </c>
      <c r="P89" s="7" t="n">
        <v>1425</v>
      </c>
      <c r="R89" s="7" t="n">
        <v>798.6</v>
      </c>
      <c r="T89" s="7" t="n">
        <v>1112.2</v>
      </c>
      <c r="V89" s="7" t="n">
        <v>668.8</v>
      </c>
      <c r="X89" s="7" t="n">
        <v>451.3</v>
      </c>
      <c r="Z89" s="7" t="n">
        <v>600.4</v>
      </c>
      <c r="AB89" s="7" t="n">
        <v>9189</v>
      </c>
    </row>
    <row r="90">
      <c r="A90" s="4" t="inlineStr">
        <is>
          <t>清洁费</t>
        </is>
      </c>
      <c r="D90" s="7" t="n">
        <v>750.8</v>
      </c>
      <c r="F90" s="7" t="n">
        <v>786.9</v>
      </c>
      <c r="H90" s="7" t="n">
        <v>1988.4</v>
      </c>
      <c r="J90" s="7" t="n">
        <v>1701</v>
      </c>
      <c r="L90" s="7" t="n">
        <v>1631.6</v>
      </c>
      <c r="N90" s="7" t="n">
        <v>4035.6</v>
      </c>
      <c r="P90" s="7" t="n">
        <v>3331.6</v>
      </c>
      <c r="R90" s="7" t="n">
        <v>2144.6</v>
      </c>
      <c r="T90" s="7" t="n">
        <v>2732.7</v>
      </c>
      <c r="V90" s="7" t="n">
        <v>1222.3</v>
      </c>
      <c r="X90" s="7" t="n">
        <v>1418.2</v>
      </c>
      <c r="Z90" s="7" t="n">
        <v>1676.5</v>
      </c>
      <c r="AB90" s="7" t="n">
        <v>23420.2</v>
      </c>
    </row>
    <row r="91">
      <c r="A91" s="4" t="inlineStr">
        <is>
          <t>低值易耗品</t>
        </is>
      </c>
      <c r="D91" s="7" t="n">
        <v>448.3</v>
      </c>
      <c r="F91" s="7" t="n">
        <v>452.2</v>
      </c>
      <c r="H91" s="7" t="n">
        <v>1295.1</v>
      </c>
      <c r="J91" s="7" t="n">
        <v>1006.4</v>
      </c>
      <c r="L91" s="7" t="n">
        <v>843.1</v>
      </c>
      <c r="N91" s="7" t="n">
        <v>1957.8</v>
      </c>
      <c r="P91" s="7" t="n">
        <v>1177.4</v>
      </c>
      <c r="R91" s="7" t="n">
        <v>909.3</v>
      </c>
      <c r="T91" s="7" t="n">
        <v>1705.7</v>
      </c>
      <c r="V91" s="7" t="n">
        <v>821.5</v>
      </c>
      <c r="X91" s="7" t="n">
        <v>736.1</v>
      </c>
      <c r="Z91" s="7" t="n">
        <v>699.8</v>
      </c>
      <c r="AB91" s="7" t="n">
        <v>12052.7</v>
      </c>
    </row>
    <row r="92">
      <c r="A92" s="4" t="inlineStr">
        <is>
          <t>物料消耗</t>
        </is>
      </c>
      <c r="D92" s="7" t="n">
        <v>773.4</v>
      </c>
      <c r="F92" s="7" t="n">
        <v>1055.4</v>
      </c>
      <c r="H92" s="7" t="n">
        <v>2874.1</v>
      </c>
      <c r="J92" s="7" t="n">
        <v>1849.6</v>
      </c>
      <c r="L92" s="7" t="n">
        <v>1640.3</v>
      </c>
      <c r="N92" s="7" t="n">
        <v>4659.2</v>
      </c>
      <c r="P92" s="7" t="n">
        <v>2186.2</v>
      </c>
      <c r="R92" s="7" t="n">
        <v>1900.6</v>
      </c>
      <c r="T92" s="7" t="n">
        <v>2512.6</v>
      </c>
      <c r="V92" s="7" t="n">
        <v>1842.4</v>
      </c>
      <c r="X92" s="7" t="n">
        <v>1742.2</v>
      </c>
      <c r="Z92" s="7" t="n">
        <v>1201.4</v>
      </c>
      <c r="AB92" s="7" t="n">
        <v>24237.4</v>
      </c>
    </row>
    <row r="93">
      <c r="A93" s="4" t="inlineStr">
        <is>
          <t>盘盈盘亏</t>
        </is>
      </c>
      <c r="D93" s="7" t="n">
        <v>628.3</v>
      </c>
      <c r="F93" s="7" t="n">
        <v>974.6</v>
      </c>
      <c r="H93" s="7" t="n">
        <v>2416.6</v>
      </c>
      <c r="J93" s="7" t="n">
        <v>2048.9</v>
      </c>
      <c r="L93" s="7" t="n">
        <v>1982.9</v>
      </c>
      <c r="N93" s="7" t="n">
        <v>3434.9</v>
      </c>
      <c r="P93" s="7" t="n">
        <v>2516.2</v>
      </c>
      <c r="R93" s="7" t="n">
        <v>2521</v>
      </c>
      <c r="T93" s="7" t="n">
        <v>2478.6</v>
      </c>
      <c r="V93" s="7" t="n">
        <v>1264.4</v>
      </c>
      <c r="X93" s="7" t="n">
        <v>1677.1</v>
      </c>
      <c r="Z93" s="7" t="n">
        <v>1295.1</v>
      </c>
      <c r="AB93" s="7" t="n">
        <v>23238.6</v>
      </c>
    </row>
    <row r="94">
      <c r="A94" s="4" t="inlineStr">
        <is>
          <t>平台服务费</t>
        </is>
      </c>
      <c r="D94" s="7" t="n">
        <v>1257.7</v>
      </c>
      <c r="F94" s="7" t="n">
        <v>1188.9</v>
      </c>
      <c r="H94" s="7" t="n">
        <v>3719</v>
      </c>
      <c r="J94" s="7" t="n">
        <v>1728.8</v>
      </c>
      <c r="L94" s="7" t="n">
        <v>2741.8</v>
      </c>
      <c r="N94" s="7" t="n">
        <v>3054.8</v>
      </c>
      <c r="P94" s="7" t="n">
        <v>3434.8</v>
      </c>
      <c r="R94" s="7" t="n">
        <v>2522.3</v>
      </c>
      <c r="T94" s="7" t="n">
        <v>4480.2</v>
      </c>
      <c r="V94" s="7" t="n">
        <v>1710.5</v>
      </c>
      <c r="X94" s="7" t="n">
        <v>1310.4</v>
      </c>
      <c r="Z94" s="7" t="n">
        <v>1575.1</v>
      </c>
      <c r="AB94" s="7" t="n">
        <v>28724.3</v>
      </c>
    </row>
    <row r="95">
      <c r="A95" s="4" t="inlineStr">
        <is>
          <t>无形资产摊销</t>
        </is>
      </c>
      <c r="D95" s="7" t="n">
        <v>774.6</v>
      </c>
      <c r="F95" s="7" t="n">
        <v>1537.2</v>
      </c>
      <c r="H95" s="7" t="n">
        <v>2274.6</v>
      </c>
      <c r="J95" s="7" t="n">
        <v>2190.4</v>
      </c>
      <c r="L95" s="7" t="n">
        <v>3010.9</v>
      </c>
      <c r="N95" s="7" t="n">
        <v>4148.8</v>
      </c>
      <c r="P95" s="7" t="n">
        <v>3585.7</v>
      </c>
      <c r="R95" s="7" t="n">
        <v>3783.4</v>
      </c>
      <c r="T95" s="7" t="n">
        <v>2975.1</v>
      </c>
      <c r="V95" s="7" t="n">
        <v>2399.2</v>
      </c>
      <c r="X95" s="7" t="n">
        <v>1709.2</v>
      </c>
      <c r="Z95" s="7" t="n">
        <v>2463.2</v>
      </c>
      <c r="AB95" s="7" t="n">
        <v>30852.3</v>
      </c>
    </row>
    <row r="96">
      <c r="A96" s="4" t="inlineStr">
        <is>
          <t>研发材料</t>
        </is>
      </c>
      <c r="D96" s="7" t="n">
        <v>892.1</v>
      </c>
      <c r="F96" s="7" t="n">
        <v>954.6</v>
      </c>
      <c r="H96" s="7" t="n">
        <v>3056.8</v>
      </c>
      <c r="J96" s="7" t="n">
        <v>3164.8</v>
      </c>
      <c r="L96" s="7" t="n">
        <v>3232.8</v>
      </c>
      <c r="N96" s="7" t="n">
        <v>3666.5</v>
      </c>
      <c r="P96" s="7" t="n">
        <v>4497.6</v>
      </c>
      <c r="R96" s="7" t="n">
        <v>3364.2</v>
      </c>
      <c r="T96" s="7" t="n">
        <v>2783.9</v>
      </c>
      <c r="V96" s="7" t="n">
        <v>1857.1</v>
      </c>
      <c r="X96" s="7" t="n">
        <v>2099.5</v>
      </c>
      <c r="Z96" s="7" t="n">
        <v>2237.2</v>
      </c>
      <c r="AB96" s="7" t="n">
        <v>31807.1</v>
      </c>
    </row>
    <row r="97">
      <c r="A97" s="4" t="inlineStr">
        <is>
          <t>项目名称</t>
        </is>
      </c>
      <c r="D97" s="7" t="n">
        <v>530.4</v>
      </c>
      <c r="F97" s="7" t="n">
        <v>439.9</v>
      </c>
      <c r="H97" s="7" t="n">
        <v>1018.1</v>
      </c>
      <c r="J97" s="7" t="n">
        <v>1039.4</v>
      </c>
      <c r="L97" s="7" t="n">
        <v>982</v>
      </c>
      <c r="N97" s="7" t="n">
        <v>1900.2</v>
      </c>
      <c r="P97" s="7" t="n">
        <v>1878.3</v>
      </c>
      <c r="R97" s="7" t="n">
        <v>1124.4</v>
      </c>
      <c r="T97" s="7" t="n">
        <v>1211.9</v>
      </c>
      <c r="V97" s="7" t="n">
        <v>1063.7</v>
      </c>
      <c r="X97" s="7" t="n">
        <v>601.2</v>
      </c>
      <c r="Z97" s="7" t="n">
        <v>638.9</v>
      </c>
      <c r="AB97" s="7" t="n">
        <v>12428.4</v>
      </c>
    </row>
    <row r="98">
      <c r="A98" s="4" t="inlineStr">
        <is>
          <t>研发费</t>
        </is>
      </c>
      <c r="D98" s="7" t="n">
        <v>479.2</v>
      </c>
      <c r="F98" s="7" t="n">
        <v>504.5</v>
      </c>
      <c r="H98" s="7" t="n">
        <v>1875.3</v>
      </c>
      <c r="J98" s="7" t="n">
        <v>1281.4</v>
      </c>
      <c r="L98" s="7" t="n">
        <v>1324.8</v>
      </c>
      <c r="N98" s="7" t="n">
        <v>3103.6</v>
      </c>
      <c r="P98" s="7" t="n">
        <v>1765.5</v>
      </c>
      <c r="R98" s="7" t="n">
        <v>1849.2</v>
      </c>
      <c r="T98" s="7" t="n">
        <v>2545.7</v>
      </c>
      <c r="V98" s="7" t="n">
        <v>1507.1</v>
      </c>
      <c r="X98" s="7" t="n">
        <v>1239</v>
      </c>
      <c r="Z98" s="7" t="n">
        <v>1243.9</v>
      </c>
      <c r="AB98" s="7" t="n">
        <v>18719.2</v>
      </c>
    </row>
    <row r="99">
      <c r="A99" s="4" t="inlineStr">
        <is>
          <t>残保金</t>
        </is>
      </c>
      <c r="D99" s="7" t="n">
        <v>826.5</v>
      </c>
      <c r="F99" s="7" t="n">
        <v>743.3</v>
      </c>
      <c r="H99" s="7" t="n">
        <v>2937</v>
      </c>
      <c r="J99" s="7" t="n">
        <v>2839.7</v>
      </c>
      <c r="L99" s="7" t="n">
        <v>2205.8</v>
      </c>
      <c r="N99" s="7" t="n">
        <v>3586.6</v>
      </c>
      <c r="P99" s="7" t="n">
        <v>3827.7</v>
      </c>
      <c r="R99" s="7" t="n">
        <v>2144.3</v>
      </c>
      <c r="T99" s="7" t="n">
        <v>3095.3</v>
      </c>
      <c r="V99" s="7" t="n">
        <v>1477.8</v>
      </c>
      <c r="X99" s="7" t="n">
        <v>1933.7</v>
      </c>
      <c r="Z99" s="7" t="n">
        <v>1453.7</v>
      </c>
      <c r="AB99" s="7" t="n">
        <v>27071.4</v>
      </c>
    </row>
    <row r="100">
      <c r="A100" s="4" t="inlineStr">
        <is>
          <t>环保费</t>
        </is>
      </c>
      <c r="D100" s="7" t="n">
        <v>355.8</v>
      </c>
      <c r="F100" s="7" t="n">
        <v>301.3</v>
      </c>
      <c r="H100" s="7" t="n">
        <v>698.7</v>
      </c>
      <c r="J100" s="7" t="n">
        <v>697.4</v>
      </c>
      <c r="L100" s="7" t="n">
        <v>722.8</v>
      </c>
      <c r="N100" s="7" t="n">
        <v>1624.6</v>
      </c>
      <c r="P100" s="7" t="n">
        <v>830.1</v>
      </c>
      <c r="R100" s="7" t="n">
        <v>618.3</v>
      </c>
      <c r="T100" s="7" t="n">
        <v>904.3</v>
      </c>
      <c r="V100" s="7" t="n">
        <v>646.3</v>
      </c>
      <c r="X100" s="7" t="n">
        <v>680.2</v>
      </c>
      <c r="Z100" s="7" t="n">
        <v>671.4</v>
      </c>
      <c r="AB100" s="7" t="n">
        <v>8751.200000000001</v>
      </c>
    </row>
    <row r="101">
      <c r="A101" s="4" t="inlineStr">
        <is>
          <t>报废损失</t>
        </is>
      </c>
      <c r="D101" s="7" t="n">
        <v>1383.9</v>
      </c>
      <c r="F101" s="7" t="n">
        <v>1501</v>
      </c>
      <c r="H101" s="7" t="n">
        <v>2977.2</v>
      </c>
      <c r="J101" s="7" t="n">
        <v>2247.6</v>
      </c>
      <c r="L101" s="7" t="n">
        <v>3656.5</v>
      </c>
      <c r="N101" s="7" t="n">
        <v>3669.1</v>
      </c>
      <c r="P101" s="7" t="n">
        <v>3698.5</v>
      </c>
      <c r="R101" s="7" t="n">
        <v>2592.3</v>
      </c>
      <c r="T101" s="7" t="n">
        <v>5337.6</v>
      </c>
      <c r="V101" s="7" t="n">
        <v>2931.2</v>
      </c>
      <c r="X101" s="7" t="n">
        <v>2035.6</v>
      </c>
      <c r="Z101" s="7" t="n">
        <v>1719</v>
      </c>
      <c r="AB101" s="7" t="n">
        <v>33749.5</v>
      </c>
    </row>
    <row r="102">
      <c r="A102" s="6" t="inlineStr">
        <is>
          <t>管理费用</t>
        </is>
      </c>
      <c r="B102" s="3" t="inlineStr">
        <is>
          <t>7</t>
        </is>
      </c>
      <c r="C102" s="7" t="n">
        <v>206413.2</v>
      </c>
      <c r="D102" s="7" t="n">
        <v>142590.8</v>
      </c>
      <c r="E102" s="7" t="n">
        <v>171945.3</v>
      </c>
      <c r="F102" s="7" t="n">
        <v>81990.39999999999</v>
      </c>
      <c r="G102" s="7" t="n">
        <v>156726.8</v>
      </c>
      <c r="H102" s="7" t="n">
        <v>192505.1</v>
      </c>
      <c r="I102" s="7" t="n">
        <v>172993.5</v>
      </c>
      <c r="J102" s="7" t="n">
        <v>120211.7</v>
      </c>
      <c r="K102" s="7" t="n">
        <v>188613.3</v>
      </c>
      <c r="L102" s="7" t="n">
        <v>302078.4</v>
      </c>
      <c r="M102" s="7" t="n">
        <v>187225.7</v>
      </c>
      <c r="N102" s="7" t="n">
        <v>181992.2</v>
      </c>
      <c r="O102" s="7" t="n">
        <v>162761.7</v>
      </c>
      <c r="P102" s="7" t="n">
        <v>324399.5</v>
      </c>
      <c r="Q102" s="7" t="n">
        <v>199843.2</v>
      </c>
      <c r="R102" s="7" t="n">
        <v>155334.1</v>
      </c>
      <c r="S102" s="7" t="n">
        <v>204956</v>
      </c>
      <c r="T102" s="7" t="n">
        <v>214227.2</v>
      </c>
      <c r="U102" s="7" t="n">
        <v>193445.2</v>
      </c>
      <c r="V102" s="7" t="n">
        <v>205296.7</v>
      </c>
      <c r="W102" s="7" t="n">
        <v>177852.1</v>
      </c>
      <c r="X102" s="7" t="n">
        <v>107427</v>
      </c>
      <c r="Y102" s="7" t="n">
        <v>167395.2</v>
      </c>
      <c r="Z102" s="7" t="n">
        <v>159478.3</v>
      </c>
      <c r="AA102" s="8" t="n">
        <v>2190171.2</v>
      </c>
      <c r="AB102" s="8" t="n">
        <v>2187531.4</v>
      </c>
    </row>
    <row r="103">
      <c r="A103" s="4" t="inlineStr">
        <is>
          <t>职工薪酬</t>
        </is>
      </c>
      <c r="D103" s="7" t="n">
        <v>77032.7</v>
      </c>
      <c r="F103" s="7" t="n">
        <v>43805.8</v>
      </c>
      <c r="H103" s="7" t="n">
        <v>87931.5</v>
      </c>
      <c r="J103" s="7" t="n">
        <v>58694.4</v>
      </c>
      <c r="L103" s="7" t="n">
        <v>166861.2</v>
      </c>
      <c r="N103" s="7" t="n">
        <v>94052.89999999999</v>
      </c>
      <c r="P103" s="7" t="n">
        <v>147132.6</v>
      </c>
      <c r="R103" s="7" t="n">
        <v>94168.5</v>
      </c>
      <c r="T103" s="7" t="n">
        <v>88717</v>
      </c>
      <c r="V103" s="7" t="n">
        <v>81994.89999999999</v>
      </c>
      <c r="X103" s="7" t="n">
        <v>58263.2</v>
      </c>
      <c r="Z103" s="7" t="n">
        <v>64692.4</v>
      </c>
      <c r="AB103" s="7" t="n">
        <v>1063347.1</v>
      </c>
    </row>
    <row r="104">
      <c r="A104" s="4" t="inlineStr">
        <is>
          <t>工资</t>
        </is>
      </c>
      <c r="D104" s="7" t="n">
        <v>46821.5</v>
      </c>
      <c r="F104" s="7" t="n">
        <v>26814</v>
      </c>
      <c r="H104" s="7" t="n">
        <v>42407.6</v>
      </c>
      <c r="J104" s="7" t="n">
        <v>33235.4</v>
      </c>
      <c r="L104" s="7" t="n">
        <v>107800.9</v>
      </c>
      <c r="N104" s="7" t="n">
        <v>51346</v>
      </c>
      <c r="P104" s="7" t="n">
        <v>89511</v>
      </c>
      <c r="R104" s="7" t="n">
        <v>56638.5</v>
      </c>
      <c r="T104" s="7" t="n">
        <v>50569.5</v>
      </c>
      <c r="V104" s="7" t="n">
        <v>49605.2</v>
      </c>
      <c r="X104" s="7" t="n">
        <v>36527.7</v>
      </c>
      <c r="Z104" s="7" t="n">
        <v>36563.9</v>
      </c>
      <c r="AB104" s="7" t="n">
        <v>627841.2</v>
      </c>
    </row>
    <row r="105">
      <c r="A105" s="4" t="inlineStr">
        <is>
          <t>奖金及提成</t>
        </is>
      </c>
      <c r="D105" s="7" t="n">
        <v>12166</v>
      </c>
      <c r="F105" s="7" t="n">
        <v>8058.2</v>
      </c>
      <c r="H105" s="7" t="n">
        <v>22335.7</v>
      </c>
      <c r="J105" s="7" t="n">
        <v>11599.7</v>
      </c>
      <c r="L105" s="7" t="n">
        <v>29601.7</v>
      </c>
      <c r="N105" s="7" t="n">
        <v>19360.8</v>
      </c>
      <c r="P105" s="7" t="n">
        <v>23952.2</v>
      </c>
      <c r="R105" s="7" t="n">
        <v>17568.3</v>
      </c>
      <c r="T105" s="7" t="n">
        <v>18759.5</v>
      </c>
      <c r="V105" s="7" t="n">
        <v>14669.9</v>
      </c>
      <c r="X105" s="7" t="n">
        <v>9358.4</v>
      </c>
      <c r="Z105" s="7" t="n">
        <v>13639.5</v>
      </c>
      <c r="AB105" s="7" t="n">
        <v>201069.9</v>
      </c>
    </row>
    <row r="106">
      <c r="A106" s="4" t="inlineStr">
        <is>
          <t>社保</t>
        </is>
      </c>
      <c r="D106" s="7" t="n">
        <v>14112.8</v>
      </c>
      <c r="F106" s="7" t="n">
        <v>6643.2</v>
      </c>
      <c r="H106" s="7" t="n">
        <v>17315.4</v>
      </c>
      <c r="J106" s="7" t="n">
        <v>10464.6</v>
      </c>
      <c r="L106" s="7" t="n">
        <v>20522.9</v>
      </c>
      <c r="N106" s="7" t="n">
        <v>17904.5</v>
      </c>
      <c r="P106" s="7" t="n">
        <v>23966.8</v>
      </c>
      <c r="R106" s="7" t="n">
        <v>15523.6</v>
      </c>
      <c r="T106" s="7" t="n">
        <v>12866.2</v>
      </c>
      <c r="V106" s="7" t="n">
        <v>11872.4</v>
      </c>
      <c r="X106" s="7" t="n">
        <v>9384</v>
      </c>
      <c r="Z106" s="7" t="n">
        <v>10131</v>
      </c>
      <c r="AB106" s="7" t="n">
        <v>170707.4</v>
      </c>
    </row>
    <row r="107">
      <c r="A107" s="4" t="inlineStr">
        <is>
          <t>养老</t>
        </is>
      </c>
      <c r="D107" s="7" t="n">
        <v>908.6</v>
      </c>
      <c r="F107" s="7" t="n">
        <v>406.9</v>
      </c>
      <c r="H107" s="7" t="n">
        <v>1344.7</v>
      </c>
      <c r="J107" s="7" t="n">
        <v>690.3</v>
      </c>
      <c r="L107" s="7" t="n">
        <v>1836.5</v>
      </c>
      <c r="N107" s="7" t="n">
        <v>1299.9</v>
      </c>
      <c r="P107" s="7" t="n">
        <v>1604.9</v>
      </c>
      <c r="R107" s="7" t="n">
        <v>1103.4</v>
      </c>
      <c r="T107" s="7" t="n">
        <v>1351.8</v>
      </c>
      <c r="V107" s="7" t="n">
        <v>1025</v>
      </c>
      <c r="X107" s="7" t="n">
        <v>858.5</v>
      </c>
      <c r="Z107" s="7" t="n">
        <v>1309.4</v>
      </c>
      <c r="AB107" s="7" t="n">
        <v>13739.9</v>
      </c>
    </row>
    <row r="108">
      <c r="A108" s="4" t="inlineStr">
        <is>
          <t>医疗</t>
        </is>
      </c>
      <c r="D108" s="7" t="n">
        <v>942.3</v>
      </c>
      <c r="F108" s="7" t="n">
        <v>360.2</v>
      </c>
      <c r="H108" s="7" t="n">
        <v>813.8</v>
      </c>
      <c r="J108" s="7" t="n">
        <v>489</v>
      </c>
      <c r="L108" s="7" t="n">
        <v>1532.5</v>
      </c>
      <c r="N108" s="7" t="n">
        <v>1072.7</v>
      </c>
      <c r="P108" s="7" t="n">
        <v>1290.6</v>
      </c>
      <c r="R108" s="7" t="n">
        <v>603.2</v>
      </c>
      <c r="T108" s="7" t="n">
        <v>1138.6</v>
      </c>
      <c r="V108" s="7" t="n">
        <v>911.6</v>
      </c>
      <c r="X108" s="7" t="n">
        <v>610.4</v>
      </c>
      <c r="Z108" s="7" t="n">
        <v>671.7</v>
      </c>
      <c r="AB108" s="7" t="n">
        <v>10436.6</v>
      </c>
    </row>
    <row r="109">
      <c r="A109" s="4" t="inlineStr">
        <is>
          <t>工伤</t>
        </is>
      </c>
      <c r="D109" s="7" t="n">
        <v>470.6</v>
      </c>
      <c r="F109" s="7" t="n">
        <v>332.1</v>
      </c>
      <c r="H109" s="7" t="n">
        <v>558.6</v>
      </c>
      <c r="J109" s="7" t="n">
        <v>418.1</v>
      </c>
      <c r="L109" s="7" t="n">
        <v>976.9</v>
      </c>
      <c r="N109" s="7" t="n">
        <v>691.7</v>
      </c>
      <c r="P109" s="7" t="n">
        <v>1473.6</v>
      </c>
      <c r="R109" s="7" t="n">
        <v>464.6</v>
      </c>
      <c r="T109" s="7" t="n">
        <v>597.3</v>
      </c>
      <c r="V109" s="7" t="n">
        <v>625.1</v>
      </c>
      <c r="X109" s="7" t="n">
        <v>421.7</v>
      </c>
      <c r="Z109" s="7" t="n">
        <v>602.7</v>
      </c>
      <c r="AB109" s="7" t="n">
        <v>7633</v>
      </c>
    </row>
    <row r="110">
      <c r="A110" s="4" t="inlineStr">
        <is>
          <t>失业</t>
        </is>
      </c>
      <c r="D110" s="7" t="n">
        <v>1</v>
      </c>
      <c r="F110" s="7" t="n">
        <v>0.5</v>
      </c>
      <c r="H110" s="7" t="n">
        <v>1.3</v>
      </c>
      <c r="J110" s="7" t="n">
        <v>0.8</v>
      </c>
      <c r="L110" s="7" t="n">
        <v>2.2</v>
      </c>
      <c r="N110" s="7" t="n">
        <v>1.1</v>
      </c>
      <c r="P110" s="7" t="n">
        <v>1.7</v>
      </c>
      <c r="R110" s="7" t="n">
        <v>0.9</v>
      </c>
      <c r="T110" s="7" t="n">
        <v>1.2</v>
      </c>
      <c r="V110" s="7" t="n">
        <v>0.9</v>
      </c>
      <c r="X110" s="7" t="n">
        <v>0.9</v>
      </c>
      <c r="Z110" s="7" t="n">
        <v>0.7</v>
      </c>
      <c r="AB110" s="7" t="n">
        <v>13.2</v>
      </c>
    </row>
    <row r="111">
      <c r="A111" s="4" t="inlineStr">
        <is>
          <t>生育</t>
        </is>
      </c>
      <c r="D111" s="7" t="n">
        <v>672.3</v>
      </c>
      <c r="F111" s="7" t="n">
        <v>494.1</v>
      </c>
      <c r="H111" s="7" t="n">
        <v>829.2</v>
      </c>
      <c r="J111" s="7" t="n">
        <v>609.7</v>
      </c>
      <c r="L111" s="7" t="n">
        <v>1641.5</v>
      </c>
      <c r="N111" s="7" t="n">
        <v>1141.3</v>
      </c>
      <c r="P111" s="7" t="n">
        <v>1893.4</v>
      </c>
      <c r="R111" s="7" t="n">
        <v>700.3</v>
      </c>
      <c r="T111" s="7" t="n">
        <v>989.7</v>
      </c>
      <c r="V111" s="7" t="n">
        <v>766</v>
      </c>
      <c r="X111" s="7" t="n">
        <v>577.7</v>
      </c>
      <c r="Z111" s="7" t="n">
        <v>813.1</v>
      </c>
      <c r="AB111" s="7" t="n">
        <v>11128.3</v>
      </c>
    </row>
    <row r="112">
      <c r="A112" s="4" t="inlineStr">
        <is>
          <t>公积金</t>
        </is>
      </c>
      <c r="D112" s="7" t="n">
        <v>396.9</v>
      </c>
      <c r="F112" s="7" t="n">
        <v>205</v>
      </c>
      <c r="H112" s="7" t="n">
        <v>667</v>
      </c>
      <c r="J112" s="7" t="n">
        <v>308</v>
      </c>
      <c r="L112" s="7" t="n">
        <v>952.8</v>
      </c>
      <c r="N112" s="7" t="n">
        <v>611</v>
      </c>
      <c r="P112" s="7" t="n">
        <v>792.8</v>
      </c>
      <c r="R112" s="7" t="n">
        <v>435.6</v>
      </c>
      <c r="T112" s="7" t="n">
        <v>708.2</v>
      </c>
      <c r="V112" s="7" t="n">
        <v>674.9</v>
      </c>
      <c r="X112" s="7" t="n">
        <v>280.1</v>
      </c>
      <c r="Z112" s="7" t="n">
        <v>350.8</v>
      </c>
      <c r="AB112" s="7" t="n">
        <v>6383.1</v>
      </c>
    </row>
    <row r="113">
      <c r="A113" s="4" t="inlineStr">
        <is>
          <t>工会经费</t>
        </is>
      </c>
      <c r="D113" s="7" t="n">
        <v>523.7</v>
      </c>
      <c r="F113" s="7" t="n">
        <v>448.5</v>
      </c>
      <c r="H113" s="7" t="n">
        <v>920</v>
      </c>
      <c r="J113" s="7" t="n">
        <v>424.7</v>
      </c>
      <c r="L113" s="7" t="n">
        <v>1049.7</v>
      </c>
      <c r="N113" s="7" t="n">
        <v>717.9</v>
      </c>
      <c r="P113" s="7" t="n">
        <v>1557.3</v>
      </c>
      <c r="R113" s="7" t="n">
        <v>564.4</v>
      </c>
      <c r="T113" s="7" t="n">
        <v>802.5</v>
      </c>
      <c r="V113" s="7" t="n">
        <v>697.8</v>
      </c>
      <c r="X113" s="7" t="n">
        <v>576.1</v>
      </c>
      <c r="Z113" s="7" t="n">
        <v>565.1</v>
      </c>
      <c r="AB113" s="7" t="n">
        <v>8847.700000000001</v>
      </c>
    </row>
    <row r="114">
      <c r="A114" s="4" t="inlineStr">
        <is>
          <t>职工教育经费</t>
        </is>
      </c>
      <c r="D114" s="7" t="n">
        <v>211.6</v>
      </c>
      <c r="F114" s="7" t="n">
        <v>100</v>
      </c>
      <c r="H114" s="7" t="n">
        <v>273.6</v>
      </c>
      <c r="J114" s="7" t="n">
        <v>152.2</v>
      </c>
      <c r="L114" s="7" t="n">
        <v>367.8</v>
      </c>
      <c r="N114" s="7" t="n">
        <v>298.1</v>
      </c>
      <c r="P114" s="7" t="n">
        <v>534.9</v>
      </c>
      <c r="R114" s="7" t="n">
        <v>228.4</v>
      </c>
      <c r="T114" s="7" t="n">
        <v>289.1</v>
      </c>
      <c r="V114" s="7" t="n">
        <v>236.7</v>
      </c>
      <c r="X114" s="7" t="n">
        <v>177.5</v>
      </c>
      <c r="Z114" s="7" t="n">
        <v>209.3</v>
      </c>
      <c r="AB114" s="7" t="n">
        <v>3079.2</v>
      </c>
    </row>
    <row r="115">
      <c r="A115" s="4" t="inlineStr">
        <is>
          <t>福利费</t>
        </is>
      </c>
      <c r="D115" s="7" t="n">
        <v>2800.2</v>
      </c>
      <c r="F115" s="7" t="n">
        <v>1536.9</v>
      </c>
      <c r="H115" s="7" t="n">
        <v>4012.2</v>
      </c>
      <c r="J115" s="7" t="n">
        <v>2509.8</v>
      </c>
      <c r="L115" s="7" t="n">
        <v>6565.4</v>
      </c>
      <c r="N115" s="7" t="n">
        <v>3814.6</v>
      </c>
      <c r="P115" s="7" t="n">
        <v>6817.6</v>
      </c>
      <c r="R115" s="7" t="n">
        <v>3209.7</v>
      </c>
      <c r="T115" s="7" t="n">
        <v>4722</v>
      </c>
      <c r="V115" s="7" t="n">
        <v>4238</v>
      </c>
      <c r="X115" s="7" t="n">
        <v>1959.4</v>
      </c>
      <c r="Z115" s="7" t="n">
        <v>3232.8</v>
      </c>
      <c r="AB115" s="7" t="n">
        <v>45418.6</v>
      </c>
    </row>
    <row r="116">
      <c r="A116" s="4" t="inlineStr">
        <is>
          <t>职工房租</t>
        </is>
      </c>
      <c r="D116" s="7" t="n">
        <v>866.3</v>
      </c>
      <c r="F116" s="7" t="n">
        <v>427.5</v>
      </c>
      <c r="H116" s="7" t="n">
        <v>1099.6</v>
      </c>
      <c r="J116" s="7" t="n">
        <v>523.4</v>
      </c>
      <c r="L116" s="7" t="n">
        <v>2136.7</v>
      </c>
      <c r="N116" s="7" t="n">
        <v>1182.1</v>
      </c>
      <c r="P116" s="7" t="n">
        <v>1764.1</v>
      </c>
      <c r="R116" s="7" t="n">
        <v>947.9</v>
      </c>
      <c r="T116" s="7" t="n">
        <v>1304.1</v>
      </c>
      <c r="V116" s="7" t="n">
        <v>919.3</v>
      </c>
      <c r="X116" s="7" t="n">
        <v>471.9</v>
      </c>
      <c r="Z116" s="7" t="n">
        <v>763.1</v>
      </c>
      <c r="AB116" s="7" t="n">
        <v>12406</v>
      </c>
    </row>
    <row r="117">
      <c r="A117" s="4" t="inlineStr">
        <is>
          <t>水电物业费</t>
        </is>
      </c>
      <c r="D117" s="7" t="n">
        <v>271.6</v>
      </c>
      <c r="F117" s="7" t="n">
        <v>161.4</v>
      </c>
      <c r="H117" s="7" t="n">
        <v>415.2</v>
      </c>
      <c r="J117" s="7" t="n">
        <v>252.8</v>
      </c>
      <c r="L117" s="7" t="n">
        <v>495.8</v>
      </c>
      <c r="N117" s="7" t="n">
        <v>294.5</v>
      </c>
      <c r="P117" s="7" t="n">
        <v>470.9</v>
      </c>
      <c r="R117" s="7" t="n">
        <v>240.6</v>
      </c>
      <c r="T117" s="7" t="n">
        <v>424.7</v>
      </c>
      <c r="V117" s="7" t="n">
        <v>407.1</v>
      </c>
      <c r="X117" s="7" t="n">
        <v>199.6</v>
      </c>
      <c r="Z117" s="7" t="n">
        <v>323.2</v>
      </c>
      <c r="AB117" s="7" t="n">
        <v>3957.4</v>
      </c>
    </row>
    <row r="118">
      <c r="A118" s="4" t="inlineStr">
        <is>
          <t>员工餐</t>
        </is>
      </c>
      <c r="D118" s="7" t="n">
        <v>242.3</v>
      </c>
      <c r="F118" s="7" t="n">
        <v>168.1</v>
      </c>
      <c r="H118" s="7" t="n">
        <v>411.8</v>
      </c>
      <c r="J118" s="7" t="n">
        <v>189.2</v>
      </c>
      <c r="L118" s="7" t="n">
        <v>486.6</v>
      </c>
      <c r="N118" s="7" t="n">
        <v>447.2</v>
      </c>
      <c r="P118" s="7" t="n">
        <v>785.8</v>
      </c>
      <c r="R118" s="7" t="n">
        <v>350.5</v>
      </c>
      <c r="T118" s="7" t="n">
        <v>531.1</v>
      </c>
      <c r="V118" s="7" t="n">
        <v>380.9</v>
      </c>
      <c r="X118" s="7" t="n">
        <v>193.3</v>
      </c>
      <c r="Z118" s="7" t="n">
        <v>307.8</v>
      </c>
      <c r="AB118" s="7" t="n">
        <v>4494.6</v>
      </c>
    </row>
    <row r="119">
      <c r="A119" s="4" t="inlineStr">
        <is>
          <t>节日礼品</t>
        </is>
      </c>
      <c r="D119" s="7" t="n">
        <v>444.5</v>
      </c>
      <c r="F119" s="7" t="n">
        <v>305.1</v>
      </c>
      <c r="H119" s="7" t="n">
        <v>690.3</v>
      </c>
      <c r="J119" s="7" t="n">
        <v>569.7</v>
      </c>
      <c r="L119" s="7" t="n">
        <v>1271.4</v>
      </c>
      <c r="N119" s="7" t="n">
        <v>702.5</v>
      </c>
      <c r="P119" s="7" t="n">
        <v>1286.9</v>
      </c>
      <c r="R119" s="7" t="n">
        <v>519.2</v>
      </c>
      <c r="T119" s="7" t="n">
        <v>823.1</v>
      </c>
      <c r="V119" s="7" t="n">
        <v>905.3</v>
      </c>
      <c r="X119" s="7" t="n">
        <v>328.4</v>
      </c>
      <c r="Z119" s="7" t="n">
        <v>730.2</v>
      </c>
      <c r="AB119" s="7" t="n">
        <v>8576.6</v>
      </c>
    </row>
    <row r="120">
      <c r="A120" s="4" t="inlineStr">
        <is>
          <t>生日礼品</t>
        </is>
      </c>
      <c r="D120" s="7" t="n">
        <v>444.7</v>
      </c>
      <c r="F120" s="7" t="n">
        <v>211.4</v>
      </c>
      <c r="H120" s="7" t="n">
        <v>604.2</v>
      </c>
      <c r="J120" s="7" t="n">
        <v>415</v>
      </c>
      <c r="L120" s="7" t="n">
        <v>933.4</v>
      </c>
      <c r="N120" s="7" t="n">
        <v>466.8</v>
      </c>
      <c r="P120" s="7" t="n">
        <v>1002.9</v>
      </c>
      <c r="R120" s="7" t="n">
        <v>611.1</v>
      </c>
      <c r="T120" s="7" t="n">
        <v>882.7</v>
      </c>
      <c r="V120" s="7" t="n">
        <v>650.5</v>
      </c>
      <c r="X120" s="7" t="n">
        <v>293.4</v>
      </c>
      <c r="Z120" s="7" t="n">
        <v>374.7</v>
      </c>
      <c r="AB120" s="7" t="n">
        <v>6890.8</v>
      </c>
    </row>
    <row r="121">
      <c r="A121" s="4" t="inlineStr">
        <is>
          <t>体检</t>
        </is>
      </c>
      <c r="D121" s="7" t="n">
        <v>280.2</v>
      </c>
      <c r="F121" s="7" t="n">
        <v>148.3</v>
      </c>
      <c r="H121" s="7" t="n">
        <v>471</v>
      </c>
      <c r="J121" s="7" t="n">
        <v>347</v>
      </c>
      <c r="L121" s="7" t="n">
        <v>710.4</v>
      </c>
      <c r="N121" s="7" t="n">
        <v>378.2</v>
      </c>
      <c r="P121" s="7" t="n">
        <v>1001.7</v>
      </c>
      <c r="R121" s="7" t="n">
        <v>296</v>
      </c>
      <c r="T121" s="7" t="n">
        <v>400.2</v>
      </c>
      <c r="V121" s="7" t="n">
        <v>544.3</v>
      </c>
      <c r="X121" s="7" t="n">
        <v>321.7</v>
      </c>
      <c r="Z121" s="7" t="n">
        <v>439.7</v>
      </c>
      <c r="AB121" s="7" t="n">
        <v>5338.7</v>
      </c>
    </row>
    <row r="122">
      <c r="A122" s="4" t="inlineStr">
        <is>
          <t>其他福利支出</t>
        </is>
      </c>
      <c r="D122" s="7" t="n">
        <v>250.6</v>
      </c>
      <c r="F122" s="7" t="n">
        <v>115.1</v>
      </c>
      <c r="H122" s="7" t="n">
        <v>320.1</v>
      </c>
      <c r="J122" s="7" t="n">
        <v>212.7</v>
      </c>
      <c r="L122" s="7" t="n">
        <v>531.1</v>
      </c>
      <c r="N122" s="7" t="n">
        <v>343.3</v>
      </c>
      <c r="P122" s="7" t="n">
        <v>505.3</v>
      </c>
      <c r="R122" s="7" t="n">
        <v>244.4</v>
      </c>
      <c r="T122" s="7" t="n">
        <v>356.1</v>
      </c>
      <c r="V122" s="7" t="n">
        <v>430.6</v>
      </c>
      <c r="X122" s="7" t="n">
        <v>151.1</v>
      </c>
      <c r="Z122" s="7" t="n">
        <v>294.1</v>
      </c>
      <c r="AB122" s="7" t="n">
        <v>3754.5</v>
      </c>
    </row>
    <row r="123">
      <c r="A123" s="4" t="inlineStr">
        <is>
          <t>招聘费</t>
        </is>
      </c>
      <c r="D123" s="7" t="n">
        <v>809</v>
      </c>
      <c r="F123" s="7" t="n">
        <v>337</v>
      </c>
      <c r="H123" s="7" t="n">
        <v>1084.4</v>
      </c>
      <c r="J123" s="7" t="n">
        <v>568</v>
      </c>
      <c r="L123" s="7" t="n">
        <v>1354</v>
      </c>
      <c r="N123" s="7" t="n">
        <v>777.4</v>
      </c>
      <c r="P123" s="7" t="n">
        <v>1757.8</v>
      </c>
      <c r="R123" s="7" t="n">
        <v>1027.1</v>
      </c>
      <c r="T123" s="7" t="n">
        <v>1250.2</v>
      </c>
      <c r="V123" s="7" t="n">
        <v>864.6</v>
      </c>
      <c r="X123" s="7" t="n">
        <v>688.2</v>
      </c>
      <c r="Z123" s="7" t="n">
        <v>698.4</v>
      </c>
      <c r="AB123" s="7" t="n">
        <v>11216.1</v>
      </c>
    </row>
    <row r="124">
      <c r="A124" s="4" t="inlineStr">
        <is>
          <t>办公费</t>
        </is>
      </c>
      <c r="D124" s="7" t="n">
        <v>3064.3</v>
      </c>
      <c r="F124" s="7" t="n">
        <v>2091.1</v>
      </c>
      <c r="H124" s="7" t="n">
        <v>5127.9</v>
      </c>
      <c r="J124" s="7" t="n">
        <v>3690</v>
      </c>
      <c r="L124" s="7" t="n">
        <v>9417.799999999999</v>
      </c>
      <c r="N124" s="7" t="n">
        <v>5764.9</v>
      </c>
      <c r="P124" s="7" t="n">
        <v>12081.6</v>
      </c>
      <c r="R124" s="7" t="n">
        <v>5853.8</v>
      </c>
      <c r="T124" s="7" t="n">
        <v>5333.4</v>
      </c>
      <c r="V124" s="7" t="n">
        <v>6348.1</v>
      </c>
      <c r="X124" s="7" t="n">
        <v>3763.1</v>
      </c>
      <c r="Z124" s="7" t="n">
        <v>4013.1</v>
      </c>
      <c r="AB124" s="7" t="n">
        <v>66549.10000000001</v>
      </c>
    </row>
    <row r="125">
      <c r="A125" s="4" t="inlineStr">
        <is>
          <t>市内交通费</t>
        </is>
      </c>
      <c r="D125" s="7" t="n">
        <v>27.1</v>
      </c>
      <c r="F125" s="7" t="n">
        <v>15.1</v>
      </c>
      <c r="H125" s="7" t="n">
        <v>37.9</v>
      </c>
      <c r="J125" s="7" t="n">
        <v>24.2</v>
      </c>
      <c r="L125" s="7" t="n">
        <v>52.8</v>
      </c>
      <c r="N125" s="7" t="n">
        <v>28.2</v>
      </c>
      <c r="P125" s="7" t="n">
        <v>72.59999999999999</v>
      </c>
      <c r="R125" s="7" t="n">
        <v>33.4</v>
      </c>
      <c r="T125" s="7" t="n">
        <v>41.6</v>
      </c>
      <c r="V125" s="7" t="n">
        <v>30.8</v>
      </c>
      <c r="X125" s="7" t="n">
        <v>25.3</v>
      </c>
      <c r="Z125" s="7" t="n">
        <v>34.6</v>
      </c>
      <c r="AB125" s="7" t="n">
        <v>423.6</v>
      </c>
    </row>
    <row r="126">
      <c r="A126" s="4" t="inlineStr">
        <is>
          <t>差旅费</t>
        </is>
      </c>
      <c r="D126" s="7" t="n">
        <v>9617.799999999999</v>
      </c>
      <c r="F126" s="7" t="n">
        <v>6241.9</v>
      </c>
      <c r="H126" s="7" t="n">
        <v>8872.6</v>
      </c>
      <c r="J126" s="7" t="n">
        <v>7835.2</v>
      </c>
      <c r="L126" s="7" t="n">
        <v>17935</v>
      </c>
      <c r="N126" s="7" t="n">
        <v>8021.4</v>
      </c>
      <c r="P126" s="7" t="n">
        <v>17476.7</v>
      </c>
      <c r="R126" s="7" t="n">
        <v>7771.4</v>
      </c>
      <c r="T126" s="7" t="n">
        <v>9494.299999999999</v>
      </c>
      <c r="V126" s="7" t="n">
        <v>15332</v>
      </c>
      <c r="X126" s="7" t="n">
        <v>4704.8</v>
      </c>
      <c r="Z126" s="7" t="n">
        <v>10962.8</v>
      </c>
      <c r="AB126" s="7" t="n">
        <v>124265.9</v>
      </c>
    </row>
    <row r="127">
      <c r="A127" s="4" t="inlineStr">
        <is>
          <t>交通费</t>
        </is>
      </c>
      <c r="D127" s="7" t="n">
        <v>671.4</v>
      </c>
      <c r="F127" s="7" t="n">
        <v>276.1</v>
      </c>
      <c r="H127" s="7" t="n">
        <v>840.3</v>
      </c>
      <c r="J127" s="7" t="n">
        <v>419.9</v>
      </c>
      <c r="L127" s="7" t="n">
        <v>1078.5</v>
      </c>
      <c r="N127" s="7" t="n">
        <v>808.3</v>
      </c>
      <c r="P127" s="7" t="n">
        <v>1474.7</v>
      </c>
      <c r="R127" s="7" t="n">
        <v>497.4</v>
      </c>
      <c r="T127" s="7" t="n">
        <v>984.2</v>
      </c>
      <c r="V127" s="7" t="n">
        <v>893.2</v>
      </c>
      <c r="X127" s="7" t="n">
        <v>507.1</v>
      </c>
      <c r="Z127" s="7" t="n">
        <v>927.3</v>
      </c>
      <c r="AB127" s="7" t="n">
        <v>9378.4</v>
      </c>
    </row>
    <row r="128">
      <c r="A128" s="4" t="inlineStr">
        <is>
          <t>住宿费</t>
        </is>
      </c>
      <c r="D128" s="7" t="n">
        <v>274.1</v>
      </c>
      <c r="F128" s="7" t="n">
        <v>257.6</v>
      </c>
      <c r="H128" s="7" t="n">
        <v>455.4</v>
      </c>
      <c r="J128" s="7" t="n">
        <v>305.9</v>
      </c>
      <c r="L128" s="7" t="n">
        <v>847</v>
      </c>
      <c r="N128" s="7" t="n">
        <v>561.1</v>
      </c>
      <c r="P128" s="7" t="n">
        <v>968</v>
      </c>
      <c r="R128" s="7" t="n">
        <v>446.1</v>
      </c>
      <c r="T128" s="7" t="n">
        <v>674.9</v>
      </c>
      <c r="V128" s="7" t="n">
        <v>531.7</v>
      </c>
      <c r="X128" s="7" t="n">
        <v>245.7</v>
      </c>
      <c r="Z128" s="7" t="n">
        <v>447.5</v>
      </c>
      <c r="AB128" s="7" t="n">
        <v>6015</v>
      </c>
    </row>
    <row r="129">
      <c r="A129" s="4" t="inlineStr">
        <is>
          <t>餐补</t>
        </is>
      </c>
      <c r="D129" s="7" t="n">
        <v>428.5</v>
      </c>
      <c r="F129" s="7" t="n">
        <v>267.4</v>
      </c>
      <c r="H129" s="7" t="n">
        <v>962.2</v>
      </c>
      <c r="J129" s="7" t="n">
        <v>375.9</v>
      </c>
      <c r="L129" s="7" t="n">
        <v>957.8</v>
      </c>
      <c r="N129" s="7" t="n">
        <v>646.3</v>
      </c>
      <c r="P129" s="7" t="n">
        <v>1609.8</v>
      </c>
      <c r="R129" s="7" t="n">
        <v>746.7</v>
      </c>
      <c r="T129" s="7" t="n">
        <v>1133.7</v>
      </c>
      <c r="V129" s="7" t="n">
        <v>767.8</v>
      </c>
      <c r="X129" s="7" t="n">
        <v>502.5</v>
      </c>
      <c r="Z129" s="7" t="n">
        <v>673.6</v>
      </c>
      <c r="AB129" s="7" t="n">
        <v>9072.200000000001</v>
      </c>
    </row>
    <row r="130">
      <c r="A130" s="4" t="inlineStr">
        <is>
          <t>交通补助</t>
        </is>
      </c>
      <c r="D130" s="7" t="n">
        <v>380.5</v>
      </c>
      <c r="F130" s="7" t="n">
        <v>363.3</v>
      </c>
      <c r="H130" s="7" t="n">
        <v>864.2</v>
      </c>
      <c r="J130" s="7" t="n">
        <v>404.3</v>
      </c>
      <c r="L130" s="7" t="n">
        <v>1054.1</v>
      </c>
      <c r="N130" s="7" t="n">
        <v>688.4</v>
      </c>
      <c r="P130" s="7" t="n">
        <v>1263.1</v>
      </c>
      <c r="R130" s="7" t="n">
        <v>694</v>
      </c>
      <c r="T130" s="7" t="n">
        <v>844</v>
      </c>
      <c r="V130" s="7" t="n">
        <v>679.2</v>
      </c>
      <c r="X130" s="7" t="n">
        <v>318.5</v>
      </c>
      <c r="Z130" s="7" t="n">
        <v>724.4</v>
      </c>
      <c r="AB130" s="7" t="n">
        <v>8278</v>
      </c>
    </row>
    <row r="131">
      <c r="A131" s="4" t="inlineStr">
        <is>
          <t>通讯补助</t>
        </is>
      </c>
      <c r="D131" s="7" t="n">
        <v>141.5</v>
      </c>
      <c r="F131" s="7" t="n">
        <v>113.8</v>
      </c>
      <c r="H131" s="7" t="n">
        <v>325.5</v>
      </c>
      <c r="J131" s="7" t="n">
        <v>145.1</v>
      </c>
      <c r="L131" s="7" t="n">
        <v>361.3</v>
      </c>
      <c r="N131" s="7" t="n">
        <v>284.4</v>
      </c>
      <c r="P131" s="7" t="n">
        <v>488.2</v>
      </c>
      <c r="R131" s="7" t="n">
        <v>234.8</v>
      </c>
      <c r="T131" s="7" t="n">
        <v>214.2</v>
      </c>
      <c r="V131" s="7" t="n">
        <v>285</v>
      </c>
      <c r="X131" s="7" t="n">
        <v>150.2</v>
      </c>
      <c r="Z131" s="7" t="n">
        <v>173.9</v>
      </c>
      <c r="AB131" s="7" t="n">
        <v>2917.9</v>
      </c>
    </row>
    <row r="132">
      <c r="A132" s="4" t="inlineStr">
        <is>
          <t>招待费</t>
        </is>
      </c>
      <c r="D132" s="7" t="n">
        <v>7119.9</v>
      </c>
      <c r="F132" s="7" t="n">
        <v>3293.6</v>
      </c>
      <c r="H132" s="7" t="n">
        <v>5799.9</v>
      </c>
      <c r="J132" s="7" t="n">
        <v>5787</v>
      </c>
      <c r="L132" s="7" t="n">
        <v>9989.799999999999</v>
      </c>
      <c r="N132" s="7" t="n">
        <v>8821.299999999999</v>
      </c>
      <c r="P132" s="7" t="n">
        <v>14615.1</v>
      </c>
      <c r="R132" s="7" t="n">
        <v>6766.1</v>
      </c>
      <c r="T132" s="7" t="n">
        <v>10559.1</v>
      </c>
      <c r="V132" s="7" t="n">
        <v>6012.2</v>
      </c>
      <c r="X132" s="7" t="n">
        <v>4375.5</v>
      </c>
      <c r="Z132" s="7" t="n">
        <v>8092.9</v>
      </c>
      <c r="AB132" s="7" t="n">
        <v>91232.39999999999</v>
      </c>
    </row>
    <row r="133">
      <c r="A133" s="4" t="inlineStr">
        <is>
          <t>通讯费</t>
        </is>
      </c>
      <c r="D133" s="7" t="n">
        <v>501.2</v>
      </c>
      <c r="F133" s="7" t="n">
        <v>309.2</v>
      </c>
      <c r="H133" s="7" t="n">
        <v>1051.6</v>
      </c>
      <c r="J133" s="7" t="n">
        <v>549.8</v>
      </c>
      <c r="L133" s="7" t="n">
        <v>1320.7</v>
      </c>
      <c r="N133" s="7" t="n">
        <v>829.5</v>
      </c>
      <c r="P133" s="7" t="n">
        <v>1206.8</v>
      </c>
      <c r="R133" s="7" t="n">
        <v>788.8</v>
      </c>
      <c r="T133" s="7" t="n">
        <v>787.1</v>
      </c>
      <c r="V133" s="7" t="n">
        <v>876.7</v>
      </c>
      <c r="X133" s="7" t="n">
        <v>580.7</v>
      </c>
      <c r="Z133" s="7" t="n">
        <v>813.3</v>
      </c>
      <c r="AB133" s="7" t="n">
        <v>9615.4</v>
      </c>
    </row>
    <row r="134">
      <c r="A134" s="4" t="inlineStr">
        <is>
          <t>网络费</t>
        </is>
      </c>
      <c r="D134" s="7" t="n">
        <v>304.4</v>
      </c>
      <c r="F134" s="7" t="n">
        <v>272.6</v>
      </c>
      <c r="H134" s="7" t="n">
        <v>397.1</v>
      </c>
      <c r="J134" s="7" t="n">
        <v>355</v>
      </c>
      <c r="L134" s="7" t="n">
        <v>848.6</v>
      </c>
      <c r="N134" s="7" t="n">
        <v>433</v>
      </c>
      <c r="P134" s="7" t="n">
        <v>647.5</v>
      </c>
      <c r="R134" s="7" t="n">
        <v>519.1</v>
      </c>
      <c r="T134" s="7" t="n">
        <v>524.9</v>
      </c>
      <c r="V134" s="7" t="n">
        <v>602.3</v>
      </c>
      <c r="X134" s="7" t="n">
        <v>217.9</v>
      </c>
      <c r="Z134" s="7" t="n">
        <v>434.6</v>
      </c>
      <c r="AB134" s="7" t="n">
        <v>5557</v>
      </c>
    </row>
    <row r="135">
      <c r="A135" s="4" t="inlineStr">
        <is>
          <t>修理费</t>
        </is>
      </c>
      <c r="D135" s="7" t="n">
        <v>139.6</v>
      </c>
      <c r="F135" s="7" t="n">
        <v>77.09999999999999</v>
      </c>
      <c r="H135" s="7" t="n">
        <v>208.2</v>
      </c>
      <c r="J135" s="7" t="n">
        <v>115.8</v>
      </c>
      <c r="L135" s="7" t="n">
        <v>270.2</v>
      </c>
      <c r="N135" s="7" t="n">
        <v>217.7</v>
      </c>
      <c r="P135" s="7" t="n">
        <v>431.6</v>
      </c>
      <c r="R135" s="7" t="n">
        <v>198.4</v>
      </c>
      <c r="T135" s="7" t="n">
        <v>192.9</v>
      </c>
      <c r="V135" s="7" t="n">
        <v>232.8</v>
      </c>
      <c r="X135" s="7" t="n">
        <v>121</v>
      </c>
      <c r="Z135" s="7" t="n">
        <v>197.3</v>
      </c>
      <c r="AB135" s="7" t="n">
        <v>2402.6</v>
      </c>
    </row>
    <row r="136">
      <c r="A136" s="4" t="inlineStr">
        <is>
          <t>车辆费</t>
        </is>
      </c>
      <c r="D136" s="7" t="n">
        <v>114.4</v>
      </c>
      <c r="F136" s="7" t="n">
        <v>57.6</v>
      </c>
      <c r="H136" s="7" t="n">
        <v>177.9</v>
      </c>
      <c r="J136" s="7" t="n">
        <v>103.5</v>
      </c>
      <c r="L136" s="7" t="n">
        <v>194.1</v>
      </c>
      <c r="N136" s="7" t="n">
        <v>184</v>
      </c>
      <c r="P136" s="7" t="n">
        <v>306.8</v>
      </c>
      <c r="R136" s="7" t="n">
        <v>155.6</v>
      </c>
      <c r="T136" s="7" t="n">
        <v>132.6</v>
      </c>
      <c r="V136" s="7" t="n">
        <v>197.3</v>
      </c>
      <c r="X136" s="7" t="n">
        <v>64.59999999999999</v>
      </c>
      <c r="Z136" s="7" t="n">
        <v>137.1</v>
      </c>
      <c r="AB136" s="7" t="n">
        <v>1825.5</v>
      </c>
    </row>
    <row r="137">
      <c r="A137" s="4" t="inlineStr">
        <is>
          <t>租赁费</t>
        </is>
      </c>
      <c r="D137" s="7" t="n">
        <v>8155.2</v>
      </c>
      <c r="F137" s="7" t="n">
        <v>3663.3</v>
      </c>
      <c r="H137" s="7" t="n">
        <v>11823.2</v>
      </c>
      <c r="J137" s="7" t="n">
        <v>4448.2</v>
      </c>
      <c r="L137" s="7" t="n">
        <v>17270.3</v>
      </c>
      <c r="N137" s="7" t="n">
        <v>11728.2</v>
      </c>
      <c r="P137" s="7" t="n">
        <v>20586.5</v>
      </c>
      <c r="R137" s="7" t="n">
        <v>6620.6</v>
      </c>
      <c r="T137" s="7" t="n">
        <v>10669.8</v>
      </c>
      <c r="V137" s="7" t="n">
        <v>9778.1</v>
      </c>
      <c r="X137" s="7" t="n">
        <v>4338.5</v>
      </c>
      <c r="Z137" s="7" t="n">
        <v>10055.4</v>
      </c>
      <c r="AB137" s="7" t="n">
        <v>119137.3</v>
      </c>
    </row>
    <row r="138">
      <c r="A138" s="4" t="inlineStr">
        <is>
          <t>能源费</t>
        </is>
      </c>
      <c r="D138" s="7" t="n">
        <v>1998.2</v>
      </c>
      <c r="F138" s="7" t="n">
        <v>1157.7</v>
      </c>
      <c r="H138" s="7" t="n">
        <v>2723</v>
      </c>
      <c r="J138" s="7" t="n">
        <v>1778.5</v>
      </c>
      <c r="L138" s="7" t="n">
        <v>4573.7</v>
      </c>
      <c r="N138" s="7" t="n">
        <v>2550.6</v>
      </c>
      <c r="P138" s="7" t="n">
        <v>4304.8</v>
      </c>
      <c r="R138" s="7" t="n">
        <v>2524.4</v>
      </c>
      <c r="T138" s="7" t="n">
        <v>2669</v>
      </c>
      <c r="V138" s="7" t="n">
        <v>3049.9</v>
      </c>
      <c r="X138" s="7" t="n">
        <v>1735.9</v>
      </c>
      <c r="Z138" s="7" t="n">
        <v>2635.2</v>
      </c>
      <c r="AB138" s="7" t="n">
        <v>31700.9</v>
      </c>
    </row>
    <row r="139">
      <c r="A139" s="4" t="inlineStr">
        <is>
          <t>水费</t>
        </is>
      </c>
      <c r="D139" s="7" t="n">
        <v>462.3</v>
      </c>
      <c r="F139" s="7" t="n">
        <v>225.6</v>
      </c>
      <c r="H139" s="7" t="n">
        <v>654</v>
      </c>
      <c r="J139" s="7" t="n">
        <v>509.8</v>
      </c>
      <c r="L139" s="7" t="n">
        <v>1167.1</v>
      </c>
      <c r="N139" s="7" t="n">
        <v>467</v>
      </c>
      <c r="P139" s="7" t="n">
        <v>1372.8</v>
      </c>
      <c r="R139" s="7" t="n">
        <v>555.1</v>
      </c>
      <c r="T139" s="7" t="n">
        <v>732.7</v>
      </c>
      <c r="V139" s="7" t="n">
        <v>819.3</v>
      </c>
      <c r="X139" s="7" t="n">
        <v>352.8</v>
      </c>
      <c r="Z139" s="7" t="n">
        <v>739.7</v>
      </c>
      <c r="AB139" s="7" t="n">
        <v>8058.2</v>
      </c>
    </row>
    <row r="140">
      <c r="A140" s="4" t="inlineStr">
        <is>
          <t>电费</t>
        </is>
      </c>
      <c r="D140" s="7" t="n">
        <v>45.4</v>
      </c>
      <c r="F140" s="7" t="n">
        <v>27.7</v>
      </c>
      <c r="H140" s="7" t="n">
        <v>51.5</v>
      </c>
      <c r="J140" s="7" t="n">
        <v>44.7</v>
      </c>
      <c r="L140" s="7" t="n">
        <v>95.7</v>
      </c>
      <c r="N140" s="7" t="n">
        <v>53.9</v>
      </c>
      <c r="P140" s="7" t="n">
        <v>105.8</v>
      </c>
      <c r="R140" s="7" t="n">
        <v>58.7</v>
      </c>
      <c r="T140" s="7" t="n">
        <v>46.6</v>
      </c>
      <c r="V140" s="7" t="n">
        <v>80.2</v>
      </c>
      <c r="X140" s="7" t="n">
        <v>34.7</v>
      </c>
      <c r="Z140" s="7" t="n">
        <v>58.9</v>
      </c>
      <c r="AB140" s="7" t="n">
        <v>703.8</v>
      </c>
    </row>
    <row r="141">
      <c r="A141" s="4" t="inlineStr">
        <is>
          <t>燃气费</t>
        </is>
      </c>
      <c r="D141" s="7" t="n">
        <v>641.6</v>
      </c>
      <c r="F141" s="7" t="n">
        <v>408.6</v>
      </c>
      <c r="H141" s="7" t="n">
        <v>1095.6</v>
      </c>
      <c r="J141" s="7" t="n">
        <v>496.9</v>
      </c>
      <c r="L141" s="7" t="n">
        <v>1764</v>
      </c>
      <c r="N141" s="7" t="n">
        <v>1052.7</v>
      </c>
      <c r="P141" s="7" t="n">
        <v>1421.6</v>
      </c>
      <c r="R141" s="7" t="n">
        <v>719.2</v>
      </c>
      <c r="T141" s="7" t="n">
        <v>730.3</v>
      </c>
      <c r="V141" s="7" t="n">
        <v>779.1</v>
      </c>
      <c r="X141" s="7" t="n">
        <v>632.4</v>
      </c>
      <c r="Z141" s="7" t="n">
        <v>721.8</v>
      </c>
      <c r="AB141" s="7" t="n">
        <v>10463.8</v>
      </c>
    </row>
    <row r="142">
      <c r="A142" s="4" t="inlineStr">
        <is>
          <t>蒸汽费</t>
        </is>
      </c>
      <c r="D142" s="7" t="n">
        <v>848.9</v>
      </c>
      <c r="F142" s="7" t="n">
        <v>495.8</v>
      </c>
      <c r="H142" s="7" t="n">
        <v>921.9</v>
      </c>
      <c r="J142" s="7" t="n">
        <v>727.1</v>
      </c>
      <c r="L142" s="7" t="n">
        <v>1546.9</v>
      </c>
      <c r="N142" s="7" t="n">
        <v>977</v>
      </c>
      <c r="P142" s="7" t="n">
        <v>1404.6</v>
      </c>
      <c r="R142" s="7" t="n">
        <v>1191.4</v>
      </c>
      <c r="T142" s="7" t="n">
        <v>1159.4</v>
      </c>
      <c r="V142" s="7" t="n">
        <v>1371.3</v>
      </c>
      <c r="X142" s="7" t="n">
        <v>716</v>
      </c>
      <c r="Z142" s="7" t="n">
        <v>1114.8</v>
      </c>
      <c r="AB142" s="7" t="n">
        <v>12475.1</v>
      </c>
    </row>
    <row r="143">
      <c r="A143" s="4" t="inlineStr">
        <is>
          <t>物业费</t>
        </is>
      </c>
      <c r="D143" s="7" t="n">
        <v>668.5</v>
      </c>
      <c r="F143" s="7" t="n">
        <v>543.7</v>
      </c>
      <c r="H143" s="7" t="n">
        <v>1464.7</v>
      </c>
      <c r="J143" s="7" t="n">
        <v>896.7</v>
      </c>
      <c r="L143" s="7" t="n">
        <v>1568.3</v>
      </c>
      <c r="N143" s="7" t="n">
        <v>1337.2</v>
      </c>
      <c r="P143" s="7" t="n">
        <v>1904</v>
      </c>
      <c r="R143" s="7" t="n">
        <v>1200.8</v>
      </c>
      <c r="T143" s="7" t="n">
        <v>1076.6</v>
      </c>
      <c r="V143" s="7" t="n">
        <v>1069.8</v>
      </c>
      <c r="X143" s="7" t="n">
        <v>590.9</v>
      </c>
      <c r="Z143" s="7" t="n">
        <v>1226.6</v>
      </c>
      <c r="AB143" s="7" t="n">
        <v>13547.8</v>
      </c>
    </row>
    <row r="144">
      <c r="A144" s="4" t="inlineStr">
        <is>
          <t>劳动保护费</t>
        </is>
      </c>
      <c r="D144" s="7" t="n">
        <v>90.40000000000001</v>
      </c>
      <c r="F144" s="7" t="n">
        <v>55.1</v>
      </c>
      <c r="H144" s="7" t="n">
        <v>105.3</v>
      </c>
      <c r="J144" s="7" t="n">
        <v>63.9</v>
      </c>
      <c r="L144" s="7" t="n">
        <v>163.7</v>
      </c>
      <c r="N144" s="7" t="n">
        <v>144.2</v>
      </c>
      <c r="P144" s="7" t="n">
        <v>245</v>
      </c>
      <c r="R144" s="7" t="n">
        <v>82.7</v>
      </c>
      <c r="T144" s="7" t="n">
        <v>145.7</v>
      </c>
      <c r="V144" s="7" t="n">
        <v>139.5</v>
      </c>
      <c r="X144" s="7" t="n">
        <v>52.7</v>
      </c>
      <c r="Z144" s="7" t="n">
        <v>85.40000000000001</v>
      </c>
      <c r="AB144" s="7" t="n">
        <v>1373.6</v>
      </c>
    </row>
    <row r="145">
      <c r="A145" s="4" t="inlineStr">
        <is>
          <t>顾问费</t>
        </is>
      </c>
      <c r="D145" s="7" t="n">
        <v>871.2</v>
      </c>
      <c r="F145" s="7" t="n">
        <v>306.2</v>
      </c>
      <c r="H145" s="7" t="n">
        <v>1082.4</v>
      </c>
      <c r="J145" s="7" t="n">
        <v>614.1</v>
      </c>
      <c r="L145" s="7" t="n">
        <v>1458.4</v>
      </c>
      <c r="N145" s="7" t="n">
        <v>1193.2</v>
      </c>
      <c r="P145" s="7" t="n">
        <v>1297.7</v>
      </c>
      <c r="R145" s="7" t="n">
        <v>906.7</v>
      </c>
      <c r="T145" s="7" t="n">
        <v>1145.8</v>
      </c>
      <c r="V145" s="7" t="n">
        <v>1191.2</v>
      </c>
      <c r="X145" s="7" t="n">
        <v>733.5</v>
      </c>
      <c r="Z145" s="7" t="n">
        <v>803.2</v>
      </c>
      <c r="AB145" s="7" t="n">
        <v>11603.6</v>
      </c>
    </row>
    <row r="146">
      <c r="A146" s="4" t="inlineStr">
        <is>
          <t>快递费</t>
        </is>
      </c>
      <c r="D146" s="7" t="n">
        <v>273.5</v>
      </c>
      <c r="F146" s="7" t="n">
        <v>154</v>
      </c>
      <c r="H146" s="7" t="n">
        <v>263.5</v>
      </c>
      <c r="J146" s="7" t="n">
        <v>215.3</v>
      </c>
      <c r="L146" s="7" t="n">
        <v>442.5</v>
      </c>
      <c r="N146" s="7" t="n">
        <v>334.6</v>
      </c>
      <c r="P146" s="7" t="n">
        <v>655</v>
      </c>
      <c r="R146" s="7" t="n">
        <v>345.6</v>
      </c>
      <c r="T146" s="7" t="n">
        <v>377.3</v>
      </c>
      <c r="V146" s="7" t="n">
        <v>329</v>
      </c>
      <c r="X146" s="7" t="n">
        <v>231.3</v>
      </c>
      <c r="Z146" s="7" t="n">
        <v>223.6</v>
      </c>
      <c r="AB146" s="7" t="n">
        <v>3845.2</v>
      </c>
    </row>
    <row r="147">
      <c r="A147" s="4" t="inlineStr">
        <is>
          <t>诉讼费</t>
        </is>
      </c>
      <c r="D147" s="7" t="n">
        <v>1014.9</v>
      </c>
      <c r="F147" s="7" t="n">
        <v>500.8</v>
      </c>
      <c r="H147" s="7" t="n">
        <v>1137.3</v>
      </c>
      <c r="J147" s="7" t="n">
        <v>664.6</v>
      </c>
      <c r="L147" s="7" t="n">
        <v>1985.1</v>
      </c>
      <c r="N147" s="7" t="n">
        <v>932.2</v>
      </c>
      <c r="P147" s="7" t="n">
        <v>1330.4</v>
      </c>
      <c r="R147" s="7" t="n">
        <v>1060.3</v>
      </c>
      <c r="T147" s="7" t="n">
        <v>1376.2</v>
      </c>
      <c r="V147" s="7" t="n">
        <v>808.8</v>
      </c>
      <c r="X147" s="7" t="n">
        <v>484.4</v>
      </c>
      <c r="Z147" s="7" t="n">
        <v>815.8</v>
      </c>
      <c r="AB147" s="7" t="n">
        <v>12110.8</v>
      </c>
    </row>
    <row r="148">
      <c r="A148" s="4" t="inlineStr">
        <is>
          <t>会员费</t>
        </is>
      </c>
      <c r="D148" s="7" t="n">
        <v>466.2</v>
      </c>
      <c r="F148" s="7" t="n">
        <v>347</v>
      </c>
      <c r="H148" s="7" t="n">
        <v>1007.1</v>
      </c>
      <c r="J148" s="7" t="n">
        <v>350.5</v>
      </c>
      <c r="L148" s="7" t="n">
        <v>1555.9</v>
      </c>
      <c r="N148" s="7" t="n">
        <v>621.8</v>
      </c>
      <c r="P148" s="7" t="n">
        <v>1218.8</v>
      </c>
      <c r="R148" s="7" t="n">
        <v>583.4</v>
      </c>
      <c r="T148" s="7" t="n">
        <v>909.2</v>
      </c>
      <c r="V148" s="7" t="n">
        <v>1047.3</v>
      </c>
      <c r="X148" s="7" t="n">
        <v>414.3</v>
      </c>
      <c r="Z148" s="7" t="n">
        <v>518.3</v>
      </c>
      <c r="AB148" s="7" t="n">
        <v>9039.799999999999</v>
      </c>
    </row>
    <row r="149">
      <c r="A149" s="4" t="inlineStr">
        <is>
          <t>广告宣传费</t>
        </is>
      </c>
      <c r="D149" s="7" t="n">
        <v>3425.3</v>
      </c>
      <c r="F149" s="7" t="n">
        <v>2233.9</v>
      </c>
      <c r="H149" s="7" t="n">
        <v>4845.5</v>
      </c>
      <c r="J149" s="7" t="n">
        <v>3354.8</v>
      </c>
      <c r="L149" s="7" t="n">
        <v>9435.799999999999</v>
      </c>
      <c r="N149" s="7" t="n">
        <v>4126</v>
      </c>
      <c r="P149" s="7" t="n">
        <v>7194.4</v>
      </c>
      <c r="R149" s="7" t="n">
        <v>5562.4</v>
      </c>
      <c r="T149" s="7" t="n">
        <v>7515.9</v>
      </c>
      <c r="V149" s="7" t="n">
        <v>5020.3</v>
      </c>
      <c r="X149" s="7" t="n">
        <v>3564.7</v>
      </c>
      <c r="Z149" s="7" t="n">
        <v>5748.2</v>
      </c>
      <c r="AB149" s="7" t="n">
        <v>62027.2</v>
      </c>
    </row>
    <row r="150">
      <c r="A150" s="4" t="inlineStr">
        <is>
          <t>会务费</t>
        </is>
      </c>
      <c r="D150" s="7" t="n">
        <v>867.6</v>
      </c>
      <c r="F150" s="7" t="n">
        <v>376.6</v>
      </c>
      <c r="H150" s="7" t="n">
        <v>869.2</v>
      </c>
      <c r="J150" s="7" t="n">
        <v>674.2</v>
      </c>
      <c r="L150" s="7" t="n">
        <v>1239.9</v>
      </c>
      <c r="N150" s="7" t="n">
        <v>663.7</v>
      </c>
      <c r="P150" s="7" t="n">
        <v>1610.7</v>
      </c>
      <c r="R150" s="7" t="n">
        <v>651.6</v>
      </c>
      <c r="T150" s="7" t="n">
        <v>1277.6</v>
      </c>
      <c r="V150" s="7" t="n">
        <v>920.4</v>
      </c>
      <c r="X150" s="7" t="n">
        <v>455.2</v>
      </c>
      <c r="Z150" s="7" t="n">
        <v>981.6</v>
      </c>
      <c r="AB150" s="7" t="n">
        <v>10588.3</v>
      </c>
    </row>
    <row r="151">
      <c r="A151" s="4" t="inlineStr">
        <is>
          <t>装修费</t>
        </is>
      </c>
      <c r="D151" s="7" t="n">
        <v>645.4</v>
      </c>
      <c r="F151" s="7" t="n">
        <v>303.9</v>
      </c>
      <c r="H151" s="7" t="n">
        <v>717.7</v>
      </c>
      <c r="J151" s="7" t="n">
        <v>438.8</v>
      </c>
      <c r="L151" s="7" t="n">
        <v>1232.7</v>
      </c>
      <c r="N151" s="7" t="n">
        <v>1017.1</v>
      </c>
      <c r="P151" s="7" t="n">
        <v>1639.4</v>
      </c>
      <c r="R151" s="7" t="n">
        <v>638.1</v>
      </c>
      <c r="T151" s="7" t="n">
        <v>1176.4</v>
      </c>
      <c r="V151" s="7" t="n">
        <v>774.3</v>
      </c>
      <c r="X151" s="7" t="n">
        <v>343.3</v>
      </c>
      <c r="Z151" s="7" t="n">
        <v>677.8</v>
      </c>
      <c r="AB151" s="7" t="n">
        <v>9604.9</v>
      </c>
    </row>
    <row r="152">
      <c r="A152" s="4" t="inlineStr">
        <is>
          <t>推广费</t>
        </is>
      </c>
      <c r="D152" s="7" t="n">
        <v>897.3</v>
      </c>
      <c r="F152" s="7" t="n">
        <v>350.1</v>
      </c>
      <c r="H152" s="7" t="n">
        <v>866.8</v>
      </c>
      <c r="J152" s="7" t="n">
        <v>660.9</v>
      </c>
      <c r="L152" s="7" t="n">
        <v>1489.5</v>
      </c>
      <c r="N152" s="7" t="n">
        <v>1034.3</v>
      </c>
      <c r="P152" s="7" t="n">
        <v>1341.5</v>
      </c>
      <c r="R152" s="7" t="n">
        <v>739.3</v>
      </c>
      <c r="T152" s="7" t="n">
        <v>809.1</v>
      </c>
      <c r="V152" s="7" t="n">
        <v>937.4</v>
      </c>
      <c r="X152" s="7" t="n">
        <v>514.8</v>
      </c>
      <c r="Z152" s="7" t="n">
        <v>1014.2</v>
      </c>
      <c r="AB152" s="7" t="n">
        <v>10655.2</v>
      </c>
    </row>
    <row r="153">
      <c r="A153" s="4" t="inlineStr">
        <is>
          <t>展会费</t>
        </is>
      </c>
      <c r="D153" s="7" t="n">
        <v>490.6</v>
      </c>
      <c r="F153" s="7" t="n">
        <v>398.9</v>
      </c>
      <c r="H153" s="7" t="n">
        <v>883.4</v>
      </c>
      <c r="J153" s="7" t="n">
        <v>491.8</v>
      </c>
      <c r="L153" s="7" t="n">
        <v>1443.4</v>
      </c>
      <c r="N153" s="7" t="n">
        <v>816.3</v>
      </c>
      <c r="P153" s="7" t="n">
        <v>1589</v>
      </c>
      <c r="R153" s="7" t="n">
        <v>626.8</v>
      </c>
      <c r="T153" s="7" t="n">
        <v>996</v>
      </c>
      <c r="V153" s="7" t="n">
        <v>974.1</v>
      </c>
      <c r="X153" s="7" t="n">
        <v>490.8</v>
      </c>
      <c r="Z153" s="7" t="n">
        <v>736.6</v>
      </c>
      <c r="AB153" s="7" t="n">
        <v>9937.700000000001</v>
      </c>
    </row>
    <row r="154">
      <c r="A154" s="4" t="inlineStr">
        <is>
          <t>设计费</t>
        </is>
      </c>
      <c r="D154" s="7" t="n">
        <v>222.4</v>
      </c>
      <c r="F154" s="7" t="n">
        <v>166.2</v>
      </c>
      <c r="H154" s="7" t="n">
        <v>384.4</v>
      </c>
      <c r="J154" s="7" t="n">
        <v>186.9</v>
      </c>
      <c r="L154" s="7" t="n">
        <v>441.5</v>
      </c>
      <c r="N154" s="7" t="n">
        <v>265.3</v>
      </c>
      <c r="P154" s="7" t="n">
        <v>400.9</v>
      </c>
      <c r="R154" s="7" t="n">
        <v>308.4</v>
      </c>
      <c r="T154" s="7" t="n">
        <v>329.5</v>
      </c>
      <c r="V154" s="7" t="n">
        <v>243.4</v>
      </c>
      <c r="X154" s="7" t="n">
        <v>170.8</v>
      </c>
      <c r="Z154" s="7" t="n">
        <v>307.3</v>
      </c>
      <c r="AB154" s="7" t="n">
        <v>3427</v>
      </c>
    </row>
    <row r="155">
      <c r="A155" s="4" t="inlineStr">
        <is>
          <t>折旧费</t>
        </is>
      </c>
      <c r="D155" s="7" t="n">
        <v>5782.5</v>
      </c>
      <c r="F155" s="7" t="n">
        <v>2304.6</v>
      </c>
      <c r="H155" s="7" t="n">
        <v>8910.799999999999</v>
      </c>
      <c r="J155" s="7" t="n">
        <v>5668.7</v>
      </c>
      <c r="L155" s="7" t="n">
        <v>10924.8</v>
      </c>
      <c r="N155" s="7" t="n">
        <v>5691.4</v>
      </c>
      <c r="P155" s="7" t="n">
        <v>13043.4</v>
      </c>
      <c r="R155" s="7" t="n">
        <v>6046.8</v>
      </c>
      <c r="T155" s="7" t="n">
        <v>10803.4</v>
      </c>
      <c r="V155" s="7" t="n">
        <v>10606.2</v>
      </c>
      <c r="X155" s="7" t="n">
        <v>4914.8</v>
      </c>
      <c r="Z155" s="7" t="n">
        <v>6802.1</v>
      </c>
      <c r="AB155" s="7" t="n">
        <v>91499.5</v>
      </c>
    </row>
    <row r="156">
      <c r="A156" s="4" t="inlineStr">
        <is>
          <t>认证费</t>
        </is>
      </c>
      <c r="D156" s="7" t="n">
        <v>348.2</v>
      </c>
      <c r="F156" s="7" t="n">
        <v>276.1</v>
      </c>
      <c r="H156" s="7" t="n">
        <v>486</v>
      </c>
      <c r="J156" s="7" t="n">
        <v>333.8</v>
      </c>
      <c r="L156" s="7" t="n">
        <v>849.4</v>
      </c>
      <c r="N156" s="7" t="n">
        <v>410.1</v>
      </c>
      <c r="P156" s="7" t="n">
        <v>607</v>
      </c>
      <c r="R156" s="7" t="n">
        <v>458.8</v>
      </c>
      <c r="T156" s="7" t="n">
        <v>550.3</v>
      </c>
      <c r="V156" s="7" t="n">
        <v>655.9</v>
      </c>
      <c r="X156" s="7" t="n">
        <v>307.4</v>
      </c>
      <c r="Z156" s="7" t="n">
        <v>514.2</v>
      </c>
      <c r="AB156" s="7" t="n">
        <v>5797.2</v>
      </c>
    </row>
    <row r="157">
      <c r="A157" s="4" t="inlineStr">
        <is>
          <t>样品费</t>
        </is>
      </c>
      <c r="D157" s="7" t="n">
        <v>3479</v>
      </c>
      <c r="F157" s="7" t="n">
        <v>1574.1</v>
      </c>
      <c r="H157" s="7" t="n">
        <v>2814</v>
      </c>
      <c r="J157" s="7" t="n">
        <v>2903.8</v>
      </c>
      <c r="L157" s="7" t="n">
        <v>6481</v>
      </c>
      <c r="N157" s="7" t="n">
        <v>4531.3</v>
      </c>
      <c r="P157" s="7" t="n">
        <v>4856.1</v>
      </c>
      <c r="R157" s="7" t="n">
        <v>3970.4</v>
      </c>
      <c r="T157" s="7" t="n">
        <v>3551.6</v>
      </c>
      <c r="V157" s="7" t="n">
        <v>4164.1</v>
      </c>
      <c r="X157" s="7" t="n">
        <v>2530.3</v>
      </c>
      <c r="Z157" s="7" t="n">
        <v>4052.8</v>
      </c>
      <c r="AB157" s="7" t="n">
        <v>44908.5</v>
      </c>
    </row>
    <row r="158">
      <c r="A158" s="4" t="inlineStr">
        <is>
          <t>劳务费</t>
        </is>
      </c>
      <c r="D158" s="7" t="n">
        <v>844.6</v>
      </c>
      <c r="F158" s="7" t="n">
        <v>452.2</v>
      </c>
      <c r="H158" s="7" t="n">
        <v>1163.1</v>
      </c>
      <c r="J158" s="7" t="n">
        <v>672.5</v>
      </c>
      <c r="L158" s="7" t="n">
        <v>1771.6</v>
      </c>
      <c r="N158" s="7" t="n">
        <v>996.4</v>
      </c>
      <c r="P158" s="7" t="n">
        <v>2164.9</v>
      </c>
      <c r="R158" s="7" t="n">
        <v>708.4</v>
      </c>
      <c r="T158" s="7" t="n">
        <v>1488.9</v>
      </c>
      <c r="V158" s="7" t="n">
        <v>1196.7</v>
      </c>
      <c r="X158" s="7" t="n">
        <v>467.6</v>
      </c>
      <c r="Z158" s="7" t="n">
        <v>738.6</v>
      </c>
      <c r="AB158" s="7" t="n">
        <v>12665.5</v>
      </c>
    </row>
    <row r="159">
      <c r="A159" s="4" t="inlineStr">
        <is>
          <t>销售佣金</t>
        </is>
      </c>
      <c r="D159" s="7" t="n">
        <v>402.3</v>
      </c>
      <c r="F159" s="7" t="n">
        <v>274.2</v>
      </c>
      <c r="H159" s="7" t="n">
        <v>703.4</v>
      </c>
      <c r="J159" s="7" t="n">
        <v>313.1</v>
      </c>
      <c r="L159" s="7" t="n">
        <v>847.3</v>
      </c>
      <c r="N159" s="7" t="n">
        <v>483.5</v>
      </c>
      <c r="P159" s="7" t="n">
        <v>1337.3</v>
      </c>
      <c r="R159" s="7" t="n">
        <v>533.8</v>
      </c>
      <c r="T159" s="7" t="n">
        <v>748.1</v>
      </c>
      <c r="V159" s="7" t="n">
        <v>635.7</v>
      </c>
      <c r="X159" s="7" t="n">
        <v>349.7</v>
      </c>
      <c r="Z159" s="7" t="n">
        <v>365.5</v>
      </c>
      <c r="AB159" s="7" t="n">
        <v>6993.9</v>
      </c>
    </row>
    <row r="160">
      <c r="A160" s="4" t="inlineStr">
        <is>
          <t>检测费</t>
        </is>
      </c>
      <c r="D160" s="7" t="n">
        <v>1146.5</v>
      </c>
      <c r="F160" s="7" t="n">
        <v>469.6</v>
      </c>
      <c r="H160" s="7" t="n">
        <v>1535.3</v>
      </c>
      <c r="J160" s="7" t="n">
        <v>837</v>
      </c>
      <c r="L160" s="7" t="n">
        <v>2260.8</v>
      </c>
      <c r="N160" s="7" t="n">
        <v>1101.3</v>
      </c>
      <c r="P160" s="7" t="n">
        <v>2335.5</v>
      </c>
      <c r="R160" s="7" t="n">
        <v>1168.2</v>
      </c>
      <c r="T160" s="7" t="n">
        <v>1148.9</v>
      </c>
      <c r="V160" s="7" t="n">
        <v>1190.7</v>
      </c>
      <c r="X160" s="7" t="n">
        <v>500.3</v>
      </c>
      <c r="Z160" s="7" t="n">
        <v>1220.1</v>
      </c>
      <c r="AB160" s="7" t="n">
        <v>14914.2</v>
      </c>
    </row>
    <row r="161">
      <c r="A161" s="4" t="inlineStr">
        <is>
          <t>质量赔偿</t>
        </is>
      </c>
      <c r="D161" s="7" t="n">
        <v>601.6</v>
      </c>
      <c r="F161" s="7" t="n">
        <v>325</v>
      </c>
      <c r="H161" s="7" t="n">
        <v>980.6</v>
      </c>
      <c r="J161" s="7" t="n">
        <v>439.1</v>
      </c>
      <c r="L161" s="7" t="n">
        <v>1779.6</v>
      </c>
      <c r="N161" s="7" t="n">
        <v>914.2</v>
      </c>
      <c r="P161" s="7" t="n">
        <v>1276.4</v>
      </c>
      <c r="R161" s="7" t="n">
        <v>686</v>
      </c>
      <c r="T161" s="7" t="n">
        <v>1018.4</v>
      </c>
      <c r="V161" s="7" t="n">
        <v>888.2</v>
      </c>
      <c r="X161" s="7" t="n">
        <v>380.1</v>
      </c>
      <c r="Z161" s="7" t="n">
        <v>609.7</v>
      </c>
      <c r="AB161" s="7" t="n">
        <v>9898.9</v>
      </c>
    </row>
    <row r="162">
      <c r="A162" s="4" t="inlineStr">
        <is>
          <t>保险费</t>
        </is>
      </c>
      <c r="D162" s="7" t="n">
        <v>63.4</v>
      </c>
      <c r="F162" s="7" t="n">
        <v>36.4</v>
      </c>
      <c r="H162" s="7" t="n">
        <v>71.90000000000001</v>
      </c>
      <c r="J162" s="7" t="n">
        <v>53.7</v>
      </c>
      <c r="L162" s="7" t="n">
        <v>143.4</v>
      </c>
      <c r="N162" s="7" t="n">
        <v>63.6</v>
      </c>
      <c r="P162" s="7" t="n">
        <v>95.2</v>
      </c>
      <c r="R162" s="7" t="n">
        <v>52.5</v>
      </c>
      <c r="T162" s="7" t="n">
        <v>93.8</v>
      </c>
      <c r="V162" s="7" t="n">
        <v>75.59999999999999</v>
      </c>
      <c r="X162" s="7" t="n">
        <v>46.1</v>
      </c>
      <c r="Z162" s="7" t="n">
        <v>62.8</v>
      </c>
      <c r="AB162" s="7" t="n">
        <v>858.4</v>
      </c>
    </row>
    <row r="163">
      <c r="A163" s="4" t="inlineStr">
        <is>
          <t>清洁费</t>
        </is>
      </c>
      <c r="D163" s="7" t="n">
        <v>604.2</v>
      </c>
      <c r="F163" s="7" t="n">
        <v>445</v>
      </c>
      <c r="H163" s="7" t="n">
        <v>1002.2</v>
      </c>
      <c r="J163" s="7" t="n">
        <v>692.6</v>
      </c>
      <c r="L163" s="7" t="n">
        <v>1422.7</v>
      </c>
      <c r="N163" s="7" t="n">
        <v>940</v>
      </c>
      <c r="P163" s="7" t="n">
        <v>1182.8</v>
      </c>
      <c r="R163" s="7" t="n">
        <v>721.4</v>
      </c>
      <c r="T163" s="7" t="n">
        <v>955</v>
      </c>
      <c r="V163" s="7" t="n">
        <v>932.2</v>
      </c>
      <c r="X163" s="7" t="n">
        <v>381.1</v>
      </c>
      <c r="Z163" s="7" t="n">
        <v>957.6</v>
      </c>
      <c r="AB163" s="7" t="n">
        <v>10236.8</v>
      </c>
    </row>
    <row r="164">
      <c r="A164" s="4" t="inlineStr">
        <is>
          <t>低值易耗品</t>
        </is>
      </c>
      <c r="D164" s="7" t="n">
        <v>15.2</v>
      </c>
      <c r="F164" s="7" t="n">
        <v>13.5</v>
      </c>
      <c r="H164" s="7" t="n">
        <v>26.4</v>
      </c>
      <c r="J164" s="7" t="n">
        <v>17.9</v>
      </c>
      <c r="L164" s="7" t="n">
        <v>45.7</v>
      </c>
      <c r="N164" s="7" t="n">
        <v>19.5</v>
      </c>
      <c r="P164" s="7" t="n">
        <v>54.7</v>
      </c>
      <c r="R164" s="7" t="n">
        <v>24.1</v>
      </c>
      <c r="T164" s="7" t="n">
        <v>21.4</v>
      </c>
      <c r="V164" s="7" t="n">
        <v>25.6</v>
      </c>
      <c r="X164" s="7" t="n">
        <v>19.2</v>
      </c>
      <c r="Z164" s="7" t="n">
        <v>27.6</v>
      </c>
      <c r="AB164" s="7" t="n">
        <v>310.8</v>
      </c>
    </row>
    <row r="165">
      <c r="A165" s="4" t="inlineStr">
        <is>
          <t>物料消耗</t>
        </is>
      </c>
      <c r="D165" s="7" t="n">
        <v>168.3</v>
      </c>
      <c r="F165" s="7" t="n">
        <v>89.2</v>
      </c>
      <c r="H165" s="7" t="n">
        <v>181.6</v>
      </c>
      <c r="J165" s="7" t="n">
        <v>117.9</v>
      </c>
      <c r="L165" s="7" t="n">
        <v>337.4</v>
      </c>
      <c r="N165" s="7" t="n">
        <v>128.3</v>
      </c>
      <c r="P165" s="7" t="n">
        <v>260.2</v>
      </c>
      <c r="R165" s="7" t="n">
        <v>134.6</v>
      </c>
      <c r="T165" s="7" t="n">
        <v>163.2</v>
      </c>
      <c r="V165" s="7" t="n">
        <v>251.5</v>
      </c>
      <c r="X165" s="7" t="n">
        <v>119.3</v>
      </c>
      <c r="Z165" s="7" t="n">
        <v>127.9</v>
      </c>
      <c r="AB165" s="7" t="n">
        <v>2079.4</v>
      </c>
    </row>
    <row r="166">
      <c r="A166" s="4" t="inlineStr">
        <is>
          <t>盘盈盘亏</t>
        </is>
      </c>
      <c r="D166" s="7" t="n">
        <v>247</v>
      </c>
      <c r="F166" s="7" t="n">
        <v>176.1</v>
      </c>
      <c r="H166" s="7" t="n">
        <v>328.1</v>
      </c>
      <c r="J166" s="7" t="n">
        <v>240.9</v>
      </c>
      <c r="L166" s="7" t="n">
        <v>637.6</v>
      </c>
      <c r="N166" s="7" t="n">
        <v>416.7</v>
      </c>
      <c r="P166" s="7" t="n">
        <v>731.6</v>
      </c>
      <c r="R166" s="7" t="n">
        <v>260</v>
      </c>
      <c r="T166" s="7" t="n">
        <v>436.6</v>
      </c>
      <c r="V166" s="7" t="n">
        <v>452.1</v>
      </c>
      <c r="X166" s="7" t="n">
        <v>169.3</v>
      </c>
      <c r="Z166" s="7" t="n">
        <v>265</v>
      </c>
      <c r="AB166" s="7" t="n">
        <v>4361</v>
      </c>
    </row>
    <row r="167">
      <c r="A167" s="4" t="inlineStr">
        <is>
          <t>平台服务费</t>
        </is>
      </c>
      <c r="D167" s="7" t="n">
        <v>391.8</v>
      </c>
      <c r="F167" s="7" t="n">
        <v>233.1</v>
      </c>
      <c r="H167" s="7" t="n">
        <v>669.1</v>
      </c>
      <c r="J167" s="7" t="n">
        <v>430.3</v>
      </c>
      <c r="L167" s="7" t="n">
        <v>844.1</v>
      </c>
      <c r="N167" s="7" t="n">
        <v>436.6</v>
      </c>
      <c r="P167" s="7" t="n">
        <v>724.4</v>
      </c>
      <c r="R167" s="7" t="n">
        <v>433.5</v>
      </c>
      <c r="T167" s="7" t="n">
        <v>536.2</v>
      </c>
      <c r="V167" s="7" t="n">
        <v>541.3</v>
      </c>
      <c r="X167" s="7" t="n">
        <v>302.6</v>
      </c>
      <c r="Z167" s="7" t="n">
        <v>440</v>
      </c>
      <c r="AB167" s="7" t="n">
        <v>5983</v>
      </c>
    </row>
    <row r="168">
      <c r="A168" s="4" t="inlineStr">
        <is>
          <t>无形资产摊销</t>
        </is>
      </c>
      <c r="D168" s="7" t="n">
        <v>779.1</v>
      </c>
      <c r="F168" s="7" t="n">
        <v>338.6</v>
      </c>
      <c r="H168" s="7" t="n">
        <v>1079</v>
      </c>
      <c r="J168" s="7" t="n">
        <v>514.5</v>
      </c>
      <c r="L168" s="7" t="n">
        <v>1187.5</v>
      </c>
      <c r="N168" s="7" t="n">
        <v>583.9</v>
      </c>
      <c r="P168" s="7" t="n">
        <v>1534.8</v>
      </c>
      <c r="R168" s="7" t="n">
        <v>856.7</v>
      </c>
      <c r="T168" s="7" t="n">
        <v>1184.6</v>
      </c>
      <c r="V168" s="7" t="n">
        <v>966.5</v>
      </c>
      <c r="X168" s="7" t="n">
        <v>565.2</v>
      </c>
      <c r="Z168" s="7" t="n">
        <v>606.5</v>
      </c>
      <c r="AB168" s="7" t="n">
        <v>10196.9</v>
      </c>
    </row>
    <row r="169">
      <c r="A169" s="4" t="inlineStr">
        <is>
          <t>研发材料</t>
        </is>
      </c>
      <c r="D169" s="7" t="n">
        <v>539.6</v>
      </c>
      <c r="F169" s="7" t="n">
        <v>246.5</v>
      </c>
      <c r="H169" s="7" t="n">
        <v>540.5</v>
      </c>
      <c r="J169" s="7" t="n">
        <v>340.8</v>
      </c>
      <c r="L169" s="7" t="n">
        <v>828.5</v>
      </c>
      <c r="N169" s="7" t="n">
        <v>515.4</v>
      </c>
      <c r="P169" s="7" t="n">
        <v>1056.2</v>
      </c>
      <c r="R169" s="7" t="n">
        <v>454.8</v>
      </c>
      <c r="T169" s="7" t="n">
        <v>733</v>
      </c>
      <c r="V169" s="7" t="n">
        <v>807</v>
      </c>
      <c r="X169" s="7" t="n">
        <v>338</v>
      </c>
      <c r="Z169" s="7" t="n">
        <v>505.9</v>
      </c>
      <c r="AB169" s="7" t="n">
        <v>6906.2</v>
      </c>
    </row>
    <row r="170">
      <c r="A170" s="4" t="inlineStr">
        <is>
          <t>项目名称</t>
        </is>
      </c>
      <c r="D170" s="7" t="n">
        <v>283.6</v>
      </c>
      <c r="F170" s="7" t="n">
        <v>97.7</v>
      </c>
      <c r="H170" s="7" t="n">
        <v>369</v>
      </c>
      <c r="J170" s="7" t="n">
        <v>168.8</v>
      </c>
      <c r="L170" s="7" t="n">
        <v>469.3</v>
      </c>
      <c r="N170" s="7" t="n">
        <v>288.3</v>
      </c>
      <c r="P170" s="7" t="n">
        <v>531.8</v>
      </c>
      <c r="R170" s="7" t="n">
        <v>184.8</v>
      </c>
      <c r="T170" s="7" t="n">
        <v>436</v>
      </c>
      <c r="V170" s="7" t="n">
        <v>243.7</v>
      </c>
      <c r="X170" s="7" t="n">
        <v>218.1</v>
      </c>
      <c r="Z170" s="7" t="n">
        <v>252.8</v>
      </c>
      <c r="AB170" s="7" t="n">
        <v>3543.9</v>
      </c>
    </row>
    <row r="171">
      <c r="A171" s="4" t="inlineStr">
        <is>
          <t>研发费</t>
        </is>
      </c>
      <c r="D171" s="7" t="n">
        <v>293.5</v>
      </c>
      <c r="F171" s="7" t="n">
        <v>184.4</v>
      </c>
      <c r="H171" s="7" t="n">
        <v>367.1</v>
      </c>
      <c r="J171" s="7" t="n">
        <v>210.5</v>
      </c>
      <c r="L171" s="7" t="n">
        <v>625.5</v>
      </c>
      <c r="N171" s="7" t="n">
        <v>416</v>
      </c>
      <c r="P171" s="7" t="n">
        <v>622.2</v>
      </c>
      <c r="R171" s="7" t="n">
        <v>421.3</v>
      </c>
      <c r="T171" s="7" t="n">
        <v>366.5</v>
      </c>
      <c r="V171" s="7" t="n">
        <v>502.8</v>
      </c>
      <c r="X171" s="7" t="n">
        <v>293.1</v>
      </c>
      <c r="Z171" s="7" t="n">
        <v>402.8</v>
      </c>
      <c r="AB171" s="7" t="n">
        <v>4705.7</v>
      </c>
    </row>
    <row r="172">
      <c r="A172" s="4" t="inlineStr">
        <is>
          <t>残保金</t>
        </is>
      </c>
      <c r="D172" s="7" t="n">
        <v>52.7</v>
      </c>
      <c r="F172" s="7" t="n">
        <v>28.6</v>
      </c>
      <c r="H172" s="7" t="n">
        <v>69.2</v>
      </c>
      <c r="J172" s="7" t="n">
        <v>33.9</v>
      </c>
      <c r="L172" s="7" t="n">
        <v>84.2</v>
      </c>
      <c r="N172" s="7" t="n">
        <v>55.7</v>
      </c>
      <c r="P172" s="7" t="n">
        <v>83.59999999999999</v>
      </c>
      <c r="R172" s="7" t="n">
        <v>41.4</v>
      </c>
      <c r="T172" s="7" t="n">
        <v>56.1</v>
      </c>
      <c r="V172" s="7" t="n">
        <v>53</v>
      </c>
      <c r="X172" s="7" t="n">
        <v>42.3</v>
      </c>
      <c r="Z172" s="7" t="n">
        <v>57.4</v>
      </c>
      <c r="AB172" s="7" t="n">
        <v>658.1</v>
      </c>
    </row>
    <row r="173">
      <c r="A173" s="4" t="inlineStr">
        <is>
          <t>环保费</t>
        </is>
      </c>
      <c r="D173" s="7" t="n">
        <v>583.7</v>
      </c>
      <c r="F173" s="7" t="n">
        <v>298.3</v>
      </c>
      <c r="H173" s="7" t="n">
        <v>1051.5</v>
      </c>
      <c r="J173" s="7" t="n">
        <v>644.2</v>
      </c>
      <c r="L173" s="7" t="n">
        <v>1580.8</v>
      </c>
      <c r="N173" s="7" t="n">
        <v>607.9</v>
      </c>
      <c r="P173" s="7" t="n">
        <v>1318.8</v>
      </c>
      <c r="R173" s="7" t="n">
        <v>860.5</v>
      </c>
      <c r="T173" s="7" t="n">
        <v>992.1</v>
      </c>
      <c r="V173" s="7" t="n">
        <v>1101</v>
      </c>
      <c r="X173" s="7" t="n">
        <v>508.5</v>
      </c>
      <c r="Z173" s="7" t="n">
        <v>484.8</v>
      </c>
      <c r="AB173" s="7" t="n">
        <v>10032.1</v>
      </c>
    </row>
    <row r="174">
      <c r="A174" s="4" t="inlineStr">
        <is>
          <t>报废损失</t>
        </is>
      </c>
      <c r="D174" s="7" t="n">
        <v>766.9</v>
      </c>
      <c r="F174" s="7" t="n">
        <v>369.5</v>
      </c>
      <c r="H174" s="7" t="n">
        <v>1571.7</v>
      </c>
      <c r="J174" s="7" t="n">
        <v>862.5</v>
      </c>
      <c r="L174" s="7" t="n">
        <v>1408.2</v>
      </c>
      <c r="N174" s="7" t="n">
        <v>1304.9</v>
      </c>
      <c r="P174" s="7" t="n">
        <v>2422.9</v>
      </c>
      <c r="R174" s="7" t="n">
        <v>1025.5</v>
      </c>
      <c r="T174" s="7" t="n">
        <v>1550.4</v>
      </c>
      <c r="V174" s="7" t="n">
        <v>1182.6</v>
      </c>
      <c r="X174" s="7" t="n">
        <v>643</v>
      </c>
      <c r="Z174" s="7" t="n">
        <v>748.6</v>
      </c>
      <c r="AB174" s="7" t="n">
        <v>13856.7</v>
      </c>
    </row>
    <row r="175">
      <c r="A175" s="6" t="inlineStr">
        <is>
          <t>研发费用</t>
        </is>
      </c>
      <c r="B175" s="3" t="inlineStr">
        <is>
          <t>8</t>
        </is>
      </c>
      <c r="C175" s="7" t="n">
        <v>109864.7</v>
      </c>
      <c r="D175" s="7" t="n">
        <v>71639</v>
      </c>
      <c r="E175" s="7" t="n">
        <v>94465.89999999999</v>
      </c>
      <c r="F175" s="7" t="n">
        <v>69490.7</v>
      </c>
      <c r="G175" s="7" t="n">
        <v>84967.3</v>
      </c>
      <c r="H175" s="7" t="n">
        <v>88872.7</v>
      </c>
      <c r="I175" s="7" t="n">
        <v>104054.4</v>
      </c>
      <c r="J175" s="7" t="n">
        <v>112744.6</v>
      </c>
      <c r="K175" s="7" t="n">
        <v>96468.7</v>
      </c>
      <c r="L175" s="7" t="n">
        <v>147664.6</v>
      </c>
      <c r="M175" s="7" t="n">
        <v>95145</v>
      </c>
      <c r="N175" s="7" t="n">
        <v>172394</v>
      </c>
      <c r="O175" s="7" t="n">
        <v>85449.39999999999</v>
      </c>
      <c r="P175" s="7" t="n">
        <v>58821.4</v>
      </c>
      <c r="Q175" s="7" t="n">
        <v>101504.3</v>
      </c>
      <c r="R175" s="7" t="n">
        <v>48576.2</v>
      </c>
      <c r="S175" s="7" t="n">
        <v>101652.5</v>
      </c>
      <c r="T175" s="7" t="n">
        <v>128704.9</v>
      </c>
      <c r="U175" s="7" t="n">
        <v>97658.3</v>
      </c>
      <c r="V175" s="7" t="n">
        <v>109977.4</v>
      </c>
      <c r="W175" s="7" t="n">
        <v>102266.3</v>
      </c>
      <c r="X175" s="7" t="n">
        <v>103532.1</v>
      </c>
      <c r="Y175" s="7" t="n">
        <v>90928.89999999999</v>
      </c>
      <c r="Z175" s="7" t="n">
        <v>55584.6</v>
      </c>
      <c r="AA175" s="8" t="n">
        <v>1164425.7</v>
      </c>
      <c r="AB175" s="8" t="n">
        <v>1168002.2</v>
      </c>
    </row>
    <row r="176">
      <c r="A176" s="4" t="inlineStr">
        <is>
          <t>职工薪酬</t>
        </is>
      </c>
      <c r="D176" s="7" t="n">
        <v>45169.7</v>
      </c>
      <c r="F176" s="7" t="n">
        <v>37851.7</v>
      </c>
      <c r="H176" s="7" t="n">
        <v>35875.8</v>
      </c>
      <c r="J176" s="7" t="n">
        <v>61815.3</v>
      </c>
      <c r="L176" s="7" t="n">
        <v>68434.5</v>
      </c>
      <c r="N176" s="7" t="n">
        <v>94016.7</v>
      </c>
      <c r="P176" s="7" t="n">
        <v>32341.6</v>
      </c>
      <c r="R176" s="7" t="n">
        <v>26855.1</v>
      </c>
      <c r="T176" s="7" t="n">
        <v>50734.4</v>
      </c>
      <c r="V176" s="7" t="n">
        <v>48812.3</v>
      </c>
      <c r="X176" s="7" t="n">
        <v>53635</v>
      </c>
      <c r="Z176" s="7" t="n">
        <v>28970.6</v>
      </c>
      <c r="AB176" s="7" t="n">
        <v>584512.7</v>
      </c>
    </row>
    <row r="177">
      <c r="A177" s="4" t="inlineStr">
        <is>
          <t>工资</t>
        </is>
      </c>
      <c r="D177" s="7" t="n">
        <v>27654.9</v>
      </c>
      <c r="F177" s="7" t="n">
        <v>21925</v>
      </c>
      <c r="H177" s="7" t="n">
        <v>18931.6</v>
      </c>
      <c r="J177" s="7" t="n">
        <v>36703.2</v>
      </c>
      <c r="L177" s="7" t="n">
        <v>32811.6</v>
      </c>
      <c r="N177" s="7" t="n">
        <v>58493.2</v>
      </c>
      <c r="P177" s="7" t="n">
        <v>19778.6</v>
      </c>
      <c r="R177" s="7" t="n">
        <v>16248.6</v>
      </c>
      <c r="T177" s="7" t="n">
        <v>27111.6</v>
      </c>
      <c r="V177" s="7" t="n">
        <v>26668</v>
      </c>
      <c r="X177" s="7" t="n">
        <v>34868.3</v>
      </c>
      <c r="Z177" s="7" t="n">
        <v>16639.2</v>
      </c>
      <c r="AB177" s="7" t="n">
        <v>337833.8</v>
      </c>
    </row>
    <row r="178">
      <c r="A178" s="4" t="inlineStr">
        <is>
          <t>奖金及提成</t>
        </is>
      </c>
      <c r="D178" s="7" t="n">
        <v>8918.799999999999</v>
      </c>
      <c r="F178" s="7" t="n">
        <v>8430.700000000001</v>
      </c>
      <c r="H178" s="7" t="n">
        <v>7903.7</v>
      </c>
      <c r="J178" s="7" t="n">
        <v>13562.1</v>
      </c>
      <c r="L178" s="7" t="n">
        <v>16364.9</v>
      </c>
      <c r="N178" s="7" t="n">
        <v>18513.1</v>
      </c>
      <c r="P178" s="7" t="n">
        <v>5608</v>
      </c>
      <c r="R178" s="7" t="n">
        <v>6066.1</v>
      </c>
      <c r="T178" s="7" t="n">
        <v>9527.4</v>
      </c>
      <c r="V178" s="7" t="n">
        <v>8060</v>
      </c>
      <c r="X178" s="7" t="n">
        <v>7664.9</v>
      </c>
      <c r="Z178" s="7" t="n">
        <v>6811.3</v>
      </c>
      <c r="AB178" s="7" t="n">
        <v>117431</v>
      </c>
    </row>
    <row r="179">
      <c r="A179" s="4" t="inlineStr">
        <is>
          <t>社保</t>
        </is>
      </c>
      <c r="D179" s="7" t="n">
        <v>5840.9</v>
      </c>
      <c r="F179" s="7" t="n">
        <v>5146</v>
      </c>
      <c r="H179" s="7" t="n">
        <v>6292.2</v>
      </c>
      <c r="J179" s="7" t="n">
        <v>7978</v>
      </c>
      <c r="L179" s="7" t="n">
        <v>14418.8</v>
      </c>
      <c r="N179" s="7" t="n">
        <v>11418.4</v>
      </c>
      <c r="P179" s="7" t="n">
        <v>4962</v>
      </c>
      <c r="R179" s="7" t="n">
        <v>2930.8</v>
      </c>
      <c r="T179" s="7" t="n">
        <v>10010.9</v>
      </c>
      <c r="V179" s="7" t="n">
        <v>10068.6</v>
      </c>
      <c r="X179" s="7" t="n">
        <v>7485.4</v>
      </c>
      <c r="Z179" s="7" t="n">
        <v>3809.5</v>
      </c>
      <c r="AB179" s="7" t="n">
        <v>90361.5</v>
      </c>
    </row>
    <row r="180">
      <c r="A180" s="4" t="inlineStr">
        <is>
          <t>养老</t>
        </is>
      </c>
      <c r="D180" s="7" t="n">
        <v>123.9</v>
      </c>
      <c r="F180" s="7" t="n">
        <v>105.9</v>
      </c>
      <c r="H180" s="7" t="n">
        <v>141.7</v>
      </c>
      <c r="J180" s="7" t="n">
        <v>235.3</v>
      </c>
      <c r="L180" s="7" t="n">
        <v>251.9</v>
      </c>
      <c r="N180" s="7" t="n">
        <v>240.2</v>
      </c>
      <c r="P180" s="7" t="n">
        <v>142.9</v>
      </c>
      <c r="R180" s="7" t="n">
        <v>116.7</v>
      </c>
      <c r="T180" s="7" t="n">
        <v>202</v>
      </c>
      <c r="V180" s="7" t="n">
        <v>244.5</v>
      </c>
      <c r="X180" s="7" t="n">
        <v>237.7</v>
      </c>
      <c r="Z180" s="7" t="n">
        <v>107.8</v>
      </c>
      <c r="AB180" s="7" t="n">
        <v>2150.5</v>
      </c>
    </row>
    <row r="181">
      <c r="A181" s="4" t="inlineStr">
        <is>
          <t>医疗</t>
        </is>
      </c>
      <c r="D181" s="7" t="n">
        <v>96.90000000000001</v>
      </c>
      <c r="F181" s="7" t="n">
        <v>77</v>
      </c>
      <c r="H181" s="7" t="n">
        <v>164.3</v>
      </c>
      <c r="J181" s="7" t="n">
        <v>185</v>
      </c>
      <c r="L181" s="7" t="n">
        <v>251.9</v>
      </c>
      <c r="N181" s="7" t="n">
        <v>240.8</v>
      </c>
      <c r="P181" s="7" t="n">
        <v>77.09999999999999</v>
      </c>
      <c r="R181" s="7" t="n">
        <v>87.7</v>
      </c>
      <c r="T181" s="7" t="n">
        <v>190.1</v>
      </c>
      <c r="V181" s="7" t="n">
        <v>143.4</v>
      </c>
      <c r="X181" s="7" t="n">
        <v>126</v>
      </c>
      <c r="Z181" s="7" t="n">
        <v>105.4</v>
      </c>
      <c r="AB181" s="7" t="n">
        <v>1745.6</v>
      </c>
    </row>
    <row r="182">
      <c r="A182" s="4" t="inlineStr">
        <is>
          <t>工伤</t>
        </is>
      </c>
      <c r="D182" s="7" t="n">
        <v>321.9</v>
      </c>
      <c r="F182" s="7" t="n">
        <v>462.4</v>
      </c>
      <c r="H182" s="7" t="n">
        <v>377.5</v>
      </c>
      <c r="J182" s="7" t="n">
        <v>620.2</v>
      </c>
      <c r="L182" s="7" t="n">
        <v>822.2</v>
      </c>
      <c r="N182" s="7" t="n">
        <v>893.7</v>
      </c>
      <c r="P182" s="7" t="n">
        <v>448.9</v>
      </c>
      <c r="R182" s="7" t="n">
        <v>278.3</v>
      </c>
      <c r="T182" s="7" t="n">
        <v>690.8</v>
      </c>
      <c r="V182" s="7" t="n">
        <v>787.6</v>
      </c>
      <c r="X182" s="7" t="n">
        <v>567.3</v>
      </c>
      <c r="Z182" s="7" t="n">
        <v>425.4</v>
      </c>
      <c r="AB182" s="7" t="n">
        <v>6696.2</v>
      </c>
    </row>
    <row r="183">
      <c r="A183" s="4" t="inlineStr">
        <is>
          <t>失业</t>
        </is>
      </c>
      <c r="D183" s="7" t="n">
        <v>512.3</v>
      </c>
      <c r="F183" s="7" t="n">
        <v>391.7</v>
      </c>
      <c r="H183" s="7" t="n">
        <v>436.6</v>
      </c>
      <c r="J183" s="7" t="n">
        <v>533.6</v>
      </c>
      <c r="L183" s="7" t="n">
        <v>933.4</v>
      </c>
      <c r="N183" s="7" t="n">
        <v>948.5</v>
      </c>
      <c r="P183" s="7" t="n">
        <v>442.5</v>
      </c>
      <c r="R183" s="7" t="n">
        <v>352.9</v>
      </c>
      <c r="T183" s="7" t="n">
        <v>580.2</v>
      </c>
      <c r="V183" s="7" t="n">
        <v>706.1</v>
      </c>
      <c r="X183" s="7" t="n">
        <v>560.4</v>
      </c>
      <c r="Z183" s="7" t="n">
        <v>420.1</v>
      </c>
      <c r="AB183" s="7" t="n">
        <v>6818.3</v>
      </c>
    </row>
    <row r="184">
      <c r="A184" s="4" t="inlineStr">
        <is>
          <t>生育</t>
        </is>
      </c>
      <c r="D184" s="7" t="n">
        <v>278</v>
      </c>
      <c r="F184" s="7" t="n">
        <v>290.2</v>
      </c>
      <c r="H184" s="7" t="n">
        <v>600.7</v>
      </c>
      <c r="J184" s="7" t="n">
        <v>755.5</v>
      </c>
      <c r="L184" s="7" t="n">
        <v>690.2</v>
      </c>
      <c r="N184" s="7" t="n">
        <v>1062.8</v>
      </c>
      <c r="P184" s="7" t="n">
        <v>368.5</v>
      </c>
      <c r="R184" s="7" t="n">
        <v>324.6</v>
      </c>
      <c r="T184" s="7" t="n">
        <v>513.3</v>
      </c>
      <c r="V184" s="7" t="n">
        <v>558.9</v>
      </c>
      <c r="X184" s="7" t="n">
        <v>622.2</v>
      </c>
      <c r="Z184" s="7" t="n">
        <v>233.4</v>
      </c>
      <c r="AB184" s="7" t="n">
        <v>6298.3</v>
      </c>
    </row>
    <row r="185">
      <c r="A185" s="4" t="inlineStr">
        <is>
          <t>公积金</t>
        </is>
      </c>
      <c r="D185" s="7" t="n">
        <v>319.9</v>
      </c>
      <c r="F185" s="7" t="n">
        <v>185.9</v>
      </c>
      <c r="H185" s="7" t="n">
        <v>260.9</v>
      </c>
      <c r="J185" s="7" t="n">
        <v>405.5</v>
      </c>
      <c r="L185" s="7" t="n">
        <v>663.1</v>
      </c>
      <c r="N185" s="7" t="n">
        <v>459.2</v>
      </c>
      <c r="P185" s="7" t="n">
        <v>256.3</v>
      </c>
      <c r="R185" s="7" t="n">
        <v>198.7</v>
      </c>
      <c r="T185" s="7" t="n">
        <v>517.4</v>
      </c>
      <c r="V185" s="7" t="n">
        <v>502.7</v>
      </c>
      <c r="X185" s="7" t="n">
        <v>466.2</v>
      </c>
      <c r="Z185" s="7" t="n">
        <v>144.9</v>
      </c>
      <c r="AB185" s="7" t="n">
        <v>4380.7</v>
      </c>
    </row>
    <row r="186">
      <c r="A186" s="4" t="inlineStr">
        <is>
          <t>工会经费</t>
        </is>
      </c>
      <c r="D186" s="7" t="n">
        <v>112.9</v>
      </c>
      <c r="F186" s="7" t="n">
        <v>100.7</v>
      </c>
      <c r="H186" s="7" t="n">
        <v>168.9</v>
      </c>
      <c r="J186" s="7" t="n">
        <v>246.1</v>
      </c>
      <c r="L186" s="7" t="n">
        <v>201</v>
      </c>
      <c r="N186" s="7" t="n">
        <v>364.5</v>
      </c>
      <c r="P186" s="7" t="n">
        <v>75.90000000000001</v>
      </c>
      <c r="R186" s="7" t="n">
        <v>87.59999999999999</v>
      </c>
      <c r="T186" s="7" t="n">
        <v>200.9</v>
      </c>
      <c r="V186" s="7" t="n">
        <v>182.1</v>
      </c>
      <c r="X186" s="7" t="n">
        <v>211.2</v>
      </c>
      <c r="Z186" s="7" t="n">
        <v>121.1</v>
      </c>
      <c r="AB186" s="7" t="n">
        <v>2072.9</v>
      </c>
    </row>
    <row r="187">
      <c r="A187" s="4" t="inlineStr">
        <is>
          <t>职工教育经费</t>
        </is>
      </c>
      <c r="D187" s="7" t="n">
        <v>479.2</v>
      </c>
      <c r="F187" s="7" t="n">
        <v>440.5</v>
      </c>
      <c r="H187" s="7" t="n">
        <v>375.6</v>
      </c>
      <c r="J187" s="7" t="n">
        <v>462.1</v>
      </c>
      <c r="L187" s="7" t="n">
        <v>728.8</v>
      </c>
      <c r="N187" s="7" t="n">
        <v>941.5</v>
      </c>
      <c r="P187" s="7" t="n">
        <v>266.6</v>
      </c>
      <c r="R187" s="7" t="n">
        <v>203.5</v>
      </c>
      <c r="T187" s="7" t="n">
        <v>537.8</v>
      </c>
      <c r="V187" s="7" t="n">
        <v>692.8</v>
      </c>
      <c r="X187" s="7" t="n">
        <v>432.9</v>
      </c>
      <c r="Z187" s="7" t="n">
        <v>262.3</v>
      </c>
      <c r="AB187" s="7" t="n">
        <v>5823.6</v>
      </c>
    </row>
    <row r="188">
      <c r="A188" s="4" t="inlineStr">
        <is>
          <t>福利费</t>
        </is>
      </c>
      <c r="D188" s="7" t="n">
        <v>1843.1</v>
      </c>
      <c r="F188" s="7" t="n">
        <v>1622.9</v>
      </c>
      <c r="H188" s="7" t="n">
        <v>1942.9</v>
      </c>
      <c r="J188" s="7" t="n">
        <v>2458.3</v>
      </c>
      <c r="L188" s="7" t="n">
        <v>3246.3</v>
      </c>
      <c r="N188" s="7" t="n">
        <v>3826.8</v>
      </c>
      <c r="P188" s="7" t="n">
        <v>1394.2</v>
      </c>
      <c r="R188" s="7" t="n">
        <v>1119.8</v>
      </c>
      <c r="T188" s="7" t="n">
        <v>2828.4</v>
      </c>
      <c r="V188" s="7" t="n">
        <v>2638.1</v>
      </c>
      <c r="X188" s="7" t="n">
        <v>2506.1</v>
      </c>
      <c r="Z188" s="7" t="n">
        <v>1182.3</v>
      </c>
      <c r="AB188" s="7" t="n">
        <v>26609.2</v>
      </c>
    </row>
    <row r="189">
      <c r="A189" s="4" t="inlineStr">
        <is>
          <t>职工房租</t>
        </is>
      </c>
      <c r="D189" s="7" t="n">
        <v>413.6</v>
      </c>
      <c r="F189" s="7" t="n">
        <v>347.2</v>
      </c>
      <c r="H189" s="7" t="n">
        <v>511.7</v>
      </c>
      <c r="J189" s="7" t="n">
        <v>497.2</v>
      </c>
      <c r="L189" s="7" t="n">
        <v>736.8</v>
      </c>
      <c r="N189" s="7" t="n">
        <v>710</v>
      </c>
      <c r="P189" s="7" t="n">
        <v>318.9</v>
      </c>
      <c r="R189" s="7" t="n">
        <v>202.3</v>
      </c>
      <c r="T189" s="7" t="n">
        <v>567.5</v>
      </c>
      <c r="V189" s="7" t="n">
        <v>618.2</v>
      </c>
      <c r="X189" s="7" t="n">
        <v>463.8</v>
      </c>
      <c r="Z189" s="7" t="n">
        <v>298.4</v>
      </c>
      <c r="AB189" s="7" t="n">
        <v>5685.6</v>
      </c>
    </row>
    <row r="190">
      <c r="A190" s="4" t="inlineStr">
        <is>
          <t>水电物业费</t>
        </is>
      </c>
      <c r="D190" s="7" t="n">
        <v>185.5</v>
      </c>
      <c r="F190" s="7" t="n">
        <v>122.8</v>
      </c>
      <c r="H190" s="7" t="n">
        <v>208.2</v>
      </c>
      <c r="J190" s="7" t="n">
        <v>258.6</v>
      </c>
      <c r="L190" s="7" t="n">
        <v>239.6</v>
      </c>
      <c r="N190" s="7" t="n">
        <v>364.1</v>
      </c>
      <c r="P190" s="7" t="n">
        <v>92.5</v>
      </c>
      <c r="R190" s="7" t="n">
        <v>122.9</v>
      </c>
      <c r="T190" s="7" t="n">
        <v>313.1</v>
      </c>
      <c r="V190" s="7" t="n">
        <v>233.2</v>
      </c>
      <c r="X190" s="7" t="n">
        <v>187.6</v>
      </c>
      <c r="Z190" s="7" t="n">
        <v>81.59999999999999</v>
      </c>
      <c r="AB190" s="7" t="n">
        <v>2409.7</v>
      </c>
    </row>
    <row r="191">
      <c r="A191" s="4" t="inlineStr">
        <is>
          <t>员工餐</t>
        </is>
      </c>
      <c r="D191" s="7" t="n">
        <v>108</v>
      </c>
      <c r="F191" s="7" t="n">
        <v>149.7</v>
      </c>
      <c r="H191" s="7" t="n">
        <v>203.9</v>
      </c>
      <c r="J191" s="7" t="n">
        <v>172.8</v>
      </c>
      <c r="L191" s="7" t="n">
        <v>282.7</v>
      </c>
      <c r="N191" s="7" t="n">
        <v>264.5</v>
      </c>
      <c r="P191" s="7" t="n">
        <v>132.2</v>
      </c>
      <c r="R191" s="7" t="n">
        <v>90.8</v>
      </c>
      <c r="T191" s="7" t="n">
        <v>280.8</v>
      </c>
      <c r="V191" s="7" t="n">
        <v>246.5</v>
      </c>
      <c r="X191" s="7" t="n">
        <v>157.5</v>
      </c>
      <c r="Z191" s="7" t="n">
        <v>82.2</v>
      </c>
      <c r="AB191" s="7" t="n">
        <v>2171.6</v>
      </c>
    </row>
    <row r="192">
      <c r="A192" s="4" t="inlineStr">
        <is>
          <t>节日礼品</t>
        </is>
      </c>
      <c r="D192" s="7" t="n">
        <v>426.4</v>
      </c>
      <c r="F192" s="7" t="n">
        <v>385.2</v>
      </c>
      <c r="H192" s="7" t="n">
        <v>446.2</v>
      </c>
      <c r="J192" s="7" t="n">
        <v>434.4</v>
      </c>
      <c r="L192" s="7" t="n">
        <v>801.7</v>
      </c>
      <c r="N192" s="7" t="n">
        <v>665</v>
      </c>
      <c r="P192" s="7" t="n">
        <v>332.6</v>
      </c>
      <c r="R192" s="7" t="n">
        <v>226.3</v>
      </c>
      <c r="T192" s="7" t="n">
        <v>499.3</v>
      </c>
      <c r="V192" s="7" t="n">
        <v>649.3</v>
      </c>
      <c r="X192" s="7" t="n">
        <v>642.2</v>
      </c>
      <c r="Z192" s="7" t="n">
        <v>217.4</v>
      </c>
      <c r="AB192" s="7" t="n">
        <v>5726</v>
      </c>
    </row>
    <row r="193">
      <c r="A193" s="4" t="inlineStr">
        <is>
          <t>生日礼品</t>
        </is>
      </c>
      <c r="D193" s="7" t="n">
        <v>46.7</v>
      </c>
      <c r="F193" s="7" t="n">
        <v>34.8</v>
      </c>
      <c r="H193" s="7" t="n">
        <v>52.8</v>
      </c>
      <c r="J193" s="7" t="n">
        <v>49.7</v>
      </c>
      <c r="L193" s="7" t="n">
        <v>94.8</v>
      </c>
      <c r="N193" s="7" t="n">
        <v>113.7</v>
      </c>
      <c r="P193" s="7" t="n">
        <v>33.6</v>
      </c>
      <c r="R193" s="7" t="n">
        <v>24.8</v>
      </c>
      <c r="T193" s="7" t="n">
        <v>55.6</v>
      </c>
      <c r="V193" s="7" t="n">
        <v>61.4</v>
      </c>
      <c r="X193" s="7" t="n">
        <v>61.3</v>
      </c>
      <c r="Z193" s="7" t="n">
        <v>30.5</v>
      </c>
      <c r="AB193" s="7" t="n">
        <v>659.7</v>
      </c>
    </row>
    <row r="194">
      <c r="A194" s="4" t="inlineStr">
        <is>
          <t>体检</t>
        </is>
      </c>
      <c r="D194" s="7" t="n">
        <v>422.6</v>
      </c>
      <c r="F194" s="7" t="n">
        <v>418.1</v>
      </c>
      <c r="H194" s="7" t="n">
        <v>329.3</v>
      </c>
      <c r="J194" s="7" t="n">
        <v>615.5</v>
      </c>
      <c r="L194" s="7" t="n">
        <v>606.6</v>
      </c>
      <c r="N194" s="7" t="n">
        <v>1066.5</v>
      </c>
      <c r="P194" s="7" t="n">
        <v>333.1</v>
      </c>
      <c r="R194" s="7" t="n">
        <v>321.5</v>
      </c>
      <c r="T194" s="7" t="n">
        <v>728.9</v>
      </c>
      <c r="V194" s="7" t="n">
        <v>574</v>
      </c>
      <c r="X194" s="7" t="n">
        <v>627.6</v>
      </c>
      <c r="Z194" s="7" t="n">
        <v>300.4</v>
      </c>
      <c r="AB194" s="7" t="n">
        <v>6344.1</v>
      </c>
    </row>
    <row r="195">
      <c r="A195" s="4" t="inlineStr">
        <is>
          <t>其他福利支出</t>
        </is>
      </c>
      <c r="D195" s="7" t="n">
        <v>240.3</v>
      </c>
      <c r="F195" s="7" t="n">
        <v>165.1</v>
      </c>
      <c r="H195" s="7" t="n">
        <v>190.8</v>
      </c>
      <c r="J195" s="7" t="n">
        <v>430.1</v>
      </c>
      <c r="L195" s="7" t="n">
        <v>484.1</v>
      </c>
      <c r="N195" s="7" t="n">
        <v>643</v>
      </c>
      <c r="P195" s="7" t="n">
        <v>151.3</v>
      </c>
      <c r="R195" s="7" t="n">
        <v>131.2</v>
      </c>
      <c r="T195" s="7" t="n">
        <v>383.2</v>
      </c>
      <c r="V195" s="7" t="n">
        <v>255.5</v>
      </c>
      <c r="X195" s="7" t="n">
        <v>366.1</v>
      </c>
      <c r="Z195" s="7" t="n">
        <v>171.8</v>
      </c>
      <c r="AB195" s="7" t="n">
        <v>3612.5</v>
      </c>
    </row>
    <row r="196">
      <c r="A196" s="4" t="inlineStr">
        <is>
          <t>招聘费</t>
        </is>
      </c>
      <c r="D196" s="7" t="n">
        <v>347.2</v>
      </c>
      <c r="F196" s="7" t="n">
        <v>389.4</v>
      </c>
      <c r="H196" s="7" t="n">
        <v>480.1</v>
      </c>
      <c r="J196" s="7" t="n">
        <v>563.7</v>
      </c>
      <c r="L196" s="7" t="n">
        <v>1028</v>
      </c>
      <c r="N196" s="7" t="n">
        <v>771.7</v>
      </c>
      <c r="P196" s="7" t="n">
        <v>400.7</v>
      </c>
      <c r="R196" s="7" t="n">
        <v>301.3</v>
      </c>
      <c r="T196" s="7" t="n">
        <v>995.1</v>
      </c>
      <c r="V196" s="7" t="n">
        <v>735.3</v>
      </c>
      <c r="X196" s="7" t="n">
        <v>716.7</v>
      </c>
      <c r="Z196" s="7" t="n">
        <v>269.9</v>
      </c>
      <c r="AB196" s="7" t="n">
        <v>6999.1</v>
      </c>
    </row>
    <row r="197">
      <c r="A197" s="4" t="inlineStr">
        <is>
          <t>办公费</t>
        </is>
      </c>
      <c r="D197" s="7" t="n">
        <v>2319.1</v>
      </c>
      <c r="F197" s="7" t="n">
        <v>2104.7</v>
      </c>
      <c r="H197" s="7" t="n">
        <v>1891.8</v>
      </c>
      <c r="J197" s="7" t="n">
        <v>3139</v>
      </c>
      <c r="L197" s="7" t="n">
        <v>3866.5</v>
      </c>
      <c r="N197" s="7" t="n">
        <v>3709.3</v>
      </c>
      <c r="P197" s="7" t="n">
        <v>2073.1</v>
      </c>
      <c r="R197" s="7" t="n">
        <v>1747.4</v>
      </c>
      <c r="T197" s="7" t="n">
        <v>3310.1</v>
      </c>
      <c r="V197" s="7" t="n">
        <v>3138</v>
      </c>
      <c r="X197" s="7" t="n">
        <v>2842.5</v>
      </c>
      <c r="Z197" s="7" t="n">
        <v>1467.9</v>
      </c>
      <c r="AB197" s="7" t="n">
        <v>31609.4</v>
      </c>
    </row>
    <row r="198">
      <c r="A198" s="4" t="inlineStr">
        <is>
          <t>市内交通费</t>
        </is>
      </c>
      <c r="D198" s="7" t="n">
        <v>217.6</v>
      </c>
      <c r="F198" s="7" t="n">
        <v>257.1</v>
      </c>
      <c r="H198" s="7" t="n">
        <v>310.2</v>
      </c>
      <c r="J198" s="7" t="n">
        <v>375.4</v>
      </c>
      <c r="L198" s="7" t="n">
        <v>417.9</v>
      </c>
      <c r="N198" s="7" t="n">
        <v>609.9</v>
      </c>
      <c r="P198" s="7" t="n">
        <v>131.4</v>
      </c>
      <c r="R198" s="7" t="n">
        <v>185.8</v>
      </c>
      <c r="T198" s="7" t="n">
        <v>435.2</v>
      </c>
      <c r="V198" s="7" t="n">
        <v>441.5</v>
      </c>
      <c r="X198" s="7" t="n">
        <v>340.3</v>
      </c>
      <c r="Z198" s="7" t="n">
        <v>156.2</v>
      </c>
      <c r="AB198" s="7" t="n">
        <v>3878.5</v>
      </c>
    </row>
    <row r="199">
      <c r="A199" s="4" t="inlineStr">
        <is>
          <t>差旅费</t>
        </is>
      </c>
      <c r="D199" s="7" t="n">
        <v>4020.2</v>
      </c>
      <c r="F199" s="7" t="n">
        <v>4639.3</v>
      </c>
      <c r="H199" s="7" t="n">
        <v>4386.1</v>
      </c>
      <c r="J199" s="7" t="n">
        <v>5115.9</v>
      </c>
      <c r="L199" s="7" t="n">
        <v>8269.4</v>
      </c>
      <c r="N199" s="7" t="n">
        <v>11131.9</v>
      </c>
      <c r="P199" s="7" t="n">
        <v>3221</v>
      </c>
      <c r="R199" s="7" t="n">
        <v>3448.4</v>
      </c>
      <c r="T199" s="7" t="n">
        <v>6427.5</v>
      </c>
      <c r="V199" s="7" t="n">
        <v>6831.7</v>
      </c>
      <c r="X199" s="7" t="n">
        <v>6326.9</v>
      </c>
      <c r="Z199" s="7" t="n">
        <v>4189</v>
      </c>
      <c r="AB199" s="7" t="n">
        <v>68007.3</v>
      </c>
    </row>
    <row r="200">
      <c r="A200" s="4" t="inlineStr">
        <is>
          <t>交通费</t>
        </is>
      </c>
      <c r="D200" s="7" t="n">
        <v>255.4</v>
      </c>
      <c r="F200" s="7" t="n">
        <v>183.3</v>
      </c>
      <c r="H200" s="7" t="n">
        <v>288.6</v>
      </c>
      <c r="J200" s="7" t="n">
        <v>408.2</v>
      </c>
      <c r="L200" s="7" t="n">
        <v>457.9</v>
      </c>
      <c r="N200" s="7" t="n">
        <v>599.5</v>
      </c>
      <c r="P200" s="7" t="n">
        <v>127.1</v>
      </c>
      <c r="R200" s="7" t="n">
        <v>131.7</v>
      </c>
      <c r="T200" s="7" t="n">
        <v>476.6</v>
      </c>
      <c r="V200" s="7" t="n">
        <v>303.4</v>
      </c>
      <c r="X200" s="7" t="n">
        <v>233.5</v>
      </c>
      <c r="Z200" s="7" t="n">
        <v>202.8</v>
      </c>
      <c r="AB200" s="7" t="n">
        <v>3668</v>
      </c>
    </row>
    <row r="201">
      <c r="A201" s="4" t="inlineStr">
        <is>
          <t>住宿费</t>
        </is>
      </c>
      <c r="D201" s="7" t="n">
        <v>282.8</v>
      </c>
      <c r="F201" s="7" t="n">
        <v>289.3</v>
      </c>
      <c r="H201" s="7" t="n">
        <v>372.8</v>
      </c>
      <c r="J201" s="7" t="n">
        <v>708.4</v>
      </c>
      <c r="L201" s="7" t="n">
        <v>666.4</v>
      </c>
      <c r="N201" s="7" t="n">
        <v>886</v>
      </c>
      <c r="P201" s="7" t="n">
        <v>407.7</v>
      </c>
      <c r="R201" s="7" t="n">
        <v>265.7</v>
      </c>
      <c r="T201" s="7" t="n">
        <v>749.8</v>
      </c>
      <c r="V201" s="7" t="n">
        <v>668.6</v>
      </c>
      <c r="X201" s="7" t="n">
        <v>554.4</v>
      </c>
      <c r="Z201" s="7" t="n">
        <v>377.9</v>
      </c>
      <c r="AB201" s="7" t="n">
        <v>6229.8</v>
      </c>
    </row>
    <row r="202">
      <c r="A202" s="4" t="inlineStr">
        <is>
          <t>餐补</t>
        </is>
      </c>
      <c r="D202" s="7" t="n">
        <v>378.6</v>
      </c>
      <c r="F202" s="7" t="n">
        <v>284.6</v>
      </c>
      <c r="H202" s="7" t="n">
        <v>311.8</v>
      </c>
      <c r="J202" s="7" t="n">
        <v>500.1</v>
      </c>
      <c r="L202" s="7" t="n">
        <v>843.6</v>
      </c>
      <c r="N202" s="7" t="n">
        <v>969.7</v>
      </c>
      <c r="P202" s="7" t="n">
        <v>352.9</v>
      </c>
      <c r="R202" s="7" t="n">
        <v>243.1</v>
      </c>
      <c r="T202" s="7" t="n">
        <v>749.7</v>
      </c>
      <c r="V202" s="7" t="n">
        <v>630</v>
      </c>
      <c r="X202" s="7" t="n">
        <v>582.2</v>
      </c>
      <c r="Z202" s="7" t="n">
        <v>284.6</v>
      </c>
      <c r="AB202" s="7" t="n">
        <v>6130.9</v>
      </c>
    </row>
    <row r="203">
      <c r="A203" s="4" t="inlineStr">
        <is>
          <t>交通补助</t>
        </is>
      </c>
      <c r="D203" s="7" t="n">
        <v>465.3</v>
      </c>
      <c r="F203" s="7" t="n">
        <v>383.3</v>
      </c>
      <c r="H203" s="7" t="n">
        <v>583.7</v>
      </c>
      <c r="J203" s="7" t="n">
        <v>809.8</v>
      </c>
      <c r="L203" s="7" t="n">
        <v>787.8</v>
      </c>
      <c r="N203" s="7" t="n">
        <v>1273.9</v>
      </c>
      <c r="P203" s="7" t="n">
        <v>417.6</v>
      </c>
      <c r="R203" s="7" t="n">
        <v>385.9</v>
      </c>
      <c r="T203" s="7" t="n">
        <v>674</v>
      </c>
      <c r="V203" s="7" t="n">
        <v>661.2</v>
      </c>
      <c r="X203" s="7" t="n">
        <v>669</v>
      </c>
      <c r="Z203" s="7" t="n">
        <v>364.9</v>
      </c>
      <c r="AB203" s="7" t="n">
        <v>7476.4</v>
      </c>
    </row>
    <row r="204">
      <c r="A204" s="4" t="inlineStr">
        <is>
          <t>通讯补助</t>
        </is>
      </c>
      <c r="D204" s="7" t="n">
        <v>528.4</v>
      </c>
      <c r="F204" s="7" t="n">
        <v>380.2</v>
      </c>
      <c r="H204" s="7" t="n">
        <v>426.5</v>
      </c>
      <c r="J204" s="7" t="n">
        <v>478.9</v>
      </c>
      <c r="L204" s="7" t="n">
        <v>887.7</v>
      </c>
      <c r="N204" s="7" t="n">
        <v>1134.8</v>
      </c>
      <c r="P204" s="7" t="n">
        <v>264.1</v>
      </c>
      <c r="R204" s="7" t="n">
        <v>320</v>
      </c>
      <c r="T204" s="7" t="n">
        <v>742</v>
      </c>
      <c r="V204" s="7" t="n">
        <v>754.1</v>
      </c>
      <c r="X204" s="7" t="n">
        <v>511.5</v>
      </c>
      <c r="Z204" s="7" t="n">
        <v>323.8</v>
      </c>
      <c r="AB204" s="7" t="n">
        <v>6752</v>
      </c>
    </row>
    <row r="205">
      <c r="A205" s="4" t="inlineStr">
        <is>
          <t>招待费</t>
        </is>
      </c>
      <c r="D205" s="7" t="n">
        <v>2894.9</v>
      </c>
      <c r="F205" s="7" t="n">
        <v>3304.5</v>
      </c>
      <c r="H205" s="7" t="n">
        <v>3616.2</v>
      </c>
      <c r="J205" s="7" t="n">
        <v>5241</v>
      </c>
      <c r="L205" s="7" t="n">
        <v>7092.8</v>
      </c>
      <c r="N205" s="7" t="n">
        <v>6199.5</v>
      </c>
      <c r="P205" s="7" t="n">
        <v>2619.3</v>
      </c>
      <c r="R205" s="7" t="n">
        <v>1534.1</v>
      </c>
      <c r="T205" s="7" t="n">
        <v>6355.7</v>
      </c>
      <c r="V205" s="7" t="n">
        <v>4049.5</v>
      </c>
      <c r="X205" s="7" t="n">
        <v>4547.6</v>
      </c>
      <c r="Z205" s="7" t="n">
        <v>2440.1</v>
      </c>
      <c r="AB205" s="7" t="n">
        <v>49895.2</v>
      </c>
    </row>
    <row r="206">
      <c r="A206" s="4" t="inlineStr">
        <is>
          <t>通讯费</t>
        </is>
      </c>
      <c r="D206" s="7" t="n">
        <v>381.4</v>
      </c>
      <c r="F206" s="7" t="n">
        <v>240.5</v>
      </c>
      <c r="H206" s="7" t="n">
        <v>481</v>
      </c>
      <c r="J206" s="7" t="n">
        <v>554.4</v>
      </c>
      <c r="L206" s="7" t="n">
        <v>797.1</v>
      </c>
      <c r="N206" s="7" t="n">
        <v>867.2</v>
      </c>
      <c r="P206" s="7" t="n">
        <v>196.2</v>
      </c>
      <c r="R206" s="7" t="n">
        <v>175.6</v>
      </c>
      <c r="T206" s="7" t="n">
        <v>474.5</v>
      </c>
      <c r="V206" s="7" t="n">
        <v>395.2</v>
      </c>
      <c r="X206" s="7" t="n">
        <v>433.4</v>
      </c>
      <c r="Z206" s="7" t="n">
        <v>243.3</v>
      </c>
      <c r="AB206" s="7" t="n">
        <v>5239.8</v>
      </c>
    </row>
    <row r="207">
      <c r="A207" s="4" t="inlineStr">
        <is>
          <t>网络费</t>
        </is>
      </c>
      <c r="D207" s="7" t="n">
        <v>164.5</v>
      </c>
      <c r="F207" s="7" t="n">
        <v>137.3</v>
      </c>
      <c r="H207" s="7" t="n">
        <v>252.8</v>
      </c>
      <c r="J207" s="7" t="n">
        <v>241.7</v>
      </c>
      <c r="L207" s="7" t="n">
        <v>413</v>
      </c>
      <c r="N207" s="7" t="n">
        <v>419.9</v>
      </c>
      <c r="P207" s="7" t="n">
        <v>132.4</v>
      </c>
      <c r="R207" s="7" t="n">
        <v>116.5</v>
      </c>
      <c r="T207" s="7" t="n">
        <v>271.9</v>
      </c>
      <c r="V207" s="7" t="n">
        <v>221.1</v>
      </c>
      <c r="X207" s="7" t="n">
        <v>240</v>
      </c>
      <c r="Z207" s="7" t="n">
        <v>123.4</v>
      </c>
      <c r="AB207" s="7" t="n">
        <v>2734.5</v>
      </c>
    </row>
    <row r="208">
      <c r="A208" s="4" t="inlineStr">
        <is>
          <t>修理费</t>
        </is>
      </c>
      <c r="D208" s="7" t="n">
        <v>109.7</v>
      </c>
      <c r="F208" s="7" t="n">
        <v>109.7</v>
      </c>
      <c r="H208" s="7" t="n">
        <v>163.7</v>
      </c>
      <c r="J208" s="7" t="n">
        <v>179</v>
      </c>
      <c r="L208" s="7" t="n">
        <v>194.6</v>
      </c>
      <c r="N208" s="7" t="n">
        <v>277.9</v>
      </c>
      <c r="P208" s="7" t="n">
        <v>85.09999999999999</v>
      </c>
      <c r="R208" s="7" t="n">
        <v>108.1</v>
      </c>
      <c r="T208" s="7" t="n">
        <v>202.7</v>
      </c>
      <c r="V208" s="7" t="n">
        <v>175.8</v>
      </c>
      <c r="X208" s="7" t="n">
        <v>213.9</v>
      </c>
      <c r="Z208" s="7" t="n">
        <v>88</v>
      </c>
      <c r="AB208" s="7" t="n">
        <v>1908.2</v>
      </c>
    </row>
    <row r="209">
      <c r="A209" s="4" t="inlineStr">
        <is>
          <t>车辆费</t>
        </is>
      </c>
      <c r="D209" s="7" t="n">
        <v>370.3</v>
      </c>
      <c r="F209" s="7" t="n">
        <v>320.8</v>
      </c>
      <c r="H209" s="7" t="n">
        <v>363.8</v>
      </c>
      <c r="J209" s="7" t="n">
        <v>475.1</v>
      </c>
      <c r="L209" s="7" t="n">
        <v>593</v>
      </c>
      <c r="N209" s="7" t="n">
        <v>615.2</v>
      </c>
      <c r="P209" s="7" t="n">
        <v>310.3</v>
      </c>
      <c r="R209" s="7" t="n">
        <v>147.9</v>
      </c>
      <c r="T209" s="7" t="n">
        <v>573.8</v>
      </c>
      <c r="V209" s="7" t="n">
        <v>581.3</v>
      </c>
      <c r="X209" s="7" t="n">
        <v>397.4</v>
      </c>
      <c r="Z209" s="7" t="n">
        <v>282.3</v>
      </c>
      <c r="AB209" s="7" t="n">
        <v>5031.2</v>
      </c>
    </row>
    <row r="210">
      <c r="A210" s="4" t="inlineStr">
        <is>
          <t>租赁费</t>
        </is>
      </c>
      <c r="D210" s="7" t="n">
        <v>4503</v>
      </c>
      <c r="F210" s="7" t="n">
        <v>3325.6</v>
      </c>
      <c r="H210" s="7" t="n">
        <v>3972.3</v>
      </c>
      <c r="J210" s="7" t="n">
        <v>4353</v>
      </c>
      <c r="L210" s="7" t="n">
        <v>8482.700000000001</v>
      </c>
      <c r="N210" s="7" t="n">
        <v>6643.1</v>
      </c>
      <c r="P210" s="7" t="n">
        <v>3147.7</v>
      </c>
      <c r="R210" s="7" t="n">
        <v>2418.6</v>
      </c>
      <c r="T210" s="7" t="n">
        <v>5497.6</v>
      </c>
      <c r="V210" s="7" t="n">
        <v>4588.3</v>
      </c>
      <c r="X210" s="7" t="n">
        <v>5528</v>
      </c>
      <c r="Z210" s="7" t="n">
        <v>2538.4</v>
      </c>
      <c r="AB210" s="7" t="n">
        <v>54998.3</v>
      </c>
    </row>
    <row r="211">
      <c r="A211" s="4" t="inlineStr">
        <is>
          <t>能源费</t>
        </is>
      </c>
      <c r="D211" s="7" t="n">
        <v>909.7</v>
      </c>
      <c r="F211" s="7" t="n">
        <v>1006.5</v>
      </c>
      <c r="H211" s="7" t="n">
        <v>1290.9</v>
      </c>
      <c r="J211" s="7" t="n">
        <v>1877.4</v>
      </c>
      <c r="L211" s="7" t="n">
        <v>2051.8</v>
      </c>
      <c r="N211" s="7" t="n">
        <v>2128.5</v>
      </c>
      <c r="P211" s="7" t="n">
        <v>714.2</v>
      </c>
      <c r="R211" s="7" t="n">
        <v>814.3</v>
      </c>
      <c r="T211" s="7" t="n">
        <v>1889.5</v>
      </c>
      <c r="V211" s="7" t="n">
        <v>1464.9</v>
      </c>
      <c r="X211" s="7" t="n">
        <v>1687</v>
      </c>
      <c r="Z211" s="7" t="n">
        <v>785.5</v>
      </c>
      <c r="AB211" s="7" t="n">
        <v>16620.2</v>
      </c>
    </row>
    <row r="212">
      <c r="A212" s="4" t="inlineStr">
        <is>
          <t>水费</t>
        </is>
      </c>
      <c r="D212" s="7" t="n">
        <v>408.7</v>
      </c>
      <c r="F212" s="7" t="n">
        <v>436.5</v>
      </c>
      <c r="H212" s="7" t="n">
        <v>451.1</v>
      </c>
      <c r="J212" s="7" t="n">
        <v>848.4</v>
      </c>
      <c r="L212" s="7" t="n">
        <v>867.4</v>
      </c>
      <c r="N212" s="7" t="n">
        <v>880.2</v>
      </c>
      <c r="P212" s="7" t="n">
        <v>266.3</v>
      </c>
      <c r="R212" s="7" t="n">
        <v>351.6</v>
      </c>
      <c r="T212" s="7" t="n">
        <v>722.8</v>
      </c>
      <c r="V212" s="7" t="n">
        <v>678.8</v>
      </c>
      <c r="X212" s="7" t="n">
        <v>702.8</v>
      </c>
      <c r="Z212" s="7" t="n">
        <v>279.8</v>
      </c>
      <c r="AB212" s="7" t="n">
        <v>6894.4</v>
      </c>
    </row>
    <row r="213">
      <c r="A213" s="4" t="inlineStr">
        <is>
          <t>电费</t>
        </is>
      </c>
      <c r="D213" s="7" t="n">
        <v>102.3</v>
      </c>
      <c r="F213" s="7" t="n">
        <v>111.1</v>
      </c>
      <c r="H213" s="7" t="n">
        <v>167.7</v>
      </c>
      <c r="J213" s="7" t="n">
        <v>238.1</v>
      </c>
      <c r="L213" s="7" t="n">
        <v>240.1</v>
      </c>
      <c r="N213" s="7" t="n">
        <v>348.4</v>
      </c>
      <c r="P213" s="7" t="n">
        <v>86.7</v>
      </c>
      <c r="R213" s="7" t="n">
        <v>83.09999999999999</v>
      </c>
      <c r="T213" s="7" t="n">
        <v>244.5</v>
      </c>
      <c r="V213" s="7" t="n">
        <v>210.7</v>
      </c>
      <c r="X213" s="7" t="n">
        <v>192.9</v>
      </c>
      <c r="Z213" s="7" t="n">
        <v>87.2</v>
      </c>
      <c r="AB213" s="7" t="n">
        <v>2112.8</v>
      </c>
    </row>
    <row r="214">
      <c r="A214" s="4" t="inlineStr">
        <is>
          <t>燃气费</t>
        </is>
      </c>
      <c r="D214" s="7" t="n">
        <v>224.5</v>
      </c>
      <c r="F214" s="7" t="n">
        <v>223.7</v>
      </c>
      <c r="H214" s="7" t="n">
        <v>412.3</v>
      </c>
      <c r="J214" s="7" t="n">
        <v>486</v>
      </c>
      <c r="L214" s="7" t="n">
        <v>456.7</v>
      </c>
      <c r="N214" s="7" t="n">
        <v>521.8</v>
      </c>
      <c r="P214" s="7" t="n">
        <v>207.7</v>
      </c>
      <c r="R214" s="7" t="n">
        <v>259.9</v>
      </c>
      <c r="T214" s="7" t="n">
        <v>570.5</v>
      </c>
      <c r="V214" s="7" t="n">
        <v>351</v>
      </c>
      <c r="X214" s="7" t="n">
        <v>539.1</v>
      </c>
      <c r="Z214" s="7" t="n">
        <v>291.8</v>
      </c>
      <c r="AB214" s="7" t="n">
        <v>4545</v>
      </c>
    </row>
    <row r="215">
      <c r="A215" s="4" t="inlineStr">
        <is>
          <t>蒸汽费</t>
        </is>
      </c>
      <c r="D215" s="7" t="n">
        <v>174.2</v>
      </c>
      <c r="F215" s="7" t="n">
        <v>235.2</v>
      </c>
      <c r="H215" s="7" t="n">
        <v>259.8</v>
      </c>
      <c r="J215" s="7" t="n">
        <v>304.9</v>
      </c>
      <c r="L215" s="7" t="n">
        <v>487.6</v>
      </c>
      <c r="N215" s="7" t="n">
        <v>378.1</v>
      </c>
      <c r="P215" s="7" t="n">
        <v>153.5</v>
      </c>
      <c r="R215" s="7" t="n">
        <v>119.7</v>
      </c>
      <c r="T215" s="7" t="n">
        <v>351.7</v>
      </c>
      <c r="V215" s="7" t="n">
        <v>224.4</v>
      </c>
      <c r="X215" s="7" t="n">
        <v>252.2</v>
      </c>
      <c r="Z215" s="7" t="n">
        <v>126.7</v>
      </c>
      <c r="AB215" s="7" t="n">
        <v>3068</v>
      </c>
    </row>
    <row r="216">
      <c r="A216" s="4" t="inlineStr">
        <is>
          <t>物业费</t>
        </is>
      </c>
      <c r="D216" s="7" t="n">
        <v>197.3</v>
      </c>
      <c r="F216" s="7" t="n">
        <v>172.3</v>
      </c>
      <c r="H216" s="7" t="n">
        <v>277.9</v>
      </c>
      <c r="J216" s="7" t="n">
        <v>365.7</v>
      </c>
      <c r="L216" s="7" t="n">
        <v>454.6</v>
      </c>
      <c r="N216" s="7" t="n">
        <v>418.3</v>
      </c>
      <c r="P216" s="7" t="n">
        <v>169.8</v>
      </c>
      <c r="R216" s="7" t="n">
        <v>124.9</v>
      </c>
      <c r="T216" s="7" t="n">
        <v>241.7</v>
      </c>
      <c r="V216" s="7" t="n">
        <v>254.9</v>
      </c>
      <c r="X216" s="7" t="n">
        <v>219.7</v>
      </c>
      <c r="Z216" s="7" t="n">
        <v>179.8</v>
      </c>
      <c r="AB216" s="7" t="n">
        <v>3076.9</v>
      </c>
    </row>
    <row r="217">
      <c r="A217" s="4" t="inlineStr">
        <is>
          <t>劳动保护费</t>
        </is>
      </c>
      <c r="D217" s="7" t="n">
        <v>352.2</v>
      </c>
      <c r="F217" s="7" t="n">
        <v>405.6</v>
      </c>
      <c r="H217" s="7" t="n">
        <v>379.7</v>
      </c>
      <c r="J217" s="7" t="n">
        <v>702.5</v>
      </c>
      <c r="L217" s="7" t="n">
        <v>929.8</v>
      </c>
      <c r="N217" s="7" t="n">
        <v>1149.4</v>
      </c>
      <c r="P217" s="7" t="n">
        <v>299.1</v>
      </c>
      <c r="R217" s="7" t="n">
        <v>262.5</v>
      </c>
      <c r="T217" s="7" t="n">
        <v>774.2</v>
      </c>
      <c r="V217" s="7" t="n">
        <v>682.3</v>
      </c>
      <c r="X217" s="7" t="n">
        <v>684</v>
      </c>
      <c r="Z217" s="7" t="n">
        <v>285.5</v>
      </c>
      <c r="AB217" s="7" t="n">
        <v>6906.8</v>
      </c>
    </row>
    <row r="218">
      <c r="A218" s="4" t="inlineStr">
        <is>
          <t>顾问费</t>
        </is>
      </c>
      <c r="D218" s="7" t="n">
        <v>25.8</v>
      </c>
      <c r="F218" s="7" t="n">
        <v>23.8</v>
      </c>
      <c r="H218" s="7" t="n">
        <v>31.5</v>
      </c>
      <c r="J218" s="7" t="n">
        <v>40.3</v>
      </c>
      <c r="L218" s="7" t="n">
        <v>46.7</v>
      </c>
      <c r="N218" s="7" t="n">
        <v>58.2</v>
      </c>
      <c r="P218" s="7" t="n">
        <v>17.9</v>
      </c>
      <c r="R218" s="7" t="n">
        <v>14.8</v>
      </c>
      <c r="T218" s="7" t="n">
        <v>37.2</v>
      </c>
      <c r="V218" s="7" t="n">
        <v>37.4</v>
      </c>
      <c r="X218" s="7" t="n">
        <v>31.9</v>
      </c>
      <c r="Z218" s="7" t="n">
        <v>15.1</v>
      </c>
      <c r="AB218" s="7" t="n">
        <v>380.6</v>
      </c>
    </row>
    <row r="219">
      <c r="A219" s="4" t="inlineStr">
        <is>
          <t>快递费</t>
        </is>
      </c>
      <c r="D219" s="7" t="n">
        <v>423</v>
      </c>
      <c r="F219" s="7" t="n">
        <v>300.4</v>
      </c>
      <c r="H219" s="7" t="n">
        <v>405.4</v>
      </c>
      <c r="J219" s="7" t="n">
        <v>523.5</v>
      </c>
      <c r="L219" s="7" t="n">
        <v>725</v>
      </c>
      <c r="N219" s="7" t="n">
        <v>1251.3</v>
      </c>
      <c r="P219" s="7" t="n">
        <v>311.2</v>
      </c>
      <c r="R219" s="7" t="n">
        <v>274.9</v>
      </c>
      <c r="T219" s="7" t="n">
        <v>743.6</v>
      </c>
      <c r="V219" s="7" t="n">
        <v>550.8</v>
      </c>
      <c r="X219" s="7" t="n">
        <v>556.6</v>
      </c>
      <c r="Z219" s="7" t="n">
        <v>308.5</v>
      </c>
      <c r="AB219" s="7" t="n">
        <v>6374.2</v>
      </c>
    </row>
    <row r="220">
      <c r="A220" s="4" t="inlineStr">
        <is>
          <t>诉讼费</t>
        </is>
      </c>
      <c r="D220" s="7" t="n">
        <v>343.4</v>
      </c>
      <c r="F220" s="7" t="n">
        <v>332.9</v>
      </c>
      <c r="H220" s="7" t="n">
        <v>425.6</v>
      </c>
      <c r="J220" s="7" t="n">
        <v>337.7</v>
      </c>
      <c r="L220" s="7" t="n">
        <v>689.8</v>
      </c>
      <c r="N220" s="7" t="n">
        <v>714.9</v>
      </c>
      <c r="P220" s="7" t="n">
        <v>244.9</v>
      </c>
      <c r="R220" s="7" t="n">
        <v>147.6</v>
      </c>
      <c r="T220" s="7" t="n">
        <v>515.9</v>
      </c>
      <c r="V220" s="7" t="n">
        <v>428</v>
      </c>
      <c r="X220" s="7" t="n">
        <v>382.7</v>
      </c>
      <c r="Z220" s="7" t="n">
        <v>164.6</v>
      </c>
      <c r="AB220" s="7" t="n">
        <v>4728</v>
      </c>
    </row>
    <row r="221">
      <c r="A221" s="4" t="inlineStr">
        <is>
          <t>会员费</t>
        </is>
      </c>
      <c r="D221" s="7" t="n">
        <v>299.3</v>
      </c>
      <c r="F221" s="7" t="n">
        <v>229.4</v>
      </c>
      <c r="H221" s="7" t="n">
        <v>392.4</v>
      </c>
      <c r="J221" s="7" t="n">
        <v>449.7</v>
      </c>
      <c r="L221" s="7" t="n">
        <v>443.1</v>
      </c>
      <c r="N221" s="7" t="n">
        <v>533.1</v>
      </c>
      <c r="P221" s="7" t="n">
        <v>167.9</v>
      </c>
      <c r="R221" s="7" t="n">
        <v>228.1</v>
      </c>
      <c r="T221" s="7" t="n">
        <v>518</v>
      </c>
      <c r="V221" s="7" t="n">
        <v>333.1</v>
      </c>
      <c r="X221" s="7" t="n">
        <v>449.2</v>
      </c>
      <c r="Z221" s="7" t="n">
        <v>241.3</v>
      </c>
      <c r="AB221" s="7" t="n">
        <v>4284.6</v>
      </c>
    </row>
    <row r="222">
      <c r="A222" s="4" t="inlineStr">
        <is>
          <t>广告宣传费</t>
        </is>
      </c>
      <c r="D222" s="7" t="n">
        <v>2171.5</v>
      </c>
      <c r="F222" s="7" t="n">
        <v>2265</v>
      </c>
      <c r="H222" s="7" t="n">
        <v>2926.9</v>
      </c>
      <c r="J222" s="7" t="n">
        <v>3333.4</v>
      </c>
      <c r="L222" s="7" t="n">
        <v>4270.4</v>
      </c>
      <c r="N222" s="7" t="n">
        <v>4968.2</v>
      </c>
      <c r="P222" s="7" t="n">
        <v>1636.8</v>
      </c>
      <c r="R222" s="7" t="n">
        <v>1299.2</v>
      </c>
      <c r="T222" s="7" t="n">
        <v>4782.9</v>
      </c>
      <c r="V222" s="7" t="n">
        <v>3262.5</v>
      </c>
      <c r="X222" s="7" t="n">
        <v>2848.1</v>
      </c>
      <c r="Z222" s="7" t="n">
        <v>1470.4</v>
      </c>
      <c r="AB222" s="7" t="n">
        <v>35235.3</v>
      </c>
    </row>
    <row r="223">
      <c r="A223" s="4" t="inlineStr">
        <is>
          <t>会务费</t>
        </is>
      </c>
      <c r="D223" s="7" t="n">
        <v>313.5</v>
      </c>
      <c r="F223" s="7" t="n">
        <v>314.1</v>
      </c>
      <c r="H223" s="7" t="n">
        <v>386.8</v>
      </c>
      <c r="J223" s="7" t="n">
        <v>400.3</v>
      </c>
      <c r="L223" s="7" t="n">
        <v>765.6</v>
      </c>
      <c r="N223" s="7" t="n">
        <v>664.4</v>
      </c>
      <c r="P223" s="7" t="n">
        <v>232.2</v>
      </c>
      <c r="R223" s="7" t="n">
        <v>194.3</v>
      </c>
      <c r="T223" s="7" t="n">
        <v>466.3</v>
      </c>
      <c r="V223" s="7" t="n">
        <v>418.2</v>
      </c>
      <c r="X223" s="7" t="n">
        <v>431.9</v>
      </c>
      <c r="Z223" s="7" t="n">
        <v>283.7</v>
      </c>
      <c r="AB223" s="7" t="n">
        <v>4871.3</v>
      </c>
    </row>
    <row r="224">
      <c r="A224" s="4" t="inlineStr">
        <is>
          <t>装修费</t>
        </is>
      </c>
      <c r="D224" s="7" t="n">
        <v>408.5</v>
      </c>
      <c r="F224" s="7" t="n">
        <v>284.3</v>
      </c>
      <c r="H224" s="7" t="n">
        <v>451.6</v>
      </c>
      <c r="J224" s="7" t="n">
        <v>664.7</v>
      </c>
      <c r="L224" s="7" t="n">
        <v>697.4</v>
      </c>
      <c r="N224" s="7" t="n">
        <v>1040.5</v>
      </c>
      <c r="P224" s="7" t="n">
        <v>312.6</v>
      </c>
      <c r="R224" s="7" t="n">
        <v>203.3</v>
      </c>
      <c r="T224" s="7" t="n">
        <v>470.2</v>
      </c>
      <c r="V224" s="7" t="n">
        <v>432.6</v>
      </c>
      <c r="X224" s="7" t="n">
        <v>520.5</v>
      </c>
      <c r="Z224" s="7" t="n">
        <v>259.3</v>
      </c>
      <c r="AB224" s="7" t="n">
        <v>5745.5</v>
      </c>
    </row>
    <row r="225">
      <c r="A225" s="4" t="inlineStr">
        <is>
          <t>推广费</t>
        </is>
      </c>
      <c r="D225" s="7" t="n">
        <v>512.9</v>
      </c>
      <c r="F225" s="7" t="n">
        <v>346.9</v>
      </c>
      <c r="H225" s="7" t="n">
        <v>735.7</v>
      </c>
      <c r="J225" s="7" t="n">
        <v>798.2</v>
      </c>
      <c r="L225" s="7" t="n">
        <v>940.8</v>
      </c>
      <c r="N225" s="7" t="n">
        <v>1365.7</v>
      </c>
      <c r="P225" s="7" t="n">
        <v>444.8</v>
      </c>
      <c r="R225" s="7" t="n">
        <v>338.4</v>
      </c>
      <c r="T225" s="7" t="n">
        <v>719.6</v>
      </c>
      <c r="V225" s="7" t="n">
        <v>787.1</v>
      </c>
      <c r="X225" s="7" t="n">
        <v>803.9</v>
      </c>
      <c r="Z225" s="7" t="n">
        <v>397</v>
      </c>
      <c r="AB225" s="7" t="n">
        <v>8191</v>
      </c>
    </row>
    <row r="226">
      <c r="A226" s="4" t="inlineStr">
        <is>
          <t>展会费</t>
        </is>
      </c>
      <c r="D226" s="7" t="n">
        <v>322.9</v>
      </c>
      <c r="F226" s="7" t="n">
        <v>254.3</v>
      </c>
      <c r="H226" s="7" t="n">
        <v>512</v>
      </c>
      <c r="J226" s="7" t="n">
        <v>503.5</v>
      </c>
      <c r="L226" s="7" t="n">
        <v>672.4</v>
      </c>
      <c r="N226" s="7" t="n">
        <v>738.3</v>
      </c>
      <c r="P226" s="7" t="n">
        <v>204.1</v>
      </c>
      <c r="R226" s="7" t="n">
        <v>200.3</v>
      </c>
      <c r="T226" s="7" t="n">
        <v>638</v>
      </c>
      <c r="V226" s="7" t="n">
        <v>570.1</v>
      </c>
      <c r="X226" s="7" t="n">
        <v>467.9</v>
      </c>
      <c r="Z226" s="7" t="n">
        <v>191.6</v>
      </c>
      <c r="AB226" s="7" t="n">
        <v>5275.4</v>
      </c>
    </row>
    <row r="227">
      <c r="A227" s="4" t="inlineStr">
        <is>
          <t>设计费</t>
        </is>
      </c>
      <c r="D227" s="7" t="n">
        <v>307.4</v>
      </c>
      <c r="F227" s="7" t="n">
        <v>224.9</v>
      </c>
      <c r="H227" s="7" t="n">
        <v>257.8</v>
      </c>
      <c r="J227" s="7" t="n">
        <v>433.9</v>
      </c>
      <c r="L227" s="7" t="n">
        <v>409</v>
      </c>
      <c r="N227" s="7" t="n">
        <v>734.3</v>
      </c>
      <c r="P227" s="7" t="n">
        <v>210.5</v>
      </c>
      <c r="R227" s="7" t="n">
        <v>217.7</v>
      </c>
      <c r="T227" s="7" t="n">
        <v>410</v>
      </c>
      <c r="V227" s="7" t="n">
        <v>273.6</v>
      </c>
      <c r="X227" s="7" t="n">
        <v>422.4</v>
      </c>
      <c r="Z227" s="7" t="n">
        <v>223.8</v>
      </c>
      <c r="AB227" s="7" t="n">
        <v>4125.3</v>
      </c>
    </row>
    <row r="228">
      <c r="A228" s="4" t="inlineStr">
        <is>
          <t>折旧费</t>
        </is>
      </c>
      <c r="D228" s="7" t="n">
        <v>3356.9</v>
      </c>
      <c r="F228" s="7" t="n">
        <v>3341.1</v>
      </c>
      <c r="H228" s="7" t="n">
        <v>3525</v>
      </c>
      <c r="J228" s="7" t="n">
        <v>4774.4</v>
      </c>
      <c r="L228" s="7" t="n">
        <v>7086.2</v>
      </c>
      <c r="N228" s="7" t="n">
        <v>6325.3</v>
      </c>
      <c r="P228" s="7" t="n">
        <v>2355.1</v>
      </c>
      <c r="R228" s="7" t="n">
        <v>2122.1</v>
      </c>
      <c r="T228" s="7" t="n">
        <v>4846.9</v>
      </c>
      <c r="V228" s="7" t="n">
        <v>3489.5</v>
      </c>
      <c r="X228" s="7" t="n">
        <v>5130</v>
      </c>
      <c r="Z228" s="7" t="n">
        <v>2264.6</v>
      </c>
      <c r="AB228" s="7" t="n">
        <v>48617.1</v>
      </c>
    </row>
    <row r="229">
      <c r="A229" s="4" t="inlineStr">
        <is>
          <t>认证费</t>
        </is>
      </c>
      <c r="D229" s="7" t="n">
        <v>459.9</v>
      </c>
      <c r="F229" s="7" t="n">
        <v>319.2</v>
      </c>
      <c r="H229" s="7" t="n">
        <v>432.3</v>
      </c>
      <c r="J229" s="7" t="n">
        <v>538.1</v>
      </c>
      <c r="L229" s="7" t="n">
        <v>728.9</v>
      </c>
      <c r="N229" s="7" t="n">
        <v>1173.2</v>
      </c>
      <c r="P229" s="7" t="n">
        <v>411</v>
      </c>
      <c r="R229" s="7" t="n">
        <v>313.6</v>
      </c>
      <c r="T229" s="7" t="n">
        <v>741.5</v>
      </c>
      <c r="V229" s="7" t="n">
        <v>577.2</v>
      </c>
      <c r="X229" s="7" t="n">
        <v>604.2</v>
      </c>
      <c r="Z229" s="7" t="n">
        <v>282</v>
      </c>
      <c r="AB229" s="7" t="n">
        <v>6581.1</v>
      </c>
    </row>
    <row r="230">
      <c r="A230" s="4" t="inlineStr">
        <is>
          <t>样品费</t>
        </is>
      </c>
      <c r="D230" s="7" t="n">
        <v>1696.6</v>
      </c>
      <c r="F230" s="7" t="n">
        <v>1804.3</v>
      </c>
      <c r="H230" s="7" t="n">
        <v>1718.4</v>
      </c>
      <c r="J230" s="7" t="n">
        <v>2547.6</v>
      </c>
      <c r="L230" s="7" t="n">
        <v>2518.2</v>
      </c>
      <c r="N230" s="7" t="n">
        <v>4439</v>
      </c>
      <c r="P230" s="7" t="n">
        <v>1296</v>
      </c>
      <c r="R230" s="7" t="n">
        <v>965.2</v>
      </c>
      <c r="T230" s="7" t="n">
        <v>3051.9</v>
      </c>
      <c r="V230" s="7" t="n">
        <v>2622.5</v>
      </c>
      <c r="X230" s="7" t="n">
        <v>1754.5</v>
      </c>
      <c r="Z230" s="7" t="n">
        <v>972.2</v>
      </c>
      <c r="AB230" s="7" t="n">
        <v>25386.4</v>
      </c>
    </row>
    <row r="231">
      <c r="A231" s="4" t="inlineStr">
        <is>
          <t>劳务费</t>
        </is>
      </c>
      <c r="D231" s="7" t="n">
        <v>294.7</v>
      </c>
      <c r="F231" s="7" t="n">
        <v>264.3</v>
      </c>
      <c r="H231" s="7" t="n">
        <v>420.2</v>
      </c>
      <c r="J231" s="7" t="n">
        <v>415.5</v>
      </c>
      <c r="L231" s="7" t="n">
        <v>446.9</v>
      </c>
      <c r="N231" s="7" t="n">
        <v>794</v>
      </c>
      <c r="P231" s="7" t="n">
        <v>198.1</v>
      </c>
      <c r="R231" s="7" t="n">
        <v>205.4</v>
      </c>
      <c r="T231" s="7" t="n">
        <v>338.9</v>
      </c>
      <c r="V231" s="7" t="n">
        <v>391.7</v>
      </c>
      <c r="X231" s="7" t="n">
        <v>307.5</v>
      </c>
      <c r="Z231" s="7" t="n">
        <v>242.1</v>
      </c>
      <c r="AB231" s="7" t="n">
        <v>4319.3</v>
      </c>
    </row>
    <row r="232">
      <c r="A232" s="4" t="inlineStr">
        <is>
          <t>销售佣金</t>
        </is>
      </c>
      <c r="D232" s="7" t="n">
        <v>35.3</v>
      </c>
      <c r="F232" s="7" t="n">
        <v>41.7</v>
      </c>
      <c r="H232" s="7" t="n">
        <v>65</v>
      </c>
      <c r="J232" s="7" t="n">
        <v>81.59999999999999</v>
      </c>
      <c r="L232" s="7" t="n">
        <v>70.59999999999999</v>
      </c>
      <c r="N232" s="7" t="n">
        <v>86.90000000000001</v>
      </c>
      <c r="P232" s="7" t="n">
        <v>44.7</v>
      </c>
      <c r="R232" s="7" t="n">
        <v>40.6</v>
      </c>
      <c r="T232" s="7" t="n">
        <v>83</v>
      </c>
      <c r="V232" s="7" t="n">
        <v>85.3</v>
      </c>
      <c r="X232" s="7" t="n">
        <v>59</v>
      </c>
      <c r="Z232" s="7" t="n">
        <v>26.4</v>
      </c>
      <c r="AB232" s="7" t="n">
        <v>720.1</v>
      </c>
    </row>
    <row r="233">
      <c r="A233" s="4" t="inlineStr">
        <is>
          <t>检测费</t>
        </is>
      </c>
      <c r="D233" s="7" t="n">
        <v>285.8</v>
      </c>
      <c r="F233" s="7" t="n">
        <v>199.6</v>
      </c>
      <c r="H233" s="7" t="n">
        <v>321.9</v>
      </c>
      <c r="J233" s="7" t="n">
        <v>356.6</v>
      </c>
      <c r="L233" s="7" t="n">
        <v>398.9</v>
      </c>
      <c r="N233" s="7" t="n">
        <v>762.6</v>
      </c>
      <c r="P233" s="7" t="n">
        <v>166.2</v>
      </c>
      <c r="R233" s="7" t="n">
        <v>198.8</v>
      </c>
      <c r="T233" s="7" t="n">
        <v>421.2</v>
      </c>
      <c r="V233" s="7" t="n">
        <v>464.5</v>
      </c>
      <c r="X233" s="7" t="n">
        <v>310.3</v>
      </c>
      <c r="Z233" s="7" t="n">
        <v>203.8</v>
      </c>
      <c r="AB233" s="7" t="n">
        <v>4090.2</v>
      </c>
    </row>
    <row r="234">
      <c r="A234" s="4" t="inlineStr">
        <is>
          <t>质量赔偿</t>
        </is>
      </c>
      <c r="D234" s="7" t="n">
        <v>390.8</v>
      </c>
      <c r="F234" s="7" t="n">
        <v>348.8</v>
      </c>
      <c r="H234" s="7" t="n">
        <v>510.2</v>
      </c>
      <c r="J234" s="7" t="n">
        <v>533.5</v>
      </c>
      <c r="L234" s="7" t="n">
        <v>627.5</v>
      </c>
      <c r="N234" s="7" t="n">
        <v>856.3</v>
      </c>
      <c r="P234" s="7" t="n">
        <v>396.8</v>
      </c>
      <c r="R234" s="7" t="n">
        <v>232.1</v>
      </c>
      <c r="T234" s="7" t="n">
        <v>737.6</v>
      </c>
      <c r="V234" s="7" t="n">
        <v>521.5</v>
      </c>
      <c r="X234" s="7" t="n">
        <v>546.1</v>
      </c>
      <c r="Z234" s="7" t="n">
        <v>272.5</v>
      </c>
      <c r="AB234" s="7" t="n">
        <v>5973.7</v>
      </c>
    </row>
    <row r="235">
      <c r="A235" s="4" t="inlineStr">
        <is>
          <t>保险费</t>
        </is>
      </c>
      <c r="D235" s="7" t="n">
        <v>223.5</v>
      </c>
      <c r="F235" s="7" t="n">
        <v>173.8</v>
      </c>
      <c r="H235" s="7" t="n">
        <v>291.6</v>
      </c>
      <c r="J235" s="7" t="n">
        <v>311.7</v>
      </c>
      <c r="L235" s="7" t="n">
        <v>355.7</v>
      </c>
      <c r="N235" s="7" t="n">
        <v>457.9</v>
      </c>
      <c r="P235" s="7" t="n">
        <v>222.7</v>
      </c>
      <c r="R235" s="7" t="n">
        <v>185.7</v>
      </c>
      <c r="T235" s="7" t="n">
        <v>475.5</v>
      </c>
      <c r="V235" s="7" t="n">
        <v>376.4</v>
      </c>
      <c r="X235" s="7" t="n">
        <v>247.2</v>
      </c>
      <c r="Z235" s="7" t="n">
        <v>145.1</v>
      </c>
      <c r="AB235" s="7" t="n">
        <v>3466.8</v>
      </c>
    </row>
    <row r="236">
      <c r="A236" s="4" t="inlineStr">
        <is>
          <t>清洁费</t>
        </is>
      </c>
      <c r="D236" s="7" t="n">
        <v>353.4</v>
      </c>
      <c r="F236" s="7" t="n">
        <v>243.7</v>
      </c>
      <c r="H236" s="7" t="n">
        <v>350.2</v>
      </c>
      <c r="J236" s="7" t="n">
        <v>395.3</v>
      </c>
      <c r="L236" s="7" t="n">
        <v>624.6</v>
      </c>
      <c r="N236" s="7" t="n">
        <v>654.6</v>
      </c>
      <c r="P236" s="7" t="n">
        <v>281.9</v>
      </c>
      <c r="R236" s="7" t="n">
        <v>241.1</v>
      </c>
      <c r="T236" s="7" t="n">
        <v>452.5</v>
      </c>
      <c r="V236" s="7" t="n">
        <v>490.7</v>
      </c>
      <c r="X236" s="7" t="n">
        <v>465.6</v>
      </c>
      <c r="Z236" s="7" t="n">
        <v>208.7</v>
      </c>
      <c r="AB236" s="7" t="n">
        <v>4762.3</v>
      </c>
    </row>
    <row r="237">
      <c r="A237" s="4" t="inlineStr">
        <is>
          <t>低值易耗品</t>
        </is>
      </c>
      <c r="D237" s="7" t="n">
        <v>444.4</v>
      </c>
      <c r="F237" s="7" t="n">
        <v>445</v>
      </c>
      <c r="H237" s="7" t="n">
        <v>385.6</v>
      </c>
      <c r="J237" s="7" t="n">
        <v>726.2</v>
      </c>
      <c r="L237" s="7" t="n">
        <v>608.5</v>
      </c>
      <c r="N237" s="7" t="n">
        <v>1008.4</v>
      </c>
      <c r="P237" s="7" t="n">
        <v>380.7</v>
      </c>
      <c r="R237" s="7" t="n">
        <v>269.4</v>
      </c>
      <c r="T237" s="7" t="n">
        <v>712.6</v>
      </c>
      <c r="V237" s="7" t="n">
        <v>692.1</v>
      </c>
      <c r="X237" s="7" t="n">
        <v>576.2</v>
      </c>
      <c r="Z237" s="7" t="n">
        <v>234.5</v>
      </c>
      <c r="AB237" s="7" t="n">
        <v>6483.6</v>
      </c>
    </row>
    <row r="238">
      <c r="A238" s="4" t="inlineStr">
        <is>
          <t>物料消耗</t>
        </is>
      </c>
      <c r="D238" s="7" t="n">
        <v>184.3</v>
      </c>
      <c r="F238" s="7" t="n">
        <v>200.2</v>
      </c>
      <c r="H238" s="7" t="n">
        <v>220</v>
      </c>
      <c r="J238" s="7" t="n">
        <v>213.3</v>
      </c>
      <c r="L238" s="7" t="n">
        <v>421.3</v>
      </c>
      <c r="N238" s="7" t="n">
        <v>415.1</v>
      </c>
      <c r="P238" s="7" t="n">
        <v>180.5</v>
      </c>
      <c r="R238" s="7" t="n">
        <v>105.1</v>
      </c>
      <c r="T238" s="7" t="n">
        <v>390.1</v>
      </c>
      <c r="V238" s="7" t="n">
        <v>289.3</v>
      </c>
      <c r="X238" s="7" t="n">
        <v>208.3</v>
      </c>
      <c r="Z238" s="7" t="n">
        <v>151</v>
      </c>
      <c r="AB238" s="7" t="n">
        <v>2978.5</v>
      </c>
    </row>
    <row r="239">
      <c r="A239" s="4" t="inlineStr">
        <is>
          <t>盘盈盘亏</t>
        </is>
      </c>
      <c r="D239" s="7" t="n">
        <v>482.2</v>
      </c>
      <c r="F239" s="7" t="n">
        <v>414.9</v>
      </c>
      <c r="H239" s="7" t="n">
        <v>556.8</v>
      </c>
      <c r="J239" s="7" t="n">
        <v>469.9</v>
      </c>
      <c r="L239" s="7" t="n">
        <v>787.2</v>
      </c>
      <c r="N239" s="7" t="n">
        <v>1060.2</v>
      </c>
      <c r="P239" s="7" t="n">
        <v>291.8</v>
      </c>
      <c r="R239" s="7" t="n">
        <v>325.9</v>
      </c>
      <c r="T239" s="7" t="n">
        <v>520.9</v>
      </c>
      <c r="V239" s="7" t="n">
        <v>692.7</v>
      </c>
      <c r="X239" s="7" t="n">
        <v>606.6</v>
      </c>
      <c r="Z239" s="7" t="n">
        <v>376.1</v>
      </c>
      <c r="AB239" s="7" t="n">
        <v>6585.2</v>
      </c>
    </row>
    <row r="240">
      <c r="A240" s="4" t="inlineStr">
        <is>
          <t>平台服务费</t>
        </is>
      </c>
      <c r="D240" s="7" t="n">
        <v>299.3</v>
      </c>
      <c r="F240" s="7" t="n">
        <v>311.6</v>
      </c>
      <c r="H240" s="7" t="n">
        <v>508.3</v>
      </c>
      <c r="J240" s="7" t="n">
        <v>526.2</v>
      </c>
      <c r="L240" s="7" t="n">
        <v>613.7</v>
      </c>
      <c r="N240" s="7" t="n">
        <v>834.6</v>
      </c>
      <c r="P240" s="7" t="n">
        <v>385.4</v>
      </c>
      <c r="R240" s="7" t="n">
        <v>266.8</v>
      </c>
      <c r="T240" s="7" t="n">
        <v>789.3</v>
      </c>
      <c r="V240" s="7" t="n">
        <v>590.6</v>
      </c>
      <c r="X240" s="7" t="n">
        <v>640.2</v>
      </c>
      <c r="Z240" s="7" t="n">
        <v>228.9</v>
      </c>
      <c r="AB240" s="7" t="n">
        <v>5994.9</v>
      </c>
    </row>
    <row r="241">
      <c r="A241" s="4" t="inlineStr">
        <is>
          <t>无形资产摊销</t>
        </is>
      </c>
      <c r="D241" s="7" t="n">
        <v>167.6</v>
      </c>
      <c r="F241" s="7" t="n">
        <v>134.1</v>
      </c>
      <c r="H241" s="7" t="n">
        <v>249.7</v>
      </c>
      <c r="J241" s="7" t="n">
        <v>284.5</v>
      </c>
      <c r="L241" s="7" t="n">
        <v>313.2</v>
      </c>
      <c r="N241" s="7" t="n">
        <v>323.3</v>
      </c>
      <c r="P241" s="7" t="n">
        <v>138.5</v>
      </c>
      <c r="R241" s="7" t="n">
        <v>98.3</v>
      </c>
      <c r="T241" s="7" t="n">
        <v>259.6</v>
      </c>
      <c r="V241" s="7" t="n">
        <v>199.1</v>
      </c>
      <c r="X241" s="7" t="n">
        <v>209.2</v>
      </c>
      <c r="Z241" s="7" t="n">
        <v>144.7</v>
      </c>
      <c r="AB241" s="7" t="n">
        <v>2521.8</v>
      </c>
    </row>
    <row r="242">
      <c r="A242" s="4" t="inlineStr">
        <is>
          <t>研发材料</t>
        </is>
      </c>
      <c r="D242" s="7" t="n">
        <v>165.1</v>
      </c>
      <c r="F242" s="7" t="n">
        <v>97.7</v>
      </c>
      <c r="H242" s="7" t="n">
        <v>123.8</v>
      </c>
      <c r="J242" s="7" t="n">
        <v>241</v>
      </c>
      <c r="L242" s="7" t="n">
        <v>276.5</v>
      </c>
      <c r="N242" s="7" t="n">
        <v>383.2</v>
      </c>
      <c r="P242" s="7" t="n">
        <v>134.3</v>
      </c>
      <c r="R242" s="7" t="n">
        <v>80.8</v>
      </c>
      <c r="T242" s="7" t="n">
        <v>195.9</v>
      </c>
      <c r="V242" s="7" t="n">
        <v>253.1</v>
      </c>
      <c r="X242" s="7" t="n">
        <v>154.5</v>
      </c>
      <c r="Z242" s="7" t="n">
        <v>130.7</v>
      </c>
      <c r="AB242" s="7" t="n">
        <v>2236.6</v>
      </c>
    </row>
    <row r="243">
      <c r="A243" s="4" t="inlineStr">
        <is>
          <t>项目名称</t>
        </is>
      </c>
      <c r="D243" s="7" t="n">
        <v>253.9</v>
      </c>
      <c r="F243" s="7" t="n">
        <v>257.9</v>
      </c>
      <c r="H243" s="7" t="n">
        <v>478.7</v>
      </c>
      <c r="J243" s="7" t="n">
        <v>551.7</v>
      </c>
      <c r="L243" s="7" t="n">
        <v>505.8</v>
      </c>
      <c r="N243" s="7" t="n">
        <v>820.2</v>
      </c>
      <c r="P243" s="7" t="n">
        <v>256.2</v>
      </c>
      <c r="R243" s="7" t="n">
        <v>278.1</v>
      </c>
      <c r="T243" s="7" t="n">
        <v>555.2</v>
      </c>
      <c r="V243" s="7" t="n">
        <v>436.4</v>
      </c>
      <c r="X243" s="7" t="n">
        <v>354.5</v>
      </c>
      <c r="Z243" s="7" t="n">
        <v>292.3</v>
      </c>
      <c r="AB243" s="7" t="n">
        <v>5040.9</v>
      </c>
    </row>
    <row r="244">
      <c r="A244" s="4" t="inlineStr">
        <is>
          <t>研发费</t>
        </is>
      </c>
      <c r="D244" s="7" t="n">
        <v>131</v>
      </c>
      <c r="F244" s="7" t="n">
        <v>95.3</v>
      </c>
      <c r="H244" s="7" t="n">
        <v>151.3</v>
      </c>
      <c r="J244" s="7" t="n">
        <v>161.3</v>
      </c>
      <c r="L244" s="7" t="n">
        <v>193.9</v>
      </c>
      <c r="N244" s="7" t="n">
        <v>235.3</v>
      </c>
      <c r="P244" s="7" t="n">
        <v>118.3</v>
      </c>
      <c r="R244" s="7" t="n">
        <v>75.3</v>
      </c>
      <c r="T244" s="7" t="n">
        <v>199.5</v>
      </c>
      <c r="V244" s="7" t="n">
        <v>173.4</v>
      </c>
      <c r="X244" s="7" t="n">
        <v>139.6</v>
      </c>
      <c r="Z244" s="7" t="n">
        <v>77.3</v>
      </c>
      <c r="AB244" s="7" t="n">
        <v>1751.5</v>
      </c>
    </row>
    <row r="245">
      <c r="A245" s="4" t="inlineStr">
        <is>
          <t>残保金</t>
        </is>
      </c>
      <c r="D245" s="7" t="n">
        <v>69.5</v>
      </c>
      <c r="F245" s="7" t="n">
        <v>69.3</v>
      </c>
      <c r="H245" s="7" t="n">
        <v>100.4</v>
      </c>
      <c r="J245" s="7" t="n">
        <v>111.5</v>
      </c>
      <c r="L245" s="7" t="n">
        <v>179.6</v>
      </c>
      <c r="N245" s="7" t="n">
        <v>256</v>
      </c>
      <c r="P245" s="7" t="n">
        <v>66.7</v>
      </c>
      <c r="R245" s="7" t="n">
        <v>51.4</v>
      </c>
      <c r="T245" s="7" t="n">
        <v>193.9</v>
      </c>
      <c r="V245" s="7" t="n">
        <v>96.90000000000001</v>
      </c>
      <c r="X245" s="7" t="n">
        <v>130.8</v>
      </c>
      <c r="Z245" s="7" t="n">
        <v>87.09999999999999</v>
      </c>
      <c r="AB245" s="7" t="n">
        <v>1413.1</v>
      </c>
    </row>
    <row r="246">
      <c r="A246" s="4" t="inlineStr">
        <is>
          <t>环保费</t>
        </is>
      </c>
      <c r="D246" s="7" t="n">
        <v>307.6</v>
      </c>
      <c r="F246" s="7" t="n">
        <v>230.6</v>
      </c>
      <c r="H246" s="7" t="n">
        <v>395.5</v>
      </c>
      <c r="J246" s="7" t="n">
        <v>569.8</v>
      </c>
      <c r="L246" s="7" t="n">
        <v>593.2</v>
      </c>
      <c r="N246" s="7" t="n">
        <v>855.6</v>
      </c>
      <c r="P246" s="7" t="n">
        <v>235.7</v>
      </c>
      <c r="R246" s="7" t="n">
        <v>208.6</v>
      </c>
      <c r="T246" s="7" t="n">
        <v>609.8</v>
      </c>
      <c r="V246" s="7" t="n">
        <v>531.1</v>
      </c>
      <c r="X246" s="7" t="n">
        <v>332</v>
      </c>
      <c r="Z246" s="7" t="n">
        <v>228.9</v>
      </c>
      <c r="AB246" s="7" t="n">
        <v>5098.4</v>
      </c>
    </row>
    <row r="247">
      <c r="A247" s="4" t="inlineStr">
        <is>
          <t>报废损失</t>
        </is>
      </c>
      <c r="D247" s="7" t="n">
        <v>450</v>
      </c>
      <c r="F247" s="7" t="n">
        <v>316.7</v>
      </c>
      <c r="H247" s="7" t="n">
        <v>573.8</v>
      </c>
      <c r="J247" s="7" t="n">
        <v>855.5</v>
      </c>
      <c r="L247" s="7" t="n">
        <v>869.5</v>
      </c>
      <c r="N247" s="7" t="n">
        <v>790.5</v>
      </c>
      <c r="P247" s="7" t="n">
        <v>325.3</v>
      </c>
      <c r="R247" s="7" t="n">
        <v>305.5</v>
      </c>
      <c r="T247" s="7" t="n">
        <v>961.3</v>
      </c>
      <c r="V247" s="7" t="n">
        <v>576.1</v>
      </c>
      <c r="X247" s="7" t="n">
        <v>543.8</v>
      </c>
      <c r="Z247" s="7" t="n">
        <v>417.9</v>
      </c>
      <c r="AB247" s="7" t="n">
        <v>6985.9</v>
      </c>
    </row>
    <row r="248">
      <c r="A248" s="6" t="inlineStr">
        <is>
          <t>财务费用</t>
        </is>
      </c>
      <c r="B248" s="3" t="inlineStr">
        <is>
          <t>9</t>
        </is>
      </c>
      <c r="C248" s="7" t="n">
        <v>6038.7</v>
      </c>
      <c r="D248" s="7" t="n">
        <v>-954.1</v>
      </c>
      <c r="E248" s="7" t="n">
        <v>6927.6</v>
      </c>
      <c r="F248" s="7" t="n">
        <v>16123.8</v>
      </c>
      <c r="G248" s="7" t="n">
        <v>6346.6</v>
      </c>
      <c r="H248" s="7" t="n">
        <v>11358.5</v>
      </c>
      <c r="I248" s="7" t="n">
        <v>7380.9</v>
      </c>
      <c r="J248" s="7" t="n">
        <v>14896.1</v>
      </c>
      <c r="K248" s="7" t="n">
        <v>7153</v>
      </c>
      <c r="L248" s="7" t="n">
        <v>1417.6</v>
      </c>
      <c r="M248" s="7" t="n">
        <v>6705.7</v>
      </c>
      <c r="N248" s="7" t="n">
        <v>5735</v>
      </c>
      <c r="O248" s="7" t="n">
        <v>7486.4</v>
      </c>
      <c r="P248" s="7" t="n">
        <v>2462.8</v>
      </c>
      <c r="Q248" s="7" t="n">
        <v>7001.7</v>
      </c>
      <c r="R248" s="7" t="n">
        <v>9720.6</v>
      </c>
      <c r="S248" s="7" t="n">
        <v>7063.5</v>
      </c>
      <c r="T248" s="7" t="n">
        <v>-2917.1</v>
      </c>
      <c r="U248" s="7" t="n">
        <v>6855.6</v>
      </c>
      <c r="V248" s="7" t="n">
        <v>-4074.9</v>
      </c>
      <c r="W248" s="7" t="n">
        <v>6036.3</v>
      </c>
      <c r="X248" s="7" t="n">
        <v>12948.1</v>
      </c>
      <c r="Y248" s="7" t="n">
        <v>5841.6</v>
      </c>
      <c r="Z248" s="7" t="n">
        <v>12117.2</v>
      </c>
      <c r="AA248" s="8" t="n">
        <v>80837.60000000001</v>
      </c>
      <c r="AB248" s="8" t="n">
        <v>78833.60000000001</v>
      </c>
    </row>
    <row r="249">
      <c r="A249" s="4" t="inlineStr">
        <is>
          <t>资产减值损失</t>
        </is>
      </c>
      <c r="B249" s="3" t="inlineStr">
        <is>
          <t>10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信用减值损失</t>
        </is>
      </c>
      <c r="B250" s="3" t="inlineStr">
        <is>
          <t>11</t>
        </is>
      </c>
      <c r="C250" s="7" t="n">
        <v>0</v>
      </c>
      <c r="D250" s="7" t="n">
        <v>3143.5</v>
      </c>
      <c r="E250" s="7" t="n">
        <v>0</v>
      </c>
      <c r="F250" s="7" t="n">
        <v>4980.5</v>
      </c>
      <c r="G250" s="7" t="n">
        <v>0</v>
      </c>
      <c r="H250" s="7" t="n">
        <v>2051.7</v>
      </c>
      <c r="I250" s="7" t="n">
        <v>0</v>
      </c>
      <c r="J250" s="7" t="n">
        <v>961.8</v>
      </c>
      <c r="K250" s="7" t="n">
        <v>0</v>
      </c>
      <c r="L250" s="7" t="n">
        <v>1826.8</v>
      </c>
      <c r="M250" s="7" t="n">
        <v>0</v>
      </c>
      <c r="N250" s="7" t="n">
        <v>-3766.2</v>
      </c>
      <c r="O250" s="7" t="n">
        <v>0</v>
      </c>
      <c r="P250" s="7" t="n">
        <v>-4308.5</v>
      </c>
      <c r="Q250" s="7" t="n">
        <v>0</v>
      </c>
      <c r="R250" s="7" t="n">
        <v>3633.8</v>
      </c>
      <c r="S250" s="7" t="n">
        <v>0</v>
      </c>
      <c r="T250" s="7" t="n">
        <v>586.5</v>
      </c>
      <c r="U250" s="7" t="n">
        <v>0</v>
      </c>
      <c r="V250" s="7" t="n">
        <v>-4001.6</v>
      </c>
      <c r="W250" s="7" t="n">
        <v>0</v>
      </c>
      <c r="X250" s="7" t="n">
        <v>-1028.9</v>
      </c>
      <c r="Y250" s="7" t="n">
        <v>0</v>
      </c>
      <c r="Z250" s="7" t="n">
        <v>448.3</v>
      </c>
      <c r="AA250" s="7" t="n">
        <v>0</v>
      </c>
      <c r="AB250" s="7" t="n">
        <v>4527.7</v>
      </c>
    </row>
    <row r="251">
      <c r="A251" s="4" t="inlineStr">
        <is>
          <t>加：公允价值变动收益（损失以"-"号填列）</t>
        </is>
      </c>
      <c r="B251" s="3" t="inlineStr">
        <is>
          <t>12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投资收益（损失以"-"号填列）</t>
        </is>
      </c>
      <c r="B252" s="3" t="inlineStr">
        <is>
          <t>13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其中：对联营企业和合营企业的投资收益</t>
        </is>
      </c>
      <c r="B253" s="3" t="inlineStr">
        <is>
          <t>14</t>
        </is>
      </c>
      <c r="C253" s="7" t="n">
        <v>0</v>
      </c>
      <c r="D253" s="7" t="n">
        <v>0</v>
      </c>
      <c r="E253" s="7" t="n">
        <v>0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0</v>
      </c>
      <c r="O253" s="7" t="n">
        <v>0</v>
      </c>
      <c r="P253" s="7" t="n">
        <v>0</v>
      </c>
      <c r="Q253" s="7" t="n">
        <v>0</v>
      </c>
      <c r="R253" s="7" t="n">
        <v>0</v>
      </c>
      <c r="S253" s="7" t="n">
        <v>0</v>
      </c>
      <c r="T253" s="7" t="n">
        <v>0</v>
      </c>
      <c r="U253" s="7" t="n">
        <v>0</v>
      </c>
      <c r="V253" s="7" t="n">
        <v>0</v>
      </c>
      <c r="W253" s="7" t="n">
        <v>0</v>
      </c>
      <c r="X253" s="7" t="n">
        <v>0</v>
      </c>
      <c r="Y253" s="7" t="n">
        <v>0</v>
      </c>
      <c r="Z253" s="7" t="n">
        <v>0</v>
      </c>
      <c r="AA253" s="7" t="n">
        <v>0</v>
      </c>
      <c r="AB253" s="7" t="n">
        <v>0</v>
      </c>
    </row>
    <row r="254">
      <c r="A254" s="4" t="inlineStr">
        <is>
          <t>资产处置收益（损失以"-"号填列）</t>
        </is>
      </c>
      <c r="B254" s="3" t="inlineStr">
        <is>
          <t>15</t>
        </is>
      </c>
      <c r="C254" s="7" t="n">
        <v>0</v>
      </c>
      <c r="D254" s="7" t="n">
        <v>0</v>
      </c>
      <c r="E254" s="7" t="n">
        <v>0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0</v>
      </c>
      <c r="K254" s="7" t="n">
        <v>0</v>
      </c>
      <c r="L254" s="7" t="n">
        <v>0</v>
      </c>
      <c r="M254" s="7" t="n">
        <v>0</v>
      </c>
      <c r="N254" s="7" t="n">
        <v>0</v>
      </c>
      <c r="O254" s="7" t="n">
        <v>0</v>
      </c>
      <c r="P254" s="7" t="n">
        <v>0</v>
      </c>
      <c r="Q254" s="7" t="n">
        <v>0</v>
      </c>
      <c r="R254" s="7" t="n">
        <v>0</v>
      </c>
      <c r="S254" s="7" t="n">
        <v>0</v>
      </c>
      <c r="T254" s="7" t="n">
        <v>0</v>
      </c>
      <c r="U254" s="7" t="n">
        <v>0</v>
      </c>
      <c r="V254" s="7" t="n">
        <v>0</v>
      </c>
      <c r="W254" s="7" t="n">
        <v>0</v>
      </c>
      <c r="X254" s="7" t="n">
        <v>0</v>
      </c>
      <c r="Y254" s="7" t="n">
        <v>0</v>
      </c>
      <c r="Z254" s="7" t="n">
        <v>0</v>
      </c>
      <c r="AA254" s="7" t="n">
        <v>0</v>
      </c>
      <c r="AB254" s="7" t="n">
        <v>0</v>
      </c>
    </row>
    <row r="255">
      <c r="A255" s="4" t="inlineStr">
        <is>
          <t>其他收益</t>
        </is>
      </c>
      <c r="B255" s="3" t="inlineStr">
        <is>
          <t>16</t>
        </is>
      </c>
      <c r="C255" s="7" t="n">
        <v>13276.9</v>
      </c>
      <c r="D255" s="7" t="n">
        <v>17387.3</v>
      </c>
      <c r="E255" s="7" t="n">
        <v>11344.4</v>
      </c>
      <c r="F255" s="7" t="n">
        <v>13936.4</v>
      </c>
      <c r="G255" s="7" t="n">
        <v>9948.299999999999</v>
      </c>
      <c r="H255" s="7" t="n">
        <v>323.2</v>
      </c>
      <c r="I255" s="7" t="n">
        <v>10547.3</v>
      </c>
      <c r="J255" s="7" t="n">
        <v>8318.200000000001</v>
      </c>
      <c r="K255" s="7" t="n">
        <v>11421.2</v>
      </c>
      <c r="L255" s="7" t="n">
        <v>3536</v>
      </c>
      <c r="M255" s="7" t="n">
        <v>12513.7</v>
      </c>
      <c r="N255" s="7" t="n">
        <v>9963.4</v>
      </c>
      <c r="O255" s="7" t="n">
        <v>12590</v>
      </c>
      <c r="P255" s="7" t="n">
        <v>7398.1</v>
      </c>
      <c r="Q255" s="7" t="n">
        <v>11866.5</v>
      </c>
      <c r="R255" s="7" t="n">
        <v>17950.8</v>
      </c>
      <c r="S255" s="7" t="n">
        <v>11724.9</v>
      </c>
      <c r="T255" s="7" t="n">
        <v>19128.5</v>
      </c>
      <c r="U255" s="7" t="n">
        <v>11222.7</v>
      </c>
      <c r="V255" s="7" t="n">
        <v>11939.2</v>
      </c>
      <c r="W255" s="7" t="n">
        <v>10905.4</v>
      </c>
      <c r="X255" s="7" t="n">
        <v>4156.4</v>
      </c>
      <c r="Y255" s="7" t="n">
        <v>9972.9</v>
      </c>
      <c r="Z255" s="7" t="n">
        <v>26238.9</v>
      </c>
      <c r="AA255" s="7" t="n">
        <v>137334.2</v>
      </c>
      <c r="AB255" s="7" t="n">
        <v>140276.4</v>
      </c>
    </row>
    <row r="256">
      <c r="A256" s="6" t="inlineStr">
        <is>
          <t>二、营业利润（亏损以"-"号填列）</t>
        </is>
      </c>
      <c r="B256" s="3" t="inlineStr">
        <is>
          <t>17</t>
        </is>
      </c>
      <c r="C256" s="7" t="n">
        <v>394362.8</v>
      </c>
      <c r="D256" s="7" t="n">
        <v>357241.6</v>
      </c>
      <c r="E256" s="7" t="n">
        <v>446843.5</v>
      </c>
      <c r="F256" s="7" t="n">
        <v>396389.3</v>
      </c>
      <c r="G256" s="7" t="n">
        <v>379659.6</v>
      </c>
      <c r="H256" s="7" t="n">
        <v>299281.9</v>
      </c>
      <c r="I256" s="7" t="n">
        <v>350603.6</v>
      </c>
      <c r="J256" s="7" t="n">
        <v>480441.2</v>
      </c>
      <c r="K256" s="7" t="n">
        <v>377884.5</v>
      </c>
      <c r="L256" s="7" t="n">
        <v>467107.6</v>
      </c>
      <c r="M256" s="7" t="n">
        <v>450795.2</v>
      </c>
      <c r="N256" s="7" t="n">
        <v>396360.3</v>
      </c>
      <c r="O256" s="7" t="n">
        <v>385801.1</v>
      </c>
      <c r="P256" s="7" t="n">
        <v>538906.4</v>
      </c>
      <c r="Q256" s="7" t="n">
        <v>366610.3</v>
      </c>
      <c r="R256" s="7" t="n">
        <v>377494.5</v>
      </c>
      <c r="S256" s="7" t="n">
        <v>423397.6</v>
      </c>
      <c r="T256" s="7" t="n">
        <v>468285.2</v>
      </c>
      <c r="U256" s="7" t="n">
        <v>381929.4</v>
      </c>
      <c r="V256" s="7" t="n">
        <v>545326.6</v>
      </c>
      <c r="W256" s="7" t="n">
        <v>343578.7</v>
      </c>
      <c r="X256" s="7" t="n">
        <v>232110.9</v>
      </c>
      <c r="Y256" s="7" t="n">
        <v>360031.8</v>
      </c>
      <c r="Z256" s="7" t="n">
        <v>247473.9</v>
      </c>
      <c r="AA256" s="8" t="n">
        <v>4661498.1</v>
      </c>
      <c r="AB256" s="8" t="n">
        <v>4806419.4</v>
      </c>
    </row>
    <row r="257">
      <c r="A257" s="4" t="inlineStr">
        <is>
          <t>加：营业外收入</t>
        </is>
      </c>
      <c r="B257" s="3" t="inlineStr">
        <is>
          <t>18</t>
        </is>
      </c>
      <c r="C257" s="7" t="n">
        <v>0</v>
      </c>
      <c r="D257" s="7" t="n">
        <v>407.4</v>
      </c>
      <c r="E257" s="7" t="n">
        <v>0</v>
      </c>
      <c r="F257" s="7" t="n">
        <v>235.4</v>
      </c>
      <c r="G257" s="7" t="n">
        <v>0</v>
      </c>
      <c r="H257" s="7" t="n">
        <v>4039</v>
      </c>
      <c r="I257" s="7" t="n">
        <v>0</v>
      </c>
      <c r="J257" s="7" t="n">
        <v>442.1</v>
      </c>
      <c r="K257" s="7" t="n">
        <v>0</v>
      </c>
      <c r="L257" s="7" t="n">
        <v>4554.4</v>
      </c>
      <c r="M257" s="7" t="n">
        <v>0</v>
      </c>
      <c r="N257" s="7" t="n">
        <v>1222.7</v>
      </c>
      <c r="O257" s="7" t="n">
        <v>0</v>
      </c>
      <c r="P257" s="7" t="n">
        <v>433.9</v>
      </c>
      <c r="Q257" s="7" t="n">
        <v>0</v>
      </c>
      <c r="R257" s="7" t="n">
        <v>1652.1</v>
      </c>
      <c r="S257" s="7" t="n">
        <v>0</v>
      </c>
      <c r="T257" s="7" t="n">
        <v>2566.1</v>
      </c>
      <c r="U257" s="7" t="n">
        <v>0</v>
      </c>
      <c r="V257" s="7" t="n">
        <v>3173.9</v>
      </c>
      <c r="W257" s="7" t="n">
        <v>0</v>
      </c>
      <c r="X257" s="7" t="n">
        <v>3532.7</v>
      </c>
      <c r="Y257" s="7" t="n">
        <v>0</v>
      </c>
      <c r="Z257" s="7" t="n">
        <v>2831.3</v>
      </c>
      <c r="AA257" s="7" t="n">
        <v>0</v>
      </c>
      <c r="AB257" s="7" t="n">
        <v>25091</v>
      </c>
    </row>
    <row r="258">
      <c r="A258" s="4" t="inlineStr">
        <is>
          <t>减：营业外支出</t>
        </is>
      </c>
      <c r="B258" s="3" t="inlineStr">
        <is>
          <t>19</t>
        </is>
      </c>
      <c r="C258" s="7" t="n">
        <v>0</v>
      </c>
      <c r="D258" s="7" t="n">
        <v>35.8</v>
      </c>
      <c r="E258" s="7" t="n">
        <v>0</v>
      </c>
      <c r="F258" s="7" t="n">
        <v>661.6</v>
      </c>
      <c r="G258" s="7" t="n">
        <v>0</v>
      </c>
      <c r="H258" s="7" t="n">
        <v>2424.1</v>
      </c>
      <c r="I258" s="7" t="n">
        <v>0</v>
      </c>
      <c r="J258" s="7" t="n">
        <v>2587</v>
      </c>
      <c r="K258" s="7" t="n">
        <v>0</v>
      </c>
      <c r="L258" s="7" t="n">
        <v>1361.4</v>
      </c>
      <c r="M258" s="7" t="n">
        <v>0</v>
      </c>
      <c r="N258" s="7" t="n">
        <v>1478.3</v>
      </c>
      <c r="O258" s="7" t="n">
        <v>0</v>
      </c>
      <c r="P258" s="7" t="n">
        <v>1478.8</v>
      </c>
      <c r="Q258" s="7" t="n">
        <v>0</v>
      </c>
      <c r="R258" s="7" t="n">
        <v>2571.1</v>
      </c>
      <c r="S258" s="7" t="n">
        <v>0</v>
      </c>
      <c r="T258" s="7" t="n">
        <v>2097.8</v>
      </c>
      <c r="U258" s="7" t="n">
        <v>0</v>
      </c>
      <c r="V258" s="7" t="n">
        <v>576.7</v>
      </c>
      <c r="W258" s="7" t="n">
        <v>0</v>
      </c>
      <c r="X258" s="7" t="n">
        <v>1036.2</v>
      </c>
      <c r="Y258" s="7" t="n">
        <v>0</v>
      </c>
      <c r="Z258" s="7" t="n">
        <v>1501</v>
      </c>
      <c r="AA258" s="7" t="n">
        <v>0</v>
      </c>
      <c r="AB258" s="7" t="n">
        <v>17809.8</v>
      </c>
    </row>
    <row r="259">
      <c r="A259" s="6" t="inlineStr">
        <is>
          <t>三、利润总额（亏损总额以"-"号填列）</t>
        </is>
      </c>
      <c r="B259" s="3" t="inlineStr">
        <is>
          <t>20</t>
        </is>
      </c>
      <c r="C259" s="7" t="n">
        <v>404761.7</v>
      </c>
      <c r="D259" s="7" t="n">
        <v>386360.7</v>
      </c>
      <c r="E259" s="7" t="n">
        <v>376748.8</v>
      </c>
      <c r="F259" s="7" t="n">
        <v>427565.5</v>
      </c>
      <c r="G259" s="7" t="n">
        <v>366990.8</v>
      </c>
      <c r="H259" s="7" t="n">
        <v>287518</v>
      </c>
      <c r="I259" s="7" t="n">
        <v>384444.1</v>
      </c>
      <c r="J259" s="7" t="n">
        <v>444847.2</v>
      </c>
      <c r="K259" s="7" t="n">
        <v>369355.9</v>
      </c>
      <c r="L259" s="7" t="n">
        <v>505417.5</v>
      </c>
      <c r="M259" s="7" t="n">
        <v>428743.6</v>
      </c>
      <c r="N259" s="7" t="n">
        <v>412107.5</v>
      </c>
      <c r="O259" s="7" t="n">
        <v>392609.7</v>
      </c>
      <c r="P259" s="7" t="n">
        <v>485534.5</v>
      </c>
      <c r="Q259" s="7" t="n">
        <v>437902.1</v>
      </c>
      <c r="R259" s="7" t="n">
        <v>346783.3</v>
      </c>
      <c r="S259" s="7" t="n">
        <v>393082.6</v>
      </c>
      <c r="T259" s="7" t="n">
        <v>458185.3</v>
      </c>
      <c r="U259" s="7" t="n">
        <v>441836.9</v>
      </c>
      <c r="V259" s="7" t="n">
        <v>549784.2</v>
      </c>
      <c r="W259" s="7" t="n">
        <v>390464.1</v>
      </c>
      <c r="X259" s="7" t="n">
        <v>219663.2</v>
      </c>
      <c r="Y259" s="7" t="n">
        <v>345678.2</v>
      </c>
      <c r="Z259" s="7" t="n">
        <v>254135.5</v>
      </c>
      <c r="AA259" s="8" t="n">
        <v>4732618.5</v>
      </c>
      <c r="AB259" s="8" t="n">
        <v>4777902.4</v>
      </c>
    </row>
    <row r="260">
      <c r="A260" s="4" t="inlineStr">
        <is>
          <t>减：所得税费用</t>
        </is>
      </c>
      <c r="B260" s="3" t="inlineStr">
        <is>
          <t>21</t>
        </is>
      </c>
      <c r="C260" s="7" t="n">
        <v>96188.3</v>
      </c>
      <c r="D260" s="7" t="n">
        <v>96590.2</v>
      </c>
      <c r="E260" s="7" t="n">
        <v>91310.89999999999</v>
      </c>
      <c r="F260" s="7" t="n">
        <v>106891.4</v>
      </c>
      <c r="G260" s="7" t="n">
        <v>94301.8</v>
      </c>
      <c r="H260" s="7" t="n">
        <v>71879.5</v>
      </c>
      <c r="I260" s="7" t="n">
        <v>113102</v>
      </c>
      <c r="J260" s="7" t="n">
        <v>111211.8</v>
      </c>
      <c r="K260" s="7" t="n">
        <v>109776</v>
      </c>
      <c r="L260" s="7" t="n">
        <v>126354.4</v>
      </c>
      <c r="M260" s="7" t="n">
        <v>112416.7</v>
      </c>
      <c r="N260" s="7" t="n">
        <v>103026.9</v>
      </c>
      <c r="O260" s="7" t="n">
        <v>108469.5</v>
      </c>
      <c r="P260" s="7" t="n">
        <v>121383.6</v>
      </c>
      <c r="Q260" s="7" t="n">
        <v>98197.2</v>
      </c>
      <c r="R260" s="7" t="n">
        <v>86695.8</v>
      </c>
      <c r="S260" s="7" t="n">
        <v>103571.7</v>
      </c>
      <c r="T260" s="7" t="n">
        <v>114546.3</v>
      </c>
      <c r="U260" s="7" t="n">
        <v>109753.4</v>
      </c>
      <c r="V260" s="7" t="n">
        <v>137446</v>
      </c>
      <c r="W260" s="7" t="n">
        <v>109775.1</v>
      </c>
      <c r="X260" s="7" t="n">
        <v>54915.8</v>
      </c>
      <c r="Y260" s="7" t="n">
        <v>103692</v>
      </c>
      <c r="Z260" s="7" t="n">
        <v>63533.9</v>
      </c>
      <c r="AA260" s="7" t="n">
        <v>1250554.6</v>
      </c>
      <c r="AB260" s="7" t="n">
        <v>1194475.6</v>
      </c>
    </row>
    <row r="261">
      <c r="A261" s="6" t="inlineStr">
        <is>
          <t>四、净利润（净亏损以"-"号填列）</t>
        </is>
      </c>
      <c r="B261" s="3" t="inlineStr">
        <is>
          <t>22</t>
        </is>
      </c>
      <c r="C261" s="7" t="n">
        <v>343205.6</v>
      </c>
      <c r="D261" s="7" t="n">
        <v>289770.5</v>
      </c>
      <c r="E261" s="7" t="n">
        <v>327695.8</v>
      </c>
      <c r="F261" s="7" t="n">
        <v>320674.1</v>
      </c>
      <c r="G261" s="7" t="n">
        <v>318519</v>
      </c>
      <c r="H261" s="7" t="n">
        <v>215638.5</v>
      </c>
      <c r="I261" s="7" t="n">
        <v>291170.7</v>
      </c>
      <c r="J261" s="7" t="n">
        <v>333635.4</v>
      </c>
      <c r="K261" s="7" t="n">
        <v>311744.8</v>
      </c>
      <c r="L261" s="7" t="n">
        <v>379063.1</v>
      </c>
      <c r="M261" s="7" t="n">
        <v>273459.1</v>
      </c>
      <c r="N261" s="7" t="n">
        <v>309080.6</v>
      </c>
      <c r="O261" s="7" t="n">
        <v>262868.9</v>
      </c>
      <c r="P261" s="7" t="n">
        <v>364150.9</v>
      </c>
      <c r="Q261" s="7" t="n">
        <v>263001.3</v>
      </c>
      <c r="R261" s="7" t="n">
        <v>260087.5</v>
      </c>
      <c r="S261" s="7" t="n">
        <v>231643.5</v>
      </c>
      <c r="T261" s="7" t="n">
        <v>343639</v>
      </c>
      <c r="U261" s="7" t="n">
        <v>237478.7</v>
      </c>
      <c r="V261" s="7" t="n">
        <v>412338.2</v>
      </c>
      <c r="W261" s="7" t="n">
        <v>363621.1</v>
      </c>
      <c r="X261" s="7" t="n">
        <v>164747.4</v>
      </c>
      <c r="Y261" s="7" t="n">
        <v>284270.5</v>
      </c>
      <c r="Z261" s="7" t="n">
        <v>190601.6</v>
      </c>
      <c r="AA261" s="8" t="n">
        <v>3508679</v>
      </c>
      <c r="AB261" s="8" t="n">
        <v>3583426.8</v>
      </c>
    </row>
    <row r="262">
      <c r="A262" s="4" t="inlineStr">
        <is>
          <t>五、分红</t>
        </is>
      </c>
      <c r="B262" s="3" t="inlineStr">
        <is>
          <t>23</t>
        </is>
      </c>
      <c r="C262" s="7" t="n">
        <v>0</v>
      </c>
      <c r="D262" s="7" t="n">
        <v>41067.9</v>
      </c>
      <c r="E262" s="7" t="n">
        <v>0</v>
      </c>
      <c r="F262" s="7" t="n">
        <v>22735.9</v>
      </c>
      <c r="G262" s="7" t="n">
        <v>0</v>
      </c>
      <c r="H262" s="7" t="n">
        <v>14726.8</v>
      </c>
      <c r="I262" s="7" t="n">
        <v>0</v>
      </c>
      <c r="J262" s="7" t="n">
        <v>17720.8</v>
      </c>
      <c r="K262" s="7" t="n">
        <v>0</v>
      </c>
      <c r="L262" s="7" t="n">
        <v>65973.39999999999</v>
      </c>
      <c r="M262" s="7" t="n">
        <v>0</v>
      </c>
      <c r="N262" s="7" t="n">
        <v>38962.6</v>
      </c>
      <c r="O262" s="7" t="n">
        <v>0</v>
      </c>
      <c r="P262" s="7" t="n">
        <v>90533.39999999999</v>
      </c>
      <c r="Q262" s="7" t="n">
        <v>0</v>
      </c>
      <c r="R262" s="7" t="n">
        <v>56592</v>
      </c>
      <c r="S262" s="7" t="n">
        <v>0</v>
      </c>
      <c r="T262" s="7" t="n">
        <v>34363.7</v>
      </c>
      <c r="U262" s="7" t="n">
        <v>0</v>
      </c>
      <c r="V262" s="7" t="n">
        <v>93386</v>
      </c>
      <c r="W262" s="7" t="n">
        <v>0</v>
      </c>
      <c r="X262" s="7" t="n">
        <v>24705.8</v>
      </c>
      <c r="Y262" s="7" t="n">
        <v>0</v>
      </c>
      <c r="Z262" s="7" t="n">
        <v>56038.3</v>
      </c>
      <c r="AA262" s="7" t="n">
        <v>0</v>
      </c>
      <c r="AB262" s="7" t="n">
        <v>556806.6</v>
      </c>
    </row>
    <row r="263">
      <c r="A263" s="6" t="inlineStr">
        <is>
          <t>六、分红后净利润（净亏损以"-"号填列）</t>
        </is>
      </c>
      <c r="B263" s="3" t="inlineStr">
        <is>
          <t>24</t>
        </is>
      </c>
      <c r="C263" s="7" t="n">
        <v>343205.6</v>
      </c>
      <c r="D263" s="7" t="n">
        <v>248702.6</v>
      </c>
      <c r="E263" s="7" t="n">
        <v>327695.8</v>
      </c>
      <c r="F263" s="7" t="n">
        <v>297938.2</v>
      </c>
      <c r="G263" s="7" t="n">
        <v>318519</v>
      </c>
      <c r="H263" s="7" t="n">
        <v>200911.7</v>
      </c>
      <c r="I263" s="7" t="n">
        <v>291170.7</v>
      </c>
      <c r="J263" s="7" t="n">
        <v>315914.6</v>
      </c>
      <c r="K263" s="7" t="n">
        <v>311744.8</v>
      </c>
      <c r="L263" s="7" t="n">
        <v>313089.7</v>
      </c>
      <c r="M263" s="7" t="n">
        <v>273459.1</v>
      </c>
      <c r="N263" s="7" t="n">
        <v>270118</v>
      </c>
      <c r="O263" s="7" t="n">
        <v>262868.9</v>
      </c>
      <c r="P263" s="7" t="n">
        <v>273617.5</v>
      </c>
      <c r="Q263" s="7" t="n">
        <v>263001.3</v>
      </c>
      <c r="R263" s="7" t="n">
        <v>203495.5</v>
      </c>
      <c r="S263" s="7" t="n">
        <v>231643.5</v>
      </c>
      <c r="T263" s="7" t="n">
        <v>309275.3</v>
      </c>
      <c r="U263" s="7" t="n">
        <v>237478.7</v>
      </c>
      <c r="V263" s="7" t="n">
        <v>318952.2</v>
      </c>
      <c r="W263" s="7" t="n">
        <v>363621.1</v>
      </c>
      <c r="X263" s="7" t="n">
        <v>140041.6</v>
      </c>
      <c r="Y263" s="7" t="n">
        <v>284270.5</v>
      </c>
      <c r="Z263" s="7" t="n">
        <v>134563.3</v>
      </c>
      <c r="AA263" s="8" t="n">
        <v>3508679</v>
      </c>
      <c r="AB263" s="8" t="n">
        <v>3026620.2</v>
      </c>
    </row>
    <row r="264">
      <c r="A264" s="4" t="inlineStr">
        <is>
          <t>净利率</t>
        </is>
      </c>
      <c r="D264" s="13" t="n">
        <v>12.4</v>
      </c>
      <c r="F264" s="13" t="n">
        <v>12.9</v>
      </c>
      <c r="H264" s="13" t="n">
        <v>6.6</v>
      </c>
      <c r="J264" s="13" t="n">
        <v>9.5</v>
      </c>
      <c r="L264" s="13" t="n">
        <v>9</v>
      </c>
      <c r="N264" s="13" t="n">
        <v>7.1</v>
      </c>
      <c r="P264" s="13" t="n">
        <v>7.8</v>
      </c>
      <c r="R264" s="13" t="n">
        <v>7</v>
      </c>
      <c r="T264" s="13" t="n">
        <v>9.800000000000001</v>
      </c>
      <c r="V264" s="13" t="n">
        <v>9.4</v>
      </c>
      <c r="X264" s="13" t="n">
        <v>5.2</v>
      </c>
      <c r="Z264" s="13" t="n">
        <v>8</v>
      </c>
    </row>
    <row r="265">
      <c r="A265" s="4" t="inlineStr">
        <is>
          <t>销售达成率</t>
        </is>
      </c>
      <c r="D265" s="13" t="n">
        <v>60.7</v>
      </c>
      <c r="F265" s="13" t="n">
        <v>67.3</v>
      </c>
      <c r="H265" s="13" t="n">
        <v>106.8</v>
      </c>
      <c r="J265" s="13" t="n">
        <v>113.1</v>
      </c>
      <c r="L265" s="13" t="n">
        <v>113.1</v>
      </c>
      <c r="N265" s="13" t="n">
        <v>130.8</v>
      </c>
      <c r="P265" s="13" t="n">
        <v>123.5</v>
      </c>
      <c r="R265" s="13" t="n">
        <v>100.4</v>
      </c>
      <c r="T265" s="13" t="n">
        <v>88.5</v>
      </c>
      <c r="V265" s="13" t="n">
        <v>111.4</v>
      </c>
      <c r="X265" s="13" t="n">
        <v>94.8</v>
      </c>
      <c r="Z265" s="13" t="n">
        <v>65.40000000000001</v>
      </c>
    </row>
    <row r="266">
      <c r="A266" s="4" t="inlineStr">
        <is>
          <t>净利达成率</t>
        </is>
      </c>
      <c r="D266" s="13" t="n">
        <v>84.40000000000001</v>
      </c>
      <c r="F266" s="13" t="n">
        <v>97.90000000000001</v>
      </c>
      <c r="H266" s="13" t="n">
        <v>67.7</v>
      </c>
      <c r="J266" s="13" t="n">
        <v>114.6</v>
      </c>
      <c r="L266" s="13" t="n">
        <v>121.6</v>
      </c>
      <c r="N266" s="13" t="n">
        <v>113</v>
      </c>
      <c r="P266" s="13" t="n">
        <v>138.5</v>
      </c>
      <c r="R266" s="13" t="n">
        <v>98.90000000000001</v>
      </c>
      <c r="T266" s="13" t="n">
        <v>148.3</v>
      </c>
      <c r="V266" s="13" t="n">
        <v>173.6</v>
      </c>
      <c r="X266" s="13" t="n">
        <v>45.3</v>
      </c>
      <c r="Z266" s="13" t="n">
        <v>67</v>
      </c>
    </row>
    <row r="268"/>
    <row r="269">
      <c r="A269" t="inlineStr">
        <is>
          <t>编制说明：</t>
        </is>
      </c>
      <c r="B269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O4:P4"/>
    <mergeCell ref="AA4:AB4"/>
    <mergeCell ref="Q4:R4"/>
    <mergeCell ref="B269:AB269"/>
    <mergeCell ref="A4:A5"/>
    <mergeCell ref="A3:AB3"/>
    <mergeCell ref="A1:AB1"/>
    <mergeCell ref="G4:H4"/>
    <mergeCell ref="I4:J4"/>
    <mergeCell ref="B4:B5"/>
    <mergeCell ref="A268:AB268"/>
    <mergeCell ref="K4:L4"/>
    <mergeCell ref="M4:N4"/>
    <mergeCell ref="S4:T4"/>
    <mergeCell ref="U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月份</t>
        </is>
      </c>
      <c r="C1" s="2" t="inlineStr">
        <is>
          <t>摘要</t>
        </is>
      </c>
      <c r="D1" s="2" t="inlineStr">
        <is>
          <t>贷方金额</t>
        </is>
      </c>
      <c r="E1" s="2" t="inlineStr">
        <is>
          <t>区域</t>
        </is>
      </c>
      <c r="F1" s="2" t="inlineStr">
        <is>
          <t>业务员</t>
        </is>
      </c>
    </row>
    <row r="2">
      <c r="A2" s="14" t="n">
        <v>45295</v>
      </c>
      <c r="B2" s="4" t="inlineStr">
        <is>
          <t>2024-01</t>
        </is>
      </c>
      <c r="C2" s="4" t="inlineStr">
        <is>
          <t>吴中实业有限公司经销商返点实现14727</t>
        </is>
      </c>
      <c r="D2" s="15" t="n">
        <v>-14727.64</v>
      </c>
      <c r="E2" s="4" t="inlineStr">
        <is>
          <t>上海分部</t>
        </is>
      </c>
      <c r="F2" s="4" t="inlineStr">
        <is>
          <t>王秀英</t>
        </is>
      </c>
    </row>
    <row r="3">
      <c r="A3" s="14" t="n">
        <v>45307</v>
      </c>
      <c r="B3" s="4" t="inlineStr">
        <is>
          <t>2024-01</t>
        </is>
      </c>
      <c r="C3" s="4" t="inlineStr">
        <is>
          <t>冲减计提吴中食品有限公司经销商返点实现10341</t>
        </is>
      </c>
      <c r="D3" s="15" t="n">
        <v>10341.67</v>
      </c>
      <c r="E3" s="4" t="inlineStr">
        <is>
          <t>赣皖区域</t>
        </is>
      </c>
      <c r="F3" s="4" t="inlineStr">
        <is>
          <t>何明秀</t>
        </is>
      </c>
    </row>
    <row r="4">
      <c r="A4" s="14" t="n">
        <v>45336</v>
      </c>
      <c r="B4" s="4" t="inlineStr">
        <is>
          <t>2024-02</t>
        </is>
      </c>
      <c r="C4" s="4" t="inlineStr">
        <is>
          <t>冲减计提海宁食品有限公司经销商返点实现596</t>
        </is>
      </c>
      <c r="D4" s="15" t="n">
        <v>596.12</v>
      </c>
      <c r="E4" s="4" t="inlineStr">
        <is>
          <t>江苏分部</t>
        </is>
      </c>
      <c r="F4" s="4" t="inlineStr">
        <is>
          <t>黄静芳</t>
        </is>
      </c>
    </row>
    <row r="5">
      <c r="A5" s="14" t="n">
        <v>45361</v>
      </c>
      <c r="B5" s="4" t="inlineStr">
        <is>
          <t>2024-03</t>
        </is>
      </c>
      <c r="C5" s="4" t="inlineStr">
        <is>
          <t>冲减计提吴中市大匠食品商行经销商返点实现5514</t>
        </is>
      </c>
      <c r="D5" s="15" t="n">
        <v>5514.49</v>
      </c>
      <c r="E5" s="4" t="inlineStr">
        <is>
          <t>赣皖区域</t>
        </is>
      </c>
      <c r="F5" s="4" t="inlineStr">
        <is>
          <t>黄秀秀</t>
        </is>
      </c>
    </row>
    <row r="6">
      <c r="A6" s="14" t="n">
        <v>45364</v>
      </c>
      <c r="B6" s="4" t="inlineStr">
        <is>
          <t>2024-03</t>
        </is>
      </c>
      <c r="C6" s="4" t="inlineStr">
        <is>
          <t>海宁供应链管理有限公司经销商返点实现1945</t>
        </is>
      </c>
      <c r="D6" s="15" t="n">
        <v>-1945.98</v>
      </c>
      <c r="E6" s="4" t="inlineStr">
        <is>
          <t>赣皖区域</t>
        </is>
      </c>
      <c r="F6" s="4" t="inlineStr">
        <is>
          <t>李强英</t>
        </is>
      </c>
    </row>
    <row r="7">
      <c r="A7" s="14" t="n">
        <v>45367</v>
      </c>
      <c r="B7" s="4" t="inlineStr">
        <is>
          <t>2024-03</t>
        </is>
      </c>
      <c r="C7" s="4" t="inlineStr">
        <is>
          <t>余杭供应链管理有限公司经销商返点实现10912</t>
        </is>
      </c>
      <c r="D7" s="15" t="n">
        <v>-10912.73</v>
      </c>
      <c r="E7" s="4" t="inlineStr">
        <is>
          <t>江苏分部</t>
        </is>
      </c>
      <c r="F7" s="4" t="inlineStr">
        <is>
          <t>胡兰英</t>
        </is>
      </c>
    </row>
    <row r="8">
      <c r="A8" s="14" t="n">
        <v>45368</v>
      </c>
      <c r="B8" s="4" t="inlineStr">
        <is>
          <t>2024-03</t>
        </is>
      </c>
      <c r="C8" s="4" t="inlineStr">
        <is>
          <t>余杭实业有限公司经销商返点实现14574</t>
        </is>
      </c>
      <c r="D8" s="15" t="n">
        <v>-14574.03</v>
      </c>
      <c r="E8" s="4" t="inlineStr">
        <is>
          <t>江苏分部</t>
        </is>
      </c>
      <c r="F8" s="4" t="inlineStr">
        <is>
          <t>徐丽秀</t>
        </is>
      </c>
    </row>
    <row r="9">
      <c r="A9" s="14" t="n">
        <v>45369</v>
      </c>
      <c r="B9" s="4" t="inlineStr">
        <is>
          <t>2024-03</t>
        </is>
      </c>
      <c r="C9" s="4" t="inlineStr">
        <is>
          <t>冲减计提武进商贸有限公司经销商返点实现7024</t>
        </is>
      </c>
      <c r="D9" s="15" t="n">
        <v>7024.47</v>
      </c>
      <c r="E9" s="4" t="inlineStr">
        <is>
          <t>上海分部</t>
        </is>
      </c>
      <c r="F9" s="4" t="inlineStr">
        <is>
          <t>陈丽芳</t>
        </is>
      </c>
    </row>
    <row r="10">
      <c r="A10" s="14" t="n">
        <v>45373</v>
      </c>
      <c r="B10" s="4" t="inlineStr">
        <is>
          <t>2024-03</t>
        </is>
      </c>
      <c r="C10" s="4" t="inlineStr">
        <is>
          <t>武进供应链管理有限公司经销商返点实现3861</t>
        </is>
      </c>
      <c r="D10" s="15" t="n">
        <v>-3861.51</v>
      </c>
      <c r="E10" s="4" t="inlineStr">
        <is>
          <t>江苏分部</t>
        </is>
      </c>
      <c r="F10" s="4" t="inlineStr">
        <is>
          <t>朱超芳</t>
        </is>
      </c>
    </row>
    <row r="11">
      <c r="A11" s="14" t="n">
        <v>45373</v>
      </c>
      <c r="B11" s="4" t="inlineStr">
        <is>
          <t>2024-03</t>
        </is>
      </c>
      <c r="C11" s="4" t="inlineStr">
        <is>
          <t>冲减计提姑苏供应链管理有限公司经销商返点实现14233</t>
        </is>
      </c>
      <c r="D11" s="15" t="n">
        <v>14233.17</v>
      </c>
      <c r="E11" s="4" t="inlineStr">
        <is>
          <t>浙江分部</t>
        </is>
      </c>
      <c r="F11" s="4" t="inlineStr">
        <is>
          <t>张娜秀</t>
        </is>
      </c>
    </row>
    <row r="12">
      <c r="A12" s="14" t="n">
        <v>45378</v>
      </c>
      <c r="B12" s="4" t="inlineStr">
        <is>
          <t>2024-03</t>
        </is>
      </c>
      <c r="C12" s="4" t="inlineStr">
        <is>
          <t>海宁实业有限公司经销商返点实现4739</t>
        </is>
      </c>
      <c r="D12" s="15" t="n">
        <v>-4739.14</v>
      </c>
      <c r="E12" s="4" t="inlineStr">
        <is>
          <t>江苏分部</t>
        </is>
      </c>
      <c r="F12" s="4" t="inlineStr">
        <is>
          <t>黄艳伟</t>
        </is>
      </c>
    </row>
    <row r="13">
      <c r="A13" s="14" t="n">
        <v>45384</v>
      </c>
      <c r="B13" s="4" t="inlineStr">
        <is>
          <t>2024-04</t>
        </is>
      </c>
      <c r="C13" s="4" t="inlineStr">
        <is>
          <t>姑苏市优鲜食品商行经销商返点实现5996</t>
        </is>
      </c>
      <c r="D13" s="15" t="n">
        <v>-5996.74</v>
      </c>
      <c r="E13" s="4" t="inlineStr">
        <is>
          <t>浙江分部</t>
        </is>
      </c>
      <c r="F13" s="4" t="inlineStr">
        <is>
          <t>杨兰英</t>
        </is>
      </c>
    </row>
    <row r="14">
      <c r="A14" s="14" t="n">
        <v>45384</v>
      </c>
      <c r="B14" s="4" t="inlineStr">
        <is>
          <t>2024-04</t>
        </is>
      </c>
      <c r="C14" s="4" t="inlineStr">
        <is>
          <t>衢州区优鲜冷冻食品批发部经销商返点实现2650</t>
        </is>
      </c>
      <c r="D14" s="15" t="n">
        <v>-2650.47</v>
      </c>
      <c r="E14" s="4" t="inlineStr">
        <is>
          <t>江苏分部</t>
        </is>
      </c>
      <c r="F14" s="4" t="inlineStr">
        <is>
          <t>周霞伟</t>
        </is>
      </c>
    </row>
    <row r="15">
      <c r="A15" s="14" t="n">
        <v>45389</v>
      </c>
      <c r="B15" s="4" t="inlineStr">
        <is>
          <t>2024-04</t>
        </is>
      </c>
      <c r="C15" s="4" t="inlineStr">
        <is>
          <t>武进实业有限公司经销商返点实现10487</t>
        </is>
      </c>
      <c r="D15" s="15" t="n">
        <v>-10487.52</v>
      </c>
      <c r="E15" s="4" t="inlineStr">
        <is>
          <t>江苏分部</t>
        </is>
      </c>
      <c r="F15" s="4" t="inlineStr">
        <is>
          <t>高勇英</t>
        </is>
      </c>
    </row>
    <row r="16">
      <c r="A16" s="14" t="n">
        <v>45393</v>
      </c>
      <c r="B16" s="4" t="inlineStr">
        <is>
          <t>2024-04</t>
        </is>
      </c>
      <c r="C16" s="4" t="inlineStr">
        <is>
          <t>海宁市优鲜食品商行经销商返点实现1809</t>
        </is>
      </c>
      <c r="D16" s="15" t="n">
        <v>-1809.99</v>
      </c>
      <c r="E16" s="4" t="inlineStr">
        <is>
          <t>赣皖区域</t>
        </is>
      </c>
      <c r="F16" s="4" t="inlineStr">
        <is>
          <t>何艳娜</t>
        </is>
      </c>
    </row>
    <row r="17">
      <c r="A17" s="14" t="n">
        <v>45398</v>
      </c>
      <c r="B17" s="4" t="inlineStr">
        <is>
          <t>2024-04</t>
        </is>
      </c>
      <c r="C17" s="4" t="inlineStr">
        <is>
          <t>海宁供应链管理有限公司经销商返点实现5376</t>
        </is>
      </c>
      <c r="D17" s="15" t="n">
        <v>-5376.81</v>
      </c>
      <c r="E17" s="4" t="inlineStr">
        <is>
          <t>江苏分部</t>
        </is>
      </c>
      <c r="F17" s="4" t="inlineStr">
        <is>
          <t>王艳娜</t>
        </is>
      </c>
    </row>
    <row r="18">
      <c r="A18" s="14" t="n">
        <v>45429</v>
      </c>
      <c r="B18" s="4" t="inlineStr">
        <is>
          <t>2024-05</t>
        </is>
      </c>
      <c r="C18" s="4" t="inlineStr">
        <is>
          <t>冲减计提余杭区优鲜冷冻食品批发部经销商返点实现6383</t>
        </is>
      </c>
      <c r="D18" s="15" t="n">
        <v>6383.97</v>
      </c>
      <c r="E18" s="4" t="inlineStr">
        <is>
          <t>赣皖区域</t>
        </is>
      </c>
      <c r="F18" s="4" t="inlineStr">
        <is>
          <t>罗英伟</t>
        </is>
      </c>
    </row>
    <row r="19">
      <c r="A19" s="14" t="n">
        <v>45431</v>
      </c>
      <c r="B19" s="4" t="inlineStr">
        <is>
          <t>2024-05</t>
        </is>
      </c>
      <c r="C19" s="4" t="inlineStr">
        <is>
          <t>吴中区淼沃冷冻食品批发部经销商返点实现8872</t>
        </is>
      </c>
      <c r="D19" s="15" t="n">
        <v>-8872.84</v>
      </c>
      <c r="E19" s="4" t="inlineStr">
        <is>
          <t>上海分部</t>
        </is>
      </c>
      <c r="F19" s="4" t="inlineStr">
        <is>
          <t>朱敏英</t>
        </is>
      </c>
    </row>
    <row r="20">
      <c r="A20" s="14" t="n">
        <v>45431</v>
      </c>
      <c r="B20" s="4" t="inlineStr">
        <is>
          <t>2024-05</t>
        </is>
      </c>
      <c r="C20" s="4" t="inlineStr">
        <is>
          <t>武进食品有限公司经销商返点实现13687</t>
        </is>
      </c>
      <c r="D20" s="15" t="n">
        <v>-13687.62</v>
      </c>
      <c r="E20" s="4" t="inlineStr">
        <is>
          <t>浙江分部</t>
        </is>
      </c>
      <c r="F20" s="4" t="inlineStr">
        <is>
          <t>林秀娜</t>
        </is>
      </c>
    </row>
    <row r="21">
      <c r="A21" s="14" t="n">
        <v>45446</v>
      </c>
      <c r="B21" s="4" t="inlineStr">
        <is>
          <t>2024-06</t>
        </is>
      </c>
      <c r="C21" s="4" t="inlineStr">
        <is>
          <t>姑苏供应链管理有限公司经销商返点实现1649</t>
        </is>
      </c>
      <c r="D21" s="15" t="n">
        <v>-1649.68</v>
      </c>
      <c r="E21" s="4" t="inlineStr">
        <is>
          <t>江苏分部</t>
        </is>
      </c>
      <c r="F21" s="4" t="inlineStr">
        <is>
          <t>刘明秀</t>
        </is>
      </c>
    </row>
    <row r="22">
      <c r="A22" s="14" t="n">
        <v>45447</v>
      </c>
      <c r="B22" s="4" t="inlineStr">
        <is>
          <t>2024-06</t>
        </is>
      </c>
      <c r="C22" s="4" t="inlineStr">
        <is>
          <t>余杭食品有限公司经销商返点实现9006</t>
        </is>
      </c>
      <c r="D22" s="15" t="n">
        <v>-9006.41</v>
      </c>
      <c r="E22" s="4" t="inlineStr">
        <is>
          <t>江苏分部</t>
        </is>
      </c>
      <c r="F22" s="4" t="inlineStr">
        <is>
          <t>吴超娜</t>
        </is>
      </c>
    </row>
    <row r="23">
      <c r="A23" s="14" t="n">
        <v>45451</v>
      </c>
      <c r="B23" s="4" t="inlineStr">
        <is>
          <t>2024-06</t>
        </is>
      </c>
      <c r="C23" s="4" t="inlineStr">
        <is>
          <t>姑苏区大匠冷冻食品批发部经销商返点实现5750</t>
        </is>
      </c>
      <c r="D23" s="15" t="n">
        <v>-5750.59</v>
      </c>
      <c r="E23" s="4" t="inlineStr">
        <is>
          <t>江苏分部</t>
        </is>
      </c>
      <c r="F23" s="4" t="inlineStr">
        <is>
          <t>赵秀英</t>
        </is>
      </c>
    </row>
    <row r="24">
      <c r="A24" s="14" t="n">
        <v>45453</v>
      </c>
      <c r="B24" s="4" t="inlineStr">
        <is>
          <t>2024-06</t>
        </is>
      </c>
      <c r="C24" s="4" t="inlineStr">
        <is>
          <t>海宁市食佳食品商行经销商返点实现11958</t>
        </is>
      </c>
      <c r="D24" s="15" t="n">
        <v>-11958.61</v>
      </c>
      <c r="E24" s="4" t="inlineStr">
        <is>
          <t>上海分部</t>
        </is>
      </c>
      <c r="F24" s="4" t="inlineStr">
        <is>
          <t>朱洋秀</t>
        </is>
      </c>
    </row>
    <row r="25">
      <c r="A25" s="14" t="n">
        <v>45471</v>
      </c>
      <c r="B25" s="4" t="inlineStr">
        <is>
          <t>2024-06</t>
        </is>
      </c>
      <c r="C25" s="4" t="inlineStr">
        <is>
          <t>武进实业有限公司经销商返点实现14630</t>
        </is>
      </c>
      <c r="D25" s="15" t="n">
        <v>-14630.05</v>
      </c>
      <c r="E25" s="4" t="inlineStr">
        <is>
          <t>上海分部</t>
        </is>
      </c>
      <c r="F25" s="4" t="inlineStr">
        <is>
          <t>罗娟英</t>
        </is>
      </c>
    </row>
    <row r="26">
      <c r="A26" s="14" t="n">
        <v>45492</v>
      </c>
      <c r="B26" s="4" t="inlineStr">
        <is>
          <t>2024-07</t>
        </is>
      </c>
      <c r="C26" s="4" t="inlineStr">
        <is>
          <t>姑苏食品有限公司经销商返点实现13816</t>
        </is>
      </c>
      <c r="D26" s="15" t="n">
        <v>-13816.89</v>
      </c>
      <c r="E26" s="4" t="inlineStr">
        <is>
          <t>江苏分部</t>
        </is>
      </c>
      <c r="F26" s="4" t="inlineStr">
        <is>
          <t>张霞伟</t>
        </is>
      </c>
    </row>
    <row r="27">
      <c r="A27" s="14" t="n">
        <v>45495</v>
      </c>
      <c r="B27" s="4" t="inlineStr">
        <is>
          <t>2024-07</t>
        </is>
      </c>
      <c r="C27" s="4" t="inlineStr">
        <is>
          <t>衢州供应链管理有限公司经销商返点实现11494</t>
        </is>
      </c>
      <c r="D27" s="15" t="n">
        <v>-11494.07</v>
      </c>
      <c r="E27" s="4" t="inlineStr">
        <is>
          <t>浙江分部</t>
        </is>
      </c>
      <c r="F27" s="4" t="inlineStr">
        <is>
          <t>吴明娜</t>
        </is>
      </c>
    </row>
    <row r="28">
      <c r="A28" s="14" t="n">
        <v>45496</v>
      </c>
      <c r="B28" s="4" t="inlineStr">
        <is>
          <t>2024-07</t>
        </is>
      </c>
      <c r="C28" s="4" t="inlineStr">
        <is>
          <t>武进供应链管理有限公司经销商返点实现4932</t>
        </is>
      </c>
      <c r="D28" s="15" t="n">
        <v>-4932.89</v>
      </c>
      <c r="E28" s="4" t="inlineStr">
        <is>
          <t>赣皖区域</t>
        </is>
      </c>
      <c r="F28" s="4" t="inlineStr">
        <is>
          <t>林敏娜</t>
        </is>
      </c>
    </row>
    <row r="29">
      <c r="A29" s="14" t="n">
        <v>45496</v>
      </c>
      <c r="B29" s="4" t="inlineStr">
        <is>
          <t>2024-07</t>
        </is>
      </c>
      <c r="C29" s="4" t="inlineStr">
        <is>
          <t>武进实业有限公司经销商返点实现13245</t>
        </is>
      </c>
      <c r="D29" s="15" t="n">
        <v>-13245.23</v>
      </c>
      <c r="E29" s="4" t="inlineStr">
        <is>
          <t>上海分部</t>
        </is>
      </c>
      <c r="F29" s="4" t="inlineStr">
        <is>
          <t>林丽秀</t>
        </is>
      </c>
    </row>
    <row r="30">
      <c r="A30" s="14" t="n">
        <v>45507</v>
      </c>
      <c r="B30" s="4" t="inlineStr">
        <is>
          <t>2024-08</t>
        </is>
      </c>
      <c r="C30" s="4" t="inlineStr">
        <is>
          <t>钟楼供应链管理有限公司经销商返点实现8531</t>
        </is>
      </c>
      <c r="D30" s="15" t="n">
        <v>-8531.530000000001</v>
      </c>
      <c r="E30" s="4" t="inlineStr">
        <is>
          <t>江苏分部</t>
        </is>
      </c>
      <c r="F30" s="4" t="inlineStr">
        <is>
          <t>王娟芳</t>
        </is>
      </c>
    </row>
    <row r="31">
      <c r="A31" s="14" t="n">
        <v>45508</v>
      </c>
      <c r="B31" s="4" t="inlineStr">
        <is>
          <t>2024-08</t>
        </is>
      </c>
      <c r="C31" s="4" t="inlineStr">
        <is>
          <t>余杭食品有限公司经销商返点实现9890</t>
        </is>
      </c>
      <c r="D31" s="15" t="n">
        <v>-9890.049999999999</v>
      </c>
      <c r="E31" s="4" t="inlineStr">
        <is>
          <t>上海分部</t>
        </is>
      </c>
      <c r="F31" s="4" t="inlineStr">
        <is>
          <t>马磊芳</t>
        </is>
      </c>
    </row>
    <row r="32">
      <c r="A32" s="14" t="n">
        <v>45515</v>
      </c>
      <c r="B32" s="4" t="inlineStr">
        <is>
          <t>2024-08</t>
        </is>
      </c>
      <c r="C32" s="4" t="inlineStr">
        <is>
          <t>衢州实业有限公司经销商返点实现8781</t>
        </is>
      </c>
      <c r="D32" s="15" t="n">
        <v>-8781.709999999999</v>
      </c>
      <c r="E32" s="4" t="inlineStr">
        <is>
          <t>江苏分部</t>
        </is>
      </c>
      <c r="F32" s="4" t="inlineStr">
        <is>
          <t>赵勇芳</t>
        </is>
      </c>
    </row>
    <row r="33">
      <c r="A33" s="14" t="n">
        <v>45518</v>
      </c>
      <c r="B33" s="4" t="inlineStr">
        <is>
          <t>2024-08</t>
        </is>
      </c>
      <c r="C33" s="4" t="inlineStr">
        <is>
          <t>海宁实业有限公司经销商返点实现6186</t>
        </is>
      </c>
      <c r="D33" s="15" t="n">
        <v>-6186.97</v>
      </c>
      <c r="E33" s="4" t="inlineStr">
        <is>
          <t>江苏分部</t>
        </is>
      </c>
      <c r="F33" s="4" t="inlineStr">
        <is>
          <t>赵秀伟</t>
        </is>
      </c>
    </row>
    <row r="34">
      <c r="A34" s="14" t="n">
        <v>45528</v>
      </c>
      <c r="B34" s="4" t="inlineStr">
        <is>
          <t>2024-08</t>
        </is>
      </c>
      <c r="C34" s="4" t="inlineStr">
        <is>
          <t>吴中供应链管理有限公司经销商返点实现12918</t>
        </is>
      </c>
      <c r="D34" s="15" t="n">
        <v>-12918.46</v>
      </c>
      <c r="E34" s="4" t="inlineStr">
        <is>
          <t>浙江分部</t>
        </is>
      </c>
      <c r="F34" s="4" t="inlineStr">
        <is>
          <t>赵超伟</t>
        </is>
      </c>
    </row>
    <row r="35">
      <c r="A35" s="14" t="n">
        <v>45543</v>
      </c>
      <c r="B35" s="4" t="inlineStr">
        <is>
          <t>2024-09</t>
        </is>
      </c>
      <c r="C35" s="4" t="inlineStr">
        <is>
          <t>衢州实业有限公司经销商返点实现3916</t>
        </is>
      </c>
      <c r="D35" s="15" t="n">
        <v>-3916.7</v>
      </c>
      <c r="E35" s="4" t="inlineStr">
        <is>
          <t>江苏分部</t>
        </is>
      </c>
      <c r="F35" s="4" t="inlineStr">
        <is>
          <t>刘磊英</t>
        </is>
      </c>
    </row>
    <row r="36">
      <c r="A36" s="14" t="n">
        <v>45558</v>
      </c>
      <c r="B36" s="4" t="inlineStr">
        <is>
          <t>2024-09</t>
        </is>
      </c>
      <c r="C36" s="4" t="inlineStr">
        <is>
          <t>姑苏供应链管理有限公司经销商返点实现14678</t>
        </is>
      </c>
      <c r="D36" s="15" t="n">
        <v>-14678.44</v>
      </c>
      <c r="E36" s="4" t="inlineStr">
        <is>
          <t>江苏分部</t>
        </is>
      </c>
      <c r="F36" s="4" t="inlineStr">
        <is>
          <t>朱芳伟</t>
        </is>
      </c>
    </row>
    <row r="37">
      <c r="A37" s="14" t="n">
        <v>45560</v>
      </c>
      <c r="B37" s="4" t="inlineStr">
        <is>
          <t>2024-09</t>
        </is>
      </c>
      <c r="C37" s="4" t="inlineStr">
        <is>
          <t>余杭市淼沃食品商行经销商返点实现1606</t>
        </is>
      </c>
      <c r="D37" s="15" t="n">
        <v>-1606.19</v>
      </c>
      <c r="E37" s="4" t="inlineStr">
        <is>
          <t>赣皖区域</t>
        </is>
      </c>
      <c r="F37" s="4" t="inlineStr">
        <is>
          <t>刘明秀</t>
        </is>
      </c>
    </row>
    <row r="38">
      <c r="A38" s="14" t="n">
        <v>45571</v>
      </c>
      <c r="B38" s="4" t="inlineStr">
        <is>
          <t>2024-10</t>
        </is>
      </c>
      <c r="C38" s="4" t="inlineStr">
        <is>
          <t>衢州供应链管理有限公司经销商返点实现14926</t>
        </is>
      </c>
      <c r="D38" s="15" t="n">
        <v>-14926.33</v>
      </c>
      <c r="E38" s="4" t="inlineStr">
        <is>
          <t>江苏分部</t>
        </is>
      </c>
      <c r="F38" s="4" t="inlineStr">
        <is>
          <t>胡洋秀</t>
        </is>
      </c>
    </row>
    <row r="39">
      <c r="A39" s="14" t="n">
        <v>45582</v>
      </c>
      <c r="B39" s="4" t="inlineStr">
        <is>
          <t>2024-10</t>
        </is>
      </c>
      <c r="C39" s="4" t="inlineStr">
        <is>
          <t>吴中商贸有限公司经销商返点实现12721</t>
        </is>
      </c>
      <c r="D39" s="15" t="n">
        <v>-12721.34</v>
      </c>
      <c r="E39" s="4" t="inlineStr">
        <is>
          <t>上海分部</t>
        </is>
      </c>
      <c r="F39" s="4" t="inlineStr">
        <is>
          <t>马明娜</t>
        </is>
      </c>
    </row>
    <row r="40">
      <c r="A40" s="14" t="n">
        <v>45584</v>
      </c>
      <c r="B40" s="4" t="inlineStr">
        <is>
          <t>2024-10</t>
        </is>
      </c>
      <c r="C40" s="4" t="inlineStr">
        <is>
          <t>吴中实业有限公司经销商返点实现3164</t>
        </is>
      </c>
      <c r="D40" s="15" t="n">
        <v>-3164.2</v>
      </c>
      <c r="E40" s="4" t="inlineStr">
        <is>
          <t>赣皖区域</t>
        </is>
      </c>
      <c r="F40" s="4" t="inlineStr">
        <is>
          <t>陈艳芳</t>
        </is>
      </c>
    </row>
    <row r="41">
      <c r="A41" s="14" t="n">
        <v>45584</v>
      </c>
      <c r="B41" s="4" t="inlineStr">
        <is>
          <t>2024-10</t>
        </is>
      </c>
      <c r="C41" s="4" t="inlineStr">
        <is>
          <t>钟楼商贸有限公司经销商返点实现4804</t>
        </is>
      </c>
      <c r="D41" s="15" t="n">
        <v>-4804.02</v>
      </c>
      <c r="E41" s="4" t="inlineStr">
        <is>
          <t>江苏分部</t>
        </is>
      </c>
      <c r="F41" s="4" t="inlineStr">
        <is>
          <t>黄强英</t>
        </is>
      </c>
    </row>
    <row r="42">
      <c r="A42" s="14" t="n">
        <v>45589</v>
      </c>
      <c r="B42" s="4" t="inlineStr">
        <is>
          <t>2024-10</t>
        </is>
      </c>
      <c r="C42" s="4" t="inlineStr">
        <is>
          <t>武进食品有限公司经销商返点实现11835</t>
        </is>
      </c>
      <c r="D42" s="15" t="n">
        <v>-11835.92</v>
      </c>
      <c r="E42" s="4" t="inlineStr">
        <is>
          <t>浙江分部</t>
        </is>
      </c>
      <c r="F42" s="4" t="inlineStr">
        <is>
          <t>朱娜芳</t>
        </is>
      </c>
    </row>
    <row r="43">
      <c r="A43" s="14" t="n">
        <v>45590</v>
      </c>
      <c r="B43" s="4" t="inlineStr">
        <is>
          <t>2024-10</t>
        </is>
      </c>
      <c r="C43" s="4" t="inlineStr">
        <is>
          <t>姑苏食品有限公司经销商返点实现1092</t>
        </is>
      </c>
      <c r="D43" s="15" t="n">
        <v>-1092.76</v>
      </c>
      <c r="E43" s="4" t="inlineStr">
        <is>
          <t>赣皖区域</t>
        </is>
      </c>
      <c r="F43" s="4" t="inlineStr">
        <is>
          <t>胡娟秀</t>
        </is>
      </c>
    </row>
    <row r="44">
      <c r="A44" s="14" t="n">
        <v>45593</v>
      </c>
      <c r="B44" s="4" t="inlineStr">
        <is>
          <t>2024-10</t>
        </is>
      </c>
      <c r="C44" s="4" t="inlineStr">
        <is>
          <t>钟楼商贸有限公司经销商返点实现4662</t>
        </is>
      </c>
      <c r="D44" s="15" t="n">
        <v>-4662.67</v>
      </c>
      <c r="E44" s="4" t="inlineStr">
        <is>
          <t>赣皖区域</t>
        </is>
      </c>
      <c r="F44" s="4" t="inlineStr">
        <is>
          <t>王霞伟</t>
        </is>
      </c>
    </row>
    <row r="45">
      <c r="A45" s="14" t="n">
        <v>45601</v>
      </c>
      <c r="B45" s="4" t="inlineStr">
        <is>
          <t>2024-11</t>
        </is>
      </c>
      <c r="C45" s="4" t="inlineStr">
        <is>
          <t>海宁区大匠冷冻食品批发部经销商返点实现1170</t>
        </is>
      </c>
      <c r="D45" s="15" t="n">
        <v>-1170.19</v>
      </c>
      <c r="E45" s="4" t="inlineStr">
        <is>
          <t>江苏分部</t>
        </is>
      </c>
      <c r="F45" s="4" t="inlineStr">
        <is>
          <t>罗英娜</t>
        </is>
      </c>
    </row>
    <row r="46">
      <c r="A46" s="14" t="n">
        <v>45608</v>
      </c>
      <c r="B46" s="4" t="inlineStr">
        <is>
          <t>2024-11</t>
        </is>
      </c>
      <c r="C46" s="4" t="inlineStr">
        <is>
          <t>冲减计提余杭市食佳食品商行经销商返点实现9865</t>
        </is>
      </c>
      <c r="D46" s="15" t="n">
        <v>9865.9</v>
      </c>
      <c r="E46" s="4" t="inlineStr">
        <is>
          <t>上海分部</t>
        </is>
      </c>
      <c r="F46" s="4" t="inlineStr">
        <is>
          <t>赵娜秀</t>
        </is>
      </c>
    </row>
    <row r="47">
      <c r="A47" s="14" t="n">
        <v>45627</v>
      </c>
      <c r="B47" s="4" t="inlineStr">
        <is>
          <t>2024-12</t>
        </is>
      </c>
      <c r="C47" s="4" t="inlineStr">
        <is>
          <t>钟楼商贸有限公司经销商返点实现9373</t>
        </is>
      </c>
      <c r="D47" s="15" t="n">
        <v>-9373.59</v>
      </c>
      <c r="E47" s="4" t="inlineStr">
        <is>
          <t>赣皖区域</t>
        </is>
      </c>
      <c r="F47" s="4" t="inlineStr">
        <is>
          <t>高强芳</t>
        </is>
      </c>
    </row>
    <row r="48">
      <c r="A48" s="14" t="n">
        <v>45630</v>
      </c>
      <c r="B48" s="4" t="inlineStr">
        <is>
          <t>2024-12</t>
        </is>
      </c>
      <c r="C48" s="4" t="inlineStr">
        <is>
          <t>钟楼供应链管理有限公司经销商返点实现7624</t>
        </is>
      </c>
      <c r="D48" s="15" t="n">
        <v>-7624.46</v>
      </c>
      <c r="E48" s="4" t="inlineStr">
        <is>
          <t>赣皖区域</t>
        </is>
      </c>
      <c r="F48" s="4" t="inlineStr">
        <is>
          <t>刘敏秀</t>
        </is>
      </c>
    </row>
    <row r="49">
      <c r="A49" s="14" t="n">
        <v>45637</v>
      </c>
      <c r="B49" s="4" t="inlineStr">
        <is>
          <t>2024-12</t>
        </is>
      </c>
      <c r="C49" s="4" t="inlineStr">
        <is>
          <t>衢州食品有限公司经销商返点实现8329</t>
        </is>
      </c>
      <c r="D49" s="15" t="n">
        <v>-8329.209999999999</v>
      </c>
      <c r="E49" s="4" t="inlineStr">
        <is>
          <t>赣皖区域</t>
        </is>
      </c>
      <c r="F49" s="4" t="inlineStr">
        <is>
          <t>朱静英</t>
        </is>
      </c>
    </row>
    <row r="50">
      <c r="A50" s="14" t="n">
        <v>45645</v>
      </c>
      <c r="B50" s="4" t="inlineStr">
        <is>
          <t>2024-12</t>
        </is>
      </c>
      <c r="C50" s="4" t="inlineStr">
        <is>
          <t>冲减计提吴中区京功冷冻食品批发部经销商返点实现13578</t>
        </is>
      </c>
      <c r="D50" s="15" t="n">
        <v>13578.48</v>
      </c>
      <c r="E50" s="4" t="inlineStr">
        <is>
          <t>浙江分部</t>
        </is>
      </c>
      <c r="F50" s="4" t="inlineStr">
        <is>
          <t>刘秀芳</t>
        </is>
      </c>
    </row>
    <row r="51">
      <c r="A51" s="14" t="n">
        <v>45651</v>
      </c>
      <c r="B51" s="4" t="inlineStr">
        <is>
          <t>2024-12</t>
        </is>
      </c>
      <c r="C51" s="4" t="inlineStr">
        <is>
          <t>武进食品有限公司经销商返点实现3701</t>
        </is>
      </c>
      <c r="D51" s="15" t="n">
        <v>-3701.94</v>
      </c>
      <c r="E51" s="4" t="inlineStr">
        <is>
          <t>浙江分部</t>
        </is>
      </c>
      <c r="F51" s="4" t="inlineStr">
        <is>
          <t>陈勇娜</t>
        </is>
      </c>
    </row>
    <row r="52">
      <c r="C52" s="6" t="inlineStr">
        <is>
          <t>合计</t>
        </is>
      </c>
      <c r="D52" s="16" t="n">
        <v>-268505.85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江苏美鑫食品科技有限公司资产负债表</t>
        </is>
      </c>
    </row>
    <row r="2">
      <c r="A2" s="17" t="inlineStr">
        <is>
          <t>编制日期：2025年12月31日</t>
        </is>
      </c>
      <c r="H2" t="inlineStr">
        <is>
          <t>单位：元</t>
        </is>
      </c>
    </row>
    <row r="3">
      <c r="A3" s="2" t="inlineStr">
        <is>
          <t>资产</t>
        </is>
      </c>
      <c r="B3" s="2" t="inlineStr">
        <is>
          <t>行次</t>
        </is>
      </c>
      <c r="C3" s="2" t="inlineStr">
        <is>
          <t>期末余额</t>
        </is>
      </c>
      <c r="D3" s="2" t="inlineStr">
        <is>
          <t>年初余额</t>
        </is>
      </c>
      <c r="E3" s="2" t="inlineStr">
        <is>
          <t>负债和所有者权益</t>
        </is>
      </c>
      <c r="F3" s="2" t="inlineStr">
        <is>
          <t>行次</t>
        </is>
      </c>
      <c r="G3" s="2" t="inlineStr">
        <is>
          <t>期末余额</t>
        </is>
      </c>
      <c r="H3" s="2" t="inlineStr">
        <is>
          <t>年初余额</t>
        </is>
      </c>
    </row>
    <row r="4">
      <c r="A4" s="6" t="inlineStr">
        <is>
          <t>流动资产：</t>
        </is>
      </c>
      <c r="E4" s="6" t="inlineStr">
        <is>
          <t>流动负债：</t>
        </is>
      </c>
    </row>
    <row r="5">
      <c r="A5" s="4" t="inlineStr">
        <is>
          <t>货币资金</t>
        </is>
      </c>
      <c r="B5" s="3" t="n">
        <v>1</v>
      </c>
      <c r="C5" s="15" t="n">
        <v>7434502.83</v>
      </c>
      <c r="D5" s="15" t="n">
        <v>6554227.2</v>
      </c>
      <c r="E5" s="4" t="inlineStr">
        <is>
          <t>短期借款</t>
        </is>
      </c>
      <c r="F5" s="3" t="n">
        <v>21</v>
      </c>
      <c r="G5" s="15" t="n">
        <v>1383781.7</v>
      </c>
      <c r="H5" s="15" t="n">
        <v>5399681.74</v>
      </c>
    </row>
    <row r="6">
      <c r="A6" s="4" t="inlineStr">
        <is>
          <t>交易性金融资产</t>
        </is>
      </c>
      <c r="B6" s="3" t="n">
        <v>2</v>
      </c>
      <c r="C6" s="15" t="n">
        <v>9873171.01</v>
      </c>
      <c r="D6" s="15" t="n">
        <v>7166214.12</v>
      </c>
      <c r="E6" s="4" t="inlineStr">
        <is>
          <t>应付票据</t>
        </is>
      </c>
      <c r="F6" s="3" t="n">
        <v>22</v>
      </c>
      <c r="G6" s="15" t="n">
        <v>7371984.5</v>
      </c>
      <c r="H6" s="15" t="n">
        <v>2585349.71</v>
      </c>
    </row>
    <row r="7">
      <c r="A7" s="4" t="inlineStr">
        <is>
          <t>应收票据</t>
        </is>
      </c>
      <c r="B7" s="3" t="n">
        <v>3</v>
      </c>
      <c r="C7" s="15" t="n">
        <v>6513477.27</v>
      </c>
      <c r="D7" s="15" t="n">
        <v>9212941.140000001</v>
      </c>
      <c r="E7" s="4" t="inlineStr">
        <is>
          <t>应付账款</t>
        </is>
      </c>
      <c r="F7" s="3" t="n">
        <v>23</v>
      </c>
      <c r="G7" s="15" t="n">
        <v>3275222.99</v>
      </c>
      <c r="H7" s="15" t="n">
        <v>4921526.44</v>
      </c>
    </row>
    <row r="8">
      <c r="A8" s="4" t="inlineStr">
        <is>
          <t>应收账款</t>
        </is>
      </c>
      <c r="B8" s="3" t="n">
        <v>4</v>
      </c>
      <c r="C8" s="15" t="n">
        <v>4857997.12</v>
      </c>
      <c r="D8" s="15" t="n">
        <v>5336675.28</v>
      </c>
      <c r="E8" s="4" t="inlineStr">
        <is>
          <t>预收款项</t>
        </is>
      </c>
      <c r="F8" s="3" t="n">
        <v>24</v>
      </c>
      <c r="G8" s="15" t="n">
        <v>1988639.79</v>
      </c>
      <c r="H8" s="15" t="n">
        <v>1544023.01</v>
      </c>
    </row>
    <row r="9">
      <c r="A9" s="4" t="inlineStr">
        <is>
          <t>预付款项</t>
        </is>
      </c>
      <c r="B9" s="3" t="n">
        <v>5</v>
      </c>
      <c r="C9" s="15" t="n">
        <v>3131968.12</v>
      </c>
      <c r="D9" s="15" t="n">
        <v>5294937.64</v>
      </c>
      <c r="E9" s="4" t="inlineStr">
        <is>
          <t>合同负债</t>
        </is>
      </c>
      <c r="F9" s="3" t="n">
        <v>25</v>
      </c>
      <c r="G9" s="15" t="n">
        <v>4758213.57</v>
      </c>
      <c r="H9" s="15" t="n">
        <v>4777267.74</v>
      </c>
    </row>
    <row r="10">
      <c r="A10" s="4" t="inlineStr">
        <is>
          <t>其他应收款</t>
        </is>
      </c>
      <c r="B10" s="3" t="n">
        <v>6</v>
      </c>
      <c r="C10" s="15" t="n">
        <v>7565076.15</v>
      </c>
      <c r="D10" s="15" t="n">
        <v>9416940.65</v>
      </c>
      <c r="E10" s="4" t="inlineStr">
        <is>
          <t>应付职工薪酬</t>
        </is>
      </c>
      <c r="F10" s="3" t="n">
        <v>26</v>
      </c>
      <c r="G10" s="15" t="n">
        <v>2792356.09</v>
      </c>
      <c r="H10" s="15" t="n">
        <v>4642835.25</v>
      </c>
    </row>
    <row r="11">
      <c r="A11" s="4" t="inlineStr">
        <is>
          <t>存货</t>
        </is>
      </c>
      <c r="B11" s="3" t="n">
        <v>7</v>
      </c>
      <c r="C11" s="15" t="n">
        <v>4115038.15</v>
      </c>
      <c r="D11" s="15" t="n">
        <v>9855639.76</v>
      </c>
      <c r="E11" s="4" t="inlineStr">
        <is>
          <t>应交税费</t>
        </is>
      </c>
      <c r="F11" s="3" t="n">
        <v>27</v>
      </c>
      <c r="G11" s="15" t="n">
        <v>6572955.37</v>
      </c>
      <c r="H11" s="15" t="n">
        <v>5463259.23</v>
      </c>
    </row>
    <row r="12">
      <c r="A12" s="4" t="inlineStr">
        <is>
          <t>其中：原材料</t>
        </is>
      </c>
      <c r="C12" s="15" t="n">
        <v>1256541.98</v>
      </c>
      <c r="D12" s="15" t="n">
        <v>1329874.84</v>
      </c>
      <c r="E12" s="4" t="inlineStr">
        <is>
          <t>其他应付款</t>
        </is>
      </c>
      <c r="F12" s="3" t="n">
        <v>28</v>
      </c>
      <c r="G12" s="15" t="n">
        <v>3376853.81</v>
      </c>
      <c r="H12" s="15" t="n">
        <v>5632061.17</v>
      </c>
    </row>
    <row r="13">
      <c r="A13" s="4" t="inlineStr">
        <is>
          <t>在制品</t>
        </is>
      </c>
      <c r="C13" s="15" t="n">
        <v>777630.42</v>
      </c>
      <c r="D13" s="15" t="n">
        <v>1163195.53</v>
      </c>
      <c r="E13" s="4" t="inlineStr">
        <is>
          <t>一年内到期的非流动负债</t>
        </is>
      </c>
      <c r="F13" s="3" t="n">
        <v>29</v>
      </c>
      <c r="G13" s="15" t="n">
        <v>2872812.94</v>
      </c>
      <c r="H13" s="15" t="n">
        <v>5532521.99</v>
      </c>
    </row>
    <row r="14">
      <c r="A14" s="4" t="inlineStr">
        <is>
          <t>库存商品</t>
        </is>
      </c>
      <c r="C14" s="15" t="n">
        <v>819913.0699999999</v>
      </c>
      <c r="D14" s="15" t="n">
        <v>1725260.3</v>
      </c>
      <c r="E14" s="4" t="inlineStr">
        <is>
          <t>其他流动负债</t>
        </is>
      </c>
      <c r="F14" s="3" t="n">
        <v>30</v>
      </c>
      <c r="G14" s="15" t="n">
        <v>8128136.36</v>
      </c>
      <c r="H14" s="15" t="n">
        <v>3623636.06</v>
      </c>
    </row>
    <row r="15">
      <c r="A15" s="4" t="inlineStr">
        <is>
          <t>合同资产</t>
        </is>
      </c>
      <c r="B15" s="3" t="n">
        <v>8</v>
      </c>
      <c r="C15" s="15" t="n">
        <v>10536450.59</v>
      </c>
      <c r="D15" s="15" t="n">
        <v>3245795.61</v>
      </c>
      <c r="E15" s="6" t="inlineStr">
        <is>
          <t>流动负债合计</t>
        </is>
      </c>
      <c r="F15" s="3" t="n">
        <v>31</v>
      </c>
      <c r="G15" s="16" t="n">
        <v>42520957.12</v>
      </c>
      <c r="H15" s="16" t="n">
        <v>44122162.34</v>
      </c>
    </row>
    <row r="16">
      <c r="A16" s="4" t="inlineStr">
        <is>
          <t>一年内到期的非流动资产</t>
        </is>
      </c>
      <c r="B16" s="3" t="n">
        <v>9</v>
      </c>
      <c r="C16" s="15" t="n">
        <v>10160692.26</v>
      </c>
      <c r="D16" s="15" t="n">
        <v>6362093.04</v>
      </c>
      <c r="E16" s="6" t="inlineStr">
        <is>
          <t>非流动负债：</t>
        </is>
      </c>
    </row>
    <row r="17">
      <c r="A17" s="4" t="inlineStr">
        <is>
          <t>其他流动资产</t>
        </is>
      </c>
      <c r="B17" s="3" t="n">
        <v>10</v>
      </c>
      <c r="C17" s="15" t="n">
        <v>10164359.03</v>
      </c>
      <c r="D17" s="15" t="n">
        <v>8114367.24</v>
      </c>
      <c r="E17" s="4" t="inlineStr">
        <is>
          <t>长期借款</t>
        </is>
      </c>
      <c r="F17" s="3" t="n">
        <v>32</v>
      </c>
      <c r="G17" s="15" t="n">
        <v>3044523.67</v>
      </c>
      <c r="H17" s="15" t="n">
        <v>2169286.96</v>
      </c>
    </row>
    <row r="18">
      <c r="A18" s="6" t="inlineStr">
        <is>
          <t>流动资产合计</t>
        </is>
      </c>
      <c r="B18" s="3" t="n">
        <v>11</v>
      </c>
      <c r="C18" s="16" t="n">
        <v>74352732.53</v>
      </c>
      <c r="D18" s="16" t="n">
        <v>70559831.68000001</v>
      </c>
      <c r="E18" s="4" t="inlineStr">
        <is>
          <t>长期应付款</t>
        </is>
      </c>
      <c r="F18" s="3" t="n">
        <v>33</v>
      </c>
      <c r="G18" s="15" t="n">
        <v>6246789.07</v>
      </c>
      <c r="H18" s="15" t="n">
        <v>7526168.69</v>
      </c>
    </row>
    <row r="19">
      <c r="A19" s="6" t="inlineStr">
        <is>
          <t>非流动资产：</t>
        </is>
      </c>
      <c r="E19" s="4" t="inlineStr">
        <is>
          <t>递延收益</t>
        </is>
      </c>
      <c r="F19" s="3" t="n">
        <v>34</v>
      </c>
      <c r="G19" s="15" t="n">
        <v>6779064.18</v>
      </c>
      <c r="H19" s="15" t="n">
        <v>5607381.18</v>
      </c>
    </row>
    <row r="20">
      <c r="A20" s="4" t="inlineStr">
        <is>
          <t>长期股权投资</t>
        </is>
      </c>
      <c r="B20" s="3" t="n">
        <v>12</v>
      </c>
      <c r="C20" s="15" t="n">
        <v>3964118.65</v>
      </c>
      <c r="D20" s="15" t="n">
        <v>2670713.77</v>
      </c>
      <c r="E20" s="4" t="inlineStr">
        <is>
          <t>递延所得税负债</t>
        </is>
      </c>
      <c r="F20" s="3" t="n">
        <v>35</v>
      </c>
      <c r="G20" s="15" t="n">
        <v>2152890.42</v>
      </c>
      <c r="H20" s="15" t="n">
        <v>3606661.32</v>
      </c>
    </row>
    <row r="21">
      <c r="A21" s="4" t="inlineStr">
        <is>
          <t>固定资产</t>
        </is>
      </c>
      <c r="B21" s="3" t="n">
        <v>13</v>
      </c>
      <c r="C21" s="15" t="n">
        <v>12584795.36</v>
      </c>
      <c r="D21" s="15" t="n">
        <v>5450277.93</v>
      </c>
      <c r="E21" s="6" t="inlineStr">
        <is>
          <t>非流动负债合计</t>
        </is>
      </c>
      <c r="F21" s="3" t="n">
        <v>36</v>
      </c>
      <c r="G21" s="16" t="n">
        <v>18223267.34</v>
      </c>
      <c r="H21" s="16" t="n">
        <v>18909498.15</v>
      </c>
    </row>
    <row r="22">
      <c r="A22" s="4" t="inlineStr">
        <is>
          <t>在建工程</t>
        </is>
      </c>
      <c r="B22" s="3" t="n">
        <v>14</v>
      </c>
      <c r="C22" s="15" t="n">
        <v>3926399.36</v>
      </c>
      <c r="D22" s="15" t="n">
        <v>12435750.35</v>
      </c>
      <c r="E22" s="6" t="inlineStr">
        <is>
          <t>负债合计</t>
        </is>
      </c>
      <c r="F22" s="3" t="n">
        <v>37</v>
      </c>
      <c r="G22" s="16" t="n">
        <v>60744224.46</v>
      </c>
      <c r="H22" s="16" t="n">
        <v>63031660.48</v>
      </c>
    </row>
    <row r="23">
      <c r="A23" s="4" t="inlineStr">
        <is>
          <t>无形资产</t>
        </is>
      </c>
      <c r="B23" s="3" t="n">
        <v>15</v>
      </c>
      <c r="C23" s="15" t="n">
        <v>5894612.33</v>
      </c>
      <c r="D23" s="15" t="n">
        <v>2205269.15</v>
      </c>
      <c r="E23" s="6" t="inlineStr">
        <is>
          <t>所有者权益：</t>
        </is>
      </c>
    </row>
    <row r="24">
      <c r="A24" s="4" t="inlineStr">
        <is>
          <t>长期待摊费用</t>
        </is>
      </c>
      <c r="B24" s="3" t="n">
        <v>16</v>
      </c>
      <c r="C24" s="15" t="n">
        <v>12005007.94</v>
      </c>
      <c r="D24" s="15" t="n">
        <v>2587884.48</v>
      </c>
      <c r="E24" s="4" t="inlineStr">
        <is>
          <t>实收资本</t>
        </is>
      </c>
      <c r="F24" s="3" t="n">
        <v>38</v>
      </c>
      <c r="G24" s="15" t="n">
        <v>4644185.47</v>
      </c>
      <c r="H24" s="15" t="n">
        <v>14968808.55</v>
      </c>
    </row>
    <row r="25">
      <c r="A25" s="4" t="inlineStr">
        <is>
          <t>递延所得税资产</t>
        </is>
      </c>
      <c r="B25" s="3" t="n">
        <v>17</v>
      </c>
      <c r="C25" s="15" t="n">
        <v>4966510.25</v>
      </c>
      <c r="D25" s="15" t="n">
        <v>18795365.23</v>
      </c>
      <c r="E25" s="4" t="inlineStr">
        <is>
          <t>资本公积</t>
        </is>
      </c>
      <c r="F25" s="3" t="n">
        <v>39</v>
      </c>
      <c r="G25" s="15" t="n">
        <v>15342473.34</v>
      </c>
      <c r="H25" s="15" t="n">
        <v>6284428.68</v>
      </c>
    </row>
    <row r="26">
      <c r="A26" s="4" t="inlineStr">
        <is>
          <t>其他非流动资产</t>
        </is>
      </c>
      <c r="B26" s="3" t="n">
        <v>18</v>
      </c>
      <c r="C26" s="15" t="n">
        <v>6227044.48</v>
      </c>
      <c r="D26" s="15" t="n">
        <v>2894626.88</v>
      </c>
      <c r="E26" s="4" t="inlineStr">
        <is>
          <t>盈余公积</t>
        </is>
      </c>
      <c r="F26" s="3" t="n">
        <v>40</v>
      </c>
      <c r="G26" s="15" t="n">
        <v>11513657.81</v>
      </c>
      <c r="H26" s="15" t="n">
        <v>23538723.25</v>
      </c>
    </row>
    <row r="27">
      <c r="A27" s="6" t="inlineStr">
        <is>
          <t>非流动资产合计</t>
        </is>
      </c>
      <c r="B27" s="3" t="n">
        <v>19</v>
      </c>
      <c r="C27" s="16" t="n">
        <v>49568488.37</v>
      </c>
      <c r="D27" s="16" t="n">
        <v>47039887.79</v>
      </c>
      <c r="E27" s="4" t="inlineStr">
        <is>
          <t>未分配利润</t>
        </is>
      </c>
      <c r="F27" s="3" t="n">
        <v>41</v>
      </c>
      <c r="G27" s="15" t="n">
        <v>31676679.82</v>
      </c>
      <c r="H27" s="15" t="n">
        <v>9776098.51</v>
      </c>
    </row>
    <row r="28">
      <c r="A28" s="6" t="inlineStr">
        <is>
          <t>资产总计</t>
        </is>
      </c>
      <c r="B28" s="3" t="n">
        <v>20</v>
      </c>
      <c r="C28" s="16" t="n">
        <v>123921220.9</v>
      </c>
      <c r="D28" s="16" t="n">
        <v>117599719.47</v>
      </c>
      <c r="E28" s="6" t="inlineStr">
        <is>
          <t>所有者权益合计</t>
        </is>
      </c>
      <c r="F28" s="3" t="n">
        <v>42</v>
      </c>
      <c r="G28" s="16" t="n">
        <v>63176996.44</v>
      </c>
      <c r="H28" s="16" t="n">
        <v>54568058.99</v>
      </c>
    </row>
    <row r="29">
      <c r="E29" s="6" t="inlineStr">
        <is>
          <t>负债和所有者权益总计</t>
        </is>
      </c>
      <c r="F29" s="3" t="n">
        <v>43</v>
      </c>
      <c r="G29" s="16" t="n">
        <v>123921220.9</v>
      </c>
      <c r="H29" s="16" t="n">
        <v>117599719.47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4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江苏美鑫食品科技有限公司2025年销售明细表</t>
        </is>
      </c>
    </row>
    <row r="2">
      <c r="A2" s="2" t="inlineStr">
        <is>
          <t>日期</t>
        </is>
      </c>
      <c r="B2" s="2" t="inlineStr">
        <is>
          <t>订单号</t>
        </is>
      </c>
      <c r="C2" s="2" t="inlineStr">
        <is>
          <t>客户名称</t>
        </is>
      </c>
      <c r="D2" s="2" t="inlineStr">
        <is>
          <t>产品</t>
        </is>
      </c>
      <c r="E2" s="2" t="inlineStr">
        <is>
          <t>规格型号</t>
        </is>
      </c>
      <c r="F2" s="2" t="inlineStr">
        <is>
          <t>数量</t>
        </is>
      </c>
      <c r="G2" s="2" t="inlineStr">
        <is>
          <t>单价(元)</t>
        </is>
      </c>
      <c r="H2" s="2" t="inlineStr">
        <is>
          <t>金额(元)</t>
        </is>
      </c>
      <c r="I2" s="2" t="inlineStr">
        <is>
          <t>区域</t>
        </is>
      </c>
      <c r="J2" s="2" t="inlineStr">
        <is>
          <t>业务员</t>
        </is>
      </c>
    </row>
    <row r="3">
      <c r="A3" s="14" t="n">
        <v>45658</v>
      </c>
      <c r="B3" s="4" t="inlineStr">
        <is>
          <t>SO202510121</t>
        </is>
      </c>
      <c r="C3" s="4" t="inlineStr">
        <is>
          <t>合肥淼沃酒店管理集团</t>
        </is>
      </c>
      <c r="D3" s="4" t="inlineStr">
        <is>
          <t>复合调味粉</t>
        </is>
      </c>
      <c r="E3" s="4" t="inlineStr">
        <is>
          <t>1kg</t>
        </is>
      </c>
      <c r="F3" s="18" t="n">
        <v>1010</v>
      </c>
      <c r="G3" s="15" t="n">
        <v>87.15000000000001</v>
      </c>
      <c r="H3" s="15" t="n">
        <v>88021.5</v>
      </c>
      <c r="I3" s="4" t="inlineStr">
        <is>
          <t>浙江分部</t>
        </is>
      </c>
      <c r="J3" s="4" t="inlineStr">
        <is>
          <t>李英敏</t>
        </is>
      </c>
    </row>
    <row r="4">
      <c r="A4" s="14" t="n">
        <v>45658</v>
      </c>
      <c r="B4" s="4" t="inlineStr">
        <is>
          <t>SO202510146</t>
        </is>
      </c>
      <c r="C4" s="4" t="inlineStr">
        <is>
          <t>杭州食佳餐饮管理有限公司</t>
        </is>
      </c>
      <c r="D4" s="4" t="inlineStr">
        <is>
          <t>复合调味粉</t>
        </is>
      </c>
      <c r="E4" s="4" t="inlineStr">
        <is>
          <t>2.5kg</t>
        </is>
      </c>
      <c r="F4" s="18" t="n">
        <v>920</v>
      </c>
      <c r="G4" s="15" t="n">
        <v>210.58</v>
      </c>
      <c r="H4" s="15" t="n">
        <v>193733.6</v>
      </c>
      <c r="I4" s="4" t="inlineStr">
        <is>
          <t>江苏分部</t>
        </is>
      </c>
      <c r="J4" s="4" t="inlineStr">
        <is>
          <t>马英秀</t>
        </is>
      </c>
    </row>
    <row r="5">
      <c r="A5" s="14" t="n">
        <v>45658</v>
      </c>
      <c r="B5" s="4" t="inlineStr">
        <is>
          <t>SO202510162</t>
        </is>
      </c>
      <c r="C5" s="4" t="inlineStr">
        <is>
          <t>苏州食佳酒店管理集团</t>
        </is>
      </c>
      <c r="D5" s="4" t="inlineStr">
        <is>
          <t>川味底料</t>
        </is>
      </c>
      <c r="E5" s="4" t="inlineStr">
        <is>
          <t>简装</t>
        </is>
      </c>
      <c r="F5" s="18" t="n">
        <v>1010</v>
      </c>
      <c r="G5" s="15" t="n">
        <v>260.71</v>
      </c>
      <c r="H5" s="15" t="n">
        <v>263317.1</v>
      </c>
      <c r="I5" s="4" t="inlineStr">
        <is>
          <t>赣皖区域</t>
        </is>
      </c>
      <c r="J5" s="4" t="inlineStr">
        <is>
          <t>朱芳娜</t>
        </is>
      </c>
    </row>
    <row r="6">
      <c r="A6" s="14" t="n">
        <v>45659</v>
      </c>
      <c r="B6" s="4" t="inlineStr">
        <is>
          <t>SO202510059</t>
        </is>
      </c>
      <c r="C6" s="4" t="inlineStr">
        <is>
          <t>苏州优鲜超市</t>
        </is>
      </c>
      <c r="D6" s="4" t="inlineStr">
        <is>
          <t>川味底料</t>
        </is>
      </c>
      <c r="E6" s="4" t="inlineStr">
        <is>
          <t>精装</t>
        </is>
      </c>
      <c r="F6" s="18" t="n">
        <v>3160</v>
      </c>
      <c r="G6" s="15" t="n">
        <v>14.41</v>
      </c>
      <c r="H6" s="15" t="n">
        <v>45535.6</v>
      </c>
      <c r="I6" s="4" t="inlineStr">
        <is>
          <t>赣皖区域</t>
        </is>
      </c>
      <c r="J6" s="4" t="inlineStr">
        <is>
          <t>吴娜娜</t>
        </is>
      </c>
    </row>
    <row r="7">
      <c r="A7" s="14" t="n">
        <v>45660</v>
      </c>
      <c r="B7" s="4" t="inlineStr">
        <is>
          <t>SO202510235</t>
        </is>
      </c>
      <c r="C7" s="4" t="inlineStr">
        <is>
          <t>苏州优鲜商贸有限公司</t>
        </is>
      </c>
      <c r="D7" s="4" t="inlineStr">
        <is>
          <t>复合调味粉</t>
        </is>
      </c>
      <c r="E7" s="4" t="inlineStr">
        <is>
          <t>10kg</t>
        </is>
      </c>
      <c r="F7" s="18" t="n">
        <v>4610</v>
      </c>
      <c r="G7" s="15" t="n">
        <v>181.35</v>
      </c>
      <c r="H7" s="15" t="n">
        <v>836023.5</v>
      </c>
      <c r="I7" s="4" t="inlineStr">
        <is>
          <t>上海分部</t>
        </is>
      </c>
      <c r="J7" s="4" t="inlineStr">
        <is>
          <t>黄强英</t>
        </is>
      </c>
    </row>
    <row r="8">
      <c r="A8" s="14" t="n">
        <v>45661</v>
      </c>
      <c r="B8" s="4" t="inlineStr">
        <is>
          <t>SO202510260</t>
        </is>
      </c>
      <c r="C8" s="4" t="inlineStr">
        <is>
          <t>南京京功供应链有限公司</t>
        </is>
      </c>
      <c r="D8" s="4" t="inlineStr">
        <is>
          <t>川味底料</t>
        </is>
      </c>
      <c r="E8" s="4" t="inlineStr">
        <is>
          <t>25kg</t>
        </is>
      </c>
      <c r="F8" s="18" t="n">
        <v>1840</v>
      </c>
      <c r="G8" s="15" t="n">
        <v>157.67</v>
      </c>
      <c r="H8" s="15" t="n">
        <v>290112.8</v>
      </c>
      <c r="I8" s="4" t="inlineStr">
        <is>
          <t>江苏分部</t>
        </is>
      </c>
      <c r="J8" s="4" t="inlineStr">
        <is>
          <t>赵强娜</t>
        </is>
      </c>
    </row>
    <row r="9">
      <c r="A9" s="14" t="n">
        <v>45661</v>
      </c>
      <c r="B9" s="4" t="inlineStr">
        <is>
          <t>SO202510342</t>
        </is>
      </c>
      <c r="C9" s="4" t="inlineStr">
        <is>
          <t>上海京功酒店管理集团</t>
        </is>
      </c>
      <c r="D9" s="4" t="inlineStr">
        <is>
          <t>预制菜</t>
        </is>
      </c>
      <c r="E9" s="4" t="inlineStr">
        <is>
          <t>精装</t>
        </is>
      </c>
      <c r="F9" s="18" t="n">
        <v>1150</v>
      </c>
      <c r="G9" s="15" t="n">
        <v>158.32</v>
      </c>
      <c r="H9" s="15" t="n">
        <v>182068</v>
      </c>
      <c r="I9" s="4" t="inlineStr">
        <is>
          <t>赣皖区域</t>
        </is>
      </c>
      <c r="J9" s="4" t="inlineStr">
        <is>
          <t>张敏英</t>
        </is>
      </c>
    </row>
    <row r="10">
      <c r="A10" s="14" t="n">
        <v>45662</v>
      </c>
      <c r="B10" s="4" t="inlineStr">
        <is>
          <t>SO202510034</t>
        </is>
      </c>
      <c r="C10" s="4" t="inlineStr">
        <is>
          <t>南京百味超市</t>
        </is>
      </c>
      <c r="D10" s="4" t="inlineStr">
        <is>
          <t>酱料</t>
        </is>
      </c>
      <c r="E10" s="4" t="inlineStr">
        <is>
          <t>C级</t>
        </is>
      </c>
      <c r="F10" s="18" t="n">
        <v>4600</v>
      </c>
      <c r="G10" s="15" t="n">
        <v>286.52</v>
      </c>
      <c r="H10" s="15" t="n">
        <v>1317992</v>
      </c>
      <c r="I10" s="4" t="inlineStr">
        <is>
          <t>上海分部</t>
        </is>
      </c>
      <c r="J10" s="4" t="inlineStr">
        <is>
          <t>胡娟伟</t>
        </is>
      </c>
    </row>
    <row r="11">
      <c r="A11" s="14" t="n">
        <v>45662</v>
      </c>
      <c r="B11" s="4" t="inlineStr">
        <is>
          <t>SO202510102</t>
        </is>
      </c>
      <c r="C11" s="4" t="inlineStr">
        <is>
          <t>南京大匠酒店管理集团</t>
        </is>
      </c>
      <c r="D11" s="4" t="inlineStr">
        <is>
          <t>团餐</t>
        </is>
      </c>
      <c r="E11" s="4" t="inlineStr">
        <is>
          <t>标准</t>
        </is>
      </c>
      <c r="F11" s="18" t="n">
        <v>3350</v>
      </c>
      <c r="G11" s="15" t="n">
        <v>162.22</v>
      </c>
      <c r="H11" s="15" t="n">
        <v>543437</v>
      </c>
      <c r="I11" s="4" t="inlineStr">
        <is>
          <t>浙江分部</t>
        </is>
      </c>
      <c r="J11" s="4" t="inlineStr">
        <is>
          <t>周英敏</t>
        </is>
      </c>
    </row>
    <row r="12">
      <c r="A12" s="14" t="n">
        <v>45662</v>
      </c>
      <c r="B12" s="4" t="inlineStr">
        <is>
          <t>SO202510139</t>
        </is>
      </c>
      <c r="C12" s="4" t="inlineStr">
        <is>
          <t>南昌京功超市</t>
        </is>
      </c>
      <c r="D12" s="4" t="inlineStr">
        <is>
          <t>中式汤底</t>
        </is>
      </c>
      <c r="E12" s="4" t="inlineStr">
        <is>
          <t>标准</t>
        </is>
      </c>
      <c r="F12" s="18" t="n">
        <v>210</v>
      </c>
      <c r="G12" s="15" t="n">
        <v>127.74</v>
      </c>
      <c r="H12" s="15" t="n">
        <v>26825.4</v>
      </c>
      <c r="I12" s="4" t="inlineStr">
        <is>
          <t>上海分部</t>
        </is>
      </c>
      <c r="J12" s="4" t="inlineStr">
        <is>
          <t>杨杰娜</t>
        </is>
      </c>
    </row>
    <row r="13">
      <c r="A13" s="14" t="n">
        <v>45662</v>
      </c>
      <c r="B13" s="4" t="inlineStr">
        <is>
          <t>SO202510144</t>
        </is>
      </c>
      <c r="C13" s="4" t="inlineStr">
        <is>
          <t>合肥百味食品有限公司</t>
        </is>
      </c>
      <c r="D13" s="4" t="inlineStr">
        <is>
          <t>调味汁</t>
        </is>
      </c>
      <c r="E13" s="4" t="inlineStr">
        <is>
          <t>2.5kg</t>
        </is>
      </c>
      <c r="F13" s="18" t="n">
        <v>1090</v>
      </c>
      <c r="G13" s="15" t="n">
        <v>213.92</v>
      </c>
      <c r="H13" s="15" t="n">
        <v>233172.8</v>
      </c>
      <c r="I13" s="4" t="inlineStr">
        <is>
          <t>上海分部</t>
        </is>
      </c>
      <c r="J13" s="4" t="inlineStr">
        <is>
          <t>林涛英</t>
        </is>
      </c>
    </row>
    <row r="14">
      <c r="A14" s="14" t="n">
        <v>45662</v>
      </c>
      <c r="B14" s="4" t="inlineStr">
        <is>
          <t>SO202510334</t>
        </is>
      </c>
      <c r="C14" s="4" t="inlineStr">
        <is>
          <t>常州食佳酒店管理集团</t>
        </is>
      </c>
      <c r="D14" s="4" t="inlineStr">
        <is>
          <t>酱料</t>
        </is>
      </c>
      <c r="E14" s="4" t="inlineStr">
        <is>
          <t>25kg</t>
        </is>
      </c>
      <c r="F14" s="18" t="n">
        <v>240</v>
      </c>
      <c r="G14" s="15" t="n">
        <v>157.11</v>
      </c>
      <c r="H14" s="15" t="n">
        <v>37706.4</v>
      </c>
      <c r="I14" s="4" t="inlineStr">
        <is>
          <t>浙江分部</t>
        </is>
      </c>
      <c r="J14" s="4" t="inlineStr">
        <is>
          <t>马强秀</t>
        </is>
      </c>
    </row>
    <row r="15">
      <c r="A15" s="14" t="n">
        <v>45664</v>
      </c>
      <c r="B15" s="4" t="inlineStr">
        <is>
          <t>SO202510248</t>
        </is>
      </c>
      <c r="C15" s="4" t="inlineStr">
        <is>
          <t>合肥大匠电商平台</t>
        </is>
      </c>
      <c r="D15" s="4" t="inlineStr">
        <is>
          <t>预制菜</t>
        </is>
      </c>
      <c r="E15" s="4" t="inlineStr">
        <is>
          <t>500g</t>
        </is>
      </c>
      <c r="F15" s="18" t="n">
        <v>4390</v>
      </c>
      <c r="G15" s="15" t="n">
        <v>175.2</v>
      </c>
      <c r="H15" s="15" t="n">
        <v>769128</v>
      </c>
      <c r="I15" s="4" t="inlineStr">
        <is>
          <t>江苏分部</t>
        </is>
      </c>
      <c r="J15" s="4" t="inlineStr">
        <is>
          <t>王杰秀</t>
        </is>
      </c>
    </row>
    <row r="16">
      <c r="A16" s="14" t="n">
        <v>45664</v>
      </c>
      <c r="B16" s="4" t="inlineStr">
        <is>
          <t>SO202510265</t>
        </is>
      </c>
      <c r="C16" s="4" t="inlineStr">
        <is>
          <t>宁波淼沃酒店管理集团</t>
        </is>
      </c>
      <c r="D16" s="4" t="inlineStr">
        <is>
          <t>川味底料</t>
        </is>
      </c>
      <c r="E16" s="4" t="inlineStr">
        <is>
          <t>2.5kg</t>
        </is>
      </c>
      <c r="F16" s="18" t="n">
        <v>4500</v>
      </c>
      <c r="G16" s="15" t="n">
        <v>241.29</v>
      </c>
      <c r="H16" s="15" t="n">
        <v>1085805</v>
      </c>
      <c r="I16" s="4" t="inlineStr">
        <is>
          <t>上海分部</t>
        </is>
      </c>
      <c r="J16" s="4" t="inlineStr">
        <is>
          <t>徐强娜</t>
        </is>
      </c>
    </row>
    <row r="17">
      <c r="A17" s="14" t="n">
        <v>45664</v>
      </c>
      <c r="B17" s="4" t="inlineStr">
        <is>
          <t>SO202510292</t>
        </is>
      </c>
      <c r="C17" s="4" t="inlineStr">
        <is>
          <t>镇江京功供应链有限公司</t>
        </is>
      </c>
      <c r="D17" s="4" t="inlineStr">
        <is>
          <t>团餐</t>
        </is>
      </c>
      <c r="E17" s="4" t="inlineStr">
        <is>
          <t>500g</t>
        </is>
      </c>
      <c r="F17" s="18" t="n">
        <v>3820</v>
      </c>
      <c r="G17" s="15" t="n">
        <v>145.67</v>
      </c>
      <c r="H17" s="15" t="n">
        <v>556459.4</v>
      </c>
      <c r="I17" s="4" t="inlineStr">
        <is>
          <t>江苏分部</t>
        </is>
      </c>
      <c r="J17" s="4" t="inlineStr">
        <is>
          <t>胡芳芳</t>
        </is>
      </c>
    </row>
    <row r="18">
      <c r="A18" s="14" t="n">
        <v>45664</v>
      </c>
      <c r="B18" s="4" t="inlineStr">
        <is>
          <t>SO202510307</t>
        </is>
      </c>
      <c r="C18" s="4" t="inlineStr">
        <is>
          <t>杭州大匠商贸有限公司</t>
        </is>
      </c>
      <c r="D18" s="4" t="inlineStr">
        <is>
          <t>团餐</t>
        </is>
      </c>
      <c r="E18" s="4" t="inlineStr">
        <is>
          <t>5kg</t>
        </is>
      </c>
      <c r="F18" s="18" t="n">
        <v>2290</v>
      </c>
      <c r="G18" s="15" t="n">
        <v>10.76</v>
      </c>
      <c r="H18" s="15" t="n">
        <v>24640.4</v>
      </c>
      <c r="I18" s="4" t="inlineStr">
        <is>
          <t>浙江分部</t>
        </is>
      </c>
      <c r="J18" s="4" t="inlineStr">
        <is>
          <t>杨秀敏</t>
        </is>
      </c>
    </row>
    <row r="19">
      <c r="A19" s="14" t="n">
        <v>45665</v>
      </c>
      <c r="B19" s="4" t="inlineStr">
        <is>
          <t>SO202510105</t>
        </is>
      </c>
      <c r="C19" s="4" t="inlineStr">
        <is>
          <t>上海优鲜超市</t>
        </is>
      </c>
      <c r="D19" s="4" t="inlineStr">
        <is>
          <t>酱料</t>
        </is>
      </c>
      <c r="E19" s="4" t="inlineStr">
        <is>
          <t>B级</t>
        </is>
      </c>
      <c r="F19" s="18" t="n">
        <v>4400</v>
      </c>
      <c r="G19" s="15" t="n">
        <v>7.92</v>
      </c>
      <c r="H19" s="15" t="n">
        <v>34848</v>
      </c>
      <c r="I19" s="4" t="inlineStr">
        <is>
          <t>赣皖区域</t>
        </is>
      </c>
      <c r="J19" s="4" t="inlineStr">
        <is>
          <t>李伟秀</t>
        </is>
      </c>
    </row>
    <row r="20">
      <c r="A20" s="14" t="n">
        <v>45665</v>
      </c>
      <c r="B20" s="4" t="inlineStr">
        <is>
          <t>SO202510114</t>
        </is>
      </c>
      <c r="C20" s="4" t="inlineStr">
        <is>
          <t>常州大匠食品有限公司</t>
        </is>
      </c>
      <c r="D20" s="4" t="inlineStr">
        <is>
          <t>中式汤底</t>
        </is>
      </c>
      <c r="E20" s="4" t="inlineStr">
        <is>
          <t>25kg</t>
        </is>
      </c>
      <c r="F20" s="18" t="n">
        <v>2280</v>
      </c>
      <c r="G20" s="15" t="n">
        <v>88.34</v>
      </c>
      <c r="H20" s="15" t="n">
        <v>201415.2</v>
      </c>
      <c r="I20" s="4" t="inlineStr">
        <is>
          <t>江苏分部</t>
        </is>
      </c>
      <c r="J20" s="4" t="inlineStr">
        <is>
          <t>张强娜</t>
        </is>
      </c>
    </row>
    <row r="21">
      <c r="A21" s="14" t="n">
        <v>45667</v>
      </c>
      <c r="B21" s="4" t="inlineStr">
        <is>
          <t>SO202510175</t>
        </is>
      </c>
      <c r="C21" s="4" t="inlineStr">
        <is>
          <t>上海淼沃电商平台</t>
        </is>
      </c>
      <c r="D21" s="4" t="inlineStr">
        <is>
          <t>中式汤底</t>
        </is>
      </c>
      <c r="E21" s="4" t="inlineStr">
        <is>
          <t>A级</t>
        </is>
      </c>
      <c r="F21" s="18" t="n">
        <v>2080</v>
      </c>
      <c r="G21" s="15" t="n">
        <v>90.63</v>
      </c>
      <c r="H21" s="15" t="n">
        <v>188510.4</v>
      </c>
      <c r="I21" s="4" t="inlineStr">
        <is>
          <t>上海分部</t>
        </is>
      </c>
      <c r="J21" s="4" t="inlineStr">
        <is>
          <t>杨娟娜</t>
        </is>
      </c>
    </row>
    <row r="22">
      <c r="A22" s="14" t="n">
        <v>45668</v>
      </c>
      <c r="B22" s="4" t="inlineStr">
        <is>
          <t>SO202510012</t>
        </is>
      </c>
      <c r="C22" s="4" t="inlineStr">
        <is>
          <t>温州优鲜电商平台</t>
        </is>
      </c>
      <c r="D22" s="4" t="inlineStr">
        <is>
          <t>复合调味粉</t>
        </is>
      </c>
      <c r="E22" s="4" t="inlineStr">
        <is>
          <t>500g</t>
        </is>
      </c>
      <c r="F22" s="18" t="n">
        <v>2880</v>
      </c>
      <c r="G22" s="15" t="n">
        <v>200.41</v>
      </c>
      <c r="H22" s="15" t="n">
        <v>577180.8</v>
      </c>
      <c r="I22" s="4" t="inlineStr">
        <is>
          <t>江苏分部</t>
        </is>
      </c>
      <c r="J22" s="4" t="inlineStr">
        <is>
          <t>朱兰秀</t>
        </is>
      </c>
    </row>
    <row r="23">
      <c r="A23" s="14" t="n">
        <v>45669</v>
      </c>
      <c r="B23" s="4" t="inlineStr">
        <is>
          <t>SO202510067</t>
        </is>
      </c>
      <c r="C23" s="4" t="inlineStr">
        <is>
          <t>南昌大匠电商平台</t>
        </is>
      </c>
      <c r="D23" s="4" t="inlineStr">
        <is>
          <t>川味底料</t>
        </is>
      </c>
      <c r="E23" s="4" t="inlineStr">
        <is>
          <t>C级</t>
        </is>
      </c>
      <c r="F23" s="18" t="n">
        <v>2870</v>
      </c>
      <c r="G23" s="15" t="n">
        <v>195.02</v>
      </c>
      <c r="H23" s="15" t="n">
        <v>559707.4</v>
      </c>
      <c r="I23" s="4" t="inlineStr">
        <is>
          <t>江苏分部</t>
        </is>
      </c>
      <c r="J23" s="4" t="inlineStr">
        <is>
          <t>徐娟英</t>
        </is>
      </c>
    </row>
    <row r="24">
      <c r="A24" s="14" t="n">
        <v>45669</v>
      </c>
      <c r="B24" s="4" t="inlineStr">
        <is>
          <t>SO202510100</t>
        </is>
      </c>
      <c r="C24" s="4" t="inlineStr">
        <is>
          <t>常州淼沃超市</t>
        </is>
      </c>
      <c r="D24" s="4" t="inlineStr">
        <is>
          <t>中式汤底</t>
        </is>
      </c>
      <c r="E24" s="4" t="inlineStr">
        <is>
          <t>C级</t>
        </is>
      </c>
      <c r="F24" s="18" t="n">
        <v>170</v>
      </c>
      <c r="G24" s="15" t="n">
        <v>157.63</v>
      </c>
      <c r="H24" s="15" t="n">
        <v>26797.1</v>
      </c>
      <c r="I24" s="4" t="inlineStr">
        <is>
          <t>浙江分部</t>
        </is>
      </c>
      <c r="J24" s="4" t="inlineStr">
        <is>
          <t>何强敏</t>
        </is>
      </c>
    </row>
    <row r="25">
      <c r="A25" s="14" t="n">
        <v>45669</v>
      </c>
      <c r="B25" s="4" t="inlineStr">
        <is>
          <t>SO202510249</t>
        </is>
      </c>
      <c r="C25" s="4" t="inlineStr">
        <is>
          <t>常州百味电商平台</t>
        </is>
      </c>
      <c r="D25" s="4" t="inlineStr">
        <is>
          <t>复合调味粉</t>
        </is>
      </c>
      <c r="E25" s="4" t="inlineStr">
        <is>
          <t>10kg</t>
        </is>
      </c>
      <c r="F25" s="18" t="n">
        <v>3120</v>
      </c>
      <c r="G25" s="15" t="n">
        <v>89.67</v>
      </c>
      <c r="H25" s="15" t="n">
        <v>279770.4</v>
      </c>
      <c r="I25" s="4" t="inlineStr">
        <is>
          <t>浙江分部</t>
        </is>
      </c>
      <c r="J25" s="4" t="inlineStr">
        <is>
          <t>马兰芳</t>
        </is>
      </c>
    </row>
    <row r="26">
      <c r="A26" s="14" t="n">
        <v>45672</v>
      </c>
      <c r="B26" s="4" t="inlineStr">
        <is>
          <t>SO202510159</t>
        </is>
      </c>
      <c r="C26" s="4" t="inlineStr">
        <is>
          <t>常州百味超市</t>
        </is>
      </c>
      <c r="D26" s="4" t="inlineStr">
        <is>
          <t>中式汤底</t>
        </is>
      </c>
      <c r="E26" s="4" t="inlineStr">
        <is>
          <t>500g</t>
        </is>
      </c>
      <c r="F26" s="18" t="n">
        <v>4150</v>
      </c>
      <c r="G26" s="15" t="n">
        <v>211.34</v>
      </c>
      <c r="H26" s="15" t="n">
        <v>877061</v>
      </c>
      <c r="I26" s="4" t="inlineStr">
        <is>
          <t>江苏分部</t>
        </is>
      </c>
      <c r="J26" s="4" t="inlineStr">
        <is>
          <t>徐涛秀</t>
        </is>
      </c>
    </row>
    <row r="27">
      <c r="A27" s="14" t="n">
        <v>45673</v>
      </c>
      <c r="B27" s="4" t="inlineStr">
        <is>
          <t>SO202510096</t>
        </is>
      </c>
      <c r="C27" s="4" t="inlineStr">
        <is>
          <t>杭州大匠食品有限公司</t>
        </is>
      </c>
      <c r="D27" s="4" t="inlineStr">
        <is>
          <t>团餐</t>
        </is>
      </c>
      <c r="E27" s="4" t="inlineStr">
        <is>
          <t>简装</t>
        </is>
      </c>
      <c r="F27" s="18" t="n">
        <v>3670</v>
      </c>
      <c r="G27" s="15" t="n">
        <v>160.1</v>
      </c>
      <c r="H27" s="15" t="n">
        <v>587567</v>
      </c>
      <c r="I27" s="4" t="inlineStr">
        <is>
          <t>上海分部</t>
        </is>
      </c>
      <c r="J27" s="4" t="inlineStr">
        <is>
          <t>胡丽敏</t>
        </is>
      </c>
    </row>
    <row r="28">
      <c r="A28" s="14" t="n">
        <v>45677</v>
      </c>
      <c r="B28" s="4" t="inlineStr">
        <is>
          <t>SO202510333</t>
        </is>
      </c>
      <c r="C28" s="4" t="inlineStr">
        <is>
          <t>常州食佳商贸有限公司</t>
        </is>
      </c>
      <c r="D28" s="4" t="inlineStr">
        <is>
          <t>预制菜</t>
        </is>
      </c>
      <c r="E28" s="4" t="inlineStr">
        <is>
          <t>10kg</t>
        </is>
      </c>
      <c r="F28" s="18" t="n">
        <v>2070</v>
      </c>
      <c r="G28" s="15" t="n">
        <v>156.12</v>
      </c>
      <c r="H28" s="15" t="n">
        <v>323168.4</v>
      </c>
      <c r="I28" s="4" t="inlineStr">
        <is>
          <t>上海分部</t>
        </is>
      </c>
      <c r="J28" s="4" t="inlineStr">
        <is>
          <t>王艳芳</t>
        </is>
      </c>
    </row>
    <row r="29">
      <c r="A29" s="14" t="n">
        <v>45679</v>
      </c>
      <c r="B29" s="4" t="inlineStr">
        <is>
          <t>SO202510028</t>
        </is>
      </c>
      <c r="C29" s="4" t="inlineStr">
        <is>
          <t>南京淼沃供应链有限公司</t>
        </is>
      </c>
      <c r="D29" s="4" t="inlineStr">
        <is>
          <t>中式汤底</t>
        </is>
      </c>
      <c r="E29" s="4" t="inlineStr">
        <is>
          <t>1kg</t>
        </is>
      </c>
      <c r="F29" s="18" t="n">
        <v>1760</v>
      </c>
      <c r="G29" s="15" t="n">
        <v>94.02</v>
      </c>
      <c r="H29" s="15" t="n">
        <v>165475.2</v>
      </c>
      <c r="I29" s="4" t="inlineStr">
        <is>
          <t>浙江分部</t>
        </is>
      </c>
      <c r="J29" s="4" t="inlineStr">
        <is>
          <t>王秀英</t>
        </is>
      </c>
    </row>
    <row r="30">
      <c r="A30" s="14" t="n">
        <v>45679</v>
      </c>
      <c r="B30" s="4" t="inlineStr">
        <is>
          <t>SO202510122</t>
        </is>
      </c>
      <c r="C30" s="4" t="inlineStr">
        <is>
          <t>苏州京功酒店管理集团</t>
        </is>
      </c>
      <c r="D30" s="4" t="inlineStr">
        <is>
          <t>调味汁</t>
        </is>
      </c>
      <c r="E30" s="4" t="inlineStr">
        <is>
          <t>25kg</t>
        </is>
      </c>
      <c r="F30" s="18" t="n">
        <v>1440</v>
      </c>
      <c r="G30" s="15" t="n">
        <v>121.7</v>
      </c>
      <c r="H30" s="15" t="n">
        <v>175248</v>
      </c>
      <c r="I30" s="4" t="inlineStr">
        <is>
          <t>赣皖区域</t>
        </is>
      </c>
      <c r="J30" s="4" t="inlineStr">
        <is>
          <t>黄秀英</t>
        </is>
      </c>
    </row>
    <row r="31">
      <c r="A31" s="14" t="n">
        <v>45679</v>
      </c>
      <c r="B31" s="4" t="inlineStr">
        <is>
          <t>SO202510172</t>
        </is>
      </c>
      <c r="C31" s="4" t="inlineStr">
        <is>
          <t>南昌食佳超市</t>
        </is>
      </c>
      <c r="D31" s="4" t="inlineStr">
        <is>
          <t>酱料</t>
        </is>
      </c>
      <c r="E31" s="4" t="inlineStr">
        <is>
          <t>5kg</t>
        </is>
      </c>
      <c r="F31" s="18" t="n">
        <v>3180</v>
      </c>
      <c r="G31" s="15" t="n">
        <v>271.11</v>
      </c>
      <c r="H31" s="15" t="n">
        <v>862129.8</v>
      </c>
      <c r="I31" s="4" t="inlineStr">
        <is>
          <t>赣皖区域</t>
        </is>
      </c>
      <c r="J31" s="4" t="inlineStr">
        <is>
          <t>罗涛娜</t>
        </is>
      </c>
    </row>
    <row r="32">
      <c r="A32" s="14" t="n">
        <v>45682</v>
      </c>
      <c r="B32" s="4" t="inlineStr">
        <is>
          <t>SO202510057</t>
        </is>
      </c>
      <c r="C32" s="4" t="inlineStr">
        <is>
          <t>杭州百味酒店管理集团</t>
        </is>
      </c>
      <c r="D32" s="4" t="inlineStr">
        <is>
          <t>中式汤底</t>
        </is>
      </c>
      <c r="E32" s="4" t="inlineStr">
        <is>
          <t>2.5kg</t>
        </is>
      </c>
      <c r="F32" s="18" t="n">
        <v>2280</v>
      </c>
      <c r="G32" s="15" t="n">
        <v>149.74</v>
      </c>
      <c r="H32" s="15" t="n">
        <v>341407.2</v>
      </c>
      <c r="I32" s="4" t="inlineStr">
        <is>
          <t>浙江分部</t>
        </is>
      </c>
      <c r="J32" s="4" t="inlineStr">
        <is>
          <t>徐秀娜</t>
        </is>
      </c>
    </row>
    <row r="33">
      <c r="A33" s="14" t="n">
        <v>45682</v>
      </c>
      <c r="B33" s="4" t="inlineStr">
        <is>
          <t>SO202510270</t>
        </is>
      </c>
      <c r="C33" s="4" t="inlineStr">
        <is>
          <t>合肥优鲜酒店管理集团</t>
        </is>
      </c>
      <c r="D33" s="4" t="inlineStr">
        <is>
          <t>团餐</t>
        </is>
      </c>
      <c r="E33" s="4" t="inlineStr">
        <is>
          <t>B级</t>
        </is>
      </c>
      <c r="F33" s="18" t="n">
        <v>3100</v>
      </c>
      <c r="G33" s="15" t="n">
        <v>175.27</v>
      </c>
      <c r="H33" s="15" t="n">
        <v>543337</v>
      </c>
      <c r="I33" s="4" t="inlineStr">
        <is>
          <t>浙江分部</t>
        </is>
      </c>
      <c r="J33" s="4" t="inlineStr">
        <is>
          <t>王超伟</t>
        </is>
      </c>
    </row>
    <row r="34">
      <c r="A34" s="14" t="n">
        <v>45683</v>
      </c>
      <c r="B34" s="4" t="inlineStr">
        <is>
          <t>SO202510005</t>
        </is>
      </c>
      <c r="C34" s="4" t="inlineStr">
        <is>
          <t>嘉兴京功酒店管理集团</t>
        </is>
      </c>
      <c r="D34" s="4" t="inlineStr">
        <is>
          <t>复合调味粉</t>
        </is>
      </c>
      <c r="E34" s="4" t="inlineStr">
        <is>
          <t>5kg</t>
        </is>
      </c>
      <c r="F34" s="18" t="n">
        <v>4900</v>
      </c>
      <c r="G34" s="15" t="n">
        <v>290.16</v>
      </c>
      <c r="H34" s="15" t="n">
        <v>1421784</v>
      </c>
      <c r="I34" s="4" t="inlineStr">
        <is>
          <t>上海分部</t>
        </is>
      </c>
      <c r="J34" s="4" t="inlineStr">
        <is>
          <t>周英芳</t>
        </is>
      </c>
    </row>
    <row r="35">
      <c r="A35" s="14" t="n">
        <v>45683</v>
      </c>
      <c r="B35" s="4" t="inlineStr">
        <is>
          <t>SO202510120</t>
        </is>
      </c>
      <c r="C35" s="4" t="inlineStr">
        <is>
          <t>嘉兴大匠商贸有限公司</t>
        </is>
      </c>
      <c r="D35" s="4" t="inlineStr">
        <is>
          <t>预制菜</t>
        </is>
      </c>
      <c r="E35" s="4" t="inlineStr">
        <is>
          <t>简装</t>
        </is>
      </c>
      <c r="F35" s="18" t="n">
        <v>560</v>
      </c>
      <c r="G35" s="15" t="n">
        <v>264.37</v>
      </c>
      <c r="H35" s="15" t="n">
        <v>148047.2</v>
      </c>
      <c r="I35" s="4" t="inlineStr">
        <is>
          <t>赣皖区域</t>
        </is>
      </c>
      <c r="J35" s="4" t="inlineStr">
        <is>
          <t>赵静芳</t>
        </is>
      </c>
    </row>
    <row r="36">
      <c r="A36" s="14" t="n">
        <v>45683</v>
      </c>
      <c r="B36" s="4" t="inlineStr">
        <is>
          <t>SO202510325</t>
        </is>
      </c>
      <c r="C36" s="4" t="inlineStr">
        <is>
          <t>常州优鲜食品有限公司</t>
        </is>
      </c>
      <c r="D36" s="4" t="inlineStr">
        <is>
          <t>中式汤底</t>
        </is>
      </c>
      <c r="E36" s="4" t="inlineStr">
        <is>
          <t>简装</t>
        </is>
      </c>
      <c r="F36" s="18" t="n">
        <v>2980</v>
      </c>
      <c r="G36" s="15" t="n">
        <v>43.72</v>
      </c>
      <c r="H36" s="15" t="n">
        <v>130285.6</v>
      </c>
      <c r="I36" s="4" t="inlineStr">
        <is>
          <t>江苏分部</t>
        </is>
      </c>
      <c r="J36" s="4" t="inlineStr">
        <is>
          <t>何明秀</t>
        </is>
      </c>
    </row>
    <row r="37">
      <c r="A37" s="14" t="n">
        <v>45684</v>
      </c>
      <c r="B37" s="4" t="inlineStr">
        <is>
          <t>SO202510170</t>
        </is>
      </c>
      <c r="C37" s="4" t="inlineStr">
        <is>
          <t>上海淼沃食品有限公司</t>
        </is>
      </c>
      <c r="D37" s="4" t="inlineStr">
        <is>
          <t>中式汤底</t>
        </is>
      </c>
      <c r="E37" s="4" t="inlineStr">
        <is>
          <t>A级</t>
        </is>
      </c>
      <c r="F37" s="18" t="n">
        <v>2550</v>
      </c>
      <c r="G37" s="15" t="n">
        <v>169.92</v>
      </c>
      <c r="H37" s="15" t="n">
        <v>433296</v>
      </c>
      <c r="I37" s="4" t="inlineStr">
        <is>
          <t>浙江分部</t>
        </is>
      </c>
      <c r="J37" s="4" t="inlineStr">
        <is>
          <t>刘伟娜</t>
        </is>
      </c>
    </row>
    <row r="38">
      <c r="A38" s="14" t="n">
        <v>45684</v>
      </c>
      <c r="B38" s="4" t="inlineStr">
        <is>
          <t>SO202510184</t>
        </is>
      </c>
      <c r="C38" s="4" t="inlineStr">
        <is>
          <t>杭州优鲜酒店管理集团</t>
        </is>
      </c>
      <c r="D38" s="4" t="inlineStr">
        <is>
          <t>团餐</t>
        </is>
      </c>
      <c r="E38" s="4" t="inlineStr">
        <is>
          <t>C级</t>
        </is>
      </c>
      <c r="F38" s="18" t="n">
        <v>2330</v>
      </c>
      <c r="G38" s="15" t="n">
        <v>219.04</v>
      </c>
      <c r="H38" s="15" t="n">
        <v>510363.2</v>
      </c>
      <c r="I38" s="4" t="inlineStr">
        <is>
          <t>浙江分部</t>
        </is>
      </c>
      <c r="J38" s="4" t="inlineStr">
        <is>
          <t>何伟伟</t>
        </is>
      </c>
    </row>
    <row r="39">
      <c r="A39" s="14" t="n">
        <v>45691</v>
      </c>
      <c r="B39" s="4" t="inlineStr">
        <is>
          <t>SO202510085</t>
        </is>
      </c>
      <c r="C39" s="4" t="inlineStr">
        <is>
          <t>杭州百味食品有限公司</t>
        </is>
      </c>
      <c r="D39" s="4" t="inlineStr">
        <is>
          <t>川味底料</t>
        </is>
      </c>
      <c r="E39" s="4" t="inlineStr">
        <is>
          <t>10kg</t>
        </is>
      </c>
      <c r="F39" s="18" t="n">
        <v>4010</v>
      </c>
      <c r="G39" s="15" t="n">
        <v>291.54</v>
      </c>
      <c r="H39" s="15" t="n">
        <v>1169075.4</v>
      </c>
      <c r="I39" s="4" t="inlineStr">
        <is>
          <t>江苏分部</t>
        </is>
      </c>
      <c r="J39" s="4" t="inlineStr">
        <is>
          <t>周伟英</t>
        </is>
      </c>
    </row>
    <row r="40">
      <c r="A40" s="14" t="n">
        <v>45692</v>
      </c>
      <c r="B40" s="4" t="inlineStr">
        <is>
          <t>SO202510262</t>
        </is>
      </c>
      <c r="C40" s="4" t="inlineStr">
        <is>
          <t>杭州京功餐饮管理有限公司</t>
        </is>
      </c>
      <c r="D40" s="4" t="inlineStr">
        <is>
          <t>川味底料</t>
        </is>
      </c>
      <c r="E40" s="4" t="inlineStr">
        <is>
          <t>C级</t>
        </is>
      </c>
      <c r="F40" s="18" t="n">
        <v>1980</v>
      </c>
      <c r="G40" s="15" t="n">
        <v>275.85</v>
      </c>
      <c r="H40" s="15" t="n">
        <v>546183</v>
      </c>
      <c r="I40" s="4" t="inlineStr">
        <is>
          <t>赣皖区域</t>
        </is>
      </c>
      <c r="J40" s="4" t="inlineStr">
        <is>
          <t>李明英</t>
        </is>
      </c>
    </row>
    <row r="41">
      <c r="A41" s="14" t="n">
        <v>45693</v>
      </c>
      <c r="B41" s="4" t="inlineStr">
        <is>
          <t>SO202510142</t>
        </is>
      </c>
      <c r="C41" s="4" t="inlineStr">
        <is>
          <t>温州大匠酒店管理集团</t>
        </is>
      </c>
      <c r="D41" s="4" t="inlineStr">
        <is>
          <t>酱料</t>
        </is>
      </c>
      <c r="E41" s="4" t="inlineStr">
        <is>
          <t>标准</t>
        </is>
      </c>
      <c r="F41" s="18" t="n">
        <v>4460</v>
      </c>
      <c r="G41" s="15" t="n">
        <v>51.21</v>
      </c>
      <c r="H41" s="15" t="n">
        <v>228396.6</v>
      </c>
      <c r="I41" s="4" t="inlineStr">
        <is>
          <t>上海分部</t>
        </is>
      </c>
      <c r="J41" s="4" t="inlineStr">
        <is>
          <t>张勇秀</t>
        </is>
      </c>
    </row>
    <row r="42">
      <c r="A42" s="14" t="n">
        <v>45693</v>
      </c>
      <c r="B42" s="4" t="inlineStr">
        <is>
          <t>SO202510259</t>
        </is>
      </c>
      <c r="C42" s="4" t="inlineStr">
        <is>
          <t>南昌优鲜超市</t>
        </is>
      </c>
      <c r="D42" s="4" t="inlineStr">
        <is>
          <t>中式汤底</t>
        </is>
      </c>
      <c r="E42" s="4" t="inlineStr">
        <is>
          <t>500g</t>
        </is>
      </c>
      <c r="F42" s="18" t="n">
        <v>2050</v>
      </c>
      <c r="G42" s="15" t="n">
        <v>74.19</v>
      </c>
      <c r="H42" s="15" t="n">
        <v>152089.5</v>
      </c>
      <c r="I42" s="4" t="inlineStr">
        <is>
          <t>赣皖区域</t>
        </is>
      </c>
      <c r="J42" s="4" t="inlineStr">
        <is>
          <t>刘秀秀</t>
        </is>
      </c>
    </row>
    <row r="43">
      <c r="A43" s="14" t="n">
        <v>45694</v>
      </c>
      <c r="B43" s="4" t="inlineStr">
        <is>
          <t>SO202510202</t>
        </is>
      </c>
      <c r="C43" s="4" t="inlineStr">
        <is>
          <t>合肥食佳餐饮管理有限公司</t>
        </is>
      </c>
      <c r="D43" s="4" t="inlineStr">
        <is>
          <t>团餐</t>
        </is>
      </c>
      <c r="E43" s="4" t="inlineStr">
        <is>
          <t>标准</t>
        </is>
      </c>
      <c r="F43" s="18" t="n">
        <v>2680</v>
      </c>
      <c r="G43" s="15" t="n">
        <v>213.68</v>
      </c>
      <c r="H43" s="15" t="n">
        <v>572662.4</v>
      </c>
      <c r="I43" s="4" t="inlineStr">
        <is>
          <t>赣皖区域</t>
        </is>
      </c>
      <c r="J43" s="4" t="inlineStr">
        <is>
          <t>王洋英</t>
        </is>
      </c>
    </row>
    <row r="44">
      <c r="A44" s="14" t="n">
        <v>45694</v>
      </c>
      <c r="B44" s="4" t="inlineStr">
        <is>
          <t>SO202510237</t>
        </is>
      </c>
      <c r="C44" s="4" t="inlineStr">
        <is>
          <t>无锡京功食品有限公司</t>
        </is>
      </c>
      <c r="D44" s="4" t="inlineStr">
        <is>
          <t>调味汁</t>
        </is>
      </c>
      <c r="E44" s="4" t="inlineStr">
        <is>
          <t>2.5kg</t>
        </is>
      </c>
      <c r="F44" s="18" t="n">
        <v>1230</v>
      </c>
      <c r="G44" s="15" t="n">
        <v>92.43000000000001</v>
      </c>
      <c r="H44" s="15" t="n">
        <v>113688.9</v>
      </c>
      <c r="I44" s="4" t="inlineStr">
        <is>
          <t>江苏分部</t>
        </is>
      </c>
      <c r="J44" s="4" t="inlineStr">
        <is>
          <t>陈伟芳</t>
        </is>
      </c>
    </row>
    <row r="45">
      <c r="A45" s="14" t="n">
        <v>45695</v>
      </c>
      <c r="B45" s="4" t="inlineStr">
        <is>
          <t>SO202510176</t>
        </is>
      </c>
      <c r="C45" s="4" t="inlineStr">
        <is>
          <t>常州大匠电商平台</t>
        </is>
      </c>
      <c r="D45" s="4" t="inlineStr">
        <is>
          <t>酱料</t>
        </is>
      </c>
      <c r="E45" s="4" t="inlineStr">
        <is>
          <t>10kg</t>
        </is>
      </c>
      <c r="F45" s="18" t="n">
        <v>2350</v>
      </c>
      <c r="G45" s="15" t="n">
        <v>281.7</v>
      </c>
      <c r="H45" s="15" t="n">
        <v>661995</v>
      </c>
      <c r="I45" s="4" t="inlineStr">
        <is>
          <t>赣皖区域</t>
        </is>
      </c>
      <c r="J45" s="4" t="inlineStr">
        <is>
          <t>胡杰秀</t>
        </is>
      </c>
    </row>
    <row r="46">
      <c r="A46" s="14" t="n">
        <v>45696</v>
      </c>
      <c r="B46" s="4" t="inlineStr">
        <is>
          <t>SO202510001</t>
        </is>
      </c>
      <c r="C46" s="4" t="inlineStr">
        <is>
          <t>杭州优鲜超市</t>
        </is>
      </c>
      <c r="D46" s="4" t="inlineStr">
        <is>
          <t>酱料</t>
        </is>
      </c>
      <c r="E46" s="4" t="inlineStr">
        <is>
          <t>C级</t>
        </is>
      </c>
      <c r="F46" s="18" t="n">
        <v>110</v>
      </c>
      <c r="G46" s="15" t="n">
        <v>280.77</v>
      </c>
      <c r="H46" s="15" t="n">
        <v>30884.7</v>
      </c>
      <c r="I46" s="4" t="inlineStr">
        <is>
          <t>浙江分部</t>
        </is>
      </c>
      <c r="J46" s="4" t="inlineStr">
        <is>
          <t>黄静伟</t>
        </is>
      </c>
    </row>
    <row r="47">
      <c r="A47" s="14" t="n">
        <v>45697</v>
      </c>
      <c r="B47" s="4" t="inlineStr">
        <is>
          <t>SO202510245</t>
        </is>
      </c>
      <c r="C47" s="4" t="inlineStr">
        <is>
          <t>上海淼沃食品有限公司</t>
        </is>
      </c>
      <c r="D47" s="4" t="inlineStr">
        <is>
          <t>复合调味粉</t>
        </is>
      </c>
      <c r="E47" s="4" t="inlineStr">
        <is>
          <t>25kg</t>
        </is>
      </c>
      <c r="F47" s="18" t="n">
        <v>2440</v>
      </c>
      <c r="G47" s="15" t="n">
        <v>232.71</v>
      </c>
      <c r="H47" s="15" t="n">
        <v>567812.4</v>
      </c>
      <c r="I47" s="4" t="inlineStr">
        <is>
          <t>浙江分部</t>
        </is>
      </c>
      <c r="J47" s="4" t="inlineStr">
        <is>
          <t>林娟娜</t>
        </is>
      </c>
    </row>
    <row r="48">
      <c r="A48" s="14" t="n">
        <v>45698</v>
      </c>
      <c r="B48" s="4" t="inlineStr">
        <is>
          <t>SO202510014</t>
        </is>
      </c>
      <c r="C48" s="4" t="inlineStr">
        <is>
          <t>苏州京功电商平台</t>
        </is>
      </c>
      <c r="D48" s="4" t="inlineStr">
        <is>
          <t>预制菜</t>
        </is>
      </c>
      <c r="E48" s="4" t="inlineStr">
        <is>
          <t>500g</t>
        </is>
      </c>
      <c r="F48" s="18" t="n">
        <v>3870</v>
      </c>
      <c r="G48" s="15" t="n">
        <v>129.65</v>
      </c>
      <c r="H48" s="15" t="n">
        <v>501745.5</v>
      </c>
      <c r="I48" s="4" t="inlineStr">
        <is>
          <t>江苏分部</t>
        </is>
      </c>
      <c r="J48" s="4" t="inlineStr">
        <is>
          <t>杨兰芳</t>
        </is>
      </c>
    </row>
    <row r="49">
      <c r="A49" s="14" t="n">
        <v>45699</v>
      </c>
      <c r="B49" s="4" t="inlineStr">
        <is>
          <t>SO202510341</t>
        </is>
      </c>
      <c r="C49" s="4" t="inlineStr">
        <is>
          <t>杭州大匠超市</t>
        </is>
      </c>
      <c r="D49" s="4" t="inlineStr">
        <is>
          <t>复合调味粉</t>
        </is>
      </c>
      <c r="E49" s="4" t="inlineStr">
        <is>
          <t>10kg</t>
        </is>
      </c>
      <c r="F49" s="18" t="n">
        <v>3090</v>
      </c>
      <c r="G49" s="15" t="n">
        <v>72.31999999999999</v>
      </c>
      <c r="H49" s="15" t="n">
        <v>223468.8</v>
      </c>
      <c r="I49" s="4" t="inlineStr">
        <is>
          <t>赣皖区域</t>
        </is>
      </c>
      <c r="J49" s="4" t="inlineStr">
        <is>
          <t>何杰敏</t>
        </is>
      </c>
    </row>
    <row r="50">
      <c r="A50" s="14" t="n">
        <v>45700</v>
      </c>
      <c r="B50" s="4" t="inlineStr">
        <is>
          <t>SO202510311</t>
        </is>
      </c>
      <c r="C50" s="4" t="inlineStr">
        <is>
          <t>杭州食佳餐饮管理有限公司</t>
        </is>
      </c>
      <c r="D50" s="4" t="inlineStr">
        <is>
          <t>调味汁</t>
        </is>
      </c>
      <c r="E50" s="4" t="inlineStr">
        <is>
          <t>A级</t>
        </is>
      </c>
      <c r="F50" s="18" t="n">
        <v>3410</v>
      </c>
      <c r="G50" s="15" t="n">
        <v>211.29</v>
      </c>
      <c r="H50" s="15" t="n">
        <v>720498.9</v>
      </c>
      <c r="I50" s="4" t="inlineStr">
        <is>
          <t>上海分部</t>
        </is>
      </c>
      <c r="J50" s="4" t="inlineStr">
        <is>
          <t>刘杰娜</t>
        </is>
      </c>
    </row>
    <row r="51">
      <c r="A51" s="14" t="n">
        <v>45701</v>
      </c>
      <c r="B51" s="4" t="inlineStr">
        <is>
          <t>SO202510026</t>
        </is>
      </c>
      <c r="C51" s="4" t="inlineStr">
        <is>
          <t>苏州大匠供应链有限公司</t>
        </is>
      </c>
      <c r="D51" s="4" t="inlineStr">
        <is>
          <t>调味汁</t>
        </is>
      </c>
      <c r="E51" s="4" t="inlineStr">
        <is>
          <t>标准</t>
        </is>
      </c>
      <c r="F51" s="18" t="n">
        <v>3530</v>
      </c>
      <c r="G51" s="15" t="n">
        <v>170.48</v>
      </c>
      <c r="H51" s="15" t="n">
        <v>601794.4</v>
      </c>
      <c r="I51" s="4" t="inlineStr">
        <is>
          <t>赣皖区域</t>
        </is>
      </c>
      <c r="J51" s="4" t="inlineStr">
        <is>
          <t>朱秀娜</t>
        </is>
      </c>
    </row>
    <row r="52">
      <c r="A52" s="14" t="n">
        <v>45701</v>
      </c>
      <c r="B52" s="4" t="inlineStr">
        <is>
          <t>SO202510228</t>
        </is>
      </c>
      <c r="C52" s="4" t="inlineStr">
        <is>
          <t>苏州淼沃供应链有限公司</t>
        </is>
      </c>
      <c r="D52" s="4" t="inlineStr">
        <is>
          <t>团餐</t>
        </is>
      </c>
      <c r="E52" s="4" t="inlineStr">
        <is>
          <t>精装</t>
        </is>
      </c>
      <c r="F52" s="18" t="n">
        <v>1610</v>
      </c>
      <c r="G52" s="15" t="n">
        <v>35.66</v>
      </c>
      <c r="H52" s="15" t="n">
        <v>57412.6</v>
      </c>
      <c r="I52" s="4" t="inlineStr">
        <is>
          <t>赣皖区域</t>
        </is>
      </c>
      <c r="J52" s="4" t="inlineStr">
        <is>
          <t>刘娜娜</t>
        </is>
      </c>
    </row>
    <row r="53">
      <c r="A53" s="14" t="n">
        <v>45710</v>
      </c>
      <c r="B53" s="4" t="inlineStr">
        <is>
          <t>SO202510035</t>
        </is>
      </c>
      <c r="C53" s="4" t="inlineStr">
        <is>
          <t>南京优鲜电商平台</t>
        </is>
      </c>
      <c r="D53" s="4" t="inlineStr">
        <is>
          <t>川味底料</t>
        </is>
      </c>
      <c r="E53" s="4" t="inlineStr">
        <is>
          <t>C级</t>
        </is>
      </c>
      <c r="F53" s="18" t="n">
        <v>2660</v>
      </c>
      <c r="G53" s="15" t="n">
        <v>172.43</v>
      </c>
      <c r="H53" s="15" t="n">
        <v>458663.8</v>
      </c>
      <c r="I53" s="4" t="inlineStr">
        <is>
          <t>江苏分部</t>
        </is>
      </c>
      <c r="J53" s="4" t="inlineStr">
        <is>
          <t>赵明敏</t>
        </is>
      </c>
    </row>
    <row r="54">
      <c r="A54" s="14" t="n">
        <v>45710</v>
      </c>
      <c r="B54" s="4" t="inlineStr">
        <is>
          <t>SO202510241</t>
        </is>
      </c>
      <c r="C54" s="4" t="inlineStr">
        <is>
          <t>温州淼沃酒店管理集团</t>
        </is>
      </c>
      <c r="D54" s="4" t="inlineStr">
        <is>
          <t>酱料</t>
        </is>
      </c>
      <c r="E54" s="4" t="inlineStr">
        <is>
          <t>C级</t>
        </is>
      </c>
      <c r="F54" s="18" t="n">
        <v>990</v>
      </c>
      <c r="G54" s="15" t="n">
        <v>101.37</v>
      </c>
      <c r="H54" s="15" t="n">
        <v>100356.3</v>
      </c>
      <c r="I54" s="4" t="inlineStr">
        <is>
          <t>浙江分部</t>
        </is>
      </c>
      <c r="J54" s="4" t="inlineStr">
        <is>
          <t>杨秀秀</t>
        </is>
      </c>
    </row>
    <row r="55">
      <c r="A55" s="14" t="n">
        <v>45712</v>
      </c>
      <c r="B55" s="4" t="inlineStr">
        <is>
          <t>SO202510109</t>
        </is>
      </c>
      <c r="C55" s="4" t="inlineStr">
        <is>
          <t>上海大匠电商平台</t>
        </is>
      </c>
      <c r="D55" s="4" t="inlineStr">
        <is>
          <t>团餐</t>
        </is>
      </c>
      <c r="E55" s="4" t="inlineStr">
        <is>
          <t>10kg</t>
        </is>
      </c>
      <c r="F55" s="18" t="n">
        <v>3960</v>
      </c>
      <c r="G55" s="15" t="n">
        <v>64.58</v>
      </c>
      <c r="H55" s="15" t="n">
        <v>255736.8</v>
      </c>
      <c r="I55" s="4" t="inlineStr">
        <is>
          <t>浙江分部</t>
        </is>
      </c>
      <c r="J55" s="4" t="inlineStr">
        <is>
          <t>徐勇芳</t>
        </is>
      </c>
    </row>
    <row r="56">
      <c r="A56" s="14" t="n">
        <v>45712</v>
      </c>
      <c r="B56" s="4" t="inlineStr">
        <is>
          <t>SO202510284</t>
        </is>
      </c>
      <c r="C56" s="4" t="inlineStr">
        <is>
          <t>苏州百味食品有限公司</t>
        </is>
      </c>
      <c r="D56" s="4" t="inlineStr">
        <is>
          <t>中式汤底</t>
        </is>
      </c>
      <c r="E56" s="4" t="inlineStr">
        <is>
          <t>简装</t>
        </is>
      </c>
      <c r="F56" s="18" t="n">
        <v>2500</v>
      </c>
      <c r="G56" s="15" t="n">
        <v>220.36</v>
      </c>
      <c r="H56" s="15" t="n">
        <v>550900</v>
      </c>
      <c r="I56" s="4" t="inlineStr">
        <is>
          <t>上海分部</t>
        </is>
      </c>
      <c r="J56" s="4" t="inlineStr">
        <is>
          <t>赵娜娜</t>
        </is>
      </c>
    </row>
    <row r="57">
      <c r="A57" s="14" t="n">
        <v>45713</v>
      </c>
      <c r="B57" s="4" t="inlineStr">
        <is>
          <t>SO202510078</t>
        </is>
      </c>
      <c r="C57" s="4" t="inlineStr">
        <is>
          <t>无锡百味食品有限公司</t>
        </is>
      </c>
      <c r="D57" s="4" t="inlineStr">
        <is>
          <t>复合调味粉</t>
        </is>
      </c>
      <c r="E57" s="4" t="inlineStr">
        <is>
          <t>10kg</t>
        </is>
      </c>
      <c r="F57" s="18" t="n">
        <v>2810</v>
      </c>
      <c r="G57" s="15" t="n">
        <v>47.34</v>
      </c>
      <c r="H57" s="15" t="n">
        <v>133025.4</v>
      </c>
      <c r="I57" s="4" t="inlineStr">
        <is>
          <t>赣皖区域</t>
        </is>
      </c>
      <c r="J57" s="4" t="inlineStr">
        <is>
          <t>杨娜英</t>
        </is>
      </c>
    </row>
    <row r="58">
      <c r="A58" s="14" t="n">
        <v>45714</v>
      </c>
      <c r="B58" s="4" t="inlineStr">
        <is>
          <t>SO202510205</t>
        </is>
      </c>
      <c r="C58" s="4" t="inlineStr">
        <is>
          <t>杭州大匠酒店管理集团</t>
        </is>
      </c>
      <c r="D58" s="4" t="inlineStr">
        <is>
          <t>团餐</t>
        </is>
      </c>
      <c r="E58" s="4" t="inlineStr">
        <is>
          <t>简装</t>
        </is>
      </c>
      <c r="F58" s="18" t="n">
        <v>3870</v>
      </c>
      <c r="G58" s="15" t="n">
        <v>260.48</v>
      </c>
      <c r="H58" s="15" t="n">
        <v>1008057.6</v>
      </c>
      <c r="I58" s="4" t="inlineStr">
        <is>
          <t>赣皖区域</t>
        </is>
      </c>
      <c r="J58" s="4" t="inlineStr">
        <is>
          <t>张静秀</t>
        </is>
      </c>
    </row>
    <row r="59">
      <c r="A59" s="14" t="n">
        <v>45715</v>
      </c>
      <c r="B59" s="4" t="inlineStr">
        <is>
          <t>SO202510043</t>
        </is>
      </c>
      <c r="C59" s="4" t="inlineStr">
        <is>
          <t>无锡优鲜酒店管理集团</t>
        </is>
      </c>
      <c r="D59" s="4" t="inlineStr">
        <is>
          <t>复合调味粉</t>
        </is>
      </c>
      <c r="E59" s="4" t="inlineStr">
        <is>
          <t>标准</t>
        </is>
      </c>
      <c r="F59" s="18" t="n">
        <v>4120</v>
      </c>
      <c r="G59" s="15" t="n">
        <v>241.38</v>
      </c>
      <c r="H59" s="15" t="n">
        <v>994485.6</v>
      </c>
      <c r="I59" s="4" t="inlineStr">
        <is>
          <t>赣皖区域</t>
        </is>
      </c>
      <c r="J59" s="4" t="inlineStr">
        <is>
          <t>马兰芳</t>
        </is>
      </c>
    </row>
    <row r="60">
      <c r="A60" s="14" t="n">
        <v>45715</v>
      </c>
      <c r="B60" s="4" t="inlineStr">
        <is>
          <t>SO202510073</t>
        </is>
      </c>
      <c r="C60" s="4" t="inlineStr">
        <is>
          <t>苏州食佳电商平台</t>
        </is>
      </c>
      <c r="D60" s="4" t="inlineStr">
        <is>
          <t>川味底料</t>
        </is>
      </c>
      <c r="E60" s="4" t="inlineStr">
        <is>
          <t>标准</t>
        </is>
      </c>
      <c r="F60" s="18" t="n">
        <v>2180</v>
      </c>
      <c r="G60" s="15" t="n">
        <v>29.09</v>
      </c>
      <c r="H60" s="15" t="n">
        <v>63416.2</v>
      </c>
      <c r="I60" s="4" t="inlineStr">
        <is>
          <t>上海分部</t>
        </is>
      </c>
      <c r="J60" s="4" t="inlineStr">
        <is>
          <t>胡静英</t>
        </is>
      </c>
    </row>
    <row r="61">
      <c r="A61" s="14" t="n">
        <v>45721</v>
      </c>
      <c r="B61" s="4" t="inlineStr">
        <is>
          <t>SO202510033</t>
        </is>
      </c>
      <c r="C61" s="4" t="inlineStr">
        <is>
          <t>上海百味酒店管理集团</t>
        </is>
      </c>
      <c r="D61" s="4" t="inlineStr">
        <is>
          <t>川味底料</t>
        </is>
      </c>
      <c r="E61" s="4" t="inlineStr">
        <is>
          <t>C级</t>
        </is>
      </c>
      <c r="F61" s="18" t="n">
        <v>800</v>
      </c>
      <c r="G61" s="15" t="n">
        <v>139.81</v>
      </c>
      <c r="H61" s="15" t="n">
        <v>111848</v>
      </c>
      <c r="I61" s="4" t="inlineStr">
        <is>
          <t>浙江分部</t>
        </is>
      </c>
      <c r="J61" s="4" t="inlineStr">
        <is>
          <t>王伟芳</t>
        </is>
      </c>
    </row>
    <row r="62">
      <c r="A62" s="14" t="n">
        <v>45722</v>
      </c>
      <c r="B62" s="4" t="inlineStr">
        <is>
          <t>SO202510039</t>
        </is>
      </c>
      <c r="C62" s="4" t="inlineStr">
        <is>
          <t>无锡食佳超市</t>
        </is>
      </c>
      <c r="D62" s="4" t="inlineStr">
        <is>
          <t>预制菜</t>
        </is>
      </c>
      <c r="E62" s="4" t="inlineStr">
        <is>
          <t>10kg</t>
        </is>
      </c>
      <c r="F62" s="18" t="n">
        <v>1330</v>
      </c>
      <c r="G62" s="15" t="n">
        <v>210.52</v>
      </c>
      <c r="H62" s="15" t="n">
        <v>279991.6</v>
      </c>
      <c r="I62" s="4" t="inlineStr">
        <is>
          <t>江苏分部</t>
        </is>
      </c>
      <c r="J62" s="4" t="inlineStr">
        <is>
          <t>何艳芳</t>
        </is>
      </c>
    </row>
    <row r="63">
      <c r="A63" s="14" t="n">
        <v>45724</v>
      </c>
      <c r="B63" s="4" t="inlineStr">
        <is>
          <t>SO202510004</t>
        </is>
      </c>
      <c r="C63" s="4" t="inlineStr">
        <is>
          <t>南京淼沃餐饮管理有限公司</t>
        </is>
      </c>
      <c r="D63" s="4" t="inlineStr">
        <is>
          <t>预制菜</t>
        </is>
      </c>
      <c r="E63" s="4" t="inlineStr">
        <is>
          <t>精装</t>
        </is>
      </c>
      <c r="F63" s="18" t="n">
        <v>680</v>
      </c>
      <c r="G63" s="15" t="n">
        <v>103.05</v>
      </c>
      <c r="H63" s="15" t="n">
        <v>70074</v>
      </c>
      <c r="I63" s="4" t="inlineStr">
        <is>
          <t>赣皖区域</t>
        </is>
      </c>
      <c r="J63" s="4" t="inlineStr">
        <is>
          <t>李勇娜</t>
        </is>
      </c>
    </row>
    <row r="64">
      <c r="A64" s="14" t="n">
        <v>45724</v>
      </c>
      <c r="B64" s="4" t="inlineStr">
        <is>
          <t>SO202510061</t>
        </is>
      </c>
      <c r="C64" s="4" t="inlineStr">
        <is>
          <t>嘉兴大匠食品有限公司</t>
        </is>
      </c>
      <c r="D64" s="4" t="inlineStr">
        <is>
          <t>复合调味粉</t>
        </is>
      </c>
      <c r="E64" s="4" t="inlineStr">
        <is>
          <t>A级</t>
        </is>
      </c>
      <c r="F64" s="18" t="n">
        <v>560</v>
      </c>
      <c r="G64" s="15" t="n">
        <v>147.91</v>
      </c>
      <c r="H64" s="15" t="n">
        <v>82829.60000000001</v>
      </c>
      <c r="I64" s="4" t="inlineStr">
        <is>
          <t>江苏分部</t>
        </is>
      </c>
      <c r="J64" s="4" t="inlineStr">
        <is>
          <t>黄勇芳</t>
        </is>
      </c>
    </row>
    <row r="65">
      <c r="A65" s="14" t="n">
        <v>45724</v>
      </c>
      <c r="B65" s="4" t="inlineStr">
        <is>
          <t>SO202510218</t>
        </is>
      </c>
      <c r="C65" s="4" t="inlineStr">
        <is>
          <t>上海食佳供应链有限公司</t>
        </is>
      </c>
      <c r="D65" s="4" t="inlineStr">
        <is>
          <t>团餐</t>
        </is>
      </c>
      <c r="E65" s="4" t="inlineStr">
        <is>
          <t>标准</t>
        </is>
      </c>
      <c r="F65" s="18" t="n">
        <v>3150</v>
      </c>
      <c r="G65" s="15" t="n">
        <v>84.06999999999999</v>
      </c>
      <c r="H65" s="15" t="n">
        <v>264820.5</v>
      </c>
      <c r="I65" s="4" t="inlineStr">
        <is>
          <t>江苏分部</t>
        </is>
      </c>
      <c r="J65" s="4" t="inlineStr">
        <is>
          <t>周敏秀</t>
        </is>
      </c>
    </row>
    <row r="66">
      <c r="A66" s="14" t="n">
        <v>45724</v>
      </c>
      <c r="B66" s="4" t="inlineStr">
        <is>
          <t>SO202510257</t>
        </is>
      </c>
      <c r="C66" s="4" t="inlineStr">
        <is>
          <t>镇江百味商贸有限公司</t>
        </is>
      </c>
      <c r="D66" s="4" t="inlineStr">
        <is>
          <t>复合调味粉</t>
        </is>
      </c>
      <c r="E66" s="4" t="inlineStr">
        <is>
          <t>1kg</t>
        </is>
      </c>
      <c r="F66" s="18" t="n">
        <v>90</v>
      </c>
      <c r="G66" s="15" t="n">
        <v>17.02</v>
      </c>
      <c r="H66" s="15" t="n">
        <v>1531.8</v>
      </c>
      <c r="I66" s="4" t="inlineStr">
        <is>
          <t>上海分部</t>
        </is>
      </c>
      <c r="J66" s="4" t="inlineStr">
        <is>
          <t>周娟娜</t>
        </is>
      </c>
    </row>
    <row r="67">
      <c r="A67" s="14" t="n">
        <v>45725</v>
      </c>
      <c r="B67" s="4" t="inlineStr">
        <is>
          <t>SO202510137</t>
        </is>
      </c>
      <c r="C67" s="4" t="inlineStr">
        <is>
          <t>无锡大匠商贸有限公司</t>
        </is>
      </c>
      <c r="D67" s="4" t="inlineStr">
        <is>
          <t>复合调味粉</t>
        </is>
      </c>
      <c r="E67" s="4" t="inlineStr">
        <is>
          <t>B级</t>
        </is>
      </c>
      <c r="F67" s="18" t="n">
        <v>3540</v>
      </c>
      <c r="G67" s="15" t="n">
        <v>23.19</v>
      </c>
      <c r="H67" s="15" t="n">
        <v>82092.60000000001</v>
      </c>
      <c r="I67" s="4" t="inlineStr">
        <is>
          <t>上海分部</t>
        </is>
      </c>
      <c r="J67" s="4" t="inlineStr">
        <is>
          <t>周涛秀</t>
        </is>
      </c>
    </row>
    <row r="68">
      <c r="A68" s="14" t="n">
        <v>45727</v>
      </c>
      <c r="B68" s="4" t="inlineStr">
        <is>
          <t>SO202510046</t>
        </is>
      </c>
      <c r="C68" s="4" t="inlineStr">
        <is>
          <t>常州京功酒店管理集团</t>
        </is>
      </c>
      <c r="D68" s="4" t="inlineStr">
        <is>
          <t>团餐</t>
        </is>
      </c>
      <c r="E68" s="4" t="inlineStr">
        <is>
          <t>A级</t>
        </is>
      </c>
      <c r="F68" s="18" t="n">
        <v>600</v>
      </c>
      <c r="G68" s="15" t="n">
        <v>137.64</v>
      </c>
      <c r="H68" s="15" t="n">
        <v>82584</v>
      </c>
      <c r="I68" s="4" t="inlineStr">
        <is>
          <t>上海分部</t>
        </is>
      </c>
      <c r="J68" s="4" t="inlineStr">
        <is>
          <t>吴磊秀</t>
        </is>
      </c>
    </row>
    <row r="69">
      <c r="A69" s="14" t="n">
        <v>45727</v>
      </c>
      <c r="B69" s="4" t="inlineStr">
        <is>
          <t>SO202510316</t>
        </is>
      </c>
      <c r="C69" s="4" t="inlineStr">
        <is>
          <t>镇江食佳酒店管理集团</t>
        </is>
      </c>
      <c r="D69" s="4" t="inlineStr">
        <is>
          <t>中式汤底</t>
        </is>
      </c>
      <c r="E69" s="4" t="inlineStr">
        <is>
          <t>5kg</t>
        </is>
      </c>
      <c r="F69" s="18" t="n">
        <v>2030</v>
      </c>
      <c r="G69" s="15" t="n">
        <v>135</v>
      </c>
      <c r="H69" s="15" t="n">
        <v>274050</v>
      </c>
      <c r="I69" s="4" t="inlineStr">
        <is>
          <t>赣皖区域</t>
        </is>
      </c>
      <c r="J69" s="4" t="inlineStr">
        <is>
          <t>马芳秀</t>
        </is>
      </c>
    </row>
    <row r="70">
      <c r="A70" s="14" t="n">
        <v>45728</v>
      </c>
      <c r="B70" s="4" t="inlineStr">
        <is>
          <t>SO202510093</t>
        </is>
      </c>
      <c r="C70" s="4" t="inlineStr">
        <is>
          <t>合肥京功食品有限公司</t>
        </is>
      </c>
      <c r="D70" s="4" t="inlineStr">
        <is>
          <t>调味汁</t>
        </is>
      </c>
      <c r="E70" s="4" t="inlineStr">
        <is>
          <t>标准</t>
        </is>
      </c>
      <c r="F70" s="18" t="n">
        <v>4910</v>
      </c>
      <c r="G70" s="15" t="n">
        <v>198.48</v>
      </c>
      <c r="H70" s="15" t="n">
        <v>974536.8</v>
      </c>
      <c r="I70" s="4" t="inlineStr">
        <is>
          <t>浙江分部</t>
        </is>
      </c>
      <c r="J70" s="4" t="inlineStr">
        <is>
          <t>刘勇英</t>
        </is>
      </c>
    </row>
    <row r="71">
      <c r="A71" s="14" t="n">
        <v>45728</v>
      </c>
      <c r="B71" s="4" t="inlineStr">
        <is>
          <t>SO202510300</t>
        </is>
      </c>
      <c r="C71" s="4" t="inlineStr">
        <is>
          <t>常州京功酒店管理集团</t>
        </is>
      </c>
      <c r="D71" s="4" t="inlineStr">
        <is>
          <t>调味汁</t>
        </is>
      </c>
      <c r="E71" s="4" t="inlineStr">
        <is>
          <t>10kg</t>
        </is>
      </c>
      <c r="F71" s="18" t="n">
        <v>1150</v>
      </c>
      <c r="G71" s="15" t="n">
        <v>78.15000000000001</v>
      </c>
      <c r="H71" s="15" t="n">
        <v>89872.5</v>
      </c>
      <c r="I71" s="4" t="inlineStr">
        <is>
          <t>赣皖区域</t>
        </is>
      </c>
      <c r="J71" s="4" t="inlineStr">
        <is>
          <t>胡强伟</t>
        </is>
      </c>
    </row>
    <row r="72">
      <c r="A72" s="14" t="n">
        <v>45731</v>
      </c>
      <c r="B72" s="4" t="inlineStr">
        <is>
          <t>SO202510049</t>
        </is>
      </c>
      <c r="C72" s="4" t="inlineStr">
        <is>
          <t>常州京功超市</t>
        </is>
      </c>
      <c r="D72" s="4" t="inlineStr">
        <is>
          <t>川味底料</t>
        </is>
      </c>
      <c r="E72" s="4" t="inlineStr">
        <is>
          <t>特级</t>
        </is>
      </c>
      <c r="F72" s="18" t="n">
        <v>3390</v>
      </c>
      <c r="G72" s="15" t="n">
        <v>293.19</v>
      </c>
      <c r="H72" s="15" t="n">
        <v>993914.1</v>
      </c>
      <c r="I72" s="4" t="inlineStr">
        <is>
          <t>浙江分部</t>
        </is>
      </c>
      <c r="J72" s="4" t="inlineStr">
        <is>
          <t>胡强伟</t>
        </is>
      </c>
    </row>
    <row r="73">
      <c r="A73" s="14" t="n">
        <v>45732</v>
      </c>
      <c r="B73" s="4" t="inlineStr">
        <is>
          <t>SO202510207</t>
        </is>
      </c>
      <c r="C73" s="4" t="inlineStr">
        <is>
          <t>合肥淼沃食品有限公司</t>
        </is>
      </c>
      <c r="D73" s="4" t="inlineStr">
        <is>
          <t>酱料</t>
        </is>
      </c>
      <c r="E73" s="4" t="inlineStr">
        <is>
          <t>1kg</t>
        </is>
      </c>
      <c r="F73" s="18" t="n">
        <v>2710</v>
      </c>
      <c r="G73" s="15" t="n">
        <v>142.86</v>
      </c>
      <c r="H73" s="15" t="n">
        <v>387150.6</v>
      </c>
      <c r="I73" s="4" t="inlineStr">
        <is>
          <t>赣皖区域</t>
        </is>
      </c>
      <c r="J73" s="4" t="inlineStr">
        <is>
          <t>黄英伟</t>
        </is>
      </c>
    </row>
    <row r="74">
      <c r="A74" s="14" t="n">
        <v>45732</v>
      </c>
      <c r="B74" s="4" t="inlineStr">
        <is>
          <t>SO202510267</t>
        </is>
      </c>
      <c r="C74" s="4" t="inlineStr">
        <is>
          <t>温州食佳餐饮管理有限公司</t>
        </is>
      </c>
      <c r="D74" s="4" t="inlineStr">
        <is>
          <t>预制菜</t>
        </is>
      </c>
      <c r="E74" s="4" t="inlineStr">
        <is>
          <t>C级</t>
        </is>
      </c>
      <c r="F74" s="18" t="n">
        <v>770</v>
      </c>
      <c r="G74" s="15" t="n">
        <v>287.26</v>
      </c>
      <c r="H74" s="15" t="n">
        <v>221190.2</v>
      </c>
      <c r="I74" s="4" t="inlineStr">
        <is>
          <t>江苏分部</t>
        </is>
      </c>
      <c r="J74" s="4" t="inlineStr">
        <is>
          <t>林强敏</t>
        </is>
      </c>
    </row>
    <row r="75">
      <c r="A75" s="14" t="n">
        <v>45733</v>
      </c>
      <c r="B75" s="4" t="inlineStr">
        <is>
          <t>SO202510275</t>
        </is>
      </c>
      <c r="C75" s="4" t="inlineStr">
        <is>
          <t>合肥淼沃酒店管理集团</t>
        </is>
      </c>
      <c r="D75" s="4" t="inlineStr">
        <is>
          <t>中式汤底</t>
        </is>
      </c>
      <c r="E75" s="4" t="inlineStr">
        <is>
          <t>标准</t>
        </is>
      </c>
      <c r="F75" s="18" t="n">
        <v>4960</v>
      </c>
      <c r="G75" s="15" t="n">
        <v>11</v>
      </c>
      <c r="H75" s="15" t="n">
        <v>54560</v>
      </c>
      <c r="I75" s="4" t="inlineStr">
        <is>
          <t>上海分部</t>
        </is>
      </c>
      <c r="J75" s="4" t="inlineStr">
        <is>
          <t>李娟芳</t>
        </is>
      </c>
    </row>
    <row r="76">
      <c r="A76" s="14" t="n">
        <v>45734</v>
      </c>
      <c r="B76" s="4" t="inlineStr">
        <is>
          <t>SO202510098</t>
        </is>
      </c>
      <c r="C76" s="4" t="inlineStr">
        <is>
          <t>苏州淼沃餐饮管理有限公司</t>
        </is>
      </c>
      <c r="D76" s="4" t="inlineStr">
        <is>
          <t>调味汁</t>
        </is>
      </c>
      <c r="E76" s="4" t="inlineStr">
        <is>
          <t>10kg</t>
        </is>
      </c>
      <c r="F76" s="18" t="n">
        <v>1300</v>
      </c>
      <c r="G76" s="15" t="n">
        <v>250.16</v>
      </c>
      <c r="H76" s="15" t="n">
        <v>325208</v>
      </c>
      <c r="I76" s="4" t="inlineStr">
        <is>
          <t>赣皖区域</t>
        </is>
      </c>
      <c r="J76" s="4" t="inlineStr">
        <is>
          <t>刘涛英</t>
        </is>
      </c>
    </row>
    <row r="77">
      <c r="A77" s="14" t="n">
        <v>45734</v>
      </c>
      <c r="B77" s="4" t="inlineStr">
        <is>
          <t>SO202510212</t>
        </is>
      </c>
      <c r="C77" s="4" t="inlineStr">
        <is>
          <t>南昌优鲜食品有限公司</t>
        </is>
      </c>
      <c r="D77" s="4" t="inlineStr">
        <is>
          <t>川味底料</t>
        </is>
      </c>
      <c r="E77" s="4" t="inlineStr">
        <is>
          <t>25kg</t>
        </is>
      </c>
      <c r="F77" s="18" t="n">
        <v>4180</v>
      </c>
      <c r="G77" s="15" t="n">
        <v>277.91</v>
      </c>
      <c r="H77" s="15" t="n">
        <v>1161663.8</v>
      </c>
      <c r="I77" s="4" t="inlineStr">
        <is>
          <t>浙江分部</t>
        </is>
      </c>
      <c r="J77" s="4" t="inlineStr">
        <is>
          <t>刘强伟</t>
        </is>
      </c>
    </row>
    <row r="78">
      <c r="A78" s="14" t="n">
        <v>45736</v>
      </c>
      <c r="B78" s="4" t="inlineStr">
        <is>
          <t>SO202510239</t>
        </is>
      </c>
      <c r="C78" s="4" t="inlineStr">
        <is>
          <t>温州淼沃供应链有限公司</t>
        </is>
      </c>
      <c r="D78" s="4" t="inlineStr">
        <is>
          <t>复合调味粉</t>
        </is>
      </c>
      <c r="E78" s="4" t="inlineStr">
        <is>
          <t>简装</t>
        </is>
      </c>
      <c r="F78" s="18" t="n">
        <v>4870</v>
      </c>
      <c r="G78" s="15" t="n">
        <v>183.68</v>
      </c>
      <c r="H78" s="15" t="n">
        <v>894521.6</v>
      </c>
      <c r="I78" s="4" t="inlineStr">
        <is>
          <t>赣皖区域</t>
        </is>
      </c>
      <c r="J78" s="4" t="inlineStr">
        <is>
          <t>郭娜英</t>
        </is>
      </c>
    </row>
    <row r="79">
      <c r="A79" s="14" t="n">
        <v>45738</v>
      </c>
      <c r="B79" s="4" t="inlineStr">
        <is>
          <t>SO202510147</t>
        </is>
      </c>
      <c r="C79" s="4" t="inlineStr">
        <is>
          <t>南昌优鲜超市</t>
        </is>
      </c>
      <c r="D79" s="4" t="inlineStr">
        <is>
          <t>酱料</t>
        </is>
      </c>
      <c r="E79" s="4" t="inlineStr">
        <is>
          <t>500g</t>
        </is>
      </c>
      <c r="F79" s="18" t="n">
        <v>770</v>
      </c>
      <c r="G79" s="15" t="n">
        <v>25.66</v>
      </c>
      <c r="H79" s="15" t="n">
        <v>19758.2</v>
      </c>
      <c r="I79" s="4" t="inlineStr">
        <is>
          <t>江苏分部</t>
        </is>
      </c>
      <c r="J79" s="4" t="inlineStr">
        <is>
          <t>张艳伟</t>
        </is>
      </c>
    </row>
    <row r="80">
      <c r="A80" s="14" t="n">
        <v>45740</v>
      </c>
      <c r="B80" s="4" t="inlineStr">
        <is>
          <t>SO202510150</t>
        </is>
      </c>
      <c r="C80" s="4" t="inlineStr">
        <is>
          <t>嘉兴淼沃商贸有限公司</t>
        </is>
      </c>
      <c r="D80" s="4" t="inlineStr">
        <is>
          <t>中式汤底</t>
        </is>
      </c>
      <c r="E80" s="4" t="inlineStr">
        <is>
          <t>5kg</t>
        </is>
      </c>
      <c r="F80" s="18" t="n">
        <v>2830</v>
      </c>
      <c r="G80" s="15" t="n">
        <v>197.35</v>
      </c>
      <c r="H80" s="15" t="n">
        <v>558500.5</v>
      </c>
      <c r="I80" s="4" t="inlineStr">
        <is>
          <t>江苏分部</t>
        </is>
      </c>
      <c r="J80" s="4" t="inlineStr">
        <is>
          <t>黄秀敏</t>
        </is>
      </c>
    </row>
    <row r="81">
      <c r="A81" s="14" t="n">
        <v>45740</v>
      </c>
      <c r="B81" s="4" t="inlineStr">
        <is>
          <t>SO202510227</t>
        </is>
      </c>
      <c r="C81" s="4" t="inlineStr">
        <is>
          <t>无锡京功电商平台</t>
        </is>
      </c>
      <c r="D81" s="4" t="inlineStr">
        <is>
          <t>预制菜</t>
        </is>
      </c>
      <c r="E81" s="4" t="inlineStr">
        <is>
          <t>1kg</t>
        </is>
      </c>
      <c r="F81" s="18" t="n">
        <v>3400</v>
      </c>
      <c r="G81" s="15" t="n">
        <v>269.84</v>
      </c>
      <c r="H81" s="15" t="n">
        <v>917456</v>
      </c>
      <c r="I81" s="4" t="inlineStr">
        <is>
          <t>浙江分部</t>
        </is>
      </c>
      <c r="J81" s="4" t="inlineStr">
        <is>
          <t>胡明敏</t>
        </is>
      </c>
    </row>
    <row r="82">
      <c r="A82" s="14" t="n">
        <v>45740</v>
      </c>
      <c r="B82" s="4" t="inlineStr">
        <is>
          <t>SO202510231</t>
        </is>
      </c>
      <c r="C82" s="4" t="inlineStr">
        <is>
          <t>宁波京功超市</t>
        </is>
      </c>
      <c r="D82" s="4" t="inlineStr">
        <is>
          <t>中式汤底</t>
        </is>
      </c>
      <c r="E82" s="4" t="inlineStr">
        <is>
          <t>25kg</t>
        </is>
      </c>
      <c r="F82" s="18" t="n">
        <v>4030</v>
      </c>
      <c r="G82" s="15" t="n">
        <v>56.8</v>
      </c>
      <c r="H82" s="15" t="n">
        <v>228904</v>
      </c>
      <c r="I82" s="4" t="inlineStr">
        <is>
          <t>赣皖区域</t>
        </is>
      </c>
      <c r="J82" s="4" t="inlineStr">
        <is>
          <t>刘秀芳</t>
        </is>
      </c>
    </row>
    <row r="83">
      <c r="A83" s="14" t="n">
        <v>45740</v>
      </c>
      <c r="B83" s="4" t="inlineStr">
        <is>
          <t>SO202510324</t>
        </is>
      </c>
      <c r="C83" s="4" t="inlineStr">
        <is>
          <t>南昌食佳超市</t>
        </is>
      </c>
      <c r="D83" s="4" t="inlineStr">
        <is>
          <t>酱料</t>
        </is>
      </c>
      <c r="E83" s="4" t="inlineStr">
        <is>
          <t>简装</t>
        </is>
      </c>
      <c r="F83" s="18" t="n">
        <v>1460</v>
      </c>
      <c r="G83" s="15" t="n">
        <v>276.05</v>
      </c>
      <c r="H83" s="15" t="n">
        <v>403033</v>
      </c>
      <c r="I83" s="4" t="inlineStr">
        <is>
          <t>赣皖区域</t>
        </is>
      </c>
      <c r="J83" s="4" t="inlineStr">
        <is>
          <t>杨兰伟</t>
        </is>
      </c>
    </row>
    <row r="84">
      <c r="A84" s="14" t="n">
        <v>45743</v>
      </c>
      <c r="B84" s="4" t="inlineStr">
        <is>
          <t>SO202510336</t>
        </is>
      </c>
      <c r="C84" s="4" t="inlineStr">
        <is>
          <t>南京大匠电商平台</t>
        </is>
      </c>
      <c r="D84" s="4" t="inlineStr">
        <is>
          <t>中式汤底</t>
        </is>
      </c>
      <c r="E84" s="4" t="inlineStr">
        <is>
          <t>A级</t>
        </is>
      </c>
      <c r="F84" s="18" t="n">
        <v>3520</v>
      </c>
      <c r="G84" s="15" t="n">
        <v>111.53</v>
      </c>
      <c r="H84" s="15" t="n">
        <v>392585.6</v>
      </c>
      <c r="I84" s="4" t="inlineStr">
        <is>
          <t>江苏分部</t>
        </is>
      </c>
      <c r="J84" s="4" t="inlineStr">
        <is>
          <t>郭娟伟</t>
        </is>
      </c>
    </row>
    <row r="85">
      <c r="A85" s="14" t="n">
        <v>45749</v>
      </c>
      <c r="B85" s="4" t="inlineStr">
        <is>
          <t>SO202510322</t>
        </is>
      </c>
      <c r="C85" s="4" t="inlineStr">
        <is>
          <t>苏州淼沃食品有限公司</t>
        </is>
      </c>
      <c r="D85" s="4" t="inlineStr">
        <is>
          <t>中式汤底</t>
        </is>
      </c>
      <c r="E85" s="4" t="inlineStr">
        <is>
          <t>简装</t>
        </is>
      </c>
      <c r="F85" s="18" t="n">
        <v>770</v>
      </c>
      <c r="G85" s="15" t="n">
        <v>223.46</v>
      </c>
      <c r="H85" s="15" t="n">
        <v>172064.2</v>
      </c>
      <c r="I85" s="4" t="inlineStr">
        <is>
          <t>赣皖区域</t>
        </is>
      </c>
      <c r="J85" s="4" t="inlineStr">
        <is>
          <t>陈娟芳</t>
        </is>
      </c>
    </row>
    <row r="86">
      <c r="A86" s="14" t="n">
        <v>45754</v>
      </c>
      <c r="B86" s="4" t="inlineStr">
        <is>
          <t>SO202510094</t>
        </is>
      </c>
      <c r="C86" s="4" t="inlineStr">
        <is>
          <t>南京百味超市</t>
        </is>
      </c>
      <c r="D86" s="4" t="inlineStr">
        <is>
          <t>中式汤底</t>
        </is>
      </c>
      <c r="E86" s="4" t="inlineStr">
        <is>
          <t>1kg</t>
        </is>
      </c>
      <c r="F86" s="18" t="n">
        <v>4080</v>
      </c>
      <c r="G86" s="15" t="n">
        <v>11.72</v>
      </c>
      <c r="H86" s="15" t="n">
        <v>47817.6</v>
      </c>
      <c r="I86" s="4" t="inlineStr">
        <is>
          <t>浙江分部</t>
        </is>
      </c>
      <c r="J86" s="4" t="inlineStr">
        <is>
          <t>黄芳敏</t>
        </is>
      </c>
    </row>
    <row r="87">
      <c r="A87" s="14" t="n">
        <v>45754</v>
      </c>
      <c r="B87" s="4" t="inlineStr">
        <is>
          <t>SO202510250</t>
        </is>
      </c>
      <c r="C87" s="4" t="inlineStr">
        <is>
          <t>南昌淼沃食品有限公司</t>
        </is>
      </c>
      <c r="D87" s="4" t="inlineStr">
        <is>
          <t>团餐</t>
        </is>
      </c>
      <c r="E87" s="4" t="inlineStr">
        <is>
          <t>25kg</t>
        </is>
      </c>
      <c r="F87" s="18" t="n">
        <v>2370</v>
      </c>
      <c r="G87" s="15" t="n">
        <v>24.84</v>
      </c>
      <c r="H87" s="15" t="n">
        <v>58870.8</v>
      </c>
      <c r="I87" s="4" t="inlineStr">
        <is>
          <t>江苏分部</t>
        </is>
      </c>
      <c r="J87" s="4" t="inlineStr">
        <is>
          <t>徐明伟</t>
        </is>
      </c>
    </row>
    <row r="88">
      <c r="A88" s="14" t="n">
        <v>45755</v>
      </c>
      <c r="B88" s="4" t="inlineStr">
        <is>
          <t>SO202510145</t>
        </is>
      </c>
      <c r="C88" s="4" t="inlineStr">
        <is>
          <t>杭州淼沃供应链有限公司</t>
        </is>
      </c>
      <c r="D88" s="4" t="inlineStr">
        <is>
          <t>团餐</t>
        </is>
      </c>
      <c r="E88" s="4" t="inlineStr">
        <is>
          <t>5kg</t>
        </is>
      </c>
      <c r="F88" s="18" t="n">
        <v>710</v>
      </c>
      <c r="G88" s="15" t="n">
        <v>150.29</v>
      </c>
      <c r="H88" s="15" t="n">
        <v>106705.9</v>
      </c>
      <c r="I88" s="4" t="inlineStr">
        <is>
          <t>赣皖区域</t>
        </is>
      </c>
      <c r="J88" s="4" t="inlineStr">
        <is>
          <t>罗芳娜</t>
        </is>
      </c>
    </row>
    <row r="89">
      <c r="A89" s="14" t="n">
        <v>45756</v>
      </c>
      <c r="B89" s="4" t="inlineStr">
        <is>
          <t>SO202510209</t>
        </is>
      </c>
      <c r="C89" s="4" t="inlineStr">
        <is>
          <t>嘉兴优鲜酒店管理集团</t>
        </is>
      </c>
      <c r="D89" s="4" t="inlineStr">
        <is>
          <t>团餐</t>
        </is>
      </c>
      <c r="E89" s="4" t="inlineStr">
        <is>
          <t>简装</t>
        </is>
      </c>
      <c r="F89" s="18" t="n">
        <v>3250</v>
      </c>
      <c r="G89" s="15" t="n">
        <v>108.99</v>
      </c>
      <c r="H89" s="15" t="n">
        <v>354217.5</v>
      </c>
      <c r="I89" s="4" t="inlineStr">
        <is>
          <t>浙江分部</t>
        </is>
      </c>
      <c r="J89" s="4" t="inlineStr">
        <is>
          <t>林丽娜</t>
        </is>
      </c>
    </row>
    <row r="90">
      <c r="A90" s="14" t="n">
        <v>45757</v>
      </c>
      <c r="B90" s="4" t="inlineStr">
        <is>
          <t>SO202510132</t>
        </is>
      </c>
      <c r="C90" s="4" t="inlineStr">
        <is>
          <t>镇江京功商贸有限公司</t>
        </is>
      </c>
      <c r="D90" s="4" t="inlineStr">
        <is>
          <t>团餐</t>
        </is>
      </c>
      <c r="E90" s="4" t="inlineStr">
        <is>
          <t>500g</t>
        </is>
      </c>
      <c r="F90" s="18" t="n">
        <v>200</v>
      </c>
      <c r="G90" s="15" t="n">
        <v>150.48</v>
      </c>
      <c r="H90" s="15" t="n">
        <v>30096</v>
      </c>
      <c r="I90" s="4" t="inlineStr">
        <is>
          <t>赣皖区域</t>
        </is>
      </c>
      <c r="J90" s="4" t="inlineStr">
        <is>
          <t>胡秀敏</t>
        </is>
      </c>
    </row>
    <row r="91">
      <c r="A91" s="14" t="n">
        <v>45757</v>
      </c>
      <c r="B91" s="4" t="inlineStr">
        <is>
          <t>SO202510232</t>
        </is>
      </c>
      <c r="C91" s="4" t="inlineStr">
        <is>
          <t>南京优鲜供应链有限公司</t>
        </is>
      </c>
      <c r="D91" s="4" t="inlineStr">
        <is>
          <t>团餐</t>
        </is>
      </c>
      <c r="E91" s="4" t="inlineStr">
        <is>
          <t>B级</t>
        </is>
      </c>
      <c r="F91" s="18" t="n">
        <v>4280</v>
      </c>
      <c r="G91" s="15" t="n">
        <v>239.83</v>
      </c>
      <c r="H91" s="15" t="n">
        <v>1026472.4</v>
      </c>
      <c r="I91" s="4" t="inlineStr">
        <is>
          <t>江苏分部</t>
        </is>
      </c>
      <c r="J91" s="4" t="inlineStr">
        <is>
          <t>李敏敏</t>
        </is>
      </c>
    </row>
    <row r="92">
      <c r="A92" s="14" t="n">
        <v>45757</v>
      </c>
      <c r="B92" s="4" t="inlineStr">
        <is>
          <t>SO202510317</t>
        </is>
      </c>
      <c r="C92" s="4" t="inlineStr">
        <is>
          <t>宁波食佳电商平台</t>
        </is>
      </c>
      <c r="D92" s="4" t="inlineStr">
        <is>
          <t>调味汁</t>
        </is>
      </c>
      <c r="E92" s="4" t="inlineStr">
        <is>
          <t>特级</t>
        </is>
      </c>
      <c r="F92" s="18" t="n">
        <v>2140</v>
      </c>
      <c r="G92" s="15" t="n">
        <v>145.28</v>
      </c>
      <c r="H92" s="15" t="n">
        <v>310899.2</v>
      </c>
      <c r="I92" s="4" t="inlineStr">
        <is>
          <t>浙江分部</t>
        </is>
      </c>
      <c r="J92" s="4" t="inlineStr">
        <is>
          <t>高超秀</t>
        </is>
      </c>
    </row>
    <row r="93">
      <c r="A93" s="14" t="n">
        <v>45758</v>
      </c>
      <c r="B93" s="4" t="inlineStr">
        <is>
          <t>SO202510301</t>
        </is>
      </c>
      <c r="C93" s="4" t="inlineStr">
        <is>
          <t>无锡大匠酒店管理集团</t>
        </is>
      </c>
      <c r="D93" s="4" t="inlineStr">
        <is>
          <t>中式汤底</t>
        </is>
      </c>
      <c r="E93" s="4" t="inlineStr">
        <is>
          <t>10kg</t>
        </is>
      </c>
      <c r="F93" s="18" t="n">
        <v>2220</v>
      </c>
      <c r="G93" s="15" t="n">
        <v>158.12</v>
      </c>
      <c r="H93" s="15" t="n">
        <v>351026.4</v>
      </c>
      <c r="I93" s="4" t="inlineStr">
        <is>
          <t>赣皖区域</t>
        </is>
      </c>
      <c r="J93" s="4" t="inlineStr">
        <is>
          <t>周娟秀</t>
        </is>
      </c>
    </row>
    <row r="94">
      <c r="A94" s="14" t="n">
        <v>45758</v>
      </c>
      <c r="B94" s="4" t="inlineStr">
        <is>
          <t>SO202510337</t>
        </is>
      </c>
      <c r="C94" s="4" t="inlineStr">
        <is>
          <t>宁波百味餐饮管理有限公司</t>
        </is>
      </c>
      <c r="D94" s="4" t="inlineStr">
        <is>
          <t>预制菜</t>
        </is>
      </c>
      <c r="E94" s="4" t="inlineStr">
        <is>
          <t>25kg</t>
        </is>
      </c>
      <c r="F94" s="18" t="n">
        <v>1590</v>
      </c>
      <c r="G94" s="15" t="n">
        <v>130.24</v>
      </c>
      <c r="H94" s="15" t="n">
        <v>207081.6</v>
      </c>
      <c r="I94" s="4" t="inlineStr">
        <is>
          <t>江苏分部</t>
        </is>
      </c>
      <c r="J94" s="4" t="inlineStr">
        <is>
          <t>张磊英</t>
        </is>
      </c>
    </row>
    <row r="95">
      <c r="A95" s="14" t="n">
        <v>45759</v>
      </c>
      <c r="B95" s="4" t="inlineStr">
        <is>
          <t>SO202510165</t>
        </is>
      </c>
      <c r="C95" s="4" t="inlineStr">
        <is>
          <t>合肥京功电商平台</t>
        </is>
      </c>
      <c r="D95" s="4" t="inlineStr">
        <is>
          <t>团餐</t>
        </is>
      </c>
      <c r="E95" s="4" t="inlineStr">
        <is>
          <t>B级</t>
        </is>
      </c>
      <c r="F95" s="18" t="n">
        <v>3520</v>
      </c>
      <c r="G95" s="15" t="n">
        <v>86.48999999999999</v>
      </c>
      <c r="H95" s="15" t="n">
        <v>304444.8</v>
      </c>
      <c r="I95" s="4" t="inlineStr">
        <is>
          <t>上海分部</t>
        </is>
      </c>
      <c r="J95" s="4" t="inlineStr">
        <is>
          <t>李秀英</t>
        </is>
      </c>
    </row>
    <row r="96">
      <c r="A96" s="14" t="n">
        <v>45759</v>
      </c>
      <c r="B96" s="4" t="inlineStr">
        <is>
          <t>SO202510221</t>
        </is>
      </c>
      <c r="C96" s="4" t="inlineStr">
        <is>
          <t>上海京功供应链有限公司</t>
        </is>
      </c>
      <c r="D96" s="4" t="inlineStr">
        <is>
          <t>调味汁</t>
        </is>
      </c>
      <c r="E96" s="4" t="inlineStr">
        <is>
          <t>A级</t>
        </is>
      </c>
      <c r="F96" s="18" t="n">
        <v>2820</v>
      </c>
      <c r="G96" s="15" t="n">
        <v>190.18</v>
      </c>
      <c r="H96" s="15" t="n">
        <v>536307.6</v>
      </c>
      <c r="I96" s="4" t="inlineStr">
        <is>
          <t>江苏分部</t>
        </is>
      </c>
      <c r="J96" s="4" t="inlineStr">
        <is>
          <t>王超敏</t>
        </is>
      </c>
    </row>
    <row r="97">
      <c r="A97" s="14" t="n">
        <v>45760</v>
      </c>
      <c r="B97" s="4" t="inlineStr">
        <is>
          <t>SO202510303</t>
        </is>
      </c>
      <c r="C97" s="4" t="inlineStr">
        <is>
          <t>常州大匠商贸有限公司</t>
        </is>
      </c>
      <c r="D97" s="4" t="inlineStr">
        <is>
          <t>团餐</t>
        </is>
      </c>
      <c r="E97" s="4" t="inlineStr">
        <is>
          <t>特级</t>
        </is>
      </c>
      <c r="F97" s="18" t="n">
        <v>4740</v>
      </c>
      <c r="G97" s="15" t="n">
        <v>231.87</v>
      </c>
      <c r="H97" s="15" t="n">
        <v>1099063.8</v>
      </c>
      <c r="I97" s="4" t="inlineStr">
        <is>
          <t>浙江分部</t>
        </is>
      </c>
      <c r="J97" s="4" t="inlineStr">
        <is>
          <t>陈涛秀</t>
        </is>
      </c>
    </row>
    <row r="98">
      <c r="A98" s="14" t="n">
        <v>45760</v>
      </c>
      <c r="B98" s="4" t="inlineStr">
        <is>
          <t>SO202510345</t>
        </is>
      </c>
      <c r="C98" s="4" t="inlineStr">
        <is>
          <t>南京优鲜超市</t>
        </is>
      </c>
      <c r="D98" s="4" t="inlineStr">
        <is>
          <t>团餐</t>
        </is>
      </c>
      <c r="E98" s="4" t="inlineStr">
        <is>
          <t>5kg</t>
        </is>
      </c>
      <c r="F98" s="18" t="n">
        <v>4020</v>
      </c>
      <c r="G98" s="15" t="n">
        <v>219.28</v>
      </c>
      <c r="H98" s="15" t="n">
        <v>881505.6</v>
      </c>
      <c r="I98" s="4" t="inlineStr">
        <is>
          <t>浙江分部</t>
        </is>
      </c>
      <c r="J98" s="4" t="inlineStr">
        <is>
          <t>赵秀伟</t>
        </is>
      </c>
    </row>
    <row r="99">
      <c r="A99" s="14" t="n">
        <v>45763</v>
      </c>
      <c r="B99" s="4" t="inlineStr">
        <is>
          <t>SO202510338</t>
        </is>
      </c>
      <c r="C99" s="4" t="inlineStr">
        <is>
          <t>南昌淼沃餐饮管理有限公司</t>
        </is>
      </c>
      <c r="D99" s="4" t="inlineStr">
        <is>
          <t>调味汁</t>
        </is>
      </c>
      <c r="E99" s="4" t="inlineStr">
        <is>
          <t>10kg</t>
        </is>
      </c>
      <c r="F99" s="18" t="n">
        <v>1330</v>
      </c>
      <c r="G99" s="15" t="n">
        <v>136.58</v>
      </c>
      <c r="H99" s="15" t="n">
        <v>181651.4</v>
      </c>
      <c r="I99" s="4" t="inlineStr">
        <is>
          <t>江苏分部</t>
        </is>
      </c>
      <c r="J99" s="4" t="inlineStr">
        <is>
          <t>高秀敏</t>
        </is>
      </c>
    </row>
    <row r="100">
      <c r="A100" s="14" t="n">
        <v>45765</v>
      </c>
      <c r="B100" s="4" t="inlineStr">
        <is>
          <t>SO202510199</t>
        </is>
      </c>
      <c r="C100" s="4" t="inlineStr">
        <is>
          <t>无锡百味供应链有限公司</t>
        </is>
      </c>
      <c r="D100" s="4" t="inlineStr">
        <is>
          <t>团餐</t>
        </is>
      </c>
      <c r="E100" s="4" t="inlineStr">
        <is>
          <t>简装</t>
        </is>
      </c>
      <c r="F100" s="18" t="n">
        <v>80</v>
      </c>
      <c r="G100" s="15" t="n">
        <v>151.28</v>
      </c>
      <c r="H100" s="15" t="n">
        <v>12102.4</v>
      </c>
      <c r="I100" s="4" t="inlineStr">
        <is>
          <t>江苏分部</t>
        </is>
      </c>
      <c r="J100" s="4" t="inlineStr">
        <is>
          <t>何芳秀</t>
        </is>
      </c>
    </row>
    <row r="101">
      <c r="A101" s="14" t="n">
        <v>45766</v>
      </c>
      <c r="B101" s="4" t="inlineStr">
        <is>
          <t>SO202510220</t>
        </is>
      </c>
      <c r="C101" s="4" t="inlineStr">
        <is>
          <t>杭州食佳酒店管理集团</t>
        </is>
      </c>
      <c r="D101" s="4" t="inlineStr">
        <is>
          <t>复合调味粉</t>
        </is>
      </c>
      <c r="E101" s="4" t="inlineStr">
        <is>
          <t>C级</t>
        </is>
      </c>
      <c r="F101" s="18" t="n">
        <v>150</v>
      </c>
      <c r="G101" s="15" t="n">
        <v>210.44</v>
      </c>
      <c r="H101" s="15" t="n">
        <v>31566</v>
      </c>
      <c r="I101" s="4" t="inlineStr">
        <is>
          <t>浙江分部</t>
        </is>
      </c>
      <c r="J101" s="4" t="inlineStr">
        <is>
          <t>林娜秀</t>
        </is>
      </c>
    </row>
    <row r="102">
      <c r="A102" s="14" t="n">
        <v>45767</v>
      </c>
      <c r="B102" s="4" t="inlineStr">
        <is>
          <t>SO202510320</t>
        </is>
      </c>
      <c r="C102" s="4" t="inlineStr">
        <is>
          <t>常州京功超市</t>
        </is>
      </c>
      <c r="D102" s="4" t="inlineStr">
        <is>
          <t>复合调味粉</t>
        </is>
      </c>
      <c r="E102" s="4" t="inlineStr">
        <is>
          <t>精装</t>
        </is>
      </c>
      <c r="F102" s="18" t="n">
        <v>1320</v>
      </c>
      <c r="G102" s="15" t="n">
        <v>187.41</v>
      </c>
      <c r="H102" s="15" t="n">
        <v>247381.2</v>
      </c>
      <c r="I102" s="4" t="inlineStr">
        <is>
          <t>上海分部</t>
        </is>
      </c>
      <c r="J102" s="4" t="inlineStr">
        <is>
          <t>杨超英</t>
        </is>
      </c>
    </row>
    <row r="103">
      <c r="A103" s="14" t="n">
        <v>45768</v>
      </c>
      <c r="B103" s="4" t="inlineStr">
        <is>
          <t>SO202510099</t>
        </is>
      </c>
      <c r="C103" s="4" t="inlineStr">
        <is>
          <t>常州淼沃酒店管理集团</t>
        </is>
      </c>
      <c r="D103" s="4" t="inlineStr">
        <is>
          <t>调味汁</t>
        </is>
      </c>
      <c r="E103" s="4" t="inlineStr">
        <is>
          <t>B级</t>
        </is>
      </c>
      <c r="F103" s="18" t="n">
        <v>1680</v>
      </c>
      <c r="G103" s="15" t="n">
        <v>26.87</v>
      </c>
      <c r="H103" s="15" t="n">
        <v>45141.6</v>
      </c>
      <c r="I103" s="4" t="inlineStr">
        <is>
          <t>江苏分部</t>
        </is>
      </c>
      <c r="J103" s="4" t="inlineStr">
        <is>
          <t>徐勇娜</t>
        </is>
      </c>
    </row>
    <row r="104">
      <c r="A104" s="14" t="n">
        <v>45768</v>
      </c>
      <c r="B104" s="4" t="inlineStr">
        <is>
          <t>SO202510210</t>
        </is>
      </c>
      <c r="C104" s="4" t="inlineStr">
        <is>
          <t>南昌淼沃餐饮管理有限公司</t>
        </is>
      </c>
      <c r="D104" s="4" t="inlineStr">
        <is>
          <t>酱料</t>
        </is>
      </c>
      <c r="E104" s="4" t="inlineStr">
        <is>
          <t>精装</t>
        </is>
      </c>
      <c r="F104" s="18" t="n">
        <v>4400</v>
      </c>
      <c r="G104" s="15" t="n">
        <v>242.73</v>
      </c>
      <c r="H104" s="15" t="n">
        <v>1068012</v>
      </c>
      <c r="I104" s="4" t="inlineStr">
        <is>
          <t>浙江分部</t>
        </is>
      </c>
      <c r="J104" s="4" t="inlineStr">
        <is>
          <t>王芳娜</t>
        </is>
      </c>
    </row>
    <row r="105">
      <c r="A105" s="14" t="n">
        <v>45769</v>
      </c>
      <c r="B105" s="4" t="inlineStr">
        <is>
          <t>SO202510323</t>
        </is>
      </c>
      <c r="C105" s="4" t="inlineStr">
        <is>
          <t>镇江淼沃餐饮管理有限公司</t>
        </is>
      </c>
      <c r="D105" s="4" t="inlineStr">
        <is>
          <t>团餐</t>
        </is>
      </c>
      <c r="E105" s="4" t="inlineStr">
        <is>
          <t>10kg</t>
        </is>
      </c>
      <c r="F105" s="18" t="n">
        <v>4990</v>
      </c>
      <c r="G105" s="15" t="n">
        <v>56.57</v>
      </c>
      <c r="H105" s="15" t="n">
        <v>282284.3</v>
      </c>
      <c r="I105" s="4" t="inlineStr">
        <is>
          <t>浙江分部</t>
        </is>
      </c>
      <c r="J105" s="4" t="inlineStr">
        <is>
          <t>胡静敏</t>
        </is>
      </c>
    </row>
    <row r="106">
      <c r="A106" s="14" t="n">
        <v>45770</v>
      </c>
      <c r="B106" s="4" t="inlineStr">
        <is>
          <t>SO202510003</t>
        </is>
      </c>
      <c r="C106" s="4" t="inlineStr">
        <is>
          <t>杭州优鲜商贸有限公司</t>
        </is>
      </c>
      <c r="D106" s="4" t="inlineStr">
        <is>
          <t>预制菜</t>
        </is>
      </c>
      <c r="E106" s="4" t="inlineStr">
        <is>
          <t>简装</t>
        </is>
      </c>
      <c r="F106" s="18" t="n">
        <v>2350</v>
      </c>
      <c r="G106" s="15" t="n">
        <v>53.51</v>
      </c>
      <c r="H106" s="15" t="n">
        <v>125748.5</v>
      </c>
      <c r="I106" s="4" t="inlineStr">
        <is>
          <t>江苏分部</t>
        </is>
      </c>
      <c r="J106" s="4" t="inlineStr">
        <is>
          <t>王洋伟</t>
        </is>
      </c>
    </row>
    <row r="107">
      <c r="A107" s="14" t="n">
        <v>45770</v>
      </c>
      <c r="B107" s="4" t="inlineStr">
        <is>
          <t>SO202510312</t>
        </is>
      </c>
      <c r="C107" s="4" t="inlineStr">
        <is>
          <t>杭州食佳酒店管理集团</t>
        </is>
      </c>
      <c r="D107" s="4" t="inlineStr">
        <is>
          <t>酱料</t>
        </is>
      </c>
      <c r="E107" s="4" t="inlineStr">
        <is>
          <t>精装</t>
        </is>
      </c>
      <c r="F107" s="18" t="n">
        <v>3230</v>
      </c>
      <c r="G107" s="15" t="n">
        <v>248.49</v>
      </c>
      <c r="H107" s="15" t="n">
        <v>802622.7</v>
      </c>
      <c r="I107" s="4" t="inlineStr">
        <is>
          <t>浙江分部</t>
        </is>
      </c>
      <c r="J107" s="4" t="inlineStr">
        <is>
          <t>朱明英</t>
        </is>
      </c>
    </row>
    <row r="108">
      <c r="A108" s="14" t="n">
        <v>45771</v>
      </c>
      <c r="B108" s="4" t="inlineStr">
        <is>
          <t>SO202510244</t>
        </is>
      </c>
      <c r="C108" s="4" t="inlineStr">
        <is>
          <t>杭州优鲜超市</t>
        </is>
      </c>
      <c r="D108" s="4" t="inlineStr">
        <is>
          <t>酱料</t>
        </is>
      </c>
      <c r="E108" s="4" t="inlineStr">
        <is>
          <t>A级</t>
        </is>
      </c>
      <c r="F108" s="18" t="n">
        <v>4010</v>
      </c>
      <c r="G108" s="15" t="n">
        <v>53.97</v>
      </c>
      <c r="H108" s="15" t="n">
        <v>216419.7</v>
      </c>
      <c r="I108" s="4" t="inlineStr">
        <is>
          <t>赣皖区域</t>
        </is>
      </c>
      <c r="J108" s="4" t="inlineStr">
        <is>
          <t>高勇秀</t>
        </is>
      </c>
    </row>
    <row r="109">
      <c r="A109" s="14" t="n">
        <v>45772</v>
      </c>
      <c r="B109" s="4" t="inlineStr">
        <is>
          <t>SO202510045</t>
        </is>
      </c>
      <c r="C109" s="4" t="inlineStr">
        <is>
          <t>温州京功酒店管理集团</t>
        </is>
      </c>
      <c r="D109" s="4" t="inlineStr">
        <is>
          <t>中式汤底</t>
        </is>
      </c>
      <c r="E109" s="4" t="inlineStr">
        <is>
          <t>B级</t>
        </is>
      </c>
      <c r="F109" s="18" t="n">
        <v>2650</v>
      </c>
      <c r="G109" s="15" t="n">
        <v>37.82</v>
      </c>
      <c r="H109" s="15" t="n">
        <v>100223</v>
      </c>
      <c r="I109" s="4" t="inlineStr">
        <is>
          <t>浙江分部</t>
        </is>
      </c>
      <c r="J109" s="4" t="inlineStr">
        <is>
          <t>吴伟娜</t>
        </is>
      </c>
    </row>
    <row r="110">
      <c r="A110" s="14" t="n">
        <v>45773</v>
      </c>
      <c r="B110" s="4" t="inlineStr">
        <is>
          <t>SO202510343</t>
        </is>
      </c>
      <c r="C110" s="4" t="inlineStr">
        <is>
          <t>南京大匠食品有限公司</t>
        </is>
      </c>
      <c r="D110" s="4" t="inlineStr">
        <is>
          <t>复合调味粉</t>
        </is>
      </c>
      <c r="E110" s="4" t="inlineStr">
        <is>
          <t>B级</t>
        </is>
      </c>
      <c r="F110" s="18" t="n">
        <v>60</v>
      </c>
      <c r="G110" s="15" t="n">
        <v>38.48</v>
      </c>
      <c r="H110" s="15" t="n">
        <v>2308.8</v>
      </c>
      <c r="I110" s="4" t="inlineStr">
        <is>
          <t>江苏分部</t>
        </is>
      </c>
      <c r="J110" s="4" t="inlineStr">
        <is>
          <t>吴勇秀</t>
        </is>
      </c>
    </row>
    <row r="111">
      <c r="A111" s="14" t="n">
        <v>45774</v>
      </c>
      <c r="B111" s="4" t="inlineStr">
        <is>
          <t>SO202510058</t>
        </is>
      </c>
      <c r="C111" s="4" t="inlineStr">
        <is>
          <t>苏州百味食品有限公司</t>
        </is>
      </c>
      <c r="D111" s="4" t="inlineStr">
        <is>
          <t>中式汤底</t>
        </is>
      </c>
      <c r="E111" s="4" t="inlineStr">
        <is>
          <t>25kg</t>
        </is>
      </c>
      <c r="F111" s="18" t="n">
        <v>2280</v>
      </c>
      <c r="G111" s="15" t="n">
        <v>161.88</v>
      </c>
      <c r="H111" s="15" t="n">
        <v>369086.4</v>
      </c>
      <c r="I111" s="4" t="inlineStr">
        <is>
          <t>赣皖区域</t>
        </is>
      </c>
      <c r="J111" s="4" t="inlineStr">
        <is>
          <t>赵秀敏</t>
        </is>
      </c>
    </row>
    <row r="112">
      <c r="A112" s="14" t="n">
        <v>45775</v>
      </c>
      <c r="B112" s="4" t="inlineStr">
        <is>
          <t>SO202510040</t>
        </is>
      </c>
      <c r="C112" s="4" t="inlineStr">
        <is>
          <t>宁波京功超市</t>
        </is>
      </c>
      <c r="D112" s="4" t="inlineStr">
        <is>
          <t>调味汁</t>
        </is>
      </c>
      <c r="E112" s="4" t="inlineStr">
        <is>
          <t>1kg</t>
        </is>
      </c>
      <c r="F112" s="18" t="n">
        <v>1210</v>
      </c>
      <c r="G112" s="15" t="n">
        <v>142.64</v>
      </c>
      <c r="H112" s="15" t="n">
        <v>172594.4</v>
      </c>
      <c r="I112" s="4" t="inlineStr">
        <is>
          <t>江苏分部</t>
        </is>
      </c>
      <c r="J112" s="4" t="inlineStr">
        <is>
          <t>黄娜伟</t>
        </is>
      </c>
    </row>
    <row r="113">
      <c r="A113" s="14" t="n">
        <v>45781</v>
      </c>
      <c r="B113" s="4" t="inlineStr">
        <is>
          <t>SO202510079</t>
        </is>
      </c>
      <c r="C113" s="4" t="inlineStr">
        <is>
          <t>嘉兴淼沃酒店管理集团</t>
        </is>
      </c>
      <c r="D113" s="4" t="inlineStr">
        <is>
          <t>调味汁</t>
        </is>
      </c>
      <c r="E113" s="4" t="inlineStr">
        <is>
          <t>特级</t>
        </is>
      </c>
      <c r="F113" s="18" t="n">
        <v>1970</v>
      </c>
      <c r="G113" s="15" t="n">
        <v>25.97</v>
      </c>
      <c r="H113" s="15" t="n">
        <v>51160.9</v>
      </c>
      <c r="I113" s="4" t="inlineStr">
        <is>
          <t>赣皖区域</t>
        </is>
      </c>
      <c r="J113" s="4" t="inlineStr">
        <is>
          <t>黄伟芳</t>
        </is>
      </c>
    </row>
    <row r="114">
      <c r="A114" s="14" t="n">
        <v>45781</v>
      </c>
      <c r="B114" s="4" t="inlineStr">
        <is>
          <t>SO202510108</t>
        </is>
      </c>
      <c r="C114" s="4" t="inlineStr">
        <is>
          <t>南京食佳酒店管理集团</t>
        </is>
      </c>
      <c r="D114" s="4" t="inlineStr">
        <is>
          <t>中式汤底</t>
        </is>
      </c>
      <c r="E114" s="4" t="inlineStr">
        <is>
          <t>10kg</t>
        </is>
      </c>
      <c r="F114" s="18" t="n">
        <v>1840</v>
      </c>
      <c r="G114" s="15" t="n">
        <v>9.279999999999999</v>
      </c>
      <c r="H114" s="15" t="n">
        <v>17075.2</v>
      </c>
      <c r="I114" s="4" t="inlineStr">
        <is>
          <t>赣皖区域</t>
        </is>
      </c>
      <c r="J114" s="4" t="inlineStr">
        <is>
          <t>朱兰英</t>
        </is>
      </c>
    </row>
    <row r="115">
      <c r="A115" s="14" t="n">
        <v>45781</v>
      </c>
      <c r="B115" s="4" t="inlineStr">
        <is>
          <t>SO202510214</t>
        </is>
      </c>
      <c r="C115" s="4" t="inlineStr">
        <is>
          <t>温州京功供应链有限公司</t>
        </is>
      </c>
      <c r="D115" s="4" t="inlineStr">
        <is>
          <t>中式汤底</t>
        </is>
      </c>
      <c r="E115" s="4" t="inlineStr">
        <is>
          <t>5kg</t>
        </is>
      </c>
      <c r="F115" s="18" t="n">
        <v>2130</v>
      </c>
      <c r="G115" s="15" t="n">
        <v>146.93</v>
      </c>
      <c r="H115" s="15" t="n">
        <v>312960.9</v>
      </c>
      <c r="I115" s="4" t="inlineStr">
        <is>
          <t>上海分部</t>
        </is>
      </c>
      <c r="J115" s="4" t="inlineStr">
        <is>
          <t>孙秀秀</t>
        </is>
      </c>
    </row>
    <row r="116">
      <c r="A116" s="14" t="n">
        <v>45782</v>
      </c>
      <c r="B116" s="4" t="inlineStr">
        <is>
          <t>SO202510206</t>
        </is>
      </c>
      <c r="C116" s="4" t="inlineStr">
        <is>
          <t>镇江食佳餐饮管理有限公司</t>
        </is>
      </c>
      <c r="D116" s="4" t="inlineStr">
        <is>
          <t>预制菜</t>
        </is>
      </c>
      <c r="E116" s="4" t="inlineStr">
        <is>
          <t>1kg</t>
        </is>
      </c>
      <c r="F116" s="18" t="n">
        <v>2270</v>
      </c>
      <c r="G116" s="15" t="n">
        <v>279.37</v>
      </c>
      <c r="H116" s="15" t="n">
        <v>634169.9</v>
      </c>
      <c r="I116" s="4" t="inlineStr">
        <is>
          <t>上海分部</t>
        </is>
      </c>
      <c r="J116" s="4" t="inlineStr">
        <is>
          <t>马英秀</t>
        </is>
      </c>
    </row>
    <row r="117">
      <c r="A117" s="14" t="n">
        <v>45782</v>
      </c>
      <c r="B117" s="4" t="inlineStr">
        <is>
          <t>SO202510274</t>
        </is>
      </c>
      <c r="C117" s="4" t="inlineStr">
        <is>
          <t>镇江淼沃餐饮管理有限公司</t>
        </is>
      </c>
      <c r="D117" s="4" t="inlineStr">
        <is>
          <t>预制菜</t>
        </is>
      </c>
      <c r="E117" s="4" t="inlineStr">
        <is>
          <t>500g</t>
        </is>
      </c>
      <c r="F117" s="18" t="n">
        <v>440</v>
      </c>
      <c r="G117" s="15" t="n">
        <v>294.43</v>
      </c>
      <c r="H117" s="15" t="n">
        <v>129549.2</v>
      </c>
      <c r="I117" s="4" t="inlineStr">
        <is>
          <t>上海分部</t>
        </is>
      </c>
      <c r="J117" s="4" t="inlineStr">
        <is>
          <t>孙杰芳</t>
        </is>
      </c>
    </row>
    <row r="118">
      <c r="A118" s="14" t="n">
        <v>45782</v>
      </c>
      <c r="B118" s="4" t="inlineStr">
        <is>
          <t>SO202510304</t>
        </is>
      </c>
      <c r="C118" s="4" t="inlineStr">
        <is>
          <t>镇江大匠餐饮管理有限公司</t>
        </is>
      </c>
      <c r="D118" s="4" t="inlineStr">
        <is>
          <t>酱料</t>
        </is>
      </c>
      <c r="E118" s="4" t="inlineStr">
        <is>
          <t>C级</t>
        </is>
      </c>
      <c r="F118" s="18" t="n">
        <v>2730</v>
      </c>
      <c r="G118" s="15" t="n">
        <v>283.53</v>
      </c>
      <c r="H118" s="15" t="n">
        <v>774036.9</v>
      </c>
      <c r="I118" s="4" t="inlineStr">
        <is>
          <t>浙江分部</t>
        </is>
      </c>
      <c r="J118" s="4" t="inlineStr">
        <is>
          <t>郭丽秀</t>
        </is>
      </c>
    </row>
    <row r="119">
      <c r="A119" s="14" t="n">
        <v>45783</v>
      </c>
      <c r="B119" s="4" t="inlineStr">
        <is>
          <t>SO202510286</t>
        </is>
      </c>
      <c r="C119" s="4" t="inlineStr">
        <is>
          <t>南昌淼沃商贸有限公司</t>
        </is>
      </c>
      <c r="D119" s="4" t="inlineStr">
        <is>
          <t>团餐</t>
        </is>
      </c>
      <c r="E119" s="4" t="inlineStr">
        <is>
          <t>25kg</t>
        </is>
      </c>
      <c r="F119" s="18" t="n">
        <v>3930</v>
      </c>
      <c r="G119" s="15" t="n">
        <v>95.83</v>
      </c>
      <c r="H119" s="15" t="n">
        <v>376611.9</v>
      </c>
      <c r="I119" s="4" t="inlineStr">
        <is>
          <t>上海分部</t>
        </is>
      </c>
      <c r="J119" s="4" t="inlineStr">
        <is>
          <t>郭超敏</t>
        </is>
      </c>
    </row>
    <row r="120">
      <c r="A120" s="14" t="n">
        <v>45784</v>
      </c>
      <c r="B120" s="4" t="inlineStr">
        <is>
          <t>SO202510013</t>
        </is>
      </c>
      <c r="C120" s="4" t="inlineStr">
        <is>
          <t>合肥食佳食品有限公司</t>
        </is>
      </c>
      <c r="D120" s="4" t="inlineStr">
        <is>
          <t>团餐</t>
        </is>
      </c>
      <c r="E120" s="4" t="inlineStr">
        <is>
          <t>B级</t>
        </is>
      </c>
      <c r="F120" s="18" t="n">
        <v>1110</v>
      </c>
      <c r="G120" s="15" t="n">
        <v>210.12</v>
      </c>
      <c r="H120" s="15" t="n">
        <v>233233.2</v>
      </c>
      <c r="I120" s="4" t="inlineStr">
        <is>
          <t>江苏分部</t>
        </is>
      </c>
      <c r="J120" s="4" t="inlineStr">
        <is>
          <t>王秀伟</t>
        </is>
      </c>
    </row>
    <row r="121">
      <c r="A121" s="14" t="n">
        <v>45784</v>
      </c>
      <c r="B121" s="4" t="inlineStr">
        <is>
          <t>SO202510252</t>
        </is>
      </c>
      <c r="C121" s="4" t="inlineStr">
        <is>
          <t>合肥食佳超市</t>
        </is>
      </c>
      <c r="D121" s="4" t="inlineStr">
        <is>
          <t>预制菜</t>
        </is>
      </c>
      <c r="E121" s="4" t="inlineStr">
        <is>
          <t>10kg</t>
        </is>
      </c>
      <c r="F121" s="18" t="n">
        <v>160</v>
      </c>
      <c r="G121" s="15" t="n">
        <v>241.23</v>
      </c>
      <c r="H121" s="15" t="n">
        <v>38596.8</v>
      </c>
      <c r="I121" s="4" t="inlineStr">
        <is>
          <t>浙江分部</t>
        </is>
      </c>
      <c r="J121" s="4" t="inlineStr">
        <is>
          <t>林磊娜</t>
        </is>
      </c>
    </row>
    <row r="122">
      <c r="A122" s="14" t="n">
        <v>45785</v>
      </c>
      <c r="B122" s="4" t="inlineStr">
        <is>
          <t>SO202510031</t>
        </is>
      </c>
      <c r="C122" s="4" t="inlineStr">
        <is>
          <t>常州京功商贸有限公司</t>
        </is>
      </c>
      <c r="D122" s="4" t="inlineStr">
        <is>
          <t>川味底料</t>
        </is>
      </c>
      <c r="E122" s="4" t="inlineStr">
        <is>
          <t>500g</t>
        </is>
      </c>
      <c r="F122" s="18" t="n">
        <v>810</v>
      </c>
      <c r="G122" s="15" t="n">
        <v>187.41</v>
      </c>
      <c r="H122" s="15" t="n">
        <v>151802.1</v>
      </c>
      <c r="I122" s="4" t="inlineStr">
        <is>
          <t>赣皖区域</t>
        </is>
      </c>
      <c r="J122" s="4" t="inlineStr">
        <is>
          <t>林强伟</t>
        </is>
      </c>
    </row>
    <row r="123">
      <c r="A123" s="14" t="n">
        <v>45785</v>
      </c>
      <c r="B123" s="4" t="inlineStr">
        <is>
          <t>SO202510168</t>
        </is>
      </c>
      <c r="C123" s="4" t="inlineStr">
        <is>
          <t>常州淼沃超市</t>
        </is>
      </c>
      <c r="D123" s="4" t="inlineStr">
        <is>
          <t>酱料</t>
        </is>
      </c>
      <c r="E123" s="4" t="inlineStr">
        <is>
          <t>500g</t>
        </is>
      </c>
      <c r="F123" s="18" t="n">
        <v>2180</v>
      </c>
      <c r="G123" s="15" t="n">
        <v>292.7</v>
      </c>
      <c r="H123" s="15" t="n">
        <v>638086</v>
      </c>
      <c r="I123" s="4" t="inlineStr">
        <is>
          <t>浙江分部</t>
        </is>
      </c>
      <c r="J123" s="4" t="inlineStr">
        <is>
          <t>胡兰秀</t>
        </is>
      </c>
    </row>
    <row r="124">
      <c r="A124" s="14" t="n">
        <v>45785</v>
      </c>
      <c r="B124" s="4" t="inlineStr">
        <is>
          <t>SO202510335</t>
        </is>
      </c>
      <c r="C124" s="4" t="inlineStr">
        <is>
          <t>上海食佳超市</t>
        </is>
      </c>
      <c r="D124" s="4" t="inlineStr">
        <is>
          <t>川味底料</t>
        </is>
      </c>
      <c r="E124" s="4" t="inlineStr">
        <is>
          <t>C级</t>
        </is>
      </c>
      <c r="F124" s="18" t="n">
        <v>3970</v>
      </c>
      <c r="G124" s="15" t="n">
        <v>263.4</v>
      </c>
      <c r="H124" s="15" t="n">
        <v>1045698</v>
      </c>
      <c r="I124" s="4" t="inlineStr">
        <is>
          <t>江苏分部</t>
        </is>
      </c>
      <c r="J124" s="4" t="inlineStr">
        <is>
          <t>马兰娜</t>
        </is>
      </c>
    </row>
    <row r="125">
      <c r="A125" s="14" t="n">
        <v>45786</v>
      </c>
      <c r="B125" s="4" t="inlineStr">
        <is>
          <t>SO202510084</t>
        </is>
      </c>
      <c r="C125" s="4" t="inlineStr">
        <is>
          <t>杭州淼沃电商平台</t>
        </is>
      </c>
      <c r="D125" s="4" t="inlineStr">
        <is>
          <t>川味底料</t>
        </is>
      </c>
      <c r="E125" s="4" t="inlineStr">
        <is>
          <t>1kg</t>
        </is>
      </c>
      <c r="F125" s="18" t="n">
        <v>3510</v>
      </c>
      <c r="G125" s="15" t="n">
        <v>159.67</v>
      </c>
      <c r="H125" s="15" t="n">
        <v>560441.7</v>
      </c>
      <c r="I125" s="4" t="inlineStr">
        <is>
          <t>江苏分部</t>
        </is>
      </c>
      <c r="J125" s="4" t="inlineStr">
        <is>
          <t>朱超秀</t>
        </is>
      </c>
    </row>
    <row r="126">
      <c r="A126" s="14" t="n">
        <v>45786</v>
      </c>
      <c r="B126" s="4" t="inlineStr">
        <is>
          <t>SO202510156</t>
        </is>
      </c>
      <c r="C126" s="4" t="inlineStr">
        <is>
          <t>温州优鲜供应链有限公司</t>
        </is>
      </c>
      <c r="D126" s="4" t="inlineStr">
        <is>
          <t>调味汁</t>
        </is>
      </c>
      <c r="E126" s="4" t="inlineStr">
        <is>
          <t>简装</t>
        </is>
      </c>
      <c r="F126" s="18" t="n">
        <v>3610</v>
      </c>
      <c r="G126" s="15" t="n">
        <v>130.08</v>
      </c>
      <c r="H126" s="15" t="n">
        <v>469588.8</v>
      </c>
      <c r="I126" s="4" t="inlineStr">
        <is>
          <t>江苏分部</t>
        </is>
      </c>
      <c r="J126" s="4" t="inlineStr">
        <is>
          <t>陈强秀</t>
        </is>
      </c>
    </row>
    <row r="127">
      <c r="A127" s="14" t="n">
        <v>45786</v>
      </c>
      <c r="B127" s="4" t="inlineStr">
        <is>
          <t>SO202510179</t>
        </is>
      </c>
      <c r="C127" s="4" t="inlineStr">
        <is>
          <t>南京优鲜商贸有限公司</t>
        </is>
      </c>
      <c r="D127" s="4" t="inlineStr">
        <is>
          <t>复合调味粉</t>
        </is>
      </c>
      <c r="E127" s="4" t="inlineStr">
        <is>
          <t>标准</t>
        </is>
      </c>
      <c r="F127" s="18" t="n">
        <v>3140</v>
      </c>
      <c r="G127" s="15" t="n">
        <v>17.7</v>
      </c>
      <c r="H127" s="15" t="n">
        <v>55578</v>
      </c>
      <c r="I127" s="4" t="inlineStr">
        <is>
          <t>江苏分部</t>
        </is>
      </c>
      <c r="J127" s="4" t="inlineStr">
        <is>
          <t>郭艳芳</t>
        </is>
      </c>
    </row>
    <row r="128">
      <c r="A128" s="14" t="n">
        <v>45789</v>
      </c>
      <c r="B128" s="4" t="inlineStr">
        <is>
          <t>SO202510181</t>
        </is>
      </c>
      <c r="C128" s="4" t="inlineStr">
        <is>
          <t>南昌食佳酒店管理集团</t>
        </is>
      </c>
      <c r="D128" s="4" t="inlineStr">
        <is>
          <t>预制菜</t>
        </is>
      </c>
      <c r="E128" s="4" t="inlineStr">
        <is>
          <t>B级</t>
        </is>
      </c>
      <c r="F128" s="18" t="n">
        <v>1250</v>
      </c>
      <c r="G128" s="15" t="n">
        <v>100.32</v>
      </c>
      <c r="H128" s="15" t="n">
        <v>125400</v>
      </c>
      <c r="I128" s="4" t="inlineStr">
        <is>
          <t>江苏分部</t>
        </is>
      </c>
      <c r="J128" s="4" t="inlineStr">
        <is>
          <t>赵秀伟</t>
        </is>
      </c>
    </row>
    <row r="129">
      <c r="A129" s="14" t="n">
        <v>45790</v>
      </c>
      <c r="B129" s="4" t="inlineStr">
        <is>
          <t>SO202510285</t>
        </is>
      </c>
      <c r="C129" s="4" t="inlineStr">
        <is>
          <t>苏州食佳供应链有限公司</t>
        </is>
      </c>
      <c r="D129" s="4" t="inlineStr">
        <is>
          <t>团餐</t>
        </is>
      </c>
      <c r="E129" s="4" t="inlineStr">
        <is>
          <t>500g</t>
        </is>
      </c>
      <c r="F129" s="18" t="n">
        <v>3330</v>
      </c>
      <c r="G129" s="15" t="n">
        <v>31.4</v>
      </c>
      <c r="H129" s="15" t="n">
        <v>104562</v>
      </c>
      <c r="I129" s="4" t="inlineStr">
        <is>
          <t>上海分部</t>
        </is>
      </c>
      <c r="J129" s="4" t="inlineStr">
        <is>
          <t>黄芳英</t>
        </is>
      </c>
    </row>
    <row r="130">
      <c r="A130" s="14" t="n">
        <v>45791</v>
      </c>
      <c r="B130" s="4" t="inlineStr">
        <is>
          <t>SO202510010</t>
        </is>
      </c>
      <c r="C130" s="4" t="inlineStr">
        <is>
          <t>合肥淼沃食品有限公司</t>
        </is>
      </c>
      <c r="D130" s="4" t="inlineStr">
        <is>
          <t>酱料</t>
        </is>
      </c>
      <c r="E130" s="4" t="inlineStr">
        <is>
          <t>5kg</t>
        </is>
      </c>
      <c r="F130" s="18" t="n">
        <v>90</v>
      </c>
      <c r="G130" s="15" t="n">
        <v>253.17</v>
      </c>
      <c r="H130" s="15" t="n">
        <v>22785.3</v>
      </c>
      <c r="I130" s="4" t="inlineStr">
        <is>
          <t>上海分部</t>
        </is>
      </c>
      <c r="J130" s="4" t="inlineStr">
        <is>
          <t>朱英伟</t>
        </is>
      </c>
    </row>
    <row r="131">
      <c r="A131" s="14" t="n">
        <v>45794</v>
      </c>
      <c r="B131" s="4" t="inlineStr">
        <is>
          <t>SO202510055</t>
        </is>
      </c>
      <c r="C131" s="4" t="inlineStr">
        <is>
          <t>温州淼沃餐饮管理有限公司</t>
        </is>
      </c>
      <c r="D131" s="4" t="inlineStr">
        <is>
          <t>调味汁</t>
        </is>
      </c>
      <c r="E131" s="4" t="inlineStr">
        <is>
          <t>标准</t>
        </is>
      </c>
      <c r="F131" s="18" t="n">
        <v>2380</v>
      </c>
      <c r="G131" s="15" t="n">
        <v>182.84</v>
      </c>
      <c r="H131" s="15" t="n">
        <v>435159.2</v>
      </c>
      <c r="I131" s="4" t="inlineStr">
        <is>
          <t>上海分部</t>
        </is>
      </c>
      <c r="J131" s="4" t="inlineStr">
        <is>
          <t>高明英</t>
        </is>
      </c>
    </row>
    <row r="132">
      <c r="A132" s="14" t="n">
        <v>45795</v>
      </c>
      <c r="B132" s="4" t="inlineStr">
        <is>
          <t>SO202510097</t>
        </is>
      </c>
      <c r="C132" s="4" t="inlineStr">
        <is>
          <t>南昌京功商贸有限公司</t>
        </is>
      </c>
      <c r="D132" s="4" t="inlineStr">
        <is>
          <t>川味底料</t>
        </is>
      </c>
      <c r="E132" s="4" t="inlineStr">
        <is>
          <t>A级</t>
        </is>
      </c>
      <c r="F132" s="18" t="n">
        <v>770</v>
      </c>
      <c r="G132" s="15" t="n">
        <v>61.29</v>
      </c>
      <c r="H132" s="15" t="n">
        <v>47193.3</v>
      </c>
      <c r="I132" s="4" t="inlineStr">
        <is>
          <t>上海分部</t>
        </is>
      </c>
      <c r="J132" s="4" t="inlineStr">
        <is>
          <t>李兰秀</t>
        </is>
      </c>
    </row>
    <row r="133">
      <c r="A133" s="14" t="n">
        <v>45797</v>
      </c>
      <c r="B133" s="4" t="inlineStr">
        <is>
          <t>SO202510062</t>
        </is>
      </c>
      <c r="C133" s="4" t="inlineStr">
        <is>
          <t>无锡淼沃餐饮管理有限公司</t>
        </is>
      </c>
      <c r="D133" s="4" t="inlineStr">
        <is>
          <t>团餐</t>
        </is>
      </c>
      <c r="E133" s="4" t="inlineStr">
        <is>
          <t>10kg</t>
        </is>
      </c>
      <c r="F133" s="18" t="n">
        <v>4090</v>
      </c>
      <c r="G133" s="15" t="n">
        <v>178.81</v>
      </c>
      <c r="H133" s="15" t="n">
        <v>731332.9</v>
      </c>
      <c r="I133" s="4" t="inlineStr">
        <is>
          <t>赣皖区域</t>
        </is>
      </c>
      <c r="J133" s="4" t="inlineStr">
        <is>
          <t>马勇芳</t>
        </is>
      </c>
    </row>
    <row r="134">
      <c r="A134" s="14" t="n">
        <v>45799</v>
      </c>
      <c r="B134" s="4" t="inlineStr">
        <is>
          <t>SO202510296</t>
        </is>
      </c>
      <c r="C134" s="4" t="inlineStr">
        <is>
          <t>合肥百味超市</t>
        </is>
      </c>
      <c r="D134" s="4" t="inlineStr">
        <is>
          <t>预制菜</t>
        </is>
      </c>
      <c r="E134" s="4" t="inlineStr">
        <is>
          <t>简装</t>
        </is>
      </c>
      <c r="F134" s="18" t="n">
        <v>1380</v>
      </c>
      <c r="G134" s="15" t="n">
        <v>245.03</v>
      </c>
      <c r="H134" s="15" t="n">
        <v>338141.4</v>
      </c>
      <c r="I134" s="4" t="inlineStr">
        <is>
          <t>上海分部</t>
        </is>
      </c>
      <c r="J134" s="4" t="inlineStr">
        <is>
          <t>陈杰秀</t>
        </is>
      </c>
    </row>
    <row r="135">
      <c r="A135" s="14" t="n">
        <v>45800</v>
      </c>
      <c r="B135" s="4" t="inlineStr">
        <is>
          <t>SO202510229</t>
        </is>
      </c>
      <c r="C135" s="4" t="inlineStr">
        <is>
          <t>杭州淼沃食品有限公司</t>
        </is>
      </c>
      <c r="D135" s="4" t="inlineStr">
        <is>
          <t>川味底料</t>
        </is>
      </c>
      <c r="E135" s="4" t="inlineStr">
        <is>
          <t>简装</t>
        </is>
      </c>
      <c r="F135" s="18" t="n">
        <v>1640</v>
      </c>
      <c r="G135" s="15" t="n">
        <v>51.06</v>
      </c>
      <c r="H135" s="15" t="n">
        <v>83738.39999999999</v>
      </c>
      <c r="I135" s="4" t="inlineStr">
        <is>
          <t>上海分部</t>
        </is>
      </c>
      <c r="J135" s="4" t="inlineStr">
        <is>
          <t>陈涛敏</t>
        </is>
      </c>
    </row>
    <row r="136">
      <c r="A136" s="14" t="n">
        <v>45801</v>
      </c>
      <c r="B136" s="4" t="inlineStr">
        <is>
          <t>SO202510313</t>
        </is>
      </c>
      <c r="C136" s="4" t="inlineStr">
        <is>
          <t>杭州食佳酒店管理集团</t>
        </is>
      </c>
      <c r="D136" s="4" t="inlineStr">
        <is>
          <t>酱料</t>
        </is>
      </c>
      <c r="E136" s="4" t="inlineStr">
        <is>
          <t>500g</t>
        </is>
      </c>
      <c r="F136" s="18" t="n">
        <v>2700</v>
      </c>
      <c r="G136" s="15" t="n">
        <v>297.67</v>
      </c>
      <c r="H136" s="15" t="n">
        <v>803709</v>
      </c>
      <c r="I136" s="4" t="inlineStr">
        <is>
          <t>赣皖区域</t>
        </is>
      </c>
      <c r="J136" s="4" t="inlineStr">
        <is>
          <t>王丽英</t>
        </is>
      </c>
    </row>
    <row r="137">
      <c r="A137" s="14" t="n">
        <v>45802</v>
      </c>
      <c r="B137" s="4" t="inlineStr">
        <is>
          <t>SO202510080</t>
        </is>
      </c>
      <c r="C137" s="4" t="inlineStr">
        <is>
          <t>常州百味商贸有限公司</t>
        </is>
      </c>
      <c r="D137" s="4" t="inlineStr">
        <is>
          <t>中式汤底</t>
        </is>
      </c>
      <c r="E137" s="4" t="inlineStr">
        <is>
          <t>5kg</t>
        </is>
      </c>
      <c r="F137" s="18" t="n">
        <v>3540</v>
      </c>
      <c r="G137" s="15" t="n">
        <v>191.13</v>
      </c>
      <c r="H137" s="15" t="n">
        <v>676600.2</v>
      </c>
      <c r="I137" s="4" t="inlineStr">
        <is>
          <t>江苏分部</t>
        </is>
      </c>
      <c r="J137" s="4" t="inlineStr">
        <is>
          <t>郭静娜</t>
        </is>
      </c>
    </row>
    <row r="138">
      <c r="A138" s="14" t="n">
        <v>45803</v>
      </c>
      <c r="B138" s="4" t="inlineStr">
        <is>
          <t>SO202510240</t>
        </is>
      </c>
      <c r="C138" s="4" t="inlineStr">
        <is>
          <t>常州淼沃食品有限公司</t>
        </is>
      </c>
      <c r="D138" s="4" t="inlineStr">
        <is>
          <t>川味底料</t>
        </is>
      </c>
      <c r="E138" s="4" t="inlineStr">
        <is>
          <t>1kg</t>
        </is>
      </c>
      <c r="F138" s="18" t="n">
        <v>810</v>
      </c>
      <c r="G138" s="15" t="n">
        <v>62.56</v>
      </c>
      <c r="H138" s="15" t="n">
        <v>50673.6</v>
      </c>
      <c r="I138" s="4" t="inlineStr">
        <is>
          <t>浙江分部</t>
        </is>
      </c>
      <c r="J138" s="4" t="inlineStr">
        <is>
          <t>高秀伟</t>
        </is>
      </c>
    </row>
    <row r="139">
      <c r="A139" s="14" t="n">
        <v>45804</v>
      </c>
      <c r="B139" s="4" t="inlineStr">
        <is>
          <t>SO202510194</t>
        </is>
      </c>
      <c r="C139" s="4" t="inlineStr">
        <is>
          <t>南昌大匠供应链有限公司</t>
        </is>
      </c>
      <c r="D139" s="4" t="inlineStr">
        <is>
          <t>复合调味粉</t>
        </is>
      </c>
      <c r="E139" s="4" t="inlineStr">
        <is>
          <t>B级</t>
        </is>
      </c>
      <c r="F139" s="18" t="n">
        <v>1470</v>
      </c>
      <c r="G139" s="15" t="n">
        <v>237.88</v>
      </c>
      <c r="H139" s="15" t="n">
        <v>349683.6</v>
      </c>
      <c r="I139" s="4" t="inlineStr">
        <is>
          <t>江苏分部</t>
        </is>
      </c>
      <c r="J139" s="4" t="inlineStr">
        <is>
          <t>朱勇秀</t>
        </is>
      </c>
    </row>
    <row r="140">
      <c r="A140" s="14" t="n">
        <v>45804</v>
      </c>
      <c r="B140" s="4" t="inlineStr">
        <is>
          <t>SO202510234</t>
        </is>
      </c>
      <c r="C140" s="4" t="inlineStr">
        <is>
          <t>苏州淼沃商贸有限公司</t>
        </is>
      </c>
      <c r="D140" s="4" t="inlineStr">
        <is>
          <t>调味汁</t>
        </is>
      </c>
      <c r="E140" s="4" t="inlineStr">
        <is>
          <t>标准</t>
        </is>
      </c>
      <c r="F140" s="18" t="n">
        <v>3120</v>
      </c>
      <c r="G140" s="15" t="n">
        <v>274.58</v>
      </c>
      <c r="H140" s="15" t="n">
        <v>856689.6</v>
      </c>
      <c r="I140" s="4" t="inlineStr">
        <is>
          <t>赣皖区域</t>
        </is>
      </c>
      <c r="J140" s="4" t="inlineStr">
        <is>
          <t>黄英娜</t>
        </is>
      </c>
    </row>
    <row r="141">
      <c r="A141" s="14" t="n">
        <v>45809</v>
      </c>
      <c r="B141" s="4" t="inlineStr">
        <is>
          <t>SO202510072</t>
        </is>
      </c>
      <c r="C141" s="4" t="inlineStr">
        <is>
          <t>南京京功食品有限公司</t>
        </is>
      </c>
      <c r="D141" s="4" t="inlineStr">
        <is>
          <t>复合调味粉</t>
        </is>
      </c>
      <c r="E141" s="4" t="inlineStr">
        <is>
          <t>25kg</t>
        </is>
      </c>
      <c r="F141" s="18" t="n">
        <v>4740</v>
      </c>
      <c r="G141" s="15" t="n">
        <v>58.29</v>
      </c>
      <c r="H141" s="15" t="n">
        <v>276294.6</v>
      </c>
      <c r="I141" s="4" t="inlineStr">
        <is>
          <t>江苏分部</t>
        </is>
      </c>
      <c r="J141" s="4" t="inlineStr">
        <is>
          <t>李秀敏</t>
        </is>
      </c>
    </row>
    <row r="142">
      <c r="A142" s="14" t="n">
        <v>45809</v>
      </c>
      <c r="B142" s="4" t="inlineStr">
        <is>
          <t>SO202510225</t>
        </is>
      </c>
      <c r="C142" s="4" t="inlineStr">
        <is>
          <t>杭州淼沃酒店管理集团</t>
        </is>
      </c>
      <c r="D142" s="4" t="inlineStr">
        <is>
          <t>川味底料</t>
        </is>
      </c>
      <c r="E142" s="4" t="inlineStr">
        <is>
          <t>10kg</t>
        </is>
      </c>
      <c r="F142" s="18" t="n">
        <v>1660</v>
      </c>
      <c r="G142" s="15" t="n">
        <v>269.74</v>
      </c>
      <c r="H142" s="15" t="n">
        <v>447768.4</v>
      </c>
      <c r="I142" s="4" t="inlineStr">
        <is>
          <t>江苏分部</t>
        </is>
      </c>
      <c r="J142" s="4" t="inlineStr">
        <is>
          <t>马英英</t>
        </is>
      </c>
    </row>
    <row r="143">
      <c r="A143" s="14" t="n">
        <v>45811</v>
      </c>
      <c r="B143" s="4" t="inlineStr">
        <is>
          <t>SO202510036</t>
        </is>
      </c>
      <c r="C143" s="4" t="inlineStr">
        <is>
          <t>镇江京功供应链有限公司</t>
        </is>
      </c>
      <c r="D143" s="4" t="inlineStr">
        <is>
          <t>调味汁</t>
        </is>
      </c>
      <c r="E143" s="4" t="inlineStr">
        <is>
          <t>C级</t>
        </is>
      </c>
      <c r="F143" s="18" t="n">
        <v>2070</v>
      </c>
      <c r="G143" s="15" t="n">
        <v>133.67</v>
      </c>
      <c r="H143" s="15" t="n">
        <v>276696.9</v>
      </c>
      <c r="I143" s="4" t="inlineStr">
        <is>
          <t>赣皖区域</t>
        </is>
      </c>
      <c r="J143" s="4" t="inlineStr">
        <is>
          <t>刘静英</t>
        </is>
      </c>
    </row>
    <row r="144">
      <c r="A144" s="14" t="n">
        <v>45812</v>
      </c>
      <c r="B144" s="4" t="inlineStr">
        <is>
          <t>SO202510302</t>
        </is>
      </c>
      <c r="C144" s="4" t="inlineStr">
        <is>
          <t>杭州淼沃餐饮管理有限公司</t>
        </is>
      </c>
      <c r="D144" s="4" t="inlineStr">
        <is>
          <t>酱料</t>
        </is>
      </c>
      <c r="E144" s="4" t="inlineStr">
        <is>
          <t>A级</t>
        </is>
      </c>
      <c r="F144" s="18" t="n">
        <v>1760</v>
      </c>
      <c r="G144" s="15" t="n">
        <v>214.62</v>
      </c>
      <c r="H144" s="15" t="n">
        <v>377731.2</v>
      </c>
      <c r="I144" s="4" t="inlineStr">
        <is>
          <t>上海分部</t>
        </is>
      </c>
      <c r="J144" s="4" t="inlineStr">
        <is>
          <t>高秀伟</t>
        </is>
      </c>
    </row>
    <row r="145">
      <c r="A145" s="14" t="n">
        <v>45813</v>
      </c>
      <c r="B145" s="4" t="inlineStr">
        <is>
          <t>SO202510204</t>
        </is>
      </c>
      <c r="C145" s="4" t="inlineStr">
        <is>
          <t>杭州淼沃电商平台</t>
        </is>
      </c>
      <c r="D145" s="4" t="inlineStr">
        <is>
          <t>中式汤底</t>
        </is>
      </c>
      <c r="E145" s="4" t="inlineStr">
        <is>
          <t>1kg</t>
        </is>
      </c>
      <c r="F145" s="18" t="n">
        <v>1250</v>
      </c>
      <c r="G145" s="15" t="n">
        <v>30.68</v>
      </c>
      <c r="H145" s="15" t="n">
        <v>38350</v>
      </c>
      <c r="I145" s="4" t="inlineStr">
        <is>
          <t>赣皖区域</t>
        </is>
      </c>
      <c r="J145" s="4" t="inlineStr">
        <is>
          <t>刘兰英</t>
        </is>
      </c>
    </row>
    <row r="146">
      <c r="A146" s="14" t="n">
        <v>45814</v>
      </c>
      <c r="B146" s="4" t="inlineStr">
        <is>
          <t>SO202510158</t>
        </is>
      </c>
      <c r="C146" s="4" t="inlineStr">
        <is>
          <t>温州淼沃餐饮管理有限公司</t>
        </is>
      </c>
      <c r="D146" s="4" t="inlineStr">
        <is>
          <t>川味底料</t>
        </is>
      </c>
      <c r="E146" s="4" t="inlineStr">
        <is>
          <t>1kg</t>
        </is>
      </c>
      <c r="F146" s="18" t="n">
        <v>2370</v>
      </c>
      <c r="G146" s="15" t="n">
        <v>71.12</v>
      </c>
      <c r="H146" s="15" t="n">
        <v>168554.4</v>
      </c>
      <c r="I146" s="4" t="inlineStr">
        <is>
          <t>上海分部</t>
        </is>
      </c>
      <c r="J146" s="4" t="inlineStr">
        <is>
          <t>周涛秀</t>
        </is>
      </c>
    </row>
    <row r="147">
      <c r="A147" s="14" t="n">
        <v>45817</v>
      </c>
      <c r="B147" s="4" t="inlineStr">
        <is>
          <t>SO202510032</t>
        </is>
      </c>
      <c r="C147" s="4" t="inlineStr">
        <is>
          <t>温州百味供应链有限公司</t>
        </is>
      </c>
      <c r="D147" s="4" t="inlineStr">
        <is>
          <t>调味汁</t>
        </is>
      </c>
      <c r="E147" s="4" t="inlineStr">
        <is>
          <t>1kg</t>
        </is>
      </c>
      <c r="F147" s="18" t="n">
        <v>3870</v>
      </c>
      <c r="G147" s="15" t="n">
        <v>120.84</v>
      </c>
      <c r="H147" s="15" t="n">
        <v>467650.8</v>
      </c>
      <c r="I147" s="4" t="inlineStr">
        <is>
          <t>赣皖区域</t>
        </is>
      </c>
      <c r="J147" s="4" t="inlineStr">
        <is>
          <t>杨勇伟</t>
        </is>
      </c>
    </row>
    <row r="148">
      <c r="A148" s="14" t="n">
        <v>45818</v>
      </c>
      <c r="B148" s="4" t="inlineStr">
        <is>
          <t>SO202510021</t>
        </is>
      </c>
      <c r="C148" s="4" t="inlineStr">
        <is>
          <t>南昌优鲜食品有限公司</t>
        </is>
      </c>
      <c r="D148" s="4" t="inlineStr">
        <is>
          <t>复合调味粉</t>
        </is>
      </c>
      <c r="E148" s="4" t="inlineStr">
        <is>
          <t>2.5kg</t>
        </is>
      </c>
      <c r="F148" s="18" t="n">
        <v>2810</v>
      </c>
      <c r="G148" s="15" t="n">
        <v>67.29000000000001</v>
      </c>
      <c r="H148" s="15" t="n">
        <v>189084.9</v>
      </c>
      <c r="I148" s="4" t="inlineStr">
        <is>
          <t>江苏分部</t>
        </is>
      </c>
      <c r="J148" s="4" t="inlineStr">
        <is>
          <t>马涛娜</t>
        </is>
      </c>
    </row>
    <row r="149">
      <c r="A149" s="14" t="n">
        <v>45819</v>
      </c>
      <c r="B149" s="4" t="inlineStr">
        <is>
          <t>SO202510113</t>
        </is>
      </c>
      <c r="C149" s="4" t="inlineStr">
        <is>
          <t>无锡百味餐饮管理有限公司</t>
        </is>
      </c>
      <c r="D149" s="4" t="inlineStr">
        <is>
          <t>复合调味粉</t>
        </is>
      </c>
      <c r="E149" s="4" t="inlineStr">
        <is>
          <t>C级</t>
        </is>
      </c>
      <c r="F149" s="18" t="n">
        <v>3520</v>
      </c>
      <c r="G149" s="15" t="n">
        <v>134.86</v>
      </c>
      <c r="H149" s="15" t="n">
        <v>474707.2</v>
      </c>
      <c r="I149" s="4" t="inlineStr">
        <is>
          <t>赣皖区域</t>
        </is>
      </c>
      <c r="J149" s="4" t="inlineStr">
        <is>
          <t>何超英</t>
        </is>
      </c>
    </row>
    <row r="150">
      <c r="A150" s="14" t="n">
        <v>45819</v>
      </c>
      <c r="B150" s="4" t="inlineStr">
        <is>
          <t>SO202510213</t>
        </is>
      </c>
      <c r="C150" s="4" t="inlineStr">
        <is>
          <t>温州淼沃供应链有限公司</t>
        </is>
      </c>
      <c r="D150" s="4" t="inlineStr">
        <is>
          <t>川味底料</t>
        </is>
      </c>
      <c r="E150" s="4" t="inlineStr">
        <is>
          <t>500g</t>
        </is>
      </c>
      <c r="F150" s="18" t="n">
        <v>1490</v>
      </c>
      <c r="G150" s="15" t="n">
        <v>273.16</v>
      </c>
      <c r="H150" s="15" t="n">
        <v>407008.4</v>
      </c>
      <c r="I150" s="4" t="inlineStr">
        <is>
          <t>江苏分部</t>
        </is>
      </c>
      <c r="J150" s="4" t="inlineStr">
        <is>
          <t>黄秀秀</t>
        </is>
      </c>
    </row>
    <row r="151">
      <c r="A151" s="14" t="n">
        <v>45821</v>
      </c>
      <c r="B151" s="4" t="inlineStr">
        <is>
          <t>SO202510006</t>
        </is>
      </c>
      <c r="C151" s="4" t="inlineStr">
        <is>
          <t>常州优鲜商贸有限公司</t>
        </is>
      </c>
      <c r="D151" s="4" t="inlineStr">
        <is>
          <t>川味底料</t>
        </is>
      </c>
      <c r="E151" s="4" t="inlineStr">
        <is>
          <t>精装</t>
        </is>
      </c>
      <c r="F151" s="18" t="n">
        <v>370</v>
      </c>
      <c r="G151" s="15" t="n">
        <v>30.52</v>
      </c>
      <c r="H151" s="15" t="n">
        <v>11292.4</v>
      </c>
      <c r="I151" s="4" t="inlineStr">
        <is>
          <t>浙江分部</t>
        </is>
      </c>
      <c r="J151" s="4" t="inlineStr">
        <is>
          <t>孙娜芳</t>
        </is>
      </c>
    </row>
    <row r="152">
      <c r="A152" s="14" t="n">
        <v>45822</v>
      </c>
      <c r="B152" s="4" t="inlineStr">
        <is>
          <t>SO202510195</t>
        </is>
      </c>
      <c r="C152" s="4" t="inlineStr">
        <is>
          <t>镇江淼沃商贸有限公司</t>
        </is>
      </c>
      <c r="D152" s="4" t="inlineStr">
        <is>
          <t>复合调味粉</t>
        </is>
      </c>
      <c r="E152" s="4" t="inlineStr">
        <is>
          <t>A级</t>
        </is>
      </c>
      <c r="F152" s="18" t="n">
        <v>4120</v>
      </c>
      <c r="G152" s="15" t="n">
        <v>125.1</v>
      </c>
      <c r="H152" s="15" t="n">
        <v>515412</v>
      </c>
      <c r="I152" s="4" t="inlineStr">
        <is>
          <t>赣皖区域</t>
        </is>
      </c>
      <c r="J152" s="4" t="inlineStr">
        <is>
          <t>黄芳秀</t>
        </is>
      </c>
    </row>
    <row r="153">
      <c r="A153" s="14" t="n">
        <v>45823</v>
      </c>
      <c r="B153" s="4" t="inlineStr">
        <is>
          <t>SO202510261</t>
        </is>
      </c>
      <c r="C153" s="4" t="inlineStr">
        <is>
          <t>宁波大匠酒店管理集团</t>
        </is>
      </c>
      <c r="D153" s="4" t="inlineStr">
        <is>
          <t>酱料</t>
        </is>
      </c>
      <c r="E153" s="4" t="inlineStr">
        <is>
          <t>简装</t>
        </is>
      </c>
      <c r="F153" s="18" t="n">
        <v>2790</v>
      </c>
      <c r="G153" s="15" t="n">
        <v>40.48</v>
      </c>
      <c r="H153" s="15" t="n">
        <v>112939.2</v>
      </c>
      <c r="I153" s="4" t="inlineStr">
        <is>
          <t>赣皖区域</t>
        </is>
      </c>
      <c r="J153" s="4" t="inlineStr">
        <is>
          <t>马娜伟</t>
        </is>
      </c>
    </row>
    <row r="154">
      <c r="A154" s="14" t="n">
        <v>45824</v>
      </c>
      <c r="B154" s="4" t="inlineStr">
        <is>
          <t>SO202510070</t>
        </is>
      </c>
      <c r="C154" s="4" t="inlineStr">
        <is>
          <t>常州大匠酒店管理集团</t>
        </is>
      </c>
      <c r="D154" s="4" t="inlineStr">
        <is>
          <t>中式汤底</t>
        </is>
      </c>
      <c r="E154" s="4" t="inlineStr">
        <is>
          <t>10kg</t>
        </is>
      </c>
      <c r="F154" s="18" t="n">
        <v>4340</v>
      </c>
      <c r="G154" s="15" t="n">
        <v>263.12</v>
      </c>
      <c r="H154" s="15" t="n">
        <v>1141940.8</v>
      </c>
      <c r="I154" s="4" t="inlineStr">
        <is>
          <t>江苏分部</t>
        </is>
      </c>
      <c r="J154" s="4" t="inlineStr">
        <is>
          <t>周英秀</t>
        </is>
      </c>
    </row>
    <row r="155">
      <c r="A155" s="14" t="n">
        <v>45825</v>
      </c>
      <c r="B155" s="4" t="inlineStr">
        <is>
          <t>SO202510191</t>
        </is>
      </c>
      <c r="C155" s="4" t="inlineStr">
        <is>
          <t>宁波大匠食品有限公司</t>
        </is>
      </c>
      <c r="D155" s="4" t="inlineStr">
        <is>
          <t>川味底料</t>
        </is>
      </c>
      <c r="E155" s="4" t="inlineStr">
        <is>
          <t>2.5kg</t>
        </is>
      </c>
      <c r="F155" s="18" t="n">
        <v>4530</v>
      </c>
      <c r="G155" s="15" t="n">
        <v>139.69</v>
      </c>
      <c r="H155" s="15" t="n">
        <v>632795.7</v>
      </c>
      <c r="I155" s="4" t="inlineStr">
        <is>
          <t>浙江分部</t>
        </is>
      </c>
      <c r="J155" s="4" t="inlineStr">
        <is>
          <t>周伟伟</t>
        </is>
      </c>
    </row>
    <row r="156">
      <c r="A156" s="14" t="n">
        <v>45825</v>
      </c>
      <c r="B156" s="4" t="inlineStr">
        <is>
          <t>SO202510211</t>
        </is>
      </c>
      <c r="C156" s="4" t="inlineStr">
        <is>
          <t>杭州大匠食品有限公司</t>
        </is>
      </c>
      <c r="D156" s="4" t="inlineStr">
        <is>
          <t>川味底料</t>
        </is>
      </c>
      <c r="E156" s="4" t="inlineStr">
        <is>
          <t>5kg</t>
        </is>
      </c>
      <c r="F156" s="18" t="n">
        <v>3620</v>
      </c>
      <c r="G156" s="15" t="n">
        <v>178.32</v>
      </c>
      <c r="H156" s="15" t="n">
        <v>645518.4</v>
      </c>
      <c r="I156" s="4" t="inlineStr">
        <is>
          <t>浙江分部</t>
        </is>
      </c>
      <c r="J156" s="4" t="inlineStr">
        <is>
          <t>胡丽敏</t>
        </is>
      </c>
    </row>
    <row r="157">
      <c r="A157" s="14" t="n">
        <v>45826</v>
      </c>
      <c r="B157" s="4" t="inlineStr">
        <is>
          <t>SO202510086</t>
        </is>
      </c>
      <c r="C157" s="4" t="inlineStr">
        <is>
          <t>上海淼沃超市</t>
        </is>
      </c>
      <c r="D157" s="4" t="inlineStr">
        <is>
          <t>调味汁</t>
        </is>
      </c>
      <c r="E157" s="4" t="inlineStr">
        <is>
          <t>5kg</t>
        </is>
      </c>
      <c r="F157" s="18" t="n">
        <v>2460</v>
      </c>
      <c r="G157" s="15" t="n">
        <v>32.41</v>
      </c>
      <c r="H157" s="15" t="n">
        <v>79728.60000000001</v>
      </c>
      <c r="I157" s="4" t="inlineStr">
        <is>
          <t>江苏分部</t>
        </is>
      </c>
      <c r="J157" s="4" t="inlineStr">
        <is>
          <t>孙兰敏</t>
        </is>
      </c>
    </row>
    <row r="158">
      <c r="A158" s="14" t="n">
        <v>45826</v>
      </c>
      <c r="B158" s="4" t="inlineStr">
        <is>
          <t>SO202510344</t>
        </is>
      </c>
      <c r="C158" s="4" t="inlineStr">
        <is>
          <t>嘉兴京功电商平台</t>
        </is>
      </c>
      <c r="D158" s="4" t="inlineStr">
        <is>
          <t>中式汤底</t>
        </is>
      </c>
      <c r="E158" s="4" t="inlineStr">
        <is>
          <t>2.5kg</t>
        </is>
      </c>
      <c r="F158" s="18" t="n">
        <v>1980</v>
      </c>
      <c r="G158" s="15" t="n">
        <v>226.19</v>
      </c>
      <c r="H158" s="15" t="n">
        <v>447856.2</v>
      </c>
      <c r="I158" s="4" t="inlineStr">
        <is>
          <t>江苏分部</t>
        </is>
      </c>
      <c r="J158" s="4" t="inlineStr">
        <is>
          <t>罗磊英</t>
        </is>
      </c>
    </row>
    <row r="159">
      <c r="A159" s="14" t="n">
        <v>45828</v>
      </c>
      <c r="B159" s="4" t="inlineStr">
        <is>
          <t>SO202510196</t>
        </is>
      </c>
      <c r="C159" s="4" t="inlineStr">
        <is>
          <t>上海京功商贸有限公司</t>
        </is>
      </c>
      <c r="D159" s="4" t="inlineStr">
        <is>
          <t>川味底料</t>
        </is>
      </c>
      <c r="E159" s="4" t="inlineStr">
        <is>
          <t>10kg</t>
        </is>
      </c>
      <c r="F159" s="18" t="n">
        <v>2660</v>
      </c>
      <c r="G159" s="15" t="n">
        <v>16.35</v>
      </c>
      <c r="H159" s="15" t="n">
        <v>43491</v>
      </c>
      <c r="I159" s="4" t="inlineStr">
        <is>
          <t>浙江分部</t>
        </is>
      </c>
      <c r="J159" s="4" t="inlineStr">
        <is>
          <t>马芳芳</t>
        </is>
      </c>
    </row>
    <row r="160">
      <c r="A160" s="14" t="n">
        <v>45830</v>
      </c>
      <c r="B160" s="4" t="inlineStr">
        <is>
          <t>SO202510090</t>
        </is>
      </c>
      <c r="C160" s="4" t="inlineStr">
        <is>
          <t>南昌大匠餐饮管理有限公司</t>
        </is>
      </c>
      <c r="D160" s="4" t="inlineStr">
        <is>
          <t>复合调味粉</t>
        </is>
      </c>
      <c r="E160" s="4" t="inlineStr">
        <is>
          <t>2.5kg</t>
        </is>
      </c>
      <c r="F160" s="18" t="n">
        <v>3020</v>
      </c>
      <c r="G160" s="15" t="n">
        <v>173.57</v>
      </c>
      <c r="H160" s="15" t="n">
        <v>524181.4</v>
      </c>
      <c r="I160" s="4" t="inlineStr">
        <is>
          <t>上海分部</t>
        </is>
      </c>
      <c r="J160" s="4" t="inlineStr">
        <is>
          <t>胡秀芳</t>
        </is>
      </c>
    </row>
    <row r="161">
      <c r="A161" s="14" t="n">
        <v>45830</v>
      </c>
      <c r="B161" s="4" t="inlineStr">
        <is>
          <t>SO202510171</t>
        </is>
      </c>
      <c r="C161" s="4" t="inlineStr">
        <is>
          <t>嘉兴淼沃电商平台</t>
        </is>
      </c>
      <c r="D161" s="4" t="inlineStr">
        <is>
          <t>川味底料</t>
        </is>
      </c>
      <c r="E161" s="4" t="inlineStr">
        <is>
          <t>A级</t>
        </is>
      </c>
      <c r="F161" s="18" t="n">
        <v>2900</v>
      </c>
      <c r="G161" s="15" t="n">
        <v>146.01</v>
      </c>
      <c r="H161" s="15" t="n">
        <v>423429</v>
      </c>
      <c r="I161" s="4" t="inlineStr">
        <is>
          <t>江苏分部</t>
        </is>
      </c>
      <c r="J161" s="4" t="inlineStr">
        <is>
          <t>黄兰芳</t>
        </is>
      </c>
    </row>
    <row r="162">
      <c r="A162" s="14" t="n">
        <v>45830</v>
      </c>
      <c r="B162" s="4" t="inlineStr">
        <is>
          <t>SO202510193</t>
        </is>
      </c>
      <c r="C162" s="4" t="inlineStr">
        <is>
          <t>宁波大匠餐饮管理有限公司</t>
        </is>
      </c>
      <c r="D162" s="4" t="inlineStr">
        <is>
          <t>中式汤底</t>
        </is>
      </c>
      <c r="E162" s="4" t="inlineStr">
        <is>
          <t>B级</t>
        </is>
      </c>
      <c r="F162" s="18" t="n">
        <v>3580</v>
      </c>
      <c r="G162" s="15" t="n">
        <v>177.57</v>
      </c>
      <c r="H162" s="15" t="n">
        <v>635700.6</v>
      </c>
      <c r="I162" s="4" t="inlineStr">
        <is>
          <t>浙江分部</t>
        </is>
      </c>
      <c r="J162" s="4" t="inlineStr">
        <is>
          <t>郭兰伟</t>
        </is>
      </c>
    </row>
    <row r="163">
      <c r="A163" s="14" t="n">
        <v>45831</v>
      </c>
      <c r="B163" s="4" t="inlineStr">
        <is>
          <t>SO202510008</t>
        </is>
      </c>
      <c r="C163" s="4" t="inlineStr">
        <is>
          <t>宁波优鲜供应链有限公司</t>
        </is>
      </c>
      <c r="D163" s="4" t="inlineStr">
        <is>
          <t>团餐</t>
        </is>
      </c>
      <c r="E163" s="4" t="inlineStr">
        <is>
          <t>500g</t>
        </is>
      </c>
      <c r="F163" s="18" t="n">
        <v>1150</v>
      </c>
      <c r="G163" s="15" t="n">
        <v>220.8</v>
      </c>
      <c r="H163" s="15" t="n">
        <v>253920</v>
      </c>
      <c r="I163" s="4" t="inlineStr">
        <is>
          <t>江苏分部</t>
        </is>
      </c>
      <c r="J163" s="4" t="inlineStr">
        <is>
          <t>李兰敏</t>
        </is>
      </c>
    </row>
    <row r="164">
      <c r="A164" s="14" t="n">
        <v>45831</v>
      </c>
      <c r="B164" s="4" t="inlineStr">
        <is>
          <t>SO202510009</t>
        </is>
      </c>
      <c r="C164" s="4" t="inlineStr">
        <is>
          <t>上海京功餐饮管理有限公司</t>
        </is>
      </c>
      <c r="D164" s="4" t="inlineStr">
        <is>
          <t>调味汁</t>
        </is>
      </c>
      <c r="E164" s="4" t="inlineStr">
        <is>
          <t>C级</t>
        </is>
      </c>
      <c r="F164" s="18" t="n">
        <v>4400</v>
      </c>
      <c r="G164" s="15" t="n">
        <v>228.76</v>
      </c>
      <c r="H164" s="15" t="n">
        <v>1006544</v>
      </c>
      <c r="I164" s="4" t="inlineStr">
        <is>
          <t>浙江分部</t>
        </is>
      </c>
      <c r="J164" s="4" t="inlineStr">
        <is>
          <t>马杰芳</t>
        </is>
      </c>
    </row>
    <row r="165">
      <c r="A165" s="14" t="n">
        <v>45831</v>
      </c>
      <c r="B165" s="4" t="inlineStr">
        <is>
          <t>SO202510116</t>
        </is>
      </c>
      <c r="C165" s="4" t="inlineStr">
        <is>
          <t>宁波淼沃酒店管理集团</t>
        </is>
      </c>
      <c r="D165" s="4" t="inlineStr">
        <is>
          <t>川味底料</t>
        </is>
      </c>
      <c r="E165" s="4" t="inlineStr">
        <is>
          <t>A级</t>
        </is>
      </c>
      <c r="F165" s="18" t="n">
        <v>4920</v>
      </c>
      <c r="G165" s="15" t="n">
        <v>209.95</v>
      </c>
      <c r="H165" s="15" t="n">
        <v>1032954</v>
      </c>
      <c r="I165" s="4" t="inlineStr">
        <is>
          <t>上海分部</t>
        </is>
      </c>
      <c r="J165" s="4" t="inlineStr">
        <is>
          <t>孙兰芳</t>
        </is>
      </c>
    </row>
    <row r="166">
      <c r="A166" s="14" t="n">
        <v>45831</v>
      </c>
      <c r="B166" s="4" t="inlineStr">
        <is>
          <t>SO202510200</t>
        </is>
      </c>
      <c r="C166" s="4" t="inlineStr">
        <is>
          <t>温州食佳超市</t>
        </is>
      </c>
      <c r="D166" s="4" t="inlineStr">
        <is>
          <t>川味底料</t>
        </is>
      </c>
      <c r="E166" s="4" t="inlineStr">
        <is>
          <t>精装</t>
        </is>
      </c>
      <c r="F166" s="18" t="n">
        <v>1780</v>
      </c>
      <c r="G166" s="15" t="n">
        <v>189.61</v>
      </c>
      <c r="H166" s="15" t="n">
        <v>337505.8</v>
      </c>
      <c r="I166" s="4" t="inlineStr">
        <is>
          <t>赣皖区域</t>
        </is>
      </c>
      <c r="J166" s="4" t="inlineStr">
        <is>
          <t>马艳芳</t>
        </is>
      </c>
    </row>
    <row r="167">
      <c r="A167" s="14" t="n">
        <v>45831</v>
      </c>
      <c r="B167" s="4" t="inlineStr">
        <is>
          <t>SO202510201</t>
        </is>
      </c>
      <c r="C167" s="4" t="inlineStr">
        <is>
          <t>南京淼沃商贸有限公司</t>
        </is>
      </c>
      <c r="D167" s="4" t="inlineStr">
        <is>
          <t>预制菜</t>
        </is>
      </c>
      <c r="E167" s="4" t="inlineStr">
        <is>
          <t>精装</t>
        </is>
      </c>
      <c r="F167" s="18" t="n">
        <v>1520</v>
      </c>
      <c r="G167" s="15" t="n">
        <v>30.87</v>
      </c>
      <c r="H167" s="15" t="n">
        <v>46922.4</v>
      </c>
      <c r="I167" s="4" t="inlineStr">
        <is>
          <t>浙江分部</t>
        </is>
      </c>
      <c r="J167" s="4" t="inlineStr">
        <is>
          <t>何明芳</t>
        </is>
      </c>
    </row>
    <row r="168">
      <c r="A168" s="14" t="n">
        <v>45831</v>
      </c>
      <c r="B168" s="4" t="inlineStr">
        <is>
          <t>SO202510233</t>
        </is>
      </c>
      <c r="C168" s="4" t="inlineStr">
        <is>
          <t>南昌优鲜供应链有限公司</t>
        </is>
      </c>
      <c r="D168" s="4" t="inlineStr">
        <is>
          <t>预制菜</t>
        </is>
      </c>
      <c r="E168" s="4" t="inlineStr">
        <is>
          <t>10kg</t>
        </is>
      </c>
      <c r="F168" s="18" t="n">
        <v>3380</v>
      </c>
      <c r="G168" s="15" t="n">
        <v>55.69</v>
      </c>
      <c r="H168" s="15" t="n">
        <v>188232.2</v>
      </c>
      <c r="I168" s="4" t="inlineStr">
        <is>
          <t>江苏分部</t>
        </is>
      </c>
      <c r="J168" s="4" t="inlineStr">
        <is>
          <t>高秀伟</t>
        </is>
      </c>
    </row>
    <row r="169">
      <c r="A169" s="14" t="n">
        <v>45831</v>
      </c>
      <c r="B169" s="4" t="inlineStr">
        <is>
          <t>SO202510246</t>
        </is>
      </c>
      <c r="C169" s="4" t="inlineStr">
        <is>
          <t>杭州百味食品有限公司</t>
        </is>
      </c>
      <c r="D169" s="4" t="inlineStr">
        <is>
          <t>预制菜</t>
        </is>
      </c>
      <c r="E169" s="4" t="inlineStr">
        <is>
          <t>A级</t>
        </is>
      </c>
      <c r="F169" s="18" t="n">
        <v>3350</v>
      </c>
      <c r="G169" s="15" t="n">
        <v>141.82</v>
      </c>
      <c r="H169" s="15" t="n">
        <v>475097</v>
      </c>
      <c r="I169" s="4" t="inlineStr">
        <is>
          <t>浙江分部</t>
        </is>
      </c>
      <c r="J169" s="4" t="inlineStr">
        <is>
          <t>杨秀秀</t>
        </is>
      </c>
    </row>
    <row r="170">
      <c r="A170" s="14" t="n">
        <v>45832</v>
      </c>
      <c r="B170" s="4" t="inlineStr">
        <is>
          <t>SO202510107</t>
        </is>
      </c>
      <c r="C170" s="4" t="inlineStr">
        <is>
          <t>宁波食佳商贸有限公司</t>
        </is>
      </c>
      <c r="D170" s="4" t="inlineStr">
        <is>
          <t>团餐</t>
        </is>
      </c>
      <c r="E170" s="4" t="inlineStr">
        <is>
          <t>A级</t>
        </is>
      </c>
      <c r="F170" s="18" t="n">
        <v>490</v>
      </c>
      <c r="G170" s="15" t="n">
        <v>150.77</v>
      </c>
      <c r="H170" s="15" t="n">
        <v>73877.3</v>
      </c>
      <c r="I170" s="4" t="inlineStr">
        <is>
          <t>浙江分部</t>
        </is>
      </c>
      <c r="J170" s="4" t="inlineStr">
        <is>
          <t>朱敏英</t>
        </is>
      </c>
    </row>
    <row r="171">
      <c r="A171" s="14" t="n">
        <v>45833</v>
      </c>
      <c r="B171" s="4" t="inlineStr">
        <is>
          <t>SO202510119</t>
        </is>
      </c>
      <c r="C171" s="4" t="inlineStr">
        <is>
          <t>合肥食佳食品有限公司</t>
        </is>
      </c>
      <c r="D171" s="4" t="inlineStr">
        <is>
          <t>预制菜</t>
        </is>
      </c>
      <c r="E171" s="4" t="inlineStr">
        <is>
          <t>2.5kg</t>
        </is>
      </c>
      <c r="F171" s="18" t="n">
        <v>3500</v>
      </c>
      <c r="G171" s="15" t="n">
        <v>37.94</v>
      </c>
      <c r="H171" s="15" t="n">
        <v>132790</v>
      </c>
      <c r="I171" s="4" t="inlineStr">
        <is>
          <t>赣皖区域</t>
        </is>
      </c>
      <c r="J171" s="4" t="inlineStr">
        <is>
          <t>高勇英</t>
        </is>
      </c>
    </row>
    <row r="172">
      <c r="A172" s="14" t="n">
        <v>45833</v>
      </c>
      <c r="B172" s="4" t="inlineStr">
        <is>
          <t>SO202510329</t>
        </is>
      </c>
      <c r="C172" s="4" t="inlineStr">
        <is>
          <t>宁波百味餐饮管理有限公司</t>
        </is>
      </c>
      <c r="D172" s="4" t="inlineStr">
        <is>
          <t>调味汁</t>
        </is>
      </c>
      <c r="E172" s="4" t="inlineStr">
        <is>
          <t>500g</t>
        </is>
      </c>
      <c r="F172" s="18" t="n">
        <v>4180</v>
      </c>
      <c r="G172" s="15" t="n">
        <v>79.73</v>
      </c>
      <c r="H172" s="15" t="n">
        <v>333271.4</v>
      </c>
      <c r="I172" s="4" t="inlineStr">
        <is>
          <t>浙江分部</t>
        </is>
      </c>
      <c r="J172" s="4" t="inlineStr">
        <is>
          <t>高磊娜</t>
        </is>
      </c>
    </row>
    <row r="173">
      <c r="A173" s="14" t="n">
        <v>45835</v>
      </c>
      <c r="B173" s="4" t="inlineStr">
        <is>
          <t>SO202510222</t>
        </is>
      </c>
      <c r="C173" s="4" t="inlineStr">
        <is>
          <t>杭州百味超市</t>
        </is>
      </c>
      <c r="D173" s="4" t="inlineStr">
        <is>
          <t>酱料</t>
        </is>
      </c>
      <c r="E173" s="4" t="inlineStr">
        <is>
          <t>5kg</t>
        </is>
      </c>
      <c r="F173" s="18" t="n">
        <v>1060</v>
      </c>
      <c r="G173" s="15" t="n">
        <v>141.18</v>
      </c>
      <c r="H173" s="15" t="n">
        <v>149650.8</v>
      </c>
      <c r="I173" s="4" t="inlineStr">
        <is>
          <t>赣皖区域</t>
        </is>
      </c>
      <c r="J173" s="4" t="inlineStr">
        <is>
          <t>胡伟芳</t>
        </is>
      </c>
    </row>
    <row r="174">
      <c r="A174" s="14" t="n">
        <v>45839</v>
      </c>
      <c r="B174" s="4" t="inlineStr">
        <is>
          <t>SO202510047</t>
        </is>
      </c>
      <c r="C174" s="4" t="inlineStr">
        <is>
          <t>南京百味电商平台</t>
        </is>
      </c>
      <c r="D174" s="4" t="inlineStr">
        <is>
          <t>复合调味粉</t>
        </is>
      </c>
      <c r="E174" s="4" t="inlineStr">
        <is>
          <t>5kg</t>
        </is>
      </c>
      <c r="F174" s="18" t="n">
        <v>3820</v>
      </c>
      <c r="G174" s="15" t="n">
        <v>87.91</v>
      </c>
      <c r="H174" s="15" t="n">
        <v>335816.2</v>
      </c>
      <c r="I174" s="4" t="inlineStr">
        <is>
          <t>赣皖区域</t>
        </is>
      </c>
      <c r="J174" s="4" t="inlineStr">
        <is>
          <t>胡秀娜</t>
        </is>
      </c>
    </row>
    <row r="175">
      <c r="A175" s="14" t="n">
        <v>45839</v>
      </c>
      <c r="B175" s="4" t="inlineStr">
        <is>
          <t>SO202510052</t>
        </is>
      </c>
      <c r="C175" s="4" t="inlineStr">
        <is>
          <t>南昌大匠超市</t>
        </is>
      </c>
      <c r="D175" s="4" t="inlineStr">
        <is>
          <t>酱料</t>
        </is>
      </c>
      <c r="E175" s="4" t="inlineStr">
        <is>
          <t>精装</t>
        </is>
      </c>
      <c r="F175" s="18" t="n">
        <v>860</v>
      </c>
      <c r="G175" s="15" t="n">
        <v>132.29</v>
      </c>
      <c r="H175" s="15" t="n">
        <v>113769.4</v>
      </c>
      <c r="I175" s="4" t="inlineStr">
        <is>
          <t>赣皖区域</t>
        </is>
      </c>
      <c r="J175" s="4" t="inlineStr">
        <is>
          <t>李超伟</t>
        </is>
      </c>
    </row>
    <row r="176">
      <c r="A176" s="14" t="n">
        <v>45841</v>
      </c>
      <c r="B176" s="4" t="inlineStr">
        <is>
          <t>SO202510038</t>
        </is>
      </c>
      <c r="C176" s="4" t="inlineStr">
        <is>
          <t>常州食佳超市</t>
        </is>
      </c>
      <c r="D176" s="4" t="inlineStr">
        <is>
          <t>川味底料</t>
        </is>
      </c>
      <c r="E176" s="4" t="inlineStr">
        <is>
          <t>C级</t>
        </is>
      </c>
      <c r="F176" s="18" t="n">
        <v>720</v>
      </c>
      <c r="G176" s="15" t="n">
        <v>146.04</v>
      </c>
      <c r="H176" s="15" t="n">
        <v>105148.8</v>
      </c>
      <c r="I176" s="4" t="inlineStr">
        <is>
          <t>江苏分部</t>
        </is>
      </c>
      <c r="J176" s="4" t="inlineStr">
        <is>
          <t>吴磊娜</t>
        </is>
      </c>
    </row>
    <row r="177">
      <c r="A177" s="14" t="n">
        <v>45841</v>
      </c>
      <c r="B177" s="4" t="inlineStr">
        <is>
          <t>SO202510160</t>
        </is>
      </c>
      <c r="C177" s="4" t="inlineStr">
        <is>
          <t>温州百味供应链有限公司</t>
        </is>
      </c>
      <c r="D177" s="4" t="inlineStr">
        <is>
          <t>酱料</t>
        </is>
      </c>
      <c r="E177" s="4" t="inlineStr">
        <is>
          <t>C级</t>
        </is>
      </c>
      <c r="F177" s="18" t="n">
        <v>4640</v>
      </c>
      <c r="G177" s="15" t="n">
        <v>187.34</v>
      </c>
      <c r="H177" s="15" t="n">
        <v>869257.6</v>
      </c>
      <c r="I177" s="4" t="inlineStr">
        <is>
          <t>赣皖区域</t>
        </is>
      </c>
      <c r="J177" s="4" t="inlineStr">
        <is>
          <t>陈超娜</t>
        </is>
      </c>
    </row>
    <row r="178">
      <c r="A178" s="14" t="n">
        <v>45841</v>
      </c>
      <c r="B178" s="4" t="inlineStr">
        <is>
          <t>SO202510339</t>
        </is>
      </c>
      <c r="C178" s="4" t="inlineStr">
        <is>
          <t>上海大匠食品有限公司</t>
        </is>
      </c>
      <c r="D178" s="4" t="inlineStr">
        <is>
          <t>酱料</t>
        </is>
      </c>
      <c r="E178" s="4" t="inlineStr">
        <is>
          <t>精装</t>
        </is>
      </c>
      <c r="F178" s="18" t="n">
        <v>910</v>
      </c>
      <c r="G178" s="15" t="n">
        <v>41.37</v>
      </c>
      <c r="H178" s="15" t="n">
        <v>37646.7</v>
      </c>
      <c r="I178" s="4" t="inlineStr">
        <is>
          <t>上海分部</t>
        </is>
      </c>
      <c r="J178" s="4" t="inlineStr">
        <is>
          <t>高艳敏</t>
        </is>
      </c>
    </row>
    <row r="179">
      <c r="A179" s="14" t="n">
        <v>45842</v>
      </c>
      <c r="B179" s="4" t="inlineStr">
        <is>
          <t>SO202510133</t>
        </is>
      </c>
      <c r="C179" s="4" t="inlineStr">
        <is>
          <t>上海京功酒店管理集团</t>
        </is>
      </c>
      <c r="D179" s="4" t="inlineStr">
        <is>
          <t>团餐</t>
        </is>
      </c>
      <c r="E179" s="4" t="inlineStr">
        <is>
          <t>1kg</t>
        </is>
      </c>
      <c r="F179" s="18" t="n">
        <v>3270</v>
      </c>
      <c r="G179" s="15" t="n">
        <v>259.02</v>
      </c>
      <c r="H179" s="15" t="n">
        <v>846995.4</v>
      </c>
      <c r="I179" s="4" t="inlineStr">
        <is>
          <t>浙江分部</t>
        </is>
      </c>
      <c r="J179" s="4" t="inlineStr">
        <is>
          <t>张涛英</t>
        </is>
      </c>
    </row>
    <row r="180">
      <c r="A180" s="14" t="n">
        <v>45844</v>
      </c>
      <c r="B180" s="4" t="inlineStr">
        <is>
          <t>SO202510101</t>
        </is>
      </c>
      <c r="C180" s="4" t="inlineStr">
        <is>
          <t>杭州京功餐饮管理有限公司</t>
        </is>
      </c>
      <c r="D180" s="4" t="inlineStr">
        <is>
          <t>酱料</t>
        </is>
      </c>
      <c r="E180" s="4" t="inlineStr">
        <is>
          <t>特级</t>
        </is>
      </c>
      <c r="F180" s="18" t="n">
        <v>3540</v>
      </c>
      <c r="G180" s="15" t="n">
        <v>21.44</v>
      </c>
      <c r="H180" s="15" t="n">
        <v>75897.60000000001</v>
      </c>
      <c r="I180" s="4" t="inlineStr">
        <is>
          <t>上海分部</t>
        </is>
      </c>
      <c r="J180" s="4" t="inlineStr">
        <is>
          <t>胡英芳</t>
        </is>
      </c>
    </row>
    <row r="181">
      <c r="A181" s="14" t="n">
        <v>45844</v>
      </c>
      <c r="B181" s="4" t="inlineStr">
        <is>
          <t>SO202510299</t>
        </is>
      </c>
      <c r="C181" s="4" t="inlineStr">
        <is>
          <t>杭州大匠食品有限公司</t>
        </is>
      </c>
      <c r="D181" s="4" t="inlineStr">
        <is>
          <t>调味汁</t>
        </is>
      </c>
      <c r="E181" s="4" t="inlineStr">
        <is>
          <t>标准</t>
        </is>
      </c>
      <c r="F181" s="18" t="n">
        <v>3140</v>
      </c>
      <c r="G181" s="15" t="n">
        <v>297.57</v>
      </c>
      <c r="H181" s="15" t="n">
        <v>934369.8</v>
      </c>
      <c r="I181" s="4" t="inlineStr">
        <is>
          <t>上海分部</t>
        </is>
      </c>
      <c r="J181" s="4" t="inlineStr">
        <is>
          <t>陈艳敏</t>
        </is>
      </c>
    </row>
    <row r="182">
      <c r="A182" s="14" t="n">
        <v>45845</v>
      </c>
      <c r="B182" s="4" t="inlineStr">
        <is>
          <t>SO202510030</t>
        </is>
      </c>
      <c r="C182" s="4" t="inlineStr">
        <is>
          <t>宁波食佳商贸有限公司</t>
        </is>
      </c>
      <c r="D182" s="4" t="inlineStr">
        <is>
          <t>中式汤底</t>
        </is>
      </c>
      <c r="E182" s="4" t="inlineStr">
        <is>
          <t>A级</t>
        </is>
      </c>
      <c r="F182" s="18" t="n">
        <v>1040</v>
      </c>
      <c r="G182" s="15" t="n">
        <v>241.01</v>
      </c>
      <c r="H182" s="15" t="n">
        <v>250650.4</v>
      </c>
      <c r="I182" s="4" t="inlineStr">
        <is>
          <t>江苏分部</t>
        </is>
      </c>
      <c r="J182" s="4" t="inlineStr">
        <is>
          <t>黄芳伟</t>
        </is>
      </c>
    </row>
    <row r="183">
      <c r="A183" s="14" t="n">
        <v>45846</v>
      </c>
      <c r="B183" s="4" t="inlineStr">
        <is>
          <t>SO202510053</t>
        </is>
      </c>
      <c r="C183" s="4" t="inlineStr">
        <is>
          <t>苏州食佳食品有限公司</t>
        </is>
      </c>
      <c r="D183" s="4" t="inlineStr">
        <is>
          <t>中式汤底</t>
        </is>
      </c>
      <c r="E183" s="4" t="inlineStr">
        <is>
          <t>精装</t>
        </is>
      </c>
      <c r="F183" s="18" t="n">
        <v>3510</v>
      </c>
      <c r="G183" s="15" t="n">
        <v>252.18</v>
      </c>
      <c r="H183" s="15" t="n">
        <v>885151.8</v>
      </c>
      <c r="I183" s="4" t="inlineStr">
        <is>
          <t>上海分部</t>
        </is>
      </c>
      <c r="J183" s="4" t="inlineStr">
        <is>
          <t>罗艳敏</t>
        </is>
      </c>
    </row>
    <row r="184">
      <c r="A184" s="14" t="n">
        <v>45847</v>
      </c>
      <c r="B184" s="4" t="inlineStr">
        <is>
          <t>SO202510106</t>
        </is>
      </c>
      <c r="C184" s="4" t="inlineStr">
        <is>
          <t>嘉兴优鲜供应链有限公司</t>
        </is>
      </c>
      <c r="D184" s="4" t="inlineStr">
        <is>
          <t>复合调味粉</t>
        </is>
      </c>
      <c r="E184" s="4" t="inlineStr">
        <is>
          <t>A级</t>
        </is>
      </c>
      <c r="F184" s="18" t="n">
        <v>2380</v>
      </c>
      <c r="G184" s="15" t="n">
        <v>8.75</v>
      </c>
      <c r="H184" s="15" t="n">
        <v>20825</v>
      </c>
      <c r="I184" s="4" t="inlineStr">
        <is>
          <t>江苏分部</t>
        </is>
      </c>
      <c r="J184" s="4" t="inlineStr">
        <is>
          <t>吴洋英</t>
        </is>
      </c>
    </row>
    <row r="185">
      <c r="A185" s="14" t="n">
        <v>45848</v>
      </c>
      <c r="B185" s="4" t="inlineStr">
        <is>
          <t>SO202510002</t>
        </is>
      </c>
      <c r="C185" s="4" t="inlineStr">
        <is>
          <t>宁波百味电商平台</t>
        </is>
      </c>
      <c r="D185" s="4" t="inlineStr">
        <is>
          <t>中式汤底</t>
        </is>
      </c>
      <c r="E185" s="4" t="inlineStr">
        <is>
          <t>2.5kg</t>
        </is>
      </c>
      <c r="F185" s="18" t="n">
        <v>4330</v>
      </c>
      <c r="G185" s="15" t="n">
        <v>59.77</v>
      </c>
      <c r="H185" s="15" t="n">
        <v>258804.1</v>
      </c>
      <c r="I185" s="4" t="inlineStr">
        <is>
          <t>上海分部</t>
        </is>
      </c>
      <c r="J185" s="4" t="inlineStr">
        <is>
          <t>周伟敏</t>
        </is>
      </c>
    </row>
    <row r="186">
      <c r="A186" s="14" t="n">
        <v>45848</v>
      </c>
      <c r="B186" s="4" t="inlineStr">
        <is>
          <t>SO202510023</t>
        </is>
      </c>
      <c r="C186" s="4" t="inlineStr">
        <is>
          <t>嘉兴优鲜供应链有限公司</t>
        </is>
      </c>
      <c r="D186" s="4" t="inlineStr">
        <is>
          <t>川味底料</t>
        </is>
      </c>
      <c r="E186" s="4" t="inlineStr">
        <is>
          <t>特级</t>
        </is>
      </c>
      <c r="F186" s="18" t="n">
        <v>2210</v>
      </c>
      <c r="G186" s="15" t="n">
        <v>20.79</v>
      </c>
      <c r="H186" s="15" t="n">
        <v>45945.9</v>
      </c>
      <c r="I186" s="4" t="inlineStr">
        <is>
          <t>江苏分部</t>
        </is>
      </c>
      <c r="J186" s="4" t="inlineStr">
        <is>
          <t>马静娜</t>
        </is>
      </c>
    </row>
    <row r="187">
      <c r="A187" s="14" t="n">
        <v>45848</v>
      </c>
      <c r="B187" s="4" t="inlineStr">
        <is>
          <t>SO202510069</t>
        </is>
      </c>
      <c r="C187" s="4" t="inlineStr">
        <is>
          <t>温州食佳酒店管理集团</t>
        </is>
      </c>
      <c r="D187" s="4" t="inlineStr">
        <is>
          <t>调味汁</t>
        </is>
      </c>
      <c r="E187" s="4" t="inlineStr">
        <is>
          <t>标准</t>
        </is>
      </c>
      <c r="F187" s="18" t="n">
        <v>1070</v>
      </c>
      <c r="G187" s="15" t="n">
        <v>247.24</v>
      </c>
      <c r="H187" s="15" t="n">
        <v>264546.8</v>
      </c>
      <c r="I187" s="4" t="inlineStr">
        <is>
          <t>上海分部</t>
        </is>
      </c>
      <c r="J187" s="4" t="inlineStr">
        <is>
          <t>胡伟伟</t>
        </is>
      </c>
    </row>
    <row r="188">
      <c r="A188" s="14" t="n">
        <v>45849</v>
      </c>
      <c r="B188" s="4" t="inlineStr">
        <is>
          <t>SO202510025</t>
        </is>
      </c>
      <c r="C188" s="4" t="inlineStr">
        <is>
          <t>南昌百味酒店管理集团</t>
        </is>
      </c>
      <c r="D188" s="4" t="inlineStr">
        <is>
          <t>预制菜</t>
        </is>
      </c>
      <c r="E188" s="4" t="inlineStr">
        <is>
          <t>5kg</t>
        </is>
      </c>
      <c r="F188" s="18" t="n">
        <v>4050</v>
      </c>
      <c r="G188" s="15" t="n">
        <v>70.06999999999999</v>
      </c>
      <c r="H188" s="15" t="n">
        <v>283783.5</v>
      </c>
      <c r="I188" s="4" t="inlineStr">
        <is>
          <t>浙江分部</t>
        </is>
      </c>
      <c r="J188" s="4" t="inlineStr">
        <is>
          <t>林丽伟</t>
        </is>
      </c>
    </row>
    <row r="189">
      <c r="A189" s="14" t="n">
        <v>45851</v>
      </c>
      <c r="B189" s="4" t="inlineStr">
        <is>
          <t>SO202510022</t>
        </is>
      </c>
      <c r="C189" s="4" t="inlineStr">
        <is>
          <t>南昌京功超市</t>
        </is>
      </c>
      <c r="D189" s="4" t="inlineStr">
        <is>
          <t>复合调味粉</t>
        </is>
      </c>
      <c r="E189" s="4" t="inlineStr">
        <is>
          <t>B级</t>
        </is>
      </c>
      <c r="F189" s="18" t="n">
        <v>2640</v>
      </c>
      <c r="G189" s="15" t="n">
        <v>219.04</v>
      </c>
      <c r="H189" s="15" t="n">
        <v>578265.6</v>
      </c>
      <c r="I189" s="4" t="inlineStr">
        <is>
          <t>江苏分部</t>
        </is>
      </c>
      <c r="J189" s="4" t="inlineStr">
        <is>
          <t>何洋秀</t>
        </is>
      </c>
    </row>
    <row r="190">
      <c r="A190" s="14" t="n">
        <v>45852</v>
      </c>
      <c r="B190" s="4" t="inlineStr">
        <is>
          <t>SO202510258</t>
        </is>
      </c>
      <c r="C190" s="4" t="inlineStr">
        <is>
          <t>镇江淼沃餐饮管理有限公司</t>
        </is>
      </c>
      <c r="D190" s="4" t="inlineStr">
        <is>
          <t>预制菜</t>
        </is>
      </c>
      <c r="E190" s="4" t="inlineStr">
        <is>
          <t>特级</t>
        </is>
      </c>
      <c r="F190" s="18" t="n">
        <v>1410</v>
      </c>
      <c r="G190" s="15" t="n">
        <v>158.8</v>
      </c>
      <c r="H190" s="15" t="n">
        <v>223908</v>
      </c>
      <c r="I190" s="4" t="inlineStr">
        <is>
          <t>赣皖区域</t>
        </is>
      </c>
      <c r="J190" s="4" t="inlineStr">
        <is>
          <t>周秀秀</t>
        </is>
      </c>
    </row>
    <row r="191">
      <c r="A191" s="14" t="n">
        <v>45854</v>
      </c>
      <c r="B191" s="4" t="inlineStr">
        <is>
          <t>SO202510256</t>
        </is>
      </c>
      <c r="C191" s="4" t="inlineStr">
        <is>
          <t>温州百味酒店管理集团</t>
        </is>
      </c>
      <c r="D191" s="4" t="inlineStr">
        <is>
          <t>复合调味粉</t>
        </is>
      </c>
      <c r="E191" s="4" t="inlineStr">
        <is>
          <t>5kg</t>
        </is>
      </c>
      <c r="F191" s="18" t="n">
        <v>2880</v>
      </c>
      <c r="G191" s="15" t="n">
        <v>273.35</v>
      </c>
      <c r="H191" s="15" t="n">
        <v>787248</v>
      </c>
      <c r="I191" s="4" t="inlineStr">
        <is>
          <t>浙江分部</t>
        </is>
      </c>
      <c r="J191" s="4" t="inlineStr">
        <is>
          <t>杨艳英</t>
        </is>
      </c>
    </row>
    <row r="192">
      <c r="A192" s="14" t="n">
        <v>45855</v>
      </c>
      <c r="B192" s="4" t="inlineStr">
        <is>
          <t>SO202510016</t>
        </is>
      </c>
      <c r="C192" s="4" t="inlineStr">
        <is>
          <t>上海食佳食品有限公司</t>
        </is>
      </c>
      <c r="D192" s="4" t="inlineStr">
        <is>
          <t>调味汁</t>
        </is>
      </c>
      <c r="E192" s="4" t="inlineStr">
        <is>
          <t>A级</t>
        </is>
      </c>
      <c r="F192" s="18" t="n">
        <v>3630</v>
      </c>
      <c r="G192" s="15" t="n">
        <v>164.18</v>
      </c>
      <c r="H192" s="15" t="n">
        <v>595973.4</v>
      </c>
      <c r="I192" s="4" t="inlineStr">
        <is>
          <t>上海分部</t>
        </is>
      </c>
      <c r="J192" s="4" t="inlineStr">
        <is>
          <t>孙杰英</t>
        </is>
      </c>
    </row>
    <row r="193">
      <c r="A193" s="14" t="n">
        <v>45856</v>
      </c>
      <c r="B193" s="4" t="inlineStr">
        <is>
          <t>SO202510044</t>
        </is>
      </c>
      <c r="C193" s="4" t="inlineStr">
        <is>
          <t>宁波京功食品有限公司</t>
        </is>
      </c>
      <c r="D193" s="4" t="inlineStr">
        <is>
          <t>复合调味粉</t>
        </is>
      </c>
      <c r="E193" s="4" t="inlineStr">
        <is>
          <t>标准</t>
        </is>
      </c>
      <c r="F193" s="18" t="n">
        <v>3430</v>
      </c>
      <c r="G193" s="15" t="n">
        <v>234.79</v>
      </c>
      <c r="H193" s="15" t="n">
        <v>805329.7</v>
      </c>
      <c r="I193" s="4" t="inlineStr">
        <is>
          <t>江苏分部</t>
        </is>
      </c>
      <c r="J193" s="4" t="inlineStr">
        <is>
          <t>黄强伟</t>
        </is>
      </c>
    </row>
    <row r="194">
      <c r="A194" s="14" t="n">
        <v>45856</v>
      </c>
      <c r="B194" s="4" t="inlineStr">
        <is>
          <t>SO202510143</t>
        </is>
      </c>
      <c r="C194" s="4" t="inlineStr">
        <is>
          <t>南京优鲜超市</t>
        </is>
      </c>
      <c r="D194" s="4" t="inlineStr">
        <is>
          <t>团餐</t>
        </is>
      </c>
      <c r="E194" s="4" t="inlineStr">
        <is>
          <t>2.5kg</t>
        </is>
      </c>
      <c r="F194" s="18" t="n">
        <v>1810</v>
      </c>
      <c r="G194" s="15" t="n">
        <v>80.14</v>
      </c>
      <c r="H194" s="15" t="n">
        <v>145053.4</v>
      </c>
      <c r="I194" s="4" t="inlineStr">
        <is>
          <t>上海分部</t>
        </is>
      </c>
      <c r="J194" s="4" t="inlineStr">
        <is>
          <t>孙洋娜</t>
        </is>
      </c>
    </row>
    <row r="195">
      <c r="A195" s="14" t="n">
        <v>45856</v>
      </c>
      <c r="B195" s="4" t="inlineStr">
        <is>
          <t>SO202510177</t>
        </is>
      </c>
      <c r="C195" s="4" t="inlineStr">
        <is>
          <t>合肥京功电商平台</t>
        </is>
      </c>
      <c r="D195" s="4" t="inlineStr">
        <is>
          <t>中式汤底</t>
        </is>
      </c>
      <c r="E195" s="4" t="inlineStr">
        <is>
          <t>500g</t>
        </is>
      </c>
      <c r="F195" s="18" t="n">
        <v>3810</v>
      </c>
      <c r="G195" s="15" t="n">
        <v>205.25</v>
      </c>
      <c r="H195" s="15" t="n">
        <v>782002.5</v>
      </c>
      <c r="I195" s="4" t="inlineStr">
        <is>
          <t>江苏分部</t>
        </is>
      </c>
      <c r="J195" s="4" t="inlineStr">
        <is>
          <t>郭洋娜</t>
        </is>
      </c>
    </row>
    <row r="196">
      <c r="A196" s="14" t="n">
        <v>45857</v>
      </c>
      <c r="B196" s="4" t="inlineStr">
        <is>
          <t>SO202510134</t>
        </is>
      </c>
      <c r="C196" s="4" t="inlineStr">
        <is>
          <t>镇江食佳酒店管理集团</t>
        </is>
      </c>
      <c r="D196" s="4" t="inlineStr">
        <is>
          <t>酱料</t>
        </is>
      </c>
      <c r="E196" s="4" t="inlineStr">
        <is>
          <t>特级</t>
        </is>
      </c>
      <c r="F196" s="18" t="n">
        <v>770</v>
      </c>
      <c r="G196" s="15" t="n">
        <v>63.29</v>
      </c>
      <c r="H196" s="15" t="n">
        <v>48733.3</v>
      </c>
      <c r="I196" s="4" t="inlineStr">
        <is>
          <t>浙江分部</t>
        </is>
      </c>
      <c r="J196" s="4" t="inlineStr">
        <is>
          <t>徐磊伟</t>
        </is>
      </c>
    </row>
    <row r="197">
      <c r="A197" s="14" t="n">
        <v>45857</v>
      </c>
      <c r="B197" s="4" t="inlineStr">
        <is>
          <t>SO202510135</t>
        </is>
      </c>
      <c r="C197" s="4" t="inlineStr">
        <is>
          <t>温州淼沃超市</t>
        </is>
      </c>
      <c r="D197" s="4" t="inlineStr">
        <is>
          <t>复合调味粉</t>
        </is>
      </c>
      <c r="E197" s="4" t="inlineStr">
        <is>
          <t>B级</t>
        </is>
      </c>
      <c r="F197" s="18" t="n">
        <v>3100</v>
      </c>
      <c r="G197" s="15" t="n">
        <v>106.97</v>
      </c>
      <c r="H197" s="15" t="n">
        <v>331607</v>
      </c>
      <c r="I197" s="4" t="inlineStr">
        <is>
          <t>浙江分部</t>
        </is>
      </c>
      <c r="J197" s="4" t="inlineStr">
        <is>
          <t>王敏芳</t>
        </is>
      </c>
    </row>
    <row r="198">
      <c r="A198" s="14" t="n">
        <v>45859</v>
      </c>
      <c r="B198" s="4" t="inlineStr">
        <is>
          <t>SO202510148</t>
        </is>
      </c>
      <c r="C198" s="4" t="inlineStr">
        <is>
          <t>苏州淼沃超市</t>
        </is>
      </c>
      <c r="D198" s="4" t="inlineStr">
        <is>
          <t>调味汁</t>
        </is>
      </c>
      <c r="E198" s="4" t="inlineStr">
        <is>
          <t>A级</t>
        </is>
      </c>
      <c r="F198" s="18" t="n">
        <v>130</v>
      </c>
      <c r="G198" s="15" t="n">
        <v>275.92</v>
      </c>
      <c r="H198" s="15" t="n">
        <v>35869.6</v>
      </c>
      <c r="I198" s="4" t="inlineStr">
        <is>
          <t>浙江分部</t>
        </is>
      </c>
      <c r="J198" s="4" t="inlineStr">
        <is>
          <t>赵敏伟</t>
        </is>
      </c>
    </row>
    <row r="199">
      <c r="A199" s="14" t="n">
        <v>45861</v>
      </c>
      <c r="B199" s="4" t="inlineStr">
        <is>
          <t>SO202510104</t>
        </is>
      </c>
      <c r="C199" s="4" t="inlineStr">
        <is>
          <t>合肥百味供应链有限公司</t>
        </is>
      </c>
      <c r="D199" s="4" t="inlineStr">
        <is>
          <t>调味汁</t>
        </is>
      </c>
      <c r="E199" s="4" t="inlineStr">
        <is>
          <t>5kg</t>
        </is>
      </c>
      <c r="F199" s="18" t="n">
        <v>1140</v>
      </c>
      <c r="G199" s="15" t="n">
        <v>43.76</v>
      </c>
      <c r="H199" s="15" t="n">
        <v>49886.4</v>
      </c>
      <c r="I199" s="4" t="inlineStr">
        <is>
          <t>上海分部</t>
        </is>
      </c>
      <c r="J199" s="4" t="inlineStr">
        <is>
          <t>何涛敏</t>
        </is>
      </c>
    </row>
    <row r="200">
      <c r="A200" s="14" t="n">
        <v>45862</v>
      </c>
      <c r="B200" s="4" t="inlineStr">
        <is>
          <t>SO202510089</t>
        </is>
      </c>
      <c r="C200" s="4" t="inlineStr">
        <is>
          <t>上海优鲜供应链有限公司</t>
        </is>
      </c>
      <c r="D200" s="4" t="inlineStr">
        <is>
          <t>中式汤底</t>
        </is>
      </c>
      <c r="E200" s="4" t="inlineStr">
        <is>
          <t>C级</t>
        </is>
      </c>
      <c r="F200" s="18" t="n">
        <v>1110</v>
      </c>
      <c r="G200" s="15" t="n">
        <v>50.13</v>
      </c>
      <c r="H200" s="15" t="n">
        <v>55644.3</v>
      </c>
      <c r="I200" s="4" t="inlineStr">
        <is>
          <t>上海分部</t>
        </is>
      </c>
      <c r="J200" s="4" t="inlineStr">
        <is>
          <t>李超伟</t>
        </is>
      </c>
    </row>
    <row r="201">
      <c r="A201" s="14" t="n">
        <v>45864</v>
      </c>
      <c r="B201" s="4" t="inlineStr">
        <is>
          <t>SO202510054</t>
        </is>
      </c>
      <c r="C201" s="4" t="inlineStr">
        <is>
          <t>合肥百味食品有限公司</t>
        </is>
      </c>
      <c r="D201" s="4" t="inlineStr">
        <is>
          <t>中式汤底</t>
        </is>
      </c>
      <c r="E201" s="4" t="inlineStr">
        <is>
          <t>标准</t>
        </is>
      </c>
      <c r="F201" s="18" t="n">
        <v>850</v>
      </c>
      <c r="G201" s="15" t="n">
        <v>101.72</v>
      </c>
      <c r="H201" s="15" t="n">
        <v>86462</v>
      </c>
      <c r="I201" s="4" t="inlineStr">
        <is>
          <t>赣皖区域</t>
        </is>
      </c>
      <c r="J201" s="4" t="inlineStr">
        <is>
          <t>吴伟伟</t>
        </is>
      </c>
    </row>
    <row r="202">
      <c r="A202" s="14" t="n">
        <v>45864</v>
      </c>
      <c r="B202" s="4" t="inlineStr">
        <is>
          <t>SO202510138</t>
        </is>
      </c>
      <c r="C202" s="4" t="inlineStr">
        <is>
          <t>常州淼沃商贸有限公司</t>
        </is>
      </c>
      <c r="D202" s="4" t="inlineStr">
        <is>
          <t>复合调味粉</t>
        </is>
      </c>
      <c r="E202" s="4" t="inlineStr">
        <is>
          <t>精装</t>
        </is>
      </c>
      <c r="F202" s="18" t="n">
        <v>1690</v>
      </c>
      <c r="G202" s="15" t="n">
        <v>266.72</v>
      </c>
      <c r="H202" s="15" t="n">
        <v>450756.8</v>
      </c>
      <c r="I202" s="4" t="inlineStr">
        <is>
          <t>赣皖区域</t>
        </is>
      </c>
      <c r="J202" s="4" t="inlineStr">
        <is>
          <t>孙洋娜</t>
        </is>
      </c>
    </row>
    <row r="203">
      <c r="A203" s="14" t="n">
        <v>45864</v>
      </c>
      <c r="B203" s="4" t="inlineStr">
        <is>
          <t>SO202510271</t>
        </is>
      </c>
      <c r="C203" s="4" t="inlineStr">
        <is>
          <t>南京优鲜商贸有限公司</t>
        </is>
      </c>
      <c r="D203" s="4" t="inlineStr">
        <is>
          <t>团餐</t>
        </is>
      </c>
      <c r="E203" s="4" t="inlineStr">
        <is>
          <t>标准</t>
        </is>
      </c>
      <c r="F203" s="18" t="n">
        <v>4050</v>
      </c>
      <c r="G203" s="15" t="n">
        <v>83.44</v>
      </c>
      <c r="H203" s="15" t="n">
        <v>337932</v>
      </c>
      <c r="I203" s="4" t="inlineStr">
        <is>
          <t>浙江分部</t>
        </is>
      </c>
      <c r="J203" s="4" t="inlineStr">
        <is>
          <t>郭强英</t>
        </is>
      </c>
    </row>
    <row r="204">
      <c r="A204" s="14" t="n">
        <v>45866</v>
      </c>
      <c r="B204" s="4" t="inlineStr">
        <is>
          <t>SO202510081</t>
        </is>
      </c>
      <c r="C204" s="4" t="inlineStr">
        <is>
          <t>杭州大匠商贸有限公司</t>
        </is>
      </c>
      <c r="D204" s="4" t="inlineStr">
        <is>
          <t>调味汁</t>
        </is>
      </c>
      <c r="E204" s="4" t="inlineStr">
        <is>
          <t>2.5kg</t>
        </is>
      </c>
      <c r="F204" s="18" t="n">
        <v>2230</v>
      </c>
      <c r="G204" s="15" t="n">
        <v>87.62</v>
      </c>
      <c r="H204" s="15" t="n">
        <v>195392.6</v>
      </c>
      <c r="I204" s="4" t="inlineStr">
        <is>
          <t>浙江分部</t>
        </is>
      </c>
      <c r="J204" s="4" t="inlineStr">
        <is>
          <t>高娜敏</t>
        </is>
      </c>
    </row>
    <row r="205">
      <c r="A205" s="14" t="n">
        <v>45866</v>
      </c>
      <c r="B205" s="4" t="inlineStr">
        <is>
          <t>SO202510215</t>
        </is>
      </c>
      <c r="C205" s="4" t="inlineStr">
        <is>
          <t>合肥优鲜电商平台</t>
        </is>
      </c>
      <c r="D205" s="4" t="inlineStr">
        <is>
          <t>团餐</t>
        </is>
      </c>
      <c r="E205" s="4" t="inlineStr">
        <is>
          <t>标准</t>
        </is>
      </c>
      <c r="F205" s="18" t="n">
        <v>2360</v>
      </c>
      <c r="G205" s="15" t="n">
        <v>75.61</v>
      </c>
      <c r="H205" s="15" t="n">
        <v>178439.6</v>
      </c>
      <c r="I205" s="4" t="inlineStr">
        <is>
          <t>上海分部</t>
        </is>
      </c>
      <c r="J205" s="4" t="inlineStr">
        <is>
          <t>马兰伟</t>
        </is>
      </c>
    </row>
    <row r="206">
      <c r="A206" s="14" t="n">
        <v>45866</v>
      </c>
      <c r="B206" s="4" t="inlineStr">
        <is>
          <t>SO202510242</t>
        </is>
      </c>
      <c r="C206" s="4" t="inlineStr">
        <is>
          <t>宁波淼沃酒店管理集团</t>
        </is>
      </c>
      <c r="D206" s="4" t="inlineStr">
        <is>
          <t>团餐</t>
        </is>
      </c>
      <c r="E206" s="4" t="inlineStr">
        <is>
          <t>A级</t>
        </is>
      </c>
      <c r="F206" s="18" t="n">
        <v>2050</v>
      </c>
      <c r="G206" s="15" t="n">
        <v>150.55</v>
      </c>
      <c r="H206" s="15" t="n">
        <v>308627.5</v>
      </c>
      <c r="I206" s="4" t="inlineStr">
        <is>
          <t>浙江分部</t>
        </is>
      </c>
      <c r="J206" s="4" t="inlineStr">
        <is>
          <t>李涛伟</t>
        </is>
      </c>
    </row>
    <row r="207">
      <c r="A207" s="14" t="n">
        <v>45872</v>
      </c>
      <c r="B207" s="4" t="inlineStr">
        <is>
          <t>SO202510152</t>
        </is>
      </c>
      <c r="C207" s="4" t="inlineStr">
        <is>
          <t>南京京功电商平台</t>
        </is>
      </c>
      <c r="D207" s="4" t="inlineStr">
        <is>
          <t>酱料</t>
        </is>
      </c>
      <c r="E207" s="4" t="inlineStr">
        <is>
          <t>1kg</t>
        </is>
      </c>
      <c r="F207" s="18" t="n">
        <v>890</v>
      </c>
      <c r="G207" s="15" t="n">
        <v>276.5</v>
      </c>
      <c r="H207" s="15" t="n">
        <v>246085</v>
      </c>
      <c r="I207" s="4" t="inlineStr">
        <is>
          <t>浙江分部</t>
        </is>
      </c>
      <c r="J207" s="4" t="inlineStr">
        <is>
          <t>何英芳</t>
        </is>
      </c>
    </row>
    <row r="208">
      <c r="A208" s="14" t="n">
        <v>45872</v>
      </c>
      <c r="B208" s="4" t="inlineStr">
        <is>
          <t>SO202510236</t>
        </is>
      </c>
      <c r="C208" s="4" t="inlineStr">
        <is>
          <t>嘉兴百味供应链有限公司</t>
        </is>
      </c>
      <c r="D208" s="4" t="inlineStr">
        <is>
          <t>酱料</t>
        </is>
      </c>
      <c r="E208" s="4" t="inlineStr">
        <is>
          <t>1kg</t>
        </is>
      </c>
      <c r="F208" s="18" t="n">
        <v>1100</v>
      </c>
      <c r="G208" s="15" t="n">
        <v>183.24</v>
      </c>
      <c r="H208" s="15" t="n">
        <v>201564</v>
      </c>
      <c r="I208" s="4" t="inlineStr">
        <is>
          <t>赣皖区域</t>
        </is>
      </c>
      <c r="J208" s="4" t="inlineStr">
        <is>
          <t>刘娟秀</t>
        </is>
      </c>
    </row>
    <row r="209">
      <c r="A209" s="14" t="n">
        <v>45872</v>
      </c>
      <c r="B209" s="4" t="inlineStr">
        <is>
          <t>SO202510332</t>
        </is>
      </c>
      <c r="C209" s="4" t="inlineStr">
        <is>
          <t>温州大匠供应链有限公司</t>
        </is>
      </c>
      <c r="D209" s="4" t="inlineStr">
        <is>
          <t>复合调味粉</t>
        </is>
      </c>
      <c r="E209" s="4" t="inlineStr">
        <is>
          <t>标准</t>
        </is>
      </c>
      <c r="F209" s="18" t="n">
        <v>2710</v>
      </c>
      <c r="G209" s="15" t="n">
        <v>277.29</v>
      </c>
      <c r="H209" s="15" t="n">
        <v>751455.9</v>
      </c>
      <c r="I209" s="4" t="inlineStr">
        <is>
          <t>上海分部</t>
        </is>
      </c>
      <c r="J209" s="4" t="inlineStr">
        <is>
          <t>胡强芳</t>
        </is>
      </c>
    </row>
    <row r="210">
      <c r="A210" s="14" t="n">
        <v>45873</v>
      </c>
      <c r="B210" s="4" t="inlineStr">
        <is>
          <t>SO202510188</t>
        </is>
      </c>
      <c r="C210" s="4" t="inlineStr">
        <is>
          <t>宁波百味酒店管理集团</t>
        </is>
      </c>
      <c r="D210" s="4" t="inlineStr">
        <is>
          <t>调味汁</t>
        </is>
      </c>
      <c r="E210" s="4" t="inlineStr">
        <is>
          <t>简装</t>
        </is>
      </c>
      <c r="F210" s="18" t="n">
        <v>3700</v>
      </c>
      <c r="G210" s="15" t="n">
        <v>167.69</v>
      </c>
      <c r="H210" s="15" t="n">
        <v>620453</v>
      </c>
      <c r="I210" s="4" t="inlineStr">
        <is>
          <t>江苏分部</t>
        </is>
      </c>
      <c r="J210" s="4" t="inlineStr">
        <is>
          <t>刘娜娜</t>
        </is>
      </c>
    </row>
    <row r="211">
      <c r="A211" s="14" t="n">
        <v>45873</v>
      </c>
      <c r="B211" s="4" t="inlineStr">
        <is>
          <t>SO202510226</t>
        </is>
      </c>
      <c r="C211" s="4" t="inlineStr">
        <is>
          <t>宁波食佳食品有限公司</t>
        </is>
      </c>
      <c r="D211" s="4" t="inlineStr">
        <is>
          <t>川味底料</t>
        </is>
      </c>
      <c r="E211" s="4" t="inlineStr">
        <is>
          <t>C级</t>
        </is>
      </c>
      <c r="F211" s="18" t="n">
        <v>2640</v>
      </c>
      <c r="G211" s="15" t="n">
        <v>114.13</v>
      </c>
      <c r="H211" s="15" t="n">
        <v>301303.2</v>
      </c>
      <c r="I211" s="4" t="inlineStr">
        <is>
          <t>上海分部</t>
        </is>
      </c>
      <c r="J211" s="4" t="inlineStr">
        <is>
          <t>黄兰娜</t>
        </is>
      </c>
    </row>
    <row r="212">
      <c r="A212" s="14" t="n">
        <v>45874</v>
      </c>
      <c r="B212" s="4" t="inlineStr">
        <is>
          <t>SO202510019</t>
        </is>
      </c>
      <c r="C212" s="4" t="inlineStr">
        <is>
          <t>上海优鲜餐饮管理有限公司</t>
        </is>
      </c>
      <c r="D212" s="4" t="inlineStr">
        <is>
          <t>团餐</t>
        </is>
      </c>
      <c r="E212" s="4" t="inlineStr">
        <is>
          <t>特级</t>
        </is>
      </c>
      <c r="F212" s="18" t="n">
        <v>990</v>
      </c>
      <c r="G212" s="15" t="n">
        <v>141.49</v>
      </c>
      <c r="H212" s="15" t="n">
        <v>140075.1</v>
      </c>
      <c r="I212" s="4" t="inlineStr">
        <is>
          <t>江苏分部</t>
        </is>
      </c>
      <c r="J212" s="4" t="inlineStr">
        <is>
          <t>张娟英</t>
        </is>
      </c>
    </row>
    <row r="213">
      <c r="A213" s="14" t="n">
        <v>45874</v>
      </c>
      <c r="B213" s="4" t="inlineStr">
        <is>
          <t>SO202510076</t>
        </is>
      </c>
      <c r="C213" s="4" t="inlineStr">
        <is>
          <t>苏州优鲜食品有限公司</t>
        </is>
      </c>
      <c r="D213" s="4" t="inlineStr">
        <is>
          <t>酱料</t>
        </is>
      </c>
      <c r="E213" s="4" t="inlineStr">
        <is>
          <t>500g</t>
        </is>
      </c>
      <c r="F213" s="18" t="n">
        <v>3460</v>
      </c>
      <c r="G213" s="15" t="n">
        <v>280.16</v>
      </c>
      <c r="H213" s="15" t="n">
        <v>969353.6</v>
      </c>
      <c r="I213" s="4" t="inlineStr">
        <is>
          <t>赣皖区域</t>
        </is>
      </c>
      <c r="J213" s="4" t="inlineStr">
        <is>
          <t>周明伟</t>
        </is>
      </c>
    </row>
    <row r="214">
      <c r="A214" s="14" t="n">
        <v>45875</v>
      </c>
      <c r="B214" s="4" t="inlineStr">
        <is>
          <t>SO202510189</t>
        </is>
      </c>
      <c r="C214" s="4" t="inlineStr">
        <is>
          <t>宁波大匠超市</t>
        </is>
      </c>
      <c r="D214" s="4" t="inlineStr">
        <is>
          <t>调味汁</t>
        </is>
      </c>
      <c r="E214" s="4" t="inlineStr">
        <is>
          <t>500g</t>
        </is>
      </c>
      <c r="F214" s="18" t="n">
        <v>1730</v>
      </c>
      <c r="G214" s="15" t="n">
        <v>164.09</v>
      </c>
      <c r="H214" s="15" t="n">
        <v>283875.7</v>
      </c>
      <c r="I214" s="4" t="inlineStr">
        <is>
          <t>赣皖区域</t>
        </is>
      </c>
      <c r="J214" s="4" t="inlineStr">
        <is>
          <t>罗敏秀</t>
        </is>
      </c>
    </row>
    <row r="215">
      <c r="A215" s="14" t="n">
        <v>45875</v>
      </c>
      <c r="B215" s="4" t="inlineStr">
        <is>
          <t>SO202510223</t>
        </is>
      </c>
      <c r="C215" s="4" t="inlineStr">
        <is>
          <t>上海优鲜餐饮管理有限公司</t>
        </is>
      </c>
      <c r="D215" s="4" t="inlineStr">
        <is>
          <t>复合调味粉</t>
        </is>
      </c>
      <c r="E215" s="4" t="inlineStr">
        <is>
          <t>2.5kg</t>
        </is>
      </c>
      <c r="F215" s="18" t="n">
        <v>3930</v>
      </c>
      <c r="G215" s="15" t="n">
        <v>142.29</v>
      </c>
      <c r="H215" s="15" t="n">
        <v>559199.7</v>
      </c>
      <c r="I215" s="4" t="inlineStr">
        <is>
          <t>上海分部</t>
        </is>
      </c>
      <c r="J215" s="4" t="inlineStr">
        <is>
          <t>罗杰敏</t>
        </is>
      </c>
    </row>
    <row r="216">
      <c r="A216" s="14" t="n">
        <v>45876</v>
      </c>
      <c r="B216" s="4" t="inlineStr">
        <is>
          <t>SO202510230</t>
        </is>
      </c>
      <c r="C216" s="4" t="inlineStr">
        <is>
          <t>温州优鲜商贸有限公司</t>
        </is>
      </c>
      <c r="D216" s="4" t="inlineStr">
        <is>
          <t>中式汤底</t>
        </is>
      </c>
      <c r="E216" s="4" t="inlineStr">
        <is>
          <t>精装</t>
        </is>
      </c>
      <c r="F216" s="18" t="n">
        <v>2630</v>
      </c>
      <c r="G216" s="15" t="n">
        <v>221.22</v>
      </c>
      <c r="H216" s="15" t="n">
        <v>581808.6</v>
      </c>
      <c r="I216" s="4" t="inlineStr">
        <is>
          <t>浙江分部</t>
        </is>
      </c>
      <c r="J216" s="4" t="inlineStr">
        <is>
          <t>王静敏</t>
        </is>
      </c>
    </row>
    <row r="217">
      <c r="A217" s="14" t="n">
        <v>45877</v>
      </c>
      <c r="B217" s="4" t="inlineStr">
        <is>
          <t>SO202510309</t>
        </is>
      </c>
      <c r="C217" s="4" t="inlineStr">
        <is>
          <t>镇江淼沃酒店管理集团</t>
        </is>
      </c>
      <c r="D217" s="4" t="inlineStr">
        <is>
          <t>调味汁</t>
        </is>
      </c>
      <c r="E217" s="4" t="inlineStr">
        <is>
          <t>简装</t>
        </is>
      </c>
      <c r="F217" s="18" t="n">
        <v>520</v>
      </c>
      <c r="G217" s="15" t="n">
        <v>180.79</v>
      </c>
      <c r="H217" s="15" t="n">
        <v>94010.8</v>
      </c>
      <c r="I217" s="4" t="inlineStr">
        <is>
          <t>赣皖区域</t>
        </is>
      </c>
      <c r="J217" s="4" t="inlineStr">
        <is>
          <t>孙秀秀</t>
        </is>
      </c>
    </row>
    <row r="218">
      <c r="A218" s="14" t="n">
        <v>45878</v>
      </c>
      <c r="B218" s="4" t="inlineStr">
        <is>
          <t>SO202510050</t>
        </is>
      </c>
      <c r="C218" s="4" t="inlineStr">
        <is>
          <t>常州百味供应链有限公司</t>
        </is>
      </c>
      <c r="D218" s="4" t="inlineStr">
        <is>
          <t>川味底料</t>
        </is>
      </c>
      <c r="E218" s="4" t="inlineStr">
        <is>
          <t>特级</t>
        </is>
      </c>
      <c r="F218" s="18" t="n">
        <v>3170</v>
      </c>
      <c r="G218" s="15" t="n">
        <v>191.01</v>
      </c>
      <c r="H218" s="15" t="n">
        <v>605501.7</v>
      </c>
      <c r="I218" s="4" t="inlineStr">
        <is>
          <t>江苏分部</t>
        </is>
      </c>
      <c r="J218" s="4" t="inlineStr">
        <is>
          <t>张兰芳</t>
        </is>
      </c>
    </row>
    <row r="219">
      <c r="A219" s="14" t="n">
        <v>45878</v>
      </c>
      <c r="B219" s="4" t="inlineStr">
        <is>
          <t>SO202510060</t>
        </is>
      </c>
      <c r="C219" s="4" t="inlineStr">
        <is>
          <t>嘉兴优鲜供应链有限公司</t>
        </is>
      </c>
      <c r="D219" s="4" t="inlineStr">
        <is>
          <t>酱料</t>
        </is>
      </c>
      <c r="E219" s="4" t="inlineStr">
        <is>
          <t>精装</t>
        </is>
      </c>
      <c r="F219" s="18" t="n">
        <v>1190</v>
      </c>
      <c r="G219" s="15" t="n">
        <v>75.73999999999999</v>
      </c>
      <c r="H219" s="15" t="n">
        <v>90130.60000000001</v>
      </c>
      <c r="I219" s="4" t="inlineStr">
        <is>
          <t>上海分部</t>
        </is>
      </c>
      <c r="J219" s="4" t="inlineStr">
        <is>
          <t>高杰敏</t>
        </is>
      </c>
    </row>
    <row r="220">
      <c r="A220" s="14" t="n">
        <v>45879</v>
      </c>
      <c r="B220" s="4" t="inlineStr">
        <is>
          <t>SO202510178</t>
        </is>
      </c>
      <c r="C220" s="4" t="inlineStr">
        <is>
          <t>上海优鲜供应链有限公司</t>
        </is>
      </c>
      <c r="D220" s="4" t="inlineStr">
        <is>
          <t>复合调味粉</t>
        </is>
      </c>
      <c r="E220" s="4" t="inlineStr">
        <is>
          <t>1kg</t>
        </is>
      </c>
      <c r="F220" s="18" t="n">
        <v>3370</v>
      </c>
      <c r="G220" s="15" t="n">
        <v>21.08</v>
      </c>
      <c r="H220" s="15" t="n">
        <v>71039.60000000001</v>
      </c>
      <c r="I220" s="4" t="inlineStr">
        <is>
          <t>江苏分部</t>
        </is>
      </c>
      <c r="J220" s="4" t="inlineStr">
        <is>
          <t>罗艳英</t>
        </is>
      </c>
    </row>
    <row r="221">
      <c r="A221" s="14" t="n">
        <v>45880</v>
      </c>
      <c r="B221" s="4" t="inlineStr">
        <is>
          <t>SO202510103</t>
        </is>
      </c>
      <c r="C221" s="4" t="inlineStr">
        <is>
          <t>合肥食佳电商平台</t>
        </is>
      </c>
      <c r="D221" s="4" t="inlineStr">
        <is>
          <t>预制菜</t>
        </is>
      </c>
      <c r="E221" s="4" t="inlineStr">
        <is>
          <t>2.5kg</t>
        </is>
      </c>
      <c r="F221" s="18" t="n">
        <v>1050</v>
      </c>
      <c r="G221" s="15" t="n">
        <v>175.49</v>
      </c>
      <c r="H221" s="15" t="n">
        <v>184264.5</v>
      </c>
      <c r="I221" s="4" t="inlineStr">
        <is>
          <t>江苏分部</t>
        </is>
      </c>
      <c r="J221" s="4" t="inlineStr">
        <is>
          <t>陈超伟</t>
        </is>
      </c>
    </row>
    <row r="222">
      <c r="A222" s="14" t="n">
        <v>45882</v>
      </c>
      <c r="B222" s="4" t="inlineStr">
        <is>
          <t>SO202510319</t>
        </is>
      </c>
      <c r="C222" s="4" t="inlineStr">
        <is>
          <t>上海百味供应链有限公司</t>
        </is>
      </c>
      <c r="D222" s="4" t="inlineStr">
        <is>
          <t>酱料</t>
        </is>
      </c>
      <c r="E222" s="4" t="inlineStr">
        <is>
          <t>特级</t>
        </is>
      </c>
      <c r="F222" s="18" t="n">
        <v>790</v>
      </c>
      <c r="G222" s="15" t="n">
        <v>37.68</v>
      </c>
      <c r="H222" s="15" t="n">
        <v>29767.2</v>
      </c>
      <c r="I222" s="4" t="inlineStr">
        <is>
          <t>赣皖区域</t>
        </is>
      </c>
      <c r="J222" s="4" t="inlineStr">
        <is>
          <t>黄娟娜</t>
        </is>
      </c>
    </row>
    <row r="223">
      <c r="A223" s="14" t="n">
        <v>45883</v>
      </c>
      <c r="B223" s="4" t="inlineStr">
        <is>
          <t>SO202510219</t>
        </is>
      </c>
      <c r="C223" s="4" t="inlineStr">
        <is>
          <t>上海京功商贸有限公司</t>
        </is>
      </c>
      <c r="D223" s="4" t="inlineStr">
        <is>
          <t>中式汤底</t>
        </is>
      </c>
      <c r="E223" s="4" t="inlineStr">
        <is>
          <t>A级</t>
        </is>
      </c>
      <c r="F223" s="18" t="n">
        <v>3260</v>
      </c>
      <c r="G223" s="15" t="n">
        <v>169.88</v>
      </c>
      <c r="H223" s="15" t="n">
        <v>553808.8</v>
      </c>
      <c r="I223" s="4" t="inlineStr">
        <is>
          <t>浙江分部</t>
        </is>
      </c>
      <c r="J223" s="4" t="inlineStr">
        <is>
          <t>李英敏</t>
        </is>
      </c>
    </row>
    <row r="224">
      <c r="A224" s="14" t="n">
        <v>45886</v>
      </c>
      <c r="B224" s="4" t="inlineStr">
        <is>
          <t>SO202510131</t>
        </is>
      </c>
      <c r="C224" s="4" t="inlineStr">
        <is>
          <t>南昌百味超市</t>
        </is>
      </c>
      <c r="D224" s="4" t="inlineStr">
        <is>
          <t>预制菜</t>
        </is>
      </c>
      <c r="E224" s="4" t="inlineStr">
        <is>
          <t>500g</t>
        </is>
      </c>
      <c r="F224" s="18" t="n">
        <v>1150</v>
      </c>
      <c r="G224" s="15" t="n">
        <v>277.17</v>
      </c>
      <c r="H224" s="15" t="n">
        <v>318745.5</v>
      </c>
      <c r="I224" s="4" t="inlineStr">
        <is>
          <t>上海分部</t>
        </is>
      </c>
      <c r="J224" s="4" t="inlineStr">
        <is>
          <t>何娜秀</t>
        </is>
      </c>
    </row>
    <row r="225">
      <c r="A225" s="14" t="n">
        <v>45887</v>
      </c>
      <c r="B225" s="4" t="inlineStr">
        <is>
          <t>SO202510208</t>
        </is>
      </c>
      <c r="C225" s="4" t="inlineStr">
        <is>
          <t>苏州京功酒店管理集团</t>
        </is>
      </c>
      <c r="D225" s="4" t="inlineStr">
        <is>
          <t>酱料</t>
        </is>
      </c>
      <c r="E225" s="4" t="inlineStr">
        <is>
          <t>1kg</t>
        </is>
      </c>
      <c r="F225" s="18" t="n">
        <v>4260</v>
      </c>
      <c r="G225" s="15" t="n">
        <v>86.08</v>
      </c>
      <c r="H225" s="15" t="n">
        <v>366700.8</v>
      </c>
      <c r="I225" s="4" t="inlineStr">
        <is>
          <t>浙江分部</t>
        </is>
      </c>
      <c r="J225" s="4" t="inlineStr">
        <is>
          <t>朱敏敏</t>
        </is>
      </c>
    </row>
    <row r="226">
      <c r="A226" s="14" t="n">
        <v>45887</v>
      </c>
      <c r="B226" s="4" t="inlineStr">
        <is>
          <t>SO202510288</t>
        </is>
      </c>
      <c r="C226" s="4" t="inlineStr">
        <is>
          <t>无锡大匠超市</t>
        </is>
      </c>
      <c r="D226" s="4" t="inlineStr">
        <is>
          <t>复合调味粉</t>
        </is>
      </c>
      <c r="E226" s="4" t="inlineStr">
        <is>
          <t>C级</t>
        </is>
      </c>
      <c r="F226" s="18" t="n">
        <v>4550</v>
      </c>
      <c r="G226" s="15" t="n">
        <v>42.89</v>
      </c>
      <c r="H226" s="15" t="n">
        <v>195149.5</v>
      </c>
      <c r="I226" s="4" t="inlineStr">
        <is>
          <t>江苏分部</t>
        </is>
      </c>
      <c r="J226" s="4" t="inlineStr">
        <is>
          <t>刘洋伟</t>
        </is>
      </c>
    </row>
    <row r="227">
      <c r="A227" s="14" t="n">
        <v>45888</v>
      </c>
      <c r="B227" s="4" t="inlineStr">
        <is>
          <t>SO202510118</t>
        </is>
      </c>
      <c r="C227" s="4" t="inlineStr">
        <is>
          <t>镇江优鲜超市</t>
        </is>
      </c>
      <c r="D227" s="4" t="inlineStr">
        <is>
          <t>预制菜</t>
        </is>
      </c>
      <c r="E227" s="4" t="inlineStr">
        <is>
          <t>500g</t>
        </is>
      </c>
      <c r="F227" s="18" t="n">
        <v>2810</v>
      </c>
      <c r="G227" s="15" t="n">
        <v>72.87</v>
      </c>
      <c r="H227" s="15" t="n">
        <v>204764.7</v>
      </c>
      <c r="I227" s="4" t="inlineStr">
        <is>
          <t>上海分部</t>
        </is>
      </c>
      <c r="J227" s="4" t="inlineStr">
        <is>
          <t>胡杰芳</t>
        </is>
      </c>
    </row>
    <row r="228">
      <c r="A228" s="14" t="n">
        <v>45888</v>
      </c>
      <c r="B228" s="4" t="inlineStr">
        <is>
          <t>SO202510276</t>
        </is>
      </c>
      <c r="C228" s="4" t="inlineStr">
        <is>
          <t>上海大匠供应链有限公司</t>
        </is>
      </c>
      <c r="D228" s="4" t="inlineStr">
        <is>
          <t>团餐</t>
        </is>
      </c>
      <c r="E228" s="4" t="inlineStr">
        <is>
          <t>B级</t>
        </is>
      </c>
      <c r="F228" s="18" t="n">
        <v>4010</v>
      </c>
      <c r="G228" s="15" t="n">
        <v>90.73999999999999</v>
      </c>
      <c r="H228" s="15" t="n">
        <v>363867.4</v>
      </c>
      <c r="I228" s="4" t="inlineStr">
        <is>
          <t>赣皖区域</t>
        </is>
      </c>
      <c r="J228" s="4" t="inlineStr">
        <is>
          <t>黄洋敏</t>
        </is>
      </c>
    </row>
    <row r="229">
      <c r="A229" s="14" t="n">
        <v>45890</v>
      </c>
      <c r="B229" s="4" t="inlineStr">
        <is>
          <t>SO202510197</t>
        </is>
      </c>
      <c r="C229" s="4" t="inlineStr">
        <is>
          <t>杭州百味电商平台</t>
        </is>
      </c>
      <c r="D229" s="4" t="inlineStr">
        <is>
          <t>川味底料</t>
        </is>
      </c>
      <c r="E229" s="4" t="inlineStr">
        <is>
          <t>1kg</t>
        </is>
      </c>
      <c r="F229" s="18" t="n">
        <v>1240</v>
      </c>
      <c r="G229" s="15" t="n">
        <v>80.06</v>
      </c>
      <c r="H229" s="15" t="n">
        <v>99274.39999999999</v>
      </c>
      <c r="I229" s="4" t="inlineStr">
        <is>
          <t>赣皖区域</t>
        </is>
      </c>
      <c r="J229" s="4" t="inlineStr">
        <is>
          <t>刘涛伟</t>
        </is>
      </c>
    </row>
    <row r="230">
      <c r="A230" s="14" t="n">
        <v>45891</v>
      </c>
      <c r="B230" s="4" t="inlineStr">
        <is>
          <t>SO202510187</t>
        </is>
      </c>
      <c r="C230" s="4" t="inlineStr">
        <is>
          <t>宁波优鲜餐饮管理有限公司</t>
        </is>
      </c>
      <c r="D230" s="4" t="inlineStr">
        <is>
          <t>川味底料</t>
        </is>
      </c>
      <c r="E230" s="4" t="inlineStr">
        <is>
          <t>C级</t>
        </is>
      </c>
      <c r="F230" s="18" t="n">
        <v>3120</v>
      </c>
      <c r="G230" s="15" t="n">
        <v>220.69</v>
      </c>
      <c r="H230" s="15" t="n">
        <v>688552.8</v>
      </c>
      <c r="I230" s="4" t="inlineStr">
        <is>
          <t>浙江分部</t>
        </is>
      </c>
      <c r="J230" s="4" t="inlineStr">
        <is>
          <t>马伟娜</t>
        </is>
      </c>
    </row>
    <row r="231">
      <c r="A231" s="14" t="n">
        <v>45891</v>
      </c>
      <c r="B231" s="4" t="inlineStr">
        <is>
          <t>SO202510305</t>
        </is>
      </c>
      <c r="C231" s="4" t="inlineStr">
        <is>
          <t>常州京功商贸有限公司</t>
        </is>
      </c>
      <c r="D231" s="4" t="inlineStr">
        <is>
          <t>酱料</t>
        </is>
      </c>
      <c r="E231" s="4" t="inlineStr">
        <is>
          <t>10kg</t>
        </is>
      </c>
      <c r="F231" s="18" t="n">
        <v>960</v>
      </c>
      <c r="G231" s="15" t="n">
        <v>106.08</v>
      </c>
      <c r="H231" s="15" t="n">
        <v>101836.8</v>
      </c>
      <c r="I231" s="4" t="inlineStr">
        <is>
          <t>赣皖区域</t>
        </is>
      </c>
      <c r="J231" s="4" t="inlineStr">
        <is>
          <t>王丽芳</t>
        </is>
      </c>
    </row>
    <row r="232">
      <c r="A232" s="14" t="n">
        <v>45892</v>
      </c>
      <c r="B232" s="4" t="inlineStr">
        <is>
          <t>SO202510224</t>
        </is>
      </c>
      <c r="C232" s="4" t="inlineStr">
        <is>
          <t>上海优鲜餐饮管理有限公司</t>
        </is>
      </c>
      <c r="D232" s="4" t="inlineStr">
        <is>
          <t>复合调味粉</t>
        </is>
      </c>
      <c r="E232" s="4" t="inlineStr">
        <is>
          <t>2.5kg</t>
        </is>
      </c>
      <c r="F232" s="18" t="n">
        <v>3420</v>
      </c>
      <c r="G232" s="15" t="n">
        <v>270.16</v>
      </c>
      <c r="H232" s="15" t="n">
        <v>923947.2</v>
      </c>
      <c r="I232" s="4" t="inlineStr">
        <is>
          <t>上海分部</t>
        </is>
      </c>
      <c r="J232" s="4" t="inlineStr">
        <is>
          <t>高洋英</t>
        </is>
      </c>
    </row>
    <row r="233">
      <c r="A233" s="14" t="n">
        <v>45893</v>
      </c>
      <c r="B233" s="4" t="inlineStr">
        <is>
          <t>SO202510154</t>
        </is>
      </c>
      <c r="C233" s="4" t="inlineStr">
        <is>
          <t>无锡大匠供应链有限公司</t>
        </is>
      </c>
      <c r="D233" s="4" t="inlineStr">
        <is>
          <t>复合调味粉</t>
        </is>
      </c>
      <c r="E233" s="4" t="inlineStr">
        <is>
          <t>C级</t>
        </is>
      </c>
      <c r="F233" s="18" t="n">
        <v>2750</v>
      </c>
      <c r="G233" s="15" t="n">
        <v>267.57</v>
      </c>
      <c r="H233" s="15" t="n">
        <v>735817.5</v>
      </c>
      <c r="I233" s="4" t="inlineStr">
        <is>
          <t>浙江分部</t>
        </is>
      </c>
      <c r="J233" s="4" t="inlineStr">
        <is>
          <t>王艳芳</t>
        </is>
      </c>
    </row>
    <row r="234">
      <c r="A234" s="14" t="n">
        <v>45893</v>
      </c>
      <c r="B234" s="4" t="inlineStr">
        <is>
          <t>SO202510295</t>
        </is>
      </c>
      <c r="C234" s="4" t="inlineStr">
        <is>
          <t>合肥大匠酒店管理集团</t>
        </is>
      </c>
      <c r="D234" s="4" t="inlineStr">
        <is>
          <t>川味底料</t>
        </is>
      </c>
      <c r="E234" s="4" t="inlineStr">
        <is>
          <t>A级</t>
        </is>
      </c>
      <c r="F234" s="18" t="n">
        <v>2770</v>
      </c>
      <c r="G234" s="15" t="n">
        <v>136.28</v>
      </c>
      <c r="H234" s="15" t="n">
        <v>377495.6</v>
      </c>
      <c r="I234" s="4" t="inlineStr">
        <is>
          <t>赣皖区域</t>
        </is>
      </c>
      <c r="J234" s="4" t="inlineStr">
        <is>
          <t>罗杰娜</t>
        </is>
      </c>
    </row>
    <row r="235">
      <c r="A235" s="14" t="n">
        <v>45897</v>
      </c>
      <c r="B235" s="4" t="inlineStr">
        <is>
          <t>SO202510091</t>
        </is>
      </c>
      <c r="C235" s="4" t="inlineStr">
        <is>
          <t>苏州淼沃供应链有限公司</t>
        </is>
      </c>
      <c r="D235" s="4" t="inlineStr">
        <is>
          <t>复合调味粉</t>
        </is>
      </c>
      <c r="E235" s="4" t="inlineStr">
        <is>
          <t>500g</t>
        </is>
      </c>
      <c r="F235" s="18" t="n">
        <v>1620</v>
      </c>
      <c r="G235" s="15" t="n">
        <v>230.86</v>
      </c>
      <c r="H235" s="15" t="n">
        <v>373993.2</v>
      </c>
      <c r="I235" s="4" t="inlineStr">
        <is>
          <t>上海分部</t>
        </is>
      </c>
      <c r="J235" s="4" t="inlineStr">
        <is>
          <t>陈强敏</t>
        </is>
      </c>
    </row>
    <row r="236">
      <c r="A236" s="14" t="n">
        <v>45897</v>
      </c>
      <c r="B236" s="4" t="inlineStr">
        <is>
          <t>SO202510167</t>
        </is>
      </c>
      <c r="C236" s="4" t="inlineStr">
        <is>
          <t>南昌淼沃餐饮管理有限公司</t>
        </is>
      </c>
      <c r="D236" s="4" t="inlineStr">
        <is>
          <t>中式汤底</t>
        </is>
      </c>
      <c r="E236" s="4" t="inlineStr">
        <is>
          <t>标准</t>
        </is>
      </c>
      <c r="F236" s="18" t="n">
        <v>1880</v>
      </c>
      <c r="G236" s="15" t="n">
        <v>57.39</v>
      </c>
      <c r="H236" s="15" t="n">
        <v>107893.2</v>
      </c>
      <c r="I236" s="4" t="inlineStr">
        <is>
          <t>江苏分部</t>
        </is>
      </c>
      <c r="J236" s="4" t="inlineStr">
        <is>
          <t>赵芳秀</t>
        </is>
      </c>
    </row>
    <row r="237">
      <c r="A237" s="14" t="n">
        <v>45901</v>
      </c>
      <c r="B237" s="4" t="inlineStr">
        <is>
          <t>SO202510166</t>
        </is>
      </c>
      <c r="C237" s="4" t="inlineStr">
        <is>
          <t>镇江百味食品有限公司</t>
        </is>
      </c>
      <c r="D237" s="4" t="inlineStr">
        <is>
          <t>复合调味粉</t>
        </is>
      </c>
      <c r="E237" s="4" t="inlineStr">
        <is>
          <t>5kg</t>
        </is>
      </c>
      <c r="F237" s="18" t="n">
        <v>2260</v>
      </c>
      <c r="G237" s="15" t="n">
        <v>8.31</v>
      </c>
      <c r="H237" s="15" t="n">
        <v>18780.6</v>
      </c>
      <c r="I237" s="4" t="inlineStr">
        <is>
          <t>赣皖区域</t>
        </is>
      </c>
      <c r="J237" s="4" t="inlineStr">
        <is>
          <t>张明敏</t>
        </is>
      </c>
    </row>
    <row r="238">
      <c r="A238" s="14" t="n">
        <v>45901</v>
      </c>
      <c r="B238" s="4" t="inlineStr">
        <is>
          <t>SO202510310</t>
        </is>
      </c>
      <c r="C238" s="4" t="inlineStr">
        <is>
          <t>上海淼沃电商平台</t>
        </is>
      </c>
      <c r="D238" s="4" t="inlineStr">
        <is>
          <t>团餐</t>
        </is>
      </c>
      <c r="E238" s="4" t="inlineStr">
        <is>
          <t>10kg</t>
        </is>
      </c>
      <c r="F238" s="18" t="n">
        <v>3220</v>
      </c>
      <c r="G238" s="15" t="n">
        <v>120.45</v>
      </c>
      <c r="H238" s="15" t="n">
        <v>387849</v>
      </c>
      <c r="I238" s="4" t="inlineStr">
        <is>
          <t>浙江分部</t>
        </is>
      </c>
      <c r="J238" s="4" t="inlineStr">
        <is>
          <t>孙磊娜</t>
        </is>
      </c>
    </row>
    <row r="239">
      <c r="A239" s="14" t="n">
        <v>45902</v>
      </c>
      <c r="B239" s="4" t="inlineStr">
        <is>
          <t>SO202510018</t>
        </is>
      </c>
      <c r="C239" s="4" t="inlineStr">
        <is>
          <t>镇江大匠餐饮管理有限公司</t>
        </is>
      </c>
      <c r="D239" s="4" t="inlineStr">
        <is>
          <t>中式汤底</t>
        </is>
      </c>
      <c r="E239" s="4" t="inlineStr">
        <is>
          <t>5kg</t>
        </is>
      </c>
      <c r="F239" s="18" t="n">
        <v>2460</v>
      </c>
      <c r="G239" s="15" t="n">
        <v>285.15</v>
      </c>
      <c r="H239" s="15" t="n">
        <v>701469</v>
      </c>
      <c r="I239" s="4" t="inlineStr">
        <is>
          <t>上海分部</t>
        </is>
      </c>
      <c r="J239" s="4" t="inlineStr">
        <is>
          <t>张超伟</t>
        </is>
      </c>
    </row>
    <row r="240">
      <c r="A240" s="14" t="n">
        <v>45902</v>
      </c>
      <c r="B240" s="4" t="inlineStr">
        <is>
          <t>SO202510024</t>
        </is>
      </c>
      <c r="C240" s="4" t="inlineStr">
        <is>
          <t>常州京功商贸有限公司</t>
        </is>
      </c>
      <c r="D240" s="4" t="inlineStr">
        <is>
          <t>团餐</t>
        </is>
      </c>
      <c r="E240" s="4" t="inlineStr">
        <is>
          <t>1kg</t>
        </is>
      </c>
      <c r="F240" s="18" t="n">
        <v>3360</v>
      </c>
      <c r="G240" s="15" t="n">
        <v>135.88</v>
      </c>
      <c r="H240" s="15" t="n">
        <v>456556.8</v>
      </c>
      <c r="I240" s="4" t="inlineStr">
        <is>
          <t>上海分部</t>
        </is>
      </c>
      <c r="J240" s="4" t="inlineStr">
        <is>
          <t>王英娜</t>
        </is>
      </c>
    </row>
    <row r="241">
      <c r="A241" s="14" t="n">
        <v>45902</v>
      </c>
      <c r="B241" s="4" t="inlineStr">
        <is>
          <t>SO202510161</t>
        </is>
      </c>
      <c r="C241" s="4" t="inlineStr">
        <is>
          <t>无锡淼沃餐饮管理有限公司</t>
        </is>
      </c>
      <c r="D241" s="4" t="inlineStr">
        <is>
          <t>预制菜</t>
        </is>
      </c>
      <c r="E241" s="4" t="inlineStr">
        <is>
          <t>B级</t>
        </is>
      </c>
      <c r="F241" s="18" t="n">
        <v>3070</v>
      </c>
      <c r="G241" s="15" t="n">
        <v>47.38</v>
      </c>
      <c r="H241" s="15" t="n">
        <v>145456.6</v>
      </c>
      <c r="I241" s="4" t="inlineStr">
        <is>
          <t>赣皖区域</t>
        </is>
      </c>
      <c r="J241" s="4" t="inlineStr">
        <is>
          <t>李艳娜</t>
        </is>
      </c>
    </row>
    <row r="242">
      <c r="A242" s="14" t="n">
        <v>45903</v>
      </c>
      <c r="B242" s="4" t="inlineStr">
        <is>
          <t>SO202510056</t>
        </is>
      </c>
      <c r="C242" s="4" t="inlineStr">
        <is>
          <t>杭州京功餐饮管理有限公司</t>
        </is>
      </c>
      <c r="D242" s="4" t="inlineStr">
        <is>
          <t>调味汁</t>
        </is>
      </c>
      <c r="E242" s="4" t="inlineStr">
        <is>
          <t>25kg</t>
        </is>
      </c>
      <c r="F242" s="18" t="n">
        <v>70</v>
      </c>
      <c r="G242" s="15" t="n">
        <v>270.22</v>
      </c>
      <c r="H242" s="15" t="n">
        <v>18915.4</v>
      </c>
      <c r="I242" s="4" t="inlineStr">
        <is>
          <t>赣皖区域</t>
        </is>
      </c>
      <c r="J242" s="4" t="inlineStr">
        <is>
          <t>张芳秀</t>
        </is>
      </c>
    </row>
    <row r="243">
      <c r="A243" s="14" t="n">
        <v>45907</v>
      </c>
      <c r="B243" s="4" t="inlineStr">
        <is>
          <t>SO202510048</t>
        </is>
      </c>
      <c r="C243" s="4" t="inlineStr">
        <is>
          <t>宁波优鲜电商平台</t>
        </is>
      </c>
      <c r="D243" s="4" t="inlineStr">
        <is>
          <t>中式汤底</t>
        </is>
      </c>
      <c r="E243" s="4" t="inlineStr">
        <is>
          <t>500g</t>
        </is>
      </c>
      <c r="F243" s="18" t="n">
        <v>120</v>
      </c>
      <c r="G243" s="15" t="n">
        <v>65.40000000000001</v>
      </c>
      <c r="H243" s="15" t="n">
        <v>7848</v>
      </c>
      <c r="I243" s="4" t="inlineStr">
        <is>
          <t>浙江分部</t>
        </is>
      </c>
      <c r="J243" s="4" t="inlineStr">
        <is>
          <t>马强娜</t>
        </is>
      </c>
    </row>
    <row r="244">
      <c r="A244" s="14" t="n">
        <v>45907</v>
      </c>
      <c r="B244" s="4" t="inlineStr">
        <is>
          <t>SO202510281</t>
        </is>
      </c>
      <c r="C244" s="4" t="inlineStr">
        <is>
          <t>嘉兴百味供应链有限公司</t>
        </is>
      </c>
      <c r="D244" s="4" t="inlineStr">
        <is>
          <t>团餐</t>
        </is>
      </c>
      <c r="E244" s="4" t="inlineStr">
        <is>
          <t>500g</t>
        </is>
      </c>
      <c r="F244" s="18" t="n">
        <v>1100</v>
      </c>
      <c r="G244" s="15" t="n">
        <v>148.89</v>
      </c>
      <c r="H244" s="15" t="n">
        <v>163779</v>
      </c>
      <c r="I244" s="4" t="inlineStr">
        <is>
          <t>江苏分部</t>
        </is>
      </c>
      <c r="J244" s="4" t="inlineStr">
        <is>
          <t>孙艳敏</t>
        </is>
      </c>
    </row>
    <row r="245">
      <c r="A245" s="14" t="n">
        <v>45908</v>
      </c>
      <c r="B245" s="4" t="inlineStr">
        <is>
          <t>SO202510020</t>
        </is>
      </c>
      <c r="C245" s="4" t="inlineStr">
        <is>
          <t>南昌食佳供应链有限公司</t>
        </is>
      </c>
      <c r="D245" s="4" t="inlineStr">
        <is>
          <t>中式汤底</t>
        </is>
      </c>
      <c r="E245" s="4" t="inlineStr">
        <is>
          <t>B级</t>
        </is>
      </c>
      <c r="F245" s="18" t="n">
        <v>3940</v>
      </c>
      <c r="G245" s="15" t="n">
        <v>124.6</v>
      </c>
      <c r="H245" s="15" t="n">
        <v>490924</v>
      </c>
      <c r="I245" s="4" t="inlineStr">
        <is>
          <t>上海分部</t>
        </is>
      </c>
      <c r="J245" s="4" t="inlineStr">
        <is>
          <t>高秀娜</t>
        </is>
      </c>
    </row>
    <row r="246">
      <c r="A246" s="14" t="n">
        <v>45909</v>
      </c>
      <c r="B246" s="4" t="inlineStr">
        <is>
          <t>SO202510308</t>
        </is>
      </c>
      <c r="C246" s="4" t="inlineStr">
        <is>
          <t>苏州优鲜商贸有限公司</t>
        </is>
      </c>
      <c r="D246" s="4" t="inlineStr">
        <is>
          <t>川味底料</t>
        </is>
      </c>
      <c r="E246" s="4" t="inlineStr">
        <is>
          <t>A级</t>
        </is>
      </c>
      <c r="F246" s="18" t="n">
        <v>2050</v>
      </c>
      <c r="G246" s="15" t="n">
        <v>193.13</v>
      </c>
      <c r="H246" s="15" t="n">
        <v>395916.5</v>
      </c>
      <c r="I246" s="4" t="inlineStr">
        <is>
          <t>上海分部</t>
        </is>
      </c>
      <c r="J246" s="4" t="inlineStr">
        <is>
          <t>林超敏</t>
        </is>
      </c>
    </row>
    <row r="247">
      <c r="A247" s="14" t="n">
        <v>45910</v>
      </c>
      <c r="B247" s="4" t="inlineStr">
        <is>
          <t>SO202510280</t>
        </is>
      </c>
      <c r="C247" s="4" t="inlineStr">
        <is>
          <t>宁波淼沃商贸有限公司</t>
        </is>
      </c>
      <c r="D247" s="4" t="inlineStr">
        <is>
          <t>中式汤底</t>
        </is>
      </c>
      <c r="E247" s="4" t="inlineStr">
        <is>
          <t>精装</t>
        </is>
      </c>
      <c r="F247" s="18" t="n">
        <v>3580</v>
      </c>
      <c r="G247" s="15" t="n">
        <v>276.89</v>
      </c>
      <c r="H247" s="15" t="n">
        <v>991266.2</v>
      </c>
      <c r="I247" s="4" t="inlineStr">
        <is>
          <t>浙江分部</t>
        </is>
      </c>
      <c r="J247" s="4" t="inlineStr">
        <is>
          <t>黄洋敏</t>
        </is>
      </c>
    </row>
    <row r="248">
      <c r="A248" s="14" t="n">
        <v>45917</v>
      </c>
      <c r="B248" s="4" t="inlineStr">
        <is>
          <t>SO202510163</t>
        </is>
      </c>
      <c r="C248" s="4" t="inlineStr">
        <is>
          <t>镇江淼沃电商平台</t>
        </is>
      </c>
      <c r="D248" s="4" t="inlineStr">
        <is>
          <t>中式汤底</t>
        </is>
      </c>
      <c r="E248" s="4" t="inlineStr">
        <is>
          <t>500g</t>
        </is>
      </c>
      <c r="F248" s="18" t="n">
        <v>4070</v>
      </c>
      <c r="G248" s="15" t="n">
        <v>66.37</v>
      </c>
      <c r="H248" s="15" t="n">
        <v>270125.9</v>
      </c>
      <c r="I248" s="4" t="inlineStr">
        <is>
          <t>上海分部</t>
        </is>
      </c>
      <c r="J248" s="4" t="inlineStr">
        <is>
          <t>马艳娜</t>
        </is>
      </c>
    </row>
    <row r="249">
      <c r="A249" s="14" t="n">
        <v>45918</v>
      </c>
      <c r="B249" s="4" t="inlineStr">
        <is>
          <t>SO202510037</t>
        </is>
      </c>
      <c r="C249" s="4" t="inlineStr">
        <is>
          <t>嘉兴京功供应链有限公司</t>
        </is>
      </c>
      <c r="D249" s="4" t="inlineStr">
        <is>
          <t>川味底料</t>
        </is>
      </c>
      <c r="E249" s="4" t="inlineStr">
        <is>
          <t>25kg</t>
        </is>
      </c>
      <c r="F249" s="18" t="n">
        <v>3950</v>
      </c>
      <c r="G249" s="15" t="n">
        <v>88.06</v>
      </c>
      <c r="H249" s="15" t="n">
        <v>347837</v>
      </c>
      <c r="I249" s="4" t="inlineStr">
        <is>
          <t>浙江分部</t>
        </is>
      </c>
      <c r="J249" s="4" t="inlineStr">
        <is>
          <t>高超秀</t>
        </is>
      </c>
    </row>
    <row r="250">
      <c r="A250" s="14" t="n">
        <v>45918</v>
      </c>
      <c r="B250" s="4" t="inlineStr">
        <is>
          <t>SO202510283</t>
        </is>
      </c>
      <c r="C250" s="4" t="inlineStr">
        <is>
          <t>苏州食佳电商平台</t>
        </is>
      </c>
      <c r="D250" s="4" t="inlineStr">
        <is>
          <t>酱料</t>
        </is>
      </c>
      <c r="E250" s="4" t="inlineStr">
        <is>
          <t>1kg</t>
        </is>
      </c>
      <c r="F250" s="18" t="n">
        <v>4530</v>
      </c>
      <c r="G250" s="15" t="n">
        <v>220.66</v>
      </c>
      <c r="H250" s="15" t="n">
        <v>999589.8</v>
      </c>
      <c r="I250" s="4" t="inlineStr">
        <is>
          <t>上海分部</t>
        </is>
      </c>
      <c r="J250" s="4" t="inlineStr">
        <is>
          <t>胡芳敏</t>
        </is>
      </c>
    </row>
    <row r="251">
      <c r="A251" s="14" t="n">
        <v>45919</v>
      </c>
      <c r="B251" s="4" t="inlineStr">
        <is>
          <t>SO202510318</t>
        </is>
      </c>
      <c r="C251" s="4" t="inlineStr">
        <is>
          <t>镇江大匠食品有限公司</t>
        </is>
      </c>
      <c r="D251" s="4" t="inlineStr">
        <is>
          <t>川味底料</t>
        </is>
      </c>
      <c r="E251" s="4" t="inlineStr">
        <is>
          <t>标准</t>
        </is>
      </c>
      <c r="F251" s="18" t="n">
        <v>3710</v>
      </c>
      <c r="G251" s="15" t="n">
        <v>187.57</v>
      </c>
      <c r="H251" s="15" t="n">
        <v>695884.7</v>
      </c>
      <c r="I251" s="4" t="inlineStr">
        <is>
          <t>浙江分部</t>
        </is>
      </c>
      <c r="J251" s="4" t="inlineStr">
        <is>
          <t>郭洋芳</t>
        </is>
      </c>
    </row>
    <row r="252">
      <c r="A252" s="14" t="n">
        <v>45920</v>
      </c>
      <c r="B252" s="4" t="inlineStr">
        <is>
          <t>SO202510015</t>
        </is>
      </c>
      <c r="C252" s="4" t="inlineStr">
        <is>
          <t>合肥京功酒店管理集团</t>
        </is>
      </c>
      <c r="D252" s="4" t="inlineStr">
        <is>
          <t>酱料</t>
        </is>
      </c>
      <c r="E252" s="4" t="inlineStr">
        <is>
          <t>1kg</t>
        </is>
      </c>
      <c r="F252" s="18" t="n">
        <v>200</v>
      </c>
      <c r="G252" s="15" t="n">
        <v>89.70999999999999</v>
      </c>
      <c r="H252" s="15" t="n">
        <v>17942</v>
      </c>
      <c r="I252" s="4" t="inlineStr">
        <is>
          <t>江苏分部</t>
        </is>
      </c>
      <c r="J252" s="4" t="inlineStr">
        <is>
          <t>马丽英</t>
        </is>
      </c>
    </row>
    <row r="253">
      <c r="A253" s="14" t="n">
        <v>45921</v>
      </c>
      <c r="B253" s="4" t="inlineStr">
        <is>
          <t>SO202510293</t>
        </is>
      </c>
      <c r="C253" s="4" t="inlineStr">
        <is>
          <t>镇江百味酒店管理集团</t>
        </is>
      </c>
      <c r="D253" s="4" t="inlineStr">
        <is>
          <t>复合调味粉</t>
        </is>
      </c>
      <c r="E253" s="4" t="inlineStr">
        <is>
          <t>A级</t>
        </is>
      </c>
      <c r="F253" s="18" t="n">
        <v>3850</v>
      </c>
      <c r="G253" s="15" t="n">
        <v>221.95</v>
      </c>
      <c r="H253" s="15" t="n">
        <v>854507.5</v>
      </c>
      <c r="I253" s="4" t="inlineStr">
        <is>
          <t>赣皖区域</t>
        </is>
      </c>
      <c r="J253" s="4" t="inlineStr">
        <is>
          <t>高丽芳</t>
        </is>
      </c>
    </row>
    <row r="254">
      <c r="A254" s="14" t="n">
        <v>45922</v>
      </c>
      <c r="B254" s="4" t="inlineStr">
        <is>
          <t>SO202510216</t>
        </is>
      </c>
      <c r="C254" s="4" t="inlineStr">
        <is>
          <t>南昌大匠酒店管理集团</t>
        </is>
      </c>
      <c r="D254" s="4" t="inlineStr">
        <is>
          <t>川味底料</t>
        </is>
      </c>
      <c r="E254" s="4" t="inlineStr">
        <is>
          <t>C级</t>
        </is>
      </c>
      <c r="F254" s="18" t="n">
        <v>3830</v>
      </c>
      <c r="G254" s="15" t="n">
        <v>203.81</v>
      </c>
      <c r="H254" s="15" t="n">
        <v>780592.3</v>
      </c>
      <c r="I254" s="4" t="inlineStr">
        <is>
          <t>江苏分部</t>
        </is>
      </c>
      <c r="J254" s="4" t="inlineStr">
        <is>
          <t>杨敏敏</t>
        </is>
      </c>
    </row>
    <row r="255">
      <c r="A255" s="14" t="n">
        <v>45925</v>
      </c>
      <c r="B255" s="4" t="inlineStr">
        <is>
          <t>SO202510125</t>
        </is>
      </c>
      <c r="C255" s="4" t="inlineStr">
        <is>
          <t>常州百味餐饮管理有限公司</t>
        </is>
      </c>
      <c r="D255" s="4" t="inlineStr">
        <is>
          <t>预制菜</t>
        </is>
      </c>
      <c r="E255" s="4" t="inlineStr">
        <is>
          <t>2.5kg</t>
        </is>
      </c>
      <c r="F255" s="18" t="n">
        <v>1330</v>
      </c>
      <c r="G255" s="15" t="n">
        <v>234.46</v>
      </c>
      <c r="H255" s="15" t="n">
        <v>311831.8</v>
      </c>
      <c r="I255" s="4" t="inlineStr">
        <is>
          <t>江苏分部</t>
        </is>
      </c>
      <c r="J255" s="4" t="inlineStr">
        <is>
          <t>黄芳敏</t>
        </is>
      </c>
    </row>
    <row r="256">
      <c r="A256" s="14" t="n">
        <v>45926</v>
      </c>
      <c r="B256" s="4" t="inlineStr">
        <is>
          <t>SO202510007</t>
        </is>
      </c>
      <c r="C256" s="4" t="inlineStr">
        <is>
          <t>温州食佳食品有限公司</t>
        </is>
      </c>
      <c r="D256" s="4" t="inlineStr">
        <is>
          <t>预制菜</t>
        </is>
      </c>
      <c r="E256" s="4" t="inlineStr">
        <is>
          <t>精装</t>
        </is>
      </c>
      <c r="F256" s="18" t="n">
        <v>190</v>
      </c>
      <c r="G256" s="15" t="n">
        <v>282.85</v>
      </c>
      <c r="H256" s="15" t="n">
        <v>53741.5</v>
      </c>
      <c r="I256" s="4" t="inlineStr">
        <is>
          <t>江苏分部</t>
        </is>
      </c>
      <c r="J256" s="4" t="inlineStr">
        <is>
          <t>李丽敏</t>
        </is>
      </c>
    </row>
    <row r="257">
      <c r="A257" s="14" t="n">
        <v>45926</v>
      </c>
      <c r="B257" s="4" t="inlineStr">
        <is>
          <t>SO202510340</t>
        </is>
      </c>
      <c r="C257" s="4" t="inlineStr">
        <is>
          <t>镇江淼沃食品有限公司</t>
        </is>
      </c>
      <c r="D257" s="4" t="inlineStr">
        <is>
          <t>调味汁</t>
        </is>
      </c>
      <c r="E257" s="4" t="inlineStr">
        <is>
          <t>25kg</t>
        </is>
      </c>
      <c r="F257" s="18" t="n">
        <v>3640</v>
      </c>
      <c r="G257" s="15" t="n">
        <v>154.54</v>
      </c>
      <c r="H257" s="15" t="n">
        <v>562525.6</v>
      </c>
      <c r="I257" s="4" t="inlineStr">
        <is>
          <t>上海分部</t>
        </is>
      </c>
      <c r="J257" s="4" t="inlineStr">
        <is>
          <t>高芳伟</t>
        </is>
      </c>
    </row>
    <row r="258">
      <c r="A258" s="14" t="n">
        <v>45927</v>
      </c>
      <c r="B258" s="4" t="inlineStr">
        <is>
          <t>SO202510186</t>
        </is>
      </c>
      <c r="C258" s="4" t="inlineStr">
        <is>
          <t>南昌食佳电商平台</t>
        </is>
      </c>
      <c r="D258" s="4" t="inlineStr">
        <is>
          <t>酱料</t>
        </is>
      </c>
      <c r="E258" s="4" t="inlineStr">
        <is>
          <t>B级</t>
        </is>
      </c>
      <c r="F258" s="18" t="n">
        <v>4220</v>
      </c>
      <c r="G258" s="15" t="n">
        <v>175.53</v>
      </c>
      <c r="H258" s="15" t="n">
        <v>740736.6</v>
      </c>
      <c r="I258" s="4" t="inlineStr">
        <is>
          <t>上海分部</t>
        </is>
      </c>
      <c r="J258" s="4" t="inlineStr">
        <is>
          <t>赵兰芳</t>
        </is>
      </c>
    </row>
    <row r="259">
      <c r="A259" s="14" t="n">
        <v>45927</v>
      </c>
      <c r="B259" s="4" t="inlineStr">
        <is>
          <t>SO202510254</t>
        </is>
      </c>
      <c r="C259" s="4" t="inlineStr">
        <is>
          <t>温州淼沃超市</t>
        </is>
      </c>
      <c r="D259" s="4" t="inlineStr">
        <is>
          <t>团餐</t>
        </is>
      </c>
      <c r="E259" s="4" t="inlineStr">
        <is>
          <t>B级</t>
        </is>
      </c>
      <c r="F259" s="18" t="n">
        <v>730</v>
      </c>
      <c r="G259" s="15" t="n">
        <v>208.12</v>
      </c>
      <c r="H259" s="15" t="n">
        <v>151927.6</v>
      </c>
      <c r="I259" s="4" t="inlineStr">
        <is>
          <t>浙江分部</t>
        </is>
      </c>
      <c r="J259" s="4" t="inlineStr">
        <is>
          <t>周勇娜</t>
        </is>
      </c>
    </row>
    <row r="260">
      <c r="A260" s="14" t="n">
        <v>45936</v>
      </c>
      <c r="B260" s="4" t="inlineStr">
        <is>
          <t>SO202510095</t>
        </is>
      </c>
      <c r="C260" s="4" t="inlineStr">
        <is>
          <t>温州食佳商贸有限公司</t>
        </is>
      </c>
      <c r="D260" s="4" t="inlineStr">
        <is>
          <t>团餐</t>
        </is>
      </c>
      <c r="E260" s="4" t="inlineStr">
        <is>
          <t>25kg</t>
        </is>
      </c>
      <c r="F260" s="18" t="n">
        <v>1300</v>
      </c>
      <c r="G260" s="15" t="n">
        <v>298.31</v>
      </c>
      <c r="H260" s="15" t="n">
        <v>387803</v>
      </c>
      <c r="I260" s="4" t="inlineStr">
        <is>
          <t>江苏分部</t>
        </is>
      </c>
      <c r="J260" s="4" t="inlineStr">
        <is>
          <t>胡丽芳</t>
        </is>
      </c>
    </row>
    <row r="261">
      <c r="A261" s="14" t="n">
        <v>45937</v>
      </c>
      <c r="B261" s="4" t="inlineStr">
        <is>
          <t>SO202510328</t>
        </is>
      </c>
      <c r="C261" s="4" t="inlineStr">
        <is>
          <t>宁波淼沃电商平台</t>
        </is>
      </c>
      <c r="D261" s="4" t="inlineStr">
        <is>
          <t>调味汁</t>
        </is>
      </c>
      <c r="E261" s="4" t="inlineStr">
        <is>
          <t>A级</t>
        </is>
      </c>
      <c r="F261" s="18" t="n">
        <v>500</v>
      </c>
      <c r="G261" s="15" t="n">
        <v>276.15</v>
      </c>
      <c r="H261" s="15" t="n">
        <v>138075</v>
      </c>
      <c r="I261" s="4" t="inlineStr">
        <is>
          <t>上海分部</t>
        </is>
      </c>
      <c r="J261" s="4" t="inlineStr">
        <is>
          <t>孙超伟</t>
        </is>
      </c>
    </row>
    <row r="262">
      <c r="A262" s="14" t="n">
        <v>45938</v>
      </c>
      <c r="B262" s="4" t="inlineStr">
        <is>
          <t>SO202510083</t>
        </is>
      </c>
      <c r="C262" s="4" t="inlineStr">
        <is>
          <t>常州优鲜供应链有限公司</t>
        </is>
      </c>
      <c r="D262" s="4" t="inlineStr">
        <is>
          <t>调味汁</t>
        </is>
      </c>
      <c r="E262" s="4" t="inlineStr">
        <is>
          <t>C级</t>
        </is>
      </c>
      <c r="F262" s="18" t="n">
        <v>2990</v>
      </c>
      <c r="G262" s="15" t="n">
        <v>83.56</v>
      </c>
      <c r="H262" s="15" t="n">
        <v>249844.4</v>
      </c>
      <c r="I262" s="4" t="inlineStr">
        <is>
          <t>赣皖区域</t>
        </is>
      </c>
      <c r="J262" s="4" t="inlineStr">
        <is>
          <t>刘敏娜</t>
        </is>
      </c>
    </row>
    <row r="263">
      <c r="A263" s="14" t="n">
        <v>45938</v>
      </c>
      <c r="B263" s="4" t="inlineStr">
        <is>
          <t>SO202510183</t>
        </is>
      </c>
      <c r="C263" s="4" t="inlineStr">
        <is>
          <t>上海食佳电商平台</t>
        </is>
      </c>
      <c r="D263" s="4" t="inlineStr">
        <is>
          <t>预制菜</t>
        </is>
      </c>
      <c r="E263" s="4" t="inlineStr">
        <is>
          <t>5kg</t>
        </is>
      </c>
      <c r="F263" s="18" t="n">
        <v>850</v>
      </c>
      <c r="G263" s="15" t="n">
        <v>29.84</v>
      </c>
      <c r="H263" s="15" t="n">
        <v>25364</v>
      </c>
      <c r="I263" s="4" t="inlineStr">
        <is>
          <t>浙江分部</t>
        </is>
      </c>
      <c r="J263" s="4" t="inlineStr">
        <is>
          <t>朱秀英</t>
        </is>
      </c>
    </row>
    <row r="264">
      <c r="A264" s="14" t="n">
        <v>45939</v>
      </c>
      <c r="B264" s="4" t="inlineStr">
        <is>
          <t>SO202510140</t>
        </is>
      </c>
      <c r="C264" s="4" t="inlineStr">
        <is>
          <t>苏州大匠电商平台</t>
        </is>
      </c>
      <c r="D264" s="4" t="inlineStr">
        <is>
          <t>预制菜</t>
        </is>
      </c>
      <c r="E264" s="4" t="inlineStr">
        <is>
          <t>特级</t>
        </is>
      </c>
      <c r="F264" s="18" t="n">
        <v>2410</v>
      </c>
      <c r="G264" s="15" t="n">
        <v>241.26</v>
      </c>
      <c r="H264" s="15" t="n">
        <v>581436.6</v>
      </c>
      <c r="I264" s="4" t="inlineStr">
        <is>
          <t>江苏分部</t>
        </is>
      </c>
      <c r="J264" s="4" t="inlineStr">
        <is>
          <t>赵超英</t>
        </is>
      </c>
    </row>
    <row r="265">
      <c r="A265" s="14" t="n">
        <v>45942</v>
      </c>
      <c r="B265" s="4" t="inlineStr">
        <is>
          <t>SO202510298</t>
        </is>
      </c>
      <c r="C265" s="4" t="inlineStr">
        <is>
          <t>南京优鲜商贸有限公司</t>
        </is>
      </c>
      <c r="D265" s="4" t="inlineStr">
        <is>
          <t>中式汤底</t>
        </is>
      </c>
      <c r="E265" s="4" t="inlineStr">
        <is>
          <t>A级</t>
        </is>
      </c>
      <c r="F265" s="18" t="n">
        <v>4400</v>
      </c>
      <c r="G265" s="15" t="n">
        <v>276.44</v>
      </c>
      <c r="H265" s="15" t="n">
        <v>1216336</v>
      </c>
      <c r="I265" s="4" t="inlineStr">
        <is>
          <t>浙江分部</t>
        </is>
      </c>
      <c r="J265" s="4" t="inlineStr">
        <is>
          <t>徐英芳</t>
        </is>
      </c>
    </row>
    <row r="266">
      <c r="A266" s="14" t="n">
        <v>45944</v>
      </c>
      <c r="B266" s="4" t="inlineStr">
        <is>
          <t>SO202510157</t>
        </is>
      </c>
      <c r="C266" s="4" t="inlineStr">
        <is>
          <t>嘉兴优鲜餐饮管理有限公司</t>
        </is>
      </c>
      <c r="D266" s="4" t="inlineStr">
        <is>
          <t>预制菜</t>
        </is>
      </c>
      <c r="E266" s="4" t="inlineStr">
        <is>
          <t>5kg</t>
        </is>
      </c>
      <c r="F266" s="18" t="n">
        <v>3550</v>
      </c>
      <c r="G266" s="15" t="n">
        <v>247.91</v>
      </c>
      <c r="H266" s="15" t="n">
        <v>880080.5</v>
      </c>
      <c r="I266" s="4" t="inlineStr">
        <is>
          <t>上海分部</t>
        </is>
      </c>
      <c r="J266" s="4" t="inlineStr">
        <is>
          <t>胡英敏</t>
        </is>
      </c>
    </row>
    <row r="267">
      <c r="A267" s="14" t="n">
        <v>45944</v>
      </c>
      <c r="B267" s="4" t="inlineStr">
        <is>
          <t>SO202510290</t>
        </is>
      </c>
      <c r="C267" s="4" t="inlineStr">
        <is>
          <t>南京食佳商贸有限公司</t>
        </is>
      </c>
      <c r="D267" s="4" t="inlineStr">
        <is>
          <t>团餐</t>
        </is>
      </c>
      <c r="E267" s="4" t="inlineStr">
        <is>
          <t>特级</t>
        </is>
      </c>
      <c r="F267" s="18" t="n">
        <v>2080</v>
      </c>
      <c r="G267" s="15" t="n">
        <v>127.99</v>
      </c>
      <c r="H267" s="15" t="n">
        <v>266219.2</v>
      </c>
      <c r="I267" s="4" t="inlineStr">
        <is>
          <t>浙江分部</t>
        </is>
      </c>
      <c r="J267" s="4" t="inlineStr">
        <is>
          <t>朱勇敏</t>
        </is>
      </c>
    </row>
    <row r="268">
      <c r="A268" s="14" t="n">
        <v>45946</v>
      </c>
      <c r="B268" s="4" t="inlineStr">
        <is>
          <t>SO202510251</t>
        </is>
      </c>
      <c r="C268" s="4" t="inlineStr">
        <is>
          <t>嘉兴食佳食品有限公司</t>
        </is>
      </c>
      <c r="D268" s="4" t="inlineStr">
        <is>
          <t>预制菜</t>
        </is>
      </c>
      <c r="E268" s="4" t="inlineStr">
        <is>
          <t>C级</t>
        </is>
      </c>
      <c r="F268" s="18" t="n">
        <v>4680</v>
      </c>
      <c r="G268" s="15" t="n">
        <v>26.72</v>
      </c>
      <c r="H268" s="15" t="n">
        <v>125049.6</v>
      </c>
      <c r="I268" s="4" t="inlineStr">
        <is>
          <t>浙江分部</t>
        </is>
      </c>
      <c r="J268" s="4" t="inlineStr">
        <is>
          <t>朱静芳</t>
        </is>
      </c>
    </row>
    <row r="269">
      <c r="A269" s="14" t="n">
        <v>45947</v>
      </c>
      <c r="B269" s="4" t="inlineStr">
        <is>
          <t>SO202510190</t>
        </is>
      </c>
      <c r="C269" s="4" t="inlineStr">
        <is>
          <t>常州食佳供应链有限公司</t>
        </is>
      </c>
      <c r="D269" s="4" t="inlineStr">
        <is>
          <t>复合调味粉</t>
        </is>
      </c>
      <c r="E269" s="4" t="inlineStr">
        <is>
          <t>标准</t>
        </is>
      </c>
      <c r="F269" s="18" t="n">
        <v>3330</v>
      </c>
      <c r="G269" s="15" t="n">
        <v>188.46</v>
      </c>
      <c r="H269" s="15" t="n">
        <v>627571.8</v>
      </c>
      <c r="I269" s="4" t="inlineStr">
        <is>
          <t>上海分部</t>
        </is>
      </c>
      <c r="J269" s="4" t="inlineStr">
        <is>
          <t>胡涛娜</t>
        </is>
      </c>
    </row>
    <row r="270">
      <c r="A270" s="14" t="n">
        <v>45947</v>
      </c>
      <c r="B270" s="4" t="inlineStr">
        <is>
          <t>SO202510315</t>
        </is>
      </c>
      <c r="C270" s="4" t="inlineStr">
        <is>
          <t>嘉兴优鲜餐饮管理有限公司</t>
        </is>
      </c>
      <c r="D270" s="4" t="inlineStr">
        <is>
          <t>川味底料</t>
        </is>
      </c>
      <c r="E270" s="4" t="inlineStr">
        <is>
          <t>5kg</t>
        </is>
      </c>
      <c r="F270" s="18" t="n">
        <v>3880</v>
      </c>
      <c r="G270" s="15" t="n">
        <v>177.63</v>
      </c>
      <c r="H270" s="15" t="n">
        <v>689204.4</v>
      </c>
      <c r="I270" s="4" t="inlineStr">
        <is>
          <t>江苏分部</t>
        </is>
      </c>
      <c r="J270" s="4" t="inlineStr">
        <is>
          <t>孙娜敏</t>
        </is>
      </c>
    </row>
    <row r="271">
      <c r="A271" s="14" t="n">
        <v>45951</v>
      </c>
      <c r="B271" s="4" t="inlineStr">
        <is>
          <t>SO202510253</t>
        </is>
      </c>
      <c r="C271" s="4" t="inlineStr">
        <is>
          <t>常州京功酒店管理集团</t>
        </is>
      </c>
      <c r="D271" s="4" t="inlineStr">
        <is>
          <t>酱料</t>
        </is>
      </c>
      <c r="E271" s="4" t="inlineStr">
        <is>
          <t>C级</t>
        </is>
      </c>
      <c r="F271" s="18" t="n">
        <v>1250</v>
      </c>
      <c r="G271" s="15" t="n">
        <v>144.43</v>
      </c>
      <c r="H271" s="15" t="n">
        <v>180537.5</v>
      </c>
      <c r="I271" s="4" t="inlineStr">
        <is>
          <t>上海分部</t>
        </is>
      </c>
      <c r="J271" s="4" t="inlineStr">
        <is>
          <t>高涛芳</t>
        </is>
      </c>
    </row>
    <row r="272">
      <c r="A272" s="14" t="n">
        <v>45951</v>
      </c>
      <c r="B272" s="4" t="inlineStr">
        <is>
          <t>SO202510291</t>
        </is>
      </c>
      <c r="C272" s="4" t="inlineStr">
        <is>
          <t>宁波淼沃餐饮管理有限公司</t>
        </is>
      </c>
      <c r="D272" s="4" t="inlineStr">
        <is>
          <t>川味底料</t>
        </is>
      </c>
      <c r="E272" s="4" t="inlineStr">
        <is>
          <t>25kg</t>
        </is>
      </c>
      <c r="F272" s="18" t="n">
        <v>2360</v>
      </c>
      <c r="G272" s="15" t="n">
        <v>25.98</v>
      </c>
      <c r="H272" s="15" t="n">
        <v>61312.8</v>
      </c>
      <c r="I272" s="4" t="inlineStr">
        <is>
          <t>江苏分部</t>
        </is>
      </c>
      <c r="J272" s="4" t="inlineStr">
        <is>
          <t>郭英伟</t>
        </is>
      </c>
    </row>
    <row r="273">
      <c r="A273" s="14" t="n">
        <v>45953</v>
      </c>
      <c r="B273" s="4" t="inlineStr">
        <is>
          <t>SO202510203</t>
        </is>
      </c>
      <c r="C273" s="4" t="inlineStr">
        <is>
          <t>无锡食佳供应链有限公司</t>
        </is>
      </c>
      <c r="D273" s="4" t="inlineStr">
        <is>
          <t>复合调味粉</t>
        </is>
      </c>
      <c r="E273" s="4" t="inlineStr">
        <is>
          <t>500g</t>
        </is>
      </c>
      <c r="F273" s="18" t="n">
        <v>2700</v>
      </c>
      <c r="G273" s="15" t="n">
        <v>230.15</v>
      </c>
      <c r="H273" s="15" t="n">
        <v>621405</v>
      </c>
      <c r="I273" s="4" t="inlineStr">
        <is>
          <t>江苏分部</t>
        </is>
      </c>
      <c r="J273" s="4" t="inlineStr">
        <is>
          <t>刘超娜</t>
        </is>
      </c>
    </row>
    <row r="274">
      <c r="A274" s="14" t="n">
        <v>45955</v>
      </c>
      <c r="B274" s="4" t="inlineStr">
        <is>
          <t>SO202510255</t>
        </is>
      </c>
      <c r="C274" s="4" t="inlineStr">
        <is>
          <t>合肥京功电商平台</t>
        </is>
      </c>
      <c r="D274" s="4" t="inlineStr">
        <is>
          <t>中式汤底</t>
        </is>
      </c>
      <c r="E274" s="4" t="inlineStr">
        <is>
          <t>C级</t>
        </is>
      </c>
      <c r="F274" s="18" t="n">
        <v>4580</v>
      </c>
      <c r="G274" s="15" t="n">
        <v>176.01</v>
      </c>
      <c r="H274" s="15" t="n">
        <v>806125.8</v>
      </c>
      <c r="I274" s="4" t="inlineStr">
        <is>
          <t>浙江分部</t>
        </is>
      </c>
      <c r="J274" s="4" t="inlineStr">
        <is>
          <t>杨磊英</t>
        </is>
      </c>
    </row>
    <row r="275">
      <c r="A275" s="14" t="n">
        <v>45958</v>
      </c>
      <c r="B275" s="4" t="inlineStr">
        <is>
          <t>SO202510029</t>
        </is>
      </c>
      <c r="C275" s="4" t="inlineStr">
        <is>
          <t>杭州食佳供应链有限公司</t>
        </is>
      </c>
      <c r="D275" s="4" t="inlineStr">
        <is>
          <t>调味汁</t>
        </is>
      </c>
      <c r="E275" s="4" t="inlineStr">
        <is>
          <t>简装</t>
        </is>
      </c>
      <c r="F275" s="18" t="n">
        <v>2060</v>
      </c>
      <c r="G275" s="15" t="n">
        <v>192.1</v>
      </c>
      <c r="H275" s="15" t="n">
        <v>395726</v>
      </c>
      <c r="I275" s="4" t="inlineStr">
        <is>
          <t>江苏分部</t>
        </is>
      </c>
      <c r="J275" s="4" t="inlineStr">
        <is>
          <t>林英娜</t>
        </is>
      </c>
    </row>
    <row r="276">
      <c r="A276" s="14" t="n">
        <v>45958</v>
      </c>
      <c r="B276" s="4" t="inlineStr">
        <is>
          <t>SO202510123</t>
        </is>
      </c>
      <c r="C276" s="4" t="inlineStr">
        <is>
          <t>苏州优鲜酒店管理集团</t>
        </is>
      </c>
      <c r="D276" s="4" t="inlineStr">
        <is>
          <t>预制菜</t>
        </is>
      </c>
      <c r="E276" s="4" t="inlineStr">
        <is>
          <t>特级</t>
        </is>
      </c>
      <c r="F276" s="18" t="n">
        <v>3050</v>
      </c>
      <c r="G276" s="15" t="n">
        <v>44.54</v>
      </c>
      <c r="H276" s="15" t="n">
        <v>135847</v>
      </c>
      <c r="I276" s="4" t="inlineStr">
        <is>
          <t>赣皖区域</t>
        </is>
      </c>
      <c r="J276" s="4" t="inlineStr">
        <is>
          <t>马芳芳</t>
        </is>
      </c>
    </row>
    <row r="277">
      <c r="A277" s="14" t="n">
        <v>45958</v>
      </c>
      <c r="B277" s="4" t="inlineStr">
        <is>
          <t>SO202510149</t>
        </is>
      </c>
      <c r="C277" s="4" t="inlineStr">
        <is>
          <t>南京百味餐饮管理有限公司</t>
        </is>
      </c>
      <c r="D277" s="4" t="inlineStr">
        <is>
          <t>酱料</t>
        </is>
      </c>
      <c r="E277" s="4" t="inlineStr">
        <is>
          <t>B级</t>
        </is>
      </c>
      <c r="F277" s="18" t="n">
        <v>1300</v>
      </c>
      <c r="G277" s="15" t="n">
        <v>97.98</v>
      </c>
      <c r="H277" s="15" t="n">
        <v>127374</v>
      </c>
      <c r="I277" s="4" t="inlineStr">
        <is>
          <t>赣皖区域</t>
        </is>
      </c>
      <c r="J277" s="4" t="inlineStr">
        <is>
          <t>罗涛芳</t>
        </is>
      </c>
    </row>
    <row r="278">
      <c r="A278" s="14" t="n">
        <v>45962</v>
      </c>
      <c r="B278" s="4" t="inlineStr">
        <is>
          <t>SO202510126</t>
        </is>
      </c>
      <c r="C278" s="4" t="inlineStr">
        <is>
          <t>宁波食佳供应链有限公司</t>
        </is>
      </c>
      <c r="D278" s="4" t="inlineStr">
        <is>
          <t>调味汁</t>
        </is>
      </c>
      <c r="E278" s="4" t="inlineStr">
        <is>
          <t>精装</t>
        </is>
      </c>
      <c r="F278" s="18" t="n">
        <v>1220</v>
      </c>
      <c r="G278" s="15" t="n">
        <v>152.71</v>
      </c>
      <c r="H278" s="15" t="n">
        <v>186306.2</v>
      </c>
      <c r="I278" s="4" t="inlineStr">
        <is>
          <t>赣皖区域</t>
        </is>
      </c>
      <c r="J278" s="4" t="inlineStr">
        <is>
          <t>罗磊娜</t>
        </is>
      </c>
    </row>
    <row r="279">
      <c r="A279" s="14" t="n">
        <v>45963</v>
      </c>
      <c r="B279" s="4" t="inlineStr">
        <is>
          <t>SO202510017</t>
        </is>
      </c>
      <c r="C279" s="4" t="inlineStr">
        <is>
          <t>合肥食佳电商平台</t>
        </is>
      </c>
      <c r="D279" s="4" t="inlineStr">
        <is>
          <t>团餐</t>
        </is>
      </c>
      <c r="E279" s="4" t="inlineStr">
        <is>
          <t>500g</t>
        </is>
      </c>
      <c r="F279" s="18" t="n">
        <v>3030</v>
      </c>
      <c r="G279" s="15" t="n">
        <v>119.18</v>
      </c>
      <c r="H279" s="15" t="n">
        <v>361115.4</v>
      </c>
      <c r="I279" s="4" t="inlineStr">
        <is>
          <t>浙江分部</t>
        </is>
      </c>
      <c r="J279" s="4" t="inlineStr">
        <is>
          <t>何敏秀</t>
        </is>
      </c>
    </row>
    <row r="280">
      <c r="A280" s="14" t="n">
        <v>45964</v>
      </c>
      <c r="B280" s="4" t="inlineStr">
        <is>
          <t>SO202510092</t>
        </is>
      </c>
      <c r="C280" s="4" t="inlineStr">
        <is>
          <t>杭州百味餐饮管理有限公司</t>
        </is>
      </c>
      <c r="D280" s="4" t="inlineStr">
        <is>
          <t>中式汤底</t>
        </is>
      </c>
      <c r="E280" s="4" t="inlineStr">
        <is>
          <t>1kg</t>
        </is>
      </c>
      <c r="F280" s="18" t="n">
        <v>330</v>
      </c>
      <c r="G280" s="15" t="n">
        <v>147.75</v>
      </c>
      <c r="H280" s="15" t="n">
        <v>48757.5</v>
      </c>
      <c r="I280" s="4" t="inlineStr">
        <is>
          <t>赣皖区域</t>
        </is>
      </c>
      <c r="J280" s="4" t="inlineStr">
        <is>
          <t>张静敏</t>
        </is>
      </c>
    </row>
    <row r="281">
      <c r="A281" s="14" t="n">
        <v>45964</v>
      </c>
      <c r="B281" s="4" t="inlineStr">
        <is>
          <t>SO202510164</t>
        </is>
      </c>
      <c r="C281" s="4" t="inlineStr">
        <is>
          <t>杭州大匠食品有限公司</t>
        </is>
      </c>
      <c r="D281" s="4" t="inlineStr">
        <is>
          <t>酱料</t>
        </is>
      </c>
      <c r="E281" s="4" t="inlineStr">
        <is>
          <t>5kg</t>
        </is>
      </c>
      <c r="F281" s="18" t="n">
        <v>2390</v>
      </c>
      <c r="G281" s="15" t="n">
        <v>177.92</v>
      </c>
      <c r="H281" s="15" t="n">
        <v>425228.8</v>
      </c>
      <c r="I281" s="4" t="inlineStr">
        <is>
          <t>上海分部</t>
        </is>
      </c>
      <c r="J281" s="4" t="inlineStr">
        <is>
          <t>周英英</t>
        </is>
      </c>
    </row>
    <row r="282">
      <c r="A282" s="14" t="n">
        <v>45966</v>
      </c>
      <c r="B282" s="4" t="inlineStr">
        <is>
          <t>SO202510027</t>
        </is>
      </c>
      <c r="C282" s="4" t="inlineStr">
        <is>
          <t>宁波京功酒店管理集团</t>
        </is>
      </c>
      <c r="D282" s="4" t="inlineStr">
        <is>
          <t>中式汤底</t>
        </is>
      </c>
      <c r="E282" s="4" t="inlineStr">
        <is>
          <t>精装</t>
        </is>
      </c>
      <c r="F282" s="18" t="n">
        <v>4370</v>
      </c>
      <c r="G282" s="15" t="n">
        <v>37.77</v>
      </c>
      <c r="H282" s="15" t="n">
        <v>165054.9</v>
      </c>
      <c r="I282" s="4" t="inlineStr">
        <is>
          <t>上海分部</t>
        </is>
      </c>
      <c r="J282" s="4" t="inlineStr">
        <is>
          <t>陈勇娜</t>
        </is>
      </c>
    </row>
    <row r="283">
      <c r="A283" s="14" t="n">
        <v>45966</v>
      </c>
      <c r="B283" s="4" t="inlineStr">
        <is>
          <t>SO202510141</t>
        </is>
      </c>
      <c r="C283" s="4" t="inlineStr">
        <is>
          <t>南京百味电商平台</t>
        </is>
      </c>
      <c r="D283" s="4" t="inlineStr">
        <is>
          <t>调味汁</t>
        </is>
      </c>
      <c r="E283" s="4" t="inlineStr">
        <is>
          <t>10kg</t>
        </is>
      </c>
      <c r="F283" s="18" t="n">
        <v>3470</v>
      </c>
      <c r="G283" s="15" t="n">
        <v>221.73</v>
      </c>
      <c r="H283" s="15" t="n">
        <v>769403.1</v>
      </c>
      <c r="I283" s="4" t="inlineStr">
        <is>
          <t>赣皖区域</t>
        </is>
      </c>
      <c r="J283" s="4" t="inlineStr">
        <is>
          <t>徐伟秀</t>
        </is>
      </c>
    </row>
    <row r="284">
      <c r="A284" s="14" t="n">
        <v>45967</v>
      </c>
      <c r="B284" s="4" t="inlineStr">
        <is>
          <t>SO202510082</t>
        </is>
      </c>
      <c r="C284" s="4" t="inlineStr">
        <is>
          <t>温州淼沃商贸有限公司</t>
        </is>
      </c>
      <c r="D284" s="4" t="inlineStr">
        <is>
          <t>川味底料</t>
        </is>
      </c>
      <c r="E284" s="4" t="inlineStr">
        <is>
          <t>C级</t>
        </is>
      </c>
      <c r="F284" s="18" t="n">
        <v>720</v>
      </c>
      <c r="G284" s="15" t="n">
        <v>238.11</v>
      </c>
      <c r="H284" s="15" t="n">
        <v>171439.2</v>
      </c>
      <c r="I284" s="4" t="inlineStr">
        <is>
          <t>赣皖区域</t>
        </is>
      </c>
      <c r="J284" s="4" t="inlineStr">
        <is>
          <t>马娟伟</t>
        </is>
      </c>
    </row>
    <row r="285">
      <c r="A285" s="14" t="n">
        <v>45968</v>
      </c>
      <c r="B285" s="4" t="inlineStr">
        <is>
          <t>SO202510282</t>
        </is>
      </c>
      <c r="C285" s="4" t="inlineStr">
        <is>
          <t>上海优鲜餐饮管理有限公司</t>
        </is>
      </c>
      <c r="D285" s="4" t="inlineStr">
        <is>
          <t>中式汤底</t>
        </is>
      </c>
      <c r="E285" s="4" t="inlineStr">
        <is>
          <t>B级</t>
        </is>
      </c>
      <c r="F285" s="18" t="n">
        <v>4710</v>
      </c>
      <c r="G285" s="15" t="n">
        <v>48.02</v>
      </c>
      <c r="H285" s="15" t="n">
        <v>226174.2</v>
      </c>
      <c r="I285" s="4" t="inlineStr">
        <is>
          <t>上海分部</t>
        </is>
      </c>
      <c r="J285" s="4" t="inlineStr">
        <is>
          <t>胡涛伟</t>
        </is>
      </c>
    </row>
    <row r="286">
      <c r="A286" s="14" t="n">
        <v>45969</v>
      </c>
      <c r="B286" s="4" t="inlineStr">
        <is>
          <t>SO202510065</t>
        </is>
      </c>
      <c r="C286" s="4" t="inlineStr">
        <is>
          <t>南昌百味酒店管理集团</t>
        </is>
      </c>
      <c r="D286" s="4" t="inlineStr">
        <is>
          <t>预制菜</t>
        </is>
      </c>
      <c r="E286" s="4" t="inlineStr">
        <is>
          <t>B级</t>
        </is>
      </c>
      <c r="F286" s="18" t="n">
        <v>3190</v>
      </c>
      <c r="G286" s="15" t="n">
        <v>52.38</v>
      </c>
      <c r="H286" s="15" t="n">
        <v>167092.2</v>
      </c>
      <c r="I286" s="4" t="inlineStr">
        <is>
          <t>上海分部</t>
        </is>
      </c>
      <c r="J286" s="4" t="inlineStr">
        <is>
          <t>何娟敏</t>
        </is>
      </c>
    </row>
    <row r="287">
      <c r="A287" s="14" t="n">
        <v>45969</v>
      </c>
      <c r="B287" s="4" t="inlineStr">
        <is>
          <t>SO202510077</t>
        </is>
      </c>
      <c r="C287" s="4" t="inlineStr">
        <is>
          <t>上海淼沃超市</t>
        </is>
      </c>
      <c r="D287" s="4" t="inlineStr">
        <is>
          <t>团餐</t>
        </is>
      </c>
      <c r="E287" s="4" t="inlineStr">
        <is>
          <t>C级</t>
        </is>
      </c>
      <c r="F287" s="18" t="n">
        <v>2120</v>
      </c>
      <c r="G287" s="15" t="n">
        <v>257.9</v>
      </c>
      <c r="H287" s="15" t="n">
        <v>546748</v>
      </c>
      <c r="I287" s="4" t="inlineStr">
        <is>
          <t>浙江分部</t>
        </is>
      </c>
      <c r="J287" s="4" t="inlineStr">
        <is>
          <t>朱娜英</t>
        </is>
      </c>
    </row>
    <row r="288">
      <c r="A288" s="14" t="n">
        <v>45970</v>
      </c>
      <c r="B288" s="4" t="inlineStr">
        <is>
          <t>SO202510297</t>
        </is>
      </c>
      <c r="C288" s="4" t="inlineStr">
        <is>
          <t>无锡京功供应链有限公司</t>
        </is>
      </c>
      <c r="D288" s="4" t="inlineStr">
        <is>
          <t>中式汤底</t>
        </is>
      </c>
      <c r="E288" s="4" t="inlineStr">
        <is>
          <t>500g</t>
        </is>
      </c>
      <c r="F288" s="18" t="n">
        <v>3960</v>
      </c>
      <c r="G288" s="15" t="n">
        <v>182.44</v>
      </c>
      <c r="H288" s="15" t="n">
        <v>722462.4</v>
      </c>
      <c r="I288" s="4" t="inlineStr">
        <is>
          <t>赣皖区域</t>
        </is>
      </c>
      <c r="J288" s="4" t="inlineStr">
        <is>
          <t>胡秀娜</t>
        </is>
      </c>
    </row>
    <row r="289">
      <c r="A289" s="14" t="n">
        <v>45971</v>
      </c>
      <c r="B289" s="4" t="inlineStr">
        <is>
          <t>SO202510111</t>
        </is>
      </c>
      <c r="C289" s="4" t="inlineStr">
        <is>
          <t>镇江淼沃食品有限公司</t>
        </is>
      </c>
      <c r="D289" s="4" t="inlineStr">
        <is>
          <t>酱料</t>
        </is>
      </c>
      <c r="E289" s="4" t="inlineStr">
        <is>
          <t>C级</t>
        </is>
      </c>
      <c r="F289" s="18" t="n">
        <v>1800</v>
      </c>
      <c r="G289" s="15" t="n">
        <v>276.96</v>
      </c>
      <c r="H289" s="15" t="n">
        <v>498528</v>
      </c>
      <c r="I289" s="4" t="inlineStr">
        <is>
          <t>上海分部</t>
        </is>
      </c>
      <c r="J289" s="4" t="inlineStr">
        <is>
          <t>吴涛秀</t>
        </is>
      </c>
    </row>
    <row r="290">
      <c r="A290" s="14" t="n">
        <v>45971</v>
      </c>
      <c r="B290" s="4" t="inlineStr">
        <is>
          <t>SO202510169</t>
        </is>
      </c>
      <c r="C290" s="4" t="inlineStr">
        <is>
          <t>上海京功食品有限公司</t>
        </is>
      </c>
      <c r="D290" s="4" t="inlineStr">
        <is>
          <t>调味汁</t>
        </is>
      </c>
      <c r="E290" s="4" t="inlineStr">
        <is>
          <t>A级</t>
        </is>
      </c>
      <c r="F290" s="18" t="n">
        <v>430</v>
      </c>
      <c r="G290" s="15" t="n">
        <v>203.38</v>
      </c>
      <c r="H290" s="15" t="n">
        <v>87453.39999999999</v>
      </c>
      <c r="I290" s="4" t="inlineStr">
        <is>
          <t>赣皖区域</t>
        </is>
      </c>
      <c r="J290" s="4" t="inlineStr">
        <is>
          <t>王秀伟</t>
        </is>
      </c>
    </row>
    <row r="291">
      <c r="A291" s="14" t="n">
        <v>45972</v>
      </c>
      <c r="B291" s="4" t="inlineStr">
        <is>
          <t>SO202510331</t>
        </is>
      </c>
      <c r="C291" s="4" t="inlineStr">
        <is>
          <t>苏州大匠供应链有限公司</t>
        </is>
      </c>
      <c r="D291" s="4" t="inlineStr">
        <is>
          <t>调味汁</t>
        </is>
      </c>
      <c r="E291" s="4" t="inlineStr">
        <is>
          <t>10kg</t>
        </is>
      </c>
      <c r="F291" s="18" t="n">
        <v>2240</v>
      </c>
      <c r="G291" s="15" t="n">
        <v>108.35</v>
      </c>
      <c r="H291" s="15" t="n">
        <v>242704</v>
      </c>
      <c r="I291" s="4" t="inlineStr">
        <is>
          <t>赣皖区域</t>
        </is>
      </c>
      <c r="J291" s="4" t="inlineStr">
        <is>
          <t>胡超娜</t>
        </is>
      </c>
    </row>
    <row r="292">
      <c r="A292" s="14" t="n">
        <v>45973</v>
      </c>
      <c r="B292" s="4" t="inlineStr">
        <is>
          <t>SO202510180</t>
        </is>
      </c>
      <c r="C292" s="4" t="inlineStr">
        <is>
          <t>南京食佳供应链有限公司</t>
        </is>
      </c>
      <c r="D292" s="4" t="inlineStr">
        <is>
          <t>调味汁</t>
        </is>
      </c>
      <c r="E292" s="4" t="inlineStr">
        <is>
          <t>特级</t>
        </is>
      </c>
      <c r="F292" s="18" t="n">
        <v>1310</v>
      </c>
      <c r="G292" s="15" t="n">
        <v>85.17</v>
      </c>
      <c r="H292" s="15" t="n">
        <v>111572.7</v>
      </c>
      <c r="I292" s="4" t="inlineStr">
        <is>
          <t>浙江分部</t>
        </is>
      </c>
      <c r="J292" s="4" t="inlineStr">
        <is>
          <t>高超秀</t>
        </is>
      </c>
    </row>
    <row r="293">
      <c r="A293" s="14" t="n">
        <v>45974</v>
      </c>
      <c r="B293" s="4" t="inlineStr">
        <is>
          <t>SO202510087</t>
        </is>
      </c>
      <c r="C293" s="4" t="inlineStr">
        <is>
          <t>南昌百味供应链有限公司</t>
        </is>
      </c>
      <c r="D293" s="4" t="inlineStr">
        <is>
          <t>团餐</t>
        </is>
      </c>
      <c r="E293" s="4" t="inlineStr">
        <is>
          <t>精装</t>
        </is>
      </c>
      <c r="F293" s="18" t="n">
        <v>4560</v>
      </c>
      <c r="G293" s="15" t="n">
        <v>56.32</v>
      </c>
      <c r="H293" s="15" t="n">
        <v>256819.2</v>
      </c>
      <c r="I293" s="4" t="inlineStr">
        <is>
          <t>江苏分部</t>
        </is>
      </c>
      <c r="J293" s="4" t="inlineStr">
        <is>
          <t>罗芳芳</t>
        </is>
      </c>
    </row>
    <row r="294">
      <c r="A294" s="14" t="n">
        <v>45975</v>
      </c>
      <c r="B294" s="4" t="inlineStr">
        <is>
          <t>SO202510266</t>
        </is>
      </c>
      <c r="C294" s="4" t="inlineStr">
        <is>
          <t>杭州京功食品有限公司</t>
        </is>
      </c>
      <c r="D294" s="4" t="inlineStr">
        <is>
          <t>预制菜</t>
        </is>
      </c>
      <c r="E294" s="4" t="inlineStr">
        <is>
          <t>5kg</t>
        </is>
      </c>
      <c r="F294" s="18" t="n">
        <v>2180</v>
      </c>
      <c r="G294" s="15" t="n">
        <v>15.88</v>
      </c>
      <c r="H294" s="15" t="n">
        <v>34618.4</v>
      </c>
      <c r="I294" s="4" t="inlineStr">
        <is>
          <t>浙江分部</t>
        </is>
      </c>
      <c r="J294" s="4" t="inlineStr">
        <is>
          <t>李兰秀</t>
        </is>
      </c>
    </row>
    <row r="295">
      <c r="A295" s="14" t="n">
        <v>45976</v>
      </c>
      <c r="B295" s="4" t="inlineStr">
        <is>
          <t>SO202510153</t>
        </is>
      </c>
      <c r="C295" s="4" t="inlineStr">
        <is>
          <t>南昌京功电商平台</t>
        </is>
      </c>
      <c r="D295" s="4" t="inlineStr">
        <is>
          <t>调味汁</t>
        </is>
      </c>
      <c r="E295" s="4" t="inlineStr">
        <is>
          <t>1kg</t>
        </is>
      </c>
      <c r="F295" s="18" t="n">
        <v>3840</v>
      </c>
      <c r="G295" s="15" t="n">
        <v>89.31999999999999</v>
      </c>
      <c r="H295" s="15" t="n">
        <v>342988.8</v>
      </c>
      <c r="I295" s="4" t="inlineStr">
        <is>
          <t>上海分部</t>
        </is>
      </c>
      <c r="J295" s="4" t="inlineStr">
        <is>
          <t>徐磊英</t>
        </is>
      </c>
    </row>
    <row r="296">
      <c r="A296" s="14" t="n">
        <v>45977</v>
      </c>
      <c r="B296" s="4" t="inlineStr">
        <is>
          <t>SO202510247</t>
        </is>
      </c>
      <c r="C296" s="4" t="inlineStr">
        <is>
          <t>苏州淼沃酒店管理集团</t>
        </is>
      </c>
      <c r="D296" s="4" t="inlineStr">
        <is>
          <t>团餐</t>
        </is>
      </c>
      <c r="E296" s="4" t="inlineStr">
        <is>
          <t>25kg</t>
        </is>
      </c>
      <c r="F296" s="18" t="n">
        <v>2580</v>
      </c>
      <c r="G296" s="15" t="n">
        <v>220.47</v>
      </c>
      <c r="H296" s="15" t="n">
        <v>568812.6</v>
      </c>
      <c r="I296" s="4" t="inlineStr">
        <is>
          <t>赣皖区域</t>
        </is>
      </c>
      <c r="J296" s="4" t="inlineStr">
        <is>
          <t>王洋敏</t>
        </is>
      </c>
    </row>
    <row r="297">
      <c r="A297" s="14" t="n">
        <v>45977</v>
      </c>
      <c r="B297" s="4" t="inlineStr">
        <is>
          <t>SO202510327</t>
        </is>
      </c>
      <c r="C297" s="4" t="inlineStr">
        <is>
          <t>嘉兴京功超市</t>
        </is>
      </c>
      <c r="D297" s="4" t="inlineStr">
        <is>
          <t>复合调味粉</t>
        </is>
      </c>
      <c r="E297" s="4" t="inlineStr">
        <is>
          <t>25kg</t>
        </is>
      </c>
      <c r="F297" s="18" t="n">
        <v>1830</v>
      </c>
      <c r="G297" s="15" t="n">
        <v>187.11</v>
      </c>
      <c r="H297" s="15" t="n">
        <v>342411.3</v>
      </c>
      <c r="I297" s="4" t="inlineStr">
        <is>
          <t>江苏分部</t>
        </is>
      </c>
      <c r="J297" s="4" t="inlineStr">
        <is>
          <t>林杰伟</t>
        </is>
      </c>
    </row>
    <row r="298">
      <c r="A298" s="14" t="n">
        <v>45980</v>
      </c>
      <c r="B298" s="4" t="inlineStr">
        <is>
          <t>SO202510042</t>
        </is>
      </c>
      <c r="C298" s="4" t="inlineStr">
        <is>
          <t>南京百味超市</t>
        </is>
      </c>
      <c r="D298" s="4" t="inlineStr">
        <is>
          <t>调味汁</t>
        </is>
      </c>
      <c r="E298" s="4" t="inlineStr">
        <is>
          <t>10kg</t>
        </is>
      </c>
      <c r="F298" s="18" t="n">
        <v>40</v>
      </c>
      <c r="G298" s="15" t="n">
        <v>119.6</v>
      </c>
      <c r="H298" s="15" t="n">
        <v>4784</v>
      </c>
      <c r="I298" s="4" t="inlineStr">
        <is>
          <t>江苏分部</t>
        </is>
      </c>
      <c r="J298" s="4" t="inlineStr">
        <is>
          <t>李明英</t>
        </is>
      </c>
    </row>
    <row r="299">
      <c r="A299" s="14" t="n">
        <v>45982</v>
      </c>
      <c r="B299" s="4" t="inlineStr">
        <is>
          <t>SO202510127</t>
        </is>
      </c>
      <c r="C299" s="4" t="inlineStr">
        <is>
          <t>宁波京功超市</t>
        </is>
      </c>
      <c r="D299" s="4" t="inlineStr">
        <is>
          <t>团餐</t>
        </is>
      </c>
      <c r="E299" s="4" t="inlineStr">
        <is>
          <t>2.5kg</t>
        </is>
      </c>
      <c r="F299" s="18" t="n">
        <v>1300</v>
      </c>
      <c r="G299" s="15" t="n">
        <v>261.84</v>
      </c>
      <c r="H299" s="15" t="n">
        <v>340392</v>
      </c>
      <c r="I299" s="4" t="inlineStr">
        <is>
          <t>浙江分部</t>
        </is>
      </c>
      <c r="J299" s="4" t="inlineStr">
        <is>
          <t>王娟秀</t>
        </is>
      </c>
    </row>
    <row r="300">
      <c r="A300" s="14" t="n">
        <v>45982</v>
      </c>
      <c r="B300" s="4" t="inlineStr">
        <is>
          <t>SO202510130</t>
        </is>
      </c>
      <c r="C300" s="4" t="inlineStr">
        <is>
          <t>南京食佳餐饮管理有限公司</t>
        </is>
      </c>
      <c r="D300" s="4" t="inlineStr">
        <is>
          <t>团餐</t>
        </is>
      </c>
      <c r="E300" s="4" t="inlineStr">
        <is>
          <t>1kg</t>
        </is>
      </c>
      <c r="F300" s="18" t="n">
        <v>4420</v>
      </c>
      <c r="G300" s="15" t="n">
        <v>173.55</v>
      </c>
      <c r="H300" s="15" t="n">
        <v>767091</v>
      </c>
      <c r="I300" s="4" t="inlineStr">
        <is>
          <t>上海分部</t>
        </is>
      </c>
      <c r="J300" s="4" t="inlineStr">
        <is>
          <t>高杰娜</t>
        </is>
      </c>
    </row>
    <row r="301">
      <c r="A301" s="14" t="n">
        <v>45982</v>
      </c>
      <c r="B301" s="4" t="inlineStr">
        <is>
          <t>SO202510198</t>
        </is>
      </c>
      <c r="C301" s="4" t="inlineStr">
        <is>
          <t>上海大匠餐饮管理有限公司</t>
        </is>
      </c>
      <c r="D301" s="4" t="inlineStr">
        <is>
          <t>酱料</t>
        </is>
      </c>
      <c r="E301" s="4" t="inlineStr">
        <is>
          <t>5kg</t>
        </is>
      </c>
      <c r="F301" s="18" t="n">
        <v>1460</v>
      </c>
      <c r="G301" s="15" t="n">
        <v>94.73999999999999</v>
      </c>
      <c r="H301" s="15" t="n">
        <v>138320.4</v>
      </c>
      <c r="I301" s="4" t="inlineStr">
        <is>
          <t>江苏分部</t>
        </is>
      </c>
      <c r="J301" s="4" t="inlineStr">
        <is>
          <t>李秀芳</t>
        </is>
      </c>
    </row>
    <row r="302">
      <c r="A302" s="14" t="n">
        <v>45982</v>
      </c>
      <c r="B302" s="4" t="inlineStr">
        <is>
          <t>SO202510279</t>
        </is>
      </c>
      <c r="C302" s="4" t="inlineStr">
        <is>
          <t>苏州淼沃酒店管理集团</t>
        </is>
      </c>
      <c r="D302" s="4" t="inlineStr">
        <is>
          <t>川味底料</t>
        </is>
      </c>
      <c r="E302" s="4" t="inlineStr">
        <is>
          <t>25kg</t>
        </is>
      </c>
      <c r="F302" s="18" t="n">
        <v>2300</v>
      </c>
      <c r="G302" s="15" t="n">
        <v>125.97</v>
      </c>
      <c r="H302" s="15" t="n">
        <v>289731</v>
      </c>
      <c r="I302" s="4" t="inlineStr">
        <is>
          <t>上海分部</t>
        </is>
      </c>
      <c r="J302" s="4" t="inlineStr">
        <is>
          <t>黄芳娜</t>
        </is>
      </c>
    </row>
    <row r="303">
      <c r="A303" s="14" t="n">
        <v>45983</v>
      </c>
      <c r="B303" s="4" t="inlineStr">
        <is>
          <t>SO202510278</t>
        </is>
      </c>
      <c r="C303" s="4" t="inlineStr">
        <is>
          <t>南昌百味食品有限公司</t>
        </is>
      </c>
      <c r="D303" s="4" t="inlineStr">
        <is>
          <t>预制菜</t>
        </is>
      </c>
      <c r="E303" s="4" t="inlineStr">
        <is>
          <t>5kg</t>
        </is>
      </c>
      <c r="F303" s="18" t="n">
        <v>240</v>
      </c>
      <c r="G303" s="15" t="n">
        <v>23.01</v>
      </c>
      <c r="H303" s="15" t="n">
        <v>5522.4</v>
      </c>
      <c r="I303" s="4" t="inlineStr">
        <is>
          <t>上海分部</t>
        </is>
      </c>
      <c r="J303" s="4" t="inlineStr">
        <is>
          <t>何秀芳</t>
        </is>
      </c>
    </row>
    <row r="304">
      <c r="A304" s="14" t="n">
        <v>45983</v>
      </c>
      <c r="B304" s="4" t="inlineStr">
        <is>
          <t>SO202510314</t>
        </is>
      </c>
      <c r="C304" s="4" t="inlineStr">
        <is>
          <t>杭州淼沃食品有限公司</t>
        </is>
      </c>
      <c r="D304" s="4" t="inlineStr">
        <is>
          <t>复合调味粉</t>
        </is>
      </c>
      <c r="E304" s="4" t="inlineStr">
        <is>
          <t>C级</t>
        </is>
      </c>
      <c r="F304" s="18" t="n">
        <v>4420</v>
      </c>
      <c r="G304" s="15" t="n">
        <v>71.18000000000001</v>
      </c>
      <c r="H304" s="15" t="n">
        <v>314615.6</v>
      </c>
      <c r="I304" s="4" t="inlineStr">
        <is>
          <t>江苏分部</t>
        </is>
      </c>
      <c r="J304" s="4" t="inlineStr">
        <is>
          <t>孙伟芳</t>
        </is>
      </c>
    </row>
    <row r="305">
      <c r="A305" s="14" t="n">
        <v>45984</v>
      </c>
      <c r="B305" s="4" t="inlineStr">
        <is>
          <t>SO202510173</t>
        </is>
      </c>
      <c r="C305" s="4" t="inlineStr">
        <is>
          <t>上海大匠酒店管理集团</t>
        </is>
      </c>
      <c r="D305" s="4" t="inlineStr">
        <is>
          <t>团餐</t>
        </is>
      </c>
      <c r="E305" s="4" t="inlineStr">
        <is>
          <t>2.5kg</t>
        </is>
      </c>
      <c r="F305" s="18" t="n">
        <v>3400</v>
      </c>
      <c r="G305" s="15" t="n">
        <v>259.08</v>
      </c>
      <c r="H305" s="15" t="n">
        <v>880872</v>
      </c>
      <c r="I305" s="4" t="inlineStr">
        <is>
          <t>赣皖区域</t>
        </is>
      </c>
      <c r="J305" s="4" t="inlineStr">
        <is>
          <t>罗杰娜</t>
        </is>
      </c>
    </row>
    <row r="306">
      <c r="A306" s="14" t="n">
        <v>45985</v>
      </c>
      <c r="B306" s="4" t="inlineStr">
        <is>
          <t>SO202510289</t>
        </is>
      </c>
      <c r="C306" s="4" t="inlineStr">
        <is>
          <t>温州大匠商贸有限公司</t>
        </is>
      </c>
      <c r="D306" s="4" t="inlineStr">
        <is>
          <t>预制菜</t>
        </is>
      </c>
      <c r="E306" s="4" t="inlineStr">
        <is>
          <t>2.5kg</t>
        </is>
      </c>
      <c r="F306" s="18" t="n">
        <v>2850</v>
      </c>
      <c r="G306" s="15" t="n">
        <v>249.78</v>
      </c>
      <c r="H306" s="15" t="n">
        <v>711873</v>
      </c>
      <c r="I306" s="4" t="inlineStr">
        <is>
          <t>江苏分部</t>
        </is>
      </c>
      <c r="J306" s="4" t="inlineStr">
        <is>
          <t>马涛英</t>
        </is>
      </c>
    </row>
    <row r="307">
      <c r="A307" s="14" t="n">
        <v>45986</v>
      </c>
      <c r="B307" s="4" t="inlineStr">
        <is>
          <t>SO202510075</t>
        </is>
      </c>
      <c r="C307" s="4" t="inlineStr">
        <is>
          <t>嘉兴食佳餐饮管理有限公司</t>
        </is>
      </c>
      <c r="D307" s="4" t="inlineStr">
        <is>
          <t>酱料</t>
        </is>
      </c>
      <c r="E307" s="4" t="inlineStr">
        <is>
          <t>5kg</t>
        </is>
      </c>
      <c r="F307" s="18" t="n">
        <v>2720</v>
      </c>
      <c r="G307" s="15" t="n">
        <v>257.21</v>
      </c>
      <c r="H307" s="15" t="n">
        <v>699611.2</v>
      </c>
      <c r="I307" s="4" t="inlineStr">
        <is>
          <t>赣皖区域</t>
        </is>
      </c>
      <c r="J307" s="4" t="inlineStr">
        <is>
          <t>罗芳敏</t>
        </is>
      </c>
    </row>
    <row r="308">
      <c r="A308" s="14" t="n">
        <v>45987</v>
      </c>
      <c r="B308" s="4" t="inlineStr">
        <is>
          <t>SO202510136</t>
        </is>
      </c>
      <c r="C308" s="4" t="inlineStr">
        <is>
          <t>南昌优鲜商贸有限公司</t>
        </is>
      </c>
      <c r="D308" s="4" t="inlineStr">
        <is>
          <t>调味汁</t>
        </is>
      </c>
      <c r="E308" s="4" t="inlineStr">
        <is>
          <t>2.5kg</t>
        </is>
      </c>
      <c r="F308" s="18" t="n">
        <v>1620</v>
      </c>
      <c r="G308" s="15" t="n">
        <v>64.7</v>
      </c>
      <c r="H308" s="15" t="n">
        <v>104814</v>
      </c>
      <c r="I308" s="4" t="inlineStr">
        <is>
          <t>赣皖区域</t>
        </is>
      </c>
      <c r="J308" s="4" t="inlineStr">
        <is>
          <t>徐秀娜</t>
        </is>
      </c>
    </row>
    <row r="309">
      <c r="A309" s="14" t="n">
        <v>45987</v>
      </c>
      <c r="B309" s="4" t="inlineStr">
        <is>
          <t>SO202510269</t>
        </is>
      </c>
      <c r="C309" s="4" t="inlineStr">
        <is>
          <t>上海淼沃电商平台</t>
        </is>
      </c>
      <c r="D309" s="4" t="inlineStr">
        <is>
          <t>预制菜</t>
        </is>
      </c>
      <c r="E309" s="4" t="inlineStr">
        <is>
          <t>特级</t>
        </is>
      </c>
      <c r="F309" s="18" t="n">
        <v>290</v>
      </c>
      <c r="G309" s="15" t="n">
        <v>283.12</v>
      </c>
      <c r="H309" s="15" t="n">
        <v>82104.8</v>
      </c>
      <c r="I309" s="4" t="inlineStr">
        <is>
          <t>上海分部</t>
        </is>
      </c>
      <c r="J309" s="4" t="inlineStr">
        <is>
          <t>胡伟英</t>
        </is>
      </c>
    </row>
    <row r="310">
      <c r="A310" s="14" t="n">
        <v>45989</v>
      </c>
      <c r="B310" s="4" t="inlineStr">
        <is>
          <t>SO202510185</t>
        </is>
      </c>
      <c r="C310" s="4" t="inlineStr">
        <is>
          <t>常州淼沃餐饮管理有限公司</t>
        </is>
      </c>
      <c r="D310" s="4" t="inlineStr">
        <is>
          <t>调味汁</t>
        </is>
      </c>
      <c r="E310" s="4" t="inlineStr">
        <is>
          <t>精装</t>
        </is>
      </c>
      <c r="F310" s="18" t="n">
        <v>1360</v>
      </c>
      <c r="G310" s="15" t="n">
        <v>52.8</v>
      </c>
      <c r="H310" s="15" t="n">
        <v>71808</v>
      </c>
      <c r="I310" s="4" t="inlineStr">
        <is>
          <t>上海分部</t>
        </is>
      </c>
      <c r="J310" s="4" t="inlineStr">
        <is>
          <t>陈伟娜</t>
        </is>
      </c>
    </row>
    <row r="311">
      <c r="A311" s="14" t="n">
        <v>45989</v>
      </c>
      <c r="B311" s="4" t="inlineStr">
        <is>
          <t>SO202510268</t>
        </is>
      </c>
      <c r="C311" s="4" t="inlineStr">
        <is>
          <t>镇江大匠电商平台</t>
        </is>
      </c>
      <c r="D311" s="4" t="inlineStr">
        <is>
          <t>团餐</t>
        </is>
      </c>
      <c r="E311" s="4" t="inlineStr">
        <is>
          <t>1kg</t>
        </is>
      </c>
      <c r="F311" s="18" t="n">
        <v>4950</v>
      </c>
      <c r="G311" s="15" t="n">
        <v>231.54</v>
      </c>
      <c r="H311" s="15" t="n">
        <v>1146123</v>
      </c>
      <c r="I311" s="4" t="inlineStr">
        <is>
          <t>上海分部</t>
        </is>
      </c>
      <c r="J311" s="4" t="inlineStr">
        <is>
          <t>马明芳</t>
        </is>
      </c>
    </row>
    <row r="312">
      <c r="A312" s="14" t="n">
        <v>45993</v>
      </c>
      <c r="B312" s="4" t="inlineStr">
        <is>
          <t>SO202510294</t>
        </is>
      </c>
      <c r="C312" s="4" t="inlineStr">
        <is>
          <t>温州优鲜商贸有限公司</t>
        </is>
      </c>
      <c r="D312" s="4" t="inlineStr">
        <is>
          <t>复合调味粉</t>
        </is>
      </c>
      <c r="E312" s="4" t="inlineStr">
        <is>
          <t>C级</t>
        </is>
      </c>
      <c r="F312" s="18" t="n">
        <v>4940</v>
      </c>
      <c r="G312" s="15" t="n">
        <v>267.62</v>
      </c>
      <c r="H312" s="15" t="n">
        <v>1322042.8</v>
      </c>
      <c r="I312" s="4" t="inlineStr">
        <is>
          <t>赣皖区域</t>
        </is>
      </c>
      <c r="J312" s="4" t="inlineStr">
        <is>
          <t>郭强英</t>
        </is>
      </c>
    </row>
    <row r="313">
      <c r="A313" s="14" t="n">
        <v>45994</v>
      </c>
      <c r="B313" s="4" t="inlineStr">
        <is>
          <t>SO202510066</t>
        </is>
      </c>
      <c r="C313" s="4" t="inlineStr">
        <is>
          <t>苏州百味电商平台</t>
        </is>
      </c>
      <c r="D313" s="4" t="inlineStr">
        <is>
          <t>酱料</t>
        </is>
      </c>
      <c r="E313" s="4" t="inlineStr">
        <is>
          <t>A级</t>
        </is>
      </c>
      <c r="F313" s="18" t="n">
        <v>1410</v>
      </c>
      <c r="G313" s="15" t="n">
        <v>176.13</v>
      </c>
      <c r="H313" s="15" t="n">
        <v>248343.3</v>
      </c>
      <c r="I313" s="4" t="inlineStr">
        <is>
          <t>赣皖区域</t>
        </is>
      </c>
      <c r="J313" s="4" t="inlineStr">
        <is>
          <t>罗艳秀</t>
        </is>
      </c>
    </row>
    <row r="314">
      <c r="A314" s="14" t="n">
        <v>45995</v>
      </c>
      <c r="B314" s="4" t="inlineStr">
        <is>
          <t>SO202510063</t>
        </is>
      </c>
      <c r="C314" s="4" t="inlineStr">
        <is>
          <t>南昌京功商贸有限公司</t>
        </is>
      </c>
      <c r="D314" s="4" t="inlineStr">
        <is>
          <t>团餐</t>
        </is>
      </c>
      <c r="E314" s="4" t="inlineStr">
        <is>
          <t>标准</t>
        </is>
      </c>
      <c r="F314" s="18" t="n">
        <v>3150</v>
      </c>
      <c r="G314" s="15" t="n">
        <v>147.2</v>
      </c>
      <c r="H314" s="15" t="n">
        <v>463680</v>
      </c>
      <c r="I314" s="4" t="inlineStr">
        <is>
          <t>赣皖区域</t>
        </is>
      </c>
      <c r="J314" s="4" t="inlineStr">
        <is>
          <t>胡静英</t>
        </is>
      </c>
    </row>
    <row r="315">
      <c r="A315" s="14" t="n">
        <v>45995</v>
      </c>
      <c r="B315" s="4" t="inlineStr">
        <is>
          <t>SO202510068</t>
        </is>
      </c>
      <c r="C315" s="4" t="inlineStr">
        <is>
          <t>合肥食佳酒店管理集团</t>
        </is>
      </c>
      <c r="D315" s="4" t="inlineStr">
        <is>
          <t>调味汁</t>
        </is>
      </c>
      <c r="E315" s="4" t="inlineStr">
        <is>
          <t>精装</t>
        </is>
      </c>
      <c r="F315" s="18" t="n">
        <v>700</v>
      </c>
      <c r="G315" s="15" t="n">
        <v>106.66</v>
      </c>
      <c r="H315" s="15" t="n">
        <v>74662</v>
      </c>
      <c r="I315" s="4" t="inlineStr">
        <is>
          <t>上海分部</t>
        </is>
      </c>
      <c r="J315" s="4" t="inlineStr">
        <is>
          <t>何兰芳</t>
        </is>
      </c>
    </row>
    <row r="316">
      <c r="A316" s="14" t="n">
        <v>45995</v>
      </c>
      <c r="B316" s="4" t="inlineStr">
        <is>
          <t>SO202510273</t>
        </is>
      </c>
      <c r="C316" s="4" t="inlineStr">
        <is>
          <t>上海优鲜超市</t>
        </is>
      </c>
      <c r="D316" s="4" t="inlineStr">
        <is>
          <t>川味底料</t>
        </is>
      </c>
      <c r="E316" s="4" t="inlineStr">
        <is>
          <t>2.5kg</t>
        </is>
      </c>
      <c r="F316" s="18" t="n">
        <v>4160</v>
      </c>
      <c r="G316" s="15" t="n">
        <v>60.51</v>
      </c>
      <c r="H316" s="15" t="n">
        <v>251721.6</v>
      </c>
      <c r="I316" s="4" t="inlineStr">
        <is>
          <t>上海分部</t>
        </is>
      </c>
      <c r="J316" s="4" t="inlineStr">
        <is>
          <t>罗艳秀</t>
        </is>
      </c>
    </row>
    <row r="317">
      <c r="A317" s="14" t="n">
        <v>45996</v>
      </c>
      <c r="B317" s="4" t="inlineStr">
        <is>
          <t>SO202510041</t>
        </is>
      </c>
      <c r="C317" s="4" t="inlineStr">
        <is>
          <t>常州京功电商平台</t>
        </is>
      </c>
      <c r="D317" s="4" t="inlineStr">
        <is>
          <t>调味汁</t>
        </is>
      </c>
      <c r="E317" s="4" t="inlineStr">
        <is>
          <t>25kg</t>
        </is>
      </c>
      <c r="F317" s="18" t="n">
        <v>3480</v>
      </c>
      <c r="G317" s="15" t="n">
        <v>118.84</v>
      </c>
      <c r="H317" s="15" t="n">
        <v>413563.2</v>
      </c>
      <c r="I317" s="4" t="inlineStr">
        <is>
          <t>浙江分部</t>
        </is>
      </c>
      <c r="J317" s="4" t="inlineStr">
        <is>
          <t>周秀英</t>
        </is>
      </c>
    </row>
    <row r="318">
      <c r="A318" s="14" t="n">
        <v>45996</v>
      </c>
      <c r="B318" s="4" t="inlineStr">
        <is>
          <t>SO202510064</t>
        </is>
      </c>
      <c r="C318" s="4" t="inlineStr">
        <is>
          <t>镇江大匠商贸有限公司</t>
        </is>
      </c>
      <c r="D318" s="4" t="inlineStr">
        <is>
          <t>川味底料</t>
        </is>
      </c>
      <c r="E318" s="4" t="inlineStr">
        <is>
          <t>简装</t>
        </is>
      </c>
      <c r="F318" s="18" t="n">
        <v>2600</v>
      </c>
      <c r="G318" s="15" t="n">
        <v>152.38</v>
      </c>
      <c r="H318" s="15" t="n">
        <v>396188</v>
      </c>
      <c r="I318" s="4" t="inlineStr">
        <is>
          <t>上海分部</t>
        </is>
      </c>
      <c r="J318" s="4" t="inlineStr">
        <is>
          <t>何勇英</t>
        </is>
      </c>
    </row>
    <row r="319">
      <c r="A319" s="14" t="n">
        <v>45996</v>
      </c>
      <c r="B319" s="4" t="inlineStr">
        <is>
          <t>SO202510088</t>
        </is>
      </c>
      <c r="C319" s="4" t="inlineStr">
        <is>
          <t>合肥百味商贸有限公司</t>
        </is>
      </c>
      <c r="D319" s="4" t="inlineStr">
        <is>
          <t>中式汤底</t>
        </is>
      </c>
      <c r="E319" s="4" t="inlineStr">
        <is>
          <t>C级</t>
        </is>
      </c>
      <c r="F319" s="18" t="n">
        <v>3660</v>
      </c>
      <c r="G319" s="15" t="n">
        <v>220.95</v>
      </c>
      <c r="H319" s="15" t="n">
        <v>808677</v>
      </c>
      <c r="I319" s="4" t="inlineStr">
        <is>
          <t>赣皖区域</t>
        </is>
      </c>
      <c r="J319" s="4" t="inlineStr">
        <is>
          <t>刘秀秀</t>
        </is>
      </c>
    </row>
    <row r="320">
      <c r="A320" s="14" t="n">
        <v>45997</v>
      </c>
      <c r="B320" s="4" t="inlineStr">
        <is>
          <t>SO202510110</t>
        </is>
      </c>
      <c r="C320" s="4" t="inlineStr">
        <is>
          <t>温州优鲜食品有限公司</t>
        </is>
      </c>
      <c r="D320" s="4" t="inlineStr">
        <is>
          <t>酱料</t>
        </is>
      </c>
      <c r="E320" s="4" t="inlineStr">
        <is>
          <t>500g</t>
        </is>
      </c>
      <c r="F320" s="18" t="n">
        <v>3390</v>
      </c>
      <c r="G320" s="15" t="n">
        <v>239.51</v>
      </c>
      <c r="H320" s="15" t="n">
        <v>811938.9</v>
      </c>
      <c r="I320" s="4" t="inlineStr">
        <is>
          <t>赣皖区域</t>
        </is>
      </c>
      <c r="J320" s="4" t="inlineStr">
        <is>
          <t>郭超芳</t>
        </is>
      </c>
    </row>
    <row r="321">
      <c r="A321" s="14" t="n">
        <v>45997</v>
      </c>
      <c r="B321" s="4" t="inlineStr">
        <is>
          <t>SO202510217</t>
        </is>
      </c>
      <c r="C321" s="4" t="inlineStr">
        <is>
          <t>上海百味供应链有限公司</t>
        </is>
      </c>
      <c r="D321" s="4" t="inlineStr">
        <is>
          <t>川味底料</t>
        </is>
      </c>
      <c r="E321" s="4" t="inlineStr">
        <is>
          <t>5kg</t>
        </is>
      </c>
      <c r="F321" s="18" t="n">
        <v>2790</v>
      </c>
      <c r="G321" s="15" t="n">
        <v>183.67</v>
      </c>
      <c r="H321" s="15" t="n">
        <v>512439.3</v>
      </c>
      <c r="I321" s="4" t="inlineStr">
        <is>
          <t>赣皖区域</t>
        </is>
      </c>
      <c r="J321" s="4" t="inlineStr">
        <is>
          <t>胡伟伟</t>
        </is>
      </c>
    </row>
    <row r="322">
      <c r="A322" s="14" t="n">
        <v>45997</v>
      </c>
      <c r="B322" s="4" t="inlineStr">
        <is>
          <t>SO202510287</t>
        </is>
      </c>
      <c r="C322" s="4" t="inlineStr">
        <is>
          <t>嘉兴优鲜餐饮管理有限公司</t>
        </is>
      </c>
      <c r="D322" s="4" t="inlineStr">
        <is>
          <t>酱料</t>
        </is>
      </c>
      <c r="E322" s="4" t="inlineStr">
        <is>
          <t>A级</t>
        </is>
      </c>
      <c r="F322" s="18" t="n">
        <v>2550</v>
      </c>
      <c r="G322" s="15" t="n">
        <v>300</v>
      </c>
      <c r="H322" s="15" t="n">
        <v>765000</v>
      </c>
      <c r="I322" s="4" t="inlineStr">
        <is>
          <t>江苏分部</t>
        </is>
      </c>
      <c r="J322" s="4" t="inlineStr">
        <is>
          <t>何涛秀</t>
        </is>
      </c>
    </row>
    <row r="323">
      <c r="A323" s="14" t="n">
        <v>45998</v>
      </c>
      <c r="B323" s="4" t="inlineStr">
        <is>
          <t>SO202510277</t>
        </is>
      </c>
      <c r="C323" s="4" t="inlineStr">
        <is>
          <t>合肥淼沃超市</t>
        </is>
      </c>
      <c r="D323" s="4" t="inlineStr">
        <is>
          <t>复合调味粉</t>
        </is>
      </c>
      <c r="E323" s="4" t="inlineStr">
        <is>
          <t>10kg</t>
        </is>
      </c>
      <c r="F323" s="18" t="n">
        <v>1170</v>
      </c>
      <c r="G323" s="15" t="n">
        <v>248.32</v>
      </c>
      <c r="H323" s="15" t="n">
        <v>290534.4</v>
      </c>
      <c r="I323" s="4" t="inlineStr">
        <is>
          <t>江苏分部</t>
        </is>
      </c>
      <c r="J323" s="4" t="inlineStr">
        <is>
          <t>郭兰秀</t>
        </is>
      </c>
    </row>
    <row r="324">
      <c r="A324" s="14" t="n">
        <v>45999</v>
      </c>
      <c r="B324" s="4" t="inlineStr">
        <is>
          <t>SO202510051</t>
        </is>
      </c>
      <c r="C324" s="4" t="inlineStr">
        <is>
          <t>常州京功超市</t>
        </is>
      </c>
      <c r="D324" s="4" t="inlineStr">
        <is>
          <t>调味汁</t>
        </is>
      </c>
      <c r="E324" s="4" t="inlineStr">
        <is>
          <t>B级</t>
        </is>
      </c>
      <c r="F324" s="18" t="n">
        <v>3830</v>
      </c>
      <c r="G324" s="15" t="n">
        <v>291.13</v>
      </c>
      <c r="H324" s="15" t="n">
        <v>1115027.9</v>
      </c>
      <c r="I324" s="4" t="inlineStr">
        <is>
          <t>江苏分部</t>
        </is>
      </c>
      <c r="J324" s="4" t="inlineStr">
        <is>
          <t>刘艳娜</t>
        </is>
      </c>
    </row>
    <row r="325">
      <c r="A325" s="14" t="n">
        <v>45999</v>
      </c>
      <c r="B325" s="4" t="inlineStr">
        <is>
          <t>SO202510330</t>
        </is>
      </c>
      <c r="C325" s="4" t="inlineStr">
        <is>
          <t>南京淼沃酒店管理集团</t>
        </is>
      </c>
      <c r="D325" s="4" t="inlineStr">
        <is>
          <t>复合调味粉</t>
        </is>
      </c>
      <c r="E325" s="4" t="inlineStr">
        <is>
          <t>2.5kg</t>
        </is>
      </c>
      <c r="F325" s="18" t="n">
        <v>2260</v>
      </c>
      <c r="G325" s="15" t="n">
        <v>232.17</v>
      </c>
      <c r="H325" s="15" t="n">
        <v>524704.2</v>
      </c>
      <c r="I325" s="4" t="inlineStr">
        <is>
          <t>江苏分部</t>
        </is>
      </c>
      <c r="J325" s="4" t="inlineStr">
        <is>
          <t>徐英英</t>
        </is>
      </c>
    </row>
    <row r="326">
      <c r="A326" s="14" t="n">
        <v>46001</v>
      </c>
      <c r="B326" s="4" t="inlineStr">
        <is>
          <t>SO202510174</t>
        </is>
      </c>
      <c r="C326" s="4" t="inlineStr">
        <is>
          <t>上海百味商贸有限公司</t>
        </is>
      </c>
      <c r="D326" s="4" t="inlineStr">
        <is>
          <t>川味底料</t>
        </is>
      </c>
      <c r="E326" s="4" t="inlineStr">
        <is>
          <t>5kg</t>
        </is>
      </c>
      <c r="F326" s="18" t="n">
        <v>4260</v>
      </c>
      <c r="G326" s="15" t="n">
        <v>229.82</v>
      </c>
      <c r="H326" s="15" t="n">
        <v>979033.2</v>
      </c>
      <c r="I326" s="4" t="inlineStr">
        <is>
          <t>浙江分部</t>
        </is>
      </c>
      <c r="J326" s="4" t="inlineStr">
        <is>
          <t>罗强敏</t>
        </is>
      </c>
    </row>
    <row r="327">
      <c r="A327" s="14" t="n">
        <v>46001</v>
      </c>
      <c r="B327" s="4" t="inlineStr">
        <is>
          <t>SO202510321</t>
        </is>
      </c>
      <c r="C327" s="4" t="inlineStr">
        <is>
          <t>嘉兴优鲜酒店管理集团</t>
        </is>
      </c>
      <c r="D327" s="4" t="inlineStr">
        <is>
          <t>调味汁</t>
        </is>
      </c>
      <c r="E327" s="4" t="inlineStr">
        <is>
          <t>A级</t>
        </is>
      </c>
      <c r="F327" s="18" t="n">
        <v>1860</v>
      </c>
      <c r="G327" s="15" t="n">
        <v>134.88</v>
      </c>
      <c r="H327" s="15" t="n">
        <v>250876.8</v>
      </c>
      <c r="I327" s="4" t="inlineStr">
        <is>
          <t>赣皖区域</t>
        </is>
      </c>
      <c r="J327" s="4" t="inlineStr">
        <is>
          <t>杨娜秀</t>
        </is>
      </c>
    </row>
    <row r="328">
      <c r="A328" s="14" t="n">
        <v>46004</v>
      </c>
      <c r="B328" s="4" t="inlineStr">
        <is>
          <t>SO202510129</t>
        </is>
      </c>
      <c r="C328" s="4" t="inlineStr">
        <is>
          <t>宁波优鲜商贸有限公司</t>
        </is>
      </c>
      <c r="D328" s="4" t="inlineStr">
        <is>
          <t>中式汤底</t>
        </is>
      </c>
      <c r="E328" s="4" t="inlineStr">
        <is>
          <t>2.5kg</t>
        </is>
      </c>
      <c r="F328" s="18" t="n">
        <v>4800</v>
      </c>
      <c r="G328" s="15" t="n">
        <v>241.6</v>
      </c>
      <c r="H328" s="15" t="n">
        <v>1159680</v>
      </c>
      <c r="I328" s="4" t="inlineStr">
        <is>
          <t>上海分部</t>
        </is>
      </c>
      <c r="J328" s="4" t="inlineStr">
        <is>
          <t>高明芳</t>
        </is>
      </c>
    </row>
    <row r="329">
      <c r="A329" s="14" t="n">
        <v>46004</v>
      </c>
      <c r="B329" s="4" t="inlineStr">
        <is>
          <t>SO202510264</t>
        </is>
      </c>
      <c r="C329" s="4" t="inlineStr">
        <is>
          <t>温州优鲜电商平台</t>
        </is>
      </c>
      <c r="D329" s="4" t="inlineStr">
        <is>
          <t>复合调味粉</t>
        </is>
      </c>
      <c r="E329" s="4" t="inlineStr">
        <is>
          <t>B级</t>
        </is>
      </c>
      <c r="F329" s="18" t="n">
        <v>4970</v>
      </c>
      <c r="G329" s="15" t="n">
        <v>79.69</v>
      </c>
      <c r="H329" s="15" t="n">
        <v>396059.3</v>
      </c>
      <c r="I329" s="4" t="inlineStr">
        <is>
          <t>上海分部</t>
        </is>
      </c>
      <c r="J329" s="4" t="inlineStr">
        <is>
          <t>黄涛秀</t>
        </is>
      </c>
    </row>
    <row r="330">
      <c r="A330" s="14" t="n">
        <v>46005</v>
      </c>
      <c r="B330" s="4" t="inlineStr">
        <is>
          <t>SO202510011</t>
        </is>
      </c>
      <c r="C330" s="4" t="inlineStr">
        <is>
          <t>南京百味餐饮管理有限公司</t>
        </is>
      </c>
      <c r="D330" s="4" t="inlineStr">
        <is>
          <t>酱料</t>
        </is>
      </c>
      <c r="E330" s="4" t="inlineStr">
        <is>
          <t>标准</t>
        </is>
      </c>
      <c r="F330" s="18" t="n">
        <v>1620</v>
      </c>
      <c r="G330" s="15" t="n">
        <v>45.94</v>
      </c>
      <c r="H330" s="15" t="n">
        <v>74422.8</v>
      </c>
      <c r="I330" s="4" t="inlineStr">
        <is>
          <t>浙江分部</t>
        </is>
      </c>
      <c r="J330" s="4" t="inlineStr">
        <is>
          <t>李洋伟</t>
        </is>
      </c>
    </row>
    <row r="331">
      <c r="A331" s="14" t="n">
        <v>46005</v>
      </c>
      <c r="B331" s="4" t="inlineStr">
        <is>
          <t>SO202510128</t>
        </is>
      </c>
      <c r="C331" s="4" t="inlineStr">
        <is>
          <t>上海淼沃超市</t>
        </is>
      </c>
      <c r="D331" s="4" t="inlineStr">
        <is>
          <t>酱料</t>
        </is>
      </c>
      <c r="E331" s="4" t="inlineStr">
        <is>
          <t>精装</t>
        </is>
      </c>
      <c r="F331" s="18" t="n">
        <v>1980</v>
      </c>
      <c r="G331" s="15" t="n">
        <v>194.77</v>
      </c>
      <c r="H331" s="15" t="n">
        <v>385644.6</v>
      </c>
      <c r="I331" s="4" t="inlineStr">
        <is>
          <t>江苏分部</t>
        </is>
      </c>
      <c r="J331" s="4" t="inlineStr">
        <is>
          <t>黄磊秀</t>
        </is>
      </c>
    </row>
    <row r="332">
      <c r="A332" s="14" t="n">
        <v>46006</v>
      </c>
      <c r="B332" s="4" t="inlineStr">
        <is>
          <t>SO202510326</t>
        </is>
      </c>
      <c r="C332" s="4" t="inlineStr">
        <is>
          <t>无锡优鲜餐饮管理有限公司</t>
        </is>
      </c>
      <c r="D332" s="4" t="inlineStr">
        <is>
          <t>酱料</t>
        </is>
      </c>
      <c r="E332" s="4" t="inlineStr">
        <is>
          <t>2.5kg</t>
        </is>
      </c>
      <c r="F332" s="18" t="n">
        <v>5000</v>
      </c>
      <c r="G332" s="15" t="n">
        <v>258.72</v>
      </c>
      <c r="H332" s="15" t="n">
        <v>1293600</v>
      </c>
      <c r="I332" s="4" t="inlineStr">
        <is>
          <t>浙江分部</t>
        </is>
      </c>
      <c r="J332" s="4" t="inlineStr">
        <is>
          <t>吴娟英</t>
        </is>
      </c>
    </row>
    <row r="333">
      <c r="A333" s="14" t="n">
        <v>46007</v>
      </c>
      <c r="B333" s="4" t="inlineStr">
        <is>
          <t>SO202510272</t>
        </is>
      </c>
      <c r="C333" s="4" t="inlineStr">
        <is>
          <t>镇江大匠餐饮管理有限公司</t>
        </is>
      </c>
      <c r="D333" s="4" t="inlineStr">
        <is>
          <t>预制菜</t>
        </is>
      </c>
      <c r="E333" s="4" t="inlineStr">
        <is>
          <t>10kg</t>
        </is>
      </c>
      <c r="F333" s="18" t="n">
        <v>2380</v>
      </c>
      <c r="G333" s="15" t="n">
        <v>17.42</v>
      </c>
      <c r="H333" s="15" t="n">
        <v>41459.6</v>
      </c>
      <c r="I333" s="4" t="inlineStr">
        <is>
          <t>上海分部</t>
        </is>
      </c>
      <c r="J333" s="4" t="inlineStr">
        <is>
          <t>林秀娜</t>
        </is>
      </c>
    </row>
    <row r="334">
      <c r="A334" s="14" t="n">
        <v>46008</v>
      </c>
      <c r="B334" s="4" t="inlineStr">
        <is>
          <t>SO202510182</t>
        </is>
      </c>
      <c r="C334" s="4" t="inlineStr">
        <is>
          <t>苏州优鲜供应链有限公司</t>
        </is>
      </c>
      <c r="D334" s="4" t="inlineStr">
        <is>
          <t>川味底料</t>
        </is>
      </c>
      <c r="E334" s="4" t="inlineStr">
        <is>
          <t>2.5kg</t>
        </is>
      </c>
      <c r="F334" s="18" t="n">
        <v>4100</v>
      </c>
      <c r="G334" s="15" t="n">
        <v>210.2</v>
      </c>
      <c r="H334" s="15" t="n">
        <v>861820</v>
      </c>
      <c r="I334" s="4" t="inlineStr">
        <is>
          <t>上海分部</t>
        </is>
      </c>
      <c r="J334" s="4" t="inlineStr">
        <is>
          <t>朱杰英</t>
        </is>
      </c>
    </row>
    <row r="335">
      <c r="A335" s="14" t="n">
        <v>46009</v>
      </c>
      <c r="B335" s="4" t="inlineStr">
        <is>
          <t>SO202510071</t>
        </is>
      </c>
      <c r="C335" s="4" t="inlineStr">
        <is>
          <t>常州优鲜商贸有限公司</t>
        </is>
      </c>
      <c r="D335" s="4" t="inlineStr">
        <is>
          <t>调味汁</t>
        </is>
      </c>
      <c r="E335" s="4" t="inlineStr">
        <is>
          <t>5kg</t>
        </is>
      </c>
      <c r="F335" s="18" t="n">
        <v>2040</v>
      </c>
      <c r="G335" s="15" t="n">
        <v>286.48</v>
      </c>
      <c r="H335" s="15" t="n">
        <v>584419.2</v>
      </c>
      <c r="I335" s="4" t="inlineStr">
        <is>
          <t>江苏分部</t>
        </is>
      </c>
      <c r="J335" s="4" t="inlineStr">
        <is>
          <t>徐英英</t>
        </is>
      </c>
    </row>
    <row r="336">
      <c r="A336" s="14" t="n">
        <v>46009</v>
      </c>
      <c r="B336" s="4" t="inlineStr">
        <is>
          <t>SO202510124</t>
        </is>
      </c>
      <c r="C336" s="4" t="inlineStr">
        <is>
          <t>无锡优鲜供应链有限公司</t>
        </is>
      </c>
      <c r="D336" s="4" t="inlineStr">
        <is>
          <t>复合调味粉</t>
        </is>
      </c>
      <c r="E336" s="4" t="inlineStr">
        <is>
          <t>简装</t>
        </is>
      </c>
      <c r="F336" s="18" t="n">
        <v>3470</v>
      </c>
      <c r="G336" s="15" t="n">
        <v>110.68</v>
      </c>
      <c r="H336" s="15" t="n">
        <v>384059.6</v>
      </c>
      <c r="I336" s="4" t="inlineStr">
        <is>
          <t>江苏分部</t>
        </is>
      </c>
      <c r="J336" s="4" t="inlineStr">
        <is>
          <t>何兰英</t>
        </is>
      </c>
    </row>
    <row r="337">
      <c r="A337" s="14" t="n">
        <v>46009</v>
      </c>
      <c r="B337" s="4" t="inlineStr">
        <is>
          <t>SO202510243</t>
        </is>
      </c>
      <c r="C337" s="4" t="inlineStr">
        <is>
          <t>温州百味电商平台</t>
        </is>
      </c>
      <c r="D337" s="4" t="inlineStr">
        <is>
          <t>复合调味粉</t>
        </is>
      </c>
      <c r="E337" s="4" t="inlineStr">
        <is>
          <t>A级</t>
        </is>
      </c>
      <c r="F337" s="18" t="n">
        <v>480</v>
      </c>
      <c r="G337" s="15" t="n">
        <v>188.38</v>
      </c>
      <c r="H337" s="15" t="n">
        <v>90422.39999999999</v>
      </c>
      <c r="I337" s="4" t="inlineStr">
        <is>
          <t>江苏分部</t>
        </is>
      </c>
      <c r="J337" s="4" t="inlineStr">
        <is>
          <t>吴芳娜</t>
        </is>
      </c>
    </row>
    <row r="338">
      <c r="A338" s="14" t="n">
        <v>46010</v>
      </c>
      <c r="B338" s="4" t="inlineStr">
        <is>
          <t>SO202510192</t>
        </is>
      </c>
      <c r="C338" s="4" t="inlineStr">
        <is>
          <t>南京优鲜酒店管理集团</t>
        </is>
      </c>
      <c r="D338" s="4" t="inlineStr">
        <is>
          <t>团餐</t>
        </is>
      </c>
      <c r="E338" s="4" t="inlineStr">
        <is>
          <t>10kg</t>
        </is>
      </c>
      <c r="F338" s="18" t="n">
        <v>1100</v>
      </c>
      <c r="G338" s="15" t="n">
        <v>129.17</v>
      </c>
      <c r="H338" s="15" t="n">
        <v>142087</v>
      </c>
      <c r="I338" s="4" t="inlineStr">
        <is>
          <t>赣皖区域</t>
        </is>
      </c>
      <c r="J338" s="4" t="inlineStr">
        <is>
          <t>罗杰芳</t>
        </is>
      </c>
    </row>
    <row r="339">
      <c r="A339" s="14" t="n">
        <v>46011</v>
      </c>
      <c r="B339" s="4" t="inlineStr">
        <is>
          <t>SO202510074</t>
        </is>
      </c>
      <c r="C339" s="4" t="inlineStr">
        <is>
          <t>苏州大匠电商平台</t>
        </is>
      </c>
      <c r="D339" s="4" t="inlineStr">
        <is>
          <t>团餐</t>
        </is>
      </c>
      <c r="E339" s="4" t="inlineStr">
        <is>
          <t>10kg</t>
        </is>
      </c>
      <c r="F339" s="18" t="n">
        <v>2640</v>
      </c>
      <c r="G339" s="15" t="n">
        <v>31.46</v>
      </c>
      <c r="H339" s="15" t="n">
        <v>83054.39999999999</v>
      </c>
      <c r="I339" s="4" t="inlineStr">
        <is>
          <t>浙江分部</t>
        </is>
      </c>
      <c r="J339" s="4" t="inlineStr">
        <is>
          <t>张芳敏</t>
        </is>
      </c>
    </row>
    <row r="340">
      <c r="A340" s="14" t="n">
        <v>46011</v>
      </c>
      <c r="B340" s="4" t="inlineStr">
        <is>
          <t>SO202510151</t>
        </is>
      </c>
      <c r="C340" s="4" t="inlineStr">
        <is>
          <t>嘉兴大匠供应链有限公司</t>
        </is>
      </c>
      <c r="D340" s="4" t="inlineStr">
        <is>
          <t>酱料</t>
        </is>
      </c>
      <c r="E340" s="4" t="inlineStr">
        <is>
          <t>特级</t>
        </is>
      </c>
      <c r="F340" s="18" t="n">
        <v>2960</v>
      </c>
      <c r="G340" s="15" t="n">
        <v>276.56</v>
      </c>
      <c r="H340" s="15" t="n">
        <v>818617.6</v>
      </c>
      <c r="I340" s="4" t="inlineStr">
        <is>
          <t>江苏分部</t>
        </is>
      </c>
      <c r="J340" s="4" t="inlineStr">
        <is>
          <t>赵伟娜</t>
        </is>
      </c>
    </row>
    <row r="341">
      <c r="A341" s="14" t="n">
        <v>46013</v>
      </c>
      <c r="B341" s="4" t="inlineStr">
        <is>
          <t>SO202510155</t>
        </is>
      </c>
      <c r="C341" s="4" t="inlineStr">
        <is>
          <t>镇江京功食品有限公司</t>
        </is>
      </c>
      <c r="D341" s="4" t="inlineStr">
        <is>
          <t>复合调味粉</t>
        </is>
      </c>
      <c r="E341" s="4" t="inlineStr">
        <is>
          <t>1kg</t>
        </is>
      </c>
      <c r="F341" s="18" t="n">
        <v>4260</v>
      </c>
      <c r="G341" s="15" t="n">
        <v>210.41</v>
      </c>
      <c r="H341" s="15" t="n">
        <v>896346.6</v>
      </c>
      <c r="I341" s="4" t="inlineStr">
        <is>
          <t>江苏分部</t>
        </is>
      </c>
      <c r="J341" s="4" t="inlineStr">
        <is>
          <t>刘杰英</t>
        </is>
      </c>
    </row>
    <row r="342">
      <c r="A342" s="14" t="n">
        <v>46014</v>
      </c>
      <c r="B342" s="4" t="inlineStr">
        <is>
          <t>SO202510238</t>
        </is>
      </c>
      <c r="C342" s="4" t="inlineStr">
        <is>
          <t>杭州京功食品有限公司</t>
        </is>
      </c>
      <c r="D342" s="4" t="inlineStr">
        <is>
          <t>酱料</t>
        </is>
      </c>
      <c r="E342" s="4" t="inlineStr">
        <is>
          <t>1kg</t>
        </is>
      </c>
      <c r="F342" s="18" t="n">
        <v>2580</v>
      </c>
      <c r="G342" s="15" t="n">
        <v>31.95</v>
      </c>
      <c r="H342" s="15" t="n">
        <v>82431</v>
      </c>
      <c r="I342" s="4" t="inlineStr">
        <is>
          <t>江苏分部</t>
        </is>
      </c>
      <c r="J342" s="4" t="inlineStr">
        <is>
          <t>吴秀娜</t>
        </is>
      </c>
    </row>
    <row r="343">
      <c r="A343" s="14" t="n">
        <v>46014</v>
      </c>
      <c r="B343" s="4" t="inlineStr">
        <is>
          <t>SO202510306</t>
        </is>
      </c>
      <c r="C343" s="4" t="inlineStr">
        <is>
          <t>温州食佳酒店管理集团</t>
        </is>
      </c>
      <c r="D343" s="4" t="inlineStr">
        <is>
          <t>团餐</t>
        </is>
      </c>
      <c r="E343" s="4" t="inlineStr">
        <is>
          <t>特级</t>
        </is>
      </c>
      <c r="F343" s="18" t="n">
        <v>4540</v>
      </c>
      <c r="G343" s="15" t="n">
        <v>23.06</v>
      </c>
      <c r="H343" s="15" t="n">
        <v>104692.4</v>
      </c>
      <c r="I343" s="4" t="inlineStr">
        <is>
          <t>上海分部</t>
        </is>
      </c>
      <c r="J343" s="4" t="inlineStr">
        <is>
          <t>吴英敏</t>
        </is>
      </c>
    </row>
    <row r="344">
      <c r="A344" s="14" t="n">
        <v>46015</v>
      </c>
      <c r="B344" s="4" t="inlineStr">
        <is>
          <t>SO202510263</t>
        </is>
      </c>
      <c r="C344" s="4" t="inlineStr">
        <is>
          <t>上海淼沃酒店管理集团</t>
        </is>
      </c>
      <c r="D344" s="4" t="inlineStr">
        <is>
          <t>中式汤底</t>
        </is>
      </c>
      <c r="E344" s="4" t="inlineStr">
        <is>
          <t>标准</t>
        </is>
      </c>
      <c r="F344" s="18" t="n">
        <v>4010</v>
      </c>
      <c r="G344" s="15" t="n">
        <v>104.86</v>
      </c>
      <c r="H344" s="15" t="n">
        <v>420488.6</v>
      </c>
      <c r="I344" s="4" t="inlineStr">
        <is>
          <t>浙江分部</t>
        </is>
      </c>
      <c r="J344" s="4" t="inlineStr">
        <is>
          <t>周艳娜</t>
        </is>
      </c>
    </row>
    <row r="345">
      <c r="A345" s="14" t="n">
        <v>46016</v>
      </c>
      <c r="B345" s="4" t="inlineStr">
        <is>
          <t>SO202510115</t>
        </is>
      </c>
      <c r="C345" s="4" t="inlineStr">
        <is>
          <t>温州京功餐饮管理有限公司</t>
        </is>
      </c>
      <c r="D345" s="4" t="inlineStr">
        <is>
          <t>复合调味粉</t>
        </is>
      </c>
      <c r="E345" s="4" t="inlineStr">
        <is>
          <t>2.5kg</t>
        </is>
      </c>
      <c r="F345" s="18" t="n">
        <v>2420</v>
      </c>
      <c r="G345" s="15" t="n">
        <v>41.94</v>
      </c>
      <c r="H345" s="15" t="n">
        <v>101494.8</v>
      </c>
      <c r="I345" s="4" t="inlineStr">
        <is>
          <t>浙江分部</t>
        </is>
      </c>
      <c r="J345" s="4" t="inlineStr">
        <is>
          <t>吴英芳</t>
        </is>
      </c>
    </row>
    <row r="346">
      <c r="A346" s="14" t="n">
        <v>46017</v>
      </c>
      <c r="B346" s="4" t="inlineStr">
        <is>
          <t>SO202510117</t>
        </is>
      </c>
      <c r="C346" s="4" t="inlineStr">
        <is>
          <t>上海百味餐饮管理有限公司</t>
        </is>
      </c>
      <c r="D346" s="4" t="inlineStr">
        <is>
          <t>川味底料</t>
        </is>
      </c>
      <c r="E346" s="4" t="inlineStr">
        <is>
          <t>B级</t>
        </is>
      </c>
      <c r="F346" s="18" t="n">
        <v>2890</v>
      </c>
      <c r="G346" s="15" t="n">
        <v>126.48</v>
      </c>
      <c r="H346" s="15" t="n">
        <v>365527.2</v>
      </c>
      <c r="I346" s="4" t="inlineStr">
        <is>
          <t>浙江分部</t>
        </is>
      </c>
      <c r="J346" s="4" t="inlineStr">
        <is>
          <t>罗兰伟</t>
        </is>
      </c>
    </row>
    <row r="347">
      <c r="A347" s="14" t="n">
        <v>46019</v>
      </c>
      <c r="B347" s="4" t="inlineStr">
        <is>
          <t>SO202510112</t>
        </is>
      </c>
      <c r="C347" s="4" t="inlineStr">
        <is>
          <t>南京京功电商平台</t>
        </is>
      </c>
      <c r="D347" s="4" t="inlineStr">
        <is>
          <t>团餐</t>
        </is>
      </c>
      <c r="E347" s="4" t="inlineStr">
        <is>
          <t>25kg</t>
        </is>
      </c>
      <c r="F347" s="18" t="n">
        <v>1020</v>
      </c>
      <c r="G347" s="15" t="n">
        <v>181.78</v>
      </c>
      <c r="H347" s="15" t="n">
        <v>185415.6</v>
      </c>
      <c r="I347" s="4" t="inlineStr">
        <is>
          <t>浙江分部</t>
        </is>
      </c>
      <c r="J347" s="4" t="inlineStr">
        <is>
          <t>李秀娜</t>
        </is>
      </c>
    </row>
    <row r="348">
      <c r="A348" s="6" t="inlineStr">
        <is>
          <t>合计</t>
        </is>
      </c>
      <c r="F348" s="19" t="n">
        <v>870480</v>
      </c>
      <c r="H348" s="16" t="n">
        <v>134175595.3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江苏美鑫食品科技有限公司应收账款账龄分析表</t>
        </is>
      </c>
    </row>
    <row r="2">
      <c r="A2" t="inlineStr">
        <is>
          <t>截止日期：2025年12月31日</t>
        </is>
      </c>
      <c r="H2" t="inlineStr">
        <is>
          <t>单位：元</t>
        </is>
      </c>
    </row>
    <row r="3">
      <c r="A3" s="2" t="inlineStr">
        <is>
          <t>客户名称</t>
        </is>
      </c>
      <c r="B3" s="2" t="inlineStr">
        <is>
          <t>应收余额</t>
        </is>
      </c>
      <c r="C3" s="2" t="inlineStr">
        <is>
          <t>账龄分布</t>
        </is>
      </c>
      <c r="H3" s="2" t="inlineStr">
        <is>
          <t>信用额度</t>
        </is>
      </c>
    </row>
    <row r="4">
      <c r="A4" s="12" t="n"/>
      <c r="B4" s="12" t="n"/>
      <c r="C4" s="2" t="inlineStr">
        <is>
          <t>0-30天</t>
        </is>
      </c>
      <c r="D4" s="2" t="inlineStr">
        <is>
          <t>31-60天</t>
        </is>
      </c>
      <c r="E4" s="2" t="inlineStr">
        <is>
          <t>61-90天</t>
        </is>
      </c>
      <c r="F4" s="2" t="inlineStr">
        <is>
          <t>91-180天</t>
        </is>
      </c>
      <c r="G4" s="2" t="inlineStr">
        <is>
          <t>180天以上</t>
        </is>
      </c>
      <c r="H4" s="12" t="n"/>
    </row>
    <row r="5">
      <c r="A5" s="4" t="inlineStr">
        <is>
          <t>西安永利商贸有限公司</t>
        </is>
      </c>
      <c r="B5" s="15" t="n">
        <v>1563817.29</v>
      </c>
      <c r="C5" s="15" t="n">
        <v>920931.0699999999</v>
      </c>
      <c r="D5" s="15" t="n">
        <v>333981.75</v>
      </c>
      <c r="E5" s="15" t="n">
        <v>37835.68</v>
      </c>
      <c r="F5" s="15" t="n">
        <v>189429.23</v>
      </c>
      <c r="G5" s="15" t="n">
        <v>81639.56</v>
      </c>
      <c r="H5" s="15" t="n">
        <v>1595083.68</v>
      </c>
    </row>
    <row r="6">
      <c r="A6" s="4" t="inlineStr">
        <is>
          <t>昆明荣泰电子商务有限公司</t>
        </is>
      </c>
      <c r="B6" s="15" t="n">
        <v>776499.71</v>
      </c>
      <c r="C6" s="15" t="n">
        <v>533586.14</v>
      </c>
      <c r="D6" s="15" t="n">
        <v>169770.39</v>
      </c>
      <c r="E6" s="15" t="n">
        <v>6496.85</v>
      </c>
      <c r="F6" s="15" t="n">
        <v>62037.4</v>
      </c>
      <c r="G6" s="15" t="n">
        <v>4608.93</v>
      </c>
      <c r="H6" s="15" t="n">
        <v>1488376.93</v>
      </c>
    </row>
    <row r="7">
      <c r="A7" s="4" t="inlineStr">
        <is>
          <t>无锡永利食品有限公司</t>
        </is>
      </c>
      <c r="B7" s="15" t="n">
        <v>2722504.59</v>
      </c>
      <c r="C7" s="15" t="n">
        <v>1228243.48</v>
      </c>
      <c r="D7" s="15" t="n">
        <v>978783.7</v>
      </c>
      <c r="E7" s="15" t="n">
        <v>316467.46</v>
      </c>
      <c r="F7" s="15" t="n">
        <v>101547.66</v>
      </c>
      <c r="G7" s="15" t="n">
        <v>97462.28999999999</v>
      </c>
      <c r="H7" s="15" t="n">
        <v>4052515.94</v>
      </c>
    </row>
    <row r="8">
      <c r="A8" s="4" t="inlineStr">
        <is>
          <t>西安京功供应链有限公司</t>
        </is>
      </c>
      <c r="B8" s="15" t="n">
        <v>852261.01</v>
      </c>
      <c r="C8" s="15" t="n">
        <v>581611.4399999999</v>
      </c>
      <c r="D8" s="15" t="n">
        <v>85905.25999999999</v>
      </c>
      <c r="E8" s="15" t="n">
        <v>63699.34</v>
      </c>
      <c r="F8" s="15" t="n">
        <v>69853.67999999999</v>
      </c>
      <c r="G8" s="15" t="n">
        <v>51191.29</v>
      </c>
      <c r="H8" s="15" t="n">
        <v>1798529.51</v>
      </c>
    </row>
    <row r="9">
      <c r="A9" s="4" t="inlineStr">
        <is>
          <t>天津优鲜连锁超市</t>
        </is>
      </c>
      <c r="B9" s="15" t="n">
        <v>2488473.6</v>
      </c>
      <c r="C9" s="15" t="n">
        <v>1604617.24</v>
      </c>
      <c r="D9" s="15" t="n">
        <v>234409.42</v>
      </c>
      <c r="E9" s="15" t="n">
        <v>351423.02</v>
      </c>
      <c r="F9" s="15" t="n">
        <v>220455.96</v>
      </c>
      <c r="G9" s="15" t="n">
        <v>77567.96000000001</v>
      </c>
      <c r="H9" s="15" t="n">
        <v>3759387.88</v>
      </c>
    </row>
    <row r="10">
      <c r="A10" s="4" t="inlineStr">
        <is>
          <t>上海汇通食品有限公司</t>
        </is>
      </c>
      <c r="B10" s="15" t="n">
        <v>1305112.21</v>
      </c>
      <c r="C10" s="15" t="n">
        <v>641954.49</v>
      </c>
      <c r="D10" s="15" t="n">
        <v>338615.45</v>
      </c>
      <c r="E10" s="15" t="n">
        <v>141463.39</v>
      </c>
      <c r="F10" s="15" t="n">
        <v>152164.19</v>
      </c>
      <c r="G10" s="15" t="n">
        <v>30914.69</v>
      </c>
      <c r="H10" s="15" t="n">
        <v>2585155.64</v>
      </c>
    </row>
    <row r="11">
      <c r="A11" s="4" t="inlineStr">
        <is>
          <t>福州大匠进出口有限公司</t>
        </is>
      </c>
      <c r="B11" s="15" t="n">
        <v>1469028.04</v>
      </c>
      <c r="C11" s="15" t="n">
        <v>639194.24</v>
      </c>
      <c r="D11" s="15" t="n">
        <v>680581.35</v>
      </c>
      <c r="E11" s="15" t="n">
        <v>26949.5</v>
      </c>
      <c r="F11" s="15" t="n">
        <v>36992.51</v>
      </c>
      <c r="G11" s="15" t="n">
        <v>85310.44</v>
      </c>
      <c r="H11" s="15" t="n">
        <v>1504452.63</v>
      </c>
    </row>
    <row r="12">
      <c r="A12" s="4" t="inlineStr">
        <is>
          <t>无锡优鲜连锁超市</t>
        </is>
      </c>
      <c r="B12" s="15" t="n">
        <v>1866589.62</v>
      </c>
      <c r="C12" s="15" t="n">
        <v>844203.91</v>
      </c>
      <c r="D12" s="15" t="n">
        <v>573027.5</v>
      </c>
      <c r="E12" s="15" t="n">
        <v>208361.95</v>
      </c>
      <c r="F12" s="15" t="n">
        <v>218045.38</v>
      </c>
      <c r="G12" s="15" t="n">
        <v>22950.88</v>
      </c>
      <c r="H12" s="15" t="n">
        <v>4240813.22</v>
      </c>
    </row>
    <row r="13">
      <c r="A13" s="4" t="inlineStr">
        <is>
          <t>合肥优鲜商贸有限公司</t>
        </is>
      </c>
      <c r="B13" s="15" t="n">
        <v>2028331.53</v>
      </c>
      <c r="C13" s="15" t="n">
        <v>1314798.65</v>
      </c>
      <c r="D13" s="15" t="n">
        <v>399221.16</v>
      </c>
      <c r="E13" s="15" t="n">
        <v>174107.64</v>
      </c>
      <c r="F13" s="15" t="n">
        <v>125533.49</v>
      </c>
      <c r="G13" s="15" t="n">
        <v>14670.59</v>
      </c>
      <c r="H13" s="15" t="n">
        <v>3855564.81</v>
      </c>
    </row>
    <row r="14">
      <c r="A14" s="4" t="inlineStr">
        <is>
          <t>合肥鑫达实业有限公司</t>
        </is>
      </c>
      <c r="B14" s="15" t="n">
        <v>1046008.52</v>
      </c>
      <c r="C14" s="15" t="n">
        <v>440904.7</v>
      </c>
      <c r="D14" s="15" t="n">
        <v>297024.56</v>
      </c>
      <c r="E14" s="15" t="n">
        <v>234279.24</v>
      </c>
      <c r="F14" s="15" t="n">
        <v>58596.66</v>
      </c>
      <c r="G14" s="15" t="n">
        <v>15203.36</v>
      </c>
      <c r="H14" s="15" t="n">
        <v>2584284.39</v>
      </c>
    </row>
    <row r="15">
      <c r="A15" s="4" t="inlineStr">
        <is>
          <t>上海优鲜食品有限公司</t>
        </is>
      </c>
      <c r="B15" s="15" t="n">
        <v>1211549.86</v>
      </c>
      <c r="C15" s="15" t="n">
        <v>632437.4300000001</v>
      </c>
      <c r="D15" s="15" t="n">
        <v>222418.33</v>
      </c>
      <c r="E15" s="15" t="n">
        <v>168474.38</v>
      </c>
      <c r="F15" s="15" t="n">
        <v>157924.72</v>
      </c>
      <c r="G15" s="15" t="n">
        <v>30295</v>
      </c>
      <c r="H15" s="15" t="n">
        <v>2859203.03</v>
      </c>
    </row>
    <row r="16">
      <c r="A16" s="4" t="inlineStr">
        <is>
          <t>重庆鑫达食品有限公司</t>
        </is>
      </c>
      <c r="B16" s="15" t="n">
        <v>417230.8</v>
      </c>
      <c r="C16" s="15" t="n">
        <v>236264.69</v>
      </c>
      <c r="D16" s="15" t="n">
        <v>104573.31</v>
      </c>
      <c r="E16" s="15" t="n">
        <v>8852.059999999999</v>
      </c>
      <c r="F16" s="15" t="n">
        <v>41360.98</v>
      </c>
      <c r="G16" s="15" t="n">
        <v>26179.76</v>
      </c>
      <c r="H16" s="15" t="n">
        <v>470304.03</v>
      </c>
    </row>
    <row r="17">
      <c r="A17" s="4" t="inlineStr">
        <is>
          <t>苏州百味电子商务有限公司</t>
        </is>
      </c>
      <c r="B17" s="15" t="n">
        <v>2279286.58</v>
      </c>
      <c r="C17" s="15" t="n">
        <v>1062235.38</v>
      </c>
      <c r="D17" s="15" t="n">
        <v>711679.25</v>
      </c>
      <c r="E17" s="15" t="n">
        <v>232539.24</v>
      </c>
      <c r="F17" s="15" t="n">
        <v>140579.9</v>
      </c>
      <c r="G17" s="15" t="n">
        <v>132252.81</v>
      </c>
      <c r="H17" s="15" t="n">
        <v>3333826.49</v>
      </c>
    </row>
    <row r="18">
      <c r="A18" s="4" t="inlineStr">
        <is>
          <t>无锡永利电子商务有限公司</t>
        </is>
      </c>
      <c r="B18" s="15" t="n">
        <v>1573448.76</v>
      </c>
      <c r="C18" s="15" t="n">
        <v>604520.3199999999</v>
      </c>
      <c r="D18" s="15" t="n">
        <v>531336.8100000001</v>
      </c>
      <c r="E18" s="15" t="n">
        <v>243492.58</v>
      </c>
      <c r="F18" s="15" t="n">
        <v>123916.11</v>
      </c>
      <c r="G18" s="15" t="n">
        <v>70182.94</v>
      </c>
      <c r="H18" s="15" t="n">
        <v>3428782.04</v>
      </c>
    </row>
    <row r="19">
      <c r="A19" s="4" t="inlineStr">
        <is>
          <t>长沙汇通进出口有限公司</t>
        </is>
      </c>
      <c r="B19" s="15" t="n">
        <v>1247996.86</v>
      </c>
      <c r="C19" s="15" t="n">
        <v>866939.15</v>
      </c>
      <c r="D19" s="15" t="n">
        <v>190628.77</v>
      </c>
      <c r="E19" s="15" t="n">
        <v>102490.17</v>
      </c>
      <c r="F19" s="15" t="n">
        <v>32737.54</v>
      </c>
      <c r="G19" s="15" t="n">
        <v>55201.23</v>
      </c>
      <c r="H19" s="15" t="n">
        <v>2167280.27</v>
      </c>
    </row>
    <row r="20">
      <c r="A20" s="4" t="inlineStr">
        <is>
          <t>宁波永利供应链有限公司</t>
        </is>
      </c>
      <c r="B20" s="15" t="n">
        <v>2056190.1</v>
      </c>
      <c r="C20" s="15" t="n">
        <v>907588.86</v>
      </c>
      <c r="D20" s="15" t="n">
        <v>334633.1</v>
      </c>
      <c r="E20" s="15" t="n">
        <v>204894.37</v>
      </c>
      <c r="F20" s="15" t="n">
        <v>394712.14</v>
      </c>
      <c r="G20" s="15" t="n">
        <v>214361.63</v>
      </c>
      <c r="H20" s="15" t="n">
        <v>2692421.8</v>
      </c>
    </row>
    <row r="21">
      <c r="A21" s="4" t="inlineStr">
        <is>
          <t>西安京功进出口有限公司</t>
        </is>
      </c>
      <c r="B21" s="15" t="n">
        <v>2154643.5</v>
      </c>
      <c r="C21" s="15" t="n">
        <v>1349888.44</v>
      </c>
      <c r="D21" s="15" t="n">
        <v>521478.88</v>
      </c>
      <c r="E21" s="15" t="n">
        <v>129522.25</v>
      </c>
      <c r="F21" s="15" t="n">
        <v>110017.77</v>
      </c>
      <c r="G21" s="15" t="n">
        <v>43736.16</v>
      </c>
      <c r="H21" s="15" t="n">
        <v>4830076.43</v>
      </c>
    </row>
    <row r="22">
      <c r="A22" s="4" t="inlineStr">
        <is>
          <t>济南大匠商贸有限公司</t>
        </is>
      </c>
      <c r="B22" s="15" t="n">
        <v>1179980.79</v>
      </c>
      <c r="C22" s="15" t="n">
        <v>439871.97</v>
      </c>
      <c r="D22" s="15" t="n">
        <v>355729.8</v>
      </c>
      <c r="E22" s="15" t="n">
        <v>206838.44</v>
      </c>
      <c r="F22" s="15" t="n">
        <v>108776.11</v>
      </c>
      <c r="G22" s="15" t="n">
        <v>68764.47</v>
      </c>
      <c r="H22" s="15" t="n">
        <v>2242323.55</v>
      </c>
    </row>
    <row r="23">
      <c r="A23" s="4" t="inlineStr">
        <is>
          <t>上海荣泰餐饮集团</t>
        </is>
      </c>
      <c r="B23" s="15" t="n">
        <v>2637531.71</v>
      </c>
      <c r="C23" s="15" t="n">
        <v>1508587.55</v>
      </c>
      <c r="D23" s="15" t="n">
        <v>379506.25</v>
      </c>
      <c r="E23" s="15" t="n">
        <v>547927.27</v>
      </c>
      <c r="F23" s="15" t="n">
        <v>24320.48</v>
      </c>
      <c r="G23" s="15" t="n">
        <v>177190.16</v>
      </c>
      <c r="H23" s="15" t="n">
        <v>2670189.75</v>
      </c>
    </row>
    <row r="24">
      <c r="A24" s="4" t="inlineStr">
        <is>
          <t>苏州百味食品有限公司</t>
        </is>
      </c>
      <c r="B24" s="15" t="n">
        <v>1089541.88</v>
      </c>
      <c r="C24" s="15" t="n">
        <v>768047.6899999999</v>
      </c>
      <c r="D24" s="15" t="n">
        <v>194064.06</v>
      </c>
      <c r="E24" s="15" t="n">
        <v>45943.44</v>
      </c>
      <c r="F24" s="15" t="n">
        <v>15161.45</v>
      </c>
      <c r="G24" s="15" t="n">
        <v>66325.24000000001</v>
      </c>
      <c r="H24" s="15" t="n">
        <v>1931271.03</v>
      </c>
    </row>
    <row r="25">
      <c r="A25" s="4" t="inlineStr">
        <is>
          <t>济南汇通商贸有限公司</t>
        </is>
      </c>
      <c r="B25" s="15" t="n">
        <v>1123828.58</v>
      </c>
      <c r="C25" s="15" t="n">
        <v>561525.7</v>
      </c>
      <c r="D25" s="15" t="n">
        <v>220261.2</v>
      </c>
      <c r="E25" s="15" t="n">
        <v>212860.5</v>
      </c>
      <c r="F25" s="15" t="n">
        <v>103642.26</v>
      </c>
      <c r="G25" s="15" t="n">
        <v>25538.92</v>
      </c>
      <c r="H25" s="15" t="n">
        <v>1375701.58</v>
      </c>
    </row>
    <row r="26">
      <c r="A26" s="4" t="inlineStr">
        <is>
          <t>青岛汇通电子商务有限公司</t>
        </is>
      </c>
      <c r="B26" s="15" t="n">
        <v>461027.69</v>
      </c>
      <c r="C26" s="15" t="n">
        <v>304962.87</v>
      </c>
      <c r="D26" s="15" t="n">
        <v>144168.12</v>
      </c>
      <c r="E26" s="15" t="n">
        <v>609.99</v>
      </c>
      <c r="F26" s="15" t="n">
        <v>5880.06</v>
      </c>
      <c r="G26" s="15" t="n">
        <v>5406.65</v>
      </c>
      <c r="H26" s="15" t="n">
        <v>1068326.12</v>
      </c>
    </row>
    <row r="27">
      <c r="A27" s="4" t="inlineStr">
        <is>
          <t>无锡优鲜商贸有限公司</t>
        </is>
      </c>
      <c r="B27" s="15" t="n">
        <v>823539.34</v>
      </c>
      <c r="C27" s="15" t="n">
        <v>340248.29</v>
      </c>
      <c r="D27" s="15" t="n">
        <v>256334</v>
      </c>
      <c r="E27" s="15" t="n">
        <v>115068.4</v>
      </c>
      <c r="F27" s="15" t="n">
        <v>94305.66</v>
      </c>
      <c r="G27" s="15" t="n">
        <v>17582.99</v>
      </c>
      <c r="H27" s="15" t="n">
        <v>1686216.49</v>
      </c>
    </row>
    <row r="28">
      <c r="A28" s="4" t="inlineStr">
        <is>
          <t>杭州荣泰食品有限公司</t>
        </is>
      </c>
      <c r="B28" s="15" t="n">
        <v>2399367.78</v>
      </c>
      <c r="C28" s="15" t="n">
        <v>1163736.06</v>
      </c>
      <c r="D28" s="15" t="n">
        <v>288717.54</v>
      </c>
      <c r="E28" s="15" t="n">
        <v>477281.71</v>
      </c>
      <c r="F28" s="15" t="n">
        <v>367032.02</v>
      </c>
      <c r="G28" s="15" t="n">
        <v>102600.45</v>
      </c>
      <c r="H28" s="15" t="n">
        <v>3199960.73</v>
      </c>
    </row>
    <row r="29">
      <c r="A29" s="4" t="inlineStr">
        <is>
          <t>无锡大匠商贸有限公司</t>
        </is>
      </c>
      <c r="B29" s="15" t="n">
        <v>2088580.36</v>
      </c>
      <c r="C29" s="15" t="n">
        <v>1255920.06</v>
      </c>
      <c r="D29" s="15" t="n">
        <v>285290.5</v>
      </c>
      <c r="E29" s="15" t="n">
        <v>302358.96</v>
      </c>
      <c r="F29" s="15" t="n">
        <v>125266.46</v>
      </c>
      <c r="G29" s="15" t="n">
        <v>119744.38</v>
      </c>
      <c r="H29" s="15" t="n">
        <v>3942427.91</v>
      </c>
    </row>
    <row r="30">
      <c r="A30" s="4" t="inlineStr">
        <is>
          <t>宁波百味连锁超市</t>
        </is>
      </c>
      <c r="B30" s="15" t="n">
        <v>1638814.69</v>
      </c>
      <c r="C30" s="15" t="n">
        <v>1045223.08</v>
      </c>
      <c r="D30" s="15" t="n">
        <v>309910.13</v>
      </c>
      <c r="E30" s="15" t="n">
        <v>245281.97</v>
      </c>
      <c r="F30" s="15" t="n">
        <v>23512.84</v>
      </c>
      <c r="G30" s="15" t="n">
        <v>14886.67</v>
      </c>
      <c r="H30" s="15" t="n">
        <v>3926338.02</v>
      </c>
    </row>
    <row r="31">
      <c r="A31" s="4" t="inlineStr">
        <is>
          <t>合肥京功餐饮集团</t>
        </is>
      </c>
      <c r="B31" s="15" t="n">
        <v>454608.21</v>
      </c>
      <c r="C31" s="15" t="n">
        <v>160024.61</v>
      </c>
      <c r="D31" s="15" t="n">
        <v>114406.07</v>
      </c>
      <c r="E31" s="15" t="n">
        <v>86888.00999999999</v>
      </c>
      <c r="F31" s="15" t="n">
        <v>59980.26</v>
      </c>
      <c r="G31" s="15" t="n">
        <v>33309.26</v>
      </c>
      <c r="H31" s="15" t="n">
        <v>807187.55</v>
      </c>
    </row>
    <row r="32">
      <c r="A32" s="4" t="inlineStr">
        <is>
          <t>武汉汇通电子商务有限公司</t>
        </is>
      </c>
      <c r="B32" s="15" t="n">
        <v>1514211.03</v>
      </c>
      <c r="C32" s="15" t="n">
        <v>745596.36</v>
      </c>
      <c r="D32" s="15" t="n">
        <v>461745.83</v>
      </c>
      <c r="E32" s="15" t="n">
        <v>191350.21</v>
      </c>
      <c r="F32" s="15" t="n">
        <v>101181.61</v>
      </c>
      <c r="G32" s="15" t="n">
        <v>14337.02</v>
      </c>
      <c r="H32" s="15" t="n">
        <v>2219982.37</v>
      </c>
    </row>
    <row r="33">
      <c r="A33" s="4" t="inlineStr">
        <is>
          <t>重庆优鲜食品有限公司</t>
        </is>
      </c>
      <c r="B33" s="15" t="n">
        <v>2920670.88</v>
      </c>
      <c r="C33" s="15" t="n">
        <v>1360094.88</v>
      </c>
      <c r="D33" s="15" t="n">
        <v>688689.08</v>
      </c>
      <c r="E33" s="15" t="n">
        <v>445210.69</v>
      </c>
      <c r="F33" s="15" t="n">
        <v>326326.64</v>
      </c>
      <c r="G33" s="15" t="n">
        <v>100349.59</v>
      </c>
      <c r="H33" s="15" t="n">
        <v>3871543.72</v>
      </c>
    </row>
    <row r="34">
      <c r="A34" s="4" t="inlineStr">
        <is>
          <t>青岛优鲜连锁超市</t>
        </is>
      </c>
      <c r="B34" s="15" t="n">
        <v>1007500.78</v>
      </c>
      <c r="C34" s="15" t="n">
        <v>548817.47</v>
      </c>
      <c r="D34" s="15" t="n">
        <v>234153.63</v>
      </c>
      <c r="E34" s="15" t="n">
        <v>56126.02</v>
      </c>
      <c r="F34" s="15" t="n">
        <v>140815.8</v>
      </c>
      <c r="G34" s="15" t="n">
        <v>27587.86</v>
      </c>
      <c r="H34" s="15" t="n">
        <v>1200180.16</v>
      </c>
    </row>
    <row r="35">
      <c r="A35" s="4" t="inlineStr">
        <is>
          <t>杭州鑫达实业有限公司</t>
        </is>
      </c>
      <c r="B35" s="15" t="n">
        <v>651422.71</v>
      </c>
      <c r="C35" s="15" t="n">
        <v>361495.36</v>
      </c>
      <c r="D35" s="15" t="n">
        <v>139172.01</v>
      </c>
      <c r="E35" s="15" t="n">
        <v>105522.45</v>
      </c>
      <c r="F35" s="15" t="n">
        <v>11967.34</v>
      </c>
      <c r="G35" s="15" t="n">
        <v>33265.55</v>
      </c>
      <c r="H35" s="15" t="n">
        <v>1620877.02</v>
      </c>
    </row>
    <row r="36">
      <c r="A36" s="4" t="inlineStr">
        <is>
          <t>天津荣泰商贸有限公司</t>
        </is>
      </c>
      <c r="B36" s="15" t="n">
        <v>2474535.53</v>
      </c>
      <c r="C36" s="15" t="n">
        <v>1215744.08</v>
      </c>
      <c r="D36" s="15" t="n">
        <v>627254.9</v>
      </c>
      <c r="E36" s="15" t="n">
        <v>485491.52</v>
      </c>
      <c r="F36" s="15" t="n">
        <v>62448.73</v>
      </c>
      <c r="G36" s="15" t="n">
        <v>83596.3</v>
      </c>
      <c r="H36" s="15" t="n">
        <v>3688056.13</v>
      </c>
    </row>
    <row r="37">
      <c r="A37" s="4" t="inlineStr">
        <is>
          <t>南京荣泰商贸有限公司</t>
        </is>
      </c>
      <c r="B37" s="15" t="n">
        <v>216811.19</v>
      </c>
      <c r="C37" s="15" t="n">
        <v>123943.65</v>
      </c>
      <c r="D37" s="15" t="n">
        <v>59979.02</v>
      </c>
      <c r="E37" s="15" t="n">
        <v>25910.94</v>
      </c>
      <c r="F37" s="15" t="n">
        <v>6507.97</v>
      </c>
      <c r="G37" s="15" t="n">
        <v>469.61</v>
      </c>
      <c r="H37" s="15" t="n">
        <v>231791.48</v>
      </c>
    </row>
    <row r="38">
      <c r="A38" s="4" t="inlineStr">
        <is>
          <t>重庆荣泰食品有限公司</t>
        </is>
      </c>
      <c r="B38" s="15" t="n">
        <v>759841.0600000001</v>
      </c>
      <c r="C38" s="15" t="n">
        <v>399935.53</v>
      </c>
      <c r="D38" s="15" t="n">
        <v>144460.85</v>
      </c>
      <c r="E38" s="15" t="n">
        <v>125773.71</v>
      </c>
      <c r="F38" s="15" t="n">
        <v>23920.03</v>
      </c>
      <c r="G38" s="15" t="n">
        <v>65750.94</v>
      </c>
      <c r="H38" s="15" t="n">
        <v>940878.3199999999</v>
      </c>
    </row>
    <row r="39">
      <c r="A39" s="4" t="inlineStr">
        <is>
          <t>成都汇通食品有限公司</t>
        </is>
      </c>
      <c r="B39" s="15" t="n">
        <v>2961229.04</v>
      </c>
      <c r="C39" s="15" t="n">
        <v>1715408.16</v>
      </c>
      <c r="D39" s="15" t="n">
        <v>796753.9</v>
      </c>
      <c r="E39" s="15" t="n">
        <v>250177.42</v>
      </c>
      <c r="F39" s="15" t="n">
        <v>187224.23</v>
      </c>
      <c r="G39" s="15" t="n">
        <v>11665.33</v>
      </c>
      <c r="H39" s="15" t="n">
        <v>3532024.09</v>
      </c>
    </row>
    <row r="40">
      <c r="A40" s="4" t="inlineStr">
        <is>
          <t>长沙优鲜商贸有限公司</t>
        </is>
      </c>
      <c r="B40" s="15" t="n">
        <v>1644756.15</v>
      </c>
      <c r="C40" s="15" t="n">
        <v>933749.24</v>
      </c>
      <c r="D40" s="15" t="n">
        <v>334717.26</v>
      </c>
      <c r="E40" s="15" t="n">
        <v>237472.55</v>
      </c>
      <c r="F40" s="15" t="n">
        <v>128035.74</v>
      </c>
      <c r="G40" s="15" t="n">
        <v>10781.36</v>
      </c>
      <c r="H40" s="15" t="n">
        <v>3285712.46</v>
      </c>
    </row>
    <row r="41">
      <c r="A41" s="4" t="inlineStr">
        <is>
          <t>无锡优鲜食品有限公司</t>
        </is>
      </c>
      <c r="B41" s="15" t="n">
        <v>181012.44</v>
      </c>
      <c r="C41" s="15" t="n">
        <v>95553.53999999999</v>
      </c>
      <c r="D41" s="15" t="n">
        <v>28913.08</v>
      </c>
      <c r="E41" s="15" t="n">
        <v>24373.55</v>
      </c>
      <c r="F41" s="15" t="n">
        <v>21955.8</v>
      </c>
      <c r="G41" s="15" t="n">
        <v>10216.47</v>
      </c>
      <c r="H41" s="15" t="n">
        <v>286911.77</v>
      </c>
    </row>
    <row r="42">
      <c r="A42" s="4" t="inlineStr">
        <is>
          <t>合肥荣泰食品有限公司</t>
        </is>
      </c>
      <c r="B42" s="15" t="n">
        <v>1089324.59</v>
      </c>
      <c r="C42" s="15" t="n">
        <v>546490.5600000001</v>
      </c>
      <c r="D42" s="15" t="n">
        <v>292666.02</v>
      </c>
      <c r="E42" s="15" t="n">
        <v>207655.98</v>
      </c>
      <c r="F42" s="15" t="n">
        <v>28293.59</v>
      </c>
      <c r="G42" s="15" t="n">
        <v>14218.44</v>
      </c>
      <c r="H42" s="15" t="n">
        <v>2162309.85</v>
      </c>
    </row>
    <row r="43">
      <c r="A43" s="6" t="inlineStr">
        <is>
          <t>合计</t>
        </is>
      </c>
      <c r="B43" s="16" t="n">
        <v>56377109.01</v>
      </c>
      <c r="C43" s="16" t="n">
        <v>30004896.34</v>
      </c>
      <c r="D43" s="16" t="n">
        <v>13064962.24</v>
      </c>
      <c r="E43" s="16" t="n">
        <v>7047472.85</v>
      </c>
      <c r="F43" s="16" t="n">
        <v>4202460.4</v>
      </c>
      <c r="G43" s="16" t="n">
        <v>2057317.18</v>
      </c>
      <c r="H43" s="16" t="n">
        <v>93136268.81999999</v>
      </c>
    </row>
    <row r="44">
      <c r="A44" s="6" t="inlineStr">
        <is>
          <t>占比</t>
        </is>
      </c>
      <c r="B44" s="20" t="n">
        <v>1</v>
      </c>
      <c r="C44" s="20" t="n">
        <v>0.5322</v>
      </c>
      <c r="D44" s="20" t="n">
        <v>0.2317</v>
      </c>
      <c r="E44" s="20" t="n">
        <v>0.125</v>
      </c>
      <c r="F44" s="20" t="n">
        <v>0.0745</v>
      </c>
      <c r="G44" s="20" t="n">
        <v>0.0365</v>
      </c>
    </row>
  </sheetData>
  <mergeCells count="5">
    <mergeCell ref="B3:B4"/>
    <mergeCell ref="A3:A4"/>
    <mergeCell ref="H3:H4"/>
    <mergeCell ref="A1:H1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江苏美鑫食品科技有限公司2025年12月库存台账</t>
        </is>
      </c>
    </row>
    <row r="2">
      <c r="A2" s="2" t="inlineStr">
        <is>
          <t>产品名称</t>
        </is>
      </c>
      <c r="B2" s="2" t="inlineStr">
        <is>
          <t>规格</t>
        </is>
      </c>
      <c r="C2" s="2" t="inlineStr">
        <is>
          <t>成品仓</t>
        </is>
      </c>
      <c r="G2" s="2" t="inlineStr">
        <is>
          <t>原材料仓</t>
        </is>
      </c>
      <c r="K2" s="2" t="inlineStr">
        <is>
          <t>半成品仓</t>
        </is>
      </c>
      <c r="O2" s="2" t="inlineStr">
        <is>
          <t>冷链仓</t>
        </is>
      </c>
      <c r="S2" s="2" t="inlineStr">
        <is>
          <t>合计</t>
        </is>
      </c>
    </row>
    <row r="3">
      <c r="A3" s="12" t="n"/>
      <c r="B3" s="12" t="n"/>
      <c r="C3" s="2" t="inlineStr">
        <is>
          <t>期初</t>
        </is>
      </c>
      <c r="D3" s="2" t="inlineStr">
        <is>
          <t>入库</t>
        </is>
      </c>
      <c r="E3" s="2" t="inlineStr">
        <is>
          <t>出库</t>
        </is>
      </c>
      <c r="F3" s="2" t="inlineStr">
        <is>
          <t>期末</t>
        </is>
      </c>
      <c r="G3" s="2" t="inlineStr">
        <is>
          <t>期初</t>
        </is>
      </c>
      <c r="H3" s="2" t="inlineStr">
        <is>
          <t>入库</t>
        </is>
      </c>
      <c r="I3" s="2" t="inlineStr">
        <is>
          <t>出库</t>
        </is>
      </c>
      <c r="J3" s="2" t="inlineStr">
        <is>
          <t>期末</t>
        </is>
      </c>
      <c r="K3" s="2" t="inlineStr">
        <is>
          <t>期初</t>
        </is>
      </c>
      <c r="L3" s="2" t="inlineStr">
        <is>
          <t>入库</t>
        </is>
      </c>
      <c r="M3" s="2" t="inlineStr">
        <is>
          <t>出库</t>
        </is>
      </c>
      <c r="N3" s="2" t="inlineStr">
        <is>
          <t>期末</t>
        </is>
      </c>
      <c r="O3" s="2" t="inlineStr">
        <is>
          <t>期初</t>
        </is>
      </c>
      <c r="P3" s="2" t="inlineStr">
        <is>
          <t>入库</t>
        </is>
      </c>
      <c r="Q3" s="2" t="inlineStr">
        <is>
          <t>出库</t>
        </is>
      </c>
      <c r="R3" s="2" t="inlineStr">
        <is>
          <t>期末</t>
        </is>
      </c>
      <c r="S3" s="2" t="inlineStr">
        <is>
          <t>期初</t>
        </is>
      </c>
      <c r="T3" s="2" t="inlineStr">
        <is>
          <t>入库</t>
        </is>
      </c>
      <c r="U3" s="2" t="inlineStr">
        <is>
          <t>出库</t>
        </is>
      </c>
      <c r="V3" s="2" t="inlineStr">
        <is>
          <t>期末</t>
        </is>
      </c>
    </row>
    <row r="4">
      <c r="A4" s="4" t="inlineStr">
        <is>
          <t>中式汤底</t>
        </is>
      </c>
      <c r="B4" s="4" t="inlineStr">
        <is>
          <t>500g/袋</t>
        </is>
      </c>
      <c r="C4" s="18" t="n">
        <v>3988</v>
      </c>
      <c r="D4" s="18" t="n">
        <v>6992</v>
      </c>
      <c r="E4" s="18" t="n">
        <v>2501</v>
      </c>
      <c r="F4" s="18" t="n">
        <v>8479</v>
      </c>
      <c r="G4" s="18" t="n">
        <v>723</v>
      </c>
      <c r="H4" s="18" t="n">
        <v>2204</v>
      </c>
      <c r="I4" s="18" t="n">
        <v>1158</v>
      </c>
      <c r="J4" s="18" t="n">
        <v>1769</v>
      </c>
      <c r="K4" s="18" t="n">
        <v>1851</v>
      </c>
      <c r="L4" s="18" t="n">
        <v>131</v>
      </c>
      <c r="M4" s="18" t="n">
        <v>1381</v>
      </c>
      <c r="N4" s="18" t="n">
        <v>601</v>
      </c>
      <c r="O4" s="18" t="n">
        <v>1047</v>
      </c>
      <c r="P4" s="18" t="n">
        <v>224</v>
      </c>
      <c r="Q4" s="18" t="n">
        <v>873</v>
      </c>
      <c r="R4" s="18" t="n">
        <v>398</v>
      </c>
      <c r="S4" s="18" t="n">
        <v>7609</v>
      </c>
      <c r="T4" s="18" t="n">
        <v>9551</v>
      </c>
      <c r="U4" s="18" t="n">
        <v>5913</v>
      </c>
      <c r="V4" s="18" t="n">
        <v>11247</v>
      </c>
    </row>
    <row r="5">
      <c r="A5" s="4" t="inlineStr">
        <is>
          <t>酱料</t>
        </is>
      </c>
      <c r="B5" s="4" t="inlineStr">
        <is>
          <t>500g/袋</t>
        </is>
      </c>
      <c r="C5" s="18" t="n">
        <v>2322</v>
      </c>
      <c r="D5" s="18" t="n">
        <v>7652</v>
      </c>
      <c r="E5" s="18" t="n">
        <v>2424</v>
      </c>
      <c r="F5" s="18" t="n">
        <v>7550</v>
      </c>
      <c r="G5" s="18" t="n">
        <v>2962</v>
      </c>
      <c r="H5" s="18" t="n">
        <v>1266</v>
      </c>
      <c r="I5" s="18" t="n">
        <v>3208</v>
      </c>
      <c r="J5" s="18" t="n">
        <v>1020</v>
      </c>
      <c r="K5" s="18" t="n">
        <v>2555</v>
      </c>
      <c r="L5" s="18" t="n">
        <v>2987</v>
      </c>
      <c r="M5" s="18" t="n">
        <v>3859</v>
      </c>
      <c r="N5" s="18" t="n">
        <v>1683</v>
      </c>
      <c r="O5" s="18" t="n">
        <v>2604</v>
      </c>
      <c r="P5" s="18" t="n">
        <v>2321</v>
      </c>
      <c r="Q5" s="18" t="n">
        <v>1757</v>
      </c>
      <c r="R5" s="18" t="n">
        <v>3168</v>
      </c>
      <c r="S5" s="18" t="n">
        <v>10443</v>
      </c>
      <c r="T5" s="18" t="n">
        <v>14226</v>
      </c>
      <c r="U5" s="18" t="n">
        <v>11248</v>
      </c>
      <c r="V5" s="18" t="n">
        <v>13421</v>
      </c>
    </row>
    <row r="6">
      <c r="A6" s="4" t="inlineStr">
        <is>
          <t>川味底料</t>
        </is>
      </c>
      <c r="B6" s="4" t="inlineStr">
        <is>
          <t>1kg/箱</t>
        </is>
      </c>
      <c r="C6" s="18" t="n">
        <v>616</v>
      </c>
      <c r="D6" s="18" t="n">
        <v>4975</v>
      </c>
      <c r="E6" s="18" t="n">
        <v>5096</v>
      </c>
      <c r="F6" s="18" t="n">
        <v>495</v>
      </c>
      <c r="G6" s="18" t="n">
        <v>3972</v>
      </c>
      <c r="H6" s="18" t="n">
        <v>892</v>
      </c>
      <c r="I6" s="18" t="n">
        <v>1083</v>
      </c>
      <c r="J6" s="18" t="n">
        <v>3781</v>
      </c>
      <c r="K6" s="18" t="n">
        <v>3018</v>
      </c>
      <c r="L6" s="18" t="n">
        <v>1957</v>
      </c>
      <c r="M6" s="18" t="n">
        <v>1940</v>
      </c>
      <c r="N6" s="18" t="n">
        <v>3035</v>
      </c>
      <c r="O6" s="18" t="n">
        <v>2040</v>
      </c>
      <c r="P6" s="18" t="n">
        <v>7367</v>
      </c>
      <c r="Q6" s="18" t="n">
        <v>2346</v>
      </c>
      <c r="R6" s="18" t="n">
        <v>7061</v>
      </c>
      <c r="S6" s="18" t="n">
        <v>9646</v>
      </c>
      <c r="T6" s="18" t="n">
        <v>15191</v>
      </c>
      <c r="U6" s="18" t="n">
        <v>10465</v>
      </c>
      <c r="V6" s="18" t="n">
        <v>14372</v>
      </c>
    </row>
    <row r="7">
      <c r="A7" s="4" t="inlineStr">
        <is>
          <t>调味汁</t>
        </is>
      </c>
      <c r="B7" s="4" t="inlineStr">
        <is>
          <t>10kg/桶</t>
        </is>
      </c>
      <c r="C7" s="18" t="n">
        <v>3743</v>
      </c>
      <c r="D7" s="18" t="n">
        <v>1448</v>
      </c>
      <c r="E7" s="18" t="n">
        <v>5177</v>
      </c>
      <c r="F7" s="18" t="n">
        <v>14</v>
      </c>
      <c r="G7" s="18" t="n">
        <v>3590</v>
      </c>
      <c r="H7" s="18" t="n">
        <v>6997</v>
      </c>
      <c r="I7" s="18" t="n">
        <v>5120</v>
      </c>
      <c r="J7" s="18" t="n">
        <v>5467</v>
      </c>
      <c r="K7" s="18" t="n">
        <v>3878</v>
      </c>
      <c r="L7" s="18" t="n">
        <v>333</v>
      </c>
      <c r="M7" s="18" t="n">
        <v>835</v>
      </c>
      <c r="N7" s="18" t="n">
        <v>3376</v>
      </c>
      <c r="O7" s="18" t="n">
        <v>256</v>
      </c>
      <c r="P7" s="18" t="n">
        <v>6244</v>
      </c>
      <c r="Q7" s="18" t="n">
        <v>454</v>
      </c>
      <c r="R7" s="18" t="n">
        <v>6046</v>
      </c>
      <c r="S7" s="18" t="n">
        <v>11467</v>
      </c>
      <c r="T7" s="18" t="n">
        <v>15022</v>
      </c>
      <c r="U7" s="18" t="n">
        <v>11586</v>
      </c>
      <c r="V7" s="18" t="n">
        <v>14903</v>
      </c>
    </row>
    <row r="8">
      <c r="A8" s="4" t="inlineStr">
        <is>
          <t>复合调味粉</t>
        </is>
      </c>
      <c r="B8" s="4" t="inlineStr">
        <is>
          <t>25kg/袋</t>
        </is>
      </c>
      <c r="C8" s="18" t="n">
        <v>1737</v>
      </c>
      <c r="D8" s="18" t="n">
        <v>6586</v>
      </c>
      <c r="E8" s="18" t="n">
        <v>5267</v>
      </c>
      <c r="F8" s="18" t="n">
        <v>3056</v>
      </c>
      <c r="G8" s="18" t="n">
        <v>2528</v>
      </c>
      <c r="H8" s="18" t="n">
        <v>1953</v>
      </c>
      <c r="I8" s="18" t="n">
        <v>2492</v>
      </c>
      <c r="J8" s="18" t="n">
        <v>1989</v>
      </c>
      <c r="K8" s="18" t="n">
        <v>2520</v>
      </c>
      <c r="L8" s="18" t="n">
        <v>5013</v>
      </c>
      <c r="M8" s="18" t="n">
        <v>4992</v>
      </c>
      <c r="N8" s="18" t="n">
        <v>2541</v>
      </c>
      <c r="O8" s="18" t="n">
        <v>4115</v>
      </c>
      <c r="P8" s="18" t="n">
        <v>3084</v>
      </c>
      <c r="Q8" s="18" t="n">
        <v>6133</v>
      </c>
      <c r="R8" s="18" t="n">
        <v>1066</v>
      </c>
      <c r="S8" s="18" t="n">
        <v>10900</v>
      </c>
      <c r="T8" s="18" t="n">
        <v>16636</v>
      </c>
      <c r="U8" s="18" t="n">
        <v>18884</v>
      </c>
      <c r="V8" s="18" t="n">
        <v>8652</v>
      </c>
    </row>
    <row r="9">
      <c r="A9" s="4" t="inlineStr">
        <is>
          <t>团餐</t>
        </is>
      </c>
      <c r="B9" s="4" t="inlineStr">
        <is>
          <t>25kg/袋</t>
        </is>
      </c>
      <c r="C9" s="18" t="n">
        <v>4496</v>
      </c>
      <c r="D9" s="18" t="n">
        <v>5842</v>
      </c>
      <c r="E9" s="18" t="n">
        <v>2995</v>
      </c>
      <c r="F9" s="18" t="n">
        <v>7343</v>
      </c>
      <c r="G9" s="18" t="n">
        <v>4568</v>
      </c>
      <c r="H9" s="18" t="n">
        <v>5973</v>
      </c>
      <c r="I9" s="18" t="n">
        <v>3466</v>
      </c>
      <c r="J9" s="18" t="n">
        <v>7075</v>
      </c>
      <c r="K9" s="18" t="n">
        <v>613</v>
      </c>
      <c r="L9" s="18" t="n">
        <v>6110</v>
      </c>
      <c r="M9" s="18" t="n">
        <v>4427</v>
      </c>
      <c r="N9" s="18" t="n">
        <v>2296</v>
      </c>
      <c r="O9" s="18" t="n">
        <v>4338</v>
      </c>
      <c r="P9" s="18" t="n">
        <v>4249</v>
      </c>
      <c r="Q9" s="18" t="n">
        <v>836</v>
      </c>
      <c r="R9" s="18" t="n">
        <v>7751</v>
      </c>
      <c r="S9" s="18" t="n">
        <v>14015</v>
      </c>
      <c r="T9" s="18" t="n">
        <v>22174</v>
      </c>
      <c r="U9" s="18" t="n">
        <v>11724</v>
      </c>
      <c r="V9" s="18" t="n">
        <v>24465</v>
      </c>
    </row>
    <row r="10">
      <c r="A10" s="4" t="inlineStr">
        <is>
          <t>预制菜</t>
        </is>
      </c>
      <c r="B10" s="4" t="inlineStr">
        <is>
          <t>5kg/箱</t>
        </is>
      </c>
      <c r="C10" s="18" t="n">
        <v>4242</v>
      </c>
      <c r="D10" s="18" t="n">
        <v>3405</v>
      </c>
      <c r="E10" s="18" t="n">
        <v>519</v>
      </c>
      <c r="F10" s="18" t="n">
        <v>7128</v>
      </c>
      <c r="G10" s="18" t="n">
        <v>1121</v>
      </c>
      <c r="H10" s="18" t="n">
        <v>1047</v>
      </c>
      <c r="I10" s="18" t="n">
        <v>1580</v>
      </c>
      <c r="J10" s="18" t="n">
        <v>588</v>
      </c>
      <c r="K10" s="18" t="n">
        <v>4741</v>
      </c>
      <c r="L10" s="18" t="n">
        <v>4939</v>
      </c>
      <c r="M10" s="18" t="n">
        <v>1337</v>
      </c>
      <c r="N10" s="18" t="n">
        <v>8343</v>
      </c>
      <c r="O10" s="18" t="n">
        <v>4138</v>
      </c>
      <c r="P10" s="18" t="n">
        <v>5072</v>
      </c>
      <c r="Q10" s="18" t="n">
        <v>2170</v>
      </c>
      <c r="R10" s="18" t="n">
        <v>7040</v>
      </c>
      <c r="S10" s="18" t="n">
        <v>14242</v>
      </c>
      <c r="T10" s="18" t="n">
        <v>14463</v>
      </c>
      <c r="U10" s="18" t="n">
        <v>5606</v>
      </c>
      <c r="V10" s="18" t="n">
        <v>23099</v>
      </c>
    </row>
    <row r="11">
      <c r="A11" s="6" t="inlineStr">
        <is>
          <t>合计</t>
        </is>
      </c>
      <c r="C11" s="19" t="n">
        <v>21144</v>
      </c>
      <c r="D11" s="19" t="n">
        <v>36900</v>
      </c>
      <c r="E11" s="19" t="n">
        <v>23979</v>
      </c>
      <c r="F11" s="19" t="n">
        <v>34065</v>
      </c>
      <c r="G11" s="19" t="n">
        <v>19464</v>
      </c>
      <c r="H11" s="19" t="n">
        <v>20332</v>
      </c>
      <c r="I11" s="19" t="n">
        <v>18107</v>
      </c>
      <c r="J11" s="19" t="n">
        <v>21689</v>
      </c>
      <c r="K11" s="19" t="n">
        <v>19176</v>
      </c>
      <c r="L11" s="19" t="n">
        <v>21470</v>
      </c>
      <c r="M11" s="19" t="n">
        <v>18771</v>
      </c>
      <c r="N11" s="19" t="n">
        <v>21875</v>
      </c>
      <c r="O11" s="19" t="n">
        <v>18538</v>
      </c>
      <c r="P11" s="19" t="n">
        <v>28561</v>
      </c>
      <c r="Q11" s="19" t="n">
        <v>14569</v>
      </c>
      <c r="R11" s="19" t="n">
        <v>32530</v>
      </c>
      <c r="S11" s="19" t="n">
        <v>78322</v>
      </c>
      <c r="T11" s="19" t="n">
        <v>107263</v>
      </c>
      <c r="U11" s="19" t="n">
        <v>75426</v>
      </c>
      <c r="V11" s="19" t="n">
        <v>110159</v>
      </c>
    </row>
  </sheetData>
  <mergeCells count="8">
    <mergeCell ref="S2:V2"/>
    <mergeCell ref="G2:J2"/>
    <mergeCell ref="B2:B3"/>
    <mergeCell ref="A2:A3"/>
    <mergeCell ref="A1:R1"/>
    <mergeCell ref="K2:N2"/>
    <mergeCell ref="C2:F2"/>
    <mergeCell ref="O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江苏美鑫食品科技有限公司2025年度经营KPI</t>
        </is>
      </c>
    </row>
    <row r="2">
      <c r="A2" s="2" t="inlineStr">
        <is>
          <t>指标</t>
        </is>
      </c>
      <c r="B2" s="2" t="inlineStr">
        <is>
          <t>年度目标</t>
        </is>
      </c>
      <c r="C2" s="2" t="inlineStr">
        <is>
          <t>年度实际</t>
        </is>
      </c>
      <c r="D2" s="2" t="inlineStr">
        <is>
          <t>达成率</t>
        </is>
      </c>
      <c r="E2" s="2" t="inlineStr">
        <is>
          <t>去年同期</t>
        </is>
      </c>
      <c r="F2" s="2" t="inlineStr">
        <is>
          <t>同比增长</t>
        </is>
      </c>
    </row>
    <row r="3">
      <c r="A3" s="6" t="inlineStr">
        <is>
          <t>营业收入(万元)</t>
        </is>
      </c>
      <c r="B3" s="3" t="n">
        <v>30444.6</v>
      </c>
      <c r="C3" s="3" t="n">
        <v>30530.4</v>
      </c>
      <c r="D3" s="21" t="n">
        <v>1.0028</v>
      </c>
      <c r="E3" s="3" t="n">
        <v>24225</v>
      </c>
      <c r="F3" s="21" t="n">
        <v>0.2603</v>
      </c>
    </row>
    <row r="4">
      <c r="A4" s="6" t="inlineStr">
        <is>
          <t>净利润(万元)</t>
        </is>
      </c>
      <c r="B4" s="3" t="n">
        <v>2220.1</v>
      </c>
      <c r="C4" s="3" t="n">
        <v>1850.1</v>
      </c>
      <c r="D4" s="21" t="n">
        <v>0.8333</v>
      </c>
      <c r="E4" s="3" t="n">
        <v>1480</v>
      </c>
      <c r="F4" s="21" t="n">
        <v>0.25</v>
      </c>
    </row>
    <row r="5">
      <c r="A5" s="6" t="inlineStr">
        <is>
          <t>毛利率</t>
        </is>
      </c>
      <c r="B5" s="21" t="n">
        <v>0.3</v>
      </c>
      <c r="C5" s="21" t="n">
        <v>0.3418</v>
      </c>
      <c r="D5" s="3" t="inlineStr">
        <is>
          <t>-</t>
        </is>
      </c>
      <c r="E5" s="21" t="n">
        <v>0.3015</v>
      </c>
      <c r="F5" s="3" t="inlineStr">
        <is>
          <t>-</t>
        </is>
      </c>
    </row>
    <row r="6">
      <c r="A6" s="6" t="inlineStr">
        <is>
          <t>净利率</t>
        </is>
      </c>
      <c r="B6" s="21" t="n">
        <v>0.05</v>
      </c>
      <c r="C6" s="21" t="n">
        <v>0.0606</v>
      </c>
      <c r="D6" s="3" t="inlineStr">
        <is>
          <t>-</t>
        </is>
      </c>
      <c r="E6" s="21" t="n">
        <v>0.0546</v>
      </c>
      <c r="F6" s="3" t="inlineStr">
        <is>
          <t>-</t>
        </is>
      </c>
    </row>
    <row r="7">
      <c r="A7" s="6" t="inlineStr">
        <is>
          <t>客户数(家)</t>
        </is>
      </c>
      <c r="B7" s="3" t="n">
        <v>373</v>
      </c>
      <c r="C7" s="3" t="n">
        <v>399</v>
      </c>
      <c r="D7" s="3" t="inlineStr">
        <is>
          <t>-</t>
        </is>
      </c>
      <c r="E7" s="3" t="n">
        <v>211</v>
      </c>
      <c r="F7" s="3" t="inlineStr">
        <is>
          <t>-</t>
        </is>
      </c>
    </row>
    <row r="10">
      <c r="A10" s="2" t="inlineStr">
        <is>
          <t>产品销售排名</t>
        </is>
      </c>
      <c r="H10" s="2" t="inlineStr">
        <is>
          <t>区域经营对比</t>
        </is>
      </c>
    </row>
    <row r="11">
      <c r="A11" s="2" t="inlineStr">
        <is>
          <t>排名</t>
        </is>
      </c>
      <c r="B11" s="2" t="inlineStr">
        <is>
          <t>产品</t>
        </is>
      </c>
      <c r="C11" s="2" t="inlineStr">
        <is>
          <t>销售额(万元)</t>
        </is>
      </c>
      <c r="D11" s="2" t="inlineStr">
        <is>
          <t>占比</t>
        </is>
      </c>
      <c r="E11" s="2" t="inlineStr">
        <is>
          <t>同比</t>
        </is>
      </c>
      <c r="F11" s="2" t="inlineStr">
        <is>
          <t>毛利率</t>
        </is>
      </c>
      <c r="H11" s="2" t="inlineStr">
        <is>
          <t>区域</t>
        </is>
      </c>
      <c r="I11" s="2" t="inlineStr">
        <is>
          <t>收入(万元)</t>
        </is>
      </c>
      <c r="J11" s="2" t="inlineStr">
        <is>
          <t>净利(万元)</t>
        </is>
      </c>
      <c r="K11" s="2" t="inlineStr">
        <is>
          <t>净利率</t>
        </is>
      </c>
      <c r="L11" s="2" t="inlineStr">
        <is>
          <t>达成率</t>
        </is>
      </c>
    </row>
    <row r="12">
      <c r="A12" s="3" t="n">
        <v>1</v>
      </c>
      <c r="B12" s="4" t="inlineStr">
        <is>
          <t>调味汁</t>
        </is>
      </c>
      <c r="C12" s="7" t="n">
        <v>4929.5</v>
      </c>
      <c r="D12" s="21" t="n">
        <v>0.1615</v>
      </c>
      <c r="E12" s="22" t="n">
        <v>0.2787</v>
      </c>
      <c r="F12" s="21" t="n">
        <v>0.2527</v>
      </c>
      <c r="H12" s="4" t="inlineStr">
        <is>
          <t>江苏分部</t>
        </is>
      </c>
      <c r="I12" s="7" t="n">
        <v>6695.4</v>
      </c>
      <c r="J12" s="7" t="n">
        <v>497.9</v>
      </c>
      <c r="K12" s="21" t="n">
        <v>0.07439999999999999</v>
      </c>
      <c r="L12" s="21" t="n">
        <v>1.0281</v>
      </c>
    </row>
    <row r="13">
      <c r="A13" s="3" t="n">
        <v>2</v>
      </c>
      <c r="B13" s="4" t="inlineStr">
        <is>
          <t>团餐</t>
        </is>
      </c>
      <c r="C13" s="7" t="n">
        <v>4746.7</v>
      </c>
      <c r="D13" s="21" t="n">
        <v>0.1555</v>
      </c>
      <c r="E13" s="22" t="n">
        <v>-0.09710000000000001</v>
      </c>
      <c r="F13" s="21" t="n">
        <v>0.2418</v>
      </c>
      <c r="H13" s="4" t="inlineStr">
        <is>
          <t>浙江分部</t>
        </is>
      </c>
      <c r="I13" s="7" t="n">
        <v>6354.8</v>
      </c>
      <c r="J13" s="7" t="n">
        <v>493.7</v>
      </c>
      <c r="K13" s="21" t="n">
        <v>0.07770000000000001</v>
      </c>
      <c r="L13" s="21" t="n">
        <v>0.9907</v>
      </c>
    </row>
    <row r="14">
      <c r="A14" s="3" t="n">
        <v>3</v>
      </c>
      <c r="B14" s="4" t="inlineStr">
        <is>
          <t>复合调味粉</t>
        </is>
      </c>
      <c r="C14" s="7" t="n">
        <v>4513.7</v>
      </c>
      <c r="D14" s="21" t="n">
        <v>0.1478</v>
      </c>
      <c r="E14" s="22" t="n">
        <v>-0.0469</v>
      </c>
      <c r="F14" s="21" t="n">
        <v>0.3505</v>
      </c>
      <c r="H14" s="4" t="inlineStr">
        <is>
          <t>上海分部</t>
        </is>
      </c>
      <c r="I14" s="7" t="n">
        <v>6593</v>
      </c>
      <c r="J14" s="7" t="n">
        <v>544.5</v>
      </c>
      <c r="K14" s="21" t="n">
        <v>0.08260000000000001</v>
      </c>
      <c r="L14" s="21" t="n">
        <v>1.0224</v>
      </c>
    </row>
    <row r="15">
      <c r="A15" s="3" t="n">
        <v>4</v>
      </c>
      <c r="B15" s="4" t="inlineStr">
        <is>
          <t>中式汤底</t>
        </is>
      </c>
      <c r="C15" s="7" t="n">
        <v>4289.8</v>
      </c>
      <c r="D15" s="21" t="n">
        <v>0.1405</v>
      </c>
      <c r="E15" s="22" t="n">
        <v>-0.0312</v>
      </c>
      <c r="F15" s="21" t="n">
        <v>0.2102</v>
      </c>
      <c r="H15" s="4" t="inlineStr">
        <is>
          <t>赣皖区域</t>
        </is>
      </c>
      <c r="I15" s="7" t="n">
        <v>4273.8</v>
      </c>
      <c r="J15" s="7" t="n">
        <v>342.9</v>
      </c>
      <c r="K15" s="21" t="n">
        <v>0.08019999999999999</v>
      </c>
      <c r="L15" s="21" t="n">
        <v>0.9679</v>
      </c>
    </row>
    <row r="16">
      <c r="A16" s="3" t="n">
        <v>5</v>
      </c>
      <c r="B16" s="4" t="inlineStr">
        <is>
          <t>川味底料</t>
        </is>
      </c>
      <c r="C16" s="7" t="n">
        <v>4177.7</v>
      </c>
      <c r="D16" s="21" t="n">
        <v>0.1368</v>
      </c>
      <c r="E16" s="22" t="n">
        <v>0.2459</v>
      </c>
      <c r="F16" s="21" t="n">
        <v>0.2034</v>
      </c>
      <c r="H16" s="4" t="inlineStr">
        <is>
          <t>安徽省区</t>
        </is>
      </c>
      <c r="I16" s="7" t="n">
        <v>2364.7</v>
      </c>
      <c r="J16" s="7" t="n">
        <v>178.6</v>
      </c>
      <c r="K16" s="21" t="n">
        <v>0.0755</v>
      </c>
      <c r="L16" s="21" t="n">
        <v>1.0118</v>
      </c>
    </row>
    <row r="17">
      <c r="A17" s="3" t="n">
        <v>6</v>
      </c>
      <c r="B17" s="4" t="inlineStr">
        <is>
          <t>酱料</t>
        </is>
      </c>
      <c r="C17" s="7" t="n">
        <v>3990.2</v>
      </c>
      <c r="D17" s="21" t="n">
        <v>0.1307</v>
      </c>
      <c r="E17" s="22" t="n">
        <v>0.0527</v>
      </c>
      <c r="F17" s="21" t="n">
        <v>0.3714</v>
      </c>
      <c r="H17" s="4" t="inlineStr">
        <is>
          <t>江西省区</t>
        </is>
      </c>
      <c r="I17" s="7" t="n">
        <v>4248.7</v>
      </c>
      <c r="J17" s="7" t="n">
        <v>358.3</v>
      </c>
      <c r="K17" s="21" t="n">
        <v>0.0843</v>
      </c>
      <c r="L17" s="21" t="n">
        <v>0.9844000000000001</v>
      </c>
    </row>
    <row r="18">
      <c r="A18" s="3" t="n">
        <v>7</v>
      </c>
      <c r="B18" s="4" t="inlineStr">
        <is>
          <t>预制菜</t>
        </is>
      </c>
      <c r="C18" s="7" t="n">
        <v>3882.8</v>
      </c>
      <c r="D18" s="21" t="n">
        <v>0.1272</v>
      </c>
      <c r="E18" s="22" t="n">
        <v>0.2913</v>
      </c>
      <c r="F18" s="21" t="n">
        <v>0.383</v>
      </c>
    </row>
  </sheetData>
  <mergeCells count="3">
    <mergeCell ref="H10:L10"/>
    <mergeCell ref="A10:F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江苏美鑫食品科技有限公司2025年费用预算执行表</t>
        </is>
      </c>
    </row>
    <row r="2">
      <c r="A2" s="2" t="inlineStr">
        <is>
          <t>部门</t>
        </is>
      </c>
      <c r="B2" s="2" t="inlineStr">
        <is>
          <t>费用类别</t>
        </is>
      </c>
      <c r="C2" s="2" t="inlineStr">
        <is>
          <t>1月</t>
        </is>
      </c>
      <c r="F2" s="2" t="inlineStr">
        <is>
          <t>2月</t>
        </is>
      </c>
      <c r="I2" s="2" t="inlineStr">
        <is>
          <t>3月</t>
        </is>
      </c>
      <c r="L2" s="2" t="inlineStr">
        <is>
          <t>4月</t>
        </is>
      </c>
      <c r="O2" s="2" t="inlineStr">
        <is>
          <t>5月</t>
        </is>
      </c>
      <c r="R2" s="2" t="inlineStr">
        <is>
          <t>6月</t>
        </is>
      </c>
      <c r="U2" s="2" t="inlineStr">
        <is>
          <t>7月</t>
        </is>
      </c>
      <c r="X2" s="2" t="inlineStr">
        <is>
          <t>8月</t>
        </is>
      </c>
      <c r="AA2" s="2" t="inlineStr">
        <is>
          <t>9月</t>
        </is>
      </c>
      <c r="AD2" s="2" t="inlineStr">
        <is>
          <t>10月</t>
        </is>
      </c>
      <c r="AG2" s="2" t="inlineStr">
        <is>
          <t>11月</t>
        </is>
      </c>
      <c r="AJ2" s="2" t="inlineStr">
        <is>
          <t>12月</t>
        </is>
      </c>
    </row>
    <row r="3">
      <c r="A3" s="12" t="n"/>
      <c r="B3" s="12" t="n"/>
      <c r="C3" s="2" t="inlineStr">
        <is>
          <t>预算</t>
        </is>
      </c>
      <c r="D3" s="2" t="inlineStr">
        <is>
          <t>实际</t>
        </is>
      </c>
      <c r="E3" s="2" t="inlineStr">
        <is>
          <t>差异</t>
        </is>
      </c>
      <c r="F3" s="2" t="inlineStr">
        <is>
          <t>预算</t>
        </is>
      </c>
      <c r="G3" s="2" t="inlineStr">
        <is>
          <t>实际</t>
        </is>
      </c>
      <c r="H3" s="2" t="inlineStr">
        <is>
          <t>差异</t>
        </is>
      </c>
      <c r="I3" s="2" t="inlineStr">
        <is>
          <t>预算</t>
        </is>
      </c>
      <c r="J3" s="2" t="inlineStr">
        <is>
          <t>实际</t>
        </is>
      </c>
      <c r="K3" s="2" t="inlineStr">
        <is>
          <t>差异</t>
        </is>
      </c>
      <c r="L3" s="2" t="inlineStr">
        <is>
          <t>预算</t>
        </is>
      </c>
      <c r="M3" s="2" t="inlineStr">
        <is>
          <t>实际</t>
        </is>
      </c>
      <c r="N3" s="2" t="inlineStr">
        <is>
          <t>差异</t>
        </is>
      </c>
      <c r="O3" s="2" t="inlineStr">
        <is>
          <t>预算</t>
        </is>
      </c>
      <c r="P3" s="2" t="inlineStr">
        <is>
          <t>实际</t>
        </is>
      </c>
      <c r="Q3" s="2" t="inlineStr">
        <is>
          <t>差异</t>
        </is>
      </c>
      <c r="R3" s="2" t="inlineStr">
        <is>
          <t>预算</t>
        </is>
      </c>
      <c r="S3" s="2" t="inlineStr">
        <is>
          <t>实际</t>
        </is>
      </c>
      <c r="T3" s="2" t="inlineStr">
        <is>
          <t>差异</t>
        </is>
      </c>
      <c r="U3" s="2" t="inlineStr">
        <is>
          <t>预算</t>
        </is>
      </c>
      <c r="V3" s="2" t="inlineStr">
        <is>
          <t>实际</t>
        </is>
      </c>
      <c r="W3" s="2" t="inlineStr">
        <is>
          <t>差异</t>
        </is>
      </c>
      <c r="X3" s="2" t="inlineStr">
        <is>
          <t>预算</t>
        </is>
      </c>
      <c r="Y3" s="2" t="inlineStr">
        <is>
          <t>实际</t>
        </is>
      </c>
      <c r="Z3" s="2" t="inlineStr">
        <is>
          <t>差异</t>
        </is>
      </c>
      <c r="AA3" s="2" t="inlineStr">
        <is>
          <t>预算</t>
        </is>
      </c>
      <c r="AB3" s="2" t="inlineStr">
        <is>
          <t>实际</t>
        </is>
      </c>
      <c r="AC3" s="2" t="inlineStr">
        <is>
          <t>差异</t>
        </is>
      </c>
      <c r="AD3" s="2" t="inlineStr">
        <is>
          <t>预算</t>
        </is>
      </c>
      <c r="AE3" s="2" t="inlineStr">
        <is>
          <t>实际</t>
        </is>
      </c>
      <c r="AF3" s="2" t="inlineStr">
        <is>
          <t>差异</t>
        </is>
      </c>
      <c r="AG3" s="2" t="inlineStr">
        <is>
          <t>预算</t>
        </is>
      </c>
      <c r="AH3" s="2" t="inlineStr">
        <is>
          <t>实际</t>
        </is>
      </c>
      <c r="AI3" s="2" t="inlineStr">
        <is>
          <t>差异</t>
        </is>
      </c>
      <c r="AJ3" s="2" t="inlineStr">
        <is>
          <t>预算</t>
        </is>
      </c>
      <c r="AK3" s="2" t="inlineStr">
        <is>
          <t>实际</t>
        </is>
      </c>
      <c r="AL3" s="2" t="inlineStr">
        <is>
          <t>差异</t>
        </is>
      </c>
    </row>
    <row r="4">
      <c r="A4" s="23" t="inlineStr">
        <is>
          <t>销售部</t>
        </is>
      </c>
      <c r="B4" s="4" t="inlineStr">
        <is>
          <t>人工费用</t>
        </is>
      </c>
      <c r="C4" s="18" t="n">
        <v>156584</v>
      </c>
      <c r="D4" s="18" t="n">
        <v>158967</v>
      </c>
      <c r="E4" s="24" t="n">
        <v>2383</v>
      </c>
      <c r="F4" s="18" t="n">
        <v>134964</v>
      </c>
      <c r="G4" s="18" t="n">
        <v>139464</v>
      </c>
      <c r="H4" s="24" t="n">
        <v>4500</v>
      </c>
      <c r="I4" s="18" t="n">
        <v>157544</v>
      </c>
      <c r="J4" s="18" t="n">
        <v>154859</v>
      </c>
      <c r="K4" s="18" t="n">
        <v>-2685</v>
      </c>
      <c r="L4" s="18" t="n">
        <v>195024</v>
      </c>
      <c r="M4" s="18" t="n">
        <v>166454</v>
      </c>
      <c r="N4" s="18" t="n">
        <v>-28570</v>
      </c>
      <c r="O4" s="18" t="n">
        <v>180486</v>
      </c>
      <c r="P4" s="18" t="n">
        <v>150292</v>
      </c>
      <c r="Q4" s="18" t="n">
        <v>-30194</v>
      </c>
      <c r="R4" s="18" t="n">
        <v>195570</v>
      </c>
      <c r="S4" s="18" t="n">
        <v>237770</v>
      </c>
      <c r="T4" s="24" t="n">
        <v>42200</v>
      </c>
      <c r="U4" s="18" t="n">
        <v>239423</v>
      </c>
      <c r="V4" s="18" t="n">
        <v>218342</v>
      </c>
      <c r="W4" s="18" t="n">
        <v>-21081</v>
      </c>
      <c r="X4" s="18" t="n">
        <v>164234</v>
      </c>
      <c r="Y4" s="18" t="n">
        <v>181204</v>
      </c>
      <c r="Z4" s="24" t="n">
        <v>16970</v>
      </c>
      <c r="AA4" s="18" t="n">
        <v>162117</v>
      </c>
      <c r="AB4" s="18" t="n">
        <v>207090</v>
      </c>
      <c r="AC4" s="24" t="n">
        <v>44973</v>
      </c>
      <c r="AD4" s="18" t="n">
        <v>185731</v>
      </c>
      <c r="AE4" s="18" t="n">
        <v>225270</v>
      </c>
      <c r="AF4" s="24" t="n">
        <v>39539</v>
      </c>
      <c r="AG4" s="18" t="n">
        <v>183782</v>
      </c>
      <c r="AH4" s="18" t="n">
        <v>145701</v>
      </c>
      <c r="AI4" s="18" t="n">
        <v>-38081</v>
      </c>
      <c r="AJ4" s="18" t="n">
        <v>253860</v>
      </c>
      <c r="AK4" s="18" t="n">
        <v>205269</v>
      </c>
      <c r="AL4" s="18" t="n">
        <v>-48591</v>
      </c>
    </row>
    <row r="5">
      <c r="B5" s="4" t="inlineStr">
        <is>
          <t>差旅费</t>
        </is>
      </c>
      <c r="C5" s="18" t="n">
        <v>50346</v>
      </c>
      <c r="D5" s="18" t="n">
        <v>51517</v>
      </c>
      <c r="E5" s="24" t="n">
        <v>1171</v>
      </c>
      <c r="F5" s="18" t="n">
        <v>39242</v>
      </c>
      <c r="G5" s="18" t="n">
        <v>46988</v>
      </c>
      <c r="H5" s="24" t="n">
        <v>7746</v>
      </c>
      <c r="I5" s="18" t="n">
        <v>51454</v>
      </c>
      <c r="J5" s="18" t="n">
        <v>62457</v>
      </c>
      <c r="K5" s="24" t="n">
        <v>11003</v>
      </c>
      <c r="L5" s="18" t="n">
        <v>59632</v>
      </c>
      <c r="M5" s="18" t="n">
        <v>76033</v>
      </c>
      <c r="N5" s="24" t="n">
        <v>16401</v>
      </c>
      <c r="O5" s="18" t="n">
        <v>56595</v>
      </c>
      <c r="P5" s="18" t="n">
        <v>58483</v>
      </c>
      <c r="Q5" s="24" t="n">
        <v>1888</v>
      </c>
      <c r="R5" s="18" t="n">
        <v>63543</v>
      </c>
      <c r="S5" s="18" t="n">
        <v>61269</v>
      </c>
      <c r="T5" s="18" t="n">
        <v>-2274</v>
      </c>
      <c r="U5" s="18" t="n">
        <v>71723</v>
      </c>
      <c r="V5" s="18" t="n">
        <v>80688</v>
      </c>
      <c r="W5" s="24" t="n">
        <v>8965</v>
      </c>
      <c r="X5" s="18" t="n">
        <v>57207</v>
      </c>
      <c r="Y5" s="18" t="n">
        <v>47115</v>
      </c>
      <c r="Z5" s="18" t="n">
        <v>-10092</v>
      </c>
      <c r="AA5" s="18" t="n">
        <v>58420</v>
      </c>
      <c r="AB5" s="18" t="n">
        <v>72662</v>
      </c>
      <c r="AC5" s="24" t="n">
        <v>14242</v>
      </c>
      <c r="AD5" s="18" t="n">
        <v>69686</v>
      </c>
      <c r="AE5" s="18" t="n">
        <v>63839</v>
      </c>
      <c r="AF5" s="18" t="n">
        <v>-5847</v>
      </c>
      <c r="AG5" s="18" t="n">
        <v>61705</v>
      </c>
      <c r="AH5" s="18" t="n">
        <v>74238</v>
      </c>
      <c r="AI5" s="24" t="n">
        <v>12533</v>
      </c>
      <c r="AJ5" s="18" t="n">
        <v>79959</v>
      </c>
      <c r="AK5" s="18" t="n">
        <v>87743</v>
      </c>
      <c r="AL5" s="24" t="n">
        <v>7784</v>
      </c>
    </row>
    <row r="6">
      <c r="B6" s="4" t="inlineStr">
        <is>
          <t>业务招待费</t>
        </is>
      </c>
      <c r="C6" s="18" t="n">
        <v>35224</v>
      </c>
      <c r="D6" s="18" t="n">
        <v>33159</v>
      </c>
      <c r="E6" s="18" t="n">
        <v>-2065</v>
      </c>
      <c r="F6" s="18" t="n">
        <v>35057</v>
      </c>
      <c r="G6" s="18" t="n">
        <v>32892</v>
      </c>
      <c r="H6" s="18" t="n">
        <v>-2165</v>
      </c>
      <c r="I6" s="18" t="n">
        <v>47059</v>
      </c>
      <c r="J6" s="18" t="n">
        <v>48275</v>
      </c>
      <c r="K6" s="24" t="n">
        <v>1216</v>
      </c>
      <c r="L6" s="18" t="n">
        <v>53268</v>
      </c>
      <c r="M6" s="18" t="n">
        <v>40308</v>
      </c>
      <c r="N6" s="18" t="n">
        <v>-12960</v>
      </c>
      <c r="O6" s="18" t="n">
        <v>45639</v>
      </c>
      <c r="P6" s="18" t="n">
        <v>49840</v>
      </c>
      <c r="Q6" s="24" t="n">
        <v>4201</v>
      </c>
      <c r="R6" s="18" t="n">
        <v>50867</v>
      </c>
      <c r="S6" s="18" t="n">
        <v>66081</v>
      </c>
      <c r="T6" s="24" t="n">
        <v>15214</v>
      </c>
      <c r="U6" s="18" t="n">
        <v>58478</v>
      </c>
      <c r="V6" s="18" t="n">
        <v>66443</v>
      </c>
      <c r="W6" s="24" t="n">
        <v>7965</v>
      </c>
      <c r="X6" s="18" t="n">
        <v>49287</v>
      </c>
      <c r="Y6" s="18" t="n">
        <v>64063</v>
      </c>
      <c r="Z6" s="24" t="n">
        <v>14776</v>
      </c>
      <c r="AA6" s="18" t="n">
        <v>40107</v>
      </c>
      <c r="AB6" s="18" t="n">
        <v>51335</v>
      </c>
      <c r="AC6" s="24" t="n">
        <v>11228</v>
      </c>
      <c r="AD6" s="18" t="n">
        <v>55065</v>
      </c>
      <c r="AE6" s="18" t="n">
        <v>70972</v>
      </c>
      <c r="AF6" s="24" t="n">
        <v>15907</v>
      </c>
      <c r="AG6" s="18" t="n">
        <v>51423</v>
      </c>
      <c r="AH6" s="18" t="n">
        <v>46841</v>
      </c>
      <c r="AI6" s="18" t="n">
        <v>-4582</v>
      </c>
      <c r="AJ6" s="18" t="n">
        <v>58720</v>
      </c>
      <c r="AK6" s="18" t="n">
        <v>50313</v>
      </c>
      <c r="AL6" s="18" t="n">
        <v>-8407</v>
      </c>
    </row>
    <row r="7">
      <c r="B7" s="4" t="inlineStr">
        <is>
          <t>办公费</t>
        </is>
      </c>
      <c r="C7" s="18" t="n">
        <v>29882</v>
      </c>
      <c r="D7" s="18" t="n">
        <v>36568</v>
      </c>
      <c r="E7" s="24" t="n">
        <v>6686</v>
      </c>
      <c r="F7" s="18" t="n">
        <v>29719</v>
      </c>
      <c r="G7" s="18" t="n">
        <v>29143</v>
      </c>
      <c r="H7" s="18" t="n">
        <v>-576</v>
      </c>
      <c r="I7" s="18" t="n">
        <v>37722</v>
      </c>
      <c r="J7" s="18" t="n">
        <v>37130</v>
      </c>
      <c r="K7" s="18" t="n">
        <v>-592</v>
      </c>
      <c r="L7" s="18" t="n">
        <v>42118</v>
      </c>
      <c r="M7" s="18" t="n">
        <v>37239</v>
      </c>
      <c r="N7" s="18" t="n">
        <v>-4879</v>
      </c>
      <c r="O7" s="18" t="n">
        <v>42140</v>
      </c>
      <c r="P7" s="18" t="n">
        <v>53214</v>
      </c>
      <c r="Q7" s="24" t="n">
        <v>11074</v>
      </c>
      <c r="R7" s="18" t="n">
        <v>47057</v>
      </c>
      <c r="S7" s="18" t="n">
        <v>40067</v>
      </c>
      <c r="T7" s="18" t="n">
        <v>-6990</v>
      </c>
      <c r="U7" s="18" t="n">
        <v>52891</v>
      </c>
      <c r="V7" s="18" t="n">
        <v>40034</v>
      </c>
      <c r="W7" s="18" t="n">
        <v>-12857</v>
      </c>
      <c r="X7" s="18" t="n">
        <v>41970</v>
      </c>
      <c r="Y7" s="18" t="n">
        <v>47677</v>
      </c>
      <c r="Z7" s="24" t="n">
        <v>5707</v>
      </c>
      <c r="AA7" s="18" t="n">
        <v>36973</v>
      </c>
      <c r="AB7" s="18" t="n">
        <v>46417</v>
      </c>
      <c r="AC7" s="24" t="n">
        <v>9444</v>
      </c>
      <c r="AD7" s="18" t="n">
        <v>46602</v>
      </c>
      <c r="AE7" s="18" t="n">
        <v>55557</v>
      </c>
      <c r="AF7" s="24" t="n">
        <v>8955</v>
      </c>
      <c r="AG7" s="18" t="n">
        <v>42918</v>
      </c>
      <c r="AH7" s="18" t="n">
        <v>48319</v>
      </c>
      <c r="AI7" s="24" t="n">
        <v>5401</v>
      </c>
      <c r="AJ7" s="18" t="n">
        <v>53336</v>
      </c>
      <c r="AK7" s="18" t="n">
        <v>45592</v>
      </c>
      <c r="AL7" s="18" t="n">
        <v>-7744</v>
      </c>
    </row>
    <row r="8">
      <c r="B8" s="4" t="inlineStr">
        <is>
          <t>折旧费</t>
        </is>
      </c>
      <c r="C8" s="18" t="n">
        <v>23672</v>
      </c>
      <c r="D8" s="18" t="n">
        <v>20075</v>
      </c>
      <c r="E8" s="18" t="n">
        <v>-3597</v>
      </c>
      <c r="F8" s="18" t="n">
        <v>22980</v>
      </c>
      <c r="G8" s="18" t="n">
        <v>18807</v>
      </c>
      <c r="H8" s="18" t="n">
        <v>-4173</v>
      </c>
      <c r="I8" s="18" t="n">
        <v>26813</v>
      </c>
      <c r="J8" s="18" t="n">
        <v>31045</v>
      </c>
      <c r="K8" s="24" t="n">
        <v>4232</v>
      </c>
      <c r="L8" s="18" t="n">
        <v>31770</v>
      </c>
      <c r="M8" s="18" t="n">
        <v>39578</v>
      </c>
      <c r="N8" s="24" t="n">
        <v>7808</v>
      </c>
      <c r="O8" s="18" t="n">
        <v>31665</v>
      </c>
      <c r="P8" s="18" t="n">
        <v>33113</v>
      </c>
      <c r="Q8" s="24" t="n">
        <v>1448</v>
      </c>
      <c r="R8" s="18" t="n">
        <v>33289</v>
      </c>
      <c r="S8" s="18" t="n">
        <v>31287</v>
      </c>
      <c r="T8" s="18" t="n">
        <v>-2002</v>
      </c>
      <c r="U8" s="18" t="n">
        <v>38260</v>
      </c>
      <c r="V8" s="18" t="n">
        <v>38085</v>
      </c>
      <c r="W8" s="18" t="n">
        <v>-175</v>
      </c>
      <c r="X8" s="18" t="n">
        <v>32274</v>
      </c>
      <c r="Y8" s="18" t="n">
        <v>33590</v>
      </c>
      <c r="Z8" s="24" t="n">
        <v>1316</v>
      </c>
      <c r="AA8" s="18" t="n">
        <v>28306</v>
      </c>
      <c r="AB8" s="18" t="n">
        <v>29308</v>
      </c>
      <c r="AC8" s="24" t="n">
        <v>1002</v>
      </c>
      <c r="AD8" s="18" t="n">
        <v>32540</v>
      </c>
      <c r="AE8" s="18" t="n">
        <v>39050</v>
      </c>
      <c r="AF8" s="24" t="n">
        <v>6510</v>
      </c>
      <c r="AG8" s="18" t="n">
        <v>31113</v>
      </c>
      <c r="AH8" s="18" t="n">
        <v>30843</v>
      </c>
      <c r="AI8" s="18" t="n">
        <v>-270</v>
      </c>
      <c r="AJ8" s="18" t="n">
        <v>46249</v>
      </c>
      <c r="AK8" s="18" t="n">
        <v>34399</v>
      </c>
      <c r="AL8" s="18" t="n">
        <v>-11850</v>
      </c>
    </row>
    <row r="9">
      <c r="B9" s="6" t="inlineStr">
        <is>
          <t>小计</t>
        </is>
      </c>
      <c r="C9" s="19" t="n">
        <v>295708</v>
      </c>
      <c r="D9" s="19" t="n">
        <v>300286</v>
      </c>
      <c r="E9" s="19" t="n">
        <v>4578</v>
      </c>
      <c r="F9" s="19" t="n">
        <v>261962</v>
      </c>
      <c r="G9" s="19" t="n">
        <v>267294</v>
      </c>
      <c r="H9" s="19" t="n">
        <v>5332</v>
      </c>
      <c r="I9" s="19" t="n">
        <v>320592</v>
      </c>
      <c r="J9" s="19" t="n">
        <v>333766</v>
      </c>
      <c r="K9" s="19" t="n">
        <v>13174</v>
      </c>
      <c r="L9" s="19" t="n">
        <v>381812</v>
      </c>
      <c r="M9" s="19" t="n">
        <v>359612</v>
      </c>
      <c r="N9" s="19" t="n">
        <v>-22200</v>
      </c>
      <c r="O9" s="19" t="n">
        <v>356525</v>
      </c>
      <c r="P9" s="19" t="n">
        <v>344942</v>
      </c>
      <c r="Q9" s="19" t="n">
        <v>-11583</v>
      </c>
      <c r="R9" s="19" t="n">
        <v>390326</v>
      </c>
      <c r="S9" s="19" t="n">
        <v>436474</v>
      </c>
      <c r="T9" s="19" t="n">
        <v>46148</v>
      </c>
      <c r="U9" s="19" t="n">
        <v>460775</v>
      </c>
      <c r="V9" s="19" t="n">
        <v>443592</v>
      </c>
      <c r="W9" s="19" t="n">
        <v>-17183</v>
      </c>
      <c r="X9" s="19" t="n">
        <v>344972</v>
      </c>
      <c r="Y9" s="19" t="n">
        <v>373649</v>
      </c>
      <c r="Z9" s="19" t="n">
        <v>28677</v>
      </c>
      <c r="AA9" s="19" t="n">
        <v>325923</v>
      </c>
      <c r="AB9" s="19" t="n">
        <v>406812</v>
      </c>
      <c r="AC9" s="19" t="n">
        <v>80889</v>
      </c>
      <c r="AD9" s="19" t="n">
        <v>389624</v>
      </c>
      <c r="AE9" s="19" t="n">
        <v>454688</v>
      </c>
      <c r="AF9" s="19" t="n">
        <v>65064</v>
      </c>
      <c r="AG9" s="19" t="n">
        <v>370941</v>
      </c>
      <c r="AH9" s="19" t="n">
        <v>345942</v>
      </c>
      <c r="AI9" s="19" t="n">
        <v>-24999</v>
      </c>
      <c r="AJ9" s="19" t="n">
        <v>492124</v>
      </c>
      <c r="AK9" s="19" t="n">
        <v>423316</v>
      </c>
      <c r="AL9" s="19" t="n">
        <v>-68808</v>
      </c>
    </row>
    <row r="10">
      <c r="A10" s="23" t="inlineStr">
        <is>
          <t>市场部</t>
        </is>
      </c>
      <c r="B10" s="4" t="inlineStr">
        <is>
          <t>人工费用</t>
        </is>
      </c>
      <c r="C10" s="18" t="n">
        <v>77762</v>
      </c>
      <c r="D10" s="18" t="n">
        <v>100898</v>
      </c>
      <c r="E10" s="24" t="n">
        <v>23136</v>
      </c>
      <c r="F10" s="18" t="n">
        <v>58355</v>
      </c>
      <c r="G10" s="18" t="n">
        <v>60026</v>
      </c>
      <c r="H10" s="24" t="n">
        <v>1671</v>
      </c>
      <c r="I10" s="18" t="n">
        <v>83667</v>
      </c>
      <c r="J10" s="18" t="n">
        <v>73516</v>
      </c>
      <c r="K10" s="18" t="n">
        <v>-10151</v>
      </c>
      <c r="L10" s="18" t="n">
        <v>90899</v>
      </c>
      <c r="M10" s="18" t="n">
        <v>90429</v>
      </c>
      <c r="N10" s="18" t="n">
        <v>-470</v>
      </c>
      <c r="O10" s="18" t="n">
        <v>85332</v>
      </c>
      <c r="P10" s="18" t="n">
        <v>69997</v>
      </c>
      <c r="Q10" s="18" t="n">
        <v>-15335</v>
      </c>
      <c r="R10" s="18" t="n">
        <v>103528</v>
      </c>
      <c r="S10" s="18" t="n">
        <v>114683</v>
      </c>
      <c r="T10" s="24" t="n">
        <v>11155</v>
      </c>
      <c r="U10" s="18" t="n">
        <v>110353</v>
      </c>
      <c r="V10" s="18" t="n">
        <v>104132</v>
      </c>
      <c r="W10" s="18" t="n">
        <v>-6221</v>
      </c>
      <c r="X10" s="18" t="n">
        <v>89626</v>
      </c>
      <c r="Y10" s="18" t="n">
        <v>64221</v>
      </c>
      <c r="Z10" s="18" t="n">
        <v>-25405</v>
      </c>
      <c r="AA10" s="18" t="n">
        <v>76196</v>
      </c>
      <c r="AB10" s="18" t="n">
        <v>57086</v>
      </c>
      <c r="AC10" s="18" t="n">
        <v>-19110</v>
      </c>
      <c r="AD10" s="18" t="n">
        <v>103585</v>
      </c>
      <c r="AE10" s="18" t="n">
        <v>93287</v>
      </c>
      <c r="AF10" s="18" t="n">
        <v>-10298</v>
      </c>
      <c r="AG10" s="18" t="n">
        <v>92619</v>
      </c>
      <c r="AH10" s="18" t="n">
        <v>64846</v>
      </c>
      <c r="AI10" s="18" t="n">
        <v>-27773</v>
      </c>
      <c r="AJ10" s="18" t="n">
        <v>114591</v>
      </c>
      <c r="AK10" s="18" t="n">
        <v>131737</v>
      </c>
      <c r="AL10" s="24" t="n">
        <v>17146</v>
      </c>
    </row>
    <row r="11">
      <c r="B11" s="4" t="inlineStr">
        <is>
          <t>差旅费</t>
        </is>
      </c>
      <c r="C11" s="18" t="n">
        <v>24143</v>
      </c>
      <c r="D11" s="18" t="n">
        <v>20538</v>
      </c>
      <c r="E11" s="18" t="n">
        <v>-3605</v>
      </c>
      <c r="F11" s="18" t="n">
        <v>22010</v>
      </c>
      <c r="G11" s="18" t="n">
        <v>25419</v>
      </c>
      <c r="H11" s="24" t="n">
        <v>3409</v>
      </c>
      <c r="I11" s="18" t="n">
        <v>26325</v>
      </c>
      <c r="J11" s="18" t="n">
        <v>27668</v>
      </c>
      <c r="K11" s="24" t="n">
        <v>1343</v>
      </c>
      <c r="L11" s="18" t="n">
        <v>27722</v>
      </c>
      <c r="M11" s="18" t="n">
        <v>19448</v>
      </c>
      <c r="N11" s="18" t="n">
        <v>-8274</v>
      </c>
      <c r="O11" s="18" t="n">
        <v>32104</v>
      </c>
      <c r="P11" s="18" t="n">
        <v>40787</v>
      </c>
      <c r="Q11" s="24" t="n">
        <v>8683</v>
      </c>
      <c r="R11" s="18" t="n">
        <v>31065</v>
      </c>
      <c r="S11" s="18" t="n">
        <v>39150</v>
      </c>
      <c r="T11" s="24" t="n">
        <v>8085</v>
      </c>
      <c r="U11" s="18" t="n">
        <v>38903</v>
      </c>
      <c r="V11" s="18" t="n">
        <v>48413</v>
      </c>
      <c r="W11" s="24" t="n">
        <v>9510</v>
      </c>
      <c r="X11" s="18" t="n">
        <v>29180</v>
      </c>
      <c r="Y11" s="18" t="n">
        <v>28484</v>
      </c>
      <c r="Z11" s="18" t="n">
        <v>-696</v>
      </c>
      <c r="AA11" s="18" t="n">
        <v>28227</v>
      </c>
      <c r="AB11" s="18" t="n">
        <v>25041</v>
      </c>
      <c r="AC11" s="18" t="n">
        <v>-3186</v>
      </c>
      <c r="AD11" s="18" t="n">
        <v>34657</v>
      </c>
      <c r="AE11" s="18" t="n">
        <v>40910</v>
      </c>
      <c r="AF11" s="24" t="n">
        <v>6253</v>
      </c>
      <c r="AG11" s="18" t="n">
        <v>31347</v>
      </c>
      <c r="AH11" s="18" t="n">
        <v>39918</v>
      </c>
      <c r="AI11" s="24" t="n">
        <v>8571</v>
      </c>
      <c r="AJ11" s="18" t="n">
        <v>38673</v>
      </c>
      <c r="AK11" s="18" t="n">
        <v>48088</v>
      </c>
      <c r="AL11" s="24" t="n">
        <v>9415</v>
      </c>
    </row>
    <row r="12">
      <c r="B12" s="4" t="inlineStr">
        <is>
          <t>业务招待费</t>
        </is>
      </c>
      <c r="C12" s="18" t="n">
        <v>18573</v>
      </c>
      <c r="D12" s="18" t="n">
        <v>20373</v>
      </c>
      <c r="E12" s="24" t="n">
        <v>1800</v>
      </c>
      <c r="F12" s="18" t="n">
        <v>15572</v>
      </c>
      <c r="G12" s="18" t="n">
        <v>15144</v>
      </c>
      <c r="H12" s="18" t="n">
        <v>-428</v>
      </c>
      <c r="I12" s="18" t="n">
        <v>24055</v>
      </c>
      <c r="J12" s="18" t="n">
        <v>22336</v>
      </c>
      <c r="K12" s="18" t="n">
        <v>-1719</v>
      </c>
      <c r="L12" s="18" t="n">
        <v>25389</v>
      </c>
      <c r="M12" s="18" t="n">
        <v>23669</v>
      </c>
      <c r="N12" s="18" t="n">
        <v>-1720</v>
      </c>
      <c r="O12" s="18" t="n">
        <v>23007</v>
      </c>
      <c r="P12" s="18" t="n">
        <v>16610</v>
      </c>
      <c r="Q12" s="18" t="n">
        <v>-6397</v>
      </c>
      <c r="R12" s="18" t="n">
        <v>27978</v>
      </c>
      <c r="S12" s="18" t="n">
        <v>21568</v>
      </c>
      <c r="T12" s="18" t="n">
        <v>-6410</v>
      </c>
      <c r="U12" s="18" t="n">
        <v>31261</v>
      </c>
      <c r="V12" s="18" t="n">
        <v>36169</v>
      </c>
      <c r="W12" s="24" t="n">
        <v>4908</v>
      </c>
      <c r="X12" s="18" t="n">
        <v>24366</v>
      </c>
      <c r="Y12" s="18" t="n">
        <v>23377</v>
      </c>
      <c r="Z12" s="18" t="n">
        <v>-989</v>
      </c>
      <c r="AA12" s="18" t="n">
        <v>20893</v>
      </c>
      <c r="AB12" s="18" t="n">
        <v>16799</v>
      </c>
      <c r="AC12" s="18" t="n">
        <v>-4094</v>
      </c>
      <c r="AD12" s="18" t="n">
        <v>26293</v>
      </c>
      <c r="AE12" s="18" t="n">
        <v>31001</v>
      </c>
      <c r="AF12" s="24" t="n">
        <v>4708</v>
      </c>
      <c r="AG12" s="18" t="n">
        <v>24904</v>
      </c>
      <c r="AH12" s="18" t="n">
        <v>23990</v>
      </c>
      <c r="AI12" s="18" t="n">
        <v>-914</v>
      </c>
      <c r="AJ12" s="18" t="n">
        <v>29760</v>
      </c>
      <c r="AK12" s="18" t="n">
        <v>25599</v>
      </c>
      <c r="AL12" s="18" t="n">
        <v>-4161</v>
      </c>
    </row>
    <row r="13">
      <c r="B13" s="4" t="inlineStr">
        <is>
          <t>办公费</t>
        </is>
      </c>
      <c r="C13" s="18" t="n">
        <v>15933</v>
      </c>
      <c r="D13" s="18" t="n">
        <v>20562</v>
      </c>
      <c r="E13" s="24" t="n">
        <v>4629</v>
      </c>
      <c r="F13" s="18" t="n">
        <v>13197</v>
      </c>
      <c r="G13" s="18" t="n">
        <v>15923</v>
      </c>
      <c r="H13" s="24" t="n">
        <v>2726</v>
      </c>
      <c r="I13" s="18" t="n">
        <v>18966</v>
      </c>
      <c r="J13" s="18" t="n">
        <v>17395</v>
      </c>
      <c r="K13" s="18" t="n">
        <v>-1571</v>
      </c>
      <c r="L13" s="18" t="n">
        <v>21222</v>
      </c>
      <c r="M13" s="18" t="n">
        <v>22725</v>
      </c>
      <c r="N13" s="24" t="n">
        <v>1503</v>
      </c>
      <c r="O13" s="18" t="n">
        <v>19072</v>
      </c>
      <c r="P13" s="18" t="n">
        <v>23380</v>
      </c>
      <c r="Q13" s="24" t="n">
        <v>4308</v>
      </c>
      <c r="R13" s="18" t="n">
        <v>22375</v>
      </c>
      <c r="S13" s="18" t="n">
        <v>17254</v>
      </c>
      <c r="T13" s="18" t="n">
        <v>-5121</v>
      </c>
      <c r="U13" s="18" t="n">
        <v>25463</v>
      </c>
      <c r="V13" s="18" t="n">
        <v>22534</v>
      </c>
      <c r="W13" s="18" t="n">
        <v>-2929</v>
      </c>
      <c r="X13" s="18" t="n">
        <v>20962</v>
      </c>
      <c r="Y13" s="18" t="n">
        <v>25157</v>
      </c>
      <c r="Z13" s="24" t="n">
        <v>4195</v>
      </c>
      <c r="AA13" s="18" t="n">
        <v>18306</v>
      </c>
      <c r="AB13" s="18" t="n">
        <v>18297</v>
      </c>
      <c r="AC13" s="18" t="n">
        <v>-9</v>
      </c>
      <c r="AD13" s="18" t="n">
        <v>23089</v>
      </c>
      <c r="AE13" s="18" t="n">
        <v>18696</v>
      </c>
      <c r="AF13" s="18" t="n">
        <v>-4393</v>
      </c>
      <c r="AG13" s="18" t="n">
        <v>21856</v>
      </c>
      <c r="AH13" s="18" t="n">
        <v>20724</v>
      </c>
      <c r="AI13" s="18" t="n">
        <v>-1132</v>
      </c>
      <c r="AJ13" s="18" t="n">
        <v>28308</v>
      </c>
      <c r="AK13" s="18" t="n">
        <v>29773</v>
      </c>
      <c r="AL13" s="24" t="n">
        <v>1465</v>
      </c>
    </row>
    <row r="14">
      <c r="B14" s="4" t="inlineStr">
        <is>
          <t>折旧费</t>
        </is>
      </c>
      <c r="C14" s="18" t="n">
        <v>13126</v>
      </c>
      <c r="D14" s="18" t="n">
        <v>12388</v>
      </c>
      <c r="E14" s="18" t="n">
        <v>-738</v>
      </c>
      <c r="F14" s="18" t="n">
        <v>11586</v>
      </c>
      <c r="G14" s="18" t="n">
        <v>11837</v>
      </c>
      <c r="H14" s="24" t="n">
        <v>251</v>
      </c>
      <c r="I14" s="18" t="n">
        <v>15159</v>
      </c>
      <c r="J14" s="18" t="n">
        <v>15616</v>
      </c>
      <c r="K14" s="24" t="n">
        <v>457</v>
      </c>
      <c r="L14" s="18" t="n">
        <v>17215</v>
      </c>
      <c r="M14" s="18" t="n">
        <v>12411</v>
      </c>
      <c r="N14" s="18" t="n">
        <v>-4804</v>
      </c>
      <c r="O14" s="18" t="n">
        <v>17221</v>
      </c>
      <c r="P14" s="18" t="n">
        <v>15599</v>
      </c>
      <c r="Q14" s="18" t="n">
        <v>-1622</v>
      </c>
      <c r="R14" s="18" t="n">
        <v>18398</v>
      </c>
      <c r="S14" s="18" t="n">
        <v>15092</v>
      </c>
      <c r="T14" s="18" t="n">
        <v>-3306</v>
      </c>
      <c r="U14" s="18" t="n">
        <v>19055</v>
      </c>
      <c r="V14" s="18" t="n">
        <v>17666</v>
      </c>
      <c r="W14" s="18" t="n">
        <v>-1389</v>
      </c>
      <c r="X14" s="18" t="n">
        <v>17915</v>
      </c>
      <c r="Y14" s="18" t="n">
        <v>21806</v>
      </c>
      <c r="Z14" s="24" t="n">
        <v>3891</v>
      </c>
      <c r="AA14" s="18" t="n">
        <v>15680</v>
      </c>
      <c r="AB14" s="18" t="n">
        <v>18790</v>
      </c>
      <c r="AC14" s="24" t="n">
        <v>3110</v>
      </c>
      <c r="AD14" s="18" t="n">
        <v>17275</v>
      </c>
      <c r="AE14" s="18" t="n">
        <v>14295</v>
      </c>
      <c r="AF14" s="18" t="n">
        <v>-2980</v>
      </c>
      <c r="AG14" s="18" t="n">
        <v>17026</v>
      </c>
      <c r="AH14" s="18" t="n">
        <v>13906</v>
      </c>
      <c r="AI14" s="18" t="n">
        <v>-3120</v>
      </c>
      <c r="AJ14" s="18" t="n">
        <v>22809</v>
      </c>
      <c r="AK14" s="18" t="n">
        <v>19713</v>
      </c>
      <c r="AL14" s="18" t="n">
        <v>-3096</v>
      </c>
    </row>
    <row r="15">
      <c r="B15" s="6" t="inlineStr">
        <is>
          <t>小计</t>
        </is>
      </c>
      <c r="C15" s="19" t="n">
        <v>149537</v>
      </c>
      <c r="D15" s="19" t="n">
        <v>174759</v>
      </c>
      <c r="E15" s="19" t="n">
        <v>25222</v>
      </c>
      <c r="F15" s="19" t="n">
        <v>120720</v>
      </c>
      <c r="G15" s="19" t="n">
        <v>128349</v>
      </c>
      <c r="H15" s="19" t="n">
        <v>7629</v>
      </c>
      <c r="I15" s="19" t="n">
        <v>168172</v>
      </c>
      <c r="J15" s="19" t="n">
        <v>156531</v>
      </c>
      <c r="K15" s="19" t="n">
        <v>-11641</v>
      </c>
      <c r="L15" s="19" t="n">
        <v>182447</v>
      </c>
      <c r="M15" s="19" t="n">
        <v>168682</v>
      </c>
      <c r="N15" s="19" t="n">
        <v>-13765</v>
      </c>
      <c r="O15" s="19" t="n">
        <v>176736</v>
      </c>
      <c r="P15" s="19" t="n">
        <v>166373</v>
      </c>
      <c r="Q15" s="19" t="n">
        <v>-10363</v>
      </c>
      <c r="R15" s="19" t="n">
        <v>203344</v>
      </c>
      <c r="S15" s="19" t="n">
        <v>207747</v>
      </c>
      <c r="T15" s="19" t="n">
        <v>4403</v>
      </c>
      <c r="U15" s="19" t="n">
        <v>225035</v>
      </c>
      <c r="V15" s="19" t="n">
        <v>228914</v>
      </c>
      <c r="W15" s="19" t="n">
        <v>3879</v>
      </c>
      <c r="X15" s="19" t="n">
        <v>182049</v>
      </c>
      <c r="Y15" s="19" t="n">
        <v>163045</v>
      </c>
      <c r="Z15" s="19" t="n">
        <v>-19004</v>
      </c>
      <c r="AA15" s="19" t="n">
        <v>159302</v>
      </c>
      <c r="AB15" s="19" t="n">
        <v>136013</v>
      </c>
      <c r="AC15" s="19" t="n">
        <v>-23289</v>
      </c>
      <c r="AD15" s="19" t="n">
        <v>204899</v>
      </c>
      <c r="AE15" s="19" t="n">
        <v>198189</v>
      </c>
      <c r="AF15" s="19" t="n">
        <v>-6710</v>
      </c>
      <c r="AG15" s="19" t="n">
        <v>187752</v>
      </c>
      <c r="AH15" s="19" t="n">
        <v>163384</v>
      </c>
      <c r="AI15" s="19" t="n">
        <v>-24368</v>
      </c>
      <c r="AJ15" s="19" t="n">
        <v>234141</v>
      </c>
      <c r="AK15" s="19" t="n">
        <v>254910</v>
      </c>
      <c r="AL15" s="19" t="n">
        <v>20769</v>
      </c>
    </row>
    <row r="16">
      <c r="A16" s="23" t="inlineStr">
        <is>
          <t>研发部</t>
        </is>
      </c>
      <c r="B16" s="4" t="inlineStr">
        <is>
          <t>人工费用</t>
        </is>
      </c>
      <c r="C16" s="18" t="n">
        <v>133165</v>
      </c>
      <c r="D16" s="18" t="n">
        <v>123791</v>
      </c>
      <c r="E16" s="18" t="n">
        <v>-9374</v>
      </c>
      <c r="F16" s="18" t="n">
        <v>119062</v>
      </c>
      <c r="G16" s="18" t="n">
        <v>111605</v>
      </c>
      <c r="H16" s="18" t="n">
        <v>-7457</v>
      </c>
      <c r="I16" s="18" t="n">
        <v>164351</v>
      </c>
      <c r="J16" s="18" t="n">
        <v>156886</v>
      </c>
      <c r="K16" s="18" t="n">
        <v>-7465</v>
      </c>
      <c r="L16" s="18" t="n">
        <v>193919</v>
      </c>
      <c r="M16" s="18" t="n">
        <v>237493</v>
      </c>
      <c r="N16" s="24" t="n">
        <v>43574</v>
      </c>
      <c r="O16" s="18" t="n">
        <v>186333</v>
      </c>
      <c r="P16" s="18" t="n">
        <v>220820</v>
      </c>
      <c r="Q16" s="24" t="n">
        <v>34487</v>
      </c>
      <c r="R16" s="18" t="n">
        <v>213173</v>
      </c>
      <c r="S16" s="18" t="n">
        <v>243275</v>
      </c>
      <c r="T16" s="24" t="n">
        <v>30102</v>
      </c>
      <c r="U16" s="18" t="n">
        <v>220252</v>
      </c>
      <c r="V16" s="18" t="n">
        <v>240844</v>
      </c>
      <c r="W16" s="24" t="n">
        <v>20592</v>
      </c>
      <c r="X16" s="18" t="n">
        <v>178752</v>
      </c>
      <c r="Y16" s="18" t="n">
        <v>191517</v>
      </c>
      <c r="Z16" s="24" t="n">
        <v>12765</v>
      </c>
      <c r="AA16" s="18" t="n">
        <v>175098</v>
      </c>
      <c r="AB16" s="18" t="n">
        <v>189072</v>
      </c>
      <c r="AC16" s="24" t="n">
        <v>13974</v>
      </c>
      <c r="AD16" s="18" t="n">
        <v>220171</v>
      </c>
      <c r="AE16" s="18" t="n">
        <v>252481</v>
      </c>
      <c r="AF16" s="24" t="n">
        <v>32310</v>
      </c>
      <c r="AG16" s="18" t="n">
        <v>177348</v>
      </c>
      <c r="AH16" s="18" t="n">
        <v>213735</v>
      </c>
      <c r="AI16" s="24" t="n">
        <v>36387</v>
      </c>
      <c r="AJ16" s="18" t="n">
        <v>252438</v>
      </c>
      <c r="AK16" s="18" t="n">
        <v>212848</v>
      </c>
      <c r="AL16" s="18" t="n">
        <v>-39590</v>
      </c>
    </row>
    <row r="17">
      <c r="B17" s="4" t="inlineStr">
        <is>
          <t>差旅费</t>
        </is>
      </c>
      <c r="C17" s="18" t="n">
        <v>52216</v>
      </c>
      <c r="D17" s="18" t="n">
        <v>64971</v>
      </c>
      <c r="E17" s="24" t="n">
        <v>12755</v>
      </c>
      <c r="F17" s="18" t="n">
        <v>45773</v>
      </c>
      <c r="G17" s="18" t="n">
        <v>49831</v>
      </c>
      <c r="H17" s="24" t="n">
        <v>4058</v>
      </c>
      <c r="I17" s="18" t="n">
        <v>57243</v>
      </c>
      <c r="J17" s="18" t="n">
        <v>44525</v>
      </c>
      <c r="K17" s="18" t="n">
        <v>-12718</v>
      </c>
      <c r="L17" s="18" t="n">
        <v>55149</v>
      </c>
      <c r="M17" s="18" t="n">
        <v>50667</v>
      </c>
      <c r="N17" s="18" t="n">
        <v>-4482</v>
      </c>
      <c r="O17" s="18" t="n">
        <v>60260</v>
      </c>
      <c r="P17" s="18" t="n">
        <v>48316</v>
      </c>
      <c r="Q17" s="18" t="n">
        <v>-11944</v>
      </c>
      <c r="R17" s="18" t="n">
        <v>69032</v>
      </c>
      <c r="S17" s="18" t="n">
        <v>71482</v>
      </c>
      <c r="T17" s="24" t="n">
        <v>2450</v>
      </c>
      <c r="U17" s="18" t="n">
        <v>69828</v>
      </c>
      <c r="V17" s="18" t="n">
        <v>83727</v>
      </c>
      <c r="W17" s="24" t="n">
        <v>13899</v>
      </c>
      <c r="X17" s="18" t="n">
        <v>61254</v>
      </c>
      <c r="Y17" s="18" t="n">
        <v>57519</v>
      </c>
      <c r="Z17" s="18" t="n">
        <v>-3735</v>
      </c>
      <c r="AA17" s="18" t="n">
        <v>59016</v>
      </c>
      <c r="AB17" s="18" t="n">
        <v>64033</v>
      </c>
      <c r="AC17" s="24" t="n">
        <v>5017</v>
      </c>
      <c r="AD17" s="18" t="n">
        <v>63818</v>
      </c>
      <c r="AE17" s="18" t="n">
        <v>78274</v>
      </c>
      <c r="AF17" s="24" t="n">
        <v>14456</v>
      </c>
      <c r="AG17" s="18" t="n">
        <v>57752</v>
      </c>
      <c r="AH17" s="18" t="n">
        <v>68311</v>
      </c>
      <c r="AI17" s="24" t="n">
        <v>10559</v>
      </c>
      <c r="AJ17" s="18" t="n">
        <v>76859</v>
      </c>
      <c r="AK17" s="18" t="n">
        <v>79348</v>
      </c>
      <c r="AL17" s="24" t="n">
        <v>2489</v>
      </c>
    </row>
    <row r="18">
      <c r="B18" s="4" t="inlineStr">
        <is>
          <t>业务招待费</t>
        </is>
      </c>
      <c r="C18" s="18" t="n">
        <v>42461</v>
      </c>
      <c r="D18" s="18" t="n">
        <v>49412</v>
      </c>
      <c r="E18" s="24" t="n">
        <v>6951</v>
      </c>
      <c r="F18" s="18" t="n">
        <v>34014</v>
      </c>
      <c r="G18" s="18" t="n">
        <v>23959</v>
      </c>
      <c r="H18" s="18" t="n">
        <v>-10055</v>
      </c>
      <c r="I18" s="18" t="n">
        <v>41516</v>
      </c>
      <c r="J18" s="18" t="n">
        <v>34439</v>
      </c>
      <c r="K18" s="18" t="n">
        <v>-7077</v>
      </c>
      <c r="L18" s="18" t="n">
        <v>51004</v>
      </c>
      <c r="M18" s="18" t="n">
        <v>47083</v>
      </c>
      <c r="N18" s="18" t="n">
        <v>-3921</v>
      </c>
      <c r="O18" s="18" t="n">
        <v>47820</v>
      </c>
      <c r="P18" s="18" t="n">
        <v>38882</v>
      </c>
      <c r="Q18" s="18" t="n">
        <v>-8938</v>
      </c>
      <c r="R18" s="18" t="n">
        <v>56021</v>
      </c>
      <c r="S18" s="18" t="n">
        <v>43277</v>
      </c>
      <c r="T18" s="18" t="n">
        <v>-12744</v>
      </c>
      <c r="U18" s="18" t="n">
        <v>57433</v>
      </c>
      <c r="V18" s="18" t="n">
        <v>53290</v>
      </c>
      <c r="W18" s="18" t="n">
        <v>-4143</v>
      </c>
      <c r="X18" s="18" t="n">
        <v>53410</v>
      </c>
      <c r="Y18" s="18" t="n">
        <v>54207</v>
      </c>
      <c r="Z18" s="24" t="n">
        <v>797</v>
      </c>
      <c r="AA18" s="18" t="n">
        <v>45616</v>
      </c>
      <c r="AB18" s="18" t="n">
        <v>39504</v>
      </c>
      <c r="AC18" s="18" t="n">
        <v>-6112</v>
      </c>
      <c r="AD18" s="18" t="n">
        <v>56656</v>
      </c>
      <c r="AE18" s="18" t="n">
        <v>55797</v>
      </c>
      <c r="AF18" s="18" t="n">
        <v>-859</v>
      </c>
      <c r="AG18" s="18" t="n">
        <v>48363</v>
      </c>
      <c r="AH18" s="18" t="n">
        <v>35461</v>
      </c>
      <c r="AI18" s="18" t="n">
        <v>-12902</v>
      </c>
      <c r="AJ18" s="18" t="n">
        <v>67238</v>
      </c>
      <c r="AK18" s="18" t="n">
        <v>58154</v>
      </c>
      <c r="AL18" s="18" t="n">
        <v>-9084</v>
      </c>
    </row>
    <row r="19">
      <c r="B19" s="4" t="inlineStr">
        <is>
          <t>办公费</t>
        </is>
      </c>
      <c r="C19" s="18" t="n">
        <v>31547</v>
      </c>
      <c r="D19" s="18" t="n">
        <v>35744</v>
      </c>
      <c r="E19" s="24" t="n">
        <v>4197</v>
      </c>
      <c r="F19" s="18" t="n">
        <v>27801</v>
      </c>
      <c r="G19" s="18" t="n">
        <v>22408</v>
      </c>
      <c r="H19" s="18" t="n">
        <v>-5393</v>
      </c>
      <c r="I19" s="18" t="n">
        <v>40155</v>
      </c>
      <c r="J19" s="18" t="n">
        <v>34314</v>
      </c>
      <c r="K19" s="18" t="n">
        <v>-5841</v>
      </c>
      <c r="L19" s="18" t="n">
        <v>36813</v>
      </c>
      <c r="M19" s="18" t="n">
        <v>28052</v>
      </c>
      <c r="N19" s="18" t="n">
        <v>-8761</v>
      </c>
      <c r="O19" s="18" t="n">
        <v>43095</v>
      </c>
      <c r="P19" s="18" t="n">
        <v>52908</v>
      </c>
      <c r="Q19" s="24" t="n">
        <v>9813</v>
      </c>
      <c r="R19" s="18" t="n">
        <v>43877</v>
      </c>
      <c r="S19" s="18" t="n">
        <v>44312</v>
      </c>
      <c r="T19" s="24" t="n">
        <v>435</v>
      </c>
      <c r="U19" s="18" t="n">
        <v>52369</v>
      </c>
      <c r="V19" s="18" t="n">
        <v>50859</v>
      </c>
      <c r="W19" s="18" t="n">
        <v>-1510</v>
      </c>
      <c r="X19" s="18" t="n">
        <v>41301</v>
      </c>
      <c r="Y19" s="18" t="n">
        <v>34015</v>
      </c>
      <c r="Z19" s="18" t="n">
        <v>-7286</v>
      </c>
      <c r="AA19" s="18" t="n">
        <v>39434</v>
      </c>
      <c r="AB19" s="18" t="n">
        <v>49478</v>
      </c>
      <c r="AC19" s="24" t="n">
        <v>10044</v>
      </c>
      <c r="AD19" s="18" t="n">
        <v>44410</v>
      </c>
      <c r="AE19" s="18" t="n">
        <v>48346</v>
      </c>
      <c r="AF19" s="24" t="n">
        <v>3936</v>
      </c>
      <c r="AG19" s="18" t="n">
        <v>38741</v>
      </c>
      <c r="AH19" s="18" t="n">
        <v>49979</v>
      </c>
      <c r="AI19" s="24" t="n">
        <v>11238</v>
      </c>
      <c r="AJ19" s="18" t="n">
        <v>55881</v>
      </c>
      <c r="AK19" s="18" t="n">
        <v>69319</v>
      </c>
      <c r="AL19" s="24" t="n">
        <v>13438</v>
      </c>
    </row>
    <row r="20">
      <c r="B20" s="4" t="inlineStr">
        <is>
          <t>折旧费</t>
        </is>
      </c>
      <c r="C20" s="18" t="n">
        <v>27901</v>
      </c>
      <c r="D20" s="18" t="n">
        <v>32012</v>
      </c>
      <c r="E20" s="24" t="n">
        <v>4111</v>
      </c>
      <c r="F20" s="18" t="n">
        <v>21609</v>
      </c>
      <c r="G20" s="18" t="n">
        <v>26157</v>
      </c>
      <c r="H20" s="24" t="n">
        <v>4548</v>
      </c>
      <c r="I20" s="18" t="n">
        <v>31903</v>
      </c>
      <c r="J20" s="18" t="n">
        <v>39625</v>
      </c>
      <c r="K20" s="24" t="n">
        <v>7722</v>
      </c>
      <c r="L20" s="18" t="n">
        <v>30538</v>
      </c>
      <c r="M20" s="18" t="n">
        <v>35738</v>
      </c>
      <c r="N20" s="24" t="n">
        <v>5200</v>
      </c>
      <c r="O20" s="18" t="n">
        <v>33287</v>
      </c>
      <c r="P20" s="18" t="n">
        <v>28583</v>
      </c>
      <c r="Q20" s="18" t="n">
        <v>-4704</v>
      </c>
      <c r="R20" s="18" t="n">
        <v>34587</v>
      </c>
      <c r="S20" s="18" t="n">
        <v>27254</v>
      </c>
      <c r="T20" s="18" t="n">
        <v>-7333</v>
      </c>
      <c r="U20" s="18" t="n">
        <v>35531</v>
      </c>
      <c r="V20" s="18" t="n">
        <v>45229</v>
      </c>
      <c r="W20" s="24" t="n">
        <v>9698</v>
      </c>
      <c r="X20" s="18" t="n">
        <v>33003</v>
      </c>
      <c r="Y20" s="18" t="n">
        <v>39303</v>
      </c>
      <c r="Z20" s="24" t="n">
        <v>6300</v>
      </c>
      <c r="AA20" s="18" t="n">
        <v>26743</v>
      </c>
      <c r="AB20" s="18" t="n">
        <v>32794</v>
      </c>
      <c r="AC20" s="24" t="n">
        <v>6051</v>
      </c>
      <c r="AD20" s="18" t="n">
        <v>32337</v>
      </c>
      <c r="AE20" s="18" t="n">
        <v>34826</v>
      </c>
      <c r="AF20" s="24" t="n">
        <v>2489</v>
      </c>
      <c r="AG20" s="18" t="n">
        <v>32096</v>
      </c>
      <c r="AH20" s="18" t="n">
        <v>31767</v>
      </c>
      <c r="AI20" s="18" t="n">
        <v>-329</v>
      </c>
      <c r="AJ20" s="18" t="n">
        <v>42546</v>
      </c>
      <c r="AK20" s="18" t="n">
        <v>47194</v>
      </c>
      <c r="AL20" s="24" t="n">
        <v>4648</v>
      </c>
    </row>
    <row r="21">
      <c r="B21" s="6" t="inlineStr">
        <is>
          <t>小计</t>
        </is>
      </c>
      <c r="C21" s="19" t="n">
        <v>287290</v>
      </c>
      <c r="D21" s="19" t="n">
        <v>305930</v>
      </c>
      <c r="E21" s="19" t="n">
        <v>18640</v>
      </c>
      <c r="F21" s="19" t="n">
        <v>248259</v>
      </c>
      <c r="G21" s="19" t="n">
        <v>233960</v>
      </c>
      <c r="H21" s="19" t="n">
        <v>-14299</v>
      </c>
      <c r="I21" s="19" t="n">
        <v>335168</v>
      </c>
      <c r="J21" s="19" t="n">
        <v>309789</v>
      </c>
      <c r="K21" s="19" t="n">
        <v>-25379</v>
      </c>
      <c r="L21" s="19" t="n">
        <v>367423</v>
      </c>
      <c r="M21" s="19" t="n">
        <v>399033</v>
      </c>
      <c r="N21" s="19" t="n">
        <v>31610</v>
      </c>
      <c r="O21" s="19" t="n">
        <v>370795</v>
      </c>
      <c r="P21" s="19" t="n">
        <v>389509</v>
      </c>
      <c r="Q21" s="19" t="n">
        <v>18714</v>
      </c>
      <c r="R21" s="19" t="n">
        <v>416690</v>
      </c>
      <c r="S21" s="19" t="n">
        <v>429600</v>
      </c>
      <c r="T21" s="19" t="n">
        <v>12910</v>
      </c>
      <c r="U21" s="19" t="n">
        <v>435413</v>
      </c>
      <c r="V21" s="19" t="n">
        <v>473949</v>
      </c>
      <c r="W21" s="19" t="n">
        <v>38536</v>
      </c>
      <c r="X21" s="19" t="n">
        <v>367720</v>
      </c>
      <c r="Y21" s="19" t="n">
        <v>376561</v>
      </c>
      <c r="Z21" s="19" t="n">
        <v>8841</v>
      </c>
      <c r="AA21" s="19" t="n">
        <v>345907</v>
      </c>
      <c r="AB21" s="19" t="n">
        <v>374881</v>
      </c>
      <c r="AC21" s="19" t="n">
        <v>28974</v>
      </c>
      <c r="AD21" s="19" t="n">
        <v>417392</v>
      </c>
      <c r="AE21" s="19" t="n">
        <v>469724</v>
      </c>
      <c r="AF21" s="19" t="n">
        <v>52332</v>
      </c>
      <c r="AG21" s="19" t="n">
        <v>354300</v>
      </c>
      <c r="AH21" s="19" t="n">
        <v>399253</v>
      </c>
      <c r="AI21" s="19" t="n">
        <v>44953</v>
      </c>
      <c r="AJ21" s="19" t="n">
        <v>494962</v>
      </c>
      <c r="AK21" s="19" t="n">
        <v>466863</v>
      </c>
      <c r="AL21" s="19" t="n">
        <v>-28099</v>
      </c>
    </row>
    <row r="22">
      <c r="A22" s="23" t="inlineStr">
        <is>
          <t>生产部</t>
        </is>
      </c>
      <c r="B22" s="4" t="inlineStr">
        <is>
          <t>人工费用</t>
        </is>
      </c>
      <c r="C22" s="18" t="n">
        <v>99226</v>
      </c>
      <c r="D22" s="18" t="n">
        <v>87261</v>
      </c>
      <c r="E22" s="18" t="n">
        <v>-11965</v>
      </c>
      <c r="F22" s="18" t="n">
        <v>94400</v>
      </c>
      <c r="G22" s="18" t="n">
        <v>99605</v>
      </c>
      <c r="H22" s="24" t="n">
        <v>5205</v>
      </c>
      <c r="I22" s="18" t="n">
        <v>120010</v>
      </c>
      <c r="J22" s="18" t="n">
        <v>124747</v>
      </c>
      <c r="K22" s="24" t="n">
        <v>4737</v>
      </c>
      <c r="L22" s="18" t="n">
        <v>133556</v>
      </c>
      <c r="M22" s="18" t="n">
        <v>135028</v>
      </c>
      <c r="N22" s="24" t="n">
        <v>1472</v>
      </c>
      <c r="O22" s="18" t="n">
        <v>147706</v>
      </c>
      <c r="P22" s="18" t="n">
        <v>179880</v>
      </c>
      <c r="Q22" s="24" t="n">
        <v>32174</v>
      </c>
      <c r="R22" s="18" t="n">
        <v>133678</v>
      </c>
      <c r="S22" s="18" t="n">
        <v>100568</v>
      </c>
      <c r="T22" s="18" t="n">
        <v>-33110</v>
      </c>
      <c r="U22" s="18" t="n">
        <v>153245</v>
      </c>
      <c r="V22" s="18" t="n">
        <v>189053</v>
      </c>
      <c r="W22" s="24" t="n">
        <v>35808</v>
      </c>
      <c r="X22" s="18" t="n">
        <v>132960</v>
      </c>
      <c r="Y22" s="18" t="n">
        <v>145349</v>
      </c>
      <c r="Z22" s="24" t="n">
        <v>12389</v>
      </c>
      <c r="AA22" s="18" t="n">
        <v>115369</v>
      </c>
      <c r="AB22" s="18" t="n">
        <v>146275</v>
      </c>
      <c r="AC22" s="24" t="n">
        <v>30906</v>
      </c>
      <c r="AD22" s="18" t="n">
        <v>148649</v>
      </c>
      <c r="AE22" s="18" t="n">
        <v>122817</v>
      </c>
      <c r="AF22" s="18" t="n">
        <v>-25832</v>
      </c>
      <c r="AG22" s="18" t="n">
        <v>130117</v>
      </c>
      <c r="AH22" s="18" t="n">
        <v>164924</v>
      </c>
      <c r="AI22" s="24" t="n">
        <v>34807</v>
      </c>
      <c r="AJ22" s="18" t="n">
        <v>189063</v>
      </c>
      <c r="AK22" s="18" t="n">
        <v>208198</v>
      </c>
      <c r="AL22" s="24" t="n">
        <v>19135</v>
      </c>
    </row>
    <row r="23">
      <c r="B23" s="4" t="inlineStr">
        <is>
          <t>差旅费</t>
        </is>
      </c>
      <c r="C23" s="18" t="n">
        <v>37759</v>
      </c>
      <c r="D23" s="18" t="n">
        <v>41979</v>
      </c>
      <c r="E23" s="24" t="n">
        <v>4220</v>
      </c>
      <c r="F23" s="18" t="n">
        <v>30790</v>
      </c>
      <c r="G23" s="18" t="n">
        <v>24984</v>
      </c>
      <c r="H23" s="18" t="n">
        <v>-5806</v>
      </c>
      <c r="I23" s="18" t="n">
        <v>40051</v>
      </c>
      <c r="J23" s="18" t="n">
        <v>45487</v>
      </c>
      <c r="K23" s="24" t="n">
        <v>5436</v>
      </c>
      <c r="L23" s="18" t="n">
        <v>48025</v>
      </c>
      <c r="M23" s="18" t="n">
        <v>47171</v>
      </c>
      <c r="N23" s="18" t="n">
        <v>-854</v>
      </c>
      <c r="O23" s="18" t="n">
        <v>44190</v>
      </c>
      <c r="P23" s="18" t="n">
        <v>43406</v>
      </c>
      <c r="Q23" s="18" t="n">
        <v>-784</v>
      </c>
      <c r="R23" s="18" t="n">
        <v>49084</v>
      </c>
      <c r="S23" s="18" t="n">
        <v>53104</v>
      </c>
      <c r="T23" s="24" t="n">
        <v>4020</v>
      </c>
      <c r="U23" s="18" t="n">
        <v>58206</v>
      </c>
      <c r="V23" s="18" t="n">
        <v>59664</v>
      </c>
      <c r="W23" s="24" t="n">
        <v>1458</v>
      </c>
      <c r="X23" s="18" t="n">
        <v>48756</v>
      </c>
      <c r="Y23" s="18" t="n">
        <v>61670</v>
      </c>
      <c r="Z23" s="24" t="n">
        <v>12914</v>
      </c>
      <c r="AA23" s="18" t="n">
        <v>41118</v>
      </c>
      <c r="AB23" s="18" t="n">
        <v>34683</v>
      </c>
      <c r="AC23" s="18" t="n">
        <v>-6435</v>
      </c>
      <c r="AD23" s="18" t="n">
        <v>51429</v>
      </c>
      <c r="AE23" s="18" t="n">
        <v>64464</v>
      </c>
      <c r="AF23" s="24" t="n">
        <v>13035</v>
      </c>
      <c r="AG23" s="18" t="n">
        <v>48043</v>
      </c>
      <c r="AH23" s="18" t="n">
        <v>50060</v>
      </c>
      <c r="AI23" s="24" t="n">
        <v>2017</v>
      </c>
      <c r="AJ23" s="18" t="n">
        <v>53892</v>
      </c>
      <c r="AK23" s="18" t="n">
        <v>53633</v>
      </c>
      <c r="AL23" s="18" t="n">
        <v>-259</v>
      </c>
    </row>
    <row r="24">
      <c r="B24" s="4" t="inlineStr">
        <is>
          <t>业务招待费</t>
        </is>
      </c>
      <c r="C24" s="18" t="n">
        <v>27255</v>
      </c>
      <c r="D24" s="18" t="n">
        <v>28861</v>
      </c>
      <c r="E24" s="24" t="n">
        <v>1606</v>
      </c>
      <c r="F24" s="18" t="n">
        <v>25527</v>
      </c>
      <c r="G24" s="18" t="n">
        <v>32655</v>
      </c>
      <c r="H24" s="24" t="n">
        <v>7128</v>
      </c>
      <c r="I24" s="18" t="n">
        <v>35218</v>
      </c>
      <c r="J24" s="18" t="n">
        <v>26818</v>
      </c>
      <c r="K24" s="18" t="n">
        <v>-8400</v>
      </c>
      <c r="L24" s="18" t="n">
        <v>37529</v>
      </c>
      <c r="M24" s="18" t="n">
        <v>30934</v>
      </c>
      <c r="N24" s="18" t="n">
        <v>-6595</v>
      </c>
      <c r="O24" s="18" t="n">
        <v>38797</v>
      </c>
      <c r="P24" s="18" t="n">
        <v>38756</v>
      </c>
      <c r="Q24" s="18" t="n">
        <v>-41</v>
      </c>
      <c r="R24" s="18" t="n">
        <v>42849</v>
      </c>
      <c r="S24" s="18" t="n">
        <v>41458</v>
      </c>
      <c r="T24" s="18" t="n">
        <v>-1391</v>
      </c>
      <c r="U24" s="18" t="n">
        <v>41578</v>
      </c>
      <c r="V24" s="18" t="n">
        <v>46403</v>
      </c>
      <c r="W24" s="24" t="n">
        <v>4825</v>
      </c>
      <c r="X24" s="18" t="n">
        <v>37831</v>
      </c>
      <c r="Y24" s="18" t="n">
        <v>26747</v>
      </c>
      <c r="Z24" s="18" t="n">
        <v>-11084</v>
      </c>
      <c r="AA24" s="18" t="n">
        <v>32759</v>
      </c>
      <c r="AB24" s="18" t="n">
        <v>37840</v>
      </c>
      <c r="AC24" s="24" t="n">
        <v>5081</v>
      </c>
      <c r="AD24" s="18" t="n">
        <v>40427</v>
      </c>
      <c r="AE24" s="18" t="n">
        <v>46584</v>
      </c>
      <c r="AF24" s="24" t="n">
        <v>6157</v>
      </c>
      <c r="AG24" s="18" t="n">
        <v>38307</v>
      </c>
      <c r="AH24" s="18" t="n">
        <v>35167</v>
      </c>
      <c r="AI24" s="18" t="n">
        <v>-3140</v>
      </c>
      <c r="AJ24" s="18" t="n">
        <v>50186</v>
      </c>
      <c r="AK24" s="18" t="n">
        <v>59782</v>
      </c>
      <c r="AL24" s="24" t="n">
        <v>9596</v>
      </c>
    </row>
    <row r="25">
      <c r="B25" s="4" t="inlineStr">
        <is>
          <t>办公费</t>
        </is>
      </c>
      <c r="C25" s="18" t="n">
        <v>22778</v>
      </c>
      <c r="D25" s="18" t="n">
        <v>22723</v>
      </c>
      <c r="E25" s="18" t="n">
        <v>-55</v>
      </c>
      <c r="F25" s="18" t="n">
        <v>22850</v>
      </c>
      <c r="G25" s="18" t="n">
        <v>23230</v>
      </c>
      <c r="H25" s="24" t="n">
        <v>380</v>
      </c>
      <c r="I25" s="18" t="n">
        <v>28281</v>
      </c>
      <c r="J25" s="18" t="n">
        <v>31348</v>
      </c>
      <c r="K25" s="24" t="n">
        <v>3067</v>
      </c>
      <c r="L25" s="18" t="n">
        <v>28676</v>
      </c>
      <c r="M25" s="18" t="n">
        <v>29208</v>
      </c>
      <c r="N25" s="24" t="n">
        <v>532</v>
      </c>
      <c r="O25" s="18" t="n">
        <v>28482</v>
      </c>
      <c r="P25" s="18" t="n">
        <v>36497</v>
      </c>
      <c r="Q25" s="24" t="n">
        <v>8015</v>
      </c>
      <c r="R25" s="18" t="n">
        <v>34856</v>
      </c>
      <c r="S25" s="18" t="n">
        <v>29167</v>
      </c>
      <c r="T25" s="18" t="n">
        <v>-5689</v>
      </c>
      <c r="U25" s="18" t="n">
        <v>35960</v>
      </c>
      <c r="V25" s="18" t="n">
        <v>41759</v>
      </c>
      <c r="W25" s="24" t="n">
        <v>5799</v>
      </c>
      <c r="X25" s="18" t="n">
        <v>29638</v>
      </c>
      <c r="Y25" s="18" t="n">
        <v>28444</v>
      </c>
      <c r="Z25" s="18" t="n">
        <v>-1194</v>
      </c>
      <c r="AA25" s="18" t="n">
        <v>28844</v>
      </c>
      <c r="AB25" s="18" t="n">
        <v>31612</v>
      </c>
      <c r="AC25" s="24" t="n">
        <v>2768</v>
      </c>
      <c r="AD25" s="18" t="n">
        <v>34097</v>
      </c>
      <c r="AE25" s="18" t="n">
        <v>24016</v>
      </c>
      <c r="AF25" s="18" t="n">
        <v>-10081</v>
      </c>
      <c r="AG25" s="18" t="n">
        <v>28614</v>
      </c>
      <c r="AH25" s="18" t="n">
        <v>24533</v>
      </c>
      <c r="AI25" s="18" t="n">
        <v>-4081</v>
      </c>
      <c r="AJ25" s="18" t="n">
        <v>35943</v>
      </c>
      <c r="AK25" s="18" t="n">
        <v>29143</v>
      </c>
      <c r="AL25" s="18" t="n">
        <v>-6800</v>
      </c>
    </row>
    <row r="26">
      <c r="B26" s="4" t="inlineStr">
        <is>
          <t>折旧费</t>
        </is>
      </c>
      <c r="C26" s="18" t="n">
        <v>17421</v>
      </c>
      <c r="D26" s="18" t="n">
        <v>12298</v>
      </c>
      <c r="E26" s="18" t="n">
        <v>-5123</v>
      </c>
      <c r="F26" s="18" t="n">
        <v>15444</v>
      </c>
      <c r="G26" s="18" t="n">
        <v>14996</v>
      </c>
      <c r="H26" s="18" t="n">
        <v>-448</v>
      </c>
      <c r="I26" s="18" t="n">
        <v>23088</v>
      </c>
      <c r="J26" s="18" t="n">
        <v>23172</v>
      </c>
      <c r="K26" s="24" t="n">
        <v>84</v>
      </c>
      <c r="L26" s="18" t="n">
        <v>25284</v>
      </c>
      <c r="M26" s="18" t="n">
        <v>29621</v>
      </c>
      <c r="N26" s="24" t="n">
        <v>4337</v>
      </c>
      <c r="O26" s="18" t="n">
        <v>25340</v>
      </c>
      <c r="P26" s="18" t="n">
        <v>21635</v>
      </c>
      <c r="Q26" s="18" t="n">
        <v>-3705</v>
      </c>
      <c r="R26" s="18" t="n">
        <v>27537</v>
      </c>
      <c r="S26" s="18" t="n">
        <v>20642</v>
      </c>
      <c r="T26" s="18" t="n">
        <v>-6895</v>
      </c>
      <c r="U26" s="18" t="n">
        <v>28624</v>
      </c>
      <c r="V26" s="18" t="n">
        <v>28955</v>
      </c>
      <c r="W26" s="24" t="n">
        <v>331</v>
      </c>
      <c r="X26" s="18" t="n">
        <v>25066</v>
      </c>
      <c r="Y26" s="18" t="n">
        <v>25105</v>
      </c>
      <c r="Z26" s="24" t="n">
        <v>39</v>
      </c>
      <c r="AA26" s="18" t="n">
        <v>20499</v>
      </c>
      <c r="AB26" s="18" t="n">
        <v>17561</v>
      </c>
      <c r="AC26" s="18" t="n">
        <v>-2938</v>
      </c>
      <c r="AD26" s="18" t="n">
        <v>25055</v>
      </c>
      <c r="AE26" s="18" t="n">
        <v>18165</v>
      </c>
      <c r="AF26" s="18" t="n">
        <v>-6890</v>
      </c>
      <c r="AG26" s="18" t="n">
        <v>24186</v>
      </c>
      <c r="AH26" s="18" t="n">
        <v>25239</v>
      </c>
      <c r="AI26" s="24" t="n">
        <v>1053</v>
      </c>
      <c r="AJ26" s="18" t="n">
        <v>29910</v>
      </c>
      <c r="AK26" s="18" t="n">
        <v>34261</v>
      </c>
      <c r="AL26" s="24" t="n">
        <v>4351</v>
      </c>
    </row>
    <row r="27">
      <c r="B27" s="6" t="inlineStr">
        <is>
          <t>小计</t>
        </is>
      </c>
      <c r="C27" s="19" t="n">
        <v>204439</v>
      </c>
      <c r="D27" s="19" t="n">
        <v>193122</v>
      </c>
      <c r="E27" s="19" t="n">
        <v>-11317</v>
      </c>
      <c r="F27" s="19" t="n">
        <v>189011</v>
      </c>
      <c r="G27" s="19" t="n">
        <v>195470</v>
      </c>
      <c r="H27" s="19" t="n">
        <v>6459</v>
      </c>
      <c r="I27" s="19" t="n">
        <v>246648</v>
      </c>
      <c r="J27" s="19" t="n">
        <v>251572</v>
      </c>
      <c r="K27" s="19" t="n">
        <v>4924</v>
      </c>
      <c r="L27" s="19" t="n">
        <v>273070</v>
      </c>
      <c r="M27" s="19" t="n">
        <v>271962</v>
      </c>
      <c r="N27" s="19" t="n">
        <v>-1108</v>
      </c>
      <c r="O27" s="19" t="n">
        <v>284515</v>
      </c>
      <c r="P27" s="19" t="n">
        <v>320174</v>
      </c>
      <c r="Q27" s="19" t="n">
        <v>35659</v>
      </c>
      <c r="R27" s="19" t="n">
        <v>288004</v>
      </c>
      <c r="S27" s="19" t="n">
        <v>244939</v>
      </c>
      <c r="T27" s="19" t="n">
        <v>-43065</v>
      </c>
      <c r="U27" s="19" t="n">
        <v>317613</v>
      </c>
      <c r="V27" s="19" t="n">
        <v>365834</v>
      </c>
      <c r="W27" s="19" t="n">
        <v>48221</v>
      </c>
      <c r="X27" s="19" t="n">
        <v>274251</v>
      </c>
      <c r="Y27" s="19" t="n">
        <v>287315</v>
      </c>
      <c r="Z27" s="19" t="n">
        <v>13064</v>
      </c>
      <c r="AA27" s="19" t="n">
        <v>238589</v>
      </c>
      <c r="AB27" s="19" t="n">
        <v>267971</v>
      </c>
      <c r="AC27" s="19" t="n">
        <v>29382</v>
      </c>
      <c r="AD27" s="19" t="n">
        <v>299657</v>
      </c>
      <c r="AE27" s="19" t="n">
        <v>276046</v>
      </c>
      <c r="AF27" s="19" t="n">
        <v>-23611</v>
      </c>
      <c r="AG27" s="19" t="n">
        <v>269267</v>
      </c>
      <c r="AH27" s="19" t="n">
        <v>299923</v>
      </c>
      <c r="AI27" s="19" t="n">
        <v>30656</v>
      </c>
      <c r="AJ27" s="19" t="n">
        <v>358994</v>
      </c>
      <c r="AK27" s="19" t="n">
        <v>385017</v>
      </c>
      <c r="AL27" s="19" t="n">
        <v>26023</v>
      </c>
    </row>
    <row r="28">
      <c r="A28" s="23" t="inlineStr">
        <is>
          <t>采购部</t>
        </is>
      </c>
      <c r="B28" s="4" t="inlineStr">
        <is>
          <t>人工费用</t>
        </is>
      </c>
      <c r="C28" s="18" t="n">
        <v>52740</v>
      </c>
      <c r="D28" s="18" t="n">
        <v>42810</v>
      </c>
      <c r="E28" s="18" t="n">
        <v>-9930</v>
      </c>
      <c r="F28" s="18" t="n">
        <v>50328</v>
      </c>
      <c r="G28" s="18" t="n">
        <v>49155</v>
      </c>
      <c r="H28" s="18" t="n">
        <v>-1173</v>
      </c>
      <c r="I28" s="18" t="n">
        <v>68013</v>
      </c>
      <c r="J28" s="18" t="n">
        <v>65390</v>
      </c>
      <c r="K28" s="18" t="n">
        <v>-2623</v>
      </c>
      <c r="L28" s="18" t="n">
        <v>74970</v>
      </c>
      <c r="M28" s="18" t="n">
        <v>89582</v>
      </c>
      <c r="N28" s="24" t="n">
        <v>14612</v>
      </c>
      <c r="O28" s="18" t="n">
        <v>65288</v>
      </c>
      <c r="P28" s="18" t="n">
        <v>69962</v>
      </c>
      <c r="Q28" s="24" t="n">
        <v>4674</v>
      </c>
      <c r="R28" s="18" t="n">
        <v>81487</v>
      </c>
      <c r="S28" s="18" t="n">
        <v>63113</v>
      </c>
      <c r="T28" s="18" t="n">
        <v>-18374</v>
      </c>
      <c r="U28" s="18" t="n">
        <v>81832</v>
      </c>
      <c r="V28" s="18" t="n">
        <v>67432</v>
      </c>
      <c r="W28" s="18" t="n">
        <v>-14400</v>
      </c>
      <c r="X28" s="18" t="n">
        <v>75915</v>
      </c>
      <c r="Y28" s="18" t="n">
        <v>54861</v>
      </c>
      <c r="Z28" s="18" t="n">
        <v>-21054</v>
      </c>
      <c r="AA28" s="18" t="n">
        <v>58454</v>
      </c>
      <c r="AB28" s="18" t="n">
        <v>74152</v>
      </c>
      <c r="AC28" s="24" t="n">
        <v>15698</v>
      </c>
      <c r="AD28" s="18" t="n">
        <v>79592</v>
      </c>
      <c r="AE28" s="18" t="n">
        <v>74922</v>
      </c>
      <c r="AF28" s="18" t="n">
        <v>-4670</v>
      </c>
      <c r="AG28" s="18" t="n">
        <v>65868</v>
      </c>
      <c r="AH28" s="18" t="n">
        <v>46951</v>
      </c>
      <c r="AI28" s="18" t="n">
        <v>-18917</v>
      </c>
      <c r="AJ28" s="18" t="n">
        <v>93006</v>
      </c>
      <c r="AK28" s="18" t="n">
        <v>114855</v>
      </c>
      <c r="AL28" s="24" t="n">
        <v>21849</v>
      </c>
    </row>
    <row r="29">
      <c r="B29" s="4" t="inlineStr">
        <is>
          <t>差旅费</t>
        </is>
      </c>
      <c r="C29" s="18" t="n">
        <v>20237</v>
      </c>
      <c r="D29" s="18" t="n">
        <v>18515</v>
      </c>
      <c r="E29" s="18" t="n">
        <v>-1722</v>
      </c>
      <c r="F29" s="18" t="n">
        <v>17884</v>
      </c>
      <c r="G29" s="18" t="n">
        <v>16303</v>
      </c>
      <c r="H29" s="18" t="n">
        <v>-1581</v>
      </c>
      <c r="I29" s="18" t="n">
        <v>23014</v>
      </c>
      <c r="J29" s="18" t="n">
        <v>29621</v>
      </c>
      <c r="K29" s="24" t="n">
        <v>6607</v>
      </c>
      <c r="L29" s="18" t="n">
        <v>21178</v>
      </c>
      <c r="M29" s="18" t="n">
        <v>22414</v>
      </c>
      <c r="N29" s="24" t="n">
        <v>1236</v>
      </c>
      <c r="O29" s="18" t="n">
        <v>23814</v>
      </c>
      <c r="P29" s="18" t="n">
        <v>28147</v>
      </c>
      <c r="Q29" s="24" t="n">
        <v>4333</v>
      </c>
      <c r="R29" s="18" t="n">
        <v>24560</v>
      </c>
      <c r="S29" s="18" t="n">
        <v>28905</v>
      </c>
      <c r="T29" s="24" t="n">
        <v>4345</v>
      </c>
      <c r="U29" s="18" t="n">
        <v>25586</v>
      </c>
      <c r="V29" s="18" t="n">
        <v>20673</v>
      </c>
      <c r="W29" s="18" t="n">
        <v>-4913</v>
      </c>
      <c r="X29" s="18" t="n">
        <v>23205</v>
      </c>
      <c r="Y29" s="18" t="n">
        <v>29114</v>
      </c>
      <c r="Z29" s="24" t="n">
        <v>5909</v>
      </c>
      <c r="AA29" s="18" t="n">
        <v>19045</v>
      </c>
      <c r="AB29" s="18" t="n">
        <v>14999</v>
      </c>
      <c r="AC29" s="18" t="n">
        <v>-4046</v>
      </c>
      <c r="AD29" s="18" t="n">
        <v>28157</v>
      </c>
      <c r="AE29" s="18" t="n">
        <v>30003</v>
      </c>
      <c r="AF29" s="24" t="n">
        <v>1846</v>
      </c>
      <c r="AG29" s="18" t="n">
        <v>22046</v>
      </c>
      <c r="AH29" s="18" t="n">
        <v>22819</v>
      </c>
      <c r="AI29" s="24" t="n">
        <v>773</v>
      </c>
      <c r="AJ29" s="18" t="n">
        <v>32953</v>
      </c>
      <c r="AK29" s="18" t="n">
        <v>23154</v>
      </c>
      <c r="AL29" s="18" t="n">
        <v>-9799</v>
      </c>
    </row>
    <row r="30">
      <c r="B30" s="4" t="inlineStr">
        <is>
          <t>业务招待费</t>
        </is>
      </c>
      <c r="C30" s="18" t="n">
        <v>14340</v>
      </c>
      <c r="D30" s="18" t="n">
        <v>11763</v>
      </c>
      <c r="E30" s="18" t="n">
        <v>-2577</v>
      </c>
      <c r="F30" s="18" t="n">
        <v>13522</v>
      </c>
      <c r="G30" s="18" t="n">
        <v>13779</v>
      </c>
      <c r="H30" s="24" t="n">
        <v>257</v>
      </c>
      <c r="I30" s="18" t="n">
        <v>17505</v>
      </c>
      <c r="J30" s="18" t="n">
        <v>20215</v>
      </c>
      <c r="K30" s="24" t="n">
        <v>2710</v>
      </c>
      <c r="L30" s="18" t="n">
        <v>19424</v>
      </c>
      <c r="M30" s="18" t="n">
        <v>18078</v>
      </c>
      <c r="N30" s="18" t="n">
        <v>-1346</v>
      </c>
      <c r="O30" s="18" t="n">
        <v>18767</v>
      </c>
      <c r="P30" s="18" t="n">
        <v>22232</v>
      </c>
      <c r="Q30" s="24" t="n">
        <v>3465</v>
      </c>
      <c r="R30" s="18" t="n">
        <v>18744</v>
      </c>
      <c r="S30" s="18" t="n">
        <v>19063</v>
      </c>
      <c r="T30" s="24" t="n">
        <v>319</v>
      </c>
      <c r="U30" s="18" t="n">
        <v>20757</v>
      </c>
      <c r="V30" s="18" t="n">
        <v>23162</v>
      </c>
      <c r="W30" s="24" t="n">
        <v>2405</v>
      </c>
      <c r="X30" s="18" t="n">
        <v>18952</v>
      </c>
      <c r="Y30" s="18" t="n">
        <v>23615</v>
      </c>
      <c r="Z30" s="24" t="n">
        <v>4663</v>
      </c>
      <c r="AA30" s="18" t="n">
        <v>15337</v>
      </c>
      <c r="AB30" s="18" t="n">
        <v>19577</v>
      </c>
      <c r="AC30" s="24" t="n">
        <v>4240</v>
      </c>
      <c r="AD30" s="18" t="n">
        <v>19739</v>
      </c>
      <c r="AE30" s="18" t="n">
        <v>17227</v>
      </c>
      <c r="AF30" s="18" t="n">
        <v>-2512</v>
      </c>
      <c r="AG30" s="18" t="n">
        <v>18509</v>
      </c>
      <c r="AH30" s="18" t="n">
        <v>23120</v>
      </c>
      <c r="AI30" s="24" t="n">
        <v>4611</v>
      </c>
      <c r="AJ30" s="18" t="n">
        <v>23627</v>
      </c>
      <c r="AK30" s="18" t="n">
        <v>27263</v>
      </c>
      <c r="AL30" s="24" t="n">
        <v>3636</v>
      </c>
    </row>
    <row r="31">
      <c r="B31" s="4" t="inlineStr">
        <is>
          <t>办公费</t>
        </is>
      </c>
      <c r="C31" s="18" t="n">
        <v>12432</v>
      </c>
      <c r="D31" s="18" t="n">
        <v>12037</v>
      </c>
      <c r="E31" s="18" t="n">
        <v>-395</v>
      </c>
      <c r="F31" s="18" t="n">
        <v>10265</v>
      </c>
      <c r="G31" s="18" t="n">
        <v>12183</v>
      </c>
      <c r="H31" s="24" t="n">
        <v>1918</v>
      </c>
      <c r="I31" s="18" t="n">
        <v>15265</v>
      </c>
      <c r="J31" s="18" t="n">
        <v>12063</v>
      </c>
      <c r="K31" s="18" t="n">
        <v>-3202</v>
      </c>
      <c r="L31" s="18" t="n">
        <v>16617</v>
      </c>
      <c r="M31" s="18" t="n">
        <v>14917</v>
      </c>
      <c r="N31" s="18" t="n">
        <v>-1700</v>
      </c>
      <c r="O31" s="18" t="n">
        <v>16146</v>
      </c>
      <c r="P31" s="18" t="n">
        <v>13595</v>
      </c>
      <c r="Q31" s="18" t="n">
        <v>-2551</v>
      </c>
      <c r="R31" s="18" t="n">
        <v>18275</v>
      </c>
      <c r="S31" s="18" t="n">
        <v>16902</v>
      </c>
      <c r="T31" s="18" t="n">
        <v>-1373</v>
      </c>
      <c r="U31" s="18" t="n">
        <v>17149</v>
      </c>
      <c r="V31" s="18" t="n">
        <v>13618</v>
      </c>
      <c r="W31" s="18" t="n">
        <v>-3531</v>
      </c>
      <c r="X31" s="18" t="n">
        <v>14480</v>
      </c>
      <c r="Y31" s="18" t="n">
        <v>16031</v>
      </c>
      <c r="Z31" s="24" t="n">
        <v>1551</v>
      </c>
      <c r="AA31" s="18" t="n">
        <v>14769</v>
      </c>
      <c r="AB31" s="18" t="n">
        <v>18051</v>
      </c>
      <c r="AC31" s="24" t="n">
        <v>3282</v>
      </c>
      <c r="AD31" s="18" t="n">
        <v>16927</v>
      </c>
      <c r="AE31" s="18" t="n">
        <v>14637</v>
      </c>
      <c r="AF31" s="18" t="n">
        <v>-2290</v>
      </c>
      <c r="AG31" s="18" t="n">
        <v>14437</v>
      </c>
      <c r="AH31" s="18" t="n">
        <v>13181</v>
      </c>
      <c r="AI31" s="18" t="n">
        <v>-1256</v>
      </c>
      <c r="AJ31" s="18" t="n">
        <v>22112</v>
      </c>
      <c r="AK31" s="18" t="n">
        <v>22171</v>
      </c>
      <c r="AL31" s="24" t="n">
        <v>59</v>
      </c>
    </row>
    <row r="32">
      <c r="B32" s="4" t="inlineStr">
        <is>
          <t>折旧费</t>
        </is>
      </c>
      <c r="C32" s="18" t="n">
        <v>9346</v>
      </c>
      <c r="D32" s="18" t="n">
        <v>8574</v>
      </c>
      <c r="E32" s="18" t="n">
        <v>-772</v>
      </c>
      <c r="F32" s="18" t="n">
        <v>8984</v>
      </c>
      <c r="G32" s="18" t="n">
        <v>9984</v>
      </c>
      <c r="H32" s="24" t="n">
        <v>1000</v>
      </c>
      <c r="I32" s="18" t="n">
        <v>11836</v>
      </c>
      <c r="J32" s="18" t="n">
        <v>13849</v>
      </c>
      <c r="K32" s="24" t="n">
        <v>2013</v>
      </c>
      <c r="L32" s="18" t="n">
        <v>12871</v>
      </c>
      <c r="M32" s="18" t="n">
        <v>9622</v>
      </c>
      <c r="N32" s="18" t="n">
        <v>-3249</v>
      </c>
      <c r="O32" s="18" t="n">
        <v>13479</v>
      </c>
      <c r="P32" s="18" t="n">
        <v>14221</v>
      </c>
      <c r="Q32" s="24" t="n">
        <v>742</v>
      </c>
      <c r="R32" s="18" t="n">
        <v>13012</v>
      </c>
      <c r="S32" s="18" t="n">
        <v>16423</v>
      </c>
      <c r="T32" s="24" t="n">
        <v>3411</v>
      </c>
      <c r="U32" s="18" t="n">
        <v>13837</v>
      </c>
      <c r="V32" s="18" t="n">
        <v>13200</v>
      </c>
      <c r="W32" s="18" t="n">
        <v>-637</v>
      </c>
      <c r="X32" s="18" t="n">
        <v>13034</v>
      </c>
      <c r="Y32" s="18" t="n">
        <v>15619</v>
      </c>
      <c r="Z32" s="24" t="n">
        <v>2585</v>
      </c>
      <c r="AA32" s="18" t="n">
        <v>10836</v>
      </c>
      <c r="AB32" s="18" t="n">
        <v>9557</v>
      </c>
      <c r="AC32" s="18" t="n">
        <v>-1279</v>
      </c>
      <c r="AD32" s="18" t="n">
        <v>14378</v>
      </c>
      <c r="AE32" s="18" t="n">
        <v>13977</v>
      </c>
      <c r="AF32" s="18" t="n">
        <v>-401</v>
      </c>
      <c r="AG32" s="18" t="n">
        <v>11479</v>
      </c>
      <c r="AH32" s="18" t="n">
        <v>13540</v>
      </c>
      <c r="AI32" s="24" t="n">
        <v>2061</v>
      </c>
      <c r="AJ32" s="18" t="n">
        <v>14636</v>
      </c>
      <c r="AK32" s="18" t="n">
        <v>16468</v>
      </c>
      <c r="AL32" s="24" t="n">
        <v>1832</v>
      </c>
    </row>
    <row r="33">
      <c r="B33" s="6" t="inlineStr">
        <is>
          <t>小计</t>
        </is>
      </c>
      <c r="C33" s="19" t="n">
        <v>109095</v>
      </c>
      <c r="D33" s="19" t="n">
        <v>93699</v>
      </c>
      <c r="E33" s="19" t="n">
        <v>-15396</v>
      </c>
      <c r="F33" s="19" t="n">
        <v>100983</v>
      </c>
      <c r="G33" s="19" t="n">
        <v>101404</v>
      </c>
      <c r="H33" s="19" t="n">
        <v>421</v>
      </c>
      <c r="I33" s="19" t="n">
        <v>135633</v>
      </c>
      <c r="J33" s="19" t="n">
        <v>141138</v>
      </c>
      <c r="K33" s="19" t="n">
        <v>5505</v>
      </c>
      <c r="L33" s="19" t="n">
        <v>145060</v>
      </c>
      <c r="M33" s="19" t="n">
        <v>154613</v>
      </c>
      <c r="N33" s="19" t="n">
        <v>9553</v>
      </c>
      <c r="O33" s="19" t="n">
        <v>137494</v>
      </c>
      <c r="P33" s="19" t="n">
        <v>148157</v>
      </c>
      <c r="Q33" s="19" t="n">
        <v>10663</v>
      </c>
      <c r="R33" s="19" t="n">
        <v>156078</v>
      </c>
      <c r="S33" s="19" t="n">
        <v>144406</v>
      </c>
      <c r="T33" s="19" t="n">
        <v>-11672</v>
      </c>
      <c r="U33" s="19" t="n">
        <v>159161</v>
      </c>
      <c r="V33" s="19" t="n">
        <v>138085</v>
      </c>
      <c r="W33" s="19" t="n">
        <v>-21076</v>
      </c>
      <c r="X33" s="19" t="n">
        <v>145586</v>
      </c>
      <c r="Y33" s="19" t="n">
        <v>139240</v>
      </c>
      <c r="Z33" s="19" t="n">
        <v>-6346</v>
      </c>
      <c r="AA33" s="19" t="n">
        <v>118441</v>
      </c>
      <c r="AB33" s="19" t="n">
        <v>136336</v>
      </c>
      <c r="AC33" s="19" t="n">
        <v>17895</v>
      </c>
      <c r="AD33" s="19" t="n">
        <v>158793</v>
      </c>
      <c r="AE33" s="19" t="n">
        <v>150766</v>
      </c>
      <c r="AF33" s="19" t="n">
        <v>-8027</v>
      </c>
      <c r="AG33" s="19" t="n">
        <v>132339</v>
      </c>
      <c r="AH33" s="19" t="n">
        <v>119611</v>
      </c>
      <c r="AI33" s="19" t="n">
        <v>-12728</v>
      </c>
      <c r="AJ33" s="19" t="n">
        <v>186334</v>
      </c>
      <c r="AK33" s="19" t="n">
        <v>203911</v>
      </c>
      <c r="AL33" s="19" t="n">
        <v>17577</v>
      </c>
    </row>
    <row r="34">
      <c r="A34" s="23" t="inlineStr">
        <is>
          <t>人力资源部</t>
        </is>
      </c>
      <c r="B34" s="4" t="inlineStr">
        <is>
          <t>人工费用</t>
        </is>
      </c>
      <c r="C34" s="18" t="n">
        <v>67439</v>
      </c>
      <c r="D34" s="18" t="n">
        <v>70887</v>
      </c>
      <c r="E34" s="24" t="n">
        <v>3448</v>
      </c>
      <c r="F34" s="18" t="n">
        <v>53881</v>
      </c>
      <c r="G34" s="18" t="n">
        <v>60767</v>
      </c>
      <c r="H34" s="24" t="n">
        <v>6886</v>
      </c>
      <c r="I34" s="18" t="n">
        <v>72431</v>
      </c>
      <c r="J34" s="18" t="n">
        <v>52025</v>
      </c>
      <c r="K34" s="18" t="n">
        <v>-20406</v>
      </c>
      <c r="L34" s="18" t="n">
        <v>84594</v>
      </c>
      <c r="M34" s="18" t="n">
        <v>92431</v>
      </c>
      <c r="N34" s="24" t="n">
        <v>7837</v>
      </c>
      <c r="O34" s="18" t="n">
        <v>79857</v>
      </c>
      <c r="P34" s="18" t="n">
        <v>90007</v>
      </c>
      <c r="Q34" s="24" t="n">
        <v>10150</v>
      </c>
      <c r="R34" s="18" t="n">
        <v>83311</v>
      </c>
      <c r="S34" s="18" t="n">
        <v>104178</v>
      </c>
      <c r="T34" s="24" t="n">
        <v>20867</v>
      </c>
      <c r="U34" s="18" t="n">
        <v>90598</v>
      </c>
      <c r="V34" s="18" t="n">
        <v>114123</v>
      </c>
      <c r="W34" s="24" t="n">
        <v>23525</v>
      </c>
      <c r="X34" s="18" t="n">
        <v>81940</v>
      </c>
      <c r="Y34" s="18" t="n">
        <v>103094</v>
      </c>
      <c r="Z34" s="24" t="n">
        <v>21154</v>
      </c>
      <c r="AA34" s="18" t="n">
        <v>72751</v>
      </c>
      <c r="AB34" s="18" t="n">
        <v>66304</v>
      </c>
      <c r="AC34" s="18" t="n">
        <v>-6447</v>
      </c>
      <c r="AD34" s="18" t="n">
        <v>95359</v>
      </c>
      <c r="AE34" s="18" t="n">
        <v>111013</v>
      </c>
      <c r="AF34" s="24" t="n">
        <v>15654</v>
      </c>
      <c r="AG34" s="18" t="n">
        <v>78560</v>
      </c>
      <c r="AH34" s="18" t="n">
        <v>95573</v>
      </c>
      <c r="AI34" s="24" t="n">
        <v>17013</v>
      </c>
      <c r="AJ34" s="18" t="n">
        <v>108589</v>
      </c>
      <c r="AK34" s="18" t="n">
        <v>81081</v>
      </c>
      <c r="AL34" s="18" t="n">
        <v>-27508</v>
      </c>
    </row>
    <row r="35">
      <c r="B35" s="4" t="inlineStr">
        <is>
          <t>差旅费</t>
        </is>
      </c>
      <c r="C35" s="18" t="n">
        <v>20290</v>
      </c>
      <c r="D35" s="18" t="n">
        <v>23414</v>
      </c>
      <c r="E35" s="24" t="n">
        <v>3124</v>
      </c>
      <c r="F35" s="18" t="n">
        <v>18034</v>
      </c>
      <c r="G35" s="18" t="n">
        <v>14274</v>
      </c>
      <c r="H35" s="18" t="n">
        <v>-3760</v>
      </c>
      <c r="I35" s="18" t="n">
        <v>24710</v>
      </c>
      <c r="J35" s="18" t="n">
        <v>22186</v>
      </c>
      <c r="K35" s="18" t="n">
        <v>-2524</v>
      </c>
      <c r="L35" s="18" t="n">
        <v>27503</v>
      </c>
      <c r="M35" s="18" t="n">
        <v>33054</v>
      </c>
      <c r="N35" s="24" t="n">
        <v>5551</v>
      </c>
      <c r="O35" s="18" t="n">
        <v>28506</v>
      </c>
      <c r="P35" s="18" t="n">
        <v>35925</v>
      </c>
      <c r="Q35" s="24" t="n">
        <v>7419</v>
      </c>
      <c r="R35" s="18" t="n">
        <v>29180</v>
      </c>
      <c r="S35" s="18" t="n">
        <v>30483</v>
      </c>
      <c r="T35" s="24" t="n">
        <v>1303</v>
      </c>
      <c r="U35" s="18" t="n">
        <v>31221</v>
      </c>
      <c r="V35" s="18" t="n">
        <v>27172</v>
      </c>
      <c r="W35" s="18" t="n">
        <v>-4049</v>
      </c>
      <c r="X35" s="18" t="n">
        <v>28954</v>
      </c>
      <c r="Y35" s="18" t="n">
        <v>22460</v>
      </c>
      <c r="Z35" s="18" t="n">
        <v>-6494</v>
      </c>
      <c r="AA35" s="18" t="n">
        <v>25089</v>
      </c>
      <c r="AB35" s="18" t="n">
        <v>19796</v>
      </c>
      <c r="AC35" s="18" t="n">
        <v>-5293</v>
      </c>
      <c r="AD35" s="18" t="n">
        <v>29283</v>
      </c>
      <c r="AE35" s="18" t="n">
        <v>30808</v>
      </c>
      <c r="AF35" s="24" t="n">
        <v>1525</v>
      </c>
      <c r="AG35" s="18" t="n">
        <v>29528</v>
      </c>
      <c r="AH35" s="18" t="n">
        <v>29218</v>
      </c>
      <c r="AI35" s="18" t="n">
        <v>-310</v>
      </c>
      <c r="AJ35" s="18" t="n">
        <v>35919</v>
      </c>
      <c r="AK35" s="18" t="n">
        <v>25974</v>
      </c>
      <c r="AL35" s="18" t="n">
        <v>-9945</v>
      </c>
    </row>
    <row r="36">
      <c r="B36" s="4" t="inlineStr">
        <is>
          <t>业务招待费</t>
        </is>
      </c>
      <c r="C36" s="18" t="n">
        <v>17767</v>
      </c>
      <c r="D36" s="18" t="n">
        <v>20013</v>
      </c>
      <c r="E36" s="24" t="n">
        <v>2246</v>
      </c>
      <c r="F36" s="18" t="n">
        <v>16731</v>
      </c>
      <c r="G36" s="18" t="n">
        <v>20673</v>
      </c>
      <c r="H36" s="24" t="n">
        <v>3942</v>
      </c>
      <c r="I36" s="18" t="n">
        <v>20414</v>
      </c>
      <c r="J36" s="18" t="n">
        <v>17771</v>
      </c>
      <c r="K36" s="18" t="n">
        <v>-2643</v>
      </c>
      <c r="L36" s="18" t="n">
        <v>23715</v>
      </c>
      <c r="M36" s="18" t="n">
        <v>24700</v>
      </c>
      <c r="N36" s="24" t="n">
        <v>985</v>
      </c>
      <c r="O36" s="18" t="n">
        <v>23293</v>
      </c>
      <c r="P36" s="18" t="n">
        <v>22760</v>
      </c>
      <c r="Q36" s="18" t="n">
        <v>-533</v>
      </c>
      <c r="R36" s="18" t="n">
        <v>23313</v>
      </c>
      <c r="S36" s="18" t="n">
        <v>26385</v>
      </c>
      <c r="T36" s="24" t="n">
        <v>3072</v>
      </c>
      <c r="U36" s="18" t="n">
        <v>28781</v>
      </c>
      <c r="V36" s="18" t="n">
        <v>27682</v>
      </c>
      <c r="W36" s="18" t="n">
        <v>-1099</v>
      </c>
      <c r="X36" s="18" t="n">
        <v>20604</v>
      </c>
      <c r="Y36" s="18" t="n">
        <v>22801</v>
      </c>
      <c r="Z36" s="24" t="n">
        <v>2197</v>
      </c>
      <c r="AA36" s="18" t="n">
        <v>19377</v>
      </c>
      <c r="AB36" s="18" t="n">
        <v>18468</v>
      </c>
      <c r="AC36" s="18" t="n">
        <v>-909</v>
      </c>
      <c r="AD36" s="18" t="n">
        <v>26152</v>
      </c>
      <c r="AE36" s="18" t="n">
        <v>20149</v>
      </c>
      <c r="AF36" s="18" t="n">
        <v>-6003</v>
      </c>
      <c r="AG36" s="18" t="n">
        <v>21481</v>
      </c>
      <c r="AH36" s="18" t="n">
        <v>22591</v>
      </c>
      <c r="AI36" s="24" t="n">
        <v>1110</v>
      </c>
      <c r="AJ36" s="18" t="n">
        <v>28004</v>
      </c>
      <c r="AK36" s="18" t="n">
        <v>20105</v>
      </c>
      <c r="AL36" s="18" t="n">
        <v>-7899</v>
      </c>
    </row>
    <row r="37">
      <c r="B37" s="4" t="inlineStr">
        <is>
          <t>办公费</t>
        </is>
      </c>
      <c r="C37" s="18" t="n">
        <v>13843</v>
      </c>
      <c r="D37" s="18" t="n">
        <v>13431</v>
      </c>
      <c r="E37" s="18" t="n">
        <v>-412</v>
      </c>
      <c r="F37" s="18" t="n">
        <v>12834</v>
      </c>
      <c r="G37" s="18" t="n">
        <v>13789</v>
      </c>
      <c r="H37" s="24" t="n">
        <v>955</v>
      </c>
      <c r="I37" s="18" t="n">
        <v>17650</v>
      </c>
      <c r="J37" s="18" t="n">
        <v>16333</v>
      </c>
      <c r="K37" s="18" t="n">
        <v>-1317</v>
      </c>
      <c r="L37" s="18" t="n">
        <v>17138</v>
      </c>
      <c r="M37" s="18" t="n">
        <v>13589</v>
      </c>
      <c r="N37" s="18" t="n">
        <v>-3549</v>
      </c>
      <c r="O37" s="18" t="n">
        <v>19554</v>
      </c>
      <c r="P37" s="18" t="n">
        <v>15483</v>
      </c>
      <c r="Q37" s="18" t="n">
        <v>-4071</v>
      </c>
      <c r="R37" s="18" t="n">
        <v>18948</v>
      </c>
      <c r="S37" s="18" t="n">
        <v>18751</v>
      </c>
      <c r="T37" s="18" t="n">
        <v>-197</v>
      </c>
      <c r="U37" s="18" t="n">
        <v>21617</v>
      </c>
      <c r="V37" s="18" t="n">
        <v>25576</v>
      </c>
      <c r="W37" s="24" t="n">
        <v>3959</v>
      </c>
      <c r="X37" s="18" t="n">
        <v>20169</v>
      </c>
      <c r="Y37" s="18" t="n">
        <v>24006</v>
      </c>
      <c r="Z37" s="24" t="n">
        <v>3837</v>
      </c>
      <c r="AA37" s="18" t="n">
        <v>18174</v>
      </c>
      <c r="AB37" s="18" t="n">
        <v>20283</v>
      </c>
      <c r="AC37" s="24" t="n">
        <v>2109</v>
      </c>
      <c r="AD37" s="18" t="n">
        <v>19169</v>
      </c>
      <c r="AE37" s="18" t="n">
        <v>14605</v>
      </c>
      <c r="AF37" s="18" t="n">
        <v>-4564</v>
      </c>
      <c r="AG37" s="18" t="n">
        <v>20038</v>
      </c>
      <c r="AH37" s="18" t="n">
        <v>21685</v>
      </c>
      <c r="AI37" s="24" t="n">
        <v>1647</v>
      </c>
      <c r="AJ37" s="18" t="n">
        <v>21920</v>
      </c>
      <c r="AK37" s="18" t="n">
        <v>19802</v>
      </c>
      <c r="AL37" s="18" t="n">
        <v>-2118</v>
      </c>
    </row>
    <row r="38">
      <c r="B38" s="4" t="inlineStr">
        <is>
          <t>折旧费</t>
        </is>
      </c>
      <c r="C38" s="18" t="n">
        <v>12952</v>
      </c>
      <c r="D38" s="18" t="n">
        <v>11681</v>
      </c>
      <c r="E38" s="18" t="n">
        <v>-1271</v>
      </c>
      <c r="F38" s="18" t="n">
        <v>9839</v>
      </c>
      <c r="G38" s="18" t="n">
        <v>8598</v>
      </c>
      <c r="H38" s="18" t="n">
        <v>-1241</v>
      </c>
      <c r="I38" s="18" t="n">
        <v>12957</v>
      </c>
      <c r="J38" s="18" t="n">
        <v>16560</v>
      </c>
      <c r="K38" s="24" t="n">
        <v>3603</v>
      </c>
      <c r="L38" s="18" t="n">
        <v>15975</v>
      </c>
      <c r="M38" s="18" t="n">
        <v>14667</v>
      </c>
      <c r="N38" s="18" t="n">
        <v>-1308</v>
      </c>
      <c r="O38" s="18" t="n">
        <v>14633</v>
      </c>
      <c r="P38" s="18" t="n">
        <v>11888</v>
      </c>
      <c r="Q38" s="18" t="n">
        <v>-2745</v>
      </c>
      <c r="R38" s="18" t="n">
        <v>15078</v>
      </c>
      <c r="S38" s="18" t="n">
        <v>19530</v>
      </c>
      <c r="T38" s="24" t="n">
        <v>4452</v>
      </c>
      <c r="U38" s="18" t="n">
        <v>19414</v>
      </c>
      <c r="V38" s="18" t="n">
        <v>21319</v>
      </c>
      <c r="W38" s="24" t="n">
        <v>1905</v>
      </c>
      <c r="X38" s="18" t="n">
        <v>13946</v>
      </c>
      <c r="Y38" s="18" t="n">
        <v>16409</v>
      </c>
      <c r="Z38" s="24" t="n">
        <v>2463</v>
      </c>
      <c r="AA38" s="18" t="n">
        <v>14484</v>
      </c>
      <c r="AB38" s="18" t="n">
        <v>14342</v>
      </c>
      <c r="AC38" s="18" t="n">
        <v>-142</v>
      </c>
      <c r="AD38" s="18" t="n">
        <v>17842</v>
      </c>
      <c r="AE38" s="18" t="n">
        <v>20671</v>
      </c>
      <c r="AF38" s="24" t="n">
        <v>2829</v>
      </c>
      <c r="AG38" s="18" t="n">
        <v>14572</v>
      </c>
      <c r="AH38" s="18" t="n">
        <v>10672</v>
      </c>
      <c r="AI38" s="18" t="n">
        <v>-3900</v>
      </c>
      <c r="AJ38" s="18" t="n">
        <v>20508</v>
      </c>
      <c r="AK38" s="18" t="n">
        <v>21896</v>
      </c>
      <c r="AL38" s="24" t="n">
        <v>1388</v>
      </c>
    </row>
    <row r="39">
      <c r="B39" s="6" t="inlineStr">
        <is>
          <t>小计</t>
        </is>
      </c>
      <c r="C39" s="19" t="n">
        <v>132291</v>
      </c>
      <c r="D39" s="19" t="n">
        <v>139426</v>
      </c>
      <c r="E39" s="19" t="n">
        <v>7135</v>
      </c>
      <c r="F39" s="19" t="n">
        <v>111319</v>
      </c>
      <c r="G39" s="19" t="n">
        <v>118101</v>
      </c>
      <c r="H39" s="19" t="n">
        <v>6782</v>
      </c>
      <c r="I39" s="19" t="n">
        <v>148162</v>
      </c>
      <c r="J39" s="19" t="n">
        <v>124875</v>
      </c>
      <c r="K39" s="19" t="n">
        <v>-23287</v>
      </c>
      <c r="L39" s="19" t="n">
        <v>168925</v>
      </c>
      <c r="M39" s="19" t="n">
        <v>178441</v>
      </c>
      <c r="N39" s="19" t="n">
        <v>9516</v>
      </c>
      <c r="O39" s="19" t="n">
        <v>165843</v>
      </c>
      <c r="P39" s="19" t="n">
        <v>176063</v>
      </c>
      <c r="Q39" s="19" t="n">
        <v>10220</v>
      </c>
      <c r="R39" s="19" t="n">
        <v>169830</v>
      </c>
      <c r="S39" s="19" t="n">
        <v>199327</v>
      </c>
      <c r="T39" s="19" t="n">
        <v>29497</v>
      </c>
      <c r="U39" s="19" t="n">
        <v>191631</v>
      </c>
      <c r="V39" s="19" t="n">
        <v>215872</v>
      </c>
      <c r="W39" s="19" t="n">
        <v>24241</v>
      </c>
      <c r="X39" s="19" t="n">
        <v>165613</v>
      </c>
      <c r="Y39" s="19" t="n">
        <v>188770</v>
      </c>
      <c r="Z39" s="19" t="n">
        <v>23157</v>
      </c>
      <c r="AA39" s="19" t="n">
        <v>149875</v>
      </c>
      <c r="AB39" s="19" t="n">
        <v>139193</v>
      </c>
      <c r="AC39" s="19" t="n">
        <v>-10682</v>
      </c>
      <c r="AD39" s="19" t="n">
        <v>187805</v>
      </c>
      <c r="AE39" s="19" t="n">
        <v>197246</v>
      </c>
      <c r="AF39" s="19" t="n">
        <v>9441</v>
      </c>
      <c r="AG39" s="19" t="n">
        <v>164179</v>
      </c>
      <c r="AH39" s="19" t="n">
        <v>179739</v>
      </c>
      <c r="AI39" s="19" t="n">
        <v>15560</v>
      </c>
      <c r="AJ39" s="19" t="n">
        <v>214940</v>
      </c>
      <c r="AK39" s="19" t="n">
        <v>168858</v>
      </c>
      <c r="AL39" s="19" t="n">
        <v>-46082</v>
      </c>
    </row>
    <row r="40">
      <c r="A40" s="23" t="inlineStr">
        <is>
          <t>财务部</t>
        </is>
      </c>
      <c r="B40" s="4" t="inlineStr">
        <is>
          <t>人工费用</t>
        </is>
      </c>
      <c r="C40" s="18" t="n">
        <v>124278</v>
      </c>
      <c r="D40" s="18" t="n">
        <v>146911</v>
      </c>
      <c r="E40" s="24" t="n">
        <v>22633</v>
      </c>
      <c r="F40" s="18" t="n">
        <v>115062</v>
      </c>
      <c r="G40" s="18" t="n">
        <v>82612</v>
      </c>
      <c r="H40" s="18" t="n">
        <v>-32450</v>
      </c>
      <c r="I40" s="18" t="n">
        <v>143186</v>
      </c>
      <c r="J40" s="18" t="n">
        <v>161875</v>
      </c>
      <c r="K40" s="24" t="n">
        <v>18689</v>
      </c>
      <c r="L40" s="18" t="n">
        <v>155094</v>
      </c>
      <c r="M40" s="18" t="n">
        <v>115960</v>
      </c>
      <c r="N40" s="18" t="n">
        <v>-39134</v>
      </c>
      <c r="O40" s="18" t="n">
        <v>148464</v>
      </c>
      <c r="P40" s="18" t="n">
        <v>185050</v>
      </c>
      <c r="Q40" s="24" t="n">
        <v>36586</v>
      </c>
      <c r="R40" s="18" t="n">
        <v>184369</v>
      </c>
      <c r="S40" s="18" t="n">
        <v>190913</v>
      </c>
      <c r="T40" s="24" t="n">
        <v>6544</v>
      </c>
      <c r="U40" s="18" t="n">
        <v>204448</v>
      </c>
      <c r="V40" s="18" t="n">
        <v>154582</v>
      </c>
      <c r="W40" s="18" t="n">
        <v>-49866</v>
      </c>
      <c r="X40" s="18" t="n">
        <v>168828</v>
      </c>
      <c r="Y40" s="18" t="n">
        <v>164451</v>
      </c>
      <c r="Z40" s="18" t="n">
        <v>-4377</v>
      </c>
      <c r="AA40" s="18" t="n">
        <v>137774</v>
      </c>
      <c r="AB40" s="18" t="n">
        <v>128761</v>
      </c>
      <c r="AC40" s="18" t="n">
        <v>-9013</v>
      </c>
      <c r="AD40" s="18" t="n">
        <v>173807</v>
      </c>
      <c r="AE40" s="18" t="n">
        <v>126486</v>
      </c>
      <c r="AF40" s="18" t="n">
        <v>-47321</v>
      </c>
      <c r="AG40" s="18" t="n">
        <v>175944</v>
      </c>
      <c r="AH40" s="18" t="n">
        <v>195120</v>
      </c>
      <c r="AI40" s="24" t="n">
        <v>19176</v>
      </c>
      <c r="AJ40" s="18" t="n">
        <v>199471</v>
      </c>
      <c r="AK40" s="18" t="n">
        <v>147836</v>
      </c>
      <c r="AL40" s="18" t="n">
        <v>-51635</v>
      </c>
    </row>
    <row r="41">
      <c r="B41" s="4" t="inlineStr">
        <is>
          <t>差旅费</t>
        </is>
      </c>
      <c r="C41" s="18" t="n">
        <v>44691</v>
      </c>
      <c r="D41" s="18" t="n">
        <v>32250</v>
      </c>
      <c r="E41" s="18" t="n">
        <v>-12441</v>
      </c>
      <c r="F41" s="18" t="n">
        <v>38318</v>
      </c>
      <c r="G41" s="18" t="n">
        <v>48975</v>
      </c>
      <c r="H41" s="24" t="n">
        <v>10657</v>
      </c>
      <c r="I41" s="18" t="n">
        <v>48702</v>
      </c>
      <c r="J41" s="18" t="n">
        <v>48883</v>
      </c>
      <c r="K41" s="24" t="n">
        <v>181</v>
      </c>
      <c r="L41" s="18" t="n">
        <v>52308</v>
      </c>
      <c r="M41" s="18" t="n">
        <v>57933</v>
      </c>
      <c r="N41" s="24" t="n">
        <v>5625</v>
      </c>
      <c r="O41" s="18" t="n">
        <v>59094</v>
      </c>
      <c r="P41" s="18" t="n">
        <v>42550</v>
      </c>
      <c r="Q41" s="18" t="n">
        <v>-16544</v>
      </c>
      <c r="R41" s="18" t="n">
        <v>57794</v>
      </c>
      <c r="S41" s="18" t="n">
        <v>66896</v>
      </c>
      <c r="T41" s="24" t="n">
        <v>9102</v>
      </c>
      <c r="U41" s="18" t="n">
        <v>60785</v>
      </c>
      <c r="V41" s="18" t="n">
        <v>45404</v>
      </c>
      <c r="W41" s="18" t="n">
        <v>-15381</v>
      </c>
      <c r="X41" s="18" t="n">
        <v>49696</v>
      </c>
      <c r="Y41" s="18" t="n">
        <v>59870</v>
      </c>
      <c r="Z41" s="24" t="n">
        <v>10174</v>
      </c>
      <c r="AA41" s="18" t="n">
        <v>45359</v>
      </c>
      <c r="AB41" s="18" t="n">
        <v>36154</v>
      </c>
      <c r="AC41" s="18" t="n">
        <v>-9205</v>
      </c>
      <c r="AD41" s="18" t="n">
        <v>56765</v>
      </c>
      <c r="AE41" s="18" t="n">
        <v>40859</v>
      </c>
      <c r="AF41" s="18" t="n">
        <v>-15906</v>
      </c>
      <c r="AG41" s="18" t="n">
        <v>56168</v>
      </c>
      <c r="AH41" s="18" t="n">
        <v>62435</v>
      </c>
      <c r="AI41" s="24" t="n">
        <v>6267</v>
      </c>
      <c r="AJ41" s="18" t="n">
        <v>73374</v>
      </c>
      <c r="AK41" s="18" t="n">
        <v>82514</v>
      </c>
      <c r="AL41" s="24" t="n">
        <v>9140</v>
      </c>
    </row>
    <row r="42">
      <c r="B42" s="4" t="inlineStr">
        <is>
          <t>业务招待费</t>
        </is>
      </c>
      <c r="C42" s="18" t="n">
        <v>37551</v>
      </c>
      <c r="D42" s="18" t="n">
        <v>36051</v>
      </c>
      <c r="E42" s="18" t="n">
        <v>-1500</v>
      </c>
      <c r="F42" s="18" t="n">
        <v>30195</v>
      </c>
      <c r="G42" s="18" t="n">
        <v>21908</v>
      </c>
      <c r="H42" s="18" t="n">
        <v>-8287</v>
      </c>
      <c r="I42" s="18" t="n">
        <v>42005</v>
      </c>
      <c r="J42" s="18" t="n">
        <v>46181</v>
      </c>
      <c r="K42" s="24" t="n">
        <v>4176</v>
      </c>
      <c r="L42" s="18" t="n">
        <v>46498</v>
      </c>
      <c r="M42" s="18" t="n">
        <v>47707</v>
      </c>
      <c r="N42" s="24" t="n">
        <v>1209</v>
      </c>
      <c r="O42" s="18" t="n">
        <v>44314</v>
      </c>
      <c r="P42" s="18" t="n">
        <v>44813</v>
      </c>
      <c r="Q42" s="24" t="n">
        <v>499</v>
      </c>
      <c r="R42" s="18" t="n">
        <v>51662</v>
      </c>
      <c r="S42" s="18" t="n">
        <v>66983</v>
      </c>
      <c r="T42" s="24" t="n">
        <v>15321</v>
      </c>
      <c r="U42" s="18" t="n">
        <v>47239</v>
      </c>
      <c r="V42" s="18" t="n">
        <v>48154</v>
      </c>
      <c r="W42" s="24" t="n">
        <v>915</v>
      </c>
      <c r="X42" s="18" t="n">
        <v>40647</v>
      </c>
      <c r="Y42" s="18" t="n">
        <v>35700</v>
      </c>
      <c r="Z42" s="18" t="n">
        <v>-4947</v>
      </c>
      <c r="AA42" s="18" t="n">
        <v>42339</v>
      </c>
      <c r="AB42" s="18" t="n">
        <v>41064</v>
      </c>
      <c r="AC42" s="18" t="n">
        <v>-1275</v>
      </c>
      <c r="AD42" s="18" t="n">
        <v>43650</v>
      </c>
      <c r="AE42" s="18" t="n">
        <v>50353</v>
      </c>
      <c r="AF42" s="24" t="n">
        <v>6703</v>
      </c>
      <c r="AG42" s="18" t="n">
        <v>45493</v>
      </c>
      <c r="AH42" s="18" t="n">
        <v>43644</v>
      </c>
      <c r="AI42" s="18" t="n">
        <v>-1849</v>
      </c>
      <c r="AJ42" s="18" t="n">
        <v>53259</v>
      </c>
      <c r="AK42" s="18" t="n">
        <v>65465</v>
      </c>
      <c r="AL42" s="24" t="n">
        <v>12206</v>
      </c>
    </row>
    <row r="43">
      <c r="B43" s="4" t="inlineStr">
        <is>
          <t>办公费</t>
        </is>
      </c>
      <c r="C43" s="18" t="n">
        <v>30948</v>
      </c>
      <c r="D43" s="18" t="n">
        <v>36600</v>
      </c>
      <c r="E43" s="24" t="n">
        <v>5652</v>
      </c>
      <c r="F43" s="18" t="n">
        <v>26368</v>
      </c>
      <c r="G43" s="18" t="n">
        <v>27059</v>
      </c>
      <c r="H43" s="24" t="n">
        <v>691</v>
      </c>
      <c r="I43" s="18" t="n">
        <v>31053</v>
      </c>
      <c r="J43" s="18" t="n">
        <v>34767</v>
      </c>
      <c r="K43" s="24" t="n">
        <v>3714</v>
      </c>
      <c r="L43" s="18" t="n">
        <v>33688</v>
      </c>
      <c r="M43" s="18" t="n">
        <v>27348</v>
      </c>
      <c r="N43" s="18" t="n">
        <v>-6340</v>
      </c>
      <c r="O43" s="18" t="n">
        <v>37860</v>
      </c>
      <c r="P43" s="18" t="n">
        <v>36383</v>
      </c>
      <c r="Q43" s="18" t="n">
        <v>-1477</v>
      </c>
      <c r="R43" s="18" t="n">
        <v>39391</v>
      </c>
      <c r="S43" s="18" t="n">
        <v>31093</v>
      </c>
      <c r="T43" s="18" t="n">
        <v>-8298</v>
      </c>
      <c r="U43" s="18" t="n">
        <v>45866</v>
      </c>
      <c r="V43" s="18" t="n">
        <v>40553</v>
      </c>
      <c r="W43" s="18" t="n">
        <v>-5313</v>
      </c>
      <c r="X43" s="18" t="n">
        <v>38452</v>
      </c>
      <c r="Y43" s="18" t="n">
        <v>32861</v>
      </c>
      <c r="Z43" s="18" t="n">
        <v>-5591</v>
      </c>
      <c r="AA43" s="18" t="n">
        <v>33313</v>
      </c>
      <c r="AB43" s="18" t="n">
        <v>27199</v>
      </c>
      <c r="AC43" s="18" t="n">
        <v>-6114</v>
      </c>
      <c r="AD43" s="18" t="n">
        <v>41000</v>
      </c>
      <c r="AE43" s="18" t="n">
        <v>32795</v>
      </c>
      <c r="AF43" s="18" t="n">
        <v>-8205</v>
      </c>
      <c r="AG43" s="18" t="n">
        <v>35912</v>
      </c>
      <c r="AH43" s="18" t="n">
        <v>42816</v>
      </c>
      <c r="AI43" s="24" t="n">
        <v>6904</v>
      </c>
      <c r="AJ43" s="18" t="n">
        <v>45859</v>
      </c>
      <c r="AK43" s="18" t="n">
        <v>44273</v>
      </c>
      <c r="AL43" s="18" t="n">
        <v>-1586</v>
      </c>
    </row>
    <row r="44">
      <c r="B44" s="4" t="inlineStr">
        <is>
          <t>折旧费</t>
        </is>
      </c>
      <c r="C44" s="18" t="n">
        <v>24318</v>
      </c>
      <c r="D44" s="18" t="n">
        <v>21798</v>
      </c>
      <c r="E44" s="18" t="n">
        <v>-2520</v>
      </c>
      <c r="F44" s="18" t="n">
        <v>18492</v>
      </c>
      <c r="G44" s="18" t="n">
        <v>20634</v>
      </c>
      <c r="H44" s="24" t="n">
        <v>2142</v>
      </c>
      <c r="I44" s="18" t="n">
        <v>25750</v>
      </c>
      <c r="J44" s="18" t="n">
        <v>30768</v>
      </c>
      <c r="K44" s="24" t="n">
        <v>5018</v>
      </c>
      <c r="L44" s="18" t="n">
        <v>27622</v>
      </c>
      <c r="M44" s="18" t="n">
        <v>29435</v>
      </c>
      <c r="N44" s="24" t="n">
        <v>1813</v>
      </c>
      <c r="O44" s="18" t="n">
        <v>26854</v>
      </c>
      <c r="P44" s="18" t="n">
        <v>25052</v>
      </c>
      <c r="Q44" s="18" t="n">
        <v>-1802</v>
      </c>
      <c r="R44" s="18" t="n">
        <v>31292</v>
      </c>
      <c r="S44" s="18" t="n">
        <v>23562</v>
      </c>
      <c r="T44" s="18" t="n">
        <v>-7730</v>
      </c>
      <c r="U44" s="18" t="n">
        <v>37494</v>
      </c>
      <c r="V44" s="18" t="n">
        <v>32033</v>
      </c>
      <c r="W44" s="18" t="n">
        <v>-5461</v>
      </c>
      <c r="X44" s="18" t="n">
        <v>30573</v>
      </c>
      <c r="Y44" s="18" t="n">
        <v>25386</v>
      </c>
      <c r="Z44" s="18" t="n">
        <v>-5187</v>
      </c>
      <c r="AA44" s="18" t="n">
        <v>27401</v>
      </c>
      <c r="AB44" s="18" t="n">
        <v>29318</v>
      </c>
      <c r="AC44" s="24" t="n">
        <v>1917</v>
      </c>
      <c r="AD44" s="18" t="n">
        <v>30591</v>
      </c>
      <c r="AE44" s="18" t="n">
        <v>23100</v>
      </c>
      <c r="AF44" s="18" t="n">
        <v>-7491</v>
      </c>
      <c r="AG44" s="18" t="n">
        <v>27764</v>
      </c>
      <c r="AH44" s="18" t="n">
        <v>32896</v>
      </c>
      <c r="AI44" s="24" t="n">
        <v>5132</v>
      </c>
      <c r="AJ44" s="18" t="n">
        <v>36664</v>
      </c>
      <c r="AK44" s="18" t="n">
        <v>40043</v>
      </c>
      <c r="AL44" s="24" t="n">
        <v>3379</v>
      </c>
    </row>
    <row r="45">
      <c r="B45" s="6" t="inlineStr">
        <is>
          <t>小计</t>
        </is>
      </c>
      <c r="C45" s="19" t="n">
        <v>261786</v>
      </c>
      <c r="D45" s="19" t="n">
        <v>273610</v>
      </c>
      <c r="E45" s="19" t="n">
        <v>11824</v>
      </c>
      <c r="F45" s="19" t="n">
        <v>228435</v>
      </c>
      <c r="G45" s="19" t="n">
        <v>201188</v>
      </c>
      <c r="H45" s="19" t="n">
        <v>-27247</v>
      </c>
      <c r="I45" s="19" t="n">
        <v>290696</v>
      </c>
      <c r="J45" s="19" t="n">
        <v>322474</v>
      </c>
      <c r="K45" s="19" t="n">
        <v>31778</v>
      </c>
      <c r="L45" s="19" t="n">
        <v>315210</v>
      </c>
      <c r="M45" s="19" t="n">
        <v>278383</v>
      </c>
      <c r="N45" s="19" t="n">
        <v>-36827</v>
      </c>
      <c r="O45" s="19" t="n">
        <v>316586</v>
      </c>
      <c r="P45" s="19" t="n">
        <v>333848</v>
      </c>
      <c r="Q45" s="19" t="n">
        <v>17262</v>
      </c>
      <c r="R45" s="19" t="n">
        <v>364508</v>
      </c>
      <c r="S45" s="19" t="n">
        <v>379447</v>
      </c>
      <c r="T45" s="19" t="n">
        <v>14939</v>
      </c>
      <c r="U45" s="19" t="n">
        <v>395832</v>
      </c>
      <c r="V45" s="19" t="n">
        <v>320726</v>
      </c>
      <c r="W45" s="19" t="n">
        <v>-75106</v>
      </c>
      <c r="X45" s="19" t="n">
        <v>328196</v>
      </c>
      <c r="Y45" s="19" t="n">
        <v>318268</v>
      </c>
      <c r="Z45" s="19" t="n">
        <v>-9928</v>
      </c>
      <c r="AA45" s="19" t="n">
        <v>286186</v>
      </c>
      <c r="AB45" s="19" t="n">
        <v>262496</v>
      </c>
      <c r="AC45" s="19" t="n">
        <v>-23690</v>
      </c>
      <c r="AD45" s="19" t="n">
        <v>345813</v>
      </c>
      <c r="AE45" s="19" t="n">
        <v>273593</v>
      </c>
      <c r="AF45" s="19" t="n">
        <v>-72220</v>
      </c>
      <c r="AG45" s="19" t="n">
        <v>341281</v>
      </c>
      <c r="AH45" s="19" t="n">
        <v>376911</v>
      </c>
      <c r="AI45" s="19" t="n">
        <v>35630</v>
      </c>
      <c r="AJ45" s="19" t="n">
        <v>408627</v>
      </c>
      <c r="AK45" s="19" t="n">
        <v>380131</v>
      </c>
      <c r="AL45" s="19" t="n">
        <v>-28496</v>
      </c>
    </row>
    <row r="46">
      <c r="A46" s="23" t="inlineStr">
        <is>
          <t>行政部</t>
        </is>
      </c>
      <c r="B46" s="4" t="inlineStr">
        <is>
          <t>人工费用</t>
        </is>
      </c>
      <c r="C46" s="18" t="n">
        <v>51097</v>
      </c>
      <c r="D46" s="18" t="n">
        <v>64634</v>
      </c>
      <c r="E46" s="24" t="n">
        <v>13537</v>
      </c>
      <c r="F46" s="18" t="n">
        <v>47960</v>
      </c>
      <c r="G46" s="18" t="n">
        <v>56369</v>
      </c>
      <c r="H46" s="24" t="n">
        <v>8409</v>
      </c>
      <c r="I46" s="18" t="n">
        <v>61142</v>
      </c>
      <c r="J46" s="18" t="n">
        <v>43207</v>
      </c>
      <c r="K46" s="18" t="n">
        <v>-17935</v>
      </c>
      <c r="L46" s="18" t="n">
        <v>67564</v>
      </c>
      <c r="M46" s="18" t="n">
        <v>70213</v>
      </c>
      <c r="N46" s="24" t="n">
        <v>2649</v>
      </c>
      <c r="O46" s="18" t="n">
        <v>65152</v>
      </c>
      <c r="P46" s="18" t="n">
        <v>75537</v>
      </c>
      <c r="Q46" s="24" t="n">
        <v>10385</v>
      </c>
      <c r="R46" s="18" t="n">
        <v>74815</v>
      </c>
      <c r="S46" s="18" t="n">
        <v>69898</v>
      </c>
      <c r="T46" s="18" t="n">
        <v>-4917</v>
      </c>
      <c r="U46" s="18" t="n">
        <v>82876</v>
      </c>
      <c r="V46" s="18" t="n">
        <v>98183</v>
      </c>
      <c r="W46" s="24" t="n">
        <v>15307</v>
      </c>
      <c r="X46" s="18" t="n">
        <v>60994</v>
      </c>
      <c r="Y46" s="18" t="n">
        <v>75536</v>
      </c>
      <c r="Z46" s="24" t="n">
        <v>14542</v>
      </c>
      <c r="AA46" s="18" t="n">
        <v>62080</v>
      </c>
      <c r="AB46" s="18" t="n">
        <v>63487</v>
      </c>
      <c r="AC46" s="24" t="n">
        <v>1407</v>
      </c>
      <c r="AD46" s="18" t="n">
        <v>78500</v>
      </c>
      <c r="AE46" s="18" t="n">
        <v>82105</v>
      </c>
      <c r="AF46" s="24" t="n">
        <v>3605</v>
      </c>
      <c r="AG46" s="18" t="n">
        <v>70707</v>
      </c>
      <c r="AH46" s="18" t="n">
        <v>59804</v>
      </c>
      <c r="AI46" s="18" t="n">
        <v>-10903</v>
      </c>
      <c r="AJ46" s="18" t="n">
        <v>91597</v>
      </c>
      <c r="AK46" s="18" t="n">
        <v>98750</v>
      </c>
      <c r="AL46" s="24" t="n">
        <v>7153</v>
      </c>
    </row>
    <row r="47">
      <c r="B47" s="4" t="inlineStr">
        <is>
          <t>差旅费</t>
        </is>
      </c>
      <c r="C47" s="18" t="n">
        <v>19177</v>
      </c>
      <c r="D47" s="18" t="n">
        <v>14993</v>
      </c>
      <c r="E47" s="18" t="n">
        <v>-4184</v>
      </c>
      <c r="F47" s="18" t="n">
        <v>15229</v>
      </c>
      <c r="G47" s="18" t="n">
        <v>15144</v>
      </c>
      <c r="H47" s="18" t="n">
        <v>-85</v>
      </c>
      <c r="I47" s="18" t="n">
        <v>18787</v>
      </c>
      <c r="J47" s="18" t="n">
        <v>13742</v>
      </c>
      <c r="K47" s="18" t="n">
        <v>-5045</v>
      </c>
      <c r="L47" s="18" t="n">
        <v>22130</v>
      </c>
      <c r="M47" s="18" t="n">
        <v>18550</v>
      </c>
      <c r="N47" s="18" t="n">
        <v>-3580</v>
      </c>
      <c r="O47" s="18" t="n">
        <v>23196</v>
      </c>
      <c r="P47" s="18" t="n">
        <v>27003</v>
      </c>
      <c r="Q47" s="24" t="n">
        <v>3807</v>
      </c>
      <c r="R47" s="18" t="n">
        <v>22312</v>
      </c>
      <c r="S47" s="18" t="n">
        <v>20797</v>
      </c>
      <c r="T47" s="18" t="n">
        <v>-1515</v>
      </c>
      <c r="U47" s="18" t="n">
        <v>27864</v>
      </c>
      <c r="V47" s="18" t="n">
        <v>22911</v>
      </c>
      <c r="W47" s="18" t="n">
        <v>-4953</v>
      </c>
      <c r="X47" s="18" t="n">
        <v>21890</v>
      </c>
      <c r="Y47" s="18" t="n">
        <v>27405</v>
      </c>
      <c r="Z47" s="24" t="n">
        <v>5515</v>
      </c>
      <c r="AA47" s="18" t="n">
        <v>20876</v>
      </c>
      <c r="AB47" s="18" t="n">
        <v>27006</v>
      </c>
      <c r="AC47" s="24" t="n">
        <v>6130</v>
      </c>
      <c r="AD47" s="18" t="n">
        <v>26774</v>
      </c>
      <c r="AE47" s="18" t="n">
        <v>26706</v>
      </c>
      <c r="AF47" s="18" t="n">
        <v>-68</v>
      </c>
      <c r="AG47" s="18" t="n">
        <v>21136</v>
      </c>
      <c r="AH47" s="18" t="n">
        <v>26567</v>
      </c>
      <c r="AI47" s="24" t="n">
        <v>5431</v>
      </c>
      <c r="AJ47" s="18" t="n">
        <v>30620</v>
      </c>
      <c r="AK47" s="18" t="n">
        <v>27457</v>
      </c>
      <c r="AL47" s="18" t="n">
        <v>-3163</v>
      </c>
    </row>
    <row r="48">
      <c r="B48" s="4" t="inlineStr">
        <is>
          <t>业务招待费</t>
        </is>
      </c>
      <c r="C48" s="18" t="n">
        <v>13928</v>
      </c>
      <c r="D48" s="18" t="n">
        <v>16436</v>
      </c>
      <c r="E48" s="24" t="n">
        <v>2508</v>
      </c>
      <c r="F48" s="18" t="n">
        <v>13445</v>
      </c>
      <c r="G48" s="18" t="n">
        <v>14863</v>
      </c>
      <c r="H48" s="24" t="n">
        <v>1418</v>
      </c>
      <c r="I48" s="18" t="n">
        <v>15875</v>
      </c>
      <c r="J48" s="18" t="n">
        <v>14917</v>
      </c>
      <c r="K48" s="18" t="n">
        <v>-958</v>
      </c>
      <c r="L48" s="18" t="n">
        <v>18958</v>
      </c>
      <c r="M48" s="18" t="n">
        <v>23691</v>
      </c>
      <c r="N48" s="24" t="n">
        <v>4733</v>
      </c>
      <c r="O48" s="18" t="n">
        <v>19533</v>
      </c>
      <c r="P48" s="18" t="n">
        <v>23350</v>
      </c>
      <c r="Q48" s="24" t="n">
        <v>3817</v>
      </c>
      <c r="R48" s="18" t="n">
        <v>19446</v>
      </c>
      <c r="S48" s="18" t="n">
        <v>18109</v>
      </c>
      <c r="T48" s="18" t="n">
        <v>-1337</v>
      </c>
      <c r="U48" s="18" t="n">
        <v>22140</v>
      </c>
      <c r="V48" s="18" t="n">
        <v>16217</v>
      </c>
      <c r="W48" s="18" t="n">
        <v>-5923</v>
      </c>
      <c r="X48" s="18" t="n">
        <v>17294</v>
      </c>
      <c r="Y48" s="18" t="n">
        <v>12802</v>
      </c>
      <c r="Z48" s="18" t="n">
        <v>-4492</v>
      </c>
      <c r="AA48" s="18" t="n">
        <v>16790</v>
      </c>
      <c r="AB48" s="18" t="n">
        <v>20986</v>
      </c>
      <c r="AC48" s="24" t="n">
        <v>4196</v>
      </c>
      <c r="AD48" s="18" t="n">
        <v>20139</v>
      </c>
      <c r="AE48" s="18" t="n">
        <v>19885</v>
      </c>
      <c r="AF48" s="18" t="n">
        <v>-254</v>
      </c>
      <c r="AG48" s="18" t="n">
        <v>17550</v>
      </c>
      <c r="AH48" s="18" t="n">
        <v>19015</v>
      </c>
      <c r="AI48" s="24" t="n">
        <v>1465</v>
      </c>
      <c r="AJ48" s="18" t="n">
        <v>25207</v>
      </c>
      <c r="AK48" s="18" t="n">
        <v>21637</v>
      </c>
      <c r="AL48" s="18" t="n">
        <v>-3570</v>
      </c>
    </row>
    <row r="49">
      <c r="B49" s="4" t="inlineStr">
        <is>
          <t>办公费</t>
        </is>
      </c>
      <c r="C49" s="18" t="n">
        <v>12992</v>
      </c>
      <c r="D49" s="18" t="n">
        <v>16231</v>
      </c>
      <c r="E49" s="24" t="n">
        <v>3239</v>
      </c>
      <c r="F49" s="18" t="n">
        <v>9699</v>
      </c>
      <c r="G49" s="18" t="n">
        <v>7001</v>
      </c>
      <c r="H49" s="18" t="n">
        <v>-2698</v>
      </c>
      <c r="I49" s="18" t="n">
        <v>13127</v>
      </c>
      <c r="J49" s="18" t="n">
        <v>11200</v>
      </c>
      <c r="K49" s="18" t="n">
        <v>-1927</v>
      </c>
      <c r="L49" s="18" t="n">
        <v>14655</v>
      </c>
      <c r="M49" s="18" t="n">
        <v>11955</v>
      </c>
      <c r="N49" s="18" t="n">
        <v>-2700</v>
      </c>
      <c r="O49" s="18" t="n">
        <v>14111</v>
      </c>
      <c r="P49" s="18" t="n">
        <v>12021</v>
      </c>
      <c r="Q49" s="18" t="n">
        <v>-2090</v>
      </c>
      <c r="R49" s="18" t="n">
        <v>14839</v>
      </c>
      <c r="S49" s="18" t="n">
        <v>12986</v>
      </c>
      <c r="T49" s="18" t="n">
        <v>-1853</v>
      </c>
      <c r="U49" s="18" t="n">
        <v>16350</v>
      </c>
      <c r="V49" s="18" t="n">
        <v>18165</v>
      </c>
      <c r="W49" s="24" t="n">
        <v>1815</v>
      </c>
      <c r="X49" s="18" t="n">
        <v>14645</v>
      </c>
      <c r="Y49" s="18" t="n">
        <v>12449</v>
      </c>
      <c r="Z49" s="18" t="n">
        <v>-2196</v>
      </c>
      <c r="AA49" s="18" t="n">
        <v>13940</v>
      </c>
      <c r="AB49" s="18" t="n">
        <v>16997</v>
      </c>
      <c r="AC49" s="24" t="n">
        <v>3057</v>
      </c>
      <c r="AD49" s="18" t="n">
        <v>15149</v>
      </c>
      <c r="AE49" s="18" t="n">
        <v>12873</v>
      </c>
      <c r="AF49" s="18" t="n">
        <v>-2276</v>
      </c>
      <c r="AG49" s="18" t="n">
        <v>13610</v>
      </c>
      <c r="AH49" s="18" t="n">
        <v>14218</v>
      </c>
      <c r="AI49" s="24" t="n">
        <v>608</v>
      </c>
      <c r="AJ49" s="18" t="n">
        <v>19581</v>
      </c>
      <c r="AK49" s="18" t="n">
        <v>19906</v>
      </c>
      <c r="AL49" s="24" t="n">
        <v>325</v>
      </c>
    </row>
    <row r="50">
      <c r="B50" s="4" t="inlineStr">
        <is>
          <t>折旧费</t>
        </is>
      </c>
      <c r="C50" s="18" t="n">
        <v>9828</v>
      </c>
      <c r="D50" s="18" t="n">
        <v>10756</v>
      </c>
      <c r="E50" s="24" t="n">
        <v>928</v>
      </c>
      <c r="F50" s="18" t="n">
        <v>8822</v>
      </c>
      <c r="G50" s="18" t="n">
        <v>8340</v>
      </c>
      <c r="H50" s="18" t="n">
        <v>-482</v>
      </c>
      <c r="I50" s="18" t="n">
        <v>10964</v>
      </c>
      <c r="J50" s="18" t="n">
        <v>9224</v>
      </c>
      <c r="K50" s="18" t="n">
        <v>-1740</v>
      </c>
      <c r="L50" s="18" t="n">
        <v>11444</v>
      </c>
      <c r="M50" s="18" t="n">
        <v>13862</v>
      </c>
      <c r="N50" s="24" t="n">
        <v>2418</v>
      </c>
      <c r="O50" s="18" t="n">
        <v>11451</v>
      </c>
      <c r="P50" s="18" t="n">
        <v>11749</v>
      </c>
      <c r="Q50" s="24" t="n">
        <v>298</v>
      </c>
      <c r="R50" s="18" t="n">
        <v>13397</v>
      </c>
      <c r="S50" s="18" t="n">
        <v>17327</v>
      </c>
      <c r="T50" s="24" t="n">
        <v>3930</v>
      </c>
      <c r="U50" s="18" t="n">
        <v>15431</v>
      </c>
      <c r="V50" s="18" t="n">
        <v>18514</v>
      </c>
      <c r="W50" s="24" t="n">
        <v>3083</v>
      </c>
      <c r="X50" s="18" t="n">
        <v>12377</v>
      </c>
      <c r="Y50" s="18" t="n">
        <v>12382</v>
      </c>
      <c r="Z50" s="24" t="n">
        <v>5</v>
      </c>
      <c r="AA50" s="18" t="n">
        <v>11609</v>
      </c>
      <c r="AB50" s="18" t="n">
        <v>14388</v>
      </c>
      <c r="AC50" s="24" t="n">
        <v>2779</v>
      </c>
      <c r="AD50" s="18" t="n">
        <v>12834</v>
      </c>
      <c r="AE50" s="18" t="n">
        <v>16646</v>
      </c>
      <c r="AF50" s="24" t="n">
        <v>3812</v>
      </c>
      <c r="AG50" s="18" t="n">
        <v>11134</v>
      </c>
      <c r="AH50" s="18" t="n">
        <v>11067</v>
      </c>
      <c r="AI50" s="18" t="n">
        <v>-67</v>
      </c>
      <c r="AJ50" s="18" t="n">
        <v>15725</v>
      </c>
      <c r="AK50" s="18" t="n">
        <v>17769</v>
      </c>
      <c r="AL50" s="24" t="n">
        <v>2044</v>
      </c>
    </row>
    <row r="51">
      <c r="B51" s="6" t="inlineStr">
        <is>
          <t>小计</t>
        </is>
      </c>
      <c r="C51" s="19" t="n">
        <v>107022</v>
      </c>
      <c r="D51" s="19" t="n">
        <v>123050</v>
      </c>
      <c r="E51" s="19" t="n">
        <v>16028</v>
      </c>
      <c r="F51" s="19" t="n">
        <v>95155</v>
      </c>
      <c r="G51" s="19" t="n">
        <v>101717</v>
      </c>
      <c r="H51" s="19" t="n">
        <v>6562</v>
      </c>
      <c r="I51" s="19" t="n">
        <v>119895</v>
      </c>
      <c r="J51" s="19" t="n">
        <v>92290</v>
      </c>
      <c r="K51" s="19" t="n">
        <v>-27605</v>
      </c>
      <c r="L51" s="19" t="n">
        <v>134751</v>
      </c>
      <c r="M51" s="19" t="n">
        <v>138271</v>
      </c>
      <c r="N51" s="19" t="n">
        <v>3520</v>
      </c>
      <c r="O51" s="19" t="n">
        <v>133443</v>
      </c>
      <c r="P51" s="19" t="n">
        <v>149660</v>
      </c>
      <c r="Q51" s="19" t="n">
        <v>16217</v>
      </c>
      <c r="R51" s="19" t="n">
        <v>144809</v>
      </c>
      <c r="S51" s="19" t="n">
        <v>139117</v>
      </c>
      <c r="T51" s="19" t="n">
        <v>-5692</v>
      </c>
      <c r="U51" s="19" t="n">
        <v>164661</v>
      </c>
      <c r="V51" s="19" t="n">
        <v>173990</v>
      </c>
      <c r="W51" s="19" t="n">
        <v>9329</v>
      </c>
      <c r="X51" s="19" t="n">
        <v>127200</v>
      </c>
      <c r="Y51" s="19" t="n">
        <v>140574</v>
      </c>
      <c r="Z51" s="19" t="n">
        <v>13374</v>
      </c>
      <c r="AA51" s="19" t="n">
        <v>125295</v>
      </c>
      <c r="AB51" s="19" t="n">
        <v>142864</v>
      </c>
      <c r="AC51" s="19" t="n">
        <v>17569</v>
      </c>
      <c r="AD51" s="19" t="n">
        <v>153396</v>
      </c>
      <c r="AE51" s="19" t="n">
        <v>158215</v>
      </c>
      <c r="AF51" s="19" t="n">
        <v>4819</v>
      </c>
      <c r="AG51" s="19" t="n">
        <v>134137</v>
      </c>
      <c r="AH51" s="19" t="n">
        <v>130671</v>
      </c>
      <c r="AI51" s="19" t="n">
        <v>-3466</v>
      </c>
      <c r="AJ51" s="19" t="n">
        <v>182730</v>
      </c>
      <c r="AK51" s="19" t="n">
        <v>185519</v>
      </c>
      <c r="AL51" s="19" t="n">
        <v>2789</v>
      </c>
    </row>
  </sheetData>
  <mergeCells count="23">
    <mergeCell ref="U2:W2"/>
    <mergeCell ref="AG2:AI2"/>
    <mergeCell ref="A40:A45"/>
    <mergeCell ref="F2:H2"/>
    <mergeCell ref="B2:B3"/>
    <mergeCell ref="C2:E2"/>
    <mergeCell ref="AD2:AF2"/>
    <mergeCell ref="A1:AL1"/>
    <mergeCell ref="A16:A21"/>
    <mergeCell ref="A2:A3"/>
    <mergeCell ref="O2:Q2"/>
    <mergeCell ref="AA2:AC2"/>
    <mergeCell ref="R2:T2"/>
    <mergeCell ref="A46:A51"/>
    <mergeCell ref="L2:N2"/>
    <mergeCell ref="X2:Z2"/>
    <mergeCell ref="A22:A27"/>
    <mergeCell ref="AJ2:AL2"/>
    <mergeCell ref="I2:K2"/>
    <mergeCell ref="A4:A9"/>
    <mergeCell ref="A34:A39"/>
    <mergeCell ref="A10:A15"/>
    <mergeCell ref="A28:A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江苏美鑫食品科技有限公司现金流量表</t>
        </is>
      </c>
    </row>
    <row r="2">
      <c r="A2" s="17" t="inlineStr">
        <is>
          <t>2025年度</t>
        </is>
      </c>
      <c r="G2" t="inlineStr">
        <is>
          <t>单位：元</t>
        </is>
      </c>
    </row>
    <row r="3">
      <c r="A3" s="2" t="inlineStr">
        <is>
          <t>项目</t>
        </is>
      </c>
      <c r="B3" s="2" t="inlineStr">
        <is>
          <t>行次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全年合计</t>
        </is>
      </c>
    </row>
    <row r="4">
      <c r="A4" s="6" t="inlineStr">
        <is>
          <t>一、经营活动产生的现金流量</t>
        </is>
      </c>
    </row>
    <row r="5">
      <c r="A5" s="4" t="inlineStr">
        <is>
          <t>销售商品、提供劳务收到的现金</t>
        </is>
      </c>
      <c r="B5" s="3" t="n">
        <v>1</v>
      </c>
      <c r="C5" s="15" t="n">
        <v>7021700.68</v>
      </c>
      <c r="D5" s="15" t="n">
        <v>12839449.35</v>
      </c>
      <c r="E5" s="15" t="n">
        <v>7700211.47</v>
      </c>
      <c r="F5" s="15" t="n">
        <v>25812589.78</v>
      </c>
      <c r="G5" s="15" t="n">
        <v>53373951.28</v>
      </c>
    </row>
    <row r="6">
      <c r="A6" s="4" t="inlineStr">
        <is>
          <t>收到的税费返还</t>
        </is>
      </c>
      <c r="B6" s="3" t="n">
        <v>2</v>
      </c>
      <c r="C6" s="15" t="n">
        <v>41035663.82</v>
      </c>
      <c r="D6" s="15" t="n">
        <v>41831336.61</v>
      </c>
      <c r="E6" s="15" t="n">
        <v>31912348.85</v>
      </c>
      <c r="F6" s="15" t="n">
        <v>59406088.85</v>
      </c>
      <c r="G6" s="15" t="n">
        <v>174185438.13</v>
      </c>
    </row>
    <row r="7">
      <c r="A7" s="4" t="inlineStr">
        <is>
          <t>收到其他与经营活动有关的现金</t>
        </is>
      </c>
      <c r="B7" s="3" t="n">
        <v>3</v>
      </c>
      <c r="C7" s="15" t="n">
        <v>33150982.59</v>
      </c>
      <c r="D7" s="15" t="n">
        <v>28240593.56</v>
      </c>
      <c r="E7" s="15" t="n">
        <v>4293862.2</v>
      </c>
      <c r="F7" s="15" t="n">
        <v>10969694.49</v>
      </c>
      <c r="G7" s="15" t="n">
        <v>76655132.84</v>
      </c>
    </row>
    <row r="8">
      <c r="A8" s="6" t="inlineStr">
        <is>
          <t>经营活动现金流入小计</t>
        </is>
      </c>
      <c r="B8" s="3" t="n">
        <v>4</v>
      </c>
      <c r="C8" s="16" t="n">
        <v>13086957.57</v>
      </c>
      <c r="D8" s="16" t="n">
        <v>10329993.02</v>
      </c>
      <c r="E8" s="16" t="n">
        <v>3690024.36</v>
      </c>
      <c r="F8" s="16" t="n">
        <v>24095009.94</v>
      </c>
      <c r="G8" s="16" t="n">
        <v>51201984.89</v>
      </c>
    </row>
    <row r="9">
      <c r="A9" s="4" t="inlineStr">
        <is>
          <t>购买商品、接受劳务支付的现金</t>
        </is>
      </c>
      <c r="B9" s="3" t="n">
        <v>5</v>
      </c>
      <c r="C9" s="15" t="n">
        <v>-24760618.85</v>
      </c>
      <c r="D9" s="15" t="n">
        <v>-38917475.67</v>
      </c>
      <c r="E9" s="15" t="n">
        <v>-16492094.28</v>
      </c>
      <c r="F9" s="15" t="n">
        <v>-42732166.65</v>
      </c>
      <c r="G9" s="15" t="n">
        <v>-122902355.45</v>
      </c>
    </row>
    <row r="10">
      <c r="A10" s="4" t="inlineStr">
        <is>
          <t>支付给职工以及为职工支付的现金</t>
        </is>
      </c>
      <c r="B10" s="3" t="n">
        <v>6</v>
      </c>
      <c r="C10" s="15" t="n">
        <v>-15941726.19</v>
      </c>
      <c r="D10" s="15" t="n">
        <v>-29341854.49</v>
      </c>
      <c r="E10" s="15" t="n">
        <v>-3062073</v>
      </c>
      <c r="F10" s="15" t="n">
        <v>-43483607.47</v>
      </c>
      <c r="G10" s="15" t="n">
        <v>-91829261.15000001</v>
      </c>
    </row>
    <row r="11">
      <c r="A11" s="4" t="inlineStr">
        <is>
          <t>支付的各项税费</t>
        </is>
      </c>
      <c r="B11" s="3" t="n">
        <v>7</v>
      </c>
      <c r="C11" s="15" t="n">
        <v>-18312989.67</v>
      </c>
      <c r="D11" s="15" t="n">
        <v>-33128801.02</v>
      </c>
      <c r="E11" s="15" t="n">
        <v>-19225381.02</v>
      </c>
      <c r="F11" s="15" t="n">
        <v>-32388650.81</v>
      </c>
      <c r="G11" s="15" t="n">
        <v>-103055822.52</v>
      </c>
    </row>
    <row r="12">
      <c r="A12" s="4" t="inlineStr">
        <is>
          <t>支付其他与经营活动有关的现金</t>
        </is>
      </c>
      <c r="B12" s="3" t="n">
        <v>8</v>
      </c>
      <c r="C12" s="15" t="n">
        <v>-4886416.61</v>
      </c>
      <c r="D12" s="15" t="n">
        <v>-6880999.12</v>
      </c>
      <c r="E12" s="15" t="n">
        <v>-16221075.28</v>
      </c>
      <c r="F12" s="15" t="n">
        <v>-17522201.54</v>
      </c>
      <c r="G12" s="15" t="n">
        <v>-45510692.55</v>
      </c>
    </row>
    <row r="13">
      <c r="A13" s="6" t="inlineStr">
        <is>
          <t>经营活动现金流出小计</t>
        </is>
      </c>
      <c r="B13" s="3" t="n">
        <v>9</v>
      </c>
      <c r="C13" s="16" t="n">
        <v>27057187.95</v>
      </c>
      <c r="D13" s="16" t="n">
        <v>21184050.47</v>
      </c>
      <c r="E13" s="16" t="n">
        <v>-7606453.67</v>
      </c>
      <c r="F13" s="16" t="n">
        <v>25651331.31</v>
      </c>
      <c r="G13" s="16" t="n">
        <v>66286116.06</v>
      </c>
    </row>
    <row r="14">
      <c r="A14" s="6" t="inlineStr">
        <is>
          <t>经营活动产生的现金流量净额</t>
        </is>
      </c>
      <c r="B14" s="3" t="n">
        <v>10</v>
      </c>
      <c r="C14" s="16" t="n">
        <v>-9033525.02</v>
      </c>
      <c r="D14" s="16" t="n">
        <v>8671054.609999999</v>
      </c>
      <c r="E14" s="16" t="n">
        <v>17846602.16</v>
      </c>
      <c r="F14" s="16" t="n">
        <v>18233453.41</v>
      </c>
      <c r="G14" s="16" t="n">
        <v>35717585.16</v>
      </c>
    </row>
    <row r="15">
      <c r="A15" s="6" t="inlineStr">
        <is>
          <t>二、投资活动产生的现金流量</t>
        </is>
      </c>
    </row>
    <row r="16">
      <c r="A16" s="4" t="inlineStr">
        <is>
          <t>收回投资收到的现金</t>
        </is>
      </c>
      <c r="B16" s="3" t="n">
        <v>11</v>
      </c>
      <c r="C16" s="15" t="n">
        <v>17228162.13</v>
      </c>
      <c r="D16" s="15" t="n">
        <v>13719102.17</v>
      </c>
      <c r="E16" s="15" t="n">
        <v>27343216.89</v>
      </c>
      <c r="F16" s="15" t="n">
        <v>2678956.06</v>
      </c>
      <c r="G16" s="15" t="n">
        <v>60969437.25</v>
      </c>
    </row>
    <row r="17">
      <c r="A17" s="4" t="inlineStr">
        <is>
          <t>取得投资收益收到的现金</t>
        </is>
      </c>
      <c r="B17" s="3" t="n">
        <v>12</v>
      </c>
      <c r="C17" s="15" t="n">
        <v>33773972.56</v>
      </c>
      <c r="D17" s="15" t="n">
        <v>50060269.7</v>
      </c>
      <c r="E17" s="15" t="n">
        <v>59868036.75</v>
      </c>
      <c r="F17" s="15" t="n">
        <v>8465461.119999999</v>
      </c>
      <c r="G17" s="15" t="n">
        <v>152167740.13</v>
      </c>
    </row>
    <row r="18">
      <c r="A18" s="4" t="inlineStr">
        <is>
          <t>处置固定资产、无形资产收到的现金净额</t>
        </is>
      </c>
      <c r="B18" s="3" t="n">
        <v>13</v>
      </c>
      <c r="C18" s="15" t="n">
        <v>25115640.21</v>
      </c>
      <c r="D18" s="15" t="n">
        <v>26344205.76</v>
      </c>
      <c r="E18" s="15" t="n">
        <v>22085203</v>
      </c>
      <c r="F18" s="15" t="n">
        <v>57356169.45</v>
      </c>
      <c r="G18" s="15" t="n">
        <v>130901218.42</v>
      </c>
    </row>
    <row r="19">
      <c r="A19" s="6" t="inlineStr">
        <is>
          <t>投资活动现金流入小计</t>
        </is>
      </c>
      <c r="B19" s="3" t="n">
        <v>14</v>
      </c>
      <c r="C19" s="16" t="n">
        <v>21238713.01</v>
      </c>
      <c r="D19" s="16" t="n">
        <v>-5179689.9</v>
      </c>
      <c r="E19" s="16" t="n">
        <v>27732792.53</v>
      </c>
      <c r="F19" s="16" t="n">
        <v>-399985.9</v>
      </c>
      <c r="G19" s="16" t="n">
        <v>43391829.74</v>
      </c>
    </row>
    <row r="20">
      <c r="A20" s="4" t="inlineStr">
        <is>
          <t>购建固定资产、无形资产支付的现金</t>
        </is>
      </c>
      <c r="B20" s="3" t="n">
        <v>15</v>
      </c>
      <c r="C20" s="15" t="n">
        <v>-31166503.97</v>
      </c>
      <c r="D20" s="15" t="n">
        <v>-3797527</v>
      </c>
      <c r="E20" s="15" t="n">
        <v>-14063668.02</v>
      </c>
      <c r="F20" s="15" t="n">
        <v>-31858014.56</v>
      </c>
      <c r="G20" s="15" t="n">
        <v>-80885713.55</v>
      </c>
    </row>
    <row r="21">
      <c r="A21" s="4" t="inlineStr">
        <is>
          <t>投资支付的现金</t>
        </is>
      </c>
      <c r="B21" s="3" t="n">
        <v>16</v>
      </c>
      <c r="C21" s="15" t="n">
        <v>-17259501.46</v>
      </c>
      <c r="D21" s="15" t="n">
        <v>-12922194.58</v>
      </c>
      <c r="E21" s="15" t="n">
        <v>-6293535.36</v>
      </c>
      <c r="F21" s="15" t="n">
        <v>-22278860.32</v>
      </c>
      <c r="G21" s="15" t="n">
        <v>-58754091.72</v>
      </c>
    </row>
    <row r="22">
      <c r="A22" s="6" t="inlineStr">
        <is>
          <t>投资活动现金流出小计</t>
        </is>
      </c>
      <c r="B22" s="3" t="n">
        <v>17</v>
      </c>
      <c r="C22" s="16" t="n">
        <v>5975146.61</v>
      </c>
      <c r="D22" s="16" t="n">
        <v>5490041.45</v>
      </c>
      <c r="E22" s="16" t="n">
        <v>-7662467.46</v>
      </c>
      <c r="F22" s="16" t="n">
        <v>-1050111.48</v>
      </c>
      <c r="G22" s="16" t="n">
        <v>2752609.12</v>
      </c>
    </row>
    <row r="23">
      <c r="A23" s="6" t="inlineStr">
        <is>
          <t>投资活动产生的现金流量净额</t>
        </is>
      </c>
      <c r="B23" s="3" t="n">
        <v>18</v>
      </c>
      <c r="C23" s="16" t="n">
        <v>5622072.69</v>
      </c>
      <c r="D23" s="16" t="n">
        <v>24248719.01</v>
      </c>
      <c r="E23" s="16" t="n">
        <v>26609138.05</v>
      </c>
      <c r="F23" s="16" t="n">
        <v>3326136.93</v>
      </c>
      <c r="G23" s="16" t="n">
        <v>59806066.68</v>
      </c>
    </row>
    <row r="24">
      <c r="A24" s="6" t="inlineStr">
        <is>
          <t>三、筹资活动产生的现金流量</t>
        </is>
      </c>
    </row>
    <row r="25">
      <c r="A25" s="4" t="inlineStr">
        <is>
          <t>吸收投资收到的现金</t>
        </is>
      </c>
      <c r="B25" s="3" t="n">
        <v>19</v>
      </c>
      <c r="C25" s="15" t="n">
        <v>2435439.12</v>
      </c>
      <c r="D25" s="15" t="n">
        <v>42844252.59</v>
      </c>
      <c r="E25" s="15" t="n">
        <v>16847816.81</v>
      </c>
      <c r="F25" s="15" t="n">
        <v>21299704.32</v>
      </c>
      <c r="G25" s="15" t="n">
        <v>83427212.84</v>
      </c>
    </row>
    <row r="26">
      <c r="A26" s="4" t="inlineStr">
        <is>
          <t>取得借款收到的现金</t>
        </is>
      </c>
      <c r="B26" s="3" t="n">
        <v>20</v>
      </c>
      <c r="C26" s="15" t="n">
        <v>16028429.8</v>
      </c>
      <c r="D26" s="15" t="n">
        <v>24474856.27</v>
      </c>
      <c r="E26" s="15" t="n">
        <v>57611170.52</v>
      </c>
      <c r="F26" s="15" t="n">
        <v>54896343.28</v>
      </c>
      <c r="G26" s="15" t="n">
        <v>153010799.87</v>
      </c>
    </row>
    <row r="27">
      <c r="A27" s="6" t="inlineStr">
        <is>
          <t>筹资活动现金流入小计</t>
        </is>
      </c>
      <c r="B27" s="3" t="n">
        <v>21</v>
      </c>
      <c r="C27" s="16" t="n">
        <v>15729754.01</v>
      </c>
      <c r="D27" s="16" t="n">
        <v>5750901.42</v>
      </c>
      <c r="E27" s="16" t="n">
        <v>23778772.75</v>
      </c>
      <c r="F27" s="16" t="n">
        <v>18432744.16</v>
      </c>
      <c r="G27" s="16" t="n">
        <v>63692172.34</v>
      </c>
    </row>
    <row r="28">
      <c r="A28" s="4" t="inlineStr">
        <is>
          <t>偿还债务支付的现金</t>
        </is>
      </c>
      <c r="B28" s="3" t="n">
        <v>22</v>
      </c>
      <c r="C28" s="15" t="n">
        <v>-6604441.89</v>
      </c>
      <c r="D28" s="15" t="n">
        <v>-34050801.74</v>
      </c>
      <c r="E28" s="15" t="n">
        <v>-7552974.4</v>
      </c>
      <c r="F28" s="15" t="n">
        <v>-2415087.43</v>
      </c>
      <c r="G28" s="15" t="n">
        <v>-50623305.46</v>
      </c>
    </row>
    <row r="29">
      <c r="A29" s="4" t="inlineStr">
        <is>
          <t>分配股利、利润或偿付利息支付的现金</t>
        </is>
      </c>
      <c r="B29" s="3" t="n">
        <v>23</v>
      </c>
      <c r="C29" s="15" t="n">
        <v>-35641739.89</v>
      </c>
      <c r="D29" s="15" t="n">
        <v>-42028728.84</v>
      </c>
      <c r="E29" s="15" t="n">
        <v>-43396241.54</v>
      </c>
      <c r="F29" s="15" t="n">
        <v>-46920587.46</v>
      </c>
      <c r="G29" s="15" t="n">
        <v>-167987297.73</v>
      </c>
    </row>
    <row r="30">
      <c r="A30" s="6" t="inlineStr">
        <is>
          <t>筹资活动现金流出小计</t>
        </is>
      </c>
      <c r="B30" s="3" t="n">
        <v>24</v>
      </c>
      <c r="C30" s="16" t="n">
        <v>24951915.63</v>
      </c>
      <c r="D30" s="16" t="n">
        <v>11112466.61</v>
      </c>
      <c r="E30" s="16" t="n">
        <v>-7720518.57</v>
      </c>
      <c r="F30" s="16" t="n">
        <v>12194149.34</v>
      </c>
      <c r="G30" s="16" t="n">
        <v>40538013.01</v>
      </c>
    </row>
    <row r="31">
      <c r="A31" s="6" t="inlineStr">
        <is>
          <t>筹资活动产生的现金流量净额</t>
        </is>
      </c>
      <c r="B31" s="3" t="n">
        <v>25</v>
      </c>
      <c r="C31" s="16" t="n">
        <v>2564731.74</v>
      </c>
      <c r="D31" s="16" t="n">
        <v>26198180.55</v>
      </c>
      <c r="E31" s="16" t="n">
        <v>19367062.04</v>
      </c>
      <c r="F31" s="16" t="n">
        <v>26736971.2</v>
      </c>
      <c r="G31" s="16" t="n">
        <v>74866945.53</v>
      </c>
    </row>
    <row r="32">
      <c r="A32" s="4" t="inlineStr">
        <is>
          <t>四、汇率变动对现金的影响</t>
        </is>
      </c>
      <c r="B32" s="3" t="n">
        <v>26</v>
      </c>
      <c r="C32" s="15" t="n">
        <v>-416770.91</v>
      </c>
      <c r="D32" s="15" t="n">
        <v>22550.03</v>
      </c>
      <c r="E32" s="15" t="n">
        <v>349392.1</v>
      </c>
      <c r="F32" s="15" t="n">
        <v>-46360.01</v>
      </c>
      <c r="G32" s="15" t="n">
        <v>-91188.78999999999</v>
      </c>
    </row>
    <row r="33">
      <c r="A33" s="6" t="inlineStr">
        <is>
          <t>五、现金及现金等价物净增加额</t>
        </is>
      </c>
      <c r="B33" s="3" t="n">
        <v>27</v>
      </c>
      <c r="C33" s="16" t="n">
        <v>16237605.7</v>
      </c>
      <c r="D33" s="16" t="n">
        <v>-1756244.92</v>
      </c>
      <c r="E33" s="16" t="n">
        <v>-2585667.99</v>
      </c>
      <c r="F33" s="16" t="n">
        <v>-336200.34</v>
      </c>
      <c r="G33" s="16" t="n">
        <v>11559492.45</v>
      </c>
    </row>
    <row r="34">
      <c r="A34" s="4" t="inlineStr">
        <is>
          <t>加：期初现金及现金等价物余额</t>
        </is>
      </c>
      <c r="B34" s="3" t="n">
        <v>28</v>
      </c>
      <c r="C34" s="15" t="n">
        <v>299438.13</v>
      </c>
      <c r="D34" s="15" t="n">
        <v>-312376.69</v>
      </c>
      <c r="E34" s="15" t="n">
        <v>303462.86</v>
      </c>
      <c r="F34" s="15" t="n">
        <v>260240.69</v>
      </c>
      <c r="G34" s="15" t="n">
        <v>550764.99</v>
      </c>
    </row>
    <row r="35">
      <c r="A35" s="6" t="inlineStr">
        <is>
          <t>六、期末现金及现金等价物余额</t>
        </is>
      </c>
      <c r="B35" s="3" t="n">
        <v>29</v>
      </c>
      <c r="C35" s="16" t="n">
        <v>24794048.43</v>
      </c>
      <c r="D35" s="16" t="n">
        <v>-8645928.220000001</v>
      </c>
      <c r="E35" s="16" t="n">
        <v>22792702.04</v>
      </c>
      <c r="F35" s="16" t="n">
        <v>839138.78</v>
      </c>
      <c r="G35" s="16" t="n">
        <v>39779961.03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</cols>
  <sheetData>
    <row r="1">
      <c r="B1" s="2" t="inlineStr">
        <is>
          <t>华东</t>
        </is>
      </c>
      <c r="Z1" s="2" t="inlineStr">
        <is>
          <t>华北</t>
        </is>
      </c>
      <c r="AX1" s="2" t="inlineStr">
        <is>
          <t>华南</t>
        </is>
      </c>
      <c r="BV1" s="2" t="inlineStr">
        <is>
          <t>西南</t>
        </is>
      </c>
    </row>
    <row r="2">
      <c r="B2" s="2" t="inlineStr">
        <is>
          <t>Q1</t>
        </is>
      </c>
      <c r="H2" s="2" t="inlineStr">
        <is>
          <t>Q2</t>
        </is>
      </c>
      <c r="N2" s="2" t="inlineStr">
        <is>
          <t>Q3</t>
        </is>
      </c>
      <c r="T2" s="2" t="inlineStr">
        <is>
          <t>Q4</t>
        </is>
      </c>
      <c r="Z2" s="2" t="inlineStr">
        <is>
          <t>Q1</t>
        </is>
      </c>
      <c r="AF2" s="2" t="inlineStr">
        <is>
          <t>Q2</t>
        </is>
      </c>
      <c r="AL2" s="2" t="inlineStr">
        <is>
          <t>Q3</t>
        </is>
      </c>
      <c r="AR2" s="2" t="inlineStr">
        <is>
          <t>Q4</t>
        </is>
      </c>
      <c r="AX2" s="2" t="inlineStr">
        <is>
          <t>Q1</t>
        </is>
      </c>
      <c r="BD2" s="2" t="inlineStr">
        <is>
          <t>Q2</t>
        </is>
      </c>
      <c r="BJ2" s="2" t="inlineStr">
        <is>
          <t>Q3</t>
        </is>
      </c>
      <c r="BP2" s="2" t="inlineStr">
        <is>
          <t>Q4</t>
        </is>
      </c>
      <c r="BV2" s="2" t="inlineStr">
        <is>
          <t>Q1</t>
        </is>
      </c>
      <c r="CB2" s="2" t="inlineStr">
        <is>
          <t>Q2</t>
        </is>
      </c>
      <c r="CH2" s="2" t="inlineStr">
        <is>
          <t>Q3</t>
        </is>
      </c>
      <c r="CN2" s="2" t="inlineStr">
        <is>
          <t>Q4</t>
        </is>
      </c>
      <c r="CT2" s="2" t="inlineStr">
        <is>
          <t>Q1</t>
        </is>
      </c>
      <c r="CZ2" s="2" t="inlineStr">
        <is>
          <t>Q2</t>
        </is>
      </c>
      <c r="DF2" s="2" t="inlineStr">
        <is>
          <t>Q3</t>
        </is>
      </c>
    </row>
    <row r="3">
      <c r="A3" s="2" t="inlineStr">
        <is>
          <t>产品</t>
        </is>
      </c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费用</t>
        </is>
      </c>
      <c r="F3" s="2" t="inlineStr">
        <is>
          <t>净利</t>
        </is>
      </c>
      <c r="G3" s="2" t="inlineStr">
        <is>
          <t>预算</t>
        </is>
      </c>
      <c r="H3" s="2" t="inlineStr">
        <is>
          <t>收入</t>
        </is>
      </c>
      <c r="I3" s="2" t="inlineStr">
        <is>
          <t>成本</t>
        </is>
      </c>
      <c r="J3" s="2" t="inlineStr">
        <is>
          <t>毛利</t>
        </is>
      </c>
      <c r="K3" s="2" t="inlineStr">
        <is>
          <t>费用</t>
        </is>
      </c>
      <c r="L3" s="2" t="inlineStr">
        <is>
          <t>净利</t>
        </is>
      </c>
      <c r="M3" s="2" t="inlineStr">
        <is>
          <t>预算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费用</t>
        </is>
      </c>
      <c r="R3" s="2" t="inlineStr">
        <is>
          <t>净利</t>
        </is>
      </c>
      <c r="S3" s="2" t="inlineStr">
        <is>
          <t>预算</t>
        </is>
      </c>
      <c r="T3" s="2" t="inlineStr">
        <is>
          <t>收入</t>
        </is>
      </c>
      <c r="U3" s="2" t="inlineStr">
        <is>
          <t>成本</t>
        </is>
      </c>
      <c r="V3" s="2" t="inlineStr">
        <is>
          <t>毛利</t>
        </is>
      </c>
      <c r="W3" s="2" t="inlineStr">
        <is>
          <t>费用</t>
        </is>
      </c>
      <c r="X3" s="2" t="inlineStr">
        <is>
          <t>净利</t>
        </is>
      </c>
      <c r="Y3" s="2" t="inlineStr">
        <is>
          <t>预算</t>
        </is>
      </c>
      <c r="Z3" s="2" t="inlineStr">
        <is>
          <t>收入</t>
        </is>
      </c>
      <c r="AA3" s="2" t="inlineStr">
        <is>
          <t>成本</t>
        </is>
      </c>
      <c r="AB3" s="2" t="inlineStr">
        <is>
          <t>毛利</t>
        </is>
      </c>
      <c r="AC3" s="2" t="inlineStr">
        <is>
          <t>费用</t>
        </is>
      </c>
      <c r="AD3" s="2" t="inlineStr">
        <is>
          <t>净利</t>
        </is>
      </c>
      <c r="AE3" s="2" t="inlineStr">
        <is>
          <t>预算</t>
        </is>
      </c>
      <c r="AF3" s="2" t="inlineStr">
        <is>
          <t>收入</t>
        </is>
      </c>
      <c r="AG3" s="2" t="inlineStr">
        <is>
          <t>成本</t>
        </is>
      </c>
      <c r="AH3" s="2" t="inlineStr">
        <is>
          <t>毛利</t>
        </is>
      </c>
      <c r="AI3" s="2" t="inlineStr">
        <is>
          <t>费用</t>
        </is>
      </c>
      <c r="AJ3" s="2" t="inlineStr">
        <is>
          <t>净利</t>
        </is>
      </c>
      <c r="AK3" s="2" t="inlineStr">
        <is>
          <t>预算</t>
        </is>
      </c>
      <c r="AL3" s="2" t="inlineStr">
        <is>
          <t>收入</t>
        </is>
      </c>
      <c r="AM3" s="2" t="inlineStr">
        <is>
          <t>成本</t>
        </is>
      </c>
      <c r="AN3" s="2" t="inlineStr">
        <is>
          <t>毛利</t>
        </is>
      </c>
      <c r="AO3" s="2" t="inlineStr">
        <is>
          <t>费用</t>
        </is>
      </c>
      <c r="AP3" s="2" t="inlineStr">
        <is>
          <t>净利</t>
        </is>
      </c>
      <c r="AQ3" s="2" t="inlineStr">
        <is>
          <t>预算</t>
        </is>
      </c>
      <c r="AR3" s="2" t="inlineStr">
        <is>
          <t>收入</t>
        </is>
      </c>
      <c r="AS3" s="2" t="inlineStr">
        <is>
          <t>成本</t>
        </is>
      </c>
      <c r="AT3" s="2" t="inlineStr">
        <is>
          <t>毛利</t>
        </is>
      </c>
      <c r="AU3" s="2" t="inlineStr">
        <is>
          <t>费用</t>
        </is>
      </c>
      <c r="AV3" s="2" t="inlineStr">
        <is>
          <t>净利</t>
        </is>
      </c>
      <c r="AW3" s="2" t="inlineStr">
        <is>
          <t>预算</t>
        </is>
      </c>
      <c r="AX3" s="2" t="inlineStr">
        <is>
          <t>收入</t>
        </is>
      </c>
      <c r="AY3" s="2" t="inlineStr">
        <is>
          <t>成本</t>
        </is>
      </c>
      <c r="AZ3" s="2" t="inlineStr">
        <is>
          <t>毛利</t>
        </is>
      </c>
      <c r="BA3" s="2" t="inlineStr">
        <is>
          <t>费用</t>
        </is>
      </c>
      <c r="BB3" s="2" t="inlineStr">
        <is>
          <t>净利</t>
        </is>
      </c>
      <c r="BC3" s="2" t="inlineStr">
        <is>
          <t>预算</t>
        </is>
      </c>
      <c r="BD3" s="2" t="inlineStr">
        <is>
          <t>收入</t>
        </is>
      </c>
      <c r="BE3" s="2" t="inlineStr">
        <is>
          <t>成本</t>
        </is>
      </c>
      <c r="BF3" s="2" t="inlineStr">
        <is>
          <t>毛利</t>
        </is>
      </c>
      <c r="BG3" s="2" t="inlineStr">
        <is>
          <t>费用</t>
        </is>
      </c>
      <c r="BH3" s="2" t="inlineStr">
        <is>
          <t>净利</t>
        </is>
      </c>
      <c r="BI3" s="2" t="inlineStr">
        <is>
          <t>预算</t>
        </is>
      </c>
      <c r="BJ3" s="2" t="inlineStr">
        <is>
          <t>收入</t>
        </is>
      </c>
      <c r="BK3" s="2" t="inlineStr">
        <is>
          <t>成本</t>
        </is>
      </c>
      <c r="BL3" s="2" t="inlineStr">
        <is>
          <t>毛利</t>
        </is>
      </c>
      <c r="BM3" s="2" t="inlineStr">
        <is>
          <t>费用</t>
        </is>
      </c>
      <c r="BN3" s="2" t="inlineStr">
        <is>
          <t>净利</t>
        </is>
      </c>
      <c r="BO3" s="2" t="inlineStr">
        <is>
          <t>预算</t>
        </is>
      </c>
      <c r="BP3" s="2" t="inlineStr">
        <is>
          <t>收入</t>
        </is>
      </c>
      <c r="BQ3" s="2" t="inlineStr">
        <is>
          <t>成本</t>
        </is>
      </c>
      <c r="BR3" s="2" t="inlineStr">
        <is>
          <t>毛利</t>
        </is>
      </c>
      <c r="BS3" s="2" t="inlineStr">
        <is>
          <t>费用</t>
        </is>
      </c>
      <c r="BT3" s="2" t="inlineStr">
        <is>
          <t>净利</t>
        </is>
      </c>
      <c r="BU3" s="2" t="inlineStr">
        <is>
          <t>预算</t>
        </is>
      </c>
      <c r="BV3" s="2" t="inlineStr">
        <is>
          <t>收入</t>
        </is>
      </c>
      <c r="BW3" s="2" t="inlineStr">
        <is>
          <t>成本</t>
        </is>
      </c>
      <c r="BX3" s="2" t="inlineStr">
        <is>
          <t>毛利</t>
        </is>
      </c>
      <c r="BY3" s="2" t="inlineStr">
        <is>
          <t>费用</t>
        </is>
      </c>
      <c r="BZ3" s="2" t="inlineStr">
        <is>
          <t>净利</t>
        </is>
      </c>
      <c r="CA3" s="2" t="inlineStr">
        <is>
          <t>预算</t>
        </is>
      </c>
      <c r="CB3" s="2" t="inlineStr">
        <is>
          <t>收入</t>
        </is>
      </c>
      <c r="CC3" s="2" t="inlineStr">
        <is>
          <t>成本</t>
        </is>
      </c>
      <c r="CD3" s="2" t="inlineStr">
        <is>
          <t>毛利</t>
        </is>
      </c>
      <c r="CE3" s="2" t="inlineStr">
        <is>
          <t>费用</t>
        </is>
      </c>
      <c r="CF3" s="2" t="inlineStr">
        <is>
          <t>净利</t>
        </is>
      </c>
      <c r="CG3" s="2" t="inlineStr">
        <is>
          <t>预算</t>
        </is>
      </c>
      <c r="CH3" s="2" t="inlineStr">
        <is>
          <t>收入</t>
        </is>
      </c>
      <c r="CI3" s="2" t="inlineStr">
        <is>
          <t>成本</t>
        </is>
      </c>
      <c r="CJ3" s="2" t="inlineStr">
        <is>
          <t>毛利</t>
        </is>
      </c>
      <c r="CK3" s="2" t="inlineStr">
        <is>
          <t>费用</t>
        </is>
      </c>
      <c r="CL3" s="2" t="inlineStr">
        <is>
          <t>净利</t>
        </is>
      </c>
      <c r="CM3" s="2" t="inlineStr">
        <is>
          <t>预算</t>
        </is>
      </c>
      <c r="CN3" s="2" t="inlineStr">
        <is>
          <t>收入</t>
        </is>
      </c>
      <c r="CO3" s="2" t="inlineStr">
        <is>
          <t>成本</t>
        </is>
      </c>
      <c r="CP3" s="2" t="inlineStr">
        <is>
          <t>毛利</t>
        </is>
      </c>
      <c r="CQ3" s="2" t="inlineStr">
        <is>
          <t>费用</t>
        </is>
      </c>
      <c r="CR3" s="2" t="inlineStr">
        <is>
          <t>净利</t>
        </is>
      </c>
      <c r="CS3" s="2" t="inlineStr">
        <is>
          <t>预算</t>
        </is>
      </c>
      <c r="CT3" s="2" t="inlineStr">
        <is>
          <t>收入</t>
        </is>
      </c>
      <c r="CU3" s="2" t="inlineStr">
        <is>
          <t>成本</t>
        </is>
      </c>
      <c r="CV3" s="2" t="inlineStr">
        <is>
          <t>毛利</t>
        </is>
      </c>
      <c r="CW3" s="2" t="inlineStr">
        <is>
          <t>费用</t>
        </is>
      </c>
      <c r="CX3" s="2" t="inlineStr">
        <is>
          <t>净利</t>
        </is>
      </c>
      <c r="CY3" s="2" t="inlineStr">
        <is>
          <t>预算</t>
        </is>
      </c>
      <c r="CZ3" s="2" t="inlineStr">
        <is>
          <t>收入</t>
        </is>
      </c>
      <c r="DA3" s="2" t="inlineStr">
        <is>
          <t>成本</t>
        </is>
      </c>
      <c r="DB3" s="2" t="inlineStr">
        <is>
          <t>毛利</t>
        </is>
      </c>
      <c r="DC3" s="2" t="inlineStr">
        <is>
          <t>费用</t>
        </is>
      </c>
      <c r="DD3" s="2" t="inlineStr">
        <is>
          <t>净利</t>
        </is>
      </c>
      <c r="DE3" s="2" t="inlineStr">
        <is>
          <t>预算</t>
        </is>
      </c>
      <c r="DF3" s="2" t="inlineStr">
        <is>
          <t>收入</t>
        </is>
      </c>
      <c r="DG3" s="2" t="inlineStr">
        <is>
          <t>成本</t>
        </is>
      </c>
      <c r="DH3" s="2" t="inlineStr">
        <is>
          <t>毛利</t>
        </is>
      </c>
      <c r="DI3" s="2" t="inlineStr">
        <is>
          <t>费用</t>
        </is>
      </c>
      <c r="DJ3" s="2" t="inlineStr">
        <is>
          <t>净利</t>
        </is>
      </c>
      <c r="DK3" s="2" t="inlineStr">
        <is>
          <t>预算</t>
        </is>
      </c>
      <c r="DL3" s="2" t="inlineStr">
        <is>
          <t>收入</t>
        </is>
      </c>
      <c r="DM3" s="2" t="inlineStr">
        <is>
          <t>成本</t>
        </is>
      </c>
      <c r="DN3" s="2" t="inlineStr">
        <is>
          <t>毛利</t>
        </is>
      </c>
      <c r="DO3" s="2" t="inlineStr">
        <is>
          <t>费用</t>
        </is>
      </c>
      <c r="DP3" s="2" t="inlineStr">
        <is>
          <t>净利</t>
        </is>
      </c>
    </row>
    <row r="4">
      <c r="A4" s="4" t="inlineStr">
        <is>
          <t>中式汤底</t>
        </is>
      </c>
      <c r="B4" s="15" t="n">
        <v>2221789.28</v>
      </c>
      <c r="C4" s="15" t="n">
        <v>2659978.81</v>
      </c>
      <c r="D4" s="15" t="n">
        <v>979425.14</v>
      </c>
      <c r="E4" s="15" t="n">
        <v>75196.98</v>
      </c>
      <c r="F4" s="15" t="n">
        <v>1920103.46</v>
      </c>
      <c r="G4" s="15" t="n">
        <v>2065380.7</v>
      </c>
      <c r="H4" s="15" t="n">
        <v>6160091.16</v>
      </c>
      <c r="I4" s="15" t="n">
        <v>4043055.56</v>
      </c>
      <c r="J4" s="15" t="n">
        <v>1757594.58</v>
      </c>
      <c r="K4" s="15" t="n">
        <v>153433.92</v>
      </c>
      <c r="L4" s="15" t="n">
        <v>1894749.73</v>
      </c>
      <c r="M4" s="15" t="n">
        <v>4272830.7</v>
      </c>
      <c r="N4" s="15" t="n">
        <v>1819935.67</v>
      </c>
      <c r="O4" s="15" t="n">
        <v>742263.95</v>
      </c>
      <c r="P4" s="15" t="n">
        <v>554613.58</v>
      </c>
      <c r="Q4" s="15" t="n">
        <v>517302.04</v>
      </c>
      <c r="R4" s="15" t="n">
        <v>751275.37</v>
      </c>
      <c r="S4" s="15" t="n">
        <v>3226525.14</v>
      </c>
      <c r="T4" s="15" t="n">
        <v>2607310.91</v>
      </c>
      <c r="U4" s="15" t="n">
        <v>4186241.87</v>
      </c>
      <c r="V4" s="15" t="n">
        <v>1012825.32</v>
      </c>
      <c r="W4" s="15" t="n">
        <v>96121.08</v>
      </c>
      <c r="X4" s="15" t="n">
        <v>-237397.94</v>
      </c>
      <c r="Y4" s="15" t="n">
        <v>4357975.5</v>
      </c>
      <c r="Z4" s="15" t="n">
        <v>2388715.65</v>
      </c>
      <c r="AA4" s="15" t="n">
        <v>3865815.52</v>
      </c>
      <c r="AB4" s="15" t="n">
        <v>1967763.38</v>
      </c>
      <c r="AC4" s="15" t="n">
        <v>62623.04</v>
      </c>
      <c r="AD4" s="15" t="n">
        <v>1510741.9</v>
      </c>
      <c r="AE4" s="15" t="n">
        <v>3320913.6</v>
      </c>
      <c r="AF4" s="15" t="n">
        <v>390912.06</v>
      </c>
      <c r="AG4" s="15" t="n">
        <v>1483837.38</v>
      </c>
      <c r="AH4" s="15" t="n">
        <v>178213.64</v>
      </c>
      <c r="AI4" s="15" t="n">
        <v>177697.81</v>
      </c>
      <c r="AJ4" s="15" t="n">
        <v>425304.63</v>
      </c>
      <c r="AK4" s="15" t="n">
        <v>4675173.68</v>
      </c>
      <c r="AL4" s="15" t="n">
        <v>5467026.68</v>
      </c>
      <c r="AM4" s="15" t="n">
        <v>1079032.64</v>
      </c>
      <c r="AN4" s="15" t="n">
        <v>1267443.39</v>
      </c>
      <c r="AO4" s="15" t="n">
        <v>576505.42</v>
      </c>
      <c r="AP4" s="15" t="n">
        <v>-283391.37</v>
      </c>
      <c r="AQ4" s="15" t="n">
        <v>2954124.33</v>
      </c>
      <c r="AR4" s="15" t="n">
        <v>5826008.47</v>
      </c>
      <c r="AS4" s="15" t="n">
        <v>3176570.71</v>
      </c>
      <c r="AT4" s="15" t="n">
        <v>604718.13</v>
      </c>
      <c r="AU4" s="15" t="n">
        <v>529909.5600000001</v>
      </c>
      <c r="AV4" s="15" t="n">
        <v>-165015.25</v>
      </c>
      <c r="AW4" s="15" t="n">
        <v>3516516.82</v>
      </c>
      <c r="AX4" s="15" t="n">
        <v>4120905.64</v>
      </c>
      <c r="AY4" s="15" t="n">
        <v>1332774.84</v>
      </c>
      <c r="AZ4" s="15" t="n">
        <v>1234692.68</v>
      </c>
      <c r="BA4" s="15" t="n">
        <v>743277.58</v>
      </c>
      <c r="BB4" s="15" t="n">
        <v>294882.48</v>
      </c>
      <c r="BC4" s="15" t="n">
        <v>5582967.74</v>
      </c>
      <c r="BD4" s="15" t="n">
        <v>392585.57</v>
      </c>
      <c r="BE4" s="15" t="n">
        <v>2942210.23</v>
      </c>
      <c r="BF4" s="15" t="n">
        <v>314799.6</v>
      </c>
      <c r="BG4" s="15" t="n">
        <v>354880.25</v>
      </c>
      <c r="BH4" s="15" t="n">
        <v>1812558.6</v>
      </c>
      <c r="BI4" s="15" t="n">
        <v>4510542.54</v>
      </c>
      <c r="BJ4" s="15" t="n">
        <v>3390145.57</v>
      </c>
      <c r="BK4" s="15" t="n">
        <v>580917.37</v>
      </c>
      <c r="BL4" s="15" t="n">
        <v>576290.41</v>
      </c>
      <c r="BM4" s="15" t="n">
        <v>532266.3</v>
      </c>
      <c r="BN4" s="15" t="n">
        <v>1928251.02</v>
      </c>
      <c r="BO4" s="15" t="n">
        <v>1117347.88</v>
      </c>
      <c r="BP4" s="15" t="n">
        <v>6754141.59</v>
      </c>
      <c r="BQ4" s="15" t="n">
        <v>3770913.36</v>
      </c>
      <c r="BR4" s="15" t="n">
        <v>695205.0699999999</v>
      </c>
      <c r="BS4" s="15" t="n">
        <v>170944.58</v>
      </c>
      <c r="BT4" s="15" t="n">
        <v>2023462.1</v>
      </c>
      <c r="BU4" s="15" t="n">
        <v>4940168.25</v>
      </c>
      <c r="BV4" s="15" t="n">
        <v>5624647.87</v>
      </c>
      <c r="BW4" s="15" t="n">
        <v>498077.44</v>
      </c>
      <c r="BX4" s="15" t="n">
        <v>1936573.1</v>
      </c>
      <c r="BY4" s="15" t="n">
        <v>637434.64</v>
      </c>
      <c r="BZ4" s="15" t="n">
        <v>653985.65</v>
      </c>
      <c r="CA4" s="15" t="n">
        <v>3231614.36</v>
      </c>
      <c r="CB4" s="15" t="n">
        <v>3486998.07</v>
      </c>
      <c r="CC4" s="15" t="n">
        <v>2758623.85</v>
      </c>
      <c r="CD4" s="15" t="n">
        <v>1143677.95</v>
      </c>
      <c r="CE4" s="15" t="n">
        <v>275635.39</v>
      </c>
      <c r="CF4" s="15" t="n">
        <v>-59295.94</v>
      </c>
      <c r="CG4" s="15" t="n">
        <v>5716817.69</v>
      </c>
      <c r="CH4" s="15" t="n">
        <v>1890146.88</v>
      </c>
      <c r="CI4" s="15" t="n">
        <v>3130351.88</v>
      </c>
      <c r="CJ4" s="15" t="n">
        <v>1701529.16</v>
      </c>
      <c r="CK4" s="15" t="n">
        <v>37437.06</v>
      </c>
      <c r="CL4" s="15" t="n">
        <v>1488684.5</v>
      </c>
      <c r="CM4" s="15" t="n">
        <v>5888466.54</v>
      </c>
      <c r="CN4" s="15" t="n">
        <v>5189389.67</v>
      </c>
      <c r="CO4" s="15" t="n">
        <v>3270090.09</v>
      </c>
      <c r="CP4" s="15" t="n">
        <v>2680665.49</v>
      </c>
      <c r="CQ4" s="15" t="n">
        <v>448401.52</v>
      </c>
      <c r="CR4" s="15" t="n">
        <v>1674852.46</v>
      </c>
      <c r="CS4" s="15" t="n">
        <v>3686664.61</v>
      </c>
      <c r="CT4" s="15" t="n">
        <v>4179242.27</v>
      </c>
      <c r="CU4" s="15" t="n">
        <v>1180807.87</v>
      </c>
      <c r="CV4" s="15" t="n">
        <v>1961866.3</v>
      </c>
      <c r="CW4" s="15" t="n">
        <v>373772.68</v>
      </c>
      <c r="CX4" s="15" t="n">
        <v>240300</v>
      </c>
      <c r="CY4" s="15" t="n">
        <v>5349463.21</v>
      </c>
      <c r="CZ4" s="15" t="n">
        <v>2263289.71</v>
      </c>
      <c r="DA4" s="15" t="n">
        <v>2293093.34</v>
      </c>
      <c r="DB4" s="15" t="n">
        <v>1571822.57</v>
      </c>
      <c r="DC4" s="15" t="n">
        <v>539339.99</v>
      </c>
      <c r="DD4" s="15" t="n">
        <v>357135</v>
      </c>
      <c r="DE4" s="15" t="n">
        <v>1883867.68</v>
      </c>
      <c r="DF4" s="15" t="n">
        <v>2984947.11</v>
      </c>
      <c r="DG4" s="15" t="n">
        <v>3195554.45</v>
      </c>
      <c r="DH4" s="15" t="n">
        <v>2410257.08</v>
      </c>
      <c r="DI4" s="15" t="n">
        <v>232571.23</v>
      </c>
      <c r="DJ4" s="15" t="n">
        <v>2231553.91</v>
      </c>
      <c r="DK4" s="15" t="n">
        <v>2207066.36</v>
      </c>
      <c r="DL4" s="15" t="n">
        <v>1246929.13</v>
      </c>
      <c r="DM4" s="15" t="n">
        <v>3353624.07</v>
      </c>
      <c r="DN4" s="15" t="n">
        <v>1725673.62</v>
      </c>
      <c r="DO4" s="15" t="n">
        <v>699575.85</v>
      </c>
      <c r="DP4" s="15" t="n">
        <v>639951.24</v>
      </c>
    </row>
    <row r="5">
      <c r="A5" s="4" t="inlineStr">
        <is>
          <t>酱料</t>
        </is>
      </c>
      <c r="B5" s="15" t="n">
        <v>307688.79</v>
      </c>
      <c r="C5" s="15" t="n">
        <v>2283811.74</v>
      </c>
      <c r="D5" s="15" t="n">
        <v>2823276.03</v>
      </c>
      <c r="E5" s="15" t="n">
        <v>295915.21</v>
      </c>
      <c r="F5" s="15" t="n">
        <v>640111.54</v>
      </c>
      <c r="G5" s="15" t="n">
        <v>3510109.93</v>
      </c>
      <c r="H5" s="15" t="n">
        <v>3030888.34</v>
      </c>
      <c r="I5" s="15" t="n">
        <v>3923826.77</v>
      </c>
      <c r="J5" s="15" t="n">
        <v>1422852.35</v>
      </c>
      <c r="K5" s="15" t="n">
        <v>662341.12</v>
      </c>
      <c r="L5" s="15" t="n">
        <v>516861.69</v>
      </c>
      <c r="M5" s="15" t="n">
        <v>985564.87</v>
      </c>
      <c r="N5" s="15" t="n">
        <v>7072171.21</v>
      </c>
      <c r="O5" s="15" t="n">
        <v>893889.2</v>
      </c>
      <c r="P5" s="15" t="n">
        <v>358658.56</v>
      </c>
      <c r="Q5" s="15" t="n">
        <v>501303.96</v>
      </c>
      <c r="R5" s="15" t="n">
        <v>108293.72</v>
      </c>
      <c r="S5" s="15" t="n">
        <v>273287.77</v>
      </c>
      <c r="T5" s="15" t="n">
        <v>1095727.51</v>
      </c>
      <c r="U5" s="15" t="n">
        <v>4201540.06</v>
      </c>
      <c r="V5" s="15" t="n">
        <v>1905792.47</v>
      </c>
      <c r="W5" s="15" t="n">
        <v>296523.37</v>
      </c>
      <c r="X5" s="15" t="n">
        <v>1586023</v>
      </c>
      <c r="Y5" s="15" t="n">
        <v>5761606.04</v>
      </c>
      <c r="Z5" s="15" t="n">
        <v>1041415.75</v>
      </c>
      <c r="AA5" s="15" t="n">
        <v>2013245.11</v>
      </c>
      <c r="AB5" s="15" t="n">
        <v>2586400.69</v>
      </c>
      <c r="AC5" s="15" t="n">
        <v>29676.02</v>
      </c>
      <c r="AD5" s="15" t="n">
        <v>-272.69</v>
      </c>
      <c r="AE5" s="15" t="n">
        <v>5940372.83</v>
      </c>
      <c r="AF5" s="15" t="n">
        <v>6663211</v>
      </c>
      <c r="AG5" s="15" t="n">
        <v>3564848.24</v>
      </c>
      <c r="AH5" s="15" t="n">
        <v>1324935.74</v>
      </c>
      <c r="AI5" s="15" t="n">
        <v>17372.41</v>
      </c>
      <c r="AJ5" s="15" t="n">
        <v>1355850.32</v>
      </c>
      <c r="AK5" s="15" t="n">
        <v>3586655.54</v>
      </c>
      <c r="AL5" s="15" t="n">
        <v>6355729.52</v>
      </c>
      <c r="AM5" s="15" t="n">
        <v>105382.82</v>
      </c>
      <c r="AN5" s="15" t="n">
        <v>1680569.04</v>
      </c>
      <c r="AO5" s="15" t="n">
        <v>495455.17</v>
      </c>
      <c r="AP5" s="15" t="n">
        <v>-175155.48</v>
      </c>
      <c r="AQ5" s="15" t="n">
        <v>5249460.98</v>
      </c>
      <c r="AR5" s="15" t="n">
        <v>7460778.04</v>
      </c>
      <c r="AS5" s="15" t="n">
        <v>2293210.17</v>
      </c>
      <c r="AT5" s="15" t="n">
        <v>1236462.52</v>
      </c>
      <c r="AU5" s="15" t="n">
        <v>138545</v>
      </c>
      <c r="AV5" s="15" t="n">
        <v>-238485.82</v>
      </c>
      <c r="AW5" s="15" t="n">
        <v>5582912.25</v>
      </c>
      <c r="AX5" s="15" t="n">
        <v>6046657.5</v>
      </c>
      <c r="AY5" s="15" t="n">
        <v>3031374.85</v>
      </c>
      <c r="AZ5" s="15" t="n">
        <v>1585931.94</v>
      </c>
      <c r="BA5" s="15" t="n">
        <v>356730.26</v>
      </c>
      <c r="BB5" s="15" t="n">
        <v>951916.12</v>
      </c>
      <c r="BC5" s="15" t="n">
        <v>3035091.97</v>
      </c>
      <c r="BD5" s="15" t="n">
        <v>515680.85</v>
      </c>
      <c r="BE5" s="15" t="n">
        <v>1313908.27</v>
      </c>
      <c r="BF5" s="15" t="n">
        <v>1778348.65</v>
      </c>
      <c r="BG5" s="15" t="n">
        <v>113586.77</v>
      </c>
      <c r="BH5" s="15" t="n">
        <v>683527.8</v>
      </c>
      <c r="BI5" s="15" t="n">
        <v>881119.96</v>
      </c>
      <c r="BJ5" s="15" t="n">
        <v>7197532.91</v>
      </c>
      <c r="BK5" s="15" t="n">
        <v>553849.1899999999</v>
      </c>
      <c r="BL5" s="15" t="n">
        <v>1027479.11</v>
      </c>
      <c r="BM5" s="15" t="n">
        <v>490897.47</v>
      </c>
      <c r="BN5" s="15" t="n">
        <v>1670916.18</v>
      </c>
      <c r="BO5" s="15" t="n">
        <v>3647400.21</v>
      </c>
      <c r="BP5" s="15" t="n">
        <v>3099056.78</v>
      </c>
      <c r="BQ5" s="15" t="n">
        <v>2004002.27</v>
      </c>
      <c r="BR5" s="15" t="n">
        <v>2893497.22</v>
      </c>
      <c r="BS5" s="15" t="n">
        <v>345454.63</v>
      </c>
      <c r="BT5" s="15" t="n">
        <v>1321136.77</v>
      </c>
      <c r="BU5" s="15" t="n">
        <v>5775119.86</v>
      </c>
      <c r="BV5" s="15" t="n">
        <v>2810824.79</v>
      </c>
      <c r="BW5" s="15" t="n">
        <v>3156555.42</v>
      </c>
      <c r="BX5" s="15" t="n">
        <v>1701904.31</v>
      </c>
      <c r="BY5" s="15" t="n">
        <v>97370.39999999999</v>
      </c>
      <c r="BZ5" s="15" t="n">
        <v>1211747.7</v>
      </c>
      <c r="CA5" s="15" t="n">
        <v>1103363.07</v>
      </c>
      <c r="CB5" s="15" t="n">
        <v>421353.45</v>
      </c>
      <c r="CC5" s="15" t="n">
        <v>3906064.27</v>
      </c>
      <c r="CD5" s="15" t="n">
        <v>2707688.92</v>
      </c>
      <c r="CE5" s="15" t="n">
        <v>103292.94</v>
      </c>
      <c r="CF5" s="15" t="n">
        <v>221863.32</v>
      </c>
      <c r="CG5" s="15" t="n">
        <v>2479457.06</v>
      </c>
      <c r="CH5" s="15" t="n">
        <v>6437798.64</v>
      </c>
      <c r="CI5" s="15" t="n">
        <v>3306358.16</v>
      </c>
      <c r="CJ5" s="15" t="n">
        <v>1719733.05</v>
      </c>
      <c r="CK5" s="15" t="n">
        <v>557817.61</v>
      </c>
      <c r="CL5" s="15" t="n">
        <v>871887.36</v>
      </c>
      <c r="CM5" s="15" t="n">
        <v>1779977.45</v>
      </c>
      <c r="CN5" s="15" t="n">
        <v>4050254.19</v>
      </c>
      <c r="CO5" s="15" t="n">
        <v>3045666.06</v>
      </c>
      <c r="CP5" s="15" t="n">
        <v>548882.88</v>
      </c>
      <c r="CQ5" s="15" t="n">
        <v>47989.58</v>
      </c>
      <c r="CR5" s="15" t="n">
        <v>964772.21</v>
      </c>
      <c r="CS5" s="15" t="n">
        <v>742343.02</v>
      </c>
      <c r="CT5" s="15" t="n">
        <v>3582270.59</v>
      </c>
      <c r="CU5" s="15" t="n">
        <v>1261665.69</v>
      </c>
      <c r="CV5" s="15" t="n">
        <v>2437106.56</v>
      </c>
      <c r="CW5" s="15" t="n">
        <v>400831.79</v>
      </c>
      <c r="CX5" s="15" t="n">
        <v>1329353.55</v>
      </c>
      <c r="CY5" s="15" t="n">
        <v>1232123.94</v>
      </c>
      <c r="CZ5" s="15" t="n">
        <v>4128848.19</v>
      </c>
      <c r="DA5" s="15" t="n">
        <v>2519895.58</v>
      </c>
      <c r="DB5" s="15" t="n">
        <v>2200543.92</v>
      </c>
      <c r="DC5" s="15" t="n">
        <v>375197.32</v>
      </c>
      <c r="DD5" s="15" t="n">
        <v>966425.71</v>
      </c>
      <c r="DE5" s="15" t="n">
        <v>3116401.09</v>
      </c>
      <c r="DF5" s="15" t="n">
        <v>7087461.53</v>
      </c>
      <c r="DG5" s="15" t="n">
        <v>1334294.59</v>
      </c>
      <c r="DH5" s="15" t="n">
        <v>1369846.69</v>
      </c>
      <c r="DI5" s="15" t="n">
        <v>190487.18</v>
      </c>
      <c r="DJ5" s="15" t="n">
        <v>1901456.82</v>
      </c>
      <c r="DK5" s="15" t="n">
        <v>3731606.24</v>
      </c>
      <c r="DL5" s="15" t="n">
        <v>4728692.96</v>
      </c>
      <c r="DM5" s="15" t="n">
        <v>3080395</v>
      </c>
      <c r="DN5" s="15" t="n">
        <v>1019284.37</v>
      </c>
      <c r="DO5" s="15" t="n">
        <v>419298.59</v>
      </c>
      <c r="DP5" s="15" t="n">
        <v>251208.39</v>
      </c>
    </row>
    <row r="6">
      <c r="A6" s="4" t="inlineStr">
        <is>
          <t>川味底料</t>
        </is>
      </c>
      <c r="B6" s="15" t="n">
        <v>1878694.8</v>
      </c>
      <c r="C6" s="15" t="n">
        <v>1795032.07</v>
      </c>
      <c r="D6" s="15" t="n">
        <v>1748705.99</v>
      </c>
      <c r="E6" s="15" t="n">
        <v>360211.7</v>
      </c>
      <c r="F6" s="15" t="n">
        <v>16699.14</v>
      </c>
      <c r="G6" s="15" t="n">
        <v>2181927.49</v>
      </c>
      <c r="H6" s="15" t="n">
        <v>5831706.36</v>
      </c>
      <c r="I6" s="15" t="n">
        <v>3804778.48</v>
      </c>
      <c r="J6" s="15" t="n">
        <v>1846553.12</v>
      </c>
      <c r="K6" s="15" t="n">
        <v>60262.77</v>
      </c>
      <c r="L6" s="15" t="n">
        <v>668913.67</v>
      </c>
      <c r="M6" s="15" t="n">
        <v>1614535.48</v>
      </c>
      <c r="N6" s="15" t="n">
        <v>4857028.42</v>
      </c>
      <c r="O6" s="15" t="n">
        <v>632821.22</v>
      </c>
      <c r="P6" s="15" t="n">
        <v>1163125.2</v>
      </c>
      <c r="Q6" s="15" t="n">
        <v>375813.34</v>
      </c>
      <c r="R6" s="15" t="n">
        <v>1172193.21</v>
      </c>
      <c r="S6" s="15" t="n">
        <v>3463352.07</v>
      </c>
      <c r="T6" s="15" t="n">
        <v>7221908.33</v>
      </c>
      <c r="U6" s="15" t="n">
        <v>2626614.42</v>
      </c>
      <c r="V6" s="15" t="n">
        <v>656132.04</v>
      </c>
      <c r="W6" s="15" t="n">
        <v>190646.99</v>
      </c>
      <c r="X6" s="15" t="n">
        <v>-204192.13</v>
      </c>
      <c r="Y6" s="15" t="n">
        <v>3807427.99</v>
      </c>
      <c r="Z6" s="15" t="n">
        <v>1953070.28</v>
      </c>
      <c r="AA6" s="15" t="n">
        <v>2538048.55</v>
      </c>
      <c r="AB6" s="15" t="n">
        <v>1683729.8</v>
      </c>
      <c r="AC6" s="15" t="n">
        <v>44110.08</v>
      </c>
      <c r="AD6" s="15" t="n">
        <v>1335554.97</v>
      </c>
      <c r="AE6" s="15" t="n">
        <v>3238572</v>
      </c>
      <c r="AF6" s="15" t="n">
        <v>3939657</v>
      </c>
      <c r="AG6" s="15" t="n">
        <v>3344772.75</v>
      </c>
      <c r="AH6" s="15" t="n">
        <v>2355294.1</v>
      </c>
      <c r="AI6" s="15" t="n">
        <v>289824.62</v>
      </c>
      <c r="AJ6" s="15" t="n">
        <v>300325.42</v>
      </c>
      <c r="AK6" s="15" t="n">
        <v>5077443.63</v>
      </c>
      <c r="AL6" s="15" t="n">
        <v>1457829.75</v>
      </c>
      <c r="AM6" s="15" t="n">
        <v>3130897.59</v>
      </c>
      <c r="AN6" s="15" t="n">
        <v>188191.96</v>
      </c>
      <c r="AO6" s="15" t="n">
        <v>454693.84</v>
      </c>
      <c r="AP6" s="15" t="n">
        <v>405752.79</v>
      </c>
      <c r="AQ6" s="15" t="n">
        <v>3347300.25</v>
      </c>
      <c r="AR6" s="15" t="n">
        <v>3758553.73</v>
      </c>
      <c r="AS6" s="15" t="n">
        <v>2207040.29</v>
      </c>
      <c r="AT6" s="15" t="n">
        <v>397953.56</v>
      </c>
      <c r="AU6" s="15" t="n">
        <v>151927.97</v>
      </c>
      <c r="AV6" s="15" t="n">
        <v>101991.17</v>
      </c>
      <c r="AW6" s="15" t="n">
        <v>3594434.89</v>
      </c>
      <c r="AX6" s="15" t="n">
        <v>5033731.99</v>
      </c>
      <c r="AY6" s="15" t="n">
        <v>958628.28</v>
      </c>
      <c r="AZ6" s="15" t="n">
        <v>2245645.52</v>
      </c>
      <c r="BA6" s="15" t="n">
        <v>104832.07</v>
      </c>
      <c r="BB6" s="15" t="n">
        <v>288433.59</v>
      </c>
      <c r="BC6" s="15" t="n">
        <v>5844500.46</v>
      </c>
      <c r="BD6" s="15" t="n">
        <v>6034730.14</v>
      </c>
      <c r="BE6" s="15" t="n">
        <v>696131.99</v>
      </c>
      <c r="BF6" s="15" t="n">
        <v>686454.0699999999</v>
      </c>
      <c r="BG6" s="15" t="n">
        <v>338764.7</v>
      </c>
      <c r="BH6" s="15" t="n">
        <v>873229.61</v>
      </c>
      <c r="BI6" s="15" t="n">
        <v>2657228.57</v>
      </c>
      <c r="BJ6" s="15" t="n">
        <v>6806641.05</v>
      </c>
      <c r="BK6" s="15" t="n">
        <v>125610.25</v>
      </c>
      <c r="BL6" s="15" t="n">
        <v>755556.39</v>
      </c>
      <c r="BM6" s="15" t="n">
        <v>493501.64</v>
      </c>
      <c r="BN6" s="15" t="n">
        <v>1448433.23</v>
      </c>
      <c r="BO6" s="15" t="n">
        <v>4889362.92</v>
      </c>
      <c r="BP6" s="15" t="n">
        <v>3379421.54</v>
      </c>
      <c r="BQ6" s="15" t="n">
        <v>3778955.22</v>
      </c>
      <c r="BR6" s="15" t="n">
        <v>1943185.58</v>
      </c>
      <c r="BS6" s="15" t="n">
        <v>55778.48</v>
      </c>
      <c r="BT6" s="15" t="n">
        <v>530424.77</v>
      </c>
      <c r="BU6" s="15" t="n">
        <v>2956250.49</v>
      </c>
      <c r="BV6" s="15" t="n">
        <v>5002225.51</v>
      </c>
      <c r="BW6" s="15" t="n">
        <v>3286238.09</v>
      </c>
      <c r="BX6" s="15" t="n">
        <v>2349494.86</v>
      </c>
      <c r="BY6" s="15" t="n">
        <v>428469.78</v>
      </c>
      <c r="BZ6" s="15" t="n">
        <v>869634.36</v>
      </c>
      <c r="CA6" s="15" t="n">
        <v>1318579.22</v>
      </c>
      <c r="CB6" s="15" t="n">
        <v>6872518.05</v>
      </c>
      <c r="CC6" s="15" t="n">
        <v>3041689.42</v>
      </c>
      <c r="CD6" s="15" t="n">
        <v>658698.24</v>
      </c>
      <c r="CE6" s="15" t="n">
        <v>485943.2</v>
      </c>
      <c r="CF6" s="15" t="n">
        <v>226309.4</v>
      </c>
      <c r="CG6" s="15" t="n">
        <v>1576094.26</v>
      </c>
      <c r="CH6" s="15" t="n">
        <v>6948694.49</v>
      </c>
      <c r="CI6" s="15" t="n">
        <v>427327.14</v>
      </c>
      <c r="CJ6" s="15" t="n">
        <v>2079104.41</v>
      </c>
      <c r="CK6" s="15" t="n">
        <v>378790.97</v>
      </c>
      <c r="CL6" s="15" t="n">
        <v>-219273.13</v>
      </c>
      <c r="CM6" s="15" t="n">
        <v>3575149.69</v>
      </c>
      <c r="CN6" s="15" t="n">
        <v>6764497.11</v>
      </c>
      <c r="CO6" s="15" t="n">
        <v>2116074.22</v>
      </c>
      <c r="CP6" s="15" t="n">
        <v>178986.58</v>
      </c>
      <c r="CQ6" s="15" t="n">
        <v>214680.32</v>
      </c>
      <c r="CR6" s="15" t="n">
        <v>-211669.43</v>
      </c>
      <c r="CS6" s="15" t="n">
        <v>4748839.9</v>
      </c>
      <c r="CT6" s="15" t="n">
        <v>2946932.99</v>
      </c>
      <c r="CU6" s="15" t="n">
        <v>3185068.03</v>
      </c>
      <c r="CV6" s="15" t="n">
        <v>1138284.8</v>
      </c>
      <c r="CW6" s="15" t="n">
        <v>488084.27</v>
      </c>
      <c r="CX6" s="15" t="n">
        <v>2229118.87</v>
      </c>
      <c r="CY6" s="15" t="n">
        <v>1216345.43</v>
      </c>
      <c r="CZ6" s="15" t="n">
        <v>4646813.2</v>
      </c>
      <c r="DA6" s="15" t="n">
        <v>959119</v>
      </c>
      <c r="DB6" s="15" t="n">
        <v>1742555.18</v>
      </c>
      <c r="DC6" s="15" t="n">
        <v>314098.44</v>
      </c>
      <c r="DD6" s="15" t="n">
        <v>662796.9300000001</v>
      </c>
      <c r="DE6" s="15" t="n">
        <v>4981487.81</v>
      </c>
      <c r="DF6" s="15" t="n">
        <v>3535497.32</v>
      </c>
      <c r="DG6" s="15" t="n">
        <v>111008.57</v>
      </c>
      <c r="DH6" s="15" t="n">
        <v>1576936.98</v>
      </c>
      <c r="DI6" s="15" t="n">
        <v>246836.17</v>
      </c>
      <c r="DJ6" s="15" t="n">
        <v>-257739.59</v>
      </c>
      <c r="DK6" s="15" t="n">
        <v>3487064.71</v>
      </c>
      <c r="DL6" s="15" t="n">
        <v>2151229.37</v>
      </c>
      <c r="DM6" s="15" t="n">
        <v>3503387.3</v>
      </c>
      <c r="DN6" s="15" t="n">
        <v>1750252.87</v>
      </c>
      <c r="DO6" s="15" t="n">
        <v>688164.16</v>
      </c>
      <c r="DP6" s="15" t="n">
        <v>378357.28</v>
      </c>
    </row>
    <row r="7">
      <c r="A7" s="4" t="inlineStr">
        <is>
          <t>调味汁</t>
        </is>
      </c>
      <c r="B7" s="15" t="n">
        <v>930240.1899999999</v>
      </c>
      <c r="C7" s="15" t="n">
        <v>3555595.78</v>
      </c>
      <c r="D7" s="15" t="n">
        <v>230352.9</v>
      </c>
      <c r="E7" s="15" t="n">
        <v>235383.84</v>
      </c>
      <c r="F7" s="15" t="n">
        <v>1888174.02</v>
      </c>
      <c r="G7" s="15" t="n">
        <v>4703588.26</v>
      </c>
      <c r="H7" s="15" t="n">
        <v>4508583.78</v>
      </c>
      <c r="I7" s="15" t="n">
        <v>1238551.65</v>
      </c>
      <c r="J7" s="15" t="n">
        <v>603065.63</v>
      </c>
      <c r="K7" s="15" t="n">
        <v>219627.75</v>
      </c>
      <c r="L7" s="15" t="n">
        <v>1190567.57</v>
      </c>
      <c r="M7" s="15" t="n">
        <v>794624.71</v>
      </c>
      <c r="N7" s="15" t="n">
        <v>7189271.98</v>
      </c>
      <c r="O7" s="15" t="n">
        <v>561006.61</v>
      </c>
      <c r="P7" s="15" t="n">
        <v>1587977.33</v>
      </c>
      <c r="Q7" s="15" t="n">
        <v>67187.64999999999</v>
      </c>
      <c r="R7" s="15" t="n">
        <v>1091528.65</v>
      </c>
      <c r="S7" s="15" t="n">
        <v>3885402.72</v>
      </c>
      <c r="T7" s="15" t="n">
        <v>3205093.16</v>
      </c>
      <c r="U7" s="15" t="n">
        <v>4030998.35</v>
      </c>
      <c r="V7" s="15" t="n">
        <v>1878681.72</v>
      </c>
      <c r="W7" s="15" t="n">
        <v>98513.88</v>
      </c>
      <c r="X7" s="15" t="n">
        <v>2146432.29</v>
      </c>
      <c r="Y7" s="15" t="n">
        <v>4604445.68</v>
      </c>
      <c r="Z7" s="15" t="n">
        <v>6490548.89</v>
      </c>
      <c r="AA7" s="15" t="n">
        <v>2675246.32</v>
      </c>
      <c r="AB7" s="15" t="n">
        <v>1128041.45</v>
      </c>
      <c r="AC7" s="15" t="n">
        <v>728781</v>
      </c>
      <c r="AD7" s="15" t="n">
        <v>518446.77</v>
      </c>
      <c r="AE7" s="15" t="n">
        <v>3228575.92</v>
      </c>
      <c r="AF7" s="15" t="n">
        <v>6004823.28</v>
      </c>
      <c r="AG7" s="15" t="n">
        <v>4004928.76</v>
      </c>
      <c r="AH7" s="15" t="n">
        <v>260364.78</v>
      </c>
      <c r="AI7" s="15" t="n">
        <v>80527.10000000001</v>
      </c>
      <c r="AJ7" s="15" t="n">
        <v>1527430.9</v>
      </c>
      <c r="AK7" s="15" t="n">
        <v>340992.29</v>
      </c>
      <c r="AL7" s="15" t="n">
        <v>1536593.38</v>
      </c>
      <c r="AM7" s="15" t="n">
        <v>2110025.05</v>
      </c>
      <c r="AN7" s="15" t="n">
        <v>1204996.15</v>
      </c>
      <c r="AO7" s="15" t="n">
        <v>487623.88</v>
      </c>
      <c r="AP7" s="15" t="n">
        <v>1920156.15</v>
      </c>
      <c r="AQ7" s="15" t="n">
        <v>5042242.6</v>
      </c>
      <c r="AR7" s="15" t="n">
        <v>2254248.78</v>
      </c>
      <c r="AS7" s="15" t="n">
        <v>4204623.2</v>
      </c>
      <c r="AT7" s="15" t="n">
        <v>2070734.89</v>
      </c>
      <c r="AU7" s="15" t="n">
        <v>297495.98</v>
      </c>
      <c r="AV7" s="15" t="n">
        <v>469814.24</v>
      </c>
      <c r="AW7" s="15" t="n">
        <v>5651947.93</v>
      </c>
      <c r="AX7" s="15" t="n">
        <v>6828147.39</v>
      </c>
      <c r="AY7" s="15" t="n">
        <v>1341700.64</v>
      </c>
      <c r="AZ7" s="15" t="n">
        <v>2967753.89</v>
      </c>
      <c r="BA7" s="15" t="n">
        <v>17386.17</v>
      </c>
      <c r="BB7" s="15" t="n">
        <v>153565.21</v>
      </c>
      <c r="BC7" s="15" t="n">
        <v>845830.9</v>
      </c>
      <c r="BD7" s="15" t="n">
        <v>1844284.31</v>
      </c>
      <c r="BE7" s="15" t="n">
        <v>3216905.12</v>
      </c>
      <c r="BF7" s="15" t="n">
        <v>2385348.72</v>
      </c>
      <c r="BG7" s="15" t="n">
        <v>472892.89</v>
      </c>
      <c r="BH7" s="15" t="n">
        <v>1474204.71</v>
      </c>
      <c r="BI7" s="15" t="n">
        <v>967225.8199999999</v>
      </c>
      <c r="BJ7" s="15" t="n">
        <v>1987195.5</v>
      </c>
      <c r="BK7" s="15" t="n">
        <v>1344604.37</v>
      </c>
      <c r="BL7" s="15" t="n">
        <v>1485868.54</v>
      </c>
      <c r="BM7" s="15" t="n">
        <v>647170.91</v>
      </c>
      <c r="BN7" s="15" t="n">
        <v>1614410.53</v>
      </c>
      <c r="BO7" s="15" t="n">
        <v>1567186.01</v>
      </c>
      <c r="BP7" s="15" t="n">
        <v>2319013.19</v>
      </c>
      <c r="BQ7" s="15" t="n">
        <v>1308019.23</v>
      </c>
      <c r="BR7" s="15" t="n">
        <v>1167583.93</v>
      </c>
      <c r="BS7" s="15" t="n">
        <v>60613.31</v>
      </c>
      <c r="BT7" s="15" t="n">
        <v>2126786.4</v>
      </c>
      <c r="BU7" s="15" t="n">
        <v>3790428.35</v>
      </c>
      <c r="BV7" s="15" t="n">
        <v>2652828.58</v>
      </c>
      <c r="BW7" s="15" t="n">
        <v>4174465.2</v>
      </c>
      <c r="BX7" s="15" t="n">
        <v>1432684.75</v>
      </c>
      <c r="BY7" s="15" t="n">
        <v>51446.71</v>
      </c>
      <c r="BZ7" s="15" t="n">
        <v>1388077.37</v>
      </c>
      <c r="CA7" s="15" t="n">
        <v>2572669.03</v>
      </c>
      <c r="CB7" s="15" t="n">
        <v>6001381.14</v>
      </c>
      <c r="CC7" s="15" t="n">
        <v>1191773.89</v>
      </c>
      <c r="CD7" s="15" t="n">
        <v>1724920.92</v>
      </c>
      <c r="CE7" s="15" t="n">
        <v>642126.26</v>
      </c>
      <c r="CF7" s="15" t="n">
        <v>-103671.05</v>
      </c>
      <c r="CG7" s="15" t="n">
        <v>2716001.67</v>
      </c>
      <c r="CH7" s="15" t="n">
        <v>7464812.98</v>
      </c>
      <c r="CI7" s="15" t="n">
        <v>1666444.37</v>
      </c>
      <c r="CJ7" s="15" t="n">
        <v>1191813.24</v>
      </c>
      <c r="CK7" s="15" t="n">
        <v>262913.31</v>
      </c>
      <c r="CL7" s="15" t="n">
        <v>-109875.51</v>
      </c>
      <c r="CM7" s="15" t="n">
        <v>3838552.33</v>
      </c>
      <c r="CN7" s="15" t="n">
        <v>5575323.82</v>
      </c>
      <c r="CO7" s="15" t="n">
        <v>3354338.22</v>
      </c>
      <c r="CP7" s="15" t="n">
        <v>31351.55</v>
      </c>
      <c r="CQ7" s="15" t="n">
        <v>140285.88</v>
      </c>
      <c r="CR7" s="15" t="n">
        <v>442216.22</v>
      </c>
      <c r="CS7" s="15" t="n">
        <v>747361.08</v>
      </c>
      <c r="CT7" s="15" t="n">
        <v>2633961.1</v>
      </c>
      <c r="CU7" s="15" t="n">
        <v>387123.81</v>
      </c>
      <c r="CV7" s="15" t="n">
        <v>1558348.15</v>
      </c>
      <c r="CW7" s="15" t="n">
        <v>680502.85</v>
      </c>
      <c r="CX7" s="15" t="n">
        <v>560459.14</v>
      </c>
      <c r="CY7" s="15" t="n">
        <v>1608185.93</v>
      </c>
      <c r="CZ7" s="15" t="n">
        <v>6250507.99</v>
      </c>
      <c r="DA7" s="15" t="n">
        <v>2421926.78</v>
      </c>
      <c r="DB7" s="15" t="n">
        <v>2864179.88</v>
      </c>
      <c r="DC7" s="15" t="n">
        <v>261795.41</v>
      </c>
      <c r="DD7" s="15" t="n">
        <v>10708.36</v>
      </c>
      <c r="DE7" s="15" t="n">
        <v>1403791.71</v>
      </c>
      <c r="DF7" s="15" t="n">
        <v>1598382.56</v>
      </c>
      <c r="DG7" s="15" t="n">
        <v>1819009.96</v>
      </c>
      <c r="DH7" s="15" t="n">
        <v>2200533.16</v>
      </c>
      <c r="DI7" s="15" t="n">
        <v>24064.78</v>
      </c>
      <c r="DJ7" s="15" t="n">
        <v>1020615.93</v>
      </c>
      <c r="DK7" s="15" t="n">
        <v>5885480.57</v>
      </c>
      <c r="DL7" s="15" t="n">
        <v>4540024.71</v>
      </c>
      <c r="DM7" s="15" t="n">
        <v>4151712.7</v>
      </c>
      <c r="DN7" s="15" t="n">
        <v>1006355.34</v>
      </c>
      <c r="DO7" s="15" t="n">
        <v>331854.44</v>
      </c>
      <c r="DP7" s="15" t="n">
        <v>1635495.55</v>
      </c>
    </row>
    <row r="8">
      <c r="A8" s="4" t="inlineStr">
        <is>
          <t>复合调味粉</t>
        </is>
      </c>
      <c r="B8" s="15" t="n">
        <v>2498284.34</v>
      </c>
      <c r="C8" s="15" t="n">
        <v>604086.1800000001</v>
      </c>
      <c r="D8" s="15" t="n">
        <v>1950987.13</v>
      </c>
      <c r="E8" s="15" t="n">
        <v>87694.37</v>
      </c>
      <c r="F8" s="15" t="n">
        <v>651686.34</v>
      </c>
      <c r="G8" s="15" t="n">
        <v>2903850.52</v>
      </c>
      <c r="H8" s="15" t="n">
        <v>1402700.27</v>
      </c>
      <c r="I8" s="15" t="n">
        <v>352591.22</v>
      </c>
      <c r="J8" s="15" t="n">
        <v>1007704.24</v>
      </c>
      <c r="K8" s="15" t="n">
        <v>557227.48</v>
      </c>
      <c r="L8" s="15" t="n">
        <v>475245.24</v>
      </c>
      <c r="M8" s="15" t="n">
        <v>1168295.01</v>
      </c>
      <c r="N8" s="15" t="n">
        <v>779486.01</v>
      </c>
      <c r="O8" s="15" t="n">
        <v>2669392.83</v>
      </c>
      <c r="P8" s="15" t="n">
        <v>374945.38</v>
      </c>
      <c r="Q8" s="15" t="n">
        <v>518896.68</v>
      </c>
      <c r="R8" s="15" t="n">
        <v>1358545.14</v>
      </c>
      <c r="S8" s="15" t="n">
        <v>1060990.44</v>
      </c>
      <c r="T8" s="15" t="n">
        <v>4434291.69</v>
      </c>
      <c r="U8" s="15" t="n">
        <v>2769534.85</v>
      </c>
      <c r="V8" s="15" t="n">
        <v>1526218.19</v>
      </c>
      <c r="W8" s="15" t="n">
        <v>228291.98</v>
      </c>
      <c r="X8" s="15" t="n">
        <v>424821.44</v>
      </c>
      <c r="Y8" s="15" t="n">
        <v>4536348.34</v>
      </c>
      <c r="Z8" s="15" t="n">
        <v>1740533.45</v>
      </c>
      <c r="AA8" s="15" t="n">
        <v>2353341.69</v>
      </c>
      <c r="AB8" s="15" t="n">
        <v>1104596.56</v>
      </c>
      <c r="AC8" s="15" t="n">
        <v>531905.1800000001</v>
      </c>
      <c r="AD8" s="15" t="n">
        <v>1998265.27</v>
      </c>
      <c r="AE8" s="15" t="n">
        <v>3536755.69</v>
      </c>
      <c r="AF8" s="15" t="n">
        <v>4416585.03</v>
      </c>
      <c r="AG8" s="15" t="n">
        <v>1344688.08</v>
      </c>
      <c r="AH8" s="15" t="n">
        <v>530173.0699999999</v>
      </c>
      <c r="AI8" s="15" t="n">
        <v>251263.86</v>
      </c>
      <c r="AJ8" s="15" t="n">
        <v>-285409.98</v>
      </c>
      <c r="AK8" s="15" t="n">
        <v>829752.98</v>
      </c>
      <c r="AL8" s="15" t="n">
        <v>1342831.1</v>
      </c>
      <c r="AM8" s="15" t="n">
        <v>3223756.53</v>
      </c>
      <c r="AN8" s="15" t="n">
        <v>350975.72</v>
      </c>
      <c r="AO8" s="15" t="n">
        <v>236948.52</v>
      </c>
      <c r="AP8" s="15" t="n">
        <v>-190455.88</v>
      </c>
      <c r="AQ8" s="15" t="n">
        <v>423649.82</v>
      </c>
      <c r="AR8" s="15" t="n">
        <v>6780959.13</v>
      </c>
      <c r="AS8" s="15" t="n">
        <v>2941515.34</v>
      </c>
      <c r="AT8" s="15" t="n">
        <v>2114467.44</v>
      </c>
      <c r="AU8" s="15" t="n">
        <v>335342.25</v>
      </c>
      <c r="AV8" s="15" t="n">
        <v>2198216.29</v>
      </c>
      <c r="AW8" s="15" t="n">
        <v>3139319.83</v>
      </c>
      <c r="AX8" s="15" t="n">
        <v>3976204</v>
      </c>
      <c r="AY8" s="15" t="n">
        <v>1868312.97</v>
      </c>
      <c r="AZ8" s="15" t="n">
        <v>1883996.71</v>
      </c>
      <c r="BA8" s="15" t="n">
        <v>414662.96</v>
      </c>
      <c r="BB8" s="15" t="n">
        <v>1462130.85</v>
      </c>
      <c r="BC8" s="15" t="n">
        <v>983628.14</v>
      </c>
      <c r="BD8" s="15" t="n">
        <v>1521640.6</v>
      </c>
      <c r="BE8" s="15" t="n">
        <v>3614868.53</v>
      </c>
      <c r="BF8" s="15" t="n">
        <v>400134.03</v>
      </c>
      <c r="BG8" s="15" t="n">
        <v>501624.62</v>
      </c>
      <c r="BH8" s="15" t="n">
        <v>865508.4399999999</v>
      </c>
      <c r="BI8" s="15" t="n">
        <v>4047985.62</v>
      </c>
      <c r="BJ8" s="15" t="n">
        <v>7128264.51</v>
      </c>
      <c r="BK8" s="15" t="n">
        <v>4286760.21</v>
      </c>
      <c r="BL8" s="15" t="n">
        <v>2742028.42</v>
      </c>
      <c r="BM8" s="15" t="n">
        <v>244445.83</v>
      </c>
      <c r="BN8" s="15" t="n">
        <v>396432.21</v>
      </c>
      <c r="BO8" s="15" t="n">
        <v>3878874.42</v>
      </c>
      <c r="BP8" s="15" t="n">
        <v>1059592.57</v>
      </c>
      <c r="BQ8" s="15" t="n">
        <v>4098066.25</v>
      </c>
      <c r="BR8" s="15" t="n">
        <v>960663.8199999999</v>
      </c>
      <c r="BS8" s="15" t="n">
        <v>599984.11</v>
      </c>
      <c r="BT8" s="15" t="n">
        <v>1534273.79</v>
      </c>
      <c r="BU8" s="15" t="n">
        <v>3411309.12</v>
      </c>
      <c r="BV8" s="15" t="n">
        <v>336957.65</v>
      </c>
      <c r="BW8" s="15" t="n">
        <v>509405.2</v>
      </c>
      <c r="BX8" s="15" t="n">
        <v>596343.65</v>
      </c>
      <c r="BY8" s="15" t="n">
        <v>395276.05</v>
      </c>
      <c r="BZ8" s="15" t="n">
        <v>1950805.88</v>
      </c>
      <c r="CA8" s="15" t="n">
        <v>1400242.42</v>
      </c>
      <c r="CB8" s="15" t="n">
        <v>2790883.84</v>
      </c>
      <c r="CC8" s="15" t="n">
        <v>3745102.1</v>
      </c>
      <c r="CD8" s="15" t="n">
        <v>1614852.12</v>
      </c>
      <c r="CE8" s="15" t="n">
        <v>140556.67</v>
      </c>
      <c r="CF8" s="15" t="n">
        <v>2159843.12</v>
      </c>
      <c r="CG8" s="15" t="n">
        <v>1824139.99</v>
      </c>
      <c r="CH8" s="15" t="n">
        <v>4142110.79</v>
      </c>
      <c r="CI8" s="15" t="n">
        <v>4209320.02</v>
      </c>
      <c r="CJ8" s="15" t="n">
        <v>2919352.49</v>
      </c>
      <c r="CK8" s="15" t="n">
        <v>549540.55</v>
      </c>
      <c r="CL8" s="15" t="n">
        <v>76256.24000000001</v>
      </c>
      <c r="CM8" s="15" t="n">
        <v>4391982.64</v>
      </c>
      <c r="CN8" s="15" t="n">
        <v>5550604.35</v>
      </c>
      <c r="CO8" s="15" t="n">
        <v>1200429.14</v>
      </c>
      <c r="CP8" s="15" t="n">
        <v>547241.45</v>
      </c>
      <c r="CQ8" s="15" t="n">
        <v>303903.26</v>
      </c>
      <c r="CR8" s="15" t="n">
        <v>1825758.6</v>
      </c>
      <c r="CS8" s="15" t="n">
        <v>3822823.59</v>
      </c>
      <c r="CT8" s="15" t="n">
        <v>7493179.57</v>
      </c>
      <c r="CU8" s="15" t="n">
        <v>787213.91</v>
      </c>
      <c r="CV8" s="15" t="n">
        <v>2985123.42</v>
      </c>
      <c r="CW8" s="15" t="n">
        <v>245154.02</v>
      </c>
      <c r="CX8" s="15" t="n">
        <v>2090099.05</v>
      </c>
      <c r="CY8" s="15" t="n">
        <v>5809047.68</v>
      </c>
      <c r="CZ8" s="15" t="n">
        <v>6626445.17</v>
      </c>
      <c r="DA8" s="15" t="n">
        <v>790863.61</v>
      </c>
      <c r="DB8" s="15" t="n">
        <v>1624582.14</v>
      </c>
      <c r="DC8" s="15" t="n">
        <v>339143.39</v>
      </c>
      <c r="DD8" s="15" t="n">
        <v>-199645.87</v>
      </c>
      <c r="DE8" s="15" t="n">
        <v>2755348.66</v>
      </c>
      <c r="DF8" s="15" t="n">
        <v>2978758.91</v>
      </c>
      <c r="DG8" s="15" t="n">
        <v>1461231.19</v>
      </c>
      <c r="DH8" s="15" t="n">
        <v>429808.19</v>
      </c>
      <c r="DI8" s="15" t="n">
        <v>690255.62</v>
      </c>
      <c r="DJ8" s="15" t="n">
        <v>204652.74</v>
      </c>
      <c r="DK8" s="15" t="n">
        <v>5957989.17</v>
      </c>
      <c r="DL8" s="15" t="n">
        <v>7012367.14</v>
      </c>
      <c r="DM8" s="15" t="n">
        <v>3003585.53</v>
      </c>
      <c r="DN8" s="15" t="n">
        <v>2261344.19</v>
      </c>
      <c r="DO8" s="15" t="n">
        <v>377717.57</v>
      </c>
      <c r="DP8" s="15" t="n">
        <v>1500501.98</v>
      </c>
    </row>
    <row r="9">
      <c r="A9" s="4" t="inlineStr">
        <is>
          <t>团餐</t>
        </is>
      </c>
      <c r="B9" s="15" t="n">
        <v>6763317.35</v>
      </c>
      <c r="C9" s="15" t="n">
        <v>3213727.75</v>
      </c>
      <c r="D9" s="15" t="n">
        <v>2732566.43</v>
      </c>
      <c r="E9" s="15" t="n">
        <v>237252.19</v>
      </c>
      <c r="F9" s="15" t="n">
        <v>2176919.79</v>
      </c>
      <c r="G9" s="15" t="n">
        <v>4240704.09</v>
      </c>
      <c r="H9" s="15" t="n">
        <v>6733322.82</v>
      </c>
      <c r="I9" s="15" t="n">
        <v>2291501.72</v>
      </c>
      <c r="J9" s="15" t="n">
        <v>2593876.47</v>
      </c>
      <c r="K9" s="15" t="n">
        <v>70153.49000000001</v>
      </c>
      <c r="L9" s="15" t="n">
        <v>844494.36</v>
      </c>
      <c r="M9" s="15" t="n">
        <v>2107682.88</v>
      </c>
      <c r="N9" s="15" t="n">
        <v>5982164.06</v>
      </c>
      <c r="O9" s="15" t="n">
        <v>3806914.47</v>
      </c>
      <c r="P9" s="15" t="n">
        <v>183724.33</v>
      </c>
      <c r="Q9" s="15" t="n">
        <v>192209.95</v>
      </c>
      <c r="R9" s="15" t="n">
        <v>257590.47</v>
      </c>
      <c r="S9" s="15" t="n">
        <v>330477.86</v>
      </c>
      <c r="T9" s="15" t="n">
        <v>5966625.63</v>
      </c>
      <c r="U9" s="15" t="n">
        <v>3858228.31</v>
      </c>
      <c r="V9" s="15" t="n">
        <v>85450.03</v>
      </c>
      <c r="W9" s="15" t="n">
        <v>509812.47</v>
      </c>
      <c r="X9" s="15" t="n">
        <v>1749935.66</v>
      </c>
      <c r="Y9" s="15" t="n">
        <v>3638278.25</v>
      </c>
      <c r="Z9" s="15" t="n">
        <v>6492636.62</v>
      </c>
      <c r="AA9" s="15" t="n">
        <v>4352393.33</v>
      </c>
      <c r="AB9" s="15" t="n">
        <v>459583.41</v>
      </c>
      <c r="AC9" s="15" t="n">
        <v>601734.92</v>
      </c>
      <c r="AD9" s="15" t="n">
        <v>1751033.65</v>
      </c>
      <c r="AE9" s="15" t="n">
        <v>928906.72</v>
      </c>
      <c r="AF9" s="15" t="n">
        <v>2182343.42</v>
      </c>
      <c r="AG9" s="15" t="n">
        <v>1996269.14</v>
      </c>
      <c r="AH9" s="15" t="n">
        <v>889338.86</v>
      </c>
      <c r="AI9" s="15" t="n">
        <v>62577.63</v>
      </c>
      <c r="AJ9" s="15" t="n">
        <v>1599600.56</v>
      </c>
      <c r="AK9" s="15" t="n">
        <v>4038587.61</v>
      </c>
      <c r="AL9" s="15" t="n">
        <v>4059094.05</v>
      </c>
      <c r="AM9" s="15" t="n">
        <v>3048721.39</v>
      </c>
      <c r="AN9" s="15" t="n">
        <v>1792777.6</v>
      </c>
      <c r="AO9" s="15" t="n">
        <v>371766.14</v>
      </c>
      <c r="AP9" s="15" t="n">
        <v>1852208.19</v>
      </c>
      <c r="AQ9" s="15" t="n">
        <v>4544439.75</v>
      </c>
      <c r="AR9" s="15" t="n">
        <v>7158243.3</v>
      </c>
      <c r="AS9" s="15" t="n">
        <v>3219236.64</v>
      </c>
      <c r="AT9" s="15" t="n">
        <v>724782.64</v>
      </c>
      <c r="AU9" s="15" t="n">
        <v>419917.34</v>
      </c>
      <c r="AV9" s="15" t="n">
        <v>1483255.9</v>
      </c>
      <c r="AW9" s="15" t="n">
        <v>1410839.02</v>
      </c>
      <c r="AX9" s="15" t="n">
        <v>4983097.65</v>
      </c>
      <c r="AY9" s="15" t="n">
        <v>3639775.99</v>
      </c>
      <c r="AZ9" s="15" t="n">
        <v>532700.6800000001</v>
      </c>
      <c r="BA9" s="15" t="n">
        <v>697010.66</v>
      </c>
      <c r="BB9" s="15" t="n">
        <v>1170223.36</v>
      </c>
      <c r="BC9" s="15" t="n">
        <v>5458073.67</v>
      </c>
      <c r="BD9" s="15" t="n">
        <v>4913565.87</v>
      </c>
      <c r="BE9" s="15" t="n">
        <v>4368786.4</v>
      </c>
      <c r="BF9" s="15" t="n">
        <v>1890878.21</v>
      </c>
      <c r="BG9" s="15" t="n">
        <v>586143.73</v>
      </c>
      <c r="BH9" s="15" t="n">
        <v>871521</v>
      </c>
      <c r="BI9" s="15" t="n">
        <v>3947350.54</v>
      </c>
      <c r="BJ9" s="15" t="n">
        <v>3942400.41</v>
      </c>
      <c r="BK9" s="15" t="n">
        <v>2198438.88</v>
      </c>
      <c r="BL9" s="15" t="n">
        <v>2951882.7</v>
      </c>
      <c r="BM9" s="15" t="n">
        <v>690181.38</v>
      </c>
      <c r="BN9" s="15" t="n">
        <v>399202.9</v>
      </c>
      <c r="BO9" s="15" t="n">
        <v>3946195.39</v>
      </c>
      <c r="BP9" s="15" t="n">
        <v>1857031.09</v>
      </c>
      <c r="BQ9" s="15" t="n">
        <v>4075701.14</v>
      </c>
      <c r="BR9" s="15" t="n">
        <v>1386126.54</v>
      </c>
      <c r="BS9" s="15" t="n">
        <v>493072.47</v>
      </c>
      <c r="BT9" s="15" t="n">
        <v>-98363.24000000001</v>
      </c>
      <c r="BU9" s="15" t="n">
        <v>3731472.65</v>
      </c>
      <c r="BV9" s="15" t="n">
        <v>2849035.59</v>
      </c>
      <c r="BW9" s="15" t="n">
        <v>1127517.18</v>
      </c>
      <c r="BX9" s="15" t="n">
        <v>2467237.38</v>
      </c>
      <c r="BY9" s="15" t="n">
        <v>548218.6</v>
      </c>
      <c r="BZ9" s="15" t="n">
        <v>1438314.98</v>
      </c>
      <c r="CA9" s="15" t="n">
        <v>3607844.35</v>
      </c>
      <c r="CB9" s="15" t="n">
        <v>5107296.51</v>
      </c>
      <c r="CC9" s="15" t="n">
        <v>2960030.95</v>
      </c>
      <c r="CD9" s="15" t="n">
        <v>976683</v>
      </c>
      <c r="CE9" s="15" t="n">
        <v>244659.15</v>
      </c>
      <c r="CF9" s="15" t="n">
        <v>892327.13</v>
      </c>
      <c r="CG9" s="15" t="n">
        <v>455326.86</v>
      </c>
      <c r="CH9" s="15" t="n">
        <v>200248.62</v>
      </c>
      <c r="CI9" s="15" t="n">
        <v>2159537.76</v>
      </c>
      <c r="CJ9" s="15" t="n">
        <v>2568381.17</v>
      </c>
      <c r="CK9" s="15" t="n">
        <v>496749.42</v>
      </c>
      <c r="CL9" s="15" t="n">
        <v>963826.48</v>
      </c>
      <c r="CM9" s="15" t="n">
        <v>2324742.75</v>
      </c>
      <c r="CN9" s="15" t="n">
        <v>5465624.8</v>
      </c>
      <c r="CO9" s="15" t="n">
        <v>2522461.71</v>
      </c>
      <c r="CP9" s="15" t="n">
        <v>2329750.02</v>
      </c>
      <c r="CQ9" s="15" t="n">
        <v>233686.76</v>
      </c>
      <c r="CR9" s="15" t="n">
        <v>420509.2</v>
      </c>
      <c r="CS9" s="15" t="n">
        <v>3517867.81</v>
      </c>
      <c r="CT9" s="15" t="n">
        <v>4647876.37</v>
      </c>
      <c r="CU9" s="15" t="n">
        <v>4116080.28</v>
      </c>
      <c r="CV9" s="15" t="n">
        <v>617524.71</v>
      </c>
      <c r="CW9" s="15" t="n">
        <v>269679.78</v>
      </c>
      <c r="CX9" s="15" t="n">
        <v>663606.21</v>
      </c>
      <c r="CY9" s="15" t="n">
        <v>2566953.82</v>
      </c>
      <c r="CZ9" s="15" t="n">
        <v>7192709.35</v>
      </c>
      <c r="DA9" s="15" t="n">
        <v>642333.8199999999</v>
      </c>
      <c r="DB9" s="15" t="n">
        <v>239957.38</v>
      </c>
      <c r="DC9" s="15" t="n">
        <v>416923.03</v>
      </c>
      <c r="DD9" s="15" t="n">
        <v>-270713.89</v>
      </c>
      <c r="DE9" s="15" t="n">
        <v>2033087.58</v>
      </c>
      <c r="DF9" s="15" t="n">
        <v>4404187.3</v>
      </c>
      <c r="DG9" s="15" t="n">
        <v>411750.58</v>
      </c>
      <c r="DH9" s="15" t="n">
        <v>2349992.79</v>
      </c>
      <c r="DI9" s="15" t="n">
        <v>204045.52</v>
      </c>
      <c r="DJ9" s="15" t="n">
        <v>412657.76</v>
      </c>
      <c r="DK9" s="15" t="n">
        <v>2230894.37</v>
      </c>
      <c r="DL9" s="15" t="n">
        <v>5649656.35</v>
      </c>
      <c r="DM9" s="15" t="n">
        <v>808315.5600000001</v>
      </c>
      <c r="DN9" s="15" t="n">
        <v>1131238.29</v>
      </c>
      <c r="DO9" s="15" t="n">
        <v>259616.01</v>
      </c>
      <c r="DP9" s="15" t="n">
        <v>-42904.86</v>
      </c>
    </row>
    <row r="10">
      <c r="A10" s="4" t="inlineStr">
        <is>
          <t>预制菜</t>
        </is>
      </c>
      <c r="B10" s="15" t="n">
        <v>6155917.97</v>
      </c>
      <c r="C10" s="15" t="n">
        <v>3725902.74</v>
      </c>
      <c r="D10" s="15" t="n">
        <v>2132706.64</v>
      </c>
      <c r="E10" s="15" t="n">
        <v>560734.5699999999</v>
      </c>
      <c r="F10" s="15" t="n">
        <v>1261450.9</v>
      </c>
      <c r="G10" s="15" t="n">
        <v>2183990.3</v>
      </c>
      <c r="H10" s="15" t="n">
        <v>857565.55</v>
      </c>
      <c r="I10" s="15" t="n">
        <v>1913405.01</v>
      </c>
      <c r="J10" s="15" t="n">
        <v>1988558.11</v>
      </c>
      <c r="K10" s="15" t="n">
        <v>275474.64</v>
      </c>
      <c r="L10" s="15" t="n">
        <v>2047833.38</v>
      </c>
      <c r="M10" s="15" t="n">
        <v>4259516.12</v>
      </c>
      <c r="N10" s="15" t="n">
        <v>6887973.84</v>
      </c>
      <c r="O10" s="15" t="n">
        <v>204261.73</v>
      </c>
      <c r="P10" s="15" t="n">
        <v>1249841.42</v>
      </c>
      <c r="Q10" s="15" t="n">
        <v>241837.5</v>
      </c>
      <c r="R10" s="15" t="n">
        <v>-26500.64</v>
      </c>
      <c r="S10" s="15" t="n">
        <v>1474707.99</v>
      </c>
      <c r="T10" s="15" t="n">
        <v>6475133.02</v>
      </c>
      <c r="U10" s="15" t="n">
        <v>4198770.2</v>
      </c>
      <c r="V10" s="15" t="n">
        <v>711253.86</v>
      </c>
      <c r="W10" s="15" t="n">
        <v>570887.72</v>
      </c>
      <c r="X10" s="15" t="n">
        <v>1572043.3</v>
      </c>
      <c r="Y10" s="15" t="n">
        <v>177720.57</v>
      </c>
      <c r="Z10" s="15" t="n">
        <v>6423240.25</v>
      </c>
      <c r="AA10" s="15" t="n">
        <v>3326828.34</v>
      </c>
      <c r="AB10" s="15" t="n">
        <v>777872.23</v>
      </c>
      <c r="AC10" s="15" t="n">
        <v>376058.69</v>
      </c>
      <c r="AD10" s="15" t="n">
        <v>966400.26</v>
      </c>
      <c r="AE10" s="15" t="n">
        <v>5538884.58</v>
      </c>
      <c r="AF10" s="15" t="n">
        <v>1196364.59</v>
      </c>
      <c r="AG10" s="15" t="n">
        <v>1136307.31</v>
      </c>
      <c r="AH10" s="15" t="n">
        <v>428895.33</v>
      </c>
      <c r="AI10" s="15" t="n">
        <v>651636.88</v>
      </c>
      <c r="AJ10" s="15" t="n">
        <v>941504.3</v>
      </c>
      <c r="AK10" s="15" t="n">
        <v>3073689.86</v>
      </c>
      <c r="AL10" s="15" t="n">
        <v>6102330.17</v>
      </c>
      <c r="AM10" s="15" t="n">
        <v>3919534.52</v>
      </c>
      <c r="AN10" s="15" t="n">
        <v>2874631.33</v>
      </c>
      <c r="AO10" s="15" t="n">
        <v>744889.47</v>
      </c>
      <c r="AP10" s="15" t="n">
        <v>206741.19</v>
      </c>
      <c r="AQ10" s="15" t="n">
        <v>5740363.41</v>
      </c>
      <c r="AR10" s="15" t="n">
        <v>5136458.36</v>
      </c>
      <c r="AS10" s="15" t="n">
        <v>1044673.81</v>
      </c>
      <c r="AT10" s="15" t="n">
        <v>2481843.3</v>
      </c>
      <c r="AU10" s="15" t="n">
        <v>97347.10000000001</v>
      </c>
      <c r="AV10" s="15" t="n">
        <v>1015683.94</v>
      </c>
      <c r="AW10" s="15" t="n">
        <v>2715128.09</v>
      </c>
      <c r="AX10" s="15" t="n">
        <v>6668295.95</v>
      </c>
      <c r="AY10" s="15" t="n">
        <v>3940826.67</v>
      </c>
      <c r="AZ10" s="15" t="n">
        <v>2453542.83</v>
      </c>
      <c r="BA10" s="15" t="n">
        <v>495573.25</v>
      </c>
      <c r="BB10" s="15" t="n">
        <v>1154017</v>
      </c>
      <c r="BC10" s="15" t="n">
        <v>1472749.38</v>
      </c>
      <c r="BD10" s="15" t="n">
        <v>7092324.65</v>
      </c>
      <c r="BE10" s="15" t="n">
        <v>1444784.81</v>
      </c>
      <c r="BF10" s="15" t="n">
        <v>1346067.27</v>
      </c>
      <c r="BG10" s="15" t="n">
        <v>516262.94</v>
      </c>
      <c r="BH10" s="15" t="n">
        <v>1610274.71</v>
      </c>
      <c r="BI10" s="15" t="n">
        <v>5278676.52</v>
      </c>
      <c r="BJ10" s="15" t="n">
        <v>7163500.48</v>
      </c>
      <c r="BK10" s="15" t="n">
        <v>619223.0600000001</v>
      </c>
      <c r="BL10" s="15" t="n">
        <v>2712379.09</v>
      </c>
      <c r="BM10" s="15" t="n">
        <v>339308.32</v>
      </c>
      <c r="BN10" s="15" t="n">
        <v>508793.1</v>
      </c>
      <c r="BO10" s="15" t="n">
        <v>3538303.75</v>
      </c>
      <c r="BP10" s="15" t="n">
        <v>1944637.08</v>
      </c>
      <c r="BQ10" s="15" t="n">
        <v>3867734.82</v>
      </c>
      <c r="BR10" s="15" t="n">
        <v>2676708.89</v>
      </c>
      <c r="BS10" s="15" t="n">
        <v>174831.25</v>
      </c>
      <c r="BT10" s="15" t="n">
        <v>-76417.2</v>
      </c>
      <c r="BU10" s="15" t="n">
        <v>3685194.15</v>
      </c>
      <c r="BV10" s="15" t="n">
        <v>7161689.7</v>
      </c>
      <c r="BW10" s="15" t="n">
        <v>1142250.38</v>
      </c>
      <c r="BX10" s="15" t="n">
        <v>2964433.44</v>
      </c>
      <c r="BY10" s="15" t="n">
        <v>674784.23</v>
      </c>
      <c r="BZ10" s="15" t="n">
        <v>2240594.58</v>
      </c>
      <c r="CA10" s="15" t="n">
        <v>3082747.35</v>
      </c>
      <c r="CB10" s="15" t="n">
        <v>1340508.34</v>
      </c>
      <c r="CC10" s="15" t="n">
        <v>1151653.75</v>
      </c>
      <c r="CD10" s="15" t="n">
        <v>2454741.49</v>
      </c>
      <c r="CE10" s="15" t="n">
        <v>553022.42</v>
      </c>
      <c r="CF10" s="15" t="n">
        <v>552539.6</v>
      </c>
      <c r="CG10" s="15" t="n">
        <v>5829962.5</v>
      </c>
      <c r="CH10" s="15" t="n">
        <v>6681358.03</v>
      </c>
      <c r="CI10" s="15" t="n">
        <v>3059394.67</v>
      </c>
      <c r="CJ10" s="15" t="n">
        <v>108250.4</v>
      </c>
      <c r="CK10" s="15" t="n">
        <v>187634.15</v>
      </c>
      <c r="CL10" s="15" t="n">
        <v>2065837</v>
      </c>
      <c r="CM10" s="15" t="n">
        <v>681685.73</v>
      </c>
      <c r="CN10" s="15" t="n">
        <v>6038573.76</v>
      </c>
      <c r="CO10" s="15" t="n">
        <v>1163633.16</v>
      </c>
      <c r="CP10" s="15" t="n">
        <v>1269920.72</v>
      </c>
      <c r="CQ10" s="15" t="n">
        <v>417149.11</v>
      </c>
      <c r="CR10" s="15" t="n">
        <v>649168.73</v>
      </c>
      <c r="CS10" s="15" t="n">
        <v>664955.67</v>
      </c>
      <c r="CT10" s="15" t="n">
        <v>425143.81</v>
      </c>
      <c r="CU10" s="15" t="n">
        <v>286387.84</v>
      </c>
      <c r="CV10" s="15" t="n">
        <v>231135.17</v>
      </c>
      <c r="CW10" s="15" t="n">
        <v>127503.46</v>
      </c>
      <c r="CX10" s="15" t="n">
        <v>-106703.03</v>
      </c>
      <c r="CY10" s="15" t="n">
        <v>1606623.31</v>
      </c>
      <c r="CZ10" s="15" t="n">
        <v>4148204.23</v>
      </c>
      <c r="DA10" s="15" t="n">
        <v>2064530.59</v>
      </c>
      <c r="DB10" s="15" t="n">
        <v>430106.43</v>
      </c>
      <c r="DC10" s="15" t="n">
        <v>207416.13</v>
      </c>
      <c r="DD10" s="15" t="n">
        <v>777774.61</v>
      </c>
      <c r="DE10" s="15" t="n">
        <v>2616717.76</v>
      </c>
      <c r="DF10" s="15" t="n">
        <v>4193623.06</v>
      </c>
      <c r="DG10" s="15" t="n">
        <v>2440348.51</v>
      </c>
      <c r="DH10" s="15" t="n">
        <v>1935342.57</v>
      </c>
      <c r="DI10" s="15" t="n">
        <v>479766.86</v>
      </c>
      <c r="DJ10" s="15" t="n">
        <v>168477.75</v>
      </c>
      <c r="DK10" s="15" t="n">
        <v>497677.51</v>
      </c>
      <c r="DL10" s="15" t="n">
        <v>4323859.25</v>
      </c>
      <c r="DM10" s="15" t="n">
        <v>2621085.67</v>
      </c>
      <c r="DN10" s="15" t="n">
        <v>2589780.62</v>
      </c>
      <c r="DO10" s="15" t="n">
        <v>642716.7</v>
      </c>
      <c r="DP10" s="15" t="n">
        <v>234542.35</v>
      </c>
    </row>
    <row r="11">
      <c r="A11" s="4" t="inlineStr">
        <is>
          <t>其他产品A</t>
        </is>
      </c>
      <c r="B11" s="15" t="n">
        <v>1093440.05</v>
      </c>
      <c r="C11" s="15" t="n">
        <v>180845.38</v>
      </c>
      <c r="D11" s="15" t="n">
        <v>587492.5</v>
      </c>
      <c r="E11" s="15" t="n">
        <v>243870.05</v>
      </c>
      <c r="F11" s="15" t="n">
        <v>963717.65</v>
      </c>
      <c r="G11" s="15" t="n">
        <v>1372705.51</v>
      </c>
      <c r="H11" s="15" t="n">
        <v>1656241.27</v>
      </c>
      <c r="I11" s="15" t="n">
        <v>1436969.94</v>
      </c>
      <c r="J11" s="15" t="n">
        <v>340286.32</v>
      </c>
      <c r="K11" s="15" t="n">
        <v>317348.47</v>
      </c>
      <c r="L11" s="15" t="n">
        <v>-130824.42</v>
      </c>
      <c r="M11" s="15" t="n">
        <v>384508.7</v>
      </c>
      <c r="N11" s="15" t="n">
        <v>302958.56</v>
      </c>
      <c r="O11" s="15" t="n">
        <v>3809638.64</v>
      </c>
      <c r="P11" s="15" t="n">
        <v>35774.54</v>
      </c>
      <c r="Q11" s="15" t="n">
        <v>23810.39</v>
      </c>
      <c r="R11" s="15" t="n">
        <v>445354.67</v>
      </c>
      <c r="S11" s="15" t="n">
        <v>1291752.79</v>
      </c>
      <c r="T11" s="15" t="n">
        <v>1872934.9</v>
      </c>
      <c r="U11" s="15" t="n">
        <v>1705766.26</v>
      </c>
      <c r="V11" s="15" t="n">
        <v>2881327.5</v>
      </c>
      <c r="W11" s="15" t="n">
        <v>349583.02</v>
      </c>
      <c r="X11" s="15" t="n">
        <v>473826.75</v>
      </c>
      <c r="Y11" s="15" t="n">
        <v>398271.73</v>
      </c>
      <c r="Z11" s="15" t="n">
        <v>3621833.67</v>
      </c>
      <c r="AA11" s="15" t="n">
        <v>4393152.29</v>
      </c>
      <c r="AB11" s="15" t="n">
        <v>465821.39</v>
      </c>
      <c r="AC11" s="15" t="n">
        <v>515505.45</v>
      </c>
      <c r="AD11" s="15" t="n">
        <v>1431488.91</v>
      </c>
      <c r="AE11" s="15" t="n">
        <v>3629160.56</v>
      </c>
      <c r="AF11" s="15" t="n">
        <v>2776454.23</v>
      </c>
      <c r="AG11" s="15" t="n">
        <v>3419640.66</v>
      </c>
      <c r="AH11" s="15" t="n">
        <v>2986715.8</v>
      </c>
      <c r="AI11" s="15" t="n">
        <v>356225.87</v>
      </c>
      <c r="AJ11" s="15" t="n">
        <v>1375188.33</v>
      </c>
      <c r="AK11" s="15" t="n">
        <v>2996033.41</v>
      </c>
      <c r="AL11" s="15" t="n">
        <v>5992595.11</v>
      </c>
      <c r="AM11" s="15" t="n">
        <v>428490.27</v>
      </c>
      <c r="AN11" s="15" t="n">
        <v>1582521.82</v>
      </c>
      <c r="AO11" s="15" t="n">
        <v>576740.4300000001</v>
      </c>
      <c r="AP11" s="15" t="n">
        <v>1972616.89</v>
      </c>
      <c r="AQ11" s="15" t="n">
        <v>3408697.35</v>
      </c>
      <c r="AR11" s="15" t="n">
        <v>4428102.49</v>
      </c>
      <c r="AS11" s="15" t="n">
        <v>2280963.49</v>
      </c>
      <c r="AT11" s="15" t="n">
        <v>1674565.85</v>
      </c>
      <c r="AU11" s="15" t="n">
        <v>639009.41</v>
      </c>
      <c r="AV11" s="15" t="n">
        <v>857585.85</v>
      </c>
      <c r="AW11" s="15" t="n">
        <v>2610293.63</v>
      </c>
      <c r="AX11" s="15" t="n">
        <v>5556292.15</v>
      </c>
      <c r="AY11" s="15" t="n">
        <v>4137606.94</v>
      </c>
      <c r="AZ11" s="15" t="n">
        <v>2598361.58</v>
      </c>
      <c r="BA11" s="15" t="n">
        <v>175037.12</v>
      </c>
      <c r="BB11" s="15" t="n">
        <v>924976.61</v>
      </c>
      <c r="BC11" s="15" t="n">
        <v>3978936.85</v>
      </c>
      <c r="BD11" s="15" t="n">
        <v>1096626.25</v>
      </c>
      <c r="BE11" s="15" t="n">
        <v>1029696.67</v>
      </c>
      <c r="BF11" s="15" t="n">
        <v>1625023.04</v>
      </c>
      <c r="BG11" s="15" t="n">
        <v>406777.85</v>
      </c>
      <c r="BH11" s="15" t="n">
        <v>1163089.87</v>
      </c>
      <c r="BI11" s="15" t="n">
        <v>3734577.77</v>
      </c>
      <c r="BJ11" s="15" t="n">
        <v>4877689.43</v>
      </c>
      <c r="BK11" s="15" t="n">
        <v>3617476.74</v>
      </c>
      <c r="BL11" s="15" t="n">
        <v>153907.64</v>
      </c>
      <c r="BM11" s="15" t="n">
        <v>387408.97</v>
      </c>
      <c r="BN11" s="15" t="n">
        <v>273302.9</v>
      </c>
      <c r="BO11" s="15" t="n">
        <v>1736475.17</v>
      </c>
      <c r="BP11" s="15" t="n">
        <v>1009281.76</v>
      </c>
      <c r="BQ11" s="15" t="n">
        <v>1205344.89</v>
      </c>
      <c r="BR11" s="15" t="n">
        <v>1044500.28</v>
      </c>
      <c r="BS11" s="15" t="n">
        <v>383449.17</v>
      </c>
      <c r="BT11" s="15" t="n">
        <v>2069951.44</v>
      </c>
      <c r="BU11" s="15" t="n">
        <v>4873908.36</v>
      </c>
      <c r="BV11" s="15" t="n">
        <v>771033.36</v>
      </c>
      <c r="BW11" s="15" t="n">
        <v>3338161.42</v>
      </c>
      <c r="BX11" s="15" t="n">
        <v>1385047.6</v>
      </c>
      <c r="BY11" s="15" t="n">
        <v>547280.85</v>
      </c>
      <c r="BZ11" s="15" t="n">
        <v>415400.84</v>
      </c>
      <c r="CA11" s="15" t="n">
        <v>3286679.53</v>
      </c>
      <c r="CB11" s="15" t="n">
        <v>6756388.36</v>
      </c>
      <c r="CC11" s="15" t="n">
        <v>225038.92</v>
      </c>
      <c r="CD11" s="15" t="n">
        <v>2886665.98</v>
      </c>
      <c r="CE11" s="15" t="n">
        <v>440373.13</v>
      </c>
      <c r="CF11" s="15" t="n">
        <v>726986.3199999999</v>
      </c>
      <c r="CG11" s="15" t="n">
        <v>1952786.71</v>
      </c>
      <c r="CH11" s="15" t="n">
        <v>5128418.07</v>
      </c>
      <c r="CI11" s="15" t="n">
        <v>1183570.03</v>
      </c>
      <c r="CJ11" s="15" t="n">
        <v>1912034.4</v>
      </c>
      <c r="CK11" s="15" t="n">
        <v>93603.38</v>
      </c>
      <c r="CL11" s="15" t="n">
        <v>1934750.57</v>
      </c>
      <c r="CM11" s="15" t="n">
        <v>4852564</v>
      </c>
      <c r="CN11" s="15" t="n">
        <v>3898490.97</v>
      </c>
      <c r="CO11" s="15" t="n">
        <v>2823390.43</v>
      </c>
      <c r="CP11" s="15" t="n">
        <v>2724302.81</v>
      </c>
      <c r="CQ11" s="15" t="n">
        <v>92941.66</v>
      </c>
      <c r="CR11" s="15" t="n">
        <v>2210371.48</v>
      </c>
      <c r="CS11" s="15" t="n">
        <v>3868853.18</v>
      </c>
      <c r="CT11" s="15" t="n">
        <v>1902430.92</v>
      </c>
      <c r="CU11" s="15" t="n">
        <v>1815622.51</v>
      </c>
      <c r="CV11" s="15" t="n">
        <v>446421.08</v>
      </c>
      <c r="CW11" s="15" t="n">
        <v>280847.37</v>
      </c>
      <c r="CX11" s="15" t="n">
        <v>411265.57</v>
      </c>
      <c r="CY11" s="15" t="n">
        <v>1917318.73</v>
      </c>
      <c r="CZ11" s="15" t="n">
        <v>1555419.07</v>
      </c>
      <c r="DA11" s="15" t="n">
        <v>1128723.74</v>
      </c>
      <c r="DB11" s="15" t="n">
        <v>572619.8100000001</v>
      </c>
      <c r="DC11" s="15" t="n">
        <v>74645.39</v>
      </c>
      <c r="DD11" s="15" t="n">
        <v>1137029.07</v>
      </c>
      <c r="DE11" s="15" t="n">
        <v>1599775.63</v>
      </c>
      <c r="DF11" s="15" t="n">
        <v>7082191.67</v>
      </c>
      <c r="DG11" s="15" t="n">
        <v>1095055.67</v>
      </c>
      <c r="DH11" s="15" t="n">
        <v>962619.86</v>
      </c>
      <c r="DI11" s="15" t="n">
        <v>324050.28</v>
      </c>
      <c r="DJ11" s="15" t="n">
        <v>863020.86</v>
      </c>
      <c r="DK11" s="15" t="n">
        <v>944802.51</v>
      </c>
      <c r="DL11" s="15" t="n">
        <v>550888.98</v>
      </c>
      <c r="DM11" s="15" t="n">
        <v>2155030.27</v>
      </c>
      <c r="DN11" s="15" t="n">
        <v>1915615.82</v>
      </c>
      <c r="DO11" s="15" t="n">
        <v>579280.27</v>
      </c>
      <c r="DP11" s="15" t="n">
        <v>202910.55</v>
      </c>
    </row>
    <row r="12">
      <c r="A12" s="4" t="inlineStr">
        <is>
          <t>其他产品B</t>
        </is>
      </c>
      <c r="B12" s="15" t="n">
        <v>4258077.45</v>
      </c>
      <c r="C12" s="15" t="n">
        <v>1320852.99</v>
      </c>
      <c r="D12" s="15" t="n">
        <v>193854.36</v>
      </c>
      <c r="E12" s="15" t="n">
        <v>673065.45</v>
      </c>
      <c r="F12" s="15" t="n">
        <v>615555.49</v>
      </c>
      <c r="G12" s="15" t="n">
        <v>3935419.61</v>
      </c>
      <c r="H12" s="15" t="n">
        <v>5434565.22</v>
      </c>
      <c r="I12" s="15" t="n">
        <v>3422908.77</v>
      </c>
      <c r="J12" s="15" t="n">
        <v>2031096.01</v>
      </c>
      <c r="K12" s="15" t="n">
        <v>211230.35</v>
      </c>
      <c r="L12" s="15" t="n">
        <v>2089273.31</v>
      </c>
      <c r="M12" s="15" t="n">
        <v>5114585.24</v>
      </c>
      <c r="N12" s="15" t="n">
        <v>3458790.58</v>
      </c>
      <c r="O12" s="15" t="n">
        <v>4231274.75</v>
      </c>
      <c r="P12" s="15" t="n">
        <v>1562961.3</v>
      </c>
      <c r="Q12" s="15" t="n">
        <v>451208.89</v>
      </c>
      <c r="R12" s="15" t="n">
        <v>753608.29</v>
      </c>
      <c r="S12" s="15" t="n">
        <v>2871746.47</v>
      </c>
      <c r="T12" s="15" t="n">
        <v>7262491.78</v>
      </c>
      <c r="U12" s="15" t="n">
        <v>3946665.47</v>
      </c>
      <c r="V12" s="15" t="n">
        <v>1627998.49</v>
      </c>
      <c r="W12" s="15" t="n">
        <v>604832.8199999999</v>
      </c>
      <c r="X12" s="15" t="n">
        <v>2064178.04</v>
      </c>
      <c r="Y12" s="15" t="n">
        <v>1088685.58</v>
      </c>
      <c r="Z12" s="15" t="n">
        <v>5411183.57</v>
      </c>
      <c r="AA12" s="15" t="n">
        <v>3308938.96</v>
      </c>
      <c r="AB12" s="15" t="n">
        <v>2925615.07</v>
      </c>
      <c r="AC12" s="15" t="n">
        <v>602306.98</v>
      </c>
      <c r="AD12" s="15" t="n">
        <v>1643829.32</v>
      </c>
      <c r="AE12" s="15" t="n">
        <v>303947.57</v>
      </c>
      <c r="AF12" s="15" t="n">
        <v>434438.94</v>
      </c>
      <c r="AG12" s="15" t="n">
        <v>3528150.68</v>
      </c>
      <c r="AH12" s="15" t="n">
        <v>2047034.89</v>
      </c>
      <c r="AI12" s="15" t="n">
        <v>21724.41</v>
      </c>
      <c r="AJ12" s="15" t="n">
        <v>406941.12</v>
      </c>
      <c r="AK12" s="15" t="n">
        <v>4641887.57</v>
      </c>
      <c r="AL12" s="15" t="n">
        <v>4696345.11</v>
      </c>
      <c r="AM12" s="15" t="n">
        <v>2270700.75</v>
      </c>
      <c r="AN12" s="15" t="n">
        <v>2910610.12</v>
      </c>
      <c r="AO12" s="15" t="n">
        <v>740567.54</v>
      </c>
      <c r="AP12" s="15" t="n">
        <v>1694842.4</v>
      </c>
      <c r="AQ12" s="15" t="n">
        <v>1854865.56</v>
      </c>
      <c r="AR12" s="15" t="n">
        <v>926527.59</v>
      </c>
      <c r="AS12" s="15" t="n">
        <v>2046245.55</v>
      </c>
      <c r="AT12" s="15" t="n">
        <v>2015939.57</v>
      </c>
      <c r="AU12" s="15" t="n">
        <v>409999.92</v>
      </c>
      <c r="AV12" s="15" t="n">
        <v>-260158.46</v>
      </c>
      <c r="AW12" s="15" t="n">
        <v>5668283.94</v>
      </c>
      <c r="AX12" s="15" t="n">
        <v>846620.9399999999</v>
      </c>
      <c r="AY12" s="15" t="n">
        <v>4004859.31</v>
      </c>
      <c r="AZ12" s="15" t="n">
        <v>2859115.98</v>
      </c>
      <c r="BA12" s="15" t="n">
        <v>739394.8199999999</v>
      </c>
      <c r="BB12" s="15" t="n">
        <v>1107477.01</v>
      </c>
      <c r="BC12" s="15" t="n">
        <v>2524066.49</v>
      </c>
      <c r="BD12" s="15" t="n">
        <v>751367.58</v>
      </c>
      <c r="BE12" s="15" t="n">
        <v>1935313.87</v>
      </c>
      <c r="BF12" s="15" t="n">
        <v>2854577.3</v>
      </c>
      <c r="BG12" s="15" t="n">
        <v>124467.14</v>
      </c>
      <c r="BH12" s="15" t="n">
        <v>805179.38</v>
      </c>
      <c r="BI12" s="15" t="n">
        <v>4645194.59</v>
      </c>
      <c r="BJ12" s="15" t="n">
        <v>2359549.74</v>
      </c>
      <c r="BK12" s="15" t="n">
        <v>4267226.65</v>
      </c>
      <c r="BL12" s="15" t="n">
        <v>1507768.39</v>
      </c>
      <c r="BM12" s="15" t="n">
        <v>526342.53</v>
      </c>
      <c r="BN12" s="15" t="n">
        <v>1135524.94</v>
      </c>
      <c r="BO12" s="15" t="n">
        <v>2556837.12</v>
      </c>
      <c r="BP12" s="15" t="n">
        <v>753907.14</v>
      </c>
      <c r="BQ12" s="15" t="n">
        <v>3640951.37</v>
      </c>
      <c r="BR12" s="15" t="n">
        <v>2939596.35</v>
      </c>
      <c r="BS12" s="15" t="n">
        <v>384029.3</v>
      </c>
      <c r="BT12" s="15" t="n">
        <v>888813.1</v>
      </c>
      <c r="BU12" s="15" t="n">
        <v>201024.86</v>
      </c>
      <c r="BV12" s="15" t="n">
        <v>1930078.13</v>
      </c>
      <c r="BW12" s="15" t="n">
        <v>1528981.38</v>
      </c>
      <c r="BX12" s="15" t="n">
        <v>2336377.54</v>
      </c>
      <c r="BY12" s="15" t="n">
        <v>524309.54</v>
      </c>
      <c r="BZ12" s="15" t="n">
        <v>1382014.35</v>
      </c>
      <c r="CA12" s="15" t="n">
        <v>1437877.72</v>
      </c>
      <c r="CB12" s="15" t="n">
        <v>5697173.84</v>
      </c>
      <c r="CC12" s="15" t="n">
        <v>2134391.44</v>
      </c>
      <c r="CD12" s="15" t="n">
        <v>429773.27</v>
      </c>
      <c r="CE12" s="15" t="n">
        <v>632478.97</v>
      </c>
      <c r="CF12" s="15" t="n">
        <v>1381487.91</v>
      </c>
      <c r="CG12" s="15" t="n">
        <v>4663345.54</v>
      </c>
      <c r="CH12" s="15" t="n">
        <v>4312265.93</v>
      </c>
      <c r="CI12" s="15" t="n">
        <v>2795818.98</v>
      </c>
      <c r="CJ12" s="15" t="n">
        <v>1464167.28</v>
      </c>
      <c r="CK12" s="15" t="n">
        <v>670724.46</v>
      </c>
      <c r="CL12" s="15" t="n">
        <v>1231834.05</v>
      </c>
      <c r="CM12" s="15" t="n">
        <v>4887943.71</v>
      </c>
      <c r="CN12" s="15" t="n">
        <v>589837.9</v>
      </c>
      <c r="CO12" s="15" t="n">
        <v>1032812.24</v>
      </c>
      <c r="CP12" s="15" t="n">
        <v>2334122.28</v>
      </c>
      <c r="CQ12" s="15" t="n">
        <v>206674.82</v>
      </c>
      <c r="CR12" s="15" t="n">
        <v>2149291.1</v>
      </c>
      <c r="CS12" s="15" t="n">
        <v>3138947.19</v>
      </c>
      <c r="CT12" s="15" t="n">
        <v>893091.11</v>
      </c>
      <c r="CU12" s="15" t="n">
        <v>2136405.26</v>
      </c>
      <c r="CV12" s="15" t="n">
        <v>1884253.12</v>
      </c>
      <c r="CW12" s="15" t="n">
        <v>660587.58</v>
      </c>
      <c r="CX12" s="15" t="n">
        <v>975538.4300000001</v>
      </c>
      <c r="CY12" s="15" t="n">
        <v>3588549.83</v>
      </c>
      <c r="CZ12" s="15" t="n">
        <v>1199081.49</v>
      </c>
      <c r="DA12" s="15" t="n">
        <v>1871389.98</v>
      </c>
      <c r="DB12" s="15" t="n">
        <v>1733622.81</v>
      </c>
      <c r="DC12" s="15" t="n">
        <v>223467.9</v>
      </c>
      <c r="DD12" s="15" t="n">
        <v>-243055.32</v>
      </c>
      <c r="DE12" s="15" t="n">
        <v>5147830.04</v>
      </c>
      <c r="DF12" s="15" t="n">
        <v>1040908.03</v>
      </c>
      <c r="DG12" s="15" t="n">
        <v>4187292.52</v>
      </c>
      <c r="DH12" s="15" t="n">
        <v>2049858.75</v>
      </c>
      <c r="DI12" s="15" t="n">
        <v>58503.07</v>
      </c>
      <c r="DJ12" s="15" t="n">
        <v>1004726.84</v>
      </c>
      <c r="DK12" s="15" t="n">
        <v>4634686.36</v>
      </c>
      <c r="DL12" s="15" t="n">
        <v>2269830.66</v>
      </c>
      <c r="DM12" s="15" t="n">
        <v>689316.3100000001</v>
      </c>
      <c r="DN12" s="15" t="n">
        <v>278701.39</v>
      </c>
      <c r="DO12" s="15" t="n">
        <v>209251.61</v>
      </c>
      <c r="DP12" s="15" t="n">
        <v>611046.42</v>
      </c>
    </row>
    <row r="13">
      <c r="A13" s="4" t="inlineStr">
        <is>
          <t>其他产品C</t>
        </is>
      </c>
      <c r="B13" s="15" t="n">
        <v>2935322.52</v>
      </c>
      <c r="C13" s="15" t="n">
        <v>1728692.37</v>
      </c>
      <c r="D13" s="15" t="n">
        <v>1545010.54</v>
      </c>
      <c r="E13" s="15" t="n">
        <v>106653.35</v>
      </c>
      <c r="F13" s="15" t="n">
        <v>882476.87</v>
      </c>
      <c r="G13" s="15" t="n">
        <v>3616702.92</v>
      </c>
      <c r="H13" s="15" t="n">
        <v>6746894.31</v>
      </c>
      <c r="I13" s="15" t="n">
        <v>2183116.29</v>
      </c>
      <c r="J13" s="15" t="n">
        <v>94074.62</v>
      </c>
      <c r="K13" s="15" t="n">
        <v>214352.01</v>
      </c>
      <c r="L13" s="15" t="n">
        <v>2003997.49</v>
      </c>
      <c r="M13" s="15" t="n">
        <v>2826529.66</v>
      </c>
      <c r="N13" s="15" t="n">
        <v>1603906.84</v>
      </c>
      <c r="O13" s="15" t="n">
        <v>3807082.68</v>
      </c>
      <c r="P13" s="15" t="n">
        <v>1081676.19</v>
      </c>
      <c r="Q13" s="15" t="n">
        <v>295279.76</v>
      </c>
      <c r="R13" s="15" t="n">
        <v>1440707.79</v>
      </c>
      <c r="S13" s="15" t="n">
        <v>1860586.09</v>
      </c>
      <c r="T13" s="15" t="n">
        <v>7297911</v>
      </c>
      <c r="U13" s="15" t="n">
        <v>3591309.11</v>
      </c>
      <c r="V13" s="15" t="n">
        <v>2352671.72</v>
      </c>
      <c r="W13" s="15" t="n">
        <v>257993.72</v>
      </c>
      <c r="X13" s="15" t="n">
        <v>668853.4300000001</v>
      </c>
      <c r="Y13" s="15" t="n">
        <v>1973390.25</v>
      </c>
      <c r="Z13" s="15" t="n">
        <v>6583743.23</v>
      </c>
      <c r="AA13" s="15" t="n">
        <v>3052434.73</v>
      </c>
      <c r="AB13" s="15" t="n">
        <v>640349.38</v>
      </c>
      <c r="AC13" s="15" t="n">
        <v>68684.03</v>
      </c>
      <c r="AD13" s="15" t="n">
        <v>558220.66</v>
      </c>
      <c r="AE13" s="15" t="n">
        <v>762217.87</v>
      </c>
      <c r="AF13" s="15" t="n">
        <v>638491.78</v>
      </c>
      <c r="AG13" s="15" t="n">
        <v>2700158.3</v>
      </c>
      <c r="AH13" s="15" t="n">
        <v>2762866.69</v>
      </c>
      <c r="AI13" s="15" t="n">
        <v>34858.96</v>
      </c>
      <c r="AJ13" s="15" t="n">
        <v>50647.03</v>
      </c>
      <c r="AK13" s="15" t="n">
        <v>2349583.08</v>
      </c>
      <c r="AL13" s="15" t="n">
        <v>3742681.57</v>
      </c>
      <c r="AM13" s="15" t="n">
        <v>1183003.45</v>
      </c>
      <c r="AN13" s="15" t="n">
        <v>1223973.41</v>
      </c>
      <c r="AO13" s="15" t="n">
        <v>443547.32</v>
      </c>
      <c r="AP13" s="15" t="n">
        <v>-165466.91</v>
      </c>
      <c r="AQ13" s="15" t="n">
        <v>314325.65</v>
      </c>
      <c r="AR13" s="15" t="n">
        <v>6552902.91</v>
      </c>
      <c r="AS13" s="15" t="n">
        <v>868524.6899999999</v>
      </c>
      <c r="AT13" s="15" t="n">
        <v>2933979.28</v>
      </c>
      <c r="AU13" s="15" t="n">
        <v>242329.6</v>
      </c>
      <c r="AV13" s="15" t="n">
        <v>118072.96</v>
      </c>
      <c r="AW13" s="15" t="n">
        <v>5203902.14</v>
      </c>
      <c r="AX13" s="15" t="n">
        <v>5913691.95</v>
      </c>
      <c r="AY13" s="15" t="n">
        <v>2020428.45</v>
      </c>
      <c r="AZ13" s="15" t="n">
        <v>2959408.63</v>
      </c>
      <c r="BA13" s="15" t="n">
        <v>194592.85</v>
      </c>
      <c r="BB13" s="15" t="n">
        <v>1623006.86</v>
      </c>
      <c r="BC13" s="15" t="n">
        <v>4919856.61</v>
      </c>
      <c r="BD13" s="15" t="n">
        <v>4269955.36</v>
      </c>
      <c r="BE13" s="15" t="n">
        <v>3043706.55</v>
      </c>
      <c r="BF13" s="15" t="n">
        <v>968409.88</v>
      </c>
      <c r="BG13" s="15" t="n">
        <v>326948.78</v>
      </c>
      <c r="BH13" s="15" t="n">
        <v>15418.58</v>
      </c>
      <c r="BI13" s="15" t="n">
        <v>2527020.2</v>
      </c>
      <c r="BJ13" s="15" t="n">
        <v>7230406.87</v>
      </c>
      <c r="BK13" s="15" t="n">
        <v>1468875.12</v>
      </c>
      <c r="BL13" s="15" t="n">
        <v>2300409.07</v>
      </c>
      <c r="BM13" s="15" t="n">
        <v>434593.43</v>
      </c>
      <c r="BN13" s="15" t="n">
        <v>1258329.62</v>
      </c>
      <c r="BO13" s="15" t="n">
        <v>1708391.91</v>
      </c>
      <c r="BP13" s="15" t="n">
        <v>1191267.65</v>
      </c>
      <c r="BQ13" s="15" t="n">
        <v>3583188.35</v>
      </c>
      <c r="BR13" s="15" t="n">
        <v>283255.26</v>
      </c>
      <c r="BS13" s="15" t="n">
        <v>217280.93</v>
      </c>
      <c r="BT13" s="15" t="n">
        <v>1808929.29</v>
      </c>
      <c r="BU13" s="15" t="n">
        <v>1969751.36</v>
      </c>
      <c r="BV13" s="15" t="n">
        <v>3373624.2</v>
      </c>
      <c r="BW13" s="15" t="n">
        <v>3503247.39</v>
      </c>
      <c r="BX13" s="15" t="n">
        <v>2637343.59</v>
      </c>
      <c r="BY13" s="15" t="n">
        <v>408456.62</v>
      </c>
      <c r="BZ13" s="15" t="n">
        <v>93270.64</v>
      </c>
      <c r="CA13" s="15" t="n">
        <v>3236210.45</v>
      </c>
      <c r="CB13" s="15" t="n">
        <v>5440799.37</v>
      </c>
      <c r="CC13" s="15" t="n">
        <v>2845659.21</v>
      </c>
      <c r="CD13" s="15" t="n">
        <v>208278.2</v>
      </c>
      <c r="CE13" s="15" t="n">
        <v>93252.78999999999</v>
      </c>
      <c r="CF13" s="15" t="n">
        <v>1871361.67</v>
      </c>
      <c r="CG13" s="15" t="n">
        <v>3533513.52</v>
      </c>
      <c r="CH13" s="15" t="n">
        <v>6412928.02</v>
      </c>
      <c r="CI13" s="15" t="n">
        <v>1461266.48</v>
      </c>
      <c r="CJ13" s="15" t="n">
        <v>123256.35</v>
      </c>
      <c r="CK13" s="15" t="n">
        <v>602318.11</v>
      </c>
      <c r="CL13" s="15" t="n">
        <v>40594.35</v>
      </c>
      <c r="CM13" s="15" t="n">
        <v>2162344.08</v>
      </c>
      <c r="CN13" s="15" t="n">
        <v>2872720.17</v>
      </c>
      <c r="CO13" s="15" t="n">
        <v>1104255.33</v>
      </c>
      <c r="CP13" s="15" t="n">
        <v>1063004.36</v>
      </c>
      <c r="CQ13" s="15" t="n">
        <v>56133.15</v>
      </c>
      <c r="CR13" s="15" t="n">
        <v>225948.19</v>
      </c>
      <c r="CS13" s="15" t="n">
        <v>4057619.07</v>
      </c>
      <c r="CT13" s="15" t="n">
        <v>7007187.23</v>
      </c>
      <c r="CU13" s="15" t="n">
        <v>1559673.97</v>
      </c>
      <c r="CV13" s="15" t="n">
        <v>1945173.19</v>
      </c>
      <c r="CW13" s="15" t="n">
        <v>388367.81</v>
      </c>
      <c r="CX13" s="15" t="n">
        <v>-222837.44</v>
      </c>
      <c r="CY13" s="15" t="n">
        <v>284748.06</v>
      </c>
      <c r="CZ13" s="15" t="n">
        <v>6073107.92</v>
      </c>
      <c r="DA13" s="15" t="n">
        <v>1484231.43</v>
      </c>
      <c r="DB13" s="15" t="n">
        <v>2622389.52</v>
      </c>
      <c r="DC13" s="15" t="n">
        <v>541312.51</v>
      </c>
      <c r="DD13" s="15" t="n">
        <v>996624.6800000001</v>
      </c>
      <c r="DE13" s="15" t="n">
        <v>3565146.71</v>
      </c>
      <c r="DF13" s="15" t="n">
        <v>6636519.51</v>
      </c>
      <c r="DG13" s="15" t="n">
        <v>2870293.84</v>
      </c>
      <c r="DH13" s="15" t="n">
        <v>1369662.68</v>
      </c>
      <c r="DI13" s="15" t="n">
        <v>170686.66</v>
      </c>
      <c r="DJ13" s="15" t="n">
        <v>361079.97</v>
      </c>
      <c r="DK13" s="15" t="n">
        <v>4764803.38</v>
      </c>
      <c r="DL13" s="15" t="n">
        <v>2315974.16</v>
      </c>
      <c r="DM13" s="15" t="n">
        <v>669958.38</v>
      </c>
      <c r="DN13" s="15" t="n">
        <v>567077.3</v>
      </c>
      <c r="DO13" s="15" t="n">
        <v>532251.97</v>
      </c>
      <c r="DP13" s="15" t="n">
        <v>907070.66</v>
      </c>
    </row>
    <row r="14">
      <c r="A14" s="4" t="inlineStr">
        <is>
          <t>中式汤底</t>
        </is>
      </c>
      <c r="B14" s="15" t="n">
        <v>3741628.74</v>
      </c>
      <c r="C14" s="15" t="n">
        <v>1206223.94</v>
      </c>
      <c r="D14" s="15" t="n">
        <v>2342456.76</v>
      </c>
      <c r="E14" s="15" t="n">
        <v>216002.45</v>
      </c>
      <c r="F14" s="15" t="n">
        <v>695821.78</v>
      </c>
      <c r="G14" s="15" t="n">
        <v>4790623.24</v>
      </c>
      <c r="H14" s="15" t="n">
        <v>1952822.93</v>
      </c>
      <c r="I14" s="15" t="n">
        <v>1439985.41</v>
      </c>
      <c r="J14" s="15" t="n">
        <v>868465.72</v>
      </c>
      <c r="K14" s="15" t="n">
        <v>53859.22</v>
      </c>
      <c r="L14" s="15" t="n">
        <v>808640.65</v>
      </c>
      <c r="M14" s="15" t="n">
        <v>2392808.76</v>
      </c>
      <c r="N14" s="15" t="n">
        <v>4060734.78</v>
      </c>
      <c r="O14" s="15" t="n">
        <v>2343660.48</v>
      </c>
      <c r="P14" s="15" t="n">
        <v>433078.72</v>
      </c>
      <c r="Q14" s="15" t="n">
        <v>233773.77</v>
      </c>
      <c r="R14" s="15" t="n">
        <v>807695.13</v>
      </c>
      <c r="S14" s="15" t="n">
        <v>5766458.57</v>
      </c>
      <c r="T14" s="15" t="n">
        <v>5086228.09</v>
      </c>
      <c r="U14" s="15" t="n">
        <v>1695921.09</v>
      </c>
      <c r="V14" s="15" t="n">
        <v>1114068.94</v>
      </c>
      <c r="W14" s="15" t="n">
        <v>167801.13</v>
      </c>
      <c r="X14" s="15" t="n">
        <v>879724.42</v>
      </c>
      <c r="Y14" s="15" t="n">
        <v>1459875.25</v>
      </c>
      <c r="Z14" s="15" t="n">
        <v>6661861.99</v>
      </c>
      <c r="AA14" s="15" t="n">
        <v>4489149.24</v>
      </c>
      <c r="AB14" s="15" t="n">
        <v>1074359.63</v>
      </c>
      <c r="AC14" s="15" t="n">
        <v>493916.6</v>
      </c>
      <c r="AD14" s="15" t="n">
        <v>440146.47</v>
      </c>
      <c r="AE14" s="15" t="n">
        <v>4850238.33</v>
      </c>
      <c r="AF14" s="15" t="n">
        <v>302128.11</v>
      </c>
      <c r="AG14" s="15" t="n">
        <v>533980.48</v>
      </c>
      <c r="AH14" s="15" t="n">
        <v>390211.73</v>
      </c>
      <c r="AI14" s="15" t="n">
        <v>666175.4300000001</v>
      </c>
      <c r="AJ14" s="15" t="n">
        <v>348117.43</v>
      </c>
      <c r="AK14" s="15" t="n">
        <v>2870596.18</v>
      </c>
      <c r="AL14" s="15" t="n">
        <v>6468855</v>
      </c>
      <c r="AM14" s="15" t="n">
        <v>1206969.98</v>
      </c>
      <c r="AN14" s="15" t="n">
        <v>2933956.04</v>
      </c>
      <c r="AO14" s="15" t="n">
        <v>552387.14</v>
      </c>
      <c r="AP14" s="15" t="n">
        <v>1237783.23</v>
      </c>
      <c r="AQ14" s="15" t="n">
        <v>375917.73</v>
      </c>
      <c r="AR14" s="15" t="n">
        <v>5704145.69</v>
      </c>
      <c r="AS14" s="15" t="n">
        <v>356569.38</v>
      </c>
      <c r="AT14" s="15" t="n">
        <v>2506568.99</v>
      </c>
      <c r="AU14" s="15" t="n">
        <v>466654.78</v>
      </c>
      <c r="AV14" s="15" t="n">
        <v>2214883.88</v>
      </c>
      <c r="AW14" s="15" t="n">
        <v>1428610.2</v>
      </c>
      <c r="AX14" s="15" t="n">
        <v>6341693.42</v>
      </c>
      <c r="AY14" s="15" t="n">
        <v>3367393.45</v>
      </c>
      <c r="AZ14" s="15" t="n">
        <v>1422142.12</v>
      </c>
      <c r="BA14" s="15" t="n">
        <v>338664.76</v>
      </c>
      <c r="BB14" s="15" t="n">
        <v>65476.04</v>
      </c>
      <c r="BC14" s="15" t="n">
        <v>5718931.03</v>
      </c>
      <c r="BD14" s="15" t="n">
        <v>2800181.7</v>
      </c>
      <c r="BE14" s="15" t="n">
        <v>4226914.58</v>
      </c>
      <c r="BF14" s="15" t="n">
        <v>2388220.01</v>
      </c>
      <c r="BG14" s="15" t="n">
        <v>534396.25</v>
      </c>
      <c r="BH14" s="15" t="n">
        <v>456454.29</v>
      </c>
      <c r="BI14" s="15" t="n">
        <v>851326.13</v>
      </c>
      <c r="BJ14" s="15" t="n">
        <v>3047677.67</v>
      </c>
      <c r="BK14" s="15" t="n">
        <v>340363.18</v>
      </c>
      <c r="BL14" s="15" t="n">
        <v>421137.82</v>
      </c>
      <c r="BM14" s="15" t="n">
        <v>58157.3</v>
      </c>
      <c r="BN14" s="15" t="n">
        <v>1804341.41</v>
      </c>
      <c r="BO14" s="15" t="n">
        <v>4527173.93</v>
      </c>
      <c r="BP14" s="15" t="n">
        <v>7342191.41</v>
      </c>
      <c r="BQ14" s="15" t="n">
        <v>3516510.59</v>
      </c>
      <c r="BR14" s="15" t="n">
        <v>912526.37</v>
      </c>
      <c r="BS14" s="15" t="n">
        <v>510380.12</v>
      </c>
      <c r="BT14" s="15" t="n">
        <v>1223591.05</v>
      </c>
      <c r="BU14" s="15" t="n">
        <v>5614401.35</v>
      </c>
      <c r="BV14" s="15" t="n">
        <v>2051126.49</v>
      </c>
      <c r="BW14" s="15" t="n">
        <v>1269399.71</v>
      </c>
      <c r="BX14" s="15" t="n">
        <v>489027.81</v>
      </c>
      <c r="BY14" s="15" t="n">
        <v>424255.93</v>
      </c>
      <c r="BZ14" s="15" t="n">
        <v>611593.34</v>
      </c>
      <c r="CA14" s="15" t="n">
        <v>4151792.89</v>
      </c>
      <c r="CB14" s="15" t="n">
        <v>1934563.3</v>
      </c>
      <c r="CC14" s="15" t="n">
        <v>490451.69</v>
      </c>
      <c r="CD14" s="15" t="n">
        <v>2557955.07</v>
      </c>
      <c r="CE14" s="15" t="n">
        <v>449774.8</v>
      </c>
      <c r="CF14" s="15" t="n">
        <v>374718.08</v>
      </c>
      <c r="CG14" s="15" t="n">
        <v>2555140.08</v>
      </c>
      <c r="CH14" s="15" t="n">
        <v>2079841.23</v>
      </c>
      <c r="CI14" s="15" t="n">
        <v>4175671.24</v>
      </c>
      <c r="CJ14" s="15" t="n">
        <v>939693.8</v>
      </c>
      <c r="CK14" s="15" t="n">
        <v>528507.22</v>
      </c>
      <c r="CL14" s="15" t="n">
        <v>1984420.02</v>
      </c>
      <c r="CM14" s="15" t="n">
        <v>4302176.05</v>
      </c>
      <c r="CN14" s="15" t="n">
        <v>2752187.67</v>
      </c>
      <c r="CO14" s="15" t="n">
        <v>2102806.79</v>
      </c>
      <c r="CP14" s="15" t="n">
        <v>1536009.71</v>
      </c>
      <c r="CQ14" s="15" t="n">
        <v>100241.36</v>
      </c>
      <c r="CR14" s="15" t="n">
        <v>843994.67</v>
      </c>
      <c r="CS14" s="15" t="n">
        <v>1255108.52</v>
      </c>
      <c r="CT14" s="15" t="n">
        <v>952580.4399999999</v>
      </c>
      <c r="CU14" s="15" t="n">
        <v>3219470.75</v>
      </c>
      <c r="CV14" s="15" t="n">
        <v>885053.7</v>
      </c>
      <c r="CW14" s="15" t="n">
        <v>549991.95</v>
      </c>
      <c r="CX14" s="15" t="n">
        <v>1379806.11</v>
      </c>
      <c r="CY14" s="15" t="n">
        <v>965117.35</v>
      </c>
      <c r="CZ14" s="15" t="n">
        <v>5510704.06</v>
      </c>
      <c r="DA14" s="15" t="n">
        <v>2423258.82</v>
      </c>
      <c r="DB14" s="15" t="n">
        <v>424186.59</v>
      </c>
      <c r="DC14" s="15" t="n">
        <v>121623.32</v>
      </c>
      <c r="DD14" s="15" t="n">
        <v>1441076.54</v>
      </c>
      <c r="DE14" s="15" t="n">
        <v>5425141.77</v>
      </c>
      <c r="DF14" s="15" t="n">
        <v>1336300.24</v>
      </c>
      <c r="DG14" s="15" t="n">
        <v>2734682.77</v>
      </c>
      <c r="DH14" s="15" t="n">
        <v>649745.59</v>
      </c>
      <c r="DI14" s="15" t="n">
        <v>648935.29</v>
      </c>
      <c r="DJ14" s="15" t="n">
        <v>2031276.77</v>
      </c>
      <c r="DK14" s="15" t="n">
        <v>2917686.45</v>
      </c>
      <c r="DL14" s="15" t="n">
        <v>902361</v>
      </c>
      <c r="DM14" s="15" t="n">
        <v>1892168.56</v>
      </c>
      <c r="DN14" s="15" t="n">
        <v>2452632.8</v>
      </c>
      <c r="DO14" s="15" t="n">
        <v>537211.6899999999</v>
      </c>
      <c r="DP14" s="15" t="n">
        <v>1654436.18</v>
      </c>
    </row>
    <row r="15">
      <c r="A15" s="4" t="inlineStr">
        <is>
          <t>酱料</t>
        </is>
      </c>
      <c r="B15" s="15" t="n">
        <v>2184280.77</v>
      </c>
      <c r="C15" s="15" t="n">
        <v>268318.04</v>
      </c>
      <c r="D15" s="15" t="n">
        <v>2193350.81</v>
      </c>
      <c r="E15" s="15" t="n">
        <v>301237.44</v>
      </c>
      <c r="F15" s="15" t="n">
        <v>1392639.05</v>
      </c>
      <c r="G15" s="15" t="n">
        <v>703878.8199999999</v>
      </c>
      <c r="H15" s="15" t="n">
        <v>1350773.63</v>
      </c>
      <c r="I15" s="15" t="n">
        <v>1755979.47</v>
      </c>
      <c r="J15" s="15" t="n">
        <v>1528783.74</v>
      </c>
      <c r="K15" s="15" t="n">
        <v>718396.28</v>
      </c>
      <c r="L15" s="15" t="n">
        <v>2160300.97</v>
      </c>
      <c r="M15" s="15" t="n">
        <v>2179264.3</v>
      </c>
      <c r="N15" s="15" t="n">
        <v>7042266.33</v>
      </c>
      <c r="O15" s="15" t="n">
        <v>3209411.26</v>
      </c>
      <c r="P15" s="15" t="n">
        <v>2419831.24</v>
      </c>
      <c r="Q15" s="15" t="n">
        <v>405944.29</v>
      </c>
      <c r="R15" s="15" t="n">
        <v>1237907.63</v>
      </c>
      <c r="S15" s="15" t="n">
        <v>342622.99</v>
      </c>
      <c r="T15" s="15" t="n">
        <v>5845845.17</v>
      </c>
      <c r="U15" s="15" t="n">
        <v>1377515.4</v>
      </c>
      <c r="V15" s="15" t="n">
        <v>1920199.82</v>
      </c>
      <c r="W15" s="15" t="n">
        <v>446931.96</v>
      </c>
      <c r="X15" s="15" t="n">
        <v>132755.75</v>
      </c>
      <c r="Y15" s="15" t="n">
        <v>5684308.83</v>
      </c>
      <c r="Z15" s="15" t="n">
        <v>4015282.52</v>
      </c>
      <c r="AA15" s="15" t="n">
        <v>3257117.09</v>
      </c>
      <c r="AB15" s="15" t="n">
        <v>430450.61</v>
      </c>
      <c r="AC15" s="15" t="n">
        <v>588185.14</v>
      </c>
      <c r="AD15" s="15" t="n">
        <v>1994795.69</v>
      </c>
      <c r="AE15" s="15" t="n">
        <v>3003364.7</v>
      </c>
      <c r="AF15" s="15" t="n">
        <v>5990232.71</v>
      </c>
      <c r="AG15" s="15" t="n">
        <v>895091.33</v>
      </c>
      <c r="AH15" s="15" t="n">
        <v>1886102.03</v>
      </c>
      <c r="AI15" s="15" t="n">
        <v>248984</v>
      </c>
      <c r="AJ15" s="15" t="n">
        <v>375736.67</v>
      </c>
      <c r="AK15" s="15" t="n">
        <v>5474643.54</v>
      </c>
      <c r="AL15" s="15" t="n">
        <v>1834890.17</v>
      </c>
      <c r="AM15" s="15" t="n">
        <v>2906892.5</v>
      </c>
      <c r="AN15" s="15" t="n">
        <v>2644328.48</v>
      </c>
      <c r="AO15" s="15" t="n">
        <v>157241.84</v>
      </c>
      <c r="AP15" s="15" t="n">
        <v>1708219.13</v>
      </c>
      <c r="AQ15" s="15" t="n">
        <v>4326855.24</v>
      </c>
      <c r="AR15" s="15" t="n">
        <v>3972217.7</v>
      </c>
      <c r="AS15" s="15" t="n">
        <v>1042333.33</v>
      </c>
      <c r="AT15" s="15" t="n">
        <v>1272144.92</v>
      </c>
      <c r="AU15" s="15" t="n">
        <v>563443.65</v>
      </c>
      <c r="AV15" s="15" t="n">
        <v>177122.58</v>
      </c>
      <c r="AW15" s="15" t="n">
        <v>4970246.23</v>
      </c>
      <c r="AX15" s="15" t="n">
        <v>2683637.45</v>
      </c>
      <c r="AY15" s="15" t="n">
        <v>271093.66</v>
      </c>
      <c r="AZ15" s="15" t="n">
        <v>439721.65</v>
      </c>
      <c r="BA15" s="15" t="n">
        <v>16040.15</v>
      </c>
      <c r="BB15" s="15" t="n">
        <v>824607.66</v>
      </c>
      <c r="BC15" s="15" t="n">
        <v>1090988.13</v>
      </c>
      <c r="BD15" s="15" t="n">
        <v>2042328.64</v>
      </c>
      <c r="BE15" s="15" t="n">
        <v>4032689.1</v>
      </c>
      <c r="BF15" s="15" t="n">
        <v>1891121.87</v>
      </c>
      <c r="BG15" s="15" t="n">
        <v>716013.11</v>
      </c>
      <c r="BH15" s="15" t="n">
        <v>1477115.86</v>
      </c>
      <c r="BI15" s="15" t="n">
        <v>2385953.04</v>
      </c>
      <c r="BJ15" s="15" t="n">
        <v>6597482.24</v>
      </c>
      <c r="BK15" s="15" t="n">
        <v>3029189.79</v>
      </c>
      <c r="BL15" s="15" t="n">
        <v>1166493.32</v>
      </c>
      <c r="BM15" s="15" t="n">
        <v>595704.25</v>
      </c>
      <c r="BN15" s="15" t="n">
        <v>1819855.22</v>
      </c>
      <c r="BO15" s="15" t="n">
        <v>1393467.33</v>
      </c>
      <c r="BP15" s="15" t="n">
        <v>3800879.85</v>
      </c>
      <c r="BQ15" s="15" t="n">
        <v>1682857.62</v>
      </c>
      <c r="BR15" s="15" t="n">
        <v>1088726.72</v>
      </c>
      <c r="BS15" s="15" t="n">
        <v>197740.39</v>
      </c>
      <c r="BT15" s="15" t="n">
        <v>2172459.56</v>
      </c>
      <c r="BU15" s="15" t="n">
        <v>2213846.41</v>
      </c>
      <c r="BV15" s="15" t="n">
        <v>181615.42</v>
      </c>
      <c r="BW15" s="15" t="n">
        <v>2593974.95</v>
      </c>
      <c r="BX15" s="15" t="n">
        <v>607799.87</v>
      </c>
      <c r="BY15" s="15" t="n">
        <v>423743.63</v>
      </c>
      <c r="BZ15" s="15" t="n">
        <v>266052.4</v>
      </c>
      <c r="CA15" s="15" t="n">
        <v>4031762.14</v>
      </c>
      <c r="CB15" s="15" t="n">
        <v>4327332.27</v>
      </c>
      <c r="CC15" s="15" t="n">
        <v>1683559.15</v>
      </c>
      <c r="CD15" s="15" t="n">
        <v>1444639.36</v>
      </c>
      <c r="CE15" s="15" t="n">
        <v>169050.48</v>
      </c>
      <c r="CF15" s="15" t="n">
        <v>293994</v>
      </c>
      <c r="CG15" s="15" t="n">
        <v>2761837.85</v>
      </c>
      <c r="CH15" s="15" t="n">
        <v>6247571.82</v>
      </c>
      <c r="CI15" s="15" t="n">
        <v>1094312.72</v>
      </c>
      <c r="CJ15" s="15" t="n">
        <v>2947744.16</v>
      </c>
      <c r="CK15" s="15" t="n">
        <v>465041.07</v>
      </c>
      <c r="CL15" s="15" t="n">
        <v>2221705.32</v>
      </c>
      <c r="CM15" s="15" t="n">
        <v>5347839.09</v>
      </c>
      <c r="CN15" s="15" t="n">
        <v>2172404.69</v>
      </c>
      <c r="CO15" s="15" t="n">
        <v>467650.24</v>
      </c>
      <c r="CP15" s="15" t="n">
        <v>954682.4399999999</v>
      </c>
      <c r="CQ15" s="15" t="n">
        <v>264815.85</v>
      </c>
      <c r="CR15" s="15" t="n">
        <v>1978994.84</v>
      </c>
      <c r="CS15" s="15" t="n">
        <v>4631095.57</v>
      </c>
      <c r="CT15" s="15" t="n">
        <v>5180074.33</v>
      </c>
      <c r="CU15" s="15" t="n">
        <v>2091560.14</v>
      </c>
      <c r="CV15" s="15" t="n">
        <v>2739973.36</v>
      </c>
      <c r="CW15" s="15" t="n">
        <v>289241.95</v>
      </c>
      <c r="CX15" s="15" t="n">
        <v>1329197.95</v>
      </c>
      <c r="CY15" s="15" t="n">
        <v>5383316.29</v>
      </c>
      <c r="CZ15" s="15" t="n">
        <v>346982.6</v>
      </c>
      <c r="DA15" s="15" t="n">
        <v>748755.33</v>
      </c>
      <c r="DB15" s="15" t="n">
        <v>1646008.69</v>
      </c>
      <c r="DC15" s="15" t="n">
        <v>28624.92</v>
      </c>
      <c r="DD15" s="15" t="n">
        <v>1249113.64</v>
      </c>
      <c r="DE15" s="15" t="n">
        <v>2895764.73</v>
      </c>
      <c r="DF15" s="15" t="n">
        <v>1420238.19</v>
      </c>
      <c r="DG15" s="15" t="n">
        <v>2563017.95</v>
      </c>
      <c r="DH15" s="15" t="n">
        <v>1895919.27</v>
      </c>
      <c r="DI15" s="15" t="n">
        <v>77762.75999999999</v>
      </c>
      <c r="DJ15" s="15" t="n">
        <v>99386.35000000001</v>
      </c>
      <c r="DK15" s="15" t="n">
        <v>4548665.31</v>
      </c>
      <c r="DL15" s="15" t="n">
        <v>3989983.11</v>
      </c>
      <c r="DM15" s="15" t="n">
        <v>3817639.74</v>
      </c>
      <c r="DN15" s="15" t="n">
        <v>2927174.09</v>
      </c>
      <c r="DO15" s="15" t="n">
        <v>270169.65</v>
      </c>
      <c r="DP15" s="15" t="n">
        <v>325542.57</v>
      </c>
    </row>
    <row r="16">
      <c r="A16" s="4" t="inlineStr">
        <is>
          <t>川味底料</t>
        </is>
      </c>
      <c r="B16" s="15" t="n">
        <v>7470350.81</v>
      </c>
      <c r="C16" s="15" t="n">
        <v>3175572.45</v>
      </c>
      <c r="D16" s="15" t="n">
        <v>1723597.27</v>
      </c>
      <c r="E16" s="15" t="n">
        <v>582732.91</v>
      </c>
      <c r="F16" s="15" t="n">
        <v>35082.46</v>
      </c>
      <c r="G16" s="15" t="n">
        <v>1353065.46</v>
      </c>
      <c r="H16" s="15" t="n">
        <v>6124519.14</v>
      </c>
      <c r="I16" s="15" t="n">
        <v>3665147.56</v>
      </c>
      <c r="J16" s="15" t="n">
        <v>2723590.97</v>
      </c>
      <c r="K16" s="15" t="n">
        <v>671847.52</v>
      </c>
      <c r="L16" s="15" t="n">
        <v>1016040.66</v>
      </c>
      <c r="M16" s="15" t="n">
        <v>2851605.23</v>
      </c>
      <c r="N16" s="15" t="n">
        <v>2728230.34</v>
      </c>
      <c r="O16" s="15" t="n">
        <v>2119676.15</v>
      </c>
      <c r="P16" s="15" t="n">
        <v>1353074.88</v>
      </c>
      <c r="Q16" s="15" t="n">
        <v>471475.46</v>
      </c>
      <c r="R16" s="15" t="n">
        <v>204136.93</v>
      </c>
      <c r="S16" s="15" t="n">
        <v>1276079.61</v>
      </c>
      <c r="T16" s="15" t="n">
        <v>6170027.4</v>
      </c>
      <c r="U16" s="15" t="n">
        <v>2519020.61</v>
      </c>
      <c r="V16" s="15" t="n">
        <v>1629133.95</v>
      </c>
      <c r="W16" s="15" t="n">
        <v>598858.8100000001</v>
      </c>
      <c r="X16" s="15" t="n">
        <v>1902496.54</v>
      </c>
      <c r="Y16" s="15" t="n">
        <v>5329617.82</v>
      </c>
      <c r="Z16" s="15" t="n">
        <v>2230119.16</v>
      </c>
      <c r="AA16" s="15" t="n">
        <v>385635.79</v>
      </c>
      <c r="AB16" s="15" t="n">
        <v>1028574.03</v>
      </c>
      <c r="AC16" s="15" t="n">
        <v>139435.51</v>
      </c>
      <c r="AD16" s="15" t="n">
        <v>1728002.8</v>
      </c>
      <c r="AE16" s="15" t="n">
        <v>1764493.91</v>
      </c>
      <c r="AF16" s="15" t="n">
        <v>7109104.05</v>
      </c>
      <c r="AG16" s="15" t="n">
        <v>4203449.85</v>
      </c>
      <c r="AH16" s="15" t="n">
        <v>169825.6</v>
      </c>
      <c r="AI16" s="15" t="n">
        <v>392229.1</v>
      </c>
      <c r="AJ16" s="15" t="n">
        <v>1092961.94</v>
      </c>
      <c r="AK16" s="15" t="n">
        <v>3022514.46</v>
      </c>
      <c r="AL16" s="15" t="n">
        <v>2719182.08</v>
      </c>
      <c r="AM16" s="15" t="n">
        <v>3179945.31</v>
      </c>
      <c r="AN16" s="15" t="n">
        <v>1469244.9</v>
      </c>
      <c r="AO16" s="15" t="n">
        <v>265396.22</v>
      </c>
      <c r="AP16" s="15" t="n">
        <v>1080084.87</v>
      </c>
      <c r="AQ16" s="15" t="n">
        <v>5703018.87</v>
      </c>
      <c r="AR16" s="15" t="n">
        <v>185912.14</v>
      </c>
      <c r="AS16" s="15" t="n">
        <v>1584017.72</v>
      </c>
      <c r="AT16" s="15" t="n">
        <v>2266578.95</v>
      </c>
      <c r="AU16" s="15" t="n">
        <v>238190.67</v>
      </c>
      <c r="AV16" s="15" t="n">
        <v>-190109.97</v>
      </c>
      <c r="AW16" s="15" t="n">
        <v>3757444.46</v>
      </c>
      <c r="AX16" s="15" t="n">
        <v>6829178.67</v>
      </c>
      <c r="AY16" s="15" t="n">
        <v>866052.02</v>
      </c>
      <c r="AZ16" s="15" t="n">
        <v>766879.71</v>
      </c>
      <c r="BA16" s="15" t="n">
        <v>318041.59</v>
      </c>
      <c r="BB16" s="15" t="n">
        <v>442732.63</v>
      </c>
      <c r="BC16" s="15" t="n">
        <v>2432875.08</v>
      </c>
      <c r="BD16" s="15" t="n">
        <v>3423050.77</v>
      </c>
      <c r="BE16" s="15" t="n">
        <v>2302519.19</v>
      </c>
      <c r="BF16" s="15" t="n">
        <v>2867641.94</v>
      </c>
      <c r="BG16" s="15" t="n">
        <v>91722.24000000001</v>
      </c>
      <c r="BH16" s="15" t="n">
        <v>2023743.63</v>
      </c>
      <c r="BI16" s="15" t="n">
        <v>1813631.67</v>
      </c>
      <c r="BJ16" s="15" t="n">
        <v>5220020.38</v>
      </c>
      <c r="BK16" s="15" t="n">
        <v>263578.11</v>
      </c>
      <c r="BL16" s="15" t="n">
        <v>2385892.83</v>
      </c>
      <c r="BM16" s="15" t="n">
        <v>690360.76</v>
      </c>
      <c r="BN16" s="15" t="n">
        <v>1360817.51</v>
      </c>
      <c r="BO16" s="15" t="n">
        <v>1709894.53</v>
      </c>
      <c r="BP16" s="15" t="n">
        <v>5016655.34</v>
      </c>
      <c r="BQ16" s="15" t="n">
        <v>4117673.01</v>
      </c>
      <c r="BR16" s="15" t="n">
        <v>2055477.65</v>
      </c>
      <c r="BS16" s="15" t="n">
        <v>521249.48</v>
      </c>
      <c r="BT16" s="15" t="n">
        <v>2011995.6</v>
      </c>
      <c r="BU16" s="15" t="n">
        <v>979871.03</v>
      </c>
      <c r="BV16" s="15" t="n">
        <v>3729405.44</v>
      </c>
      <c r="BW16" s="15" t="n">
        <v>1792551.32</v>
      </c>
      <c r="BX16" s="15" t="n">
        <v>1997325.15</v>
      </c>
      <c r="BY16" s="15" t="n">
        <v>697864.17</v>
      </c>
      <c r="BZ16" s="15" t="n">
        <v>1242174.05</v>
      </c>
      <c r="CA16" s="15" t="n">
        <v>1302997.56</v>
      </c>
      <c r="CB16" s="15" t="n">
        <v>4368858.16</v>
      </c>
      <c r="CC16" s="15" t="n">
        <v>1353620.78</v>
      </c>
      <c r="CD16" s="15" t="n">
        <v>1294462.21</v>
      </c>
      <c r="CE16" s="15" t="n">
        <v>660932.6800000001</v>
      </c>
      <c r="CF16" s="15" t="n">
        <v>2116183.32</v>
      </c>
      <c r="CG16" s="15" t="n">
        <v>4542682.51</v>
      </c>
      <c r="CH16" s="15" t="n">
        <v>2925795.92</v>
      </c>
      <c r="CI16" s="15" t="n">
        <v>1220766.67</v>
      </c>
      <c r="CJ16" s="15" t="n">
        <v>129531.44</v>
      </c>
      <c r="CK16" s="15" t="n">
        <v>423595.89</v>
      </c>
      <c r="CL16" s="15" t="n">
        <v>1430900.23</v>
      </c>
      <c r="CM16" s="15" t="n">
        <v>4071452.12</v>
      </c>
      <c r="CN16" s="15" t="n">
        <v>5258072.65</v>
      </c>
      <c r="CO16" s="15" t="n">
        <v>2575651.62</v>
      </c>
      <c r="CP16" s="15" t="n">
        <v>2215254.25</v>
      </c>
      <c r="CQ16" s="15" t="n">
        <v>650693.4300000001</v>
      </c>
      <c r="CR16" s="15" t="n">
        <v>1476006.99</v>
      </c>
      <c r="CS16" s="15" t="n">
        <v>5035265.49</v>
      </c>
      <c r="CT16" s="15" t="n">
        <v>2795280.62</v>
      </c>
      <c r="CU16" s="15" t="n">
        <v>1477674.72</v>
      </c>
      <c r="CV16" s="15" t="n">
        <v>834077.24</v>
      </c>
      <c r="CW16" s="15" t="n">
        <v>70401.60000000001</v>
      </c>
      <c r="CX16" s="15" t="n">
        <v>1616168.15</v>
      </c>
      <c r="CY16" s="15" t="n">
        <v>441056.17</v>
      </c>
      <c r="CZ16" s="15" t="n">
        <v>4895376.18</v>
      </c>
      <c r="DA16" s="15" t="n">
        <v>4223229.35</v>
      </c>
      <c r="DB16" s="15" t="n">
        <v>1389458.83</v>
      </c>
      <c r="DC16" s="15" t="n">
        <v>126158.61</v>
      </c>
      <c r="DD16" s="15" t="n">
        <v>793418.24</v>
      </c>
      <c r="DE16" s="15" t="n">
        <v>5703750.89</v>
      </c>
      <c r="DF16" s="15" t="n">
        <v>3854427.3</v>
      </c>
      <c r="DG16" s="15" t="n">
        <v>2845430.82</v>
      </c>
      <c r="DH16" s="15" t="n">
        <v>1969762.73</v>
      </c>
      <c r="DI16" s="15" t="n">
        <v>345762.23</v>
      </c>
      <c r="DJ16" s="15" t="n">
        <v>1258432.91</v>
      </c>
      <c r="DK16" s="15" t="n">
        <v>1984142.84</v>
      </c>
      <c r="DL16" s="15" t="n">
        <v>3490678.4</v>
      </c>
      <c r="DM16" s="15" t="n">
        <v>321017.4</v>
      </c>
      <c r="DN16" s="15" t="n">
        <v>2902035.39</v>
      </c>
      <c r="DO16" s="15" t="n">
        <v>219873.64</v>
      </c>
      <c r="DP16" s="15" t="n">
        <v>242540.83</v>
      </c>
    </row>
    <row r="17">
      <c r="A17" s="4" t="inlineStr">
        <is>
          <t>调味汁</t>
        </is>
      </c>
      <c r="B17" s="15" t="n">
        <v>6349800.87</v>
      </c>
      <c r="C17" s="15" t="n">
        <v>1991416.06</v>
      </c>
      <c r="D17" s="15" t="n">
        <v>819930.42</v>
      </c>
      <c r="E17" s="15" t="n">
        <v>511704.63</v>
      </c>
      <c r="F17" s="15" t="n">
        <v>1223972.04</v>
      </c>
      <c r="G17" s="15" t="n">
        <v>5990253.07</v>
      </c>
      <c r="H17" s="15" t="n">
        <v>6958320.96</v>
      </c>
      <c r="I17" s="15" t="n">
        <v>1230779.85</v>
      </c>
      <c r="J17" s="15" t="n">
        <v>763137.95</v>
      </c>
      <c r="K17" s="15" t="n">
        <v>703326.4300000001</v>
      </c>
      <c r="L17" s="15" t="n">
        <v>1093783.66</v>
      </c>
      <c r="M17" s="15" t="n">
        <v>1709994.4</v>
      </c>
      <c r="N17" s="15" t="n">
        <v>170160.72</v>
      </c>
      <c r="O17" s="15" t="n">
        <v>263213.93</v>
      </c>
      <c r="P17" s="15" t="n">
        <v>1895950.54</v>
      </c>
      <c r="Q17" s="15" t="n">
        <v>162665.95</v>
      </c>
      <c r="R17" s="15" t="n">
        <v>578629.46</v>
      </c>
      <c r="S17" s="15" t="n">
        <v>4834588.35</v>
      </c>
      <c r="T17" s="15" t="n">
        <v>6309320.61</v>
      </c>
      <c r="U17" s="15" t="n">
        <v>1736120.27</v>
      </c>
      <c r="V17" s="15" t="n">
        <v>2365513.5</v>
      </c>
      <c r="W17" s="15" t="n">
        <v>146149.16</v>
      </c>
      <c r="X17" s="15" t="n">
        <v>801879.22</v>
      </c>
      <c r="Y17" s="15" t="n">
        <v>4219783.91</v>
      </c>
      <c r="Z17" s="15" t="n">
        <v>4482743.05</v>
      </c>
      <c r="AA17" s="15" t="n">
        <v>3427715.81</v>
      </c>
      <c r="AB17" s="15" t="n">
        <v>2506027.69</v>
      </c>
      <c r="AC17" s="15" t="n">
        <v>583489.83</v>
      </c>
      <c r="AD17" s="15" t="n">
        <v>2098208.84</v>
      </c>
      <c r="AE17" s="15" t="n">
        <v>1416986.58</v>
      </c>
      <c r="AF17" s="15" t="n">
        <v>7272354.56</v>
      </c>
      <c r="AG17" s="15" t="n">
        <v>3288415.81</v>
      </c>
      <c r="AH17" s="15" t="n">
        <v>1424780.17</v>
      </c>
      <c r="AI17" s="15" t="n">
        <v>168131.96</v>
      </c>
      <c r="AJ17" s="15" t="n">
        <v>572838.26</v>
      </c>
      <c r="AK17" s="15" t="n">
        <v>3038340.5</v>
      </c>
      <c r="AL17" s="15" t="n">
        <v>1186227.59</v>
      </c>
      <c r="AM17" s="15" t="n">
        <v>1807219.49</v>
      </c>
      <c r="AN17" s="15" t="n">
        <v>1466788.77</v>
      </c>
      <c r="AO17" s="15" t="n">
        <v>150674.58</v>
      </c>
      <c r="AP17" s="15" t="n">
        <v>-115468.28</v>
      </c>
      <c r="AQ17" s="15" t="n">
        <v>5133493.61</v>
      </c>
      <c r="AR17" s="15" t="n">
        <v>185718.53</v>
      </c>
      <c r="AS17" s="15" t="n">
        <v>2526818.78</v>
      </c>
      <c r="AT17" s="15" t="n">
        <v>1043998.03</v>
      </c>
      <c r="AU17" s="15" t="n">
        <v>499902.82</v>
      </c>
      <c r="AV17" s="15" t="n">
        <v>1899432.93</v>
      </c>
      <c r="AW17" s="15" t="n">
        <v>2171687.28</v>
      </c>
      <c r="AX17" s="15" t="n">
        <v>4464286.69</v>
      </c>
      <c r="AY17" s="15" t="n">
        <v>1710278.91</v>
      </c>
      <c r="AZ17" s="15" t="n">
        <v>451328.67</v>
      </c>
      <c r="BA17" s="15" t="n">
        <v>239126.95</v>
      </c>
      <c r="BB17" s="15" t="n">
        <v>568069.02</v>
      </c>
      <c r="BC17" s="15" t="n">
        <v>2403556.6</v>
      </c>
      <c r="BD17" s="15" t="n">
        <v>294949.03</v>
      </c>
      <c r="BE17" s="15" t="n">
        <v>2649272.1</v>
      </c>
      <c r="BF17" s="15" t="n">
        <v>2359906.87</v>
      </c>
      <c r="BG17" s="15" t="n">
        <v>642744.75</v>
      </c>
      <c r="BH17" s="15" t="n">
        <v>1932427.36</v>
      </c>
      <c r="BI17" s="15" t="n">
        <v>2081829.1</v>
      </c>
      <c r="BJ17" s="15" t="n">
        <v>3759624.52</v>
      </c>
      <c r="BK17" s="15" t="n">
        <v>2461223.74</v>
      </c>
      <c r="BL17" s="15" t="n">
        <v>1239575.18</v>
      </c>
      <c r="BM17" s="15" t="n">
        <v>460225.47</v>
      </c>
      <c r="BN17" s="15" t="n">
        <v>1479347.87</v>
      </c>
      <c r="BO17" s="15" t="n">
        <v>1328571.4</v>
      </c>
      <c r="BP17" s="15" t="n">
        <v>1636057.04</v>
      </c>
      <c r="BQ17" s="15" t="n">
        <v>4103280.9</v>
      </c>
      <c r="BR17" s="15" t="n">
        <v>247329.14</v>
      </c>
      <c r="BS17" s="15" t="n">
        <v>684008.21</v>
      </c>
      <c r="BT17" s="15" t="n">
        <v>327019.02</v>
      </c>
      <c r="BU17" s="15" t="n">
        <v>3864810.71</v>
      </c>
      <c r="BV17" s="15" t="n">
        <v>2637076.89</v>
      </c>
      <c r="BW17" s="15" t="n">
        <v>923702.3100000001</v>
      </c>
      <c r="BX17" s="15" t="n">
        <v>1777271.21</v>
      </c>
      <c r="BY17" s="15" t="n">
        <v>252535.31</v>
      </c>
      <c r="BZ17" s="15" t="n">
        <v>1567304.6</v>
      </c>
      <c r="CA17" s="15" t="n">
        <v>3272300.43</v>
      </c>
      <c r="CB17" s="15" t="n">
        <v>4681513.52</v>
      </c>
      <c r="CC17" s="15" t="n">
        <v>3087272.3</v>
      </c>
      <c r="CD17" s="15" t="n">
        <v>2993957.31</v>
      </c>
      <c r="CE17" s="15" t="n">
        <v>341199.2</v>
      </c>
      <c r="CF17" s="15" t="n">
        <v>1536324.53</v>
      </c>
      <c r="CG17" s="15" t="n">
        <v>2714201.2</v>
      </c>
      <c r="CH17" s="15" t="n">
        <v>7244799.05</v>
      </c>
      <c r="CI17" s="15" t="n">
        <v>3337378.63</v>
      </c>
      <c r="CJ17" s="15" t="n">
        <v>2409766.37</v>
      </c>
      <c r="CK17" s="15" t="n">
        <v>328249.8</v>
      </c>
      <c r="CL17" s="15" t="n">
        <v>-236520.33</v>
      </c>
      <c r="CM17" s="15" t="n">
        <v>1721451.85</v>
      </c>
      <c r="CN17" s="15" t="n">
        <v>2923355.06</v>
      </c>
      <c r="CO17" s="15" t="n">
        <v>3757203.14</v>
      </c>
      <c r="CP17" s="15" t="n">
        <v>2367923.01</v>
      </c>
      <c r="CQ17" s="15" t="n">
        <v>196927.61</v>
      </c>
      <c r="CR17" s="15" t="n">
        <v>835106.29</v>
      </c>
      <c r="CS17" s="15" t="n">
        <v>5958050.96</v>
      </c>
      <c r="CT17" s="15" t="n">
        <v>5911915.44</v>
      </c>
      <c r="CU17" s="15" t="n">
        <v>3323657.39</v>
      </c>
      <c r="CV17" s="15" t="n">
        <v>265654.25</v>
      </c>
      <c r="CW17" s="15" t="n">
        <v>652748.14</v>
      </c>
      <c r="CX17" s="15" t="n">
        <v>944912.21</v>
      </c>
      <c r="CY17" s="15" t="n">
        <v>1936168.27</v>
      </c>
      <c r="CZ17" s="15" t="n">
        <v>7132942.24</v>
      </c>
      <c r="DA17" s="15" t="n">
        <v>958660.88</v>
      </c>
      <c r="DB17" s="15" t="n">
        <v>1692663.45</v>
      </c>
      <c r="DC17" s="15" t="n">
        <v>75599.39999999999</v>
      </c>
      <c r="DD17" s="15" t="n">
        <v>1556932.4</v>
      </c>
      <c r="DE17" s="15" t="n">
        <v>4976442.24</v>
      </c>
      <c r="DF17" s="15" t="n">
        <v>6788696.63</v>
      </c>
      <c r="DG17" s="15" t="n">
        <v>1141174.56</v>
      </c>
      <c r="DH17" s="15" t="n">
        <v>2733962.73</v>
      </c>
      <c r="DI17" s="15" t="n">
        <v>351947.25</v>
      </c>
      <c r="DJ17" s="15" t="n">
        <v>175469.3</v>
      </c>
      <c r="DK17" s="15" t="n">
        <v>586494.33</v>
      </c>
      <c r="DL17" s="15" t="n">
        <v>2779737.33</v>
      </c>
      <c r="DM17" s="15" t="n">
        <v>2198021.33</v>
      </c>
      <c r="DN17" s="15" t="n">
        <v>1484684.48</v>
      </c>
      <c r="DO17" s="15" t="n">
        <v>236272.32</v>
      </c>
      <c r="DP17" s="15" t="n">
        <v>-284161.16</v>
      </c>
    </row>
    <row r="18">
      <c r="A18" s="4" t="inlineStr">
        <is>
          <t>复合调味粉</t>
        </is>
      </c>
      <c r="B18" s="15" t="n">
        <v>2539003.2</v>
      </c>
      <c r="C18" s="15" t="n">
        <v>4377559.2</v>
      </c>
      <c r="D18" s="15" t="n">
        <v>2505019.96</v>
      </c>
      <c r="E18" s="15" t="n">
        <v>336288.15</v>
      </c>
      <c r="F18" s="15" t="n">
        <v>10944.7</v>
      </c>
      <c r="G18" s="15" t="n">
        <v>997535.47</v>
      </c>
      <c r="H18" s="15" t="n">
        <v>5738300.06</v>
      </c>
      <c r="I18" s="15" t="n">
        <v>3284750.19</v>
      </c>
      <c r="J18" s="15" t="n">
        <v>943590.34</v>
      </c>
      <c r="K18" s="15" t="n">
        <v>216429.53</v>
      </c>
      <c r="L18" s="15" t="n">
        <v>947033.72</v>
      </c>
      <c r="M18" s="15" t="n">
        <v>2245900.3</v>
      </c>
      <c r="N18" s="15" t="n">
        <v>1868919.4</v>
      </c>
      <c r="O18" s="15" t="n">
        <v>370122.48</v>
      </c>
      <c r="P18" s="15" t="n">
        <v>353216.37</v>
      </c>
      <c r="Q18" s="15" t="n">
        <v>554499.67</v>
      </c>
      <c r="R18" s="15" t="n">
        <v>982938.66</v>
      </c>
      <c r="S18" s="15" t="n">
        <v>2884340.55</v>
      </c>
      <c r="T18" s="15" t="n">
        <v>3224246.83</v>
      </c>
      <c r="U18" s="15" t="n">
        <v>3215816.99</v>
      </c>
      <c r="V18" s="15" t="n">
        <v>2067566.67</v>
      </c>
      <c r="W18" s="15" t="n">
        <v>141438.51</v>
      </c>
      <c r="X18" s="15" t="n">
        <v>1314131.88</v>
      </c>
      <c r="Y18" s="15" t="n">
        <v>921755.4399999999</v>
      </c>
      <c r="Z18" s="15" t="n">
        <v>5396114.73</v>
      </c>
      <c r="AA18" s="15" t="n">
        <v>2631226.39</v>
      </c>
      <c r="AB18" s="15" t="n">
        <v>1768136.66</v>
      </c>
      <c r="AC18" s="15" t="n">
        <v>603738.45</v>
      </c>
      <c r="AD18" s="15" t="n">
        <v>1987486.62</v>
      </c>
      <c r="AE18" s="15" t="n">
        <v>4925065.93</v>
      </c>
      <c r="AF18" s="15" t="n">
        <v>1320230.72</v>
      </c>
      <c r="AG18" s="15" t="n">
        <v>1474930.77</v>
      </c>
      <c r="AH18" s="15" t="n">
        <v>2362877.02</v>
      </c>
      <c r="AI18" s="15" t="n">
        <v>25509.41</v>
      </c>
      <c r="AJ18" s="15" t="n">
        <v>1481625.29</v>
      </c>
      <c r="AK18" s="15" t="n">
        <v>842790.9</v>
      </c>
      <c r="AL18" s="15" t="n">
        <v>6479567.86</v>
      </c>
      <c r="AM18" s="15" t="n">
        <v>701279.8100000001</v>
      </c>
      <c r="AN18" s="15" t="n">
        <v>2097239.1</v>
      </c>
      <c r="AO18" s="15" t="n">
        <v>227759.22</v>
      </c>
      <c r="AP18" s="15" t="n">
        <v>396416.14</v>
      </c>
      <c r="AQ18" s="15" t="n">
        <v>3127363.16</v>
      </c>
      <c r="AR18" s="15" t="n">
        <v>6934017.19</v>
      </c>
      <c r="AS18" s="15" t="n">
        <v>1638379.33</v>
      </c>
      <c r="AT18" s="15" t="n">
        <v>1376536.6</v>
      </c>
      <c r="AU18" s="15" t="n">
        <v>599375.47</v>
      </c>
      <c r="AV18" s="15" t="n">
        <v>-118768.47</v>
      </c>
      <c r="AW18" s="15" t="n">
        <v>5000680.67</v>
      </c>
      <c r="AX18" s="15" t="n">
        <v>5050640.49</v>
      </c>
      <c r="AY18" s="15" t="n">
        <v>577141.76</v>
      </c>
      <c r="AZ18" s="15" t="n">
        <v>2853326.53</v>
      </c>
      <c r="BA18" s="15" t="n">
        <v>492679.08</v>
      </c>
      <c r="BB18" s="15" t="n">
        <v>668669.8100000001</v>
      </c>
      <c r="BC18" s="15" t="n">
        <v>161550</v>
      </c>
      <c r="BD18" s="15" t="n">
        <v>2470032.84</v>
      </c>
      <c r="BE18" s="15" t="n">
        <v>2506928.12</v>
      </c>
      <c r="BF18" s="15" t="n">
        <v>2518340.12</v>
      </c>
      <c r="BG18" s="15" t="n">
        <v>438896.74</v>
      </c>
      <c r="BH18" s="15" t="n">
        <v>1974454.86</v>
      </c>
      <c r="BI18" s="15" t="n">
        <v>2482991.98</v>
      </c>
      <c r="BJ18" s="15" t="n">
        <v>6168126.45</v>
      </c>
      <c r="BK18" s="15" t="n">
        <v>1457614.6</v>
      </c>
      <c r="BL18" s="15" t="n">
        <v>1337308.43</v>
      </c>
      <c r="BM18" s="15" t="n">
        <v>309493.64</v>
      </c>
      <c r="BN18" s="15" t="n">
        <v>2047594.15</v>
      </c>
      <c r="BO18" s="15" t="n">
        <v>4937117.8</v>
      </c>
      <c r="BP18" s="15" t="n">
        <v>7103911.39</v>
      </c>
      <c r="BQ18" s="15" t="n">
        <v>3405594.4</v>
      </c>
      <c r="BR18" s="15" t="n">
        <v>1216510.7</v>
      </c>
      <c r="BS18" s="15" t="n">
        <v>288745.42</v>
      </c>
      <c r="BT18" s="15" t="n">
        <v>908277.09</v>
      </c>
      <c r="BU18" s="15" t="n">
        <v>2666178.8</v>
      </c>
      <c r="BV18" s="15" t="n">
        <v>3096399.72</v>
      </c>
      <c r="BW18" s="15" t="n">
        <v>1200031.87</v>
      </c>
      <c r="BX18" s="15" t="n">
        <v>2918813.99</v>
      </c>
      <c r="BY18" s="15" t="n">
        <v>49448.66</v>
      </c>
      <c r="BZ18" s="15" t="n">
        <v>599610.9399999999</v>
      </c>
      <c r="CA18" s="15" t="n">
        <v>169513.42</v>
      </c>
      <c r="CB18" s="15" t="n">
        <v>5083424.91</v>
      </c>
      <c r="CC18" s="15" t="n">
        <v>4183915.91</v>
      </c>
      <c r="CD18" s="15" t="n">
        <v>2554108.57</v>
      </c>
      <c r="CE18" s="15" t="n">
        <v>117663.56</v>
      </c>
      <c r="CF18" s="15" t="n">
        <v>811265.35</v>
      </c>
      <c r="CG18" s="15" t="n">
        <v>2057649.76</v>
      </c>
      <c r="CH18" s="15" t="n">
        <v>2506816.3</v>
      </c>
      <c r="CI18" s="15" t="n">
        <v>906050.41</v>
      </c>
      <c r="CJ18" s="15" t="n">
        <v>1488303.99</v>
      </c>
      <c r="CK18" s="15" t="n">
        <v>60586.94</v>
      </c>
      <c r="CL18" s="15" t="n">
        <v>1161727.14</v>
      </c>
      <c r="CM18" s="15" t="n">
        <v>3279243.62</v>
      </c>
      <c r="CN18" s="15" t="n">
        <v>3789043.12</v>
      </c>
      <c r="CO18" s="15" t="n">
        <v>682526.7</v>
      </c>
      <c r="CP18" s="15" t="n">
        <v>1688185.67</v>
      </c>
      <c r="CQ18" s="15" t="n">
        <v>373423.17</v>
      </c>
      <c r="CR18" s="15" t="n">
        <v>66157.77</v>
      </c>
      <c r="CS18" s="15" t="n">
        <v>2240285.79</v>
      </c>
      <c r="CT18" s="15" t="n">
        <v>5591944.57</v>
      </c>
      <c r="CU18" s="15" t="n">
        <v>715087.48</v>
      </c>
      <c r="CV18" s="15" t="n">
        <v>44692.27</v>
      </c>
      <c r="CW18" s="15" t="n">
        <v>71598.67</v>
      </c>
      <c r="CX18" s="15" t="n">
        <v>1484570.53</v>
      </c>
      <c r="CY18" s="15" t="n">
        <v>2247474.41</v>
      </c>
      <c r="CZ18" s="15" t="n">
        <v>448353.41</v>
      </c>
      <c r="DA18" s="15" t="n">
        <v>4016713.31</v>
      </c>
      <c r="DB18" s="15" t="n">
        <v>535398.1</v>
      </c>
      <c r="DC18" s="15" t="n">
        <v>622748.99</v>
      </c>
      <c r="DD18" s="15" t="n">
        <v>891903.66</v>
      </c>
      <c r="DE18" s="15" t="n">
        <v>4115098.79</v>
      </c>
      <c r="DF18" s="15" t="n">
        <v>4893357.59</v>
      </c>
      <c r="DG18" s="15" t="n">
        <v>1994213.98</v>
      </c>
      <c r="DH18" s="15" t="n">
        <v>2066146.19</v>
      </c>
      <c r="DI18" s="15" t="n">
        <v>40505.27</v>
      </c>
      <c r="DJ18" s="15" t="n">
        <v>668754.04</v>
      </c>
      <c r="DK18" s="15" t="n">
        <v>2936241.87</v>
      </c>
      <c r="DL18" s="15" t="n">
        <v>2393881.02</v>
      </c>
      <c r="DM18" s="15" t="n">
        <v>3886305.98</v>
      </c>
      <c r="DN18" s="15" t="n">
        <v>1312423.1</v>
      </c>
      <c r="DO18" s="15" t="n">
        <v>444354.85</v>
      </c>
      <c r="DP18" s="15" t="n">
        <v>326672.58</v>
      </c>
    </row>
    <row r="19">
      <c r="A19" s="4" t="inlineStr">
        <is>
          <t>团餐</t>
        </is>
      </c>
      <c r="B19" s="15" t="n">
        <v>6030737.94</v>
      </c>
      <c r="C19" s="15" t="n">
        <v>476845.63</v>
      </c>
      <c r="D19" s="15" t="n">
        <v>764099.97</v>
      </c>
      <c r="E19" s="15" t="n">
        <v>157575.78</v>
      </c>
      <c r="F19" s="15" t="n">
        <v>1087163.8</v>
      </c>
      <c r="G19" s="15" t="n">
        <v>1236720.71</v>
      </c>
      <c r="H19" s="15" t="n">
        <v>4315028.88</v>
      </c>
      <c r="I19" s="15" t="n">
        <v>4049100.69</v>
      </c>
      <c r="J19" s="15" t="n">
        <v>748188.89</v>
      </c>
      <c r="K19" s="15" t="n">
        <v>29566.38</v>
      </c>
      <c r="L19" s="15" t="n">
        <v>-98601.11</v>
      </c>
      <c r="M19" s="15" t="n">
        <v>5540067.14</v>
      </c>
      <c r="N19" s="15" t="n">
        <v>6037139.54</v>
      </c>
      <c r="O19" s="15" t="n">
        <v>2331648.12</v>
      </c>
      <c r="P19" s="15" t="n">
        <v>2015694.2</v>
      </c>
      <c r="Q19" s="15" t="n">
        <v>309355.5</v>
      </c>
      <c r="R19" s="15" t="n">
        <v>341559.46</v>
      </c>
      <c r="S19" s="15" t="n">
        <v>3246849.18</v>
      </c>
      <c r="T19" s="15" t="n">
        <v>2672065.38</v>
      </c>
      <c r="U19" s="15" t="n">
        <v>2286853.27</v>
      </c>
      <c r="V19" s="15" t="n">
        <v>1133446.11</v>
      </c>
      <c r="W19" s="15" t="n">
        <v>526949.22</v>
      </c>
      <c r="X19" s="15" t="n">
        <v>606471.84</v>
      </c>
      <c r="Y19" s="15" t="n">
        <v>3468737.51</v>
      </c>
      <c r="Z19" s="15" t="n">
        <v>916913.54</v>
      </c>
      <c r="AA19" s="15" t="n">
        <v>419955.01</v>
      </c>
      <c r="AB19" s="15" t="n">
        <v>602786.26</v>
      </c>
      <c r="AC19" s="15" t="n">
        <v>462330.4</v>
      </c>
      <c r="AD19" s="15" t="n">
        <v>2087826.74</v>
      </c>
      <c r="AE19" s="15" t="n">
        <v>2157079.59</v>
      </c>
      <c r="AF19" s="15" t="n">
        <v>5350208.31</v>
      </c>
      <c r="AG19" s="15" t="n">
        <v>2397675.59</v>
      </c>
      <c r="AH19" s="15" t="n">
        <v>972622.29</v>
      </c>
      <c r="AI19" s="15" t="n">
        <v>704032.62</v>
      </c>
      <c r="AJ19" s="15" t="n">
        <v>2141997.02</v>
      </c>
      <c r="AK19" s="15" t="n">
        <v>5292605.96</v>
      </c>
      <c r="AL19" s="15" t="n">
        <v>1617933.68</v>
      </c>
      <c r="AM19" s="15" t="n">
        <v>2302369.49</v>
      </c>
      <c r="AN19" s="15" t="n">
        <v>2146478.93</v>
      </c>
      <c r="AO19" s="15" t="n">
        <v>80409.33</v>
      </c>
      <c r="AP19" s="15" t="n">
        <v>315916.54</v>
      </c>
      <c r="AQ19" s="15" t="n">
        <v>2172693.33</v>
      </c>
      <c r="AR19" s="15" t="n">
        <v>3071012.77</v>
      </c>
      <c r="AS19" s="15" t="n">
        <v>1960783.56</v>
      </c>
      <c r="AT19" s="15" t="n">
        <v>1864355.35</v>
      </c>
      <c r="AU19" s="15" t="n">
        <v>730431.95</v>
      </c>
      <c r="AV19" s="15" t="n">
        <v>330979.22</v>
      </c>
      <c r="AW19" s="15" t="n">
        <v>5923606.77</v>
      </c>
      <c r="AX19" s="15" t="n">
        <v>6087957.8</v>
      </c>
      <c r="AY19" s="15" t="n">
        <v>2482906.27</v>
      </c>
      <c r="AZ19" s="15" t="n">
        <v>2422673.2</v>
      </c>
      <c r="BA19" s="15" t="n">
        <v>276219.9</v>
      </c>
      <c r="BB19" s="15" t="n">
        <v>1957325.56</v>
      </c>
      <c r="BC19" s="15" t="n">
        <v>3278725.48</v>
      </c>
      <c r="BD19" s="15" t="n">
        <v>5032564.67</v>
      </c>
      <c r="BE19" s="15" t="n">
        <v>391166.62</v>
      </c>
      <c r="BF19" s="15" t="n">
        <v>1970379.2</v>
      </c>
      <c r="BG19" s="15" t="n">
        <v>693716.39</v>
      </c>
      <c r="BH19" s="15" t="n">
        <v>533902.9300000001</v>
      </c>
      <c r="BI19" s="15" t="n">
        <v>4133198.35</v>
      </c>
      <c r="BJ19" s="15" t="n">
        <v>6794090.37</v>
      </c>
      <c r="BK19" s="15" t="n">
        <v>3143927.64</v>
      </c>
      <c r="BL19" s="15" t="n">
        <v>1812017.3</v>
      </c>
      <c r="BM19" s="15" t="n">
        <v>566229.53</v>
      </c>
      <c r="BN19" s="15" t="n">
        <v>2232624.28</v>
      </c>
      <c r="BO19" s="15" t="n">
        <v>4676491.27</v>
      </c>
      <c r="BP19" s="15" t="n">
        <v>6883535.65</v>
      </c>
      <c r="BQ19" s="15" t="n">
        <v>1995847.57</v>
      </c>
      <c r="BR19" s="15" t="n">
        <v>813298.84</v>
      </c>
      <c r="BS19" s="15" t="n">
        <v>327057.64</v>
      </c>
      <c r="BT19" s="15" t="n">
        <v>1237031.11</v>
      </c>
      <c r="BU19" s="15" t="n">
        <v>3846865.15</v>
      </c>
      <c r="BV19" s="15" t="n">
        <v>3243652.68</v>
      </c>
      <c r="BW19" s="15" t="n">
        <v>4274992.52</v>
      </c>
      <c r="BX19" s="15" t="n">
        <v>1787976.17</v>
      </c>
      <c r="BY19" s="15" t="n">
        <v>304100.76</v>
      </c>
      <c r="BZ19" s="15" t="n">
        <v>1957579.56</v>
      </c>
      <c r="CA19" s="15" t="n">
        <v>5622850.69</v>
      </c>
      <c r="CB19" s="15" t="n">
        <v>2237085.8</v>
      </c>
      <c r="CC19" s="15" t="n">
        <v>1993418.6</v>
      </c>
      <c r="CD19" s="15" t="n">
        <v>2584217.44</v>
      </c>
      <c r="CE19" s="15" t="n">
        <v>629834.8100000001</v>
      </c>
      <c r="CF19" s="15" t="n">
        <v>937378.28</v>
      </c>
      <c r="CG19" s="15" t="n">
        <v>3588345.8</v>
      </c>
      <c r="CH19" s="15" t="n">
        <v>1555608.91</v>
      </c>
      <c r="CI19" s="15" t="n">
        <v>2212914.37</v>
      </c>
      <c r="CJ19" s="15" t="n">
        <v>2188850.9</v>
      </c>
      <c r="CK19" s="15" t="n">
        <v>460559.1</v>
      </c>
      <c r="CL19" s="15" t="n">
        <v>2215838.39</v>
      </c>
      <c r="CM19" s="15" t="n">
        <v>651880.45</v>
      </c>
      <c r="CN19" s="15" t="n">
        <v>6601284.1</v>
      </c>
      <c r="CO19" s="15" t="n">
        <v>668222.35</v>
      </c>
      <c r="CP19" s="15" t="n">
        <v>2964506.19</v>
      </c>
      <c r="CQ19" s="15" t="n">
        <v>615307.3199999999</v>
      </c>
      <c r="CR19" s="15" t="n">
        <v>960855.65</v>
      </c>
      <c r="CS19" s="15" t="n">
        <v>573220.5</v>
      </c>
      <c r="CT19" s="15" t="n">
        <v>5728665.58</v>
      </c>
      <c r="CU19" s="15" t="n">
        <v>3087368.11</v>
      </c>
      <c r="CV19" s="15" t="n">
        <v>2990519.88</v>
      </c>
      <c r="CW19" s="15" t="n">
        <v>244913.91</v>
      </c>
      <c r="CX19" s="15" t="n">
        <v>1536759.88</v>
      </c>
      <c r="CY19" s="15" t="n">
        <v>4095451</v>
      </c>
      <c r="CZ19" s="15" t="n">
        <v>1084970.15</v>
      </c>
      <c r="DA19" s="15" t="n">
        <v>129815.11</v>
      </c>
      <c r="DB19" s="15" t="n">
        <v>1633878.68</v>
      </c>
      <c r="DC19" s="15" t="n">
        <v>500400.42</v>
      </c>
      <c r="DD19" s="15" t="n">
        <v>105055.87</v>
      </c>
      <c r="DE19" s="15" t="n">
        <v>5500828.97</v>
      </c>
      <c r="DF19" s="15" t="n">
        <v>1062870.22</v>
      </c>
      <c r="DG19" s="15" t="n">
        <v>3884608.58</v>
      </c>
      <c r="DH19" s="15" t="n">
        <v>1115031.58</v>
      </c>
      <c r="DI19" s="15" t="n">
        <v>70295.17</v>
      </c>
      <c r="DJ19" s="15" t="n">
        <v>-194262.53</v>
      </c>
      <c r="DK19" s="15" t="n">
        <v>1731215.35</v>
      </c>
      <c r="DL19" s="15" t="n">
        <v>2736045.26</v>
      </c>
      <c r="DM19" s="15" t="n">
        <v>3602607.88</v>
      </c>
      <c r="DN19" s="15" t="n">
        <v>539419.96</v>
      </c>
      <c r="DO19" s="15" t="n">
        <v>238988.3</v>
      </c>
      <c r="DP19" s="15" t="n">
        <v>2214869.23</v>
      </c>
    </row>
    <row r="20">
      <c r="A20" s="4" t="inlineStr">
        <is>
          <t>预制菜</t>
        </is>
      </c>
      <c r="B20" s="15" t="n">
        <v>2139365.25</v>
      </c>
      <c r="C20" s="15" t="n">
        <v>3126849.3</v>
      </c>
      <c r="D20" s="15" t="n">
        <v>476997.94</v>
      </c>
      <c r="E20" s="15" t="n">
        <v>83980.10000000001</v>
      </c>
      <c r="F20" s="15" t="n">
        <v>558283.34</v>
      </c>
      <c r="G20" s="15" t="n">
        <v>2519241.79</v>
      </c>
      <c r="H20" s="15" t="n">
        <v>4796447.13</v>
      </c>
      <c r="I20" s="15" t="n">
        <v>1129973.82</v>
      </c>
      <c r="J20" s="15" t="n">
        <v>660048.63</v>
      </c>
      <c r="K20" s="15" t="n">
        <v>513413.32</v>
      </c>
      <c r="L20" s="15" t="n">
        <v>-207002.64</v>
      </c>
      <c r="M20" s="15" t="n">
        <v>1035274.17</v>
      </c>
      <c r="N20" s="15" t="n">
        <v>1536287.77</v>
      </c>
      <c r="O20" s="15" t="n">
        <v>669811.6</v>
      </c>
      <c r="P20" s="15" t="n">
        <v>410833.41</v>
      </c>
      <c r="Q20" s="15" t="n">
        <v>191828.03</v>
      </c>
      <c r="R20" s="15" t="n">
        <v>1073072.99</v>
      </c>
      <c r="S20" s="15" t="n">
        <v>5731928.02</v>
      </c>
      <c r="T20" s="15" t="n">
        <v>256527.2</v>
      </c>
      <c r="U20" s="15" t="n">
        <v>326615.25</v>
      </c>
      <c r="V20" s="15" t="n">
        <v>1498712.51</v>
      </c>
      <c r="W20" s="15" t="n">
        <v>245326.39</v>
      </c>
      <c r="X20" s="15" t="n">
        <v>1880573.84</v>
      </c>
      <c r="Y20" s="15" t="n">
        <v>4569499.16</v>
      </c>
      <c r="Z20" s="15" t="n">
        <v>6310653.5</v>
      </c>
      <c r="AA20" s="15" t="n">
        <v>379056.82</v>
      </c>
      <c r="AB20" s="15" t="n">
        <v>842753.61</v>
      </c>
      <c r="AC20" s="15" t="n">
        <v>132324.35</v>
      </c>
      <c r="AD20" s="15" t="n">
        <v>59915.49</v>
      </c>
      <c r="AE20" s="15" t="n">
        <v>1784524.82</v>
      </c>
      <c r="AF20" s="15" t="n">
        <v>2336814.54</v>
      </c>
      <c r="AG20" s="15" t="n">
        <v>3410833.79</v>
      </c>
      <c r="AH20" s="15" t="n">
        <v>1059179.8</v>
      </c>
      <c r="AI20" s="15" t="n">
        <v>373576.49</v>
      </c>
      <c r="AJ20" s="15" t="n">
        <v>641135.0600000001</v>
      </c>
      <c r="AK20" s="15" t="n">
        <v>4588605.3</v>
      </c>
      <c r="AL20" s="15" t="n">
        <v>5630379.03</v>
      </c>
      <c r="AM20" s="15" t="n">
        <v>1026499.78</v>
      </c>
      <c r="AN20" s="15" t="n">
        <v>2605344.87</v>
      </c>
      <c r="AO20" s="15" t="n">
        <v>707120.8100000001</v>
      </c>
      <c r="AP20" s="15" t="n">
        <v>1014503.02</v>
      </c>
      <c r="AQ20" s="15" t="n">
        <v>5147215.79</v>
      </c>
      <c r="AR20" s="15" t="n">
        <v>4851435.07</v>
      </c>
      <c r="AS20" s="15" t="n">
        <v>3979491.45</v>
      </c>
      <c r="AT20" s="15" t="n">
        <v>1836061.21</v>
      </c>
      <c r="AU20" s="15" t="n">
        <v>357238.51</v>
      </c>
      <c r="AV20" s="15" t="n">
        <v>56270.39</v>
      </c>
      <c r="AW20" s="15" t="n">
        <v>1706598.97</v>
      </c>
      <c r="AX20" s="15" t="n">
        <v>2371757.35</v>
      </c>
      <c r="AY20" s="15" t="n">
        <v>3563910.6</v>
      </c>
      <c r="AZ20" s="15" t="n">
        <v>285535.81</v>
      </c>
      <c r="BA20" s="15" t="n">
        <v>681864.54</v>
      </c>
      <c r="BB20" s="15" t="n">
        <v>-269337.18</v>
      </c>
      <c r="BC20" s="15" t="n">
        <v>2967192.87</v>
      </c>
      <c r="BD20" s="15" t="n">
        <v>5069168.49</v>
      </c>
      <c r="BE20" s="15" t="n">
        <v>856856</v>
      </c>
      <c r="BF20" s="15" t="n">
        <v>2042704.76</v>
      </c>
      <c r="BG20" s="15" t="n">
        <v>531414.14</v>
      </c>
      <c r="BH20" s="15" t="n">
        <v>315891.7</v>
      </c>
      <c r="BI20" s="15" t="n">
        <v>5580261.62</v>
      </c>
      <c r="BJ20" s="15" t="n">
        <v>5710208.06</v>
      </c>
      <c r="BK20" s="15" t="n">
        <v>2246327.54</v>
      </c>
      <c r="BL20" s="15" t="n">
        <v>1899911.36</v>
      </c>
      <c r="BM20" s="15" t="n">
        <v>177149.6</v>
      </c>
      <c r="BN20" s="15" t="n">
        <v>812221.1899999999</v>
      </c>
      <c r="BO20" s="15" t="n">
        <v>2137707.54</v>
      </c>
      <c r="BP20" s="15" t="n">
        <v>3390144.77</v>
      </c>
      <c r="BQ20" s="15" t="n">
        <v>376083.71</v>
      </c>
      <c r="BR20" s="15" t="n">
        <v>408003.17</v>
      </c>
      <c r="BS20" s="15" t="n">
        <v>277371.37</v>
      </c>
      <c r="BT20" s="15" t="n">
        <v>2114884.69</v>
      </c>
      <c r="BU20" s="15" t="n">
        <v>2104813.02</v>
      </c>
      <c r="BV20" s="15" t="n">
        <v>2428387.13</v>
      </c>
      <c r="BW20" s="15" t="n">
        <v>4176977.41</v>
      </c>
      <c r="BX20" s="15" t="n">
        <v>885658.64</v>
      </c>
      <c r="BY20" s="15" t="n">
        <v>704142.91</v>
      </c>
      <c r="BZ20" s="15" t="n">
        <v>158297.42</v>
      </c>
      <c r="CA20" s="15" t="n">
        <v>2411047.27</v>
      </c>
      <c r="CB20" s="15" t="n">
        <v>3295731.52</v>
      </c>
      <c r="CC20" s="15" t="n">
        <v>1587572.67</v>
      </c>
      <c r="CD20" s="15" t="n">
        <v>2059523.65</v>
      </c>
      <c r="CE20" s="15" t="n">
        <v>441371.83</v>
      </c>
      <c r="CF20" s="15" t="n">
        <v>1736524.73</v>
      </c>
      <c r="CG20" s="15" t="n">
        <v>3513352.42</v>
      </c>
      <c r="CH20" s="15" t="n">
        <v>6544218.9</v>
      </c>
      <c r="CI20" s="15" t="n">
        <v>2767824.64</v>
      </c>
      <c r="CJ20" s="15" t="n">
        <v>562319.3199999999</v>
      </c>
      <c r="CK20" s="15" t="n">
        <v>535235.03</v>
      </c>
      <c r="CL20" s="15" t="n">
        <v>1822285.36</v>
      </c>
      <c r="CM20" s="15" t="n">
        <v>5774910.96</v>
      </c>
      <c r="CN20" s="15" t="n">
        <v>2691231.32</v>
      </c>
      <c r="CO20" s="15" t="n">
        <v>4207782.24</v>
      </c>
      <c r="CP20" s="15" t="n">
        <v>321719.13</v>
      </c>
      <c r="CQ20" s="15" t="n">
        <v>665256.16</v>
      </c>
      <c r="CR20" s="15" t="n">
        <v>1817791.6</v>
      </c>
      <c r="CS20" s="15" t="n">
        <v>1428790.58</v>
      </c>
      <c r="CT20" s="15" t="n">
        <v>1984272.76</v>
      </c>
      <c r="CU20" s="15" t="n">
        <v>312877.8</v>
      </c>
      <c r="CV20" s="15" t="n">
        <v>498064.58</v>
      </c>
      <c r="CW20" s="15" t="n">
        <v>469766.63</v>
      </c>
      <c r="CX20" s="15" t="n">
        <v>1589179.79</v>
      </c>
      <c r="CY20" s="15" t="n">
        <v>5837905.24</v>
      </c>
      <c r="CZ20" s="15" t="n">
        <v>4883650.37</v>
      </c>
      <c r="DA20" s="15" t="n">
        <v>1547780.32</v>
      </c>
      <c r="DB20" s="15" t="n">
        <v>567378.64</v>
      </c>
      <c r="DC20" s="15" t="n">
        <v>226695.79</v>
      </c>
      <c r="DD20" s="15" t="n">
        <v>838480.95</v>
      </c>
      <c r="DE20" s="15" t="n">
        <v>1230989.66</v>
      </c>
      <c r="DF20" s="15" t="n">
        <v>5330690.67</v>
      </c>
      <c r="DG20" s="15" t="n">
        <v>3760150.03</v>
      </c>
      <c r="DH20" s="15" t="n">
        <v>237516.18</v>
      </c>
      <c r="DI20" s="15" t="n">
        <v>111724.15</v>
      </c>
      <c r="DJ20" s="15" t="n">
        <v>1905414.04</v>
      </c>
      <c r="DK20" s="15" t="n">
        <v>5203554.28</v>
      </c>
      <c r="DL20" s="15" t="n">
        <v>1774697.6</v>
      </c>
      <c r="DM20" s="15" t="n">
        <v>4142608.4</v>
      </c>
      <c r="DN20" s="15" t="n">
        <v>2075308.03</v>
      </c>
      <c r="DO20" s="15" t="n">
        <v>95587.05</v>
      </c>
      <c r="DP20" s="15" t="n">
        <v>2215312.32</v>
      </c>
    </row>
    <row r="21">
      <c r="A21" s="4" t="inlineStr">
        <is>
          <t>其他产品A</t>
        </is>
      </c>
      <c r="B21" s="15" t="n">
        <v>2697784.91</v>
      </c>
      <c r="C21" s="15" t="n">
        <v>1159073.97</v>
      </c>
      <c r="D21" s="15" t="n">
        <v>2099548.07</v>
      </c>
      <c r="E21" s="15" t="n">
        <v>281534.21</v>
      </c>
      <c r="F21" s="15" t="n">
        <v>877996.78</v>
      </c>
      <c r="G21" s="15" t="n">
        <v>5530104.44</v>
      </c>
      <c r="H21" s="15" t="n">
        <v>7124672.23</v>
      </c>
      <c r="I21" s="15" t="n">
        <v>3627001.64</v>
      </c>
      <c r="J21" s="15" t="n">
        <v>280299.09</v>
      </c>
      <c r="K21" s="15" t="n">
        <v>558455.6</v>
      </c>
      <c r="L21" s="15" t="n">
        <v>774627.16</v>
      </c>
      <c r="M21" s="15" t="n">
        <v>4079242.1</v>
      </c>
      <c r="N21" s="15" t="n">
        <v>7375227.57</v>
      </c>
      <c r="O21" s="15" t="n">
        <v>238160.27</v>
      </c>
      <c r="P21" s="15" t="n">
        <v>2780632.81</v>
      </c>
      <c r="Q21" s="15" t="n">
        <v>302823.28</v>
      </c>
      <c r="R21" s="15" t="n">
        <v>1366283.79</v>
      </c>
      <c r="S21" s="15" t="n">
        <v>4077090.58</v>
      </c>
      <c r="T21" s="15" t="n">
        <v>4545593.95</v>
      </c>
      <c r="U21" s="15" t="n">
        <v>292234.45</v>
      </c>
      <c r="V21" s="15" t="n">
        <v>2159910.02</v>
      </c>
      <c r="W21" s="15" t="n">
        <v>628107.77</v>
      </c>
      <c r="X21" s="15" t="n">
        <v>183453.88</v>
      </c>
      <c r="Y21" s="15" t="n">
        <v>1596971.21</v>
      </c>
      <c r="Z21" s="15" t="n">
        <v>1734590.63</v>
      </c>
      <c r="AA21" s="15" t="n">
        <v>1267671.41</v>
      </c>
      <c r="AB21" s="15" t="n">
        <v>775410.8199999999</v>
      </c>
      <c r="AC21" s="15" t="n">
        <v>620428.4300000001</v>
      </c>
      <c r="AD21" s="15" t="n">
        <v>1609309.19</v>
      </c>
      <c r="AE21" s="15" t="n">
        <v>3432951.59</v>
      </c>
      <c r="AF21" s="15" t="n">
        <v>5988708.53</v>
      </c>
      <c r="AG21" s="15" t="n">
        <v>2684136.09</v>
      </c>
      <c r="AH21" s="15" t="n">
        <v>781061.28</v>
      </c>
      <c r="AI21" s="15" t="n">
        <v>129887.94</v>
      </c>
      <c r="AJ21" s="15" t="n">
        <v>1638375.89</v>
      </c>
      <c r="AK21" s="15" t="n">
        <v>5548842.1</v>
      </c>
      <c r="AL21" s="15" t="n">
        <v>204797.94</v>
      </c>
      <c r="AM21" s="15" t="n">
        <v>338611.09</v>
      </c>
      <c r="AN21" s="15" t="n">
        <v>1898876.48</v>
      </c>
      <c r="AO21" s="15" t="n">
        <v>136385.25</v>
      </c>
      <c r="AP21" s="15" t="n">
        <v>1967436.67</v>
      </c>
      <c r="AQ21" s="15" t="n">
        <v>2715647.82</v>
      </c>
      <c r="AR21" s="15" t="n">
        <v>5425852.96</v>
      </c>
      <c r="AS21" s="15" t="n">
        <v>1143886.38</v>
      </c>
      <c r="AT21" s="15" t="n">
        <v>496915.37</v>
      </c>
      <c r="AU21" s="15" t="n">
        <v>388830.08</v>
      </c>
      <c r="AV21" s="15" t="n">
        <v>1860305.18</v>
      </c>
      <c r="AW21" s="15" t="n">
        <v>3102753.08</v>
      </c>
      <c r="AX21" s="15" t="n">
        <v>6636387.15</v>
      </c>
      <c r="AY21" s="15" t="n">
        <v>2057024.75</v>
      </c>
      <c r="AZ21" s="15" t="n">
        <v>1649740.27</v>
      </c>
      <c r="BA21" s="15" t="n">
        <v>506460.88</v>
      </c>
      <c r="BB21" s="15" t="n">
        <v>-28619.89</v>
      </c>
      <c r="BC21" s="15" t="n">
        <v>3657318.66</v>
      </c>
      <c r="BD21" s="15" t="n">
        <v>1754499.81</v>
      </c>
      <c r="BE21" s="15" t="n">
        <v>2473194.97</v>
      </c>
      <c r="BF21" s="15" t="n">
        <v>1135235</v>
      </c>
      <c r="BG21" s="15" t="n">
        <v>44026.83</v>
      </c>
      <c r="BH21" s="15" t="n">
        <v>-188825.25</v>
      </c>
      <c r="BI21" s="15" t="n">
        <v>375118.29</v>
      </c>
      <c r="BJ21" s="15" t="n">
        <v>590978.53</v>
      </c>
      <c r="BK21" s="15" t="n">
        <v>1955410.66</v>
      </c>
      <c r="BL21" s="15" t="n">
        <v>1913384.76</v>
      </c>
      <c r="BM21" s="15" t="n">
        <v>118275.32</v>
      </c>
      <c r="BN21" s="15" t="n">
        <v>1011921.36</v>
      </c>
      <c r="BO21" s="15" t="n">
        <v>5179544.76</v>
      </c>
      <c r="BP21" s="15" t="n">
        <v>4893607.16</v>
      </c>
      <c r="BQ21" s="15" t="n">
        <v>2188473.56</v>
      </c>
      <c r="BR21" s="15" t="n">
        <v>1354454.91</v>
      </c>
      <c r="BS21" s="15" t="n">
        <v>258068.62</v>
      </c>
      <c r="BT21" s="15" t="n">
        <v>726342.4300000001</v>
      </c>
      <c r="BU21" s="15" t="n">
        <v>3362989.6</v>
      </c>
      <c r="BV21" s="15" t="n">
        <v>1036377.11</v>
      </c>
      <c r="BW21" s="15" t="n">
        <v>820730.4</v>
      </c>
      <c r="BX21" s="15" t="n">
        <v>1984468.1</v>
      </c>
      <c r="BY21" s="15" t="n">
        <v>723486.35</v>
      </c>
      <c r="BZ21" s="15" t="n">
        <v>1368267.42</v>
      </c>
      <c r="CA21" s="15" t="n">
        <v>1539015.84</v>
      </c>
      <c r="CB21" s="15" t="n">
        <v>2165500.05</v>
      </c>
      <c r="CC21" s="15" t="n">
        <v>1947304.04</v>
      </c>
      <c r="CD21" s="15" t="n">
        <v>673296.4300000001</v>
      </c>
      <c r="CE21" s="15" t="n">
        <v>150100.72</v>
      </c>
      <c r="CF21" s="15" t="n">
        <v>431957.25</v>
      </c>
      <c r="CG21" s="15" t="n">
        <v>2345821.49</v>
      </c>
      <c r="CH21" s="15" t="n">
        <v>4916528.13</v>
      </c>
      <c r="CI21" s="15" t="n">
        <v>4377129.86</v>
      </c>
      <c r="CJ21" s="15" t="n">
        <v>2020353.82</v>
      </c>
      <c r="CK21" s="15" t="n">
        <v>643917.95</v>
      </c>
      <c r="CL21" s="15" t="n">
        <v>1047322.93</v>
      </c>
      <c r="CM21" s="15" t="n">
        <v>5637053.81</v>
      </c>
      <c r="CN21" s="15" t="n">
        <v>5818500.95</v>
      </c>
      <c r="CO21" s="15" t="n">
        <v>1563754.83</v>
      </c>
      <c r="CP21" s="15" t="n">
        <v>2253236.52</v>
      </c>
      <c r="CQ21" s="15" t="n">
        <v>555112.5</v>
      </c>
      <c r="CR21" s="15" t="n">
        <v>548887.14</v>
      </c>
      <c r="CS21" s="15" t="n">
        <v>2857371.62</v>
      </c>
      <c r="CT21" s="15" t="n">
        <v>3788840.54</v>
      </c>
      <c r="CU21" s="15" t="n">
        <v>1472897.36</v>
      </c>
      <c r="CV21" s="15" t="n">
        <v>2964690.63</v>
      </c>
      <c r="CW21" s="15" t="n">
        <v>64969</v>
      </c>
      <c r="CX21" s="15" t="n">
        <v>2222804.45</v>
      </c>
      <c r="CY21" s="15" t="n">
        <v>2274731.29</v>
      </c>
      <c r="CZ21" s="15" t="n">
        <v>5938918.93</v>
      </c>
      <c r="DA21" s="15" t="n">
        <v>3808201.79</v>
      </c>
      <c r="DB21" s="15" t="n">
        <v>1514101.67</v>
      </c>
      <c r="DC21" s="15" t="n">
        <v>433127.83</v>
      </c>
      <c r="DD21" s="15" t="n">
        <v>685842.21</v>
      </c>
      <c r="DE21" s="15" t="n">
        <v>4257377.6</v>
      </c>
      <c r="DF21" s="15" t="n">
        <v>4312450.61</v>
      </c>
      <c r="DG21" s="15" t="n">
        <v>4116855.35</v>
      </c>
      <c r="DH21" s="15" t="n">
        <v>1242912.67</v>
      </c>
      <c r="DI21" s="15" t="n">
        <v>594965.83</v>
      </c>
      <c r="DJ21" s="15" t="n">
        <v>-267852.01</v>
      </c>
      <c r="DK21" s="15" t="n">
        <v>4739569.43</v>
      </c>
      <c r="DL21" s="15" t="n">
        <v>4858157.4</v>
      </c>
      <c r="DM21" s="15" t="n">
        <v>3481864.31</v>
      </c>
      <c r="DN21" s="15" t="n">
        <v>2787170.9</v>
      </c>
      <c r="DO21" s="15" t="n">
        <v>533424.24</v>
      </c>
      <c r="DP21" s="15" t="n">
        <v>841643.45</v>
      </c>
    </row>
    <row r="22">
      <c r="A22" s="4" t="inlineStr">
        <is>
          <t>其他产品B</t>
        </is>
      </c>
      <c r="B22" s="15" t="n">
        <v>2463608.94</v>
      </c>
      <c r="C22" s="15" t="n">
        <v>894111.9399999999</v>
      </c>
      <c r="D22" s="15" t="n">
        <v>2533732.39</v>
      </c>
      <c r="E22" s="15" t="n">
        <v>556521.14</v>
      </c>
      <c r="F22" s="15" t="n">
        <v>1015384.56</v>
      </c>
      <c r="G22" s="15" t="n">
        <v>3868074.42</v>
      </c>
      <c r="H22" s="15" t="n">
        <v>798826.4</v>
      </c>
      <c r="I22" s="15" t="n">
        <v>2577035.61</v>
      </c>
      <c r="J22" s="15" t="n">
        <v>576514.41</v>
      </c>
      <c r="K22" s="15" t="n">
        <v>667166.78</v>
      </c>
      <c r="L22" s="15" t="n">
        <v>531472.62</v>
      </c>
      <c r="M22" s="15" t="n">
        <v>4426233.82</v>
      </c>
      <c r="N22" s="15" t="n">
        <v>2638059.3</v>
      </c>
      <c r="O22" s="15" t="n">
        <v>2206611.05</v>
      </c>
      <c r="P22" s="15" t="n">
        <v>1775984.19</v>
      </c>
      <c r="Q22" s="15" t="n">
        <v>285675.61</v>
      </c>
      <c r="R22" s="15" t="n">
        <v>1536872.74</v>
      </c>
      <c r="S22" s="15" t="n">
        <v>2784575.76</v>
      </c>
      <c r="T22" s="15" t="n">
        <v>1108893.89</v>
      </c>
      <c r="U22" s="15" t="n">
        <v>2227407.49</v>
      </c>
      <c r="V22" s="15" t="n">
        <v>1257241.75</v>
      </c>
      <c r="W22" s="15" t="n">
        <v>215666.61</v>
      </c>
      <c r="X22" s="15" t="n">
        <v>426087.48</v>
      </c>
      <c r="Y22" s="15" t="n">
        <v>5621996.89</v>
      </c>
      <c r="Z22" s="15" t="n">
        <v>2405604.35</v>
      </c>
      <c r="AA22" s="15" t="n">
        <v>343211.83</v>
      </c>
      <c r="AB22" s="15" t="n">
        <v>1867917.94</v>
      </c>
      <c r="AC22" s="15" t="n">
        <v>361820.09</v>
      </c>
      <c r="AD22" s="15" t="n">
        <v>1090064.34</v>
      </c>
      <c r="AE22" s="15" t="n">
        <v>1417593.91</v>
      </c>
      <c r="AF22" s="15" t="n">
        <v>3727169.92</v>
      </c>
      <c r="AG22" s="15" t="n">
        <v>879115.92</v>
      </c>
      <c r="AH22" s="15" t="n">
        <v>1691907.28</v>
      </c>
      <c r="AI22" s="15" t="n">
        <v>104566.92</v>
      </c>
      <c r="AJ22" s="15" t="n">
        <v>1280830.78</v>
      </c>
      <c r="AK22" s="15" t="n">
        <v>1297858.56</v>
      </c>
      <c r="AL22" s="15" t="n">
        <v>4842050.64</v>
      </c>
      <c r="AM22" s="15" t="n">
        <v>745347.55</v>
      </c>
      <c r="AN22" s="15" t="n">
        <v>2680701.16</v>
      </c>
      <c r="AO22" s="15" t="n">
        <v>508312.34</v>
      </c>
      <c r="AP22" s="15" t="n">
        <v>1245582.59</v>
      </c>
      <c r="AQ22" s="15" t="n">
        <v>1097230.07</v>
      </c>
      <c r="AR22" s="15" t="n">
        <v>4839016.06</v>
      </c>
      <c r="AS22" s="15" t="n">
        <v>235253.61</v>
      </c>
      <c r="AT22" s="15" t="n">
        <v>2157408.49</v>
      </c>
      <c r="AU22" s="15" t="n">
        <v>510175.41</v>
      </c>
      <c r="AV22" s="15" t="n">
        <v>2107687.55</v>
      </c>
      <c r="AW22" s="15" t="n">
        <v>1916998.44</v>
      </c>
      <c r="AX22" s="15" t="n">
        <v>3046804.5</v>
      </c>
      <c r="AY22" s="15" t="n">
        <v>676911.92</v>
      </c>
      <c r="AZ22" s="15" t="n">
        <v>803090.66</v>
      </c>
      <c r="BA22" s="15" t="n">
        <v>353735.99</v>
      </c>
      <c r="BB22" s="15" t="n">
        <v>802920.64</v>
      </c>
      <c r="BC22" s="15" t="n">
        <v>3920898.65</v>
      </c>
      <c r="BD22" s="15" t="n">
        <v>4498611.24</v>
      </c>
      <c r="BE22" s="15" t="n">
        <v>1538338.67</v>
      </c>
      <c r="BF22" s="15" t="n">
        <v>1822268.34</v>
      </c>
      <c r="BG22" s="15" t="n">
        <v>692043.63</v>
      </c>
      <c r="BH22" s="15" t="n">
        <v>892986.1800000001</v>
      </c>
      <c r="BI22" s="15" t="n">
        <v>5610931.15</v>
      </c>
      <c r="BJ22" s="15" t="n">
        <v>4995346.75</v>
      </c>
      <c r="BK22" s="15" t="n">
        <v>2984155.23</v>
      </c>
      <c r="BL22" s="15" t="n">
        <v>2262027.27</v>
      </c>
      <c r="BM22" s="15" t="n">
        <v>311112.71</v>
      </c>
      <c r="BN22" s="15" t="n">
        <v>1451947.06</v>
      </c>
      <c r="BO22" s="15" t="n">
        <v>261397.73</v>
      </c>
      <c r="BP22" s="15" t="n">
        <v>7138997.61</v>
      </c>
      <c r="BQ22" s="15" t="n">
        <v>2022910.47</v>
      </c>
      <c r="BR22" s="15" t="n">
        <v>492812.28</v>
      </c>
      <c r="BS22" s="15" t="n">
        <v>238034.48</v>
      </c>
      <c r="BT22" s="15" t="n">
        <v>798901.11</v>
      </c>
      <c r="BU22" s="15" t="n">
        <v>2425735.91</v>
      </c>
      <c r="BV22" s="15" t="n">
        <v>4615611.7</v>
      </c>
      <c r="BW22" s="15" t="n">
        <v>3123343.53</v>
      </c>
      <c r="BX22" s="15" t="n">
        <v>689283.64</v>
      </c>
      <c r="BY22" s="15" t="n">
        <v>698024.39</v>
      </c>
      <c r="BZ22" s="15" t="n">
        <v>1789931.5</v>
      </c>
      <c r="CA22" s="15" t="n">
        <v>4118442.84</v>
      </c>
      <c r="CB22" s="15" t="n">
        <v>4303246.32</v>
      </c>
      <c r="CC22" s="15" t="n">
        <v>1453998.74</v>
      </c>
      <c r="CD22" s="15" t="n">
        <v>1568580.27</v>
      </c>
      <c r="CE22" s="15" t="n">
        <v>386585.86</v>
      </c>
      <c r="CF22" s="15" t="n">
        <v>1940930.83</v>
      </c>
      <c r="CG22" s="15" t="n">
        <v>4491210.24</v>
      </c>
      <c r="CH22" s="15" t="n">
        <v>6804850.71</v>
      </c>
      <c r="CI22" s="15" t="n">
        <v>162323.86</v>
      </c>
      <c r="CJ22" s="15" t="n">
        <v>1001128.4</v>
      </c>
      <c r="CK22" s="15" t="n">
        <v>440771.82</v>
      </c>
      <c r="CL22" s="15" t="n">
        <v>552204.59</v>
      </c>
      <c r="CM22" s="15" t="n">
        <v>3843284.52</v>
      </c>
      <c r="CN22" s="15" t="n">
        <v>1363980.08</v>
      </c>
      <c r="CO22" s="15" t="n">
        <v>2192353.45</v>
      </c>
      <c r="CP22" s="15" t="n">
        <v>577555.49</v>
      </c>
      <c r="CQ22" s="15" t="n">
        <v>294537.23</v>
      </c>
      <c r="CR22" s="15" t="n">
        <v>1614492.04</v>
      </c>
      <c r="CS22" s="15" t="n">
        <v>980495.97</v>
      </c>
      <c r="CT22" s="15" t="n">
        <v>6082876.18</v>
      </c>
      <c r="CU22" s="15" t="n">
        <v>3521250.77</v>
      </c>
      <c r="CV22" s="15" t="n">
        <v>1002361.43</v>
      </c>
      <c r="CW22" s="15" t="n">
        <v>554790.3100000001</v>
      </c>
      <c r="CX22" s="15" t="n">
        <v>105041</v>
      </c>
      <c r="CY22" s="15" t="n">
        <v>1560879.91</v>
      </c>
      <c r="CZ22" s="15" t="n">
        <v>7099272.3</v>
      </c>
      <c r="DA22" s="15" t="n">
        <v>3255674.69</v>
      </c>
      <c r="DB22" s="15" t="n">
        <v>2649448.44</v>
      </c>
      <c r="DC22" s="15" t="n">
        <v>692531.76</v>
      </c>
      <c r="DD22" s="15" t="n">
        <v>1791096</v>
      </c>
      <c r="DE22" s="15" t="n">
        <v>3681742.31</v>
      </c>
      <c r="DF22" s="15" t="n">
        <v>1367504.71</v>
      </c>
      <c r="DG22" s="15" t="n">
        <v>4327759.78</v>
      </c>
      <c r="DH22" s="15" t="n">
        <v>2191137.09</v>
      </c>
      <c r="DI22" s="15" t="n">
        <v>213804.22</v>
      </c>
      <c r="DJ22" s="15" t="n">
        <v>150931.12</v>
      </c>
      <c r="DK22" s="15" t="n">
        <v>4712029.28</v>
      </c>
      <c r="DL22" s="15" t="n">
        <v>5147538.04</v>
      </c>
      <c r="DM22" s="15" t="n">
        <v>1207120.53</v>
      </c>
      <c r="DN22" s="15" t="n">
        <v>776674.51</v>
      </c>
      <c r="DO22" s="15" t="n">
        <v>660184.28</v>
      </c>
      <c r="DP22" s="15" t="n">
        <v>797580.23</v>
      </c>
    </row>
    <row r="23">
      <c r="A23" s="4" t="inlineStr">
        <is>
          <t>其他产品C</t>
        </is>
      </c>
      <c r="B23" s="15" t="n">
        <v>3073518.24</v>
      </c>
      <c r="C23" s="15" t="n">
        <v>292740.26</v>
      </c>
      <c r="D23" s="15" t="n">
        <v>327386.41</v>
      </c>
      <c r="E23" s="15" t="n">
        <v>717964.3100000001</v>
      </c>
      <c r="F23" s="15" t="n">
        <v>1228713.1</v>
      </c>
      <c r="G23" s="15" t="n">
        <v>4492639.7</v>
      </c>
      <c r="H23" s="15" t="n">
        <v>788965.86</v>
      </c>
      <c r="I23" s="15" t="n">
        <v>302549.86</v>
      </c>
      <c r="J23" s="15" t="n">
        <v>1153932.34</v>
      </c>
      <c r="K23" s="15" t="n">
        <v>392203.41</v>
      </c>
      <c r="L23" s="15" t="n">
        <v>130456.24</v>
      </c>
      <c r="M23" s="15" t="n">
        <v>4904882.35</v>
      </c>
      <c r="N23" s="15" t="n">
        <v>2987933.3</v>
      </c>
      <c r="O23" s="15" t="n">
        <v>3348209.44</v>
      </c>
      <c r="P23" s="15" t="n">
        <v>1574261.72</v>
      </c>
      <c r="Q23" s="15" t="n">
        <v>398506.5</v>
      </c>
      <c r="R23" s="15" t="n">
        <v>900732.05</v>
      </c>
      <c r="S23" s="15" t="n">
        <v>5881478.04</v>
      </c>
      <c r="T23" s="15" t="n">
        <v>7257222.69</v>
      </c>
      <c r="U23" s="15" t="n">
        <v>1288810.61</v>
      </c>
      <c r="V23" s="15" t="n">
        <v>774223.0699999999</v>
      </c>
      <c r="W23" s="15" t="n">
        <v>672188.12</v>
      </c>
      <c r="X23" s="15" t="n">
        <v>349795.23</v>
      </c>
      <c r="Y23" s="15" t="n">
        <v>231757.28</v>
      </c>
      <c r="Z23" s="15" t="n">
        <v>1956700.1</v>
      </c>
      <c r="AA23" s="15" t="n">
        <v>4213971.76</v>
      </c>
      <c r="AB23" s="15" t="n">
        <v>2284932.42</v>
      </c>
      <c r="AC23" s="15" t="n">
        <v>511739.13</v>
      </c>
      <c r="AD23" s="15" t="n">
        <v>1287893.86</v>
      </c>
      <c r="AE23" s="15" t="n">
        <v>610302.3199999999</v>
      </c>
      <c r="AF23" s="15" t="n">
        <v>7184511.46</v>
      </c>
      <c r="AG23" s="15" t="n">
        <v>2831181.78</v>
      </c>
      <c r="AH23" s="15" t="n">
        <v>992307.89</v>
      </c>
      <c r="AI23" s="15" t="n">
        <v>603001.52</v>
      </c>
      <c r="AJ23" s="15" t="n">
        <v>285347.2</v>
      </c>
      <c r="AK23" s="15" t="n">
        <v>1882210.6</v>
      </c>
      <c r="AL23" s="15" t="n">
        <v>495817.32</v>
      </c>
      <c r="AM23" s="15" t="n">
        <v>2565977.86</v>
      </c>
      <c r="AN23" s="15" t="n">
        <v>1634490.05</v>
      </c>
      <c r="AO23" s="15" t="n">
        <v>526121.39</v>
      </c>
      <c r="AP23" s="15" t="n">
        <v>300105.08</v>
      </c>
      <c r="AQ23" s="15" t="n">
        <v>716801.3</v>
      </c>
      <c r="AR23" s="15" t="n">
        <v>1969668.61</v>
      </c>
      <c r="AS23" s="15" t="n">
        <v>211977.54</v>
      </c>
      <c r="AT23" s="15" t="n">
        <v>1203274.83</v>
      </c>
      <c r="AU23" s="15" t="n">
        <v>559783.17</v>
      </c>
      <c r="AV23" s="15" t="n">
        <v>383030.69</v>
      </c>
      <c r="AW23" s="15" t="n">
        <v>2594468.84</v>
      </c>
      <c r="AX23" s="15" t="n">
        <v>650660.05</v>
      </c>
      <c r="AY23" s="15" t="n">
        <v>686320.22</v>
      </c>
      <c r="AZ23" s="15" t="n">
        <v>2502759.19</v>
      </c>
      <c r="BA23" s="15" t="n">
        <v>690047.16</v>
      </c>
      <c r="BB23" s="15" t="n">
        <v>959596.96</v>
      </c>
      <c r="BC23" s="15" t="n">
        <v>3023748.79</v>
      </c>
      <c r="BD23" s="15" t="n">
        <v>7275411.47</v>
      </c>
      <c r="BE23" s="15" t="n">
        <v>1182367.03</v>
      </c>
      <c r="BF23" s="15" t="n">
        <v>2910102.62</v>
      </c>
      <c r="BG23" s="15" t="n">
        <v>420010.25</v>
      </c>
      <c r="BH23" s="15" t="n">
        <v>-293985.81</v>
      </c>
      <c r="BI23" s="15" t="n">
        <v>4682266.26</v>
      </c>
      <c r="BJ23" s="15" t="n">
        <v>6593434.56</v>
      </c>
      <c r="BK23" s="15" t="n">
        <v>795348.49</v>
      </c>
      <c r="BL23" s="15" t="n">
        <v>2405401.67</v>
      </c>
      <c r="BM23" s="15" t="n">
        <v>71432.47</v>
      </c>
      <c r="BN23" s="15" t="n">
        <v>248406.28</v>
      </c>
      <c r="BO23" s="15" t="n">
        <v>3066904.4</v>
      </c>
      <c r="BP23" s="15" t="n">
        <v>2847917.12</v>
      </c>
      <c r="BQ23" s="15" t="n">
        <v>227060.11</v>
      </c>
      <c r="BR23" s="15" t="n">
        <v>1892733.4</v>
      </c>
      <c r="BS23" s="15" t="n">
        <v>191738.3</v>
      </c>
      <c r="BT23" s="15" t="n">
        <v>-46514.27</v>
      </c>
      <c r="BU23" s="15" t="n">
        <v>1013186.73</v>
      </c>
      <c r="BV23" s="15" t="n">
        <v>687991.8100000001</v>
      </c>
      <c r="BW23" s="15" t="n">
        <v>949277</v>
      </c>
      <c r="BX23" s="15" t="n">
        <v>2446655.36</v>
      </c>
      <c r="BY23" s="15" t="n">
        <v>305308.81</v>
      </c>
      <c r="BZ23" s="15" t="n">
        <v>1637643.83</v>
      </c>
      <c r="CA23" s="15" t="n">
        <v>1395083.32</v>
      </c>
      <c r="CB23" s="15" t="n">
        <v>639274.34</v>
      </c>
      <c r="CC23" s="15" t="n">
        <v>3476982.84</v>
      </c>
      <c r="CD23" s="15" t="n">
        <v>1793131.81</v>
      </c>
      <c r="CE23" s="15" t="n">
        <v>145413.37</v>
      </c>
      <c r="CF23" s="15" t="n">
        <v>128301.93</v>
      </c>
      <c r="CG23" s="15" t="n">
        <v>387549.14</v>
      </c>
      <c r="CH23" s="15" t="n">
        <v>1946386.13</v>
      </c>
      <c r="CI23" s="15" t="n">
        <v>2512254.85</v>
      </c>
      <c r="CJ23" s="15" t="n">
        <v>2747963.63</v>
      </c>
      <c r="CK23" s="15" t="n">
        <v>370671.3</v>
      </c>
      <c r="CL23" s="15" t="n">
        <v>-210840.98</v>
      </c>
      <c r="CM23" s="15" t="n">
        <v>780893.8</v>
      </c>
      <c r="CN23" s="15" t="n">
        <v>4724824.79</v>
      </c>
      <c r="CO23" s="15" t="n">
        <v>2755382.81</v>
      </c>
      <c r="CP23" s="15" t="n">
        <v>2695770.33</v>
      </c>
      <c r="CQ23" s="15" t="n">
        <v>712206.52</v>
      </c>
      <c r="CR23" s="15" t="n">
        <v>-50907.83</v>
      </c>
      <c r="CS23" s="15" t="n">
        <v>4666905.58</v>
      </c>
      <c r="CT23" s="15" t="n">
        <v>3721790.2</v>
      </c>
      <c r="CU23" s="15" t="n">
        <v>1502082.52</v>
      </c>
      <c r="CV23" s="15" t="n">
        <v>2715024.66</v>
      </c>
      <c r="CW23" s="15" t="n">
        <v>527653.6</v>
      </c>
      <c r="CX23" s="15" t="n">
        <v>-264959.86</v>
      </c>
      <c r="CY23" s="15" t="n">
        <v>4231038.73</v>
      </c>
      <c r="CZ23" s="15" t="n">
        <v>5223421.8</v>
      </c>
      <c r="DA23" s="15" t="n">
        <v>2983658.21</v>
      </c>
      <c r="DB23" s="15" t="n">
        <v>1927397.12</v>
      </c>
      <c r="DC23" s="15" t="n">
        <v>567585.02</v>
      </c>
      <c r="DD23" s="15" t="n">
        <v>-98084.69</v>
      </c>
      <c r="DE23" s="15" t="n">
        <v>2841931.69</v>
      </c>
      <c r="DF23" s="15" t="n">
        <v>6535823.05</v>
      </c>
      <c r="DG23" s="15" t="n">
        <v>3807167.94</v>
      </c>
      <c r="DH23" s="15" t="n">
        <v>2654217.16</v>
      </c>
      <c r="DI23" s="15" t="n">
        <v>618309.11</v>
      </c>
      <c r="DJ23" s="15" t="n">
        <v>144117.87</v>
      </c>
      <c r="DK23" s="15" t="n">
        <v>1848872.27</v>
      </c>
      <c r="DL23" s="15" t="n">
        <v>2420469.62</v>
      </c>
      <c r="DM23" s="15" t="n">
        <v>1141599.69</v>
      </c>
      <c r="DN23" s="15" t="n">
        <v>2973827.65</v>
      </c>
      <c r="DO23" s="15" t="n">
        <v>591356.11</v>
      </c>
      <c r="DP23" s="15" t="n">
        <v>1001298.16</v>
      </c>
    </row>
    <row r="24">
      <c r="A24" s="4" t="inlineStr">
        <is>
          <t>中式汤底</t>
        </is>
      </c>
      <c r="B24" s="15" t="n">
        <v>5869162.39</v>
      </c>
      <c r="C24" s="15" t="n">
        <v>591560.41</v>
      </c>
      <c r="D24" s="15" t="n">
        <v>2742041.75</v>
      </c>
      <c r="E24" s="15" t="n">
        <v>244772.88</v>
      </c>
      <c r="F24" s="15" t="n">
        <v>1532895.82</v>
      </c>
      <c r="G24" s="15" t="n">
        <v>1910136.35</v>
      </c>
      <c r="H24" s="15" t="n">
        <v>4698227.48</v>
      </c>
      <c r="I24" s="15" t="n">
        <v>590828.59</v>
      </c>
      <c r="J24" s="15" t="n">
        <v>2929815.02</v>
      </c>
      <c r="K24" s="15" t="n">
        <v>58058.05</v>
      </c>
      <c r="L24" s="15" t="n">
        <v>1524605.14</v>
      </c>
      <c r="M24" s="15" t="n">
        <v>3368403.44</v>
      </c>
      <c r="N24" s="15" t="n">
        <v>229341.87</v>
      </c>
      <c r="O24" s="15" t="n">
        <v>2218410.2</v>
      </c>
      <c r="P24" s="15" t="n">
        <v>1613124.91</v>
      </c>
      <c r="Q24" s="15" t="n">
        <v>151986</v>
      </c>
      <c r="R24" s="15" t="n">
        <v>-215394.2</v>
      </c>
      <c r="S24" s="15" t="n">
        <v>1616551.57</v>
      </c>
      <c r="T24" s="15" t="n">
        <v>492414.69</v>
      </c>
      <c r="U24" s="15" t="n">
        <v>1137002.15</v>
      </c>
      <c r="V24" s="15" t="n">
        <v>2974053.15</v>
      </c>
      <c r="W24" s="15" t="n">
        <v>543460</v>
      </c>
      <c r="X24" s="15" t="n">
        <v>-275340.79</v>
      </c>
      <c r="Y24" s="15" t="n">
        <v>5233072.38</v>
      </c>
      <c r="Z24" s="15" t="n">
        <v>7008226.23</v>
      </c>
      <c r="AA24" s="15" t="n">
        <v>981285.13</v>
      </c>
      <c r="AB24" s="15" t="n">
        <v>1892485.42</v>
      </c>
      <c r="AC24" s="15" t="n">
        <v>432407.67</v>
      </c>
      <c r="AD24" s="15" t="n">
        <v>-9218.17</v>
      </c>
      <c r="AE24" s="15" t="n">
        <v>5043768.16</v>
      </c>
      <c r="AF24" s="15" t="n">
        <v>1382824.62</v>
      </c>
      <c r="AG24" s="15" t="n">
        <v>1767738.37</v>
      </c>
      <c r="AH24" s="15" t="n">
        <v>2053351.82</v>
      </c>
      <c r="AI24" s="15" t="n">
        <v>33380.26</v>
      </c>
      <c r="AJ24" s="15" t="n">
        <v>1895858.6</v>
      </c>
      <c r="AK24" s="15" t="n">
        <v>5238155.59</v>
      </c>
      <c r="AL24" s="15" t="n">
        <v>1728008.03</v>
      </c>
      <c r="AM24" s="15" t="n">
        <v>1259966.94</v>
      </c>
      <c r="AN24" s="15" t="n">
        <v>255957.13</v>
      </c>
      <c r="AO24" s="15" t="n">
        <v>186575.68</v>
      </c>
      <c r="AP24" s="15" t="n">
        <v>1442264.76</v>
      </c>
      <c r="AQ24" s="15" t="n">
        <v>4554288.61</v>
      </c>
      <c r="AR24" s="15" t="n">
        <v>1523731.5</v>
      </c>
      <c r="AS24" s="15" t="n">
        <v>2078328.83</v>
      </c>
      <c r="AT24" s="15" t="n">
        <v>505726.65</v>
      </c>
      <c r="AU24" s="15" t="n">
        <v>123453.25</v>
      </c>
      <c r="AV24" s="15" t="n">
        <v>1915810.4</v>
      </c>
      <c r="AW24" s="15" t="n">
        <v>5318248.07</v>
      </c>
      <c r="AX24" s="15" t="n">
        <v>798695.04</v>
      </c>
      <c r="AY24" s="15" t="n">
        <v>582610.9300000001</v>
      </c>
      <c r="AZ24" s="15" t="n">
        <v>1326859.3</v>
      </c>
      <c r="BA24" s="15" t="n">
        <v>429539.64</v>
      </c>
      <c r="BB24" s="15" t="n">
        <v>1550143.95</v>
      </c>
      <c r="BC24" s="15" t="n">
        <v>1093870.94</v>
      </c>
      <c r="BD24" s="15" t="n">
        <v>7166076.59</v>
      </c>
      <c r="BE24" s="15" t="n">
        <v>3375947.02</v>
      </c>
      <c r="BF24" s="15" t="n">
        <v>527371.9399999999</v>
      </c>
      <c r="BG24" s="15" t="n">
        <v>298915.72</v>
      </c>
      <c r="BH24" s="15" t="n">
        <v>1433064.79</v>
      </c>
      <c r="BI24" s="15" t="n">
        <v>716902.03</v>
      </c>
      <c r="BJ24" s="15" t="n">
        <v>5717314.73</v>
      </c>
      <c r="BK24" s="15" t="n">
        <v>1857930.83</v>
      </c>
      <c r="BL24" s="15" t="n">
        <v>1531443.91</v>
      </c>
      <c r="BM24" s="15" t="n">
        <v>98010.73</v>
      </c>
      <c r="BN24" s="15" t="n">
        <v>804166.3</v>
      </c>
      <c r="BO24" s="15" t="n">
        <v>5547282.52</v>
      </c>
      <c r="BP24" s="15" t="n">
        <v>5990791.36</v>
      </c>
      <c r="BQ24" s="15" t="n">
        <v>3362089.11</v>
      </c>
      <c r="BR24" s="15" t="n">
        <v>1251960.49</v>
      </c>
      <c r="BS24" s="15" t="n">
        <v>114739.05</v>
      </c>
      <c r="BT24" s="15" t="n">
        <v>1224397.01</v>
      </c>
      <c r="BU24" s="15" t="n">
        <v>1175568.13</v>
      </c>
      <c r="BV24" s="15" t="n">
        <v>854502.54</v>
      </c>
      <c r="BW24" s="15" t="n">
        <v>922616.99</v>
      </c>
      <c r="BX24" s="15" t="n">
        <v>1209021.55</v>
      </c>
      <c r="BY24" s="15" t="n">
        <v>203593.33</v>
      </c>
      <c r="BZ24" s="15" t="n">
        <v>131676.85</v>
      </c>
      <c r="CA24" s="15" t="n">
        <v>2721450.06</v>
      </c>
      <c r="CB24" s="15" t="n">
        <v>5880895.3</v>
      </c>
      <c r="CC24" s="15" t="n">
        <v>842487.51</v>
      </c>
      <c r="CD24" s="15" t="n">
        <v>151163.75</v>
      </c>
      <c r="CE24" s="15" t="n">
        <v>436428.64</v>
      </c>
      <c r="CF24" s="15" t="n">
        <v>-86643.13</v>
      </c>
      <c r="CG24" s="15" t="n">
        <v>4152324.47</v>
      </c>
      <c r="CH24" s="15" t="n">
        <v>6993358.8</v>
      </c>
      <c r="CI24" s="15" t="n">
        <v>1580618.18</v>
      </c>
      <c r="CJ24" s="15" t="n">
        <v>1932927.94</v>
      </c>
      <c r="CK24" s="15" t="n">
        <v>32019.62</v>
      </c>
      <c r="CL24" s="15" t="n">
        <v>2110830.77</v>
      </c>
      <c r="CM24" s="15" t="n">
        <v>190122.72</v>
      </c>
      <c r="CN24" s="15" t="n">
        <v>5970765.44</v>
      </c>
      <c r="CO24" s="15" t="n">
        <v>432232.23</v>
      </c>
      <c r="CP24" s="15" t="n">
        <v>1580060.46</v>
      </c>
      <c r="CQ24" s="15" t="n">
        <v>587790.15</v>
      </c>
      <c r="CR24" s="15" t="n">
        <v>-145346.01</v>
      </c>
      <c r="CS24" s="15" t="n">
        <v>2135179.2</v>
      </c>
      <c r="CT24" s="15" t="n">
        <v>3438086.55</v>
      </c>
      <c r="CU24" s="15" t="n">
        <v>3597562.05</v>
      </c>
      <c r="CV24" s="15" t="n">
        <v>37807.51</v>
      </c>
      <c r="CW24" s="15" t="n">
        <v>205701.49</v>
      </c>
      <c r="CX24" s="15" t="n">
        <v>515770.55</v>
      </c>
      <c r="CY24" s="15" t="n">
        <v>3340761.32</v>
      </c>
      <c r="CZ24" s="15" t="n">
        <v>3184524.22</v>
      </c>
      <c r="DA24" s="15" t="n">
        <v>2248202.39</v>
      </c>
      <c r="DB24" s="15" t="n">
        <v>214985.7</v>
      </c>
      <c r="DC24" s="15" t="n">
        <v>589526.8</v>
      </c>
      <c r="DD24" s="15" t="n">
        <v>985729.45</v>
      </c>
      <c r="DE24" s="15" t="n">
        <v>2684643.9</v>
      </c>
      <c r="DF24" s="15" t="n">
        <v>4633291.54</v>
      </c>
      <c r="DG24" s="15" t="n">
        <v>308343.7</v>
      </c>
      <c r="DH24" s="15" t="n">
        <v>50603.91</v>
      </c>
      <c r="DI24" s="15" t="n">
        <v>496462.41</v>
      </c>
      <c r="DJ24" s="15" t="n">
        <v>279415.61</v>
      </c>
      <c r="DK24" s="15" t="n">
        <v>259335.21</v>
      </c>
      <c r="DL24" s="15" t="n">
        <v>3453869.67</v>
      </c>
      <c r="DM24" s="15" t="n">
        <v>1292173.43</v>
      </c>
      <c r="DN24" s="15" t="n">
        <v>903522.7</v>
      </c>
      <c r="DO24" s="15" t="n">
        <v>44648.07</v>
      </c>
      <c r="DP24" s="15" t="n">
        <v>2081098.01</v>
      </c>
    </row>
    <row r="25">
      <c r="A25" s="4" t="inlineStr">
        <is>
          <t>酱料</t>
        </is>
      </c>
      <c r="B25" s="15" t="n">
        <v>1857351.07</v>
      </c>
      <c r="C25" s="15" t="n">
        <v>1535038.3</v>
      </c>
      <c r="D25" s="15" t="n">
        <v>2690520.16</v>
      </c>
      <c r="E25" s="15" t="n">
        <v>76894.89999999999</v>
      </c>
      <c r="F25" s="15" t="n">
        <v>2002063.48</v>
      </c>
      <c r="G25" s="15" t="n">
        <v>2718171.89</v>
      </c>
      <c r="H25" s="15" t="n">
        <v>3491033.81</v>
      </c>
      <c r="I25" s="15" t="n">
        <v>2713698.57</v>
      </c>
      <c r="J25" s="15" t="n">
        <v>1344791.94</v>
      </c>
      <c r="K25" s="15" t="n">
        <v>698437.8100000001</v>
      </c>
      <c r="L25" s="15" t="n">
        <v>50740.68</v>
      </c>
      <c r="M25" s="15" t="n">
        <v>1221901.63</v>
      </c>
      <c r="N25" s="15" t="n">
        <v>339620.68</v>
      </c>
      <c r="O25" s="15" t="n">
        <v>3824171.1</v>
      </c>
      <c r="P25" s="15" t="n">
        <v>1655016.18</v>
      </c>
      <c r="Q25" s="15" t="n">
        <v>188649.73</v>
      </c>
      <c r="R25" s="15" t="n">
        <v>-272250.46</v>
      </c>
      <c r="S25" s="15" t="n">
        <v>754687.4399999999</v>
      </c>
      <c r="T25" s="15" t="n">
        <v>5672837.66</v>
      </c>
      <c r="U25" s="15" t="n">
        <v>368760.22</v>
      </c>
      <c r="V25" s="15" t="n">
        <v>604034.25</v>
      </c>
      <c r="W25" s="15" t="n">
        <v>35350.96</v>
      </c>
      <c r="X25" s="15" t="n">
        <v>1983247.44</v>
      </c>
      <c r="Y25" s="15" t="n">
        <v>5117011.47</v>
      </c>
      <c r="Z25" s="15" t="n">
        <v>4076101.6</v>
      </c>
      <c r="AA25" s="15" t="n">
        <v>411912.35</v>
      </c>
      <c r="AB25" s="15" t="n">
        <v>1865314.39</v>
      </c>
      <c r="AC25" s="15" t="n">
        <v>44062.09</v>
      </c>
      <c r="AD25" s="15" t="n">
        <v>-224850.97</v>
      </c>
      <c r="AE25" s="15" t="n">
        <v>1900751.3</v>
      </c>
      <c r="AF25" s="15" t="n">
        <v>3099038.66</v>
      </c>
      <c r="AG25" s="15" t="n">
        <v>373192.38</v>
      </c>
      <c r="AH25" s="15" t="n">
        <v>2032991.96</v>
      </c>
      <c r="AI25" s="15" t="n">
        <v>483957.08</v>
      </c>
      <c r="AJ25" s="15" t="n">
        <v>1821399.27</v>
      </c>
      <c r="AK25" s="15" t="n">
        <v>5152462.64</v>
      </c>
      <c r="AL25" s="15" t="n">
        <v>3638447.18</v>
      </c>
      <c r="AM25" s="15" t="n">
        <v>432391.95</v>
      </c>
      <c r="AN25" s="15" t="n">
        <v>293484.98</v>
      </c>
      <c r="AO25" s="15" t="n">
        <v>51032.53</v>
      </c>
      <c r="AP25" s="15" t="n">
        <v>701836.35</v>
      </c>
      <c r="AQ25" s="15" t="n">
        <v>3299722.59</v>
      </c>
      <c r="AR25" s="15" t="n">
        <v>7052828.59</v>
      </c>
      <c r="AS25" s="15" t="n">
        <v>3872930.31</v>
      </c>
      <c r="AT25" s="15" t="n">
        <v>1713218.78</v>
      </c>
      <c r="AU25" s="15" t="n">
        <v>685584</v>
      </c>
      <c r="AV25" s="15" t="n">
        <v>1118184.17</v>
      </c>
      <c r="AW25" s="15" t="n">
        <v>5718515.94</v>
      </c>
      <c r="AX25" s="15" t="n">
        <v>4786051.31</v>
      </c>
      <c r="AY25" s="15" t="n">
        <v>484981.04</v>
      </c>
      <c r="AZ25" s="15" t="n">
        <v>2685875.69</v>
      </c>
      <c r="BA25" s="15" t="n">
        <v>592289.8100000001</v>
      </c>
      <c r="BB25" s="15" t="n">
        <v>349271.9</v>
      </c>
      <c r="BC25" s="15" t="n">
        <v>449341.63</v>
      </c>
      <c r="BD25" s="15" t="n">
        <v>5576329.27</v>
      </c>
      <c r="BE25" s="15" t="n">
        <v>2754367.5</v>
      </c>
      <c r="BF25" s="15" t="n">
        <v>944479.58</v>
      </c>
      <c r="BG25" s="15" t="n">
        <v>233855.5</v>
      </c>
      <c r="BH25" s="15" t="n">
        <v>1446086.98</v>
      </c>
      <c r="BI25" s="15" t="n">
        <v>5647397.93</v>
      </c>
      <c r="BJ25" s="15" t="n">
        <v>4136704.14</v>
      </c>
      <c r="BK25" s="15" t="n">
        <v>2990210.7</v>
      </c>
      <c r="BL25" s="15" t="n">
        <v>387796.89</v>
      </c>
      <c r="BM25" s="15" t="n">
        <v>60894</v>
      </c>
      <c r="BN25" s="15" t="n">
        <v>16957.45</v>
      </c>
      <c r="BO25" s="15" t="n">
        <v>5981150.86</v>
      </c>
      <c r="BP25" s="15" t="n">
        <v>7123906.91</v>
      </c>
      <c r="BQ25" s="15" t="n">
        <v>1299992.56</v>
      </c>
      <c r="BR25" s="15" t="n">
        <v>2729093.38</v>
      </c>
      <c r="BS25" s="15" t="n">
        <v>528545.24</v>
      </c>
      <c r="BT25" s="15" t="n">
        <v>974611.28</v>
      </c>
      <c r="BU25" s="15" t="n">
        <v>4207791.33</v>
      </c>
      <c r="BV25" s="15" t="n">
        <v>3565707.44</v>
      </c>
      <c r="BW25" s="15" t="n">
        <v>1924969.66</v>
      </c>
      <c r="BX25" s="15" t="n">
        <v>241543.23</v>
      </c>
      <c r="BY25" s="15" t="n">
        <v>647476.11</v>
      </c>
      <c r="BZ25" s="15" t="n">
        <v>29578.08</v>
      </c>
      <c r="CA25" s="15" t="n">
        <v>3439226.75</v>
      </c>
      <c r="CB25" s="15" t="n">
        <v>5572782.21</v>
      </c>
      <c r="CC25" s="15" t="n">
        <v>515270.79</v>
      </c>
      <c r="CD25" s="15" t="n">
        <v>145861.29</v>
      </c>
      <c r="CE25" s="15" t="n">
        <v>127659.73</v>
      </c>
      <c r="CF25" s="15" t="n">
        <v>-58878.65</v>
      </c>
      <c r="CG25" s="15" t="n">
        <v>2602333.67</v>
      </c>
      <c r="CH25" s="15" t="n">
        <v>2583630.36</v>
      </c>
      <c r="CI25" s="15" t="n">
        <v>4200058.57</v>
      </c>
      <c r="CJ25" s="15" t="n">
        <v>1465017.78</v>
      </c>
      <c r="CK25" s="15" t="n">
        <v>711507.9300000001</v>
      </c>
      <c r="CL25" s="15" t="n">
        <v>1633875.08</v>
      </c>
      <c r="CM25" s="15" t="n">
        <v>355917.07</v>
      </c>
      <c r="CN25" s="15" t="n">
        <v>6649678.83</v>
      </c>
      <c r="CO25" s="15" t="n">
        <v>3024769.74</v>
      </c>
      <c r="CP25" s="15" t="n">
        <v>1678702.9</v>
      </c>
      <c r="CQ25" s="15" t="n">
        <v>199913.18</v>
      </c>
      <c r="CR25" s="15" t="n">
        <v>2212198.63</v>
      </c>
      <c r="CS25" s="15" t="n">
        <v>5748642.36</v>
      </c>
      <c r="CT25" s="15" t="n">
        <v>2394202.58</v>
      </c>
      <c r="CU25" s="15" t="n">
        <v>2316174.96</v>
      </c>
      <c r="CV25" s="15" t="n">
        <v>511623.47</v>
      </c>
      <c r="CW25" s="15" t="n">
        <v>353429.88</v>
      </c>
      <c r="CX25" s="15" t="n">
        <v>46761.46</v>
      </c>
      <c r="CY25" s="15" t="n">
        <v>5188781.92</v>
      </c>
      <c r="CZ25" s="15" t="n">
        <v>5504683.22</v>
      </c>
      <c r="DA25" s="15" t="n">
        <v>351595.48</v>
      </c>
      <c r="DB25" s="15" t="n">
        <v>2754696.23</v>
      </c>
      <c r="DC25" s="15" t="n">
        <v>482541.57</v>
      </c>
      <c r="DD25" s="15" t="n">
        <v>1343048.78</v>
      </c>
      <c r="DE25" s="15" t="n">
        <v>1193606.58</v>
      </c>
      <c r="DF25" s="15" t="n">
        <v>2118131.65</v>
      </c>
      <c r="DG25" s="15" t="n">
        <v>2577365.48</v>
      </c>
      <c r="DH25" s="15" t="n">
        <v>1438674.99</v>
      </c>
      <c r="DI25" s="15" t="n">
        <v>188254.51</v>
      </c>
      <c r="DJ25" s="15" t="n">
        <v>1507321.6</v>
      </c>
      <c r="DK25" s="15" t="n">
        <v>3053243.19</v>
      </c>
      <c r="DL25" s="15" t="n">
        <v>7341755.22</v>
      </c>
      <c r="DM25" s="15" t="n">
        <v>4311766.93</v>
      </c>
      <c r="DN25" s="15" t="n">
        <v>1869615.5</v>
      </c>
      <c r="DO25" s="15" t="n">
        <v>659159.53</v>
      </c>
      <c r="DP25" s="15" t="n">
        <v>184944.69</v>
      </c>
    </row>
    <row r="26">
      <c r="A26" s="4" t="inlineStr">
        <is>
          <t>川味底料</t>
        </is>
      </c>
      <c r="B26" s="15" t="n">
        <v>4770361.3</v>
      </c>
      <c r="C26" s="15" t="n">
        <v>1586975.75</v>
      </c>
      <c r="D26" s="15" t="n">
        <v>1433615.4</v>
      </c>
      <c r="E26" s="15" t="n">
        <v>518079.3</v>
      </c>
      <c r="F26" s="15" t="n">
        <v>-259464.49</v>
      </c>
      <c r="G26" s="15" t="n">
        <v>4236163.12</v>
      </c>
      <c r="H26" s="15" t="n">
        <v>2023780.06</v>
      </c>
      <c r="I26" s="15" t="n">
        <v>4033773.98</v>
      </c>
      <c r="J26" s="15" t="n">
        <v>1848848.48</v>
      </c>
      <c r="K26" s="15" t="n">
        <v>437864.76</v>
      </c>
      <c r="L26" s="15" t="n">
        <v>722253.9300000001</v>
      </c>
      <c r="M26" s="15" t="n">
        <v>2611285.37</v>
      </c>
      <c r="N26" s="15" t="n">
        <v>5396925.39</v>
      </c>
      <c r="O26" s="15" t="n">
        <v>3617603.45</v>
      </c>
      <c r="P26" s="15" t="n">
        <v>945754.34</v>
      </c>
      <c r="Q26" s="15" t="n">
        <v>297331.31</v>
      </c>
      <c r="R26" s="15" t="n">
        <v>1060974.44</v>
      </c>
      <c r="S26" s="15" t="n">
        <v>1687414.75</v>
      </c>
      <c r="T26" s="15" t="n">
        <v>5128368.97</v>
      </c>
      <c r="U26" s="15" t="n">
        <v>1185717.2</v>
      </c>
      <c r="V26" s="15" t="n">
        <v>1684993.16</v>
      </c>
      <c r="W26" s="15" t="n">
        <v>249534.92</v>
      </c>
      <c r="X26" s="15" t="n">
        <v>1634929.16</v>
      </c>
      <c r="Y26" s="15" t="n">
        <v>4800858.52</v>
      </c>
      <c r="Z26" s="15" t="n">
        <v>2699004.81</v>
      </c>
      <c r="AA26" s="15" t="n">
        <v>3221597.07</v>
      </c>
      <c r="AB26" s="15" t="n">
        <v>1820347.21</v>
      </c>
      <c r="AC26" s="15" t="n">
        <v>421509.15</v>
      </c>
      <c r="AD26" s="15" t="n">
        <v>1109785.41</v>
      </c>
      <c r="AE26" s="15" t="n">
        <v>4009699.05</v>
      </c>
      <c r="AF26" s="15" t="n">
        <v>3128669.64</v>
      </c>
      <c r="AG26" s="15" t="n">
        <v>3569640.08</v>
      </c>
      <c r="AH26" s="15" t="n">
        <v>491897.06</v>
      </c>
      <c r="AI26" s="15" t="n">
        <v>197962.36</v>
      </c>
      <c r="AJ26" s="15" t="n">
        <v>2181939.36</v>
      </c>
      <c r="AK26" s="15" t="n">
        <v>5215142.62</v>
      </c>
      <c r="AL26" s="15" t="n">
        <v>6253703.89</v>
      </c>
      <c r="AM26" s="15" t="n">
        <v>3868874.3</v>
      </c>
      <c r="AN26" s="15" t="n">
        <v>2688013.79</v>
      </c>
      <c r="AO26" s="15" t="n">
        <v>705221.33</v>
      </c>
      <c r="AP26" s="15" t="n">
        <v>1308460.23</v>
      </c>
      <c r="AQ26" s="15" t="n">
        <v>452342.94</v>
      </c>
      <c r="AR26" s="15" t="n">
        <v>917049.63</v>
      </c>
      <c r="AS26" s="15" t="n">
        <v>1960399.08</v>
      </c>
      <c r="AT26" s="15" t="n">
        <v>760154.36</v>
      </c>
      <c r="AU26" s="15" t="n">
        <v>587965.16</v>
      </c>
      <c r="AV26" s="15" t="n">
        <v>-2438.19</v>
      </c>
      <c r="AW26" s="15" t="n">
        <v>4184000.3</v>
      </c>
      <c r="AX26" s="15" t="n">
        <v>1128965.22</v>
      </c>
      <c r="AY26" s="15" t="n">
        <v>1741099.86</v>
      </c>
      <c r="AZ26" s="15" t="n">
        <v>2078448.9</v>
      </c>
      <c r="BA26" s="15" t="n">
        <v>202738.09</v>
      </c>
      <c r="BB26" s="15" t="n">
        <v>1457039.8</v>
      </c>
      <c r="BC26" s="15" t="n">
        <v>2139007.18</v>
      </c>
      <c r="BD26" s="15" t="n">
        <v>7296347.93</v>
      </c>
      <c r="BE26" s="15" t="n">
        <v>1922806.33</v>
      </c>
      <c r="BF26" s="15" t="n">
        <v>1221420.07</v>
      </c>
      <c r="BG26" s="15" t="n">
        <v>602787.58</v>
      </c>
      <c r="BH26" s="15" t="n">
        <v>1046856.61</v>
      </c>
      <c r="BI26" s="15" t="n">
        <v>2587189.8</v>
      </c>
      <c r="BJ26" s="15" t="n">
        <v>6668672.46</v>
      </c>
      <c r="BK26" s="15" t="n">
        <v>949765.98</v>
      </c>
      <c r="BL26" s="15" t="n">
        <v>1394329.15</v>
      </c>
      <c r="BM26" s="15" t="n">
        <v>223234.59</v>
      </c>
      <c r="BN26" s="15" t="n">
        <v>379178.49</v>
      </c>
      <c r="BO26" s="15" t="n">
        <v>2254850.3</v>
      </c>
      <c r="BP26" s="15" t="n">
        <v>5417022.94</v>
      </c>
      <c r="BQ26" s="15" t="n">
        <v>3354266.68</v>
      </c>
      <c r="BR26" s="15" t="n">
        <v>2655565.46</v>
      </c>
      <c r="BS26" s="15" t="n">
        <v>708322.22</v>
      </c>
      <c r="BT26" s="15" t="n">
        <v>218633.72</v>
      </c>
      <c r="BU26" s="15" t="n">
        <v>5243025.3</v>
      </c>
      <c r="BV26" s="15" t="n">
        <v>7015012.66</v>
      </c>
      <c r="BW26" s="15" t="n">
        <v>460672.49</v>
      </c>
      <c r="BX26" s="15" t="n">
        <v>342601.12</v>
      </c>
      <c r="BY26" s="15" t="n">
        <v>264557.46</v>
      </c>
      <c r="BZ26" s="15" t="n">
        <v>1967991.85</v>
      </c>
      <c r="CA26" s="15" t="n">
        <v>1678062.81</v>
      </c>
      <c r="CB26" s="15" t="n">
        <v>7438456.18</v>
      </c>
      <c r="CC26" s="15" t="n">
        <v>1556103.74</v>
      </c>
      <c r="CD26" s="15" t="n">
        <v>1935388.69</v>
      </c>
      <c r="CE26" s="15" t="n">
        <v>137524.92</v>
      </c>
      <c r="CF26" s="15" t="n">
        <v>1773025.56</v>
      </c>
      <c r="CG26" s="15" t="n">
        <v>3834845.56</v>
      </c>
      <c r="CH26" s="15" t="n">
        <v>4056367.74</v>
      </c>
      <c r="CI26" s="15" t="n">
        <v>1409836.35</v>
      </c>
      <c r="CJ26" s="15" t="n">
        <v>2573191.57</v>
      </c>
      <c r="CK26" s="15" t="n">
        <v>579682.4300000001</v>
      </c>
      <c r="CL26" s="15" t="n">
        <v>665341.8</v>
      </c>
      <c r="CM26" s="15" t="n">
        <v>3093322.54</v>
      </c>
      <c r="CN26" s="15" t="n">
        <v>6759350.73</v>
      </c>
      <c r="CO26" s="15" t="n">
        <v>418961.08</v>
      </c>
      <c r="CP26" s="15" t="n">
        <v>1883400.11</v>
      </c>
      <c r="CQ26" s="15" t="n">
        <v>105417.05</v>
      </c>
      <c r="CR26" s="15" t="n">
        <v>2020117.53</v>
      </c>
      <c r="CS26" s="15" t="n">
        <v>1725891.14</v>
      </c>
      <c r="CT26" s="15" t="n">
        <v>3759726.14</v>
      </c>
      <c r="CU26" s="15" t="n">
        <v>2782087.92</v>
      </c>
      <c r="CV26" s="15" t="n">
        <v>2709164.11</v>
      </c>
      <c r="CW26" s="15" t="n">
        <v>500561.24</v>
      </c>
      <c r="CX26" s="15" t="n">
        <v>435097.12</v>
      </c>
      <c r="CY26" s="15" t="n">
        <v>3569418.78</v>
      </c>
      <c r="CZ26" s="15" t="n">
        <v>6606550.29</v>
      </c>
      <c r="DA26" s="15" t="n">
        <v>4458974.62</v>
      </c>
      <c r="DB26" s="15" t="n">
        <v>545382.4399999999</v>
      </c>
      <c r="DC26" s="15" t="n">
        <v>339081.43</v>
      </c>
      <c r="DD26" s="15" t="n">
        <v>220958.49</v>
      </c>
      <c r="DE26" s="15" t="n">
        <v>1380717.11</v>
      </c>
      <c r="DF26" s="15" t="n">
        <v>6819500.08</v>
      </c>
      <c r="DG26" s="15" t="n">
        <v>2816796.09</v>
      </c>
      <c r="DH26" s="15" t="n">
        <v>2649992.73</v>
      </c>
      <c r="DI26" s="15" t="n">
        <v>290373.03</v>
      </c>
      <c r="DJ26" s="15" t="n">
        <v>1345125.53</v>
      </c>
      <c r="DK26" s="15" t="n">
        <v>4894454.99</v>
      </c>
      <c r="DL26" s="15" t="n">
        <v>2796982</v>
      </c>
      <c r="DM26" s="15" t="n">
        <v>3856436.08</v>
      </c>
      <c r="DN26" s="15" t="n">
        <v>211631.22</v>
      </c>
      <c r="DO26" s="15" t="n">
        <v>247322.03</v>
      </c>
      <c r="DP26" s="15" t="n">
        <v>4034.9</v>
      </c>
    </row>
    <row r="27">
      <c r="A27" s="4" t="inlineStr">
        <is>
          <t>调味汁</t>
        </is>
      </c>
      <c r="B27" s="15" t="n">
        <v>2859091.85</v>
      </c>
      <c r="C27" s="15" t="n">
        <v>4252465.67</v>
      </c>
      <c r="D27" s="15" t="n">
        <v>253624.38</v>
      </c>
      <c r="E27" s="15" t="n">
        <v>403838.7</v>
      </c>
      <c r="F27" s="15" t="n">
        <v>1884411.95</v>
      </c>
      <c r="G27" s="15" t="n">
        <v>2943029.21</v>
      </c>
      <c r="H27" s="15" t="n">
        <v>4330944.58</v>
      </c>
      <c r="I27" s="15" t="n">
        <v>4135739.91</v>
      </c>
      <c r="J27" s="15" t="n">
        <v>2696123.92</v>
      </c>
      <c r="K27" s="15" t="n">
        <v>50806.75</v>
      </c>
      <c r="L27" s="15" t="n">
        <v>2142544.62</v>
      </c>
      <c r="M27" s="15" t="n">
        <v>4899070.12</v>
      </c>
      <c r="N27" s="15" t="n">
        <v>4249132.64</v>
      </c>
      <c r="O27" s="15" t="n">
        <v>1236932.48</v>
      </c>
      <c r="P27" s="15" t="n">
        <v>2228246.2</v>
      </c>
      <c r="Q27" s="15" t="n">
        <v>748266.99</v>
      </c>
      <c r="R27" s="15" t="n">
        <v>-234436.77</v>
      </c>
      <c r="S27" s="15" t="n">
        <v>3078652.17</v>
      </c>
      <c r="T27" s="15" t="n">
        <v>1181308.17</v>
      </c>
      <c r="U27" s="15" t="n">
        <v>1873853.64</v>
      </c>
      <c r="V27" s="15" t="n">
        <v>920584.4</v>
      </c>
      <c r="W27" s="15" t="n">
        <v>713354.3100000001</v>
      </c>
      <c r="X27" s="15" t="n">
        <v>1594105.42</v>
      </c>
      <c r="Y27" s="15" t="n">
        <v>3266227.28</v>
      </c>
      <c r="Z27" s="15" t="n">
        <v>5152075.47</v>
      </c>
      <c r="AA27" s="15" t="n">
        <v>4405092.33</v>
      </c>
      <c r="AB27" s="15" t="n">
        <v>2821116.19</v>
      </c>
      <c r="AC27" s="15" t="n">
        <v>241775.81</v>
      </c>
      <c r="AD27" s="15" t="n">
        <v>1599181.72</v>
      </c>
      <c r="AE27" s="15" t="n">
        <v>5928181.86</v>
      </c>
      <c r="AF27" s="15" t="n">
        <v>4822316.16</v>
      </c>
      <c r="AG27" s="15" t="n">
        <v>4151240.32</v>
      </c>
      <c r="AH27" s="15" t="n">
        <v>1906755.92</v>
      </c>
      <c r="AI27" s="15" t="n">
        <v>24736.02</v>
      </c>
      <c r="AJ27" s="15" t="n">
        <v>772831.8199999999</v>
      </c>
      <c r="AK27" s="15" t="n">
        <v>4491462.46</v>
      </c>
      <c r="AL27" s="15" t="n">
        <v>3011035.06</v>
      </c>
      <c r="AM27" s="15" t="n">
        <v>3288986.67</v>
      </c>
      <c r="AN27" s="15" t="n">
        <v>1151531.05</v>
      </c>
      <c r="AO27" s="15" t="n">
        <v>650715.37</v>
      </c>
      <c r="AP27" s="15" t="n">
        <v>1297971.68</v>
      </c>
      <c r="AQ27" s="15" t="n">
        <v>1544991.95</v>
      </c>
      <c r="AR27" s="15" t="n">
        <v>3427173.22</v>
      </c>
      <c r="AS27" s="15" t="n">
        <v>1454945.82</v>
      </c>
      <c r="AT27" s="15" t="n">
        <v>334246.35</v>
      </c>
      <c r="AU27" s="15" t="n">
        <v>611857.28</v>
      </c>
      <c r="AV27" s="15" t="n">
        <v>1737398.08</v>
      </c>
      <c r="AW27" s="15" t="n">
        <v>4799311.63</v>
      </c>
      <c r="AX27" s="15" t="n">
        <v>3963714.51</v>
      </c>
      <c r="AY27" s="15" t="n">
        <v>2255682.67</v>
      </c>
      <c r="AZ27" s="15" t="n">
        <v>2868583.85</v>
      </c>
      <c r="BA27" s="15" t="n">
        <v>477187.09</v>
      </c>
      <c r="BB27" s="15" t="n">
        <v>683681.59</v>
      </c>
      <c r="BC27" s="15" t="n">
        <v>172650.79</v>
      </c>
      <c r="BD27" s="15" t="n">
        <v>719820.39</v>
      </c>
      <c r="BE27" s="15" t="n">
        <v>3497797.8</v>
      </c>
      <c r="BF27" s="15" t="n">
        <v>1330178.92</v>
      </c>
      <c r="BG27" s="15" t="n">
        <v>272247.26</v>
      </c>
      <c r="BH27" s="15" t="n">
        <v>-277078.77</v>
      </c>
      <c r="BI27" s="15" t="n">
        <v>751988.86</v>
      </c>
      <c r="BJ27" s="15" t="n">
        <v>1360471.05</v>
      </c>
      <c r="BK27" s="15" t="n">
        <v>99814.28</v>
      </c>
      <c r="BL27" s="15" t="n">
        <v>2189627.18</v>
      </c>
      <c r="BM27" s="15" t="n">
        <v>155392.95</v>
      </c>
      <c r="BN27" s="15" t="n">
        <v>759052.95</v>
      </c>
      <c r="BO27" s="15" t="n">
        <v>129688.62</v>
      </c>
      <c r="BP27" s="15" t="n">
        <v>2019247.63</v>
      </c>
      <c r="BQ27" s="15" t="n">
        <v>322421.19</v>
      </c>
      <c r="BR27" s="15" t="n">
        <v>2733782.5</v>
      </c>
      <c r="BS27" s="15" t="n">
        <v>368239.37</v>
      </c>
      <c r="BT27" s="15" t="n">
        <v>1122700.7</v>
      </c>
      <c r="BU27" s="15" t="n">
        <v>4890768.97</v>
      </c>
      <c r="BV27" s="15" t="n">
        <v>4127331.47</v>
      </c>
      <c r="BW27" s="15" t="n">
        <v>3570383.27</v>
      </c>
      <c r="BX27" s="15" t="n">
        <v>2887853.29</v>
      </c>
      <c r="BY27" s="15" t="n">
        <v>390906.52</v>
      </c>
      <c r="BZ27" s="15" t="n">
        <v>278430.95</v>
      </c>
      <c r="CA27" s="15" t="n">
        <v>905945.84</v>
      </c>
      <c r="CB27" s="15" t="n">
        <v>6952448.71</v>
      </c>
      <c r="CC27" s="15" t="n">
        <v>354943.62</v>
      </c>
      <c r="CD27" s="15" t="n">
        <v>1191598.79</v>
      </c>
      <c r="CE27" s="15" t="n">
        <v>73762.03999999999</v>
      </c>
      <c r="CF27" s="15" t="n">
        <v>1606208.75</v>
      </c>
      <c r="CG27" s="15" t="n">
        <v>3748543.69</v>
      </c>
      <c r="CH27" s="15" t="n">
        <v>2320872.4</v>
      </c>
      <c r="CI27" s="15" t="n">
        <v>1730192.16</v>
      </c>
      <c r="CJ27" s="15" t="n">
        <v>2555886.88</v>
      </c>
      <c r="CK27" s="15" t="n">
        <v>469580.75</v>
      </c>
      <c r="CL27" s="15" t="n">
        <v>1645292.82</v>
      </c>
      <c r="CM27" s="15" t="n">
        <v>3753172.55</v>
      </c>
      <c r="CN27" s="15" t="n">
        <v>6135942.73</v>
      </c>
      <c r="CO27" s="15" t="n">
        <v>3408313.55</v>
      </c>
      <c r="CP27" s="15" t="n">
        <v>1374396.1</v>
      </c>
      <c r="CQ27" s="15" t="n">
        <v>658195.83</v>
      </c>
      <c r="CR27" s="15" t="n">
        <v>118013.01</v>
      </c>
      <c r="CS27" s="15" t="n">
        <v>5596838.88</v>
      </c>
      <c r="CT27" s="15" t="n">
        <v>4907885.09</v>
      </c>
      <c r="CU27" s="15" t="n">
        <v>1350896.56</v>
      </c>
      <c r="CV27" s="15" t="n">
        <v>856445.76</v>
      </c>
      <c r="CW27" s="15" t="n">
        <v>213219.54</v>
      </c>
      <c r="CX27" s="15" t="n">
        <v>356339.93</v>
      </c>
      <c r="CY27" s="15" t="n">
        <v>201382.02</v>
      </c>
      <c r="CZ27" s="15" t="n">
        <v>3646289.42</v>
      </c>
      <c r="DA27" s="15" t="n">
        <v>3804051.3</v>
      </c>
      <c r="DB27" s="15" t="n">
        <v>533652.3100000001</v>
      </c>
      <c r="DC27" s="15" t="n">
        <v>533584.08</v>
      </c>
      <c r="DD27" s="15" t="n">
        <v>1059813.4</v>
      </c>
      <c r="DE27" s="15" t="n">
        <v>2608051.53</v>
      </c>
      <c r="DF27" s="15" t="n">
        <v>5430261.26</v>
      </c>
      <c r="DG27" s="15" t="n">
        <v>1650984.88</v>
      </c>
      <c r="DH27" s="15" t="n">
        <v>1123595.77</v>
      </c>
      <c r="DI27" s="15" t="n">
        <v>396331.99</v>
      </c>
      <c r="DJ27" s="15" t="n">
        <v>2062847.73</v>
      </c>
      <c r="DK27" s="15" t="n">
        <v>2013697.57</v>
      </c>
      <c r="DL27" s="15" t="n">
        <v>4552461.16</v>
      </c>
      <c r="DM27" s="15" t="n">
        <v>3914088.98</v>
      </c>
      <c r="DN27" s="15" t="n">
        <v>841583.86</v>
      </c>
      <c r="DO27" s="15" t="n">
        <v>731835.1899999999</v>
      </c>
      <c r="DP27" s="15" t="n">
        <v>1382230.16</v>
      </c>
    </row>
    <row r="28">
      <c r="A28" s="4" t="inlineStr">
        <is>
          <t>复合调味粉</t>
        </is>
      </c>
      <c r="B28" s="15" t="n">
        <v>5276839.24</v>
      </c>
      <c r="C28" s="15" t="n">
        <v>1030829.75</v>
      </c>
      <c r="D28" s="15" t="n">
        <v>2267959.43</v>
      </c>
      <c r="E28" s="15" t="n">
        <v>374986.59</v>
      </c>
      <c r="F28" s="15" t="n">
        <v>1650462.43</v>
      </c>
      <c r="G28" s="15" t="n">
        <v>3082596.95</v>
      </c>
      <c r="H28" s="15" t="n">
        <v>4508795.47</v>
      </c>
      <c r="I28" s="15" t="n">
        <v>216632.11</v>
      </c>
      <c r="J28" s="15" t="n">
        <v>963743.0600000001</v>
      </c>
      <c r="K28" s="15" t="n">
        <v>366227.43</v>
      </c>
      <c r="L28" s="15" t="n">
        <v>896533.65</v>
      </c>
      <c r="M28" s="15" t="n">
        <v>4946272.39</v>
      </c>
      <c r="N28" s="15" t="n">
        <v>4863646.05</v>
      </c>
      <c r="O28" s="15" t="n">
        <v>3832403.8</v>
      </c>
      <c r="P28" s="15" t="n">
        <v>650657.34</v>
      </c>
      <c r="Q28" s="15" t="n">
        <v>341029.9</v>
      </c>
      <c r="R28" s="15" t="n">
        <v>-259533.85</v>
      </c>
      <c r="S28" s="15" t="n">
        <v>1953871.87</v>
      </c>
      <c r="T28" s="15" t="n">
        <v>4749149.84</v>
      </c>
      <c r="U28" s="15" t="n">
        <v>267992.85</v>
      </c>
      <c r="V28" s="15" t="n">
        <v>1772291.33</v>
      </c>
      <c r="W28" s="15" t="n">
        <v>459854.48</v>
      </c>
      <c r="X28" s="15" t="n">
        <v>1560896.39</v>
      </c>
      <c r="Y28" s="15" t="n">
        <v>3268654.17</v>
      </c>
      <c r="Z28" s="15" t="n">
        <v>2475973.76</v>
      </c>
      <c r="AA28" s="15" t="n">
        <v>3493994.1</v>
      </c>
      <c r="AB28" s="15" t="n">
        <v>2457404.54</v>
      </c>
      <c r="AC28" s="15" t="n">
        <v>183965.8</v>
      </c>
      <c r="AD28" s="15" t="n">
        <v>-158029.23</v>
      </c>
      <c r="AE28" s="15" t="n">
        <v>1509925.69</v>
      </c>
      <c r="AF28" s="15" t="n">
        <v>7302171.24</v>
      </c>
      <c r="AG28" s="15" t="n">
        <v>2002399.42</v>
      </c>
      <c r="AH28" s="15" t="n">
        <v>105487.43</v>
      </c>
      <c r="AI28" s="15" t="n">
        <v>113025.38</v>
      </c>
      <c r="AJ28" s="15" t="n">
        <v>606689.9</v>
      </c>
      <c r="AK28" s="15" t="n">
        <v>3363047.36</v>
      </c>
      <c r="AL28" s="15" t="n">
        <v>3162139.23</v>
      </c>
      <c r="AM28" s="15" t="n">
        <v>2880317.18</v>
      </c>
      <c r="AN28" s="15" t="n">
        <v>1167708.53</v>
      </c>
      <c r="AO28" s="15" t="n">
        <v>541765.15</v>
      </c>
      <c r="AP28" s="15" t="n">
        <v>1879216.42</v>
      </c>
      <c r="AQ28" s="15" t="n">
        <v>2584565.49</v>
      </c>
      <c r="AR28" s="15" t="n">
        <v>2775613.69</v>
      </c>
      <c r="AS28" s="15" t="n">
        <v>3073423.44</v>
      </c>
      <c r="AT28" s="15" t="n">
        <v>2724389.14</v>
      </c>
      <c r="AU28" s="15" t="n">
        <v>303704.91</v>
      </c>
      <c r="AV28" s="15" t="n">
        <v>2012223.63</v>
      </c>
      <c r="AW28" s="15" t="n">
        <v>2040721.85</v>
      </c>
      <c r="AX28" s="15" t="n">
        <v>751873.87</v>
      </c>
      <c r="AY28" s="15" t="n">
        <v>845931.88</v>
      </c>
      <c r="AZ28" s="15" t="n">
        <v>199113.16</v>
      </c>
      <c r="BA28" s="15" t="n">
        <v>382800.4</v>
      </c>
      <c r="BB28" s="15" t="n">
        <v>30303.06</v>
      </c>
      <c r="BC28" s="15" t="n">
        <v>1091344.19</v>
      </c>
      <c r="BD28" s="15" t="n">
        <v>1155317.97</v>
      </c>
      <c r="BE28" s="15" t="n">
        <v>1460634.5</v>
      </c>
      <c r="BF28" s="15" t="n">
        <v>1976538.78</v>
      </c>
      <c r="BG28" s="15" t="n">
        <v>687434.09</v>
      </c>
      <c r="BH28" s="15" t="n">
        <v>1042312.27</v>
      </c>
      <c r="BI28" s="15" t="n">
        <v>5273520.88</v>
      </c>
      <c r="BJ28" s="15" t="n">
        <v>1110319.87</v>
      </c>
      <c r="BK28" s="15" t="n">
        <v>1313435.65</v>
      </c>
      <c r="BL28" s="15" t="n">
        <v>1759810.62</v>
      </c>
      <c r="BM28" s="15" t="n">
        <v>59750.69</v>
      </c>
      <c r="BN28" s="15" t="n">
        <v>590051.6800000001</v>
      </c>
      <c r="BO28" s="15" t="n">
        <v>4742726.71</v>
      </c>
      <c r="BP28" s="15" t="n">
        <v>4804038.28</v>
      </c>
      <c r="BQ28" s="15" t="n">
        <v>1508477.92</v>
      </c>
      <c r="BR28" s="15" t="n">
        <v>1139298.05</v>
      </c>
      <c r="BS28" s="15" t="n">
        <v>262229.11</v>
      </c>
      <c r="BT28" s="15" t="n">
        <v>1742813.1</v>
      </c>
      <c r="BU28" s="15" t="n">
        <v>3888549.41</v>
      </c>
      <c r="BV28" s="15" t="n">
        <v>3609126.8</v>
      </c>
      <c r="BW28" s="15" t="n">
        <v>2088421.48</v>
      </c>
      <c r="BX28" s="15" t="n">
        <v>2197791.48</v>
      </c>
      <c r="BY28" s="15" t="n">
        <v>449171.64</v>
      </c>
      <c r="BZ28" s="15" t="n">
        <v>-202928.27</v>
      </c>
      <c r="CA28" s="15" t="n">
        <v>2749901.97</v>
      </c>
      <c r="CB28" s="15" t="n">
        <v>6724644.37</v>
      </c>
      <c r="CC28" s="15" t="n">
        <v>4152263.04</v>
      </c>
      <c r="CD28" s="15" t="n">
        <v>2781812.53</v>
      </c>
      <c r="CE28" s="15" t="n">
        <v>583479.2</v>
      </c>
      <c r="CF28" s="15" t="n">
        <v>522996.71</v>
      </c>
      <c r="CG28" s="15" t="n">
        <v>5388782.41</v>
      </c>
      <c r="CH28" s="15" t="n">
        <v>3720929.2</v>
      </c>
      <c r="CI28" s="15" t="n">
        <v>3881339.08</v>
      </c>
      <c r="CJ28" s="15" t="n">
        <v>1693588.55</v>
      </c>
      <c r="CK28" s="15" t="n">
        <v>565871.14</v>
      </c>
      <c r="CL28" s="15" t="n">
        <v>1553204.83</v>
      </c>
      <c r="CM28" s="15" t="n">
        <v>4397232.06</v>
      </c>
      <c r="CN28" s="15" t="n">
        <v>5661853.38</v>
      </c>
      <c r="CO28" s="15" t="n">
        <v>1546437.83</v>
      </c>
      <c r="CP28" s="15" t="n">
        <v>536276.23</v>
      </c>
      <c r="CQ28" s="15" t="n">
        <v>708228.1</v>
      </c>
      <c r="CR28" s="15" t="n">
        <v>2092438.94</v>
      </c>
      <c r="CS28" s="15" t="n">
        <v>4497485.42</v>
      </c>
      <c r="CT28" s="15" t="n">
        <v>6246455.74</v>
      </c>
      <c r="CU28" s="15" t="n">
        <v>1939151.35</v>
      </c>
      <c r="CV28" s="15" t="n">
        <v>2385534.89</v>
      </c>
      <c r="CW28" s="15" t="n">
        <v>636590.98</v>
      </c>
      <c r="CX28" s="15" t="n">
        <v>-168984.89</v>
      </c>
      <c r="CY28" s="15" t="n">
        <v>3998869.19</v>
      </c>
      <c r="CZ28" s="15" t="n">
        <v>6069945.09</v>
      </c>
      <c r="DA28" s="15" t="n">
        <v>3498305.01</v>
      </c>
      <c r="DB28" s="15" t="n">
        <v>2560737.4</v>
      </c>
      <c r="DC28" s="15" t="n">
        <v>641159.6800000001</v>
      </c>
      <c r="DD28" s="15" t="n">
        <v>1201920.65</v>
      </c>
      <c r="DE28" s="15" t="n">
        <v>3851072.72</v>
      </c>
      <c r="DF28" s="15" t="n">
        <v>1437395.52</v>
      </c>
      <c r="DG28" s="15" t="n">
        <v>1297242.08</v>
      </c>
      <c r="DH28" s="15" t="n">
        <v>2066387.88</v>
      </c>
      <c r="DI28" s="15" t="n">
        <v>637916.42</v>
      </c>
      <c r="DJ28" s="15" t="n">
        <v>791667.0600000001</v>
      </c>
      <c r="DK28" s="15" t="n">
        <v>5278937.05</v>
      </c>
      <c r="DL28" s="15" t="n">
        <v>1686337.98</v>
      </c>
      <c r="DM28" s="15" t="n">
        <v>2842603.34</v>
      </c>
      <c r="DN28" s="15" t="n">
        <v>1504162.53</v>
      </c>
      <c r="DO28" s="15" t="n">
        <v>513803.03</v>
      </c>
      <c r="DP28" s="15" t="n">
        <v>1191241.93</v>
      </c>
    </row>
    <row r="29">
      <c r="A29" s="4" t="inlineStr">
        <is>
          <t>团餐</t>
        </is>
      </c>
      <c r="B29" s="15" t="n">
        <v>7026440.75</v>
      </c>
      <c r="C29" s="15" t="n">
        <v>2809032.19</v>
      </c>
      <c r="D29" s="15" t="n">
        <v>452361.15</v>
      </c>
      <c r="E29" s="15" t="n">
        <v>617650.5</v>
      </c>
      <c r="F29" s="15" t="n">
        <v>1395172.29</v>
      </c>
      <c r="G29" s="15" t="n">
        <v>2115784.21</v>
      </c>
      <c r="H29" s="15" t="n">
        <v>429648.66</v>
      </c>
      <c r="I29" s="15" t="n">
        <v>94063.53</v>
      </c>
      <c r="J29" s="15" t="n">
        <v>1694003.82</v>
      </c>
      <c r="K29" s="15" t="n">
        <v>573311.98</v>
      </c>
      <c r="L29" s="15" t="n">
        <v>573346.1</v>
      </c>
      <c r="M29" s="15" t="n">
        <v>4321252.22</v>
      </c>
      <c r="N29" s="15" t="n">
        <v>7068884.6</v>
      </c>
      <c r="O29" s="15" t="n">
        <v>1337450.21</v>
      </c>
      <c r="P29" s="15" t="n">
        <v>1262106.49</v>
      </c>
      <c r="Q29" s="15" t="n">
        <v>558749.84</v>
      </c>
      <c r="R29" s="15" t="n">
        <v>897953.1899999999</v>
      </c>
      <c r="S29" s="15" t="n">
        <v>2002561.63</v>
      </c>
      <c r="T29" s="15" t="n">
        <v>6303100.95</v>
      </c>
      <c r="U29" s="15" t="n">
        <v>2486207.8</v>
      </c>
      <c r="V29" s="15" t="n">
        <v>235496.21</v>
      </c>
      <c r="W29" s="15" t="n">
        <v>744995.02</v>
      </c>
      <c r="X29" s="15" t="n">
        <v>1423073.08</v>
      </c>
      <c r="Y29" s="15" t="n">
        <v>3696638.22</v>
      </c>
      <c r="Z29" s="15" t="n">
        <v>3693246.55</v>
      </c>
      <c r="AA29" s="15" t="n">
        <v>3200958.9</v>
      </c>
      <c r="AB29" s="15" t="n">
        <v>1021116.96</v>
      </c>
      <c r="AC29" s="15" t="n">
        <v>467044.85</v>
      </c>
      <c r="AD29" s="15" t="n">
        <v>763938.03</v>
      </c>
      <c r="AE29" s="15" t="n">
        <v>1956282.37</v>
      </c>
      <c r="AF29" s="15" t="n">
        <v>5464168.73</v>
      </c>
      <c r="AG29" s="15" t="n">
        <v>3387961.57</v>
      </c>
      <c r="AH29" s="15" t="n">
        <v>94643.7</v>
      </c>
      <c r="AI29" s="15" t="n">
        <v>58769.83</v>
      </c>
      <c r="AJ29" s="15" t="n">
        <v>603126.1</v>
      </c>
      <c r="AK29" s="15" t="n">
        <v>251841.43</v>
      </c>
      <c r="AL29" s="15" t="n">
        <v>5960935.66</v>
      </c>
      <c r="AM29" s="15" t="n">
        <v>991814.64</v>
      </c>
      <c r="AN29" s="15" t="n">
        <v>2658877.56</v>
      </c>
      <c r="AO29" s="15" t="n">
        <v>71028.75</v>
      </c>
      <c r="AP29" s="15" t="n">
        <v>1044385.68</v>
      </c>
      <c r="AQ29" s="15" t="n">
        <v>3049298.79</v>
      </c>
      <c r="AR29" s="15" t="n">
        <v>3795793.1</v>
      </c>
      <c r="AS29" s="15" t="n">
        <v>2069311.92</v>
      </c>
      <c r="AT29" s="15" t="n">
        <v>1578199.87</v>
      </c>
      <c r="AU29" s="15" t="n">
        <v>493269.64</v>
      </c>
      <c r="AV29" s="15" t="n">
        <v>1999931.87</v>
      </c>
      <c r="AW29" s="15" t="n">
        <v>5980008.17</v>
      </c>
      <c r="AX29" s="15" t="n">
        <v>6714295.95</v>
      </c>
      <c r="AY29" s="15" t="n">
        <v>921698.83</v>
      </c>
      <c r="AZ29" s="15" t="n">
        <v>678980.8100000001</v>
      </c>
      <c r="BA29" s="15" t="n">
        <v>388077.74</v>
      </c>
      <c r="BB29" s="15" t="n">
        <v>431481.27</v>
      </c>
      <c r="BC29" s="15" t="n">
        <v>4305962.55</v>
      </c>
      <c r="BD29" s="15" t="n">
        <v>4655337.4</v>
      </c>
      <c r="BE29" s="15" t="n">
        <v>2211047.39</v>
      </c>
      <c r="BF29" s="15" t="n">
        <v>2419211.51</v>
      </c>
      <c r="BG29" s="15" t="n">
        <v>606968.9</v>
      </c>
      <c r="BH29" s="15" t="n">
        <v>-176912.25</v>
      </c>
      <c r="BI29" s="15" t="n">
        <v>1561828.1</v>
      </c>
      <c r="BJ29" s="15" t="n">
        <v>7392805.58</v>
      </c>
      <c r="BK29" s="15" t="n">
        <v>3344514.24</v>
      </c>
      <c r="BL29" s="15" t="n">
        <v>2041803.17</v>
      </c>
      <c r="BM29" s="15" t="n">
        <v>59949.16</v>
      </c>
      <c r="BN29" s="15" t="n">
        <v>1778764.87</v>
      </c>
      <c r="BO29" s="15" t="n">
        <v>1836227.76</v>
      </c>
      <c r="BP29" s="15" t="n">
        <v>788253.47</v>
      </c>
      <c r="BQ29" s="15" t="n">
        <v>2956963.12</v>
      </c>
      <c r="BR29" s="15" t="n">
        <v>771909.01</v>
      </c>
      <c r="BS29" s="15" t="n">
        <v>494728.27</v>
      </c>
      <c r="BT29" s="15" t="n">
        <v>1905798.42</v>
      </c>
      <c r="BU29" s="15" t="n">
        <v>438822.64</v>
      </c>
      <c r="BV29" s="15" t="n">
        <v>1478397.57</v>
      </c>
      <c r="BW29" s="15" t="n">
        <v>160088.53</v>
      </c>
      <c r="BX29" s="15" t="n">
        <v>1826528.04</v>
      </c>
      <c r="BY29" s="15" t="n">
        <v>161424.15</v>
      </c>
      <c r="BZ29" s="15" t="n">
        <v>267421.21</v>
      </c>
      <c r="CA29" s="15" t="n">
        <v>5474293.28</v>
      </c>
      <c r="CB29" s="15" t="n">
        <v>4121111.72</v>
      </c>
      <c r="CC29" s="15" t="n">
        <v>3314421.06</v>
      </c>
      <c r="CD29" s="15" t="n">
        <v>2061935.84</v>
      </c>
      <c r="CE29" s="15" t="n">
        <v>64108.34</v>
      </c>
      <c r="CF29" s="15" t="n">
        <v>1179897.26</v>
      </c>
      <c r="CG29" s="15" t="n">
        <v>5587222.24</v>
      </c>
      <c r="CH29" s="15" t="n">
        <v>3718593.22</v>
      </c>
      <c r="CI29" s="15" t="n">
        <v>4396104.29</v>
      </c>
      <c r="CJ29" s="15" t="n">
        <v>2797451.17</v>
      </c>
      <c r="CK29" s="15" t="n">
        <v>381522.98</v>
      </c>
      <c r="CL29" s="15" t="n">
        <v>867097.34</v>
      </c>
      <c r="CM29" s="15" t="n">
        <v>2847010.35</v>
      </c>
      <c r="CN29" s="15" t="n">
        <v>1915235.54</v>
      </c>
      <c r="CO29" s="15" t="n">
        <v>1924726.67</v>
      </c>
      <c r="CP29" s="15" t="n">
        <v>2302776.69</v>
      </c>
      <c r="CQ29" s="15" t="n">
        <v>350263.09</v>
      </c>
      <c r="CR29" s="15" t="n">
        <v>493437.39</v>
      </c>
      <c r="CS29" s="15" t="n">
        <v>2169732.22</v>
      </c>
      <c r="CT29" s="15" t="n">
        <v>2581557.77</v>
      </c>
      <c r="CU29" s="15" t="n">
        <v>3995607.26</v>
      </c>
      <c r="CV29" s="15" t="n">
        <v>647841.14</v>
      </c>
      <c r="CW29" s="15" t="n">
        <v>676143.05</v>
      </c>
      <c r="CX29" s="15" t="n">
        <v>985873.86</v>
      </c>
      <c r="CY29" s="15" t="n">
        <v>3726677.88</v>
      </c>
      <c r="CZ29" s="15" t="n">
        <v>6073531.41</v>
      </c>
      <c r="DA29" s="15" t="n">
        <v>3158521.05</v>
      </c>
      <c r="DB29" s="15" t="n">
        <v>630065.8100000001</v>
      </c>
      <c r="DC29" s="15" t="n">
        <v>582065.6800000001</v>
      </c>
      <c r="DD29" s="15" t="n">
        <v>1540887.85</v>
      </c>
      <c r="DE29" s="15" t="n">
        <v>754326.62</v>
      </c>
      <c r="DF29" s="15" t="n">
        <v>521335.99</v>
      </c>
      <c r="DG29" s="15" t="n">
        <v>1773820.44</v>
      </c>
      <c r="DH29" s="15" t="n">
        <v>636826.74</v>
      </c>
      <c r="DI29" s="15" t="n">
        <v>246623.59</v>
      </c>
      <c r="DJ29" s="15" t="n">
        <v>223830.02</v>
      </c>
      <c r="DK29" s="15" t="n">
        <v>4956801.3</v>
      </c>
      <c r="DL29" s="15" t="n">
        <v>4099568.25</v>
      </c>
      <c r="DM29" s="15" t="n">
        <v>3316283.22</v>
      </c>
      <c r="DN29" s="15" t="n">
        <v>431823.58</v>
      </c>
      <c r="DO29" s="15" t="n">
        <v>522993.4</v>
      </c>
      <c r="DP29" s="15" t="n">
        <v>180910.26</v>
      </c>
    </row>
    <row r="30">
      <c r="A30" s="4" t="inlineStr">
        <is>
          <t>预制菜</t>
        </is>
      </c>
      <c r="B30" s="15" t="n">
        <v>7104545.39</v>
      </c>
      <c r="C30" s="15" t="n">
        <v>452700.42</v>
      </c>
      <c r="D30" s="15" t="n">
        <v>1114713.62</v>
      </c>
      <c r="E30" s="15" t="n">
        <v>562727.1800000001</v>
      </c>
      <c r="F30" s="15" t="n">
        <v>-121925.78</v>
      </c>
      <c r="G30" s="15" t="n">
        <v>5845971.69</v>
      </c>
      <c r="H30" s="15" t="n">
        <v>3972158.14</v>
      </c>
      <c r="I30" s="15" t="n">
        <v>1573352.78</v>
      </c>
      <c r="J30" s="15" t="n">
        <v>2362833.71</v>
      </c>
      <c r="K30" s="15" t="n">
        <v>356414.89</v>
      </c>
      <c r="L30" s="15" t="n">
        <v>65303.23</v>
      </c>
      <c r="M30" s="15" t="n">
        <v>1592346.48</v>
      </c>
      <c r="N30" s="15" t="n">
        <v>3326410.22</v>
      </c>
      <c r="O30" s="15" t="n">
        <v>3619237.87</v>
      </c>
      <c r="P30" s="15" t="n">
        <v>1285081</v>
      </c>
      <c r="Q30" s="15" t="n">
        <v>298347.8</v>
      </c>
      <c r="R30" s="15" t="n">
        <v>417674.12</v>
      </c>
      <c r="S30" s="15" t="n">
        <v>744006.89</v>
      </c>
      <c r="T30" s="15" t="n">
        <v>4796978.82</v>
      </c>
      <c r="U30" s="15" t="n">
        <v>633735.65</v>
      </c>
      <c r="V30" s="15" t="n">
        <v>2479949.6</v>
      </c>
      <c r="W30" s="15" t="n">
        <v>239696.6</v>
      </c>
      <c r="X30" s="15" t="n">
        <v>992964.6899999999</v>
      </c>
      <c r="Y30" s="15" t="n">
        <v>2689439.09</v>
      </c>
      <c r="Z30" s="15" t="n">
        <v>939113.83</v>
      </c>
      <c r="AA30" s="15" t="n">
        <v>4218911.62</v>
      </c>
      <c r="AB30" s="15" t="n">
        <v>2936382.71</v>
      </c>
      <c r="AC30" s="15" t="n">
        <v>720000.02</v>
      </c>
      <c r="AD30" s="15" t="n">
        <v>1134342.04</v>
      </c>
      <c r="AE30" s="15" t="n">
        <v>1558738.6</v>
      </c>
      <c r="AF30" s="15" t="n">
        <v>7417281.1</v>
      </c>
      <c r="AG30" s="15" t="n">
        <v>3004580.19</v>
      </c>
      <c r="AH30" s="15" t="n">
        <v>1375902.77</v>
      </c>
      <c r="AI30" s="15" t="n">
        <v>660881.45</v>
      </c>
      <c r="AJ30" s="15" t="n">
        <v>1973268.02</v>
      </c>
      <c r="AK30" s="15" t="n">
        <v>2787236.73</v>
      </c>
      <c r="AL30" s="15" t="n">
        <v>550808.5600000001</v>
      </c>
      <c r="AM30" s="15" t="n">
        <v>2661613.44</v>
      </c>
      <c r="AN30" s="15" t="n">
        <v>189429.88</v>
      </c>
      <c r="AO30" s="15" t="n">
        <v>431587.39</v>
      </c>
      <c r="AP30" s="15" t="n">
        <v>1803884.93</v>
      </c>
      <c r="AQ30" s="15" t="n">
        <v>5519172.94</v>
      </c>
      <c r="AR30" s="15" t="n">
        <v>2684843.09</v>
      </c>
      <c r="AS30" s="15" t="n">
        <v>3030130.6</v>
      </c>
      <c r="AT30" s="15" t="n">
        <v>498318.87</v>
      </c>
      <c r="AU30" s="15" t="n">
        <v>559287.34</v>
      </c>
      <c r="AV30" s="15" t="n">
        <v>1676207.36</v>
      </c>
      <c r="AW30" s="15" t="n">
        <v>2243999.75</v>
      </c>
      <c r="AX30" s="15" t="n">
        <v>4707029.23</v>
      </c>
      <c r="AY30" s="15" t="n">
        <v>2091922.32</v>
      </c>
      <c r="AZ30" s="15" t="n">
        <v>2312178.89</v>
      </c>
      <c r="BA30" s="15" t="n">
        <v>133193.9</v>
      </c>
      <c r="BB30" s="15" t="n">
        <v>1092804.85</v>
      </c>
      <c r="BC30" s="15" t="n">
        <v>3277636.11</v>
      </c>
      <c r="BD30" s="15" t="n">
        <v>4050804.94</v>
      </c>
      <c r="BE30" s="15" t="n">
        <v>3470311.4</v>
      </c>
      <c r="BF30" s="15" t="n">
        <v>1819680.4</v>
      </c>
      <c r="BG30" s="15" t="n">
        <v>77204.78</v>
      </c>
      <c r="BH30" s="15" t="n">
        <v>1408237.17</v>
      </c>
      <c r="BI30" s="15" t="n">
        <v>4984225.15</v>
      </c>
      <c r="BJ30" s="15" t="n">
        <v>4482595.35</v>
      </c>
      <c r="BK30" s="15" t="n">
        <v>4327402.66</v>
      </c>
      <c r="BL30" s="15" t="n">
        <v>2495549.48</v>
      </c>
      <c r="BM30" s="15" t="n">
        <v>278303.83</v>
      </c>
      <c r="BN30" s="15" t="n">
        <v>-89497.12</v>
      </c>
      <c r="BO30" s="15" t="n">
        <v>4110746.17</v>
      </c>
      <c r="BP30" s="15" t="n">
        <v>2603529.17</v>
      </c>
      <c r="BQ30" s="15" t="n">
        <v>2658284.26</v>
      </c>
      <c r="BR30" s="15" t="n">
        <v>2254946.09</v>
      </c>
      <c r="BS30" s="15" t="n">
        <v>529787.34</v>
      </c>
      <c r="BT30" s="15" t="n">
        <v>404561.2</v>
      </c>
      <c r="BU30" s="15" t="n">
        <v>5036920.03</v>
      </c>
      <c r="BV30" s="15" t="n">
        <v>3042840.45</v>
      </c>
      <c r="BW30" s="15" t="n">
        <v>4498999.18</v>
      </c>
      <c r="BX30" s="15" t="n">
        <v>2995357.24</v>
      </c>
      <c r="BY30" s="15" t="n">
        <v>332930.85</v>
      </c>
      <c r="BZ30" s="15" t="n">
        <v>1657010.91</v>
      </c>
      <c r="CA30" s="15" t="n">
        <v>968952.28</v>
      </c>
      <c r="CB30" s="15" t="n">
        <v>6211298.15</v>
      </c>
      <c r="CC30" s="15" t="n">
        <v>116041.26</v>
      </c>
      <c r="CD30" s="15" t="n">
        <v>795747.78</v>
      </c>
      <c r="CE30" s="15" t="n">
        <v>726873.05</v>
      </c>
      <c r="CF30" s="15" t="n">
        <v>133181.3</v>
      </c>
      <c r="CG30" s="15" t="n">
        <v>5253371.67</v>
      </c>
      <c r="CH30" s="15" t="n">
        <v>7340455.2</v>
      </c>
      <c r="CI30" s="15" t="n">
        <v>3965760</v>
      </c>
      <c r="CJ30" s="15" t="n">
        <v>2220119.24</v>
      </c>
      <c r="CK30" s="15" t="n">
        <v>291125.44</v>
      </c>
      <c r="CL30" s="15" t="n">
        <v>1072779.61</v>
      </c>
      <c r="CM30" s="15" t="n">
        <v>2061774.3</v>
      </c>
      <c r="CN30" s="15" t="n">
        <v>3778772.19</v>
      </c>
      <c r="CO30" s="15" t="n">
        <v>131169.46</v>
      </c>
      <c r="CP30" s="15" t="n">
        <v>235305.68</v>
      </c>
      <c r="CQ30" s="15" t="n">
        <v>447123</v>
      </c>
      <c r="CR30" s="15" t="n">
        <v>1643335.75</v>
      </c>
      <c r="CS30" s="15" t="n">
        <v>3642803.85</v>
      </c>
      <c r="CT30" s="15" t="n">
        <v>2697876.7</v>
      </c>
      <c r="CU30" s="15" t="n">
        <v>288679.03</v>
      </c>
      <c r="CV30" s="15" t="n">
        <v>2683072.17</v>
      </c>
      <c r="CW30" s="15" t="n">
        <v>236426.95</v>
      </c>
      <c r="CX30" s="15" t="n">
        <v>851138.62</v>
      </c>
      <c r="CY30" s="15" t="n">
        <v>375709.36</v>
      </c>
      <c r="CZ30" s="15" t="n">
        <v>7009890.98</v>
      </c>
      <c r="DA30" s="15" t="n">
        <v>3084698.94</v>
      </c>
      <c r="DB30" s="15" t="n">
        <v>708674.53</v>
      </c>
      <c r="DC30" s="15" t="n">
        <v>375218.02</v>
      </c>
      <c r="DD30" s="15" t="n">
        <v>1634864.53</v>
      </c>
      <c r="DE30" s="15" t="n">
        <v>5723965</v>
      </c>
      <c r="DF30" s="15" t="n">
        <v>6792177.71</v>
      </c>
      <c r="DG30" s="15" t="n">
        <v>3366205.46</v>
      </c>
      <c r="DH30" s="15" t="n">
        <v>2725532.38</v>
      </c>
      <c r="DI30" s="15" t="n">
        <v>527793.91</v>
      </c>
      <c r="DJ30" s="15" t="n">
        <v>-153895.85</v>
      </c>
      <c r="DK30" s="15" t="n">
        <v>4184210.69</v>
      </c>
      <c r="DL30" s="15" t="n">
        <v>5045330.45</v>
      </c>
      <c r="DM30" s="15" t="n">
        <v>2124889.58</v>
      </c>
      <c r="DN30" s="15" t="n">
        <v>2703917.74</v>
      </c>
      <c r="DO30" s="15" t="n">
        <v>38852.18</v>
      </c>
      <c r="DP30" s="15" t="n">
        <v>1319876.61</v>
      </c>
    </row>
    <row r="31">
      <c r="A31" s="4" t="inlineStr">
        <is>
          <t>其他产品A</t>
        </is>
      </c>
      <c r="B31" s="15" t="n">
        <v>1923654.09</v>
      </c>
      <c r="C31" s="15" t="n">
        <v>3181645.8</v>
      </c>
      <c r="D31" s="15" t="n">
        <v>1287372.27</v>
      </c>
      <c r="E31" s="15" t="n">
        <v>509596.8</v>
      </c>
      <c r="F31" s="15" t="n">
        <v>-30093.01</v>
      </c>
      <c r="G31" s="15" t="n">
        <v>694735.49</v>
      </c>
      <c r="H31" s="15" t="n">
        <v>5027626.26</v>
      </c>
      <c r="I31" s="15" t="n">
        <v>145463.93</v>
      </c>
      <c r="J31" s="15" t="n">
        <v>1477362.03</v>
      </c>
      <c r="K31" s="15" t="n">
        <v>469290.91</v>
      </c>
      <c r="L31" s="15" t="n">
        <v>1744823.35</v>
      </c>
      <c r="M31" s="15" t="n">
        <v>4505044.8</v>
      </c>
      <c r="N31" s="15" t="n">
        <v>2982257.68</v>
      </c>
      <c r="O31" s="15" t="n">
        <v>1272738.14</v>
      </c>
      <c r="P31" s="15" t="n">
        <v>1459851.45</v>
      </c>
      <c r="Q31" s="15" t="n">
        <v>634628.3</v>
      </c>
      <c r="R31" s="15" t="n">
        <v>943879.11</v>
      </c>
      <c r="S31" s="15" t="n">
        <v>1816857.92</v>
      </c>
      <c r="T31" s="15" t="n">
        <v>1466989.33</v>
      </c>
      <c r="U31" s="15" t="n">
        <v>2307515.28</v>
      </c>
      <c r="V31" s="15" t="n">
        <v>2767120.35</v>
      </c>
      <c r="W31" s="15" t="n">
        <v>657370.62</v>
      </c>
      <c r="X31" s="15" t="n">
        <v>1916470.26</v>
      </c>
      <c r="Y31" s="15" t="n">
        <v>4590450.58</v>
      </c>
      <c r="Z31" s="15" t="n">
        <v>5695157.15</v>
      </c>
      <c r="AA31" s="15" t="n">
        <v>2250396.76</v>
      </c>
      <c r="AB31" s="15" t="n">
        <v>2700365.75</v>
      </c>
      <c r="AC31" s="15" t="n">
        <v>263760.96</v>
      </c>
      <c r="AD31" s="15" t="n">
        <v>-69710.11</v>
      </c>
      <c r="AE31" s="15" t="n">
        <v>2207734.41</v>
      </c>
      <c r="AF31" s="15" t="n">
        <v>533885.9300000001</v>
      </c>
      <c r="AG31" s="15" t="n">
        <v>4091059.18</v>
      </c>
      <c r="AH31" s="15" t="n">
        <v>1192046.72</v>
      </c>
      <c r="AI31" s="15" t="n">
        <v>702619.64</v>
      </c>
      <c r="AJ31" s="15" t="n">
        <v>-120897.25</v>
      </c>
      <c r="AK31" s="15" t="n">
        <v>2228414.34</v>
      </c>
      <c r="AL31" s="15" t="n">
        <v>3590505.79</v>
      </c>
      <c r="AM31" s="15" t="n">
        <v>3144227.8</v>
      </c>
      <c r="AN31" s="15" t="n">
        <v>1113472.83</v>
      </c>
      <c r="AO31" s="15" t="n">
        <v>320671.71</v>
      </c>
      <c r="AP31" s="15" t="n">
        <v>761820.25</v>
      </c>
      <c r="AQ31" s="15" t="n">
        <v>5174472.6</v>
      </c>
      <c r="AR31" s="15" t="n">
        <v>3197185.01</v>
      </c>
      <c r="AS31" s="15" t="n">
        <v>4437217.87</v>
      </c>
      <c r="AT31" s="15" t="n">
        <v>2677714.99</v>
      </c>
      <c r="AU31" s="15" t="n">
        <v>735559.9399999999</v>
      </c>
      <c r="AV31" s="15" t="n">
        <v>1142466.56</v>
      </c>
      <c r="AW31" s="15" t="n">
        <v>2592997.43</v>
      </c>
      <c r="AX31" s="15" t="n">
        <v>5635076.47</v>
      </c>
      <c r="AY31" s="15" t="n">
        <v>1801122.48</v>
      </c>
      <c r="AZ31" s="15" t="n">
        <v>1239776.57</v>
      </c>
      <c r="BA31" s="15" t="n">
        <v>25400.98</v>
      </c>
      <c r="BB31" s="15" t="n">
        <v>1150119.38</v>
      </c>
      <c r="BC31" s="15" t="n">
        <v>2298515.47</v>
      </c>
      <c r="BD31" s="15" t="n">
        <v>1027726.36</v>
      </c>
      <c r="BE31" s="15" t="n">
        <v>1912744.12</v>
      </c>
      <c r="BF31" s="15" t="n">
        <v>2594947.32</v>
      </c>
      <c r="BG31" s="15" t="n">
        <v>67737.21000000001</v>
      </c>
      <c r="BH31" s="15" t="n">
        <v>227978.03</v>
      </c>
      <c r="BI31" s="15" t="n">
        <v>2085220.71</v>
      </c>
      <c r="BJ31" s="15" t="n">
        <v>7383543.47</v>
      </c>
      <c r="BK31" s="15" t="n">
        <v>916282.1</v>
      </c>
      <c r="BL31" s="15" t="n">
        <v>804573.33</v>
      </c>
      <c r="BM31" s="15" t="n">
        <v>288015.86</v>
      </c>
      <c r="BN31" s="15" t="n">
        <v>-109668.79</v>
      </c>
      <c r="BO31" s="15" t="n">
        <v>993713.28</v>
      </c>
      <c r="BP31" s="15" t="n">
        <v>3052709.89</v>
      </c>
      <c r="BQ31" s="15" t="n">
        <v>1872040.69</v>
      </c>
      <c r="BR31" s="15" t="n">
        <v>1792572.95</v>
      </c>
      <c r="BS31" s="15" t="n">
        <v>74920.28</v>
      </c>
      <c r="BT31" s="15" t="n">
        <v>70577.07000000001</v>
      </c>
      <c r="BU31" s="15" t="n">
        <v>4289053.59</v>
      </c>
      <c r="BV31" s="15" t="n">
        <v>6791024.56</v>
      </c>
      <c r="BW31" s="15" t="n">
        <v>2079128.25</v>
      </c>
      <c r="BX31" s="15" t="n">
        <v>2225054.82</v>
      </c>
      <c r="BY31" s="15" t="n">
        <v>244239.19</v>
      </c>
      <c r="BZ31" s="15" t="n">
        <v>1840741.82</v>
      </c>
      <c r="CA31" s="15" t="n">
        <v>4234346.91</v>
      </c>
      <c r="CB31" s="15" t="n">
        <v>3000570.6</v>
      </c>
      <c r="CC31" s="15" t="n">
        <v>2233630.78</v>
      </c>
      <c r="CD31" s="15" t="n">
        <v>933392.4300000001</v>
      </c>
      <c r="CE31" s="15" t="n">
        <v>369075.15</v>
      </c>
      <c r="CF31" s="15" t="n">
        <v>1621843.9</v>
      </c>
      <c r="CG31" s="15" t="n">
        <v>3103910.47</v>
      </c>
      <c r="CH31" s="15" t="n">
        <v>4607899.31</v>
      </c>
      <c r="CI31" s="15" t="n">
        <v>1890834.56</v>
      </c>
      <c r="CJ31" s="15" t="n">
        <v>618644.87</v>
      </c>
      <c r="CK31" s="15" t="n">
        <v>435165.34</v>
      </c>
      <c r="CL31" s="15" t="n">
        <v>2070771.26</v>
      </c>
      <c r="CM31" s="15" t="n">
        <v>463716.19</v>
      </c>
      <c r="CN31" s="15" t="n">
        <v>1340967.05</v>
      </c>
      <c r="CO31" s="15" t="n">
        <v>2854957.42</v>
      </c>
      <c r="CP31" s="15" t="n">
        <v>801816.2</v>
      </c>
      <c r="CQ31" s="15" t="n">
        <v>165576.29</v>
      </c>
      <c r="CR31" s="15" t="n">
        <v>1155293.98</v>
      </c>
      <c r="CS31" s="15" t="n">
        <v>5004975.44</v>
      </c>
      <c r="CT31" s="15" t="n">
        <v>1496537.98</v>
      </c>
      <c r="CU31" s="15" t="n">
        <v>3450057.38</v>
      </c>
      <c r="CV31" s="15" t="n">
        <v>2446699.72</v>
      </c>
      <c r="CW31" s="15" t="n">
        <v>552854.4</v>
      </c>
      <c r="CX31" s="15" t="n">
        <v>775988.5</v>
      </c>
      <c r="CY31" s="15" t="n">
        <v>902905.08</v>
      </c>
      <c r="CZ31" s="15" t="n">
        <v>181784.27</v>
      </c>
      <c r="DA31" s="15" t="n">
        <v>621411.11</v>
      </c>
      <c r="DB31" s="15" t="n">
        <v>1463550.25</v>
      </c>
      <c r="DC31" s="15" t="n">
        <v>312944.39</v>
      </c>
      <c r="DD31" s="15" t="n">
        <v>2037621.54</v>
      </c>
      <c r="DE31" s="15" t="n">
        <v>4624968.08</v>
      </c>
      <c r="DF31" s="15" t="n">
        <v>962882.5</v>
      </c>
      <c r="DG31" s="15" t="n">
        <v>1811898.18</v>
      </c>
      <c r="DH31" s="15" t="n">
        <v>2919888.97</v>
      </c>
      <c r="DI31" s="15" t="n">
        <v>568562.16</v>
      </c>
      <c r="DJ31" s="15" t="n">
        <v>-69284.16</v>
      </c>
      <c r="DK31" s="15" t="n">
        <v>4973912.58</v>
      </c>
      <c r="DL31" s="15" t="n">
        <v>6487601.05</v>
      </c>
      <c r="DM31" s="15" t="n">
        <v>1164791.98</v>
      </c>
      <c r="DN31" s="15" t="n">
        <v>2988699.99</v>
      </c>
      <c r="DO31" s="15" t="n">
        <v>493915.41</v>
      </c>
      <c r="DP31" s="15" t="n">
        <v>1833979.88</v>
      </c>
    </row>
    <row r="32">
      <c r="A32" s="4" t="inlineStr">
        <is>
          <t>其他产品B</t>
        </is>
      </c>
      <c r="B32" s="15" t="n">
        <v>2816732.56</v>
      </c>
      <c r="C32" s="15" t="n">
        <v>1615412.43</v>
      </c>
      <c r="D32" s="15" t="n">
        <v>2442542.66</v>
      </c>
      <c r="E32" s="15" t="n">
        <v>18256.78</v>
      </c>
      <c r="F32" s="15" t="n">
        <v>1709697.88</v>
      </c>
      <c r="G32" s="15" t="n">
        <v>1141807.36</v>
      </c>
      <c r="H32" s="15" t="n">
        <v>238720.77</v>
      </c>
      <c r="I32" s="15" t="n">
        <v>921563.39</v>
      </c>
      <c r="J32" s="15" t="n">
        <v>1269020.85</v>
      </c>
      <c r="K32" s="15" t="n">
        <v>166472.55</v>
      </c>
      <c r="L32" s="15" t="n">
        <v>1579114.01</v>
      </c>
      <c r="M32" s="15" t="n">
        <v>3003152.75</v>
      </c>
      <c r="N32" s="15" t="n">
        <v>2896793.87</v>
      </c>
      <c r="O32" s="15" t="n">
        <v>2825707.07</v>
      </c>
      <c r="P32" s="15" t="n">
        <v>889313.9300000001</v>
      </c>
      <c r="Q32" s="15" t="n">
        <v>578268.09</v>
      </c>
      <c r="R32" s="15" t="n">
        <v>1028135.08</v>
      </c>
      <c r="S32" s="15" t="n">
        <v>4826279.52</v>
      </c>
      <c r="T32" s="15" t="n">
        <v>163723.73</v>
      </c>
      <c r="U32" s="15" t="n">
        <v>1404041.6</v>
      </c>
      <c r="V32" s="15" t="n">
        <v>54947.45</v>
      </c>
      <c r="W32" s="15" t="n">
        <v>731142.04</v>
      </c>
      <c r="X32" s="15" t="n">
        <v>-209896.44</v>
      </c>
      <c r="Y32" s="15" t="n">
        <v>5148252.5</v>
      </c>
      <c r="Z32" s="15" t="n">
        <v>1321202.38</v>
      </c>
      <c r="AA32" s="15" t="n">
        <v>986285.84</v>
      </c>
      <c r="AB32" s="15" t="n">
        <v>677464.71</v>
      </c>
      <c r="AC32" s="15" t="n">
        <v>108683.83</v>
      </c>
      <c r="AD32" s="15" t="n">
        <v>1655823.06</v>
      </c>
      <c r="AE32" s="15" t="n">
        <v>1143794.54</v>
      </c>
      <c r="AF32" s="15" t="n">
        <v>3416995.88</v>
      </c>
      <c r="AG32" s="15" t="n">
        <v>3904091.59</v>
      </c>
      <c r="AH32" s="15" t="n">
        <v>2961266.23</v>
      </c>
      <c r="AI32" s="15" t="n">
        <v>167158.75</v>
      </c>
      <c r="AJ32" s="15" t="n">
        <v>1724197.9</v>
      </c>
      <c r="AK32" s="15" t="n">
        <v>868669.49</v>
      </c>
      <c r="AL32" s="15" t="n">
        <v>5476012.21</v>
      </c>
      <c r="AM32" s="15" t="n">
        <v>3560875.21</v>
      </c>
      <c r="AN32" s="15" t="n">
        <v>2521986.73</v>
      </c>
      <c r="AO32" s="15" t="n">
        <v>74434.74000000001</v>
      </c>
      <c r="AP32" s="15" t="n">
        <v>1119812.82</v>
      </c>
      <c r="AQ32" s="15" t="n">
        <v>4180151.06</v>
      </c>
      <c r="AR32" s="15" t="n">
        <v>1261664.59</v>
      </c>
      <c r="AS32" s="15" t="n">
        <v>4347157.18</v>
      </c>
      <c r="AT32" s="15" t="n">
        <v>2509369.69</v>
      </c>
      <c r="AU32" s="15" t="n">
        <v>411931.44</v>
      </c>
      <c r="AV32" s="15" t="n">
        <v>1451167.44</v>
      </c>
      <c r="AW32" s="15" t="n">
        <v>2644092.78</v>
      </c>
      <c r="AX32" s="15" t="n">
        <v>6208443.21</v>
      </c>
      <c r="AY32" s="15" t="n">
        <v>3192737.65</v>
      </c>
      <c r="AZ32" s="15" t="n">
        <v>1760594.18</v>
      </c>
      <c r="BA32" s="15" t="n">
        <v>386598.2</v>
      </c>
      <c r="BB32" s="15" t="n">
        <v>2211668.88</v>
      </c>
      <c r="BC32" s="15" t="n">
        <v>5803511.46</v>
      </c>
      <c r="BD32" s="15" t="n">
        <v>5010675.12</v>
      </c>
      <c r="BE32" s="15" t="n">
        <v>2569222.54</v>
      </c>
      <c r="BF32" s="15" t="n">
        <v>623616.0600000001</v>
      </c>
      <c r="BG32" s="15" t="n">
        <v>492336.84</v>
      </c>
      <c r="BH32" s="15" t="n">
        <v>1394795.87</v>
      </c>
      <c r="BI32" s="15" t="n">
        <v>496760.73</v>
      </c>
      <c r="BJ32" s="15" t="n">
        <v>906864.25</v>
      </c>
      <c r="BK32" s="15" t="n">
        <v>2982348.18</v>
      </c>
      <c r="BL32" s="15" t="n">
        <v>515830.24</v>
      </c>
      <c r="BM32" s="15" t="n">
        <v>575149.8</v>
      </c>
      <c r="BN32" s="15" t="n">
        <v>889913.47</v>
      </c>
      <c r="BO32" s="15" t="n">
        <v>4795592.41</v>
      </c>
      <c r="BP32" s="15" t="n">
        <v>370647.14</v>
      </c>
      <c r="BQ32" s="15" t="n">
        <v>4232121.62</v>
      </c>
      <c r="BR32" s="15" t="n">
        <v>1923517.17</v>
      </c>
      <c r="BS32" s="15" t="n">
        <v>326565.58</v>
      </c>
      <c r="BT32" s="15" t="n">
        <v>702772.09</v>
      </c>
      <c r="BU32" s="15" t="n">
        <v>2426623.46</v>
      </c>
      <c r="BV32" s="15" t="n">
        <v>5442308.84</v>
      </c>
      <c r="BW32" s="15" t="n">
        <v>2809543.61</v>
      </c>
      <c r="BX32" s="15" t="n">
        <v>1456079.29</v>
      </c>
      <c r="BY32" s="15" t="n">
        <v>387731.91</v>
      </c>
      <c r="BZ32" s="15" t="n">
        <v>1357612.25</v>
      </c>
      <c r="CA32" s="15" t="n">
        <v>1051188.56</v>
      </c>
      <c r="CB32" s="15" t="n">
        <v>7144679.09</v>
      </c>
      <c r="CC32" s="15" t="n">
        <v>1529288.34</v>
      </c>
      <c r="CD32" s="15" t="n">
        <v>1560802.09</v>
      </c>
      <c r="CE32" s="15" t="n">
        <v>262171.17</v>
      </c>
      <c r="CF32" s="15" t="n">
        <v>190861.43</v>
      </c>
      <c r="CG32" s="15" t="n">
        <v>5865805.14</v>
      </c>
      <c r="CH32" s="15" t="n">
        <v>3761316.75</v>
      </c>
      <c r="CI32" s="15" t="n">
        <v>307185.29</v>
      </c>
      <c r="CJ32" s="15" t="n">
        <v>543906.74</v>
      </c>
      <c r="CK32" s="15" t="n">
        <v>503055.45</v>
      </c>
      <c r="CL32" s="15" t="n">
        <v>409102.31</v>
      </c>
      <c r="CM32" s="15" t="n">
        <v>5959865.36</v>
      </c>
      <c r="CN32" s="15" t="n">
        <v>6269631.84</v>
      </c>
      <c r="CO32" s="15" t="n">
        <v>2253404.29</v>
      </c>
      <c r="CP32" s="15" t="n">
        <v>679561.71</v>
      </c>
      <c r="CQ32" s="15" t="n">
        <v>480212.24</v>
      </c>
      <c r="CR32" s="15" t="n">
        <v>204735.23</v>
      </c>
      <c r="CS32" s="15" t="n">
        <v>4484524.52</v>
      </c>
      <c r="CT32" s="15" t="n">
        <v>5002105.08</v>
      </c>
      <c r="CU32" s="15" t="n">
        <v>774874.79</v>
      </c>
      <c r="CV32" s="15" t="n">
        <v>775272.51</v>
      </c>
      <c r="CW32" s="15" t="n">
        <v>267068.18</v>
      </c>
      <c r="CX32" s="15" t="n">
        <v>1855831.43</v>
      </c>
      <c r="CY32" s="15" t="n">
        <v>2755496.8</v>
      </c>
      <c r="CZ32" s="15" t="n">
        <v>5211671.63</v>
      </c>
      <c r="DA32" s="15" t="n">
        <v>1918169.52</v>
      </c>
      <c r="DB32" s="15" t="n">
        <v>2496487.99</v>
      </c>
      <c r="DC32" s="15" t="n">
        <v>442804.88</v>
      </c>
      <c r="DD32" s="15" t="n">
        <v>572874.17</v>
      </c>
      <c r="DE32" s="15" t="n">
        <v>4902154.44</v>
      </c>
      <c r="DF32" s="15" t="n">
        <v>6238248.67</v>
      </c>
      <c r="DG32" s="15" t="n">
        <v>3316274.76</v>
      </c>
      <c r="DH32" s="15" t="n">
        <v>191908.38</v>
      </c>
      <c r="DI32" s="15" t="n">
        <v>311064.14</v>
      </c>
      <c r="DJ32" s="15" t="n">
        <v>859675.76</v>
      </c>
      <c r="DK32" s="15" t="n">
        <v>482135.29</v>
      </c>
      <c r="DL32" s="15" t="n">
        <v>5954194.86</v>
      </c>
      <c r="DM32" s="15" t="n">
        <v>644785.34</v>
      </c>
      <c r="DN32" s="15" t="n">
        <v>2578626.89</v>
      </c>
      <c r="DO32" s="15" t="n">
        <v>307542.48</v>
      </c>
      <c r="DP32" s="15" t="n">
        <v>86994.97</v>
      </c>
    </row>
    <row r="33">
      <c r="A33" s="4" t="inlineStr">
        <is>
          <t>其他产品C</t>
        </is>
      </c>
      <c r="B33" s="15" t="n">
        <v>6391732.17</v>
      </c>
      <c r="C33" s="15" t="n">
        <v>2835601.27</v>
      </c>
      <c r="D33" s="15" t="n">
        <v>2392585.05</v>
      </c>
      <c r="E33" s="15" t="n">
        <v>458669.86</v>
      </c>
      <c r="F33" s="15" t="n">
        <v>976268.25</v>
      </c>
      <c r="G33" s="15" t="n">
        <v>1060644.62</v>
      </c>
      <c r="H33" s="15" t="n">
        <v>5465725.01</v>
      </c>
      <c r="I33" s="15" t="n">
        <v>4306843.18</v>
      </c>
      <c r="J33" s="15" t="n">
        <v>736737.8100000001</v>
      </c>
      <c r="K33" s="15" t="n">
        <v>384546.93</v>
      </c>
      <c r="L33" s="15" t="n">
        <v>131583.18</v>
      </c>
      <c r="M33" s="15" t="n">
        <v>143389.05</v>
      </c>
      <c r="N33" s="15" t="n">
        <v>5390858.86</v>
      </c>
      <c r="O33" s="15" t="n">
        <v>1536507.05</v>
      </c>
      <c r="P33" s="15" t="n">
        <v>851315.24</v>
      </c>
      <c r="Q33" s="15" t="n">
        <v>358101.69</v>
      </c>
      <c r="R33" s="15" t="n">
        <v>966461.92</v>
      </c>
      <c r="S33" s="15" t="n">
        <v>1697290.9</v>
      </c>
      <c r="T33" s="15" t="n">
        <v>806014.22</v>
      </c>
      <c r="U33" s="15" t="n">
        <v>1853817.99</v>
      </c>
      <c r="V33" s="15" t="n">
        <v>282147.78</v>
      </c>
      <c r="W33" s="15" t="n">
        <v>644982.02</v>
      </c>
      <c r="X33" s="15" t="n">
        <v>823181.83</v>
      </c>
      <c r="Y33" s="15" t="n">
        <v>5054172.51</v>
      </c>
      <c r="Z33" s="15" t="n">
        <v>1161845.69</v>
      </c>
      <c r="AA33" s="15" t="n">
        <v>4068816.96</v>
      </c>
      <c r="AB33" s="15" t="n">
        <v>524574.73</v>
      </c>
      <c r="AC33" s="15" t="n">
        <v>113400.08</v>
      </c>
      <c r="AD33" s="15" t="n">
        <v>2114037.17</v>
      </c>
      <c r="AE33" s="15" t="n">
        <v>4535138.2</v>
      </c>
      <c r="AF33" s="15" t="n">
        <v>947628.13</v>
      </c>
      <c r="AG33" s="15" t="n">
        <v>2592661.04</v>
      </c>
      <c r="AH33" s="15" t="n">
        <v>1003534.87</v>
      </c>
      <c r="AI33" s="15" t="n">
        <v>212636.78</v>
      </c>
      <c r="AJ33" s="15" t="n">
        <v>2068860.23</v>
      </c>
      <c r="AK33" s="15" t="n">
        <v>4038490.13</v>
      </c>
      <c r="AL33" s="15" t="n">
        <v>324179.87</v>
      </c>
      <c r="AM33" s="15" t="n">
        <v>3871213.41</v>
      </c>
      <c r="AN33" s="15" t="n">
        <v>419189.52</v>
      </c>
      <c r="AO33" s="15" t="n">
        <v>239117.11</v>
      </c>
      <c r="AP33" s="15" t="n">
        <v>1882422.04</v>
      </c>
      <c r="AQ33" s="15" t="n">
        <v>3532759.12</v>
      </c>
      <c r="AR33" s="15" t="n">
        <v>2329294.1</v>
      </c>
      <c r="AS33" s="15" t="n">
        <v>3048682.08</v>
      </c>
      <c r="AT33" s="15" t="n">
        <v>2241701.82</v>
      </c>
      <c r="AU33" s="15" t="n">
        <v>203178.52</v>
      </c>
      <c r="AV33" s="15" t="n">
        <v>1888854.83</v>
      </c>
      <c r="AW33" s="15" t="n">
        <v>2813148.08</v>
      </c>
      <c r="AX33" s="15" t="n">
        <v>6277369.88</v>
      </c>
      <c r="AY33" s="15" t="n">
        <v>4441577.1</v>
      </c>
      <c r="AZ33" s="15" t="n">
        <v>2594420.41</v>
      </c>
      <c r="BA33" s="15" t="n">
        <v>71465.8</v>
      </c>
      <c r="BB33" s="15" t="n">
        <v>1947597.05</v>
      </c>
      <c r="BC33" s="15" t="n">
        <v>5521114.94</v>
      </c>
      <c r="BD33" s="15" t="n">
        <v>4090009.71</v>
      </c>
      <c r="BE33" s="15" t="n">
        <v>2016858.55</v>
      </c>
      <c r="BF33" s="15" t="n">
        <v>1887241.79</v>
      </c>
      <c r="BG33" s="15" t="n">
        <v>27094.99</v>
      </c>
      <c r="BH33" s="15" t="n">
        <v>1578842.45</v>
      </c>
      <c r="BI33" s="15" t="n">
        <v>5303756.61</v>
      </c>
      <c r="BJ33" s="15" t="n">
        <v>399622.68</v>
      </c>
      <c r="BK33" s="15" t="n">
        <v>4036036.51</v>
      </c>
      <c r="BL33" s="15" t="n">
        <v>2556921.41</v>
      </c>
      <c r="BM33" s="15" t="n">
        <v>527618.08</v>
      </c>
      <c r="BN33" s="15" t="n">
        <v>1215561.66</v>
      </c>
      <c r="BO33" s="15" t="n">
        <v>4355146.13</v>
      </c>
      <c r="BP33" s="15" t="n">
        <v>5624385.07</v>
      </c>
      <c r="BQ33" s="15" t="n">
        <v>2363656.31</v>
      </c>
      <c r="BR33" s="15" t="n">
        <v>450691.8</v>
      </c>
      <c r="BS33" s="15" t="n">
        <v>168090.99</v>
      </c>
      <c r="BT33" s="15" t="n">
        <v>1477263.24</v>
      </c>
      <c r="BU33" s="15" t="n">
        <v>5841086.95</v>
      </c>
      <c r="BV33" s="15" t="n">
        <v>5914632.53</v>
      </c>
      <c r="BW33" s="15" t="n">
        <v>1697857.79</v>
      </c>
      <c r="BX33" s="15" t="n">
        <v>2809385.04</v>
      </c>
      <c r="BY33" s="15" t="n">
        <v>449497.25</v>
      </c>
      <c r="BZ33" s="15" t="n">
        <v>180086.94</v>
      </c>
      <c r="CA33" s="15" t="n">
        <v>4865551.2</v>
      </c>
      <c r="CB33" s="15" t="n">
        <v>6939066.02</v>
      </c>
      <c r="CC33" s="15" t="n">
        <v>2644154.89</v>
      </c>
      <c r="CD33" s="15" t="n">
        <v>875787.63</v>
      </c>
      <c r="CE33" s="15" t="n">
        <v>128362.2</v>
      </c>
      <c r="CF33" s="15" t="n">
        <v>872170.22</v>
      </c>
      <c r="CG33" s="15" t="n">
        <v>2560602.05</v>
      </c>
      <c r="CH33" s="15" t="n">
        <v>929656.84</v>
      </c>
      <c r="CI33" s="15" t="n">
        <v>3507755.36</v>
      </c>
      <c r="CJ33" s="15" t="n">
        <v>2023923.59</v>
      </c>
      <c r="CK33" s="15" t="n">
        <v>316175.51</v>
      </c>
      <c r="CL33" s="15" t="n">
        <v>1498956.76</v>
      </c>
      <c r="CM33" s="15" t="n">
        <v>3017208.83</v>
      </c>
      <c r="CN33" s="15" t="n">
        <v>455672.9</v>
      </c>
      <c r="CO33" s="15" t="n">
        <v>4217999.53</v>
      </c>
      <c r="CP33" s="15" t="n">
        <v>433362.08</v>
      </c>
      <c r="CQ33" s="15" t="n">
        <v>506671.84</v>
      </c>
      <c r="CR33" s="15" t="n">
        <v>-225877.15</v>
      </c>
      <c r="CS33" s="15" t="n">
        <v>5164547.68</v>
      </c>
      <c r="CT33" s="15" t="n">
        <v>1792685.78</v>
      </c>
      <c r="CU33" s="15" t="n">
        <v>2885440.15</v>
      </c>
      <c r="CV33" s="15" t="n">
        <v>667552.42</v>
      </c>
      <c r="CW33" s="15" t="n">
        <v>705766.62</v>
      </c>
      <c r="CX33" s="15" t="n">
        <v>-44495.42</v>
      </c>
      <c r="CY33" s="15" t="n">
        <v>512145.74</v>
      </c>
      <c r="CZ33" s="15" t="n">
        <v>233838.23</v>
      </c>
      <c r="DA33" s="15" t="n">
        <v>4116137.82</v>
      </c>
      <c r="DB33" s="15" t="n">
        <v>1864882.22</v>
      </c>
      <c r="DC33" s="15" t="n">
        <v>306073.25</v>
      </c>
      <c r="DD33" s="15" t="n">
        <v>915676.2</v>
      </c>
      <c r="DE33" s="15" t="n">
        <v>5873589.44</v>
      </c>
      <c r="DF33" s="15" t="n">
        <v>3405134.09</v>
      </c>
      <c r="DG33" s="15" t="n">
        <v>4254178.23</v>
      </c>
      <c r="DH33" s="15" t="n">
        <v>622043</v>
      </c>
      <c r="DI33" s="15" t="n">
        <v>341191.73</v>
      </c>
      <c r="DJ33" s="15" t="n">
        <v>452857.13</v>
      </c>
      <c r="DK33" s="15" t="n">
        <v>1591298.4</v>
      </c>
      <c r="DL33" s="15" t="n">
        <v>1794847.61</v>
      </c>
      <c r="DM33" s="15" t="n">
        <v>4040554.15</v>
      </c>
      <c r="DN33" s="15" t="n">
        <v>1103943.79</v>
      </c>
      <c r="DO33" s="15" t="n">
        <v>370014.64</v>
      </c>
      <c r="DP33" s="15" t="n">
        <v>873001.61</v>
      </c>
    </row>
    <row r="34">
      <c r="A34" s="4" t="inlineStr">
        <is>
          <t>中式汤底</t>
        </is>
      </c>
      <c r="B34" s="15" t="n">
        <v>889707.36</v>
      </c>
      <c r="C34" s="15" t="n">
        <v>2863566.12</v>
      </c>
      <c r="D34" s="15" t="n">
        <v>37455.78</v>
      </c>
      <c r="E34" s="15" t="n">
        <v>313139.42</v>
      </c>
      <c r="F34" s="15" t="n">
        <v>1885644.09</v>
      </c>
      <c r="G34" s="15" t="n">
        <v>3003455.71</v>
      </c>
      <c r="H34" s="15" t="n">
        <v>2259467.46</v>
      </c>
      <c r="I34" s="15" t="n">
        <v>3891350.52</v>
      </c>
      <c r="J34" s="15" t="n">
        <v>605546.52</v>
      </c>
      <c r="K34" s="15" t="n">
        <v>314908.22</v>
      </c>
      <c r="L34" s="15" t="n">
        <v>919706.3199999999</v>
      </c>
      <c r="M34" s="15" t="n">
        <v>1987762.94</v>
      </c>
      <c r="N34" s="15" t="n">
        <v>3024537.05</v>
      </c>
      <c r="O34" s="15" t="n">
        <v>2077107.98</v>
      </c>
      <c r="P34" s="15" t="n">
        <v>1815078.84</v>
      </c>
      <c r="Q34" s="15" t="n">
        <v>70782.57000000001</v>
      </c>
      <c r="R34" s="15" t="n">
        <v>340706.83</v>
      </c>
      <c r="S34" s="15" t="n">
        <v>3630314.89</v>
      </c>
      <c r="T34" s="15" t="n">
        <v>4489025.31</v>
      </c>
      <c r="U34" s="15" t="n">
        <v>3365286.44</v>
      </c>
      <c r="V34" s="15" t="n">
        <v>1044906.39</v>
      </c>
      <c r="W34" s="15" t="n">
        <v>740984.05</v>
      </c>
      <c r="X34" s="15" t="n">
        <v>1980377.18</v>
      </c>
      <c r="Y34" s="15" t="n">
        <v>3964358.32</v>
      </c>
      <c r="Z34" s="15" t="n">
        <v>3789383.7</v>
      </c>
      <c r="AA34" s="15" t="n">
        <v>4354120.31</v>
      </c>
      <c r="AB34" s="15" t="n">
        <v>2164484.8</v>
      </c>
      <c r="AC34" s="15" t="n">
        <v>51807.51</v>
      </c>
      <c r="AD34" s="15" t="n">
        <v>602156.42</v>
      </c>
      <c r="AE34" s="15" t="n">
        <v>5812465.59</v>
      </c>
      <c r="AF34" s="15" t="n">
        <v>3301349.45</v>
      </c>
      <c r="AG34" s="15" t="n">
        <v>639097.7</v>
      </c>
      <c r="AH34" s="15" t="n">
        <v>2554009.62</v>
      </c>
      <c r="AI34" s="15" t="n">
        <v>257929.15</v>
      </c>
      <c r="AJ34" s="15" t="n">
        <v>2201602.11</v>
      </c>
      <c r="AK34" s="15" t="n">
        <v>923198.77</v>
      </c>
      <c r="AL34" s="15" t="n">
        <v>4485007.48</v>
      </c>
      <c r="AM34" s="15" t="n">
        <v>866589.52</v>
      </c>
      <c r="AN34" s="15" t="n">
        <v>2522187.06</v>
      </c>
      <c r="AO34" s="15" t="n">
        <v>323386.26</v>
      </c>
      <c r="AP34" s="15" t="n">
        <v>506403.3</v>
      </c>
      <c r="AQ34" s="15" t="n">
        <v>5908499.9</v>
      </c>
      <c r="AR34" s="15" t="n">
        <v>5863559.88</v>
      </c>
      <c r="AS34" s="15" t="n">
        <v>4035125.07</v>
      </c>
      <c r="AT34" s="15" t="n">
        <v>2068669.44</v>
      </c>
      <c r="AU34" s="15" t="n">
        <v>429209.71</v>
      </c>
      <c r="AV34" s="15" t="n">
        <v>1014985.52</v>
      </c>
      <c r="AW34" s="15" t="n">
        <v>1918427.65</v>
      </c>
      <c r="AX34" s="15" t="n">
        <v>6393208.23</v>
      </c>
      <c r="AY34" s="15" t="n">
        <v>3527950.03</v>
      </c>
      <c r="AZ34" s="15" t="n">
        <v>1176733.01</v>
      </c>
      <c r="BA34" s="15" t="n">
        <v>626507.37</v>
      </c>
      <c r="BB34" s="15" t="n">
        <v>1251410.9</v>
      </c>
      <c r="BC34" s="15" t="n">
        <v>2865053.05</v>
      </c>
      <c r="BD34" s="15" t="n">
        <v>5539869.68</v>
      </c>
      <c r="BE34" s="15" t="n">
        <v>270304.2</v>
      </c>
      <c r="BF34" s="15" t="n">
        <v>238908.51</v>
      </c>
      <c r="BG34" s="15" t="n">
        <v>441231.63</v>
      </c>
      <c r="BH34" s="15" t="n">
        <v>-158231.24</v>
      </c>
      <c r="BI34" s="15" t="n">
        <v>5347144.97</v>
      </c>
      <c r="BJ34" s="15" t="n">
        <v>406677.79</v>
      </c>
      <c r="BK34" s="15" t="n">
        <v>1014489.89</v>
      </c>
      <c r="BL34" s="15" t="n">
        <v>1534209.71</v>
      </c>
      <c r="BM34" s="15" t="n">
        <v>250366.12</v>
      </c>
      <c r="BN34" s="15" t="n">
        <v>700845.12</v>
      </c>
      <c r="BO34" s="15" t="n">
        <v>5515927.87</v>
      </c>
      <c r="BP34" s="15" t="n">
        <v>5361840.5</v>
      </c>
      <c r="BQ34" s="15" t="n">
        <v>2871846.25</v>
      </c>
      <c r="BR34" s="15" t="n">
        <v>2193538.42</v>
      </c>
      <c r="BS34" s="15" t="n">
        <v>223047.07</v>
      </c>
      <c r="BT34" s="15" t="n">
        <v>1853600.83</v>
      </c>
      <c r="BU34" s="15" t="n">
        <v>4549036.35</v>
      </c>
      <c r="BV34" s="15" t="n">
        <v>1855031.82</v>
      </c>
      <c r="BW34" s="15" t="n">
        <v>2620182.37</v>
      </c>
      <c r="BX34" s="15" t="n">
        <v>2909167.8</v>
      </c>
      <c r="BY34" s="15" t="n">
        <v>422537.09</v>
      </c>
      <c r="BZ34" s="15" t="n">
        <v>404550.73</v>
      </c>
      <c r="CA34" s="15" t="n">
        <v>1358726.95</v>
      </c>
      <c r="CB34" s="15" t="n">
        <v>4371671.58</v>
      </c>
      <c r="CC34" s="15" t="n">
        <v>1492189.81</v>
      </c>
      <c r="CD34" s="15" t="n">
        <v>1738463.9</v>
      </c>
      <c r="CE34" s="15" t="n">
        <v>380890.97</v>
      </c>
      <c r="CF34" s="15" t="n">
        <v>1035373.27</v>
      </c>
      <c r="CG34" s="15" t="n">
        <v>963495.24</v>
      </c>
      <c r="CH34" s="15" t="n">
        <v>1628289.64</v>
      </c>
      <c r="CI34" s="15" t="n">
        <v>148530.99</v>
      </c>
      <c r="CJ34" s="15" t="n">
        <v>902565.35</v>
      </c>
      <c r="CK34" s="15" t="n">
        <v>700398.26</v>
      </c>
      <c r="CL34" s="15" t="n">
        <v>1080988.39</v>
      </c>
      <c r="CM34" s="15" t="n">
        <v>1608340.36</v>
      </c>
      <c r="CN34" s="15" t="n">
        <v>5978185.31</v>
      </c>
      <c r="CO34" s="15" t="n">
        <v>862382.46</v>
      </c>
      <c r="CP34" s="15" t="n">
        <v>1901868.39</v>
      </c>
      <c r="CQ34" s="15" t="n">
        <v>91119.99000000001</v>
      </c>
      <c r="CR34" s="15" t="n">
        <v>2164511.39</v>
      </c>
      <c r="CS34" s="15" t="n">
        <v>3547596.66</v>
      </c>
      <c r="CT34" s="15" t="n">
        <v>457594.61</v>
      </c>
      <c r="CU34" s="15" t="n">
        <v>3422619.86</v>
      </c>
      <c r="CV34" s="15" t="n">
        <v>1815456.22</v>
      </c>
      <c r="CW34" s="15" t="n">
        <v>646966.88</v>
      </c>
      <c r="CX34" s="15" t="n">
        <v>-263278.74</v>
      </c>
      <c r="CY34" s="15" t="n">
        <v>1847584.33</v>
      </c>
      <c r="CZ34" s="15" t="n">
        <v>5014461.71</v>
      </c>
      <c r="DA34" s="15" t="n">
        <v>1336650.23</v>
      </c>
      <c r="DB34" s="15" t="n">
        <v>2482303.98</v>
      </c>
      <c r="DC34" s="15" t="n">
        <v>245432.46</v>
      </c>
      <c r="DD34" s="15" t="n">
        <v>843625.86</v>
      </c>
      <c r="DE34" s="15" t="n">
        <v>3794149.78</v>
      </c>
      <c r="DF34" s="15" t="n">
        <v>6180198.18</v>
      </c>
      <c r="DG34" s="15" t="n">
        <v>250309.75</v>
      </c>
      <c r="DH34" s="15" t="n">
        <v>2059226.98</v>
      </c>
      <c r="DI34" s="15" t="n">
        <v>573844.49</v>
      </c>
      <c r="DJ34" s="15" t="n">
        <v>55781.39</v>
      </c>
      <c r="DK34" s="15" t="n">
        <v>3399993.8</v>
      </c>
      <c r="DL34" s="15" t="n">
        <v>5366372.54</v>
      </c>
      <c r="DM34" s="15" t="n">
        <v>3086071.79</v>
      </c>
      <c r="DN34" s="15" t="n">
        <v>2962152.71</v>
      </c>
      <c r="DO34" s="15" t="n">
        <v>301053.84</v>
      </c>
      <c r="DP34" s="15" t="n">
        <v>797025.17</v>
      </c>
    </row>
    <row r="35">
      <c r="A35" s="4" t="inlineStr">
        <is>
          <t>酱料</t>
        </is>
      </c>
      <c r="B35" s="15" t="n">
        <v>7454021.84</v>
      </c>
      <c r="C35" s="15" t="n">
        <v>1797739.57</v>
      </c>
      <c r="D35" s="15" t="n">
        <v>520996.42</v>
      </c>
      <c r="E35" s="15" t="n">
        <v>550015.9399999999</v>
      </c>
      <c r="F35" s="15" t="n">
        <v>1171958.46</v>
      </c>
      <c r="G35" s="15" t="n">
        <v>2002665.62</v>
      </c>
      <c r="H35" s="15" t="n">
        <v>7465848.2</v>
      </c>
      <c r="I35" s="15" t="n">
        <v>403258.49</v>
      </c>
      <c r="J35" s="15" t="n">
        <v>629977.17</v>
      </c>
      <c r="K35" s="15" t="n">
        <v>712505.61</v>
      </c>
      <c r="L35" s="15" t="n">
        <v>489843.02</v>
      </c>
      <c r="M35" s="15" t="n">
        <v>3928274.29</v>
      </c>
      <c r="N35" s="15" t="n">
        <v>4296686.41</v>
      </c>
      <c r="O35" s="15" t="n">
        <v>3697848.26</v>
      </c>
      <c r="P35" s="15" t="n">
        <v>1427042.29</v>
      </c>
      <c r="Q35" s="15" t="n">
        <v>175132.59</v>
      </c>
      <c r="R35" s="15" t="n">
        <v>875895.53</v>
      </c>
      <c r="S35" s="15" t="n">
        <v>1826355.94</v>
      </c>
      <c r="T35" s="15" t="n">
        <v>5292952.79</v>
      </c>
      <c r="U35" s="15" t="n">
        <v>947411.5600000001</v>
      </c>
      <c r="V35" s="15" t="n">
        <v>1598300.84</v>
      </c>
      <c r="W35" s="15" t="n">
        <v>390242.08</v>
      </c>
      <c r="X35" s="15" t="n">
        <v>739040.95</v>
      </c>
      <c r="Y35" s="15" t="n">
        <v>1067150.1</v>
      </c>
      <c r="Z35" s="15" t="n">
        <v>5708271.5</v>
      </c>
      <c r="AA35" s="15" t="n">
        <v>3020486</v>
      </c>
      <c r="AB35" s="15" t="n">
        <v>1911907.93</v>
      </c>
      <c r="AC35" s="15" t="n">
        <v>656359.27</v>
      </c>
      <c r="AD35" s="15" t="n">
        <v>1788309.39</v>
      </c>
      <c r="AE35" s="15" t="n">
        <v>4269186.53</v>
      </c>
      <c r="AF35" s="15" t="n">
        <v>1475649.89</v>
      </c>
      <c r="AG35" s="15" t="n">
        <v>3406807.53</v>
      </c>
      <c r="AH35" s="15" t="n">
        <v>749796.87</v>
      </c>
      <c r="AI35" s="15" t="n">
        <v>137630.42</v>
      </c>
      <c r="AJ35" s="15" t="n">
        <v>-288742.13</v>
      </c>
      <c r="AK35" s="15" t="n">
        <v>839761.17</v>
      </c>
      <c r="AL35" s="15" t="n">
        <v>7010525.54</v>
      </c>
      <c r="AM35" s="15" t="n">
        <v>2556250.37</v>
      </c>
      <c r="AN35" s="15" t="n">
        <v>1666266.29</v>
      </c>
      <c r="AO35" s="15" t="n">
        <v>101156.51</v>
      </c>
      <c r="AP35" s="15" t="n">
        <v>269320.54</v>
      </c>
      <c r="AQ35" s="15" t="n">
        <v>5218677.16</v>
      </c>
      <c r="AR35" s="15" t="n">
        <v>720940.92</v>
      </c>
      <c r="AS35" s="15" t="n">
        <v>2162276.52</v>
      </c>
      <c r="AT35" s="15" t="n">
        <v>1262435.24</v>
      </c>
      <c r="AU35" s="15" t="n">
        <v>265723.35</v>
      </c>
      <c r="AV35" s="15" t="n">
        <v>1814481.27</v>
      </c>
      <c r="AW35" s="15" t="n">
        <v>2507231.16</v>
      </c>
      <c r="AX35" s="15" t="n">
        <v>3474548.98</v>
      </c>
      <c r="AY35" s="15" t="n">
        <v>405208.87</v>
      </c>
      <c r="AZ35" s="15" t="n">
        <v>435687.78</v>
      </c>
      <c r="BA35" s="15" t="n">
        <v>532693.88</v>
      </c>
      <c r="BB35" s="15" t="n">
        <v>1928327</v>
      </c>
      <c r="BC35" s="15" t="n">
        <v>4029570.39</v>
      </c>
      <c r="BD35" s="15" t="n">
        <v>4212137.36</v>
      </c>
      <c r="BE35" s="15" t="n">
        <v>684352.21</v>
      </c>
      <c r="BF35" s="15" t="n">
        <v>129107.25</v>
      </c>
      <c r="BG35" s="15" t="n">
        <v>182336.6</v>
      </c>
      <c r="BH35" s="15" t="n">
        <v>2050761.78</v>
      </c>
      <c r="BI35" s="15" t="n">
        <v>3240316.61</v>
      </c>
      <c r="BJ35" s="15" t="n">
        <v>7371859.49</v>
      </c>
      <c r="BK35" s="15" t="n">
        <v>2047647.46</v>
      </c>
      <c r="BL35" s="15" t="n">
        <v>2417366.52</v>
      </c>
      <c r="BM35" s="15" t="n">
        <v>213314.81</v>
      </c>
      <c r="BN35" s="15" t="n">
        <v>611680.34</v>
      </c>
      <c r="BO35" s="15" t="n">
        <v>3790565.03</v>
      </c>
      <c r="BP35" s="15" t="n">
        <v>6824876.35</v>
      </c>
      <c r="BQ35" s="15" t="n">
        <v>1140581.46</v>
      </c>
      <c r="BR35" s="15" t="n">
        <v>2512803.02</v>
      </c>
      <c r="BS35" s="15" t="n">
        <v>168772.44</v>
      </c>
      <c r="BT35" s="15" t="n">
        <v>-266953.09</v>
      </c>
      <c r="BU35" s="15" t="n">
        <v>2694888.38</v>
      </c>
      <c r="BV35" s="15" t="n">
        <v>4044503.59</v>
      </c>
      <c r="BW35" s="15" t="n">
        <v>578470.2</v>
      </c>
      <c r="BX35" s="15" t="n">
        <v>2619583.49</v>
      </c>
      <c r="BY35" s="15" t="n">
        <v>139764.55</v>
      </c>
      <c r="BZ35" s="15" t="n">
        <v>1637038.11</v>
      </c>
      <c r="CA35" s="15" t="n">
        <v>2896235.58</v>
      </c>
      <c r="CB35" s="15" t="n">
        <v>6976793.82</v>
      </c>
      <c r="CC35" s="15" t="n">
        <v>1757002.35</v>
      </c>
      <c r="CD35" s="15" t="n">
        <v>1044562.88</v>
      </c>
      <c r="CE35" s="15" t="n">
        <v>662126.79</v>
      </c>
      <c r="CF35" s="15" t="n">
        <v>-136431.9</v>
      </c>
      <c r="CG35" s="15" t="n">
        <v>5549760.16</v>
      </c>
      <c r="CH35" s="15" t="n">
        <v>2221258.74</v>
      </c>
      <c r="CI35" s="15" t="n">
        <v>3801136.81</v>
      </c>
      <c r="CJ35" s="15" t="n">
        <v>1445575.88</v>
      </c>
      <c r="CK35" s="15" t="n">
        <v>205191.27</v>
      </c>
      <c r="CL35" s="15" t="n">
        <v>626895.28</v>
      </c>
      <c r="CM35" s="15" t="n">
        <v>4202978.09</v>
      </c>
      <c r="CN35" s="15" t="n">
        <v>2422435.72</v>
      </c>
      <c r="CO35" s="15" t="n">
        <v>1099358.4</v>
      </c>
      <c r="CP35" s="15" t="n">
        <v>1088505.55</v>
      </c>
      <c r="CQ35" s="15" t="n">
        <v>145608.09</v>
      </c>
      <c r="CR35" s="15" t="n">
        <v>830676.2</v>
      </c>
      <c r="CS35" s="15" t="n">
        <v>1886636.43</v>
      </c>
      <c r="CT35" s="15" t="n">
        <v>6079700.95</v>
      </c>
      <c r="CU35" s="15" t="n">
        <v>3079639.61</v>
      </c>
      <c r="CV35" s="15" t="n">
        <v>2848929.79</v>
      </c>
      <c r="CW35" s="15" t="n">
        <v>395882.88</v>
      </c>
      <c r="CX35" s="15" t="n">
        <v>72852.28</v>
      </c>
      <c r="CY35" s="15" t="n">
        <v>5153686.51</v>
      </c>
      <c r="CZ35" s="15" t="n">
        <v>1175295.08</v>
      </c>
      <c r="DA35" s="15" t="n">
        <v>1938940.87</v>
      </c>
      <c r="DB35" s="15" t="n">
        <v>2535592.19</v>
      </c>
      <c r="DC35" s="15" t="n">
        <v>458604.63</v>
      </c>
      <c r="DD35" s="15" t="n">
        <v>2166210.18</v>
      </c>
      <c r="DE35" s="15" t="n">
        <v>4278313.39</v>
      </c>
      <c r="DF35" s="15" t="n">
        <v>6150334.06</v>
      </c>
      <c r="DG35" s="15" t="n">
        <v>1700974.41</v>
      </c>
      <c r="DH35" s="15" t="n">
        <v>339558.47</v>
      </c>
      <c r="DI35" s="15" t="n">
        <v>695236.46</v>
      </c>
      <c r="DJ35" s="15" t="n">
        <v>1788283.21</v>
      </c>
      <c r="DK35" s="15" t="n">
        <v>1970285.02</v>
      </c>
      <c r="DL35" s="15" t="n">
        <v>3330937.5</v>
      </c>
      <c r="DM35" s="15" t="n">
        <v>4028812.35</v>
      </c>
      <c r="DN35" s="15" t="n">
        <v>2368418.99</v>
      </c>
      <c r="DO35" s="15" t="n">
        <v>414432.89</v>
      </c>
      <c r="DP35" s="15" t="n">
        <v>578013.13</v>
      </c>
    </row>
    <row r="36">
      <c r="A36" s="4" t="inlineStr">
        <is>
          <t>川味底料</t>
        </is>
      </c>
      <c r="B36" s="15" t="n">
        <v>2500287.3</v>
      </c>
      <c r="C36" s="15" t="n">
        <v>1976708.08</v>
      </c>
      <c r="D36" s="15" t="n">
        <v>2216004.88</v>
      </c>
      <c r="E36" s="15" t="n">
        <v>378417.4</v>
      </c>
      <c r="F36" s="15" t="n">
        <v>-205453.1</v>
      </c>
      <c r="G36" s="15" t="n">
        <v>2285423.63</v>
      </c>
      <c r="H36" s="15" t="n">
        <v>5008487.85</v>
      </c>
      <c r="I36" s="15" t="n">
        <v>3401496.86</v>
      </c>
      <c r="J36" s="15" t="n">
        <v>2543869.54</v>
      </c>
      <c r="K36" s="15" t="n">
        <v>406062.33</v>
      </c>
      <c r="L36" s="15" t="n">
        <v>2174915.51</v>
      </c>
      <c r="M36" s="15" t="n">
        <v>3322225.29</v>
      </c>
      <c r="N36" s="15" t="n">
        <v>3854435.69</v>
      </c>
      <c r="O36" s="15" t="n">
        <v>1013977.27</v>
      </c>
      <c r="P36" s="15" t="n">
        <v>231101.39</v>
      </c>
      <c r="Q36" s="15" t="n">
        <v>443426.09</v>
      </c>
      <c r="R36" s="15" t="n">
        <v>360901.05</v>
      </c>
      <c r="S36" s="15" t="n">
        <v>2022832.26</v>
      </c>
      <c r="T36" s="15" t="n">
        <v>594913.3</v>
      </c>
      <c r="U36" s="15" t="n">
        <v>3438963.56</v>
      </c>
      <c r="V36" s="15" t="n">
        <v>980513.6800000001</v>
      </c>
      <c r="W36" s="15" t="n">
        <v>715507.15</v>
      </c>
      <c r="X36" s="15" t="n">
        <v>-168367.36</v>
      </c>
      <c r="Y36" s="15" t="n">
        <v>5539830.5</v>
      </c>
      <c r="Z36" s="15" t="n">
        <v>2349084.93</v>
      </c>
      <c r="AA36" s="15" t="n">
        <v>3377856.24</v>
      </c>
      <c r="AB36" s="15" t="n">
        <v>1051984.64</v>
      </c>
      <c r="AC36" s="15" t="n">
        <v>164021.64</v>
      </c>
      <c r="AD36" s="15" t="n">
        <v>314664.46</v>
      </c>
      <c r="AE36" s="15" t="n">
        <v>1334624.23</v>
      </c>
      <c r="AF36" s="15" t="n">
        <v>4122528.93</v>
      </c>
      <c r="AG36" s="15" t="n">
        <v>754718.74</v>
      </c>
      <c r="AH36" s="15" t="n">
        <v>922940.34</v>
      </c>
      <c r="AI36" s="15" t="n">
        <v>729103.05</v>
      </c>
      <c r="AJ36" s="15" t="n">
        <v>616892.08</v>
      </c>
      <c r="AK36" s="15" t="n">
        <v>1759911.12</v>
      </c>
      <c r="AL36" s="15" t="n">
        <v>2509521.39</v>
      </c>
      <c r="AM36" s="15" t="n">
        <v>326360.73</v>
      </c>
      <c r="AN36" s="15" t="n">
        <v>259077.07</v>
      </c>
      <c r="AO36" s="15" t="n">
        <v>649727.9300000001</v>
      </c>
      <c r="AP36" s="15" t="n">
        <v>1928163.79</v>
      </c>
      <c r="AQ36" s="15" t="n">
        <v>4368108.11</v>
      </c>
      <c r="AR36" s="15" t="n">
        <v>6421239.98</v>
      </c>
      <c r="AS36" s="15" t="n">
        <v>4229080.98</v>
      </c>
      <c r="AT36" s="15" t="n">
        <v>1924764.8</v>
      </c>
      <c r="AU36" s="15" t="n">
        <v>310784.95</v>
      </c>
      <c r="AV36" s="15" t="n">
        <v>1065306.91</v>
      </c>
      <c r="AW36" s="15" t="n">
        <v>164430.8</v>
      </c>
      <c r="AX36" s="15" t="n">
        <v>4852796.13</v>
      </c>
      <c r="AY36" s="15" t="n">
        <v>3636073.54</v>
      </c>
      <c r="AZ36" s="15" t="n">
        <v>2885697.42</v>
      </c>
      <c r="BA36" s="15" t="n">
        <v>746597.12</v>
      </c>
      <c r="BB36" s="15" t="n">
        <v>1584413.31</v>
      </c>
      <c r="BC36" s="15" t="n">
        <v>5459022.26</v>
      </c>
      <c r="BD36" s="15" t="n">
        <v>3560306.37</v>
      </c>
      <c r="BE36" s="15" t="n">
        <v>1754934.05</v>
      </c>
      <c r="BF36" s="15" t="n">
        <v>2005324.89</v>
      </c>
      <c r="BG36" s="15" t="n">
        <v>564369.1800000001</v>
      </c>
      <c r="BH36" s="15" t="n">
        <v>693693.47</v>
      </c>
      <c r="BI36" s="15" t="n">
        <v>1064944.12</v>
      </c>
      <c r="BJ36" s="15" t="n">
        <v>6983095.88</v>
      </c>
      <c r="BK36" s="15" t="n">
        <v>2344607.65</v>
      </c>
      <c r="BL36" s="15" t="n">
        <v>1906853.55</v>
      </c>
      <c r="BM36" s="15" t="n">
        <v>441304.12</v>
      </c>
      <c r="BN36" s="15" t="n">
        <v>879867.26</v>
      </c>
      <c r="BO36" s="15" t="n">
        <v>4446718.8</v>
      </c>
      <c r="BP36" s="15" t="n">
        <v>3688301.18</v>
      </c>
      <c r="BQ36" s="15" t="n">
        <v>3279925.24</v>
      </c>
      <c r="BR36" s="15" t="n">
        <v>564193.83</v>
      </c>
      <c r="BS36" s="15" t="n">
        <v>670816.53</v>
      </c>
      <c r="BT36" s="15" t="n">
        <v>249779.86</v>
      </c>
      <c r="BU36" s="15" t="n">
        <v>2880030.45</v>
      </c>
      <c r="BV36" s="15" t="n">
        <v>1687015.59</v>
      </c>
      <c r="BW36" s="15" t="n">
        <v>2544205.73</v>
      </c>
      <c r="BX36" s="15" t="n">
        <v>1964813.94</v>
      </c>
      <c r="BY36" s="15" t="n">
        <v>220145.27</v>
      </c>
      <c r="BZ36" s="15" t="n">
        <v>1128679.27</v>
      </c>
      <c r="CA36" s="15" t="n">
        <v>2730134.42</v>
      </c>
      <c r="CB36" s="15" t="n">
        <v>6546417.94</v>
      </c>
      <c r="CC36" s="15" t="n">
        <v>907705.89</v>
      </c>
      <c r="CD36" s="15" t="n">
        <v>1594030</v>
      </c>
      <c r="CE36" s="15" t="n">
        <v>434536.25</v>
      </c>
      <c r="CF36" s="15" t="n">
        <v>1912926.38</v>
      </c>
      <c r="CG36" s="15" t="n">
        <v>5517879.2</v>
      </c>
      <c r="CH36" s="15" t="n">
        <v>6004462.35</v>
      </c>
      <c r="CI36" s="15" t="n">
        <v>773625.02</v>
      </c>
      <c r="CJ36" s="15" t="n">
        <v>2179994.91</v>
      </c>
      <c r="CK36" s="15" t="n">
        <v>714295.52</v>
      </c>
      <c r="CL36" s="15" t="n">
        <v>-69795.17</v>
      </c>
      <c r="CM36" s="15" t="n">
        <v>4789811.15</v>
      </c>
      <c r="CN36" s="15" t="n">
        <v>7228137.62</v>
      </c>
      <c r="CO36" s="15" t="n">
        <v>4205232.02</v>
      </c>
      <c r="CP36" s="15" t="n">
        <v>2114042.44</v>
      </c>
      <c r="CQ36" s="15" t="n">
        <v>117530.97</v>
      </c>
      <c r="CR36" s="15" t="n">
        <v>1621853.02</v>
      </c>
      <c r="CS36" s="15" t="n">
        <v>125741.09</v>
      </c>
      <c r="CT36" s="15" t="n">
        <v>7051922.56</v>
      </c>
      <c r="CU36" s="15" t="n">
        <v>4494952.86</v>
      </c>
      <c r="CV36" s="15" t="n">
        <v>1193519.97</v>
      </c>
      <c r="CW36" s="15" t="n">
        <v>271160.41</v>
      </c>
      <c r="CX36" s="15" t="n">
        <v>1447267.93</v>
      </c>
      <c r="CY36" s="15" t="n">
        <v>1594150.41</v>
      </c>
      <c r="CZ36" s="15" t="n">
        <v>5532732.52</v>
      </c>
      <c r="DA36" s="15" t="n">
        <v>4109432.77</v>
      </c>
      <c r="DB36" s="15" t="n">
        <v>1100776.42</v>
      </c>
      <c r="DC36" s="15" t="n">
        <v>266168.6</v>
      </c>
      <c r="DD36" s="15" t="n">
        <v>409422.14</v>
      </c>
      <c r="DE36" s="15" t="n">
        <v>5078677.1</v>
      </c>
      <c r="DF36" s="15" t="n">
        <v>4654933.65</v>
      </c>
      <c r="DG36" s="15" t="n">
        <v>1493692.38</v>
      </c>
      <c r="DH36" s="15" t="n">
        <v>2695696.7</v>
      </c>
      <c r="DI36" s="15" t="n">
        <v>667545.49</v>
      </c>
      <c r="DJ36" s="15" t="n">
        <v>2036661.5</v>
      </c>
      <c r="DK36" s="15" t="n">
        <v>622964.59</v>
      </c>
      <c r="DL36" s="15" t="n">
        <v>5778796.09</v>
      </c>
      <c r="DM36" s="15" t="n">
        <v>315641.88</v>
      </c>
      <c r="DN36" s="15" t="n">
        <v>719759.95</v>
      </c>
      <c r="DO36" s="15" t="n">
        <v>310717.75</v>
      </c>
      <c r="DP36" s="15" t="n">
        <v>-228625.31</v>
      </c>
    </row>
    <row r="37">
      <c r="A37" s="4" t="inlineStr">
        <is>
          <t>调味汁</t>
        </is>
      </c>
      <c r="B37" s="15" t="n">
        <v>6798655.2</v>
      </c>
      <c r="C37" s="15" t="n">
        <v>789043.97</v>
      </c>
      <c r="D37" s="15" t="n">
        <v>477467.87</v>
      </c>
      <c r="E37" s="15" t="n">
        <v>364009.93</v>
      </c>
      <c r="F37" s="15" t="n">
        <v>532277.88</v>
      </c>
      <c r="G37" s="15" t="n">
        <v>1900255.81</v>
      </c>
      <c r="H37" s="15" t="n">
        <v>4650943.15</v>
      </c>
      <c r="I37" s="15" t="n">
        <v>1449830.98</v>
      </c>
      <c r="J37" s="15" t="n">
        <v>1356928.26</v>
      </c>
      <c r="K37" s="15" t="n">
        <v>612793.28</v>
      </c>
      <c r="L37" s="15" t="n">
        <v>1093992.1</v>
      </c>
      <c r="M37" s="15" t="n">
        <v>2356183.64</v>
      </c>
      <c r="N37" s="15" t="n">
        <v>3406261.96</v>
      </c>
      <c r="O37" s="15" t="n">
        <v>1971448.57</v>
      </c>
      <c r="P37" s="15" t="n">
        <v>2385821.16</v>
      </c>
      <c r="Q37" s="15" t="n">
        <v>444396.78</v>
      </c>
      <c r="R37" s="15" t="n">
        <v>813549.98</v>
      </c>
      <c r="S37" s="15" t="n">
        <v>938976.52</v>
      </c>
      <c r="T37" s="15" t="n">
        <v>1581037.31</v>
      </c>
      <c r="U37" s="15" t="n">
        <v>3527421.57</v>
      </c>
      <c r="V37" s="15" t="n">
        <v>2387455.88</v>
      </c>
      <c r="W37" s="15" t="n">
        <v>58866.69</v>
      </c>
      <c r="X37" s="15" t="n">
        <v>765457</v>
      </c>
      <c r="Y37" s="15" t="n">
        <v>5120552.02</v>
      </c>
      <c r="Z37" s="15" t="n">
        <v>3147205.17</v>
      </c>
      <c r="AA37" s="15" t="n">
        <v>2454848.43</v>
      </c>
      <c r="AB37" s="15" t="n">
        <v>1176225.94</v>
      </c>
      <c r="AC37" s="15" t="n">
        <v>720905.47</v>
      </c>
      <c r="AD37" s="15" t="n">
        <v>236333.97</v>
      </c>
      <c r="AE37" s="15" t="n">
        <v>2696933.22</v>
      </c>
      <c r="AF37" s="15" t="n">
        <v>521460.66</v>
      </c>
      <c r="AG37" s="15" t="n">
        <v>3089167.59</v>
      </c>
      <c r="AH37" s="15" t="n">
        <v>2477296.46</v>
      </c>
      <c r="AI37" s="15" t="n">
        <v>708219.55</v>
      </c>
      <c r="AJ37" s="15" t="n">
        <v>145839.39</v>
      </c>
      <c r="AK37" s="15" t="n">
        <v>239274.13</v>
      </c>
      <c r="AL37" s="15" t="n">
        <v>1399488.83</v>
      </c>
      <c r="AM37" s="15" t="n">
        <v>1684217.69</v>
      </c>
      <c r="AN37" s="15" t="n">
        <v>1334905.69</v>
      </c>
      <c r="AO37" s="15" t="n">
        <v>397688.97</v>
      </c>
      <c r="AP37" s="15" t="n">
        <v>1718131.99</v>
      </c>
      <c r="AQ37" s="15" t="n">
        <v>3882438.26</v>
      </c>
      <c r="AR37" s="15" t="n">
        <v>3053692.91</v>
      </c>
      <c r="AS37" s="15" t="n">
        <v>4204126.9</v>
      </c>
      <c r="AT37" s="15" t="n">
        <v>2003207.61</v>
      </c>
      <c r="AU37" s="15" t="n">
        <v>303804.75</v>
      </c>
      <c r="AV37" s="15" t="n">
        <v>-101013.01</v>
      </c>
      <c r="AW37" s="15" t="n">
        <v>1309861.46</v>
      </c>
      <c r="AX37" s="15" t="n">
        <v>270879.97</v>
      </c>
      <c r="AY37" s="15" t="n">
        <v>2533621.42</v>
      </c>
      <c r="AZ37" s="15" t="n">
        <v>1180711.37</v>
      </c>
      <c r="BA37" s="15" t="n">
        <v>90798.94</v>
      </c>
      <c r="BB37" s="15" t="n">
        <v>102128.33</v>
      </c>
      <c r="BC37" s="15" t="n">
        <v>2437493.42</v>
      </c>
      <c r="BD37" s="15" t="n">
        <v>6707381.2</v>
      </c>
      <c r="BE37" s="15" t="n">
        <v>2357399.36</v>
      </c>
      <c r="BF37" s="15" t="n">
        <v>72416.05</v>
      </c>
      <c r="BG37" s="15" t="n">
        <v>709341.34</v>
      </c>
      <c r="BH37" s="15" t="n">
        <v>1487546.76</v>
      </c>
      <c r="BI37" s="15" t="n">
        <v>2502726.74</v>
      </c>
      <c r="BJ37" s="15" t="n">
        <v>4623688.44</v>
      </c>
      <c r="BK37" s="15" t="n">
        <v>2363649.04</v>
      </c>
      <c r="BL37" s="15" t="n">
        <v>2435525.55</v>
      </c>
      <c r="BM37" s="15" t="n">
        <v>590423.77</v>
      </c>
      <c r="BN37" s="15" t="n">
        <v>1402100.28</v>
      </c>
      <c r="BO37" s="15" t="n">
        <v>1773971.66</v>
      </c>
      <c r="BP37" s="15" t="n">
        <v>743410.4300000001</v>
      </c>
      <c r="BQ37" s="15" t="n">
        <v>488244.54</v>
      </c>
      <c r="BR37" s="15" t="n">
        <v>2426832.81</v>
      </c>
      <c r="BS37" s="15" t="n">
        <v>191063.57</v>
      </c>
      <c r="BT37" s="15" t="n">
        <v>1875745.38</v>
      </c>
      <c r="BU37" s="15" t="n">
        <v>4279302.74</v>
      </c>
      <c r="BV37" s="15" t="n">
        <v>6459590.05</v>
      </c>
      <c r="BW37" s="15" t="n">
        <v>3087971.57</v>
      </c>
      <c r="BX37" s="15" t="n">
        <v>709351.95</v>
      </c>
      <c r="BY37" s="15" t="n">
        <v>84837.7</v>
      </c>
      <c r="BZ37" s="15" t="n">
        <v>1518990.51</v>
      </c>
      <c r="CA37" s="15" t="n">
        <v>4175280.88</v>
      </c>
      <c r="CB37" s="15" t="n">
        <v>3003190.45</v>
      </c>
      <c r="CC37" s="15" t="n">
        <v>1125770.03</v>
      </c>
      <c r="CD37" s="15" t="n">
        <v>1144775.96</v>
      </c>
      <c r="CE37" s="15" t="n">
        <v>146508.92</v>
      </c>
      <c r="CF37" s="15" t="n">
        <v>1616930.98</v>
      </c>
      <c r="CG37" s="15" t="n">
        <v>964822.6</v>
      </c>
      <c r="CH37" s="15" t="n">
        <v>2164793.32</v>
      </c>
      <c r="CI37" s="15" t="n">
        <v>3781548.22</v>
      </c>
      <c r="CJ37" s="15" t="n">
        <v>938900.35</v>
      </c>
      <c r="CK37" s="15" t="n">
        <v>228226.65</v>
      </c>
      <c r="CL37" s="15" t="n">
        <v>-293215.61</v>
      </c>
      <c r="CM37" s="15" t="n">
        <v>3857686.51</v>
      </c>
      <c r="CN37" s="15" t="n">
        <v>3484803.83</v>
      </c>
      <c r="CO37" s="15" t="n">
        <v>4119805.5</v>
      </c>
      <c r="CP37" s="15" t="n">
        <v>2565003.56</v>
      </c>
      <c r="CQ37" s="15" t="n">
        <v>293096.42</v>
      </c>
      <c r="CR37" s="15" t="n">
        <v>115245.36</v>
      </c>
      <c r="CS37" s="15" t="n">
        <v>3500630.68</v>
      </c>
      <c r="CT37" s="15" t="n">
        <v>708251.25</v>
      </c>
      <c r="CU37" s="15" t="n">
        <v>3783528.21</v>
      </c>
      <c r="CV37" s="15" t="n">
        <v>1912548.91</v>
      </c>
      <c r="CW37" s="15" t="n">
        <v>390915.83</v>
      </c>
      <c r="CX37" s="15" t="n">
        <v>1043974.19</v>
      </c>
      <c r="CY37" s="15" t="n">
        <v>589217.05</v>
      </c>
      <c r="CZ37" s="15" t="n">
        <v>2962475.64</v>
      </c>
      <c r="DA37" s="15" t="n">
        <v>4422511.81</v>
      </c>
      <c r="DB37" s="15" t="n">
        <v>1261278.9</v>
      </c>
      <c r="DC37" s="15" t="n">
        <v>47163.22</v>
      </c>
      <c r="DD37" s="15" t="n">
        <v>1382552.09</v>
      </c>
      <c r="DE37" s="15" t="n">
        <v>473589.03</v>
      </c>
      <c r="DF37" s="15" t="n">
        <v>6517342.22</v>
      </c>
      <c r="DG37" s="15" t="n">
        <v>4019354.89</v>
      </c>
      <c r="DH37" s="15" t="n">
        <v>909696.9</v>
      </c>
      <c r="DI37" s="15" t="n">
        <v>449486.29</v>
      </c>
      <c r="DJ37" s="15" t="n">
        <v>1324712.83</v>
      </c>
      <c r="DK37" s="15" t="n">
        <v>2720121.63</v>
      </c>
      <c r="DL37" s="15" t="n">
        <v>4651751.31</v>
      </c>
      <c r="DM37" s="15" t="n">
        <v>1569557.02</v>
      </c>
      <c r="DN37" s="15" t="n">
        <v>1548003.71</v>
      </c>
      <c r="DO37" s="15" t="n">
        <v>481138.9</v>
      </c>
      <c r="DP37" s="15" t="n">
        <v>-29821.64</v>
      </c>
    </row>
    <row r="38">
      <c r="A38" s="4" t="inlineStr">
        <is>
          <t>复合调味粉</t>
        </is>
      </c>
      <c r="B38" s="15" t="n">
        <v>6197774.58</v>
      </c>
      <c r="C38" s="15" t="n">
        <v>1764630.79</v>
      </c>
      <c r="D38" s="15" t="n">
        <v>2467323.77</v>
      </c>
      <c r="E38" s="15" t="n">
        <v>677620.62</v>
      </c>
      <c r="F38" s="15" t="n">
        <v>407513.51</v>
      </c>
      <c r="G38" s="15" t="n">
        <v>5790694.48</v>
      </c>
      <c r="H38" s="15" t="n">
        <v>3210636.9</v>
      </c>
      <c r="I38" s="15" t="n">
        <v>2852805.43</v>
      </c>
      <c r="J38" s="15" t="n">
        <v>1650696.1</v>
      </c>
      <c r="K38" s="15" t="n">
        <v>226599.33</v>
      </c>
      <c r="L38" s="15" t="n">
        <v>2216215.6</v>
      </c>
      <c r="M38" s="15" t="n">
        <v>5257005.44</v>
      </c>
      <c r="N38" s="15" t="n">
        <v>1773239.21</v>
      </c>
      <c r="O38" s="15" t="n">
        <v>3740205.42</v>
      </c>
      <c r="P38" s="15" t="n">
        <v>2730257.54</v>
      </c>
      <c r="Q38" s="15" t="n">
        <v>331471.5</v>
      </c>
      <c r="R38" s="15" t="n">
        <v>-157255.27</v>
      </c>
      <c r="S38" s="15" t="n">
        <v>1164875.37</v>
      </c>
      <c r="T38" s="15" t="n">
        <v>5172216.49</v>
      </c>
      <c r="U38" s="15" t="n">
        <v>764184.46</v>
      </c>
      <c r="V38" s="15" t="n">
        <v>658034.28</v>
      </c>
      <c r="W38" s="15" t="n">
        <v>400751.4</v>
      </c>
      <c r="X38" s="15" t="n">
        <v>197357.48</v>
      </c>
      <c r="Y38" s="15" t="n">
        <v>1684531.33</v>
      </c>
      <c r="Z38" s="15" t="n">
        <v>2018692.4</v>
      </c>
      <c r="AA38" s="15" t="n">
        <v>3774372.26</v>
      </c>
      <c r="AB38" s="15" t="n">
        <v>1398917.62</v>
      </c>
      <c r="AC38" s="15" t="n">
        <v>603185.87</v>
      </c>
      <c r="AD38" s="15" t="n">
        <v>1337709.71</v>
      </c>
      <c r="AE38" s="15" t="n">
        <v>210032.67</v>
      </c>
      <c r="AF38" s="15" t="n">
        <v>3560802.39</v>
      </c>
      <c r="AG38" s="15" t="n">
        <v>846475.55</v>
      </c>
      <c r="AH38" s="15" t="n">
        <v>1561955.04</v>
      </c>
      <c r="AI38" s="15" t="n">
        <v>32623.99</v>
      </c>
      <c r="AJ38" s="15" t="n">
        <v>321901.36</v>
      </c>
      <c r="AK38" s="15" t="n">
        <v>3993624.44</v>
      </c>
      <c r="AL38" s="15" t="n">
        <v>7429951.18</v>
      </c>
      <c r="AM38" s="15" t="n">
        <v>2906640.45</v>
      </c>
      <c r="AN38" s="15" t="n">
        <v>2254616.36</v>
      </c>
      <c r="AO38" s="15" t="n">
        <v>632792.15</v>
      </c>
      <c r="AP38" s="15" t="n">
        <v>805988.8199999999</v>
      </c>
      <c r="AQ38" s="15" t="n">
        <v>674401.22</v>
      </c>
      <c r="AR38" s="15" t="n">
        <v>4125528.82</v>
      </c>
      <c r="AS38" s="15" t="n">
        <v>1121873.71</v>
      </c>
      <c r="AT38" s="15" t="n">
        <v>690454.71</v>
      </c>
      <c r="AU38" s="15" t="n">
        <v>161412.36</v>
      </c>
      <c r="AV38" s="15" t="n">
        <v>11249.97</v>
      </c>
      <c r="AW38" s="15" t="n">
        <v>4612080.97</v>
      </c>
      <c r="AX38" s="15" t="n">
        <v>2022224.68</v>
      </c>
      <c r="AY38" s="15" t="n">
        <v>2625357.53</v>
      </c>
      <c r="AZ38" s="15" t="n">
        <v>970864.49</v>
      </c>
      <c r="BA38" s="15" t="n">
        <v>202768.75</v>
      </c>
      <c r="BB38" s="15" t="n">
        <v>1766464.72</v>
      </c>
      <c r="BC38" s="15" t="n">
        <v>1123743</v>
      </c>
      <c r="BD38" s="15" t="n">
        <v>6905459.91</v>
      </c>
      <c r="BE38" s="15" t="n">
        <v>3910674.99</v>
      </c>
      <c r="BF38" s="15" t="n">
        <v>2094150.89</v>
      </c>
      <c r="BG38" s="15" t="n">
        <v>230139.49</v>
      </c>
      <c r="BH38" s="15" t="n">
        <v>1634013.96</v>
      </c>
      <c r="BI38" s="15" t="n">
        <v>1165305.98</v>
      </c>
      <c r="BJ38" s="15" t="n">
        <v>192531.1</v>
      </c>
      <c r="BK38" s="15" t="n">
        <v>3543042.29</v>
      </c>
      <c r="BL38" s="15" t="n">
        <v>1537706.54</v>
      </c>
      <c r="BM38" s="15" t="n">
        <v>508533.11</v>
      </c>
      <c r="BN38" s="15" t="n">
        <v>1099629.29</v>
      </c>
      <c r="BO38" s="15" t="n">
        <v>2216442.94</v>
      </c>
      <c r="BP38" s="15" t="n">
        <v>4953779.62</v>
      </c>
      <c r="BQ38" s="15" t="n">
        <v>299733.7</v>
      </c>
      <c r="BR38" s="15" t="n">
        <v>1771934.33</v>
      </c>
      <c r="BS38" s="15" t="n">
        <v>749564.78</v>
      </c>
      <c r="BT38" s="15" t="n">
        <v>603248.6</v>
      </c>
      <c r="BU38" s="15" t="n">
        <v>770696.4399999999</v>
      </c>
      <c r="BV38" s="15" t="n">
        <v>3387582.49</v>
      </c>
      <c r="BW38" s="15" t="n">
        <v>1820819.24</v>
      </c>
      <c r="BX38" s="15" t="n">
        <v>40648.72</v>
      </c>
      <c r="BY38" s="15" t="n">
        <v>729559.16</v>
      </c>
      <c r="BZ38" s="15" t="n">
        <v>102702.87</v>
      </c>
      <c r="CA38" s="15" t="n">
        <v>3690790.7</v>
      </c>
      <c r="CB38" s="15" t="n">
        <v>1371897.47</v>
      </c>
      <c r="CC38" s="15" t="n">
        <v>4345034.97</v>
      </c>
      <c r="CD38" s="15" t="n">
        <v>2557581.48</v>
      </c>
      <c r="CE38" s="15" t="n">
        <v>573044.01</v>
      </c>
      <c r="CF38" s="15" t="n">
        <v>916927.52</v>
      </c>
      <c r="CG38" s="15" t="n">
        <v>1460481.54</v>
      </c>
      <c r="CH38" s="15" t="n">
        <v>5386547.19</v>
      </c>
      <c r="CI38" s="15" t="n">
        <v>1318438.48</v>
      </c>
      <c r="CJ38" s="15" t="n">
        <v>2756575.01</v>
      </c>
      <c r="CK38" s="15" t="n">
        <v>61566.17</v>
      </c>
      <c r="CL38" s="15" t="n">
        <v>1962872.85</v>
      </c>
      <c r="CM38" s="15" t="n">
        <v>1856636.63</v>
      </c>
      <c r="CN38" s="15" t="n">
        <v>548200.59</v>
      </c>
      <c r="CO38" s="15" t="n">
        <v>3698860.65</v>
      </c>
      <c r="CP38" s="15" t="n">
        <v>2073357.59</v>
      </c>
      <c r="CQ38" s="15" t="n">
        <v>139042.79</v>
      </c>
      <c r="CR38" s="15" t="n">
        <v>-183139.9</v>
      </c>
      <c r="CS38" s="15" t="n">
        <v>4563317.46</v>
      </c>
      <c r="CT38" s="15" t="n">
        <v>3724627.88</v>
      </c>
      <c r="CU38" s="15" t="n">
        <v>2737561.52</v>
      </c>
      <c r="CV38" s="15" t="n">
        <v>2447828.93</v>
      </c>
      <c r="CW38" s="15" t="n">
        <v>594420.46</v>
      </c>
      <c r="CX38" s="15" t="n">
        <v>311256.81</v>
      </c>
      <c r="CY38" s="15" t="n">
        <v>1474480.38</v>
      </c>
      <c r="CZ38" s="15" t="n">
        <v>7208078.67</v>
      </c>
      <c r="DA38" s="15" t="n">
        <v>1393983.24</v>
      </c>
      <c r="DB38" s="15" t="n">
        <v>2283287.41</v>
      </c>
      <c r="DC38" s="15" t="n">
        <v>699739.04</v>
      </c>
      <c r="DD38" s="15" t="n">
        <v>2180922.54</v>
      </c>
      <c r="DE38" s="15" t="n">
        <v>4113521.64</v>
      </c>
      <c r="DF38" s="15" t="n">
        <v>1854968.72</v>
      </c>
      <c r="DG38" s="15" t="n">
        <v>2922801.02</v>
      </c>
      <c r="DH38" s="15" t="n">
        <v>1083696.86</v>
      </c>
      <c r="DI38" s="15" t="n">
        <v>169707.73</v>
      </c>
      <c r="DJ38" s="15" t="n">
        <v>1189281.59</v>
      </c>
      <c r="DK38" s="15" t="n">
        <v>1684180.96</v>
      </c>
      <c r="DL38" s="15" t="n">
        <v>6345879.04</v>
      </c>
      <c r="DM38" s="15" t="n">
        <v>2569047.52</v>
      </c>
      <c r="DN38" s="15" t="n">
        <v>1088396.35</v>
      </c>
      <c r="DO38" s="15" t="n">
        <v>400540.66</v>
      </c>
      <c r="DP38" s="15" t="n">
        <v>187247.16</v>
      </c>
    </row>
    <row r="39">
      <c r="A39" s="4" t="inlineStr">
        <is>
          <t>团餐</t>
        </is>
      </c>
      <c r="B39" s="15" t="n">
        <v>7392247.3</v>
      </c>
      <c r="C39" s="15" t="n">
        <v>2395269.54</v>
      </c>
      <c r="D39" s="15" t="n">
        <v>1932480.11</v>
      </c>
      <c r="E39" s="15" t="n">
        <v>618531.3199999999</v>
      </c>
      <c r="F39" s="15" t="n">
        <v>433079.66</v>
      </c>
      <c r="G39" s="15" t="n">
        <v>2539412.41</v>
      </c>
      <c r="H39" s="15" t="n">
        <v>1956571.15</v>
      </c>
      <c r="I39" s="15" t="n">
        <v>654663.72</v>
      </c>
      <c r="J39" s="15" t="n">
        <v>1957083.07</v>
      </c>
      <c r="K39" s="15" t="n">
        <v>393776.62</v>
      </c>
      <c r="L39" s="15" t="n">
        <v>1770952.54</v>
      </c>
      <c r="M39" s="15" t="n">
        <v>2076275.6</v>
      </c>
      <c r="N39" s="15" t="n">
        <v>570612.03</v>
      </c>
      <c r="O39" s="15" t="n">
        <v>3749742.88</v>
      </c>
      <c r="P39" s="15" t="n">
        <v>2813940.9</v>
      </c>
      <c r="Q39" s="15" t="n">
        <v>390700.8</v>
      </c>
      <c r="R39" s="15" t="n">
        <v>963722.64</v>
      </c>
      <c r="S39" s="15" t="n">
        <v>742148.89</v>
      </c>
      <c r="T39" s="15" t="n">
        <v>4446452.47</v>
      </c>
      <c r="U39" s="15" t="n">
        <v>3777940.71</v>
      </c>
      <c r="V39" s="15" t="n">
        <v>380217.78</v>
      </c>
      <c r="W39" s="15" t="n">
        <v>107064.14</v>
      </c>
      <c r="X39" s="15" t="n">
        <v>239079.36</v>
      </c>
      <c r="Y39" s="15" t="n">
        <v>2990772.5</v>
      </c>
      <c r="Z39" s="15" t="n">
        <v>920079.09</v>
      </c>
      <c r="AA39" s="15" t="n">
        <v>2799014.49</v>
      </c>
      <c r="AB39" s="15" t="n">
        <v>1465408.44</v>
      </c>
      <c r="AC39" s="15" t="n">
        <v>227371.12</v>
      </c>
      <c r="AD39" s="15" t="n">
        <v>899826.73</v>
      </c>
      <c r="AE39" s="15" t="n">
        <v>4182330.12</v>
      </c>
      <c r="AF39" s="15" t="n">
        <v>4324800.64</v>
      </c>
      <c r="AG39" s="15" t="n">
        <v>3140904.2</v>
      </c>
      <c r="AH39" s="15" t="n">
        <v>1430846.61</v>
      </c>
      <c r="AI39" s="15" t="n">
        <v>371052.45</v>
      </c>
      <c r="AJ39" s="15" t="n">
        <v>341132.2</v>
      </c>
      <c r="AK39" s="15" t="n">
        <v>4319828.37</v>
      </c>
      <c r="AL39" s="15" t="n">
        <v>367285.72</v>
      </c>
      <c r="AM39" s="15" t="n">
        <v>3221211.27</v>
      </c>
      <c r="AN39" s="15" t="n">
        <v>1088938.02</v>
      </c>
      <c r="AO39" s="15" t="n">
        <v>402986.88</v>
      </c>
      <c r="AP39" s="15" t="n">
        <v>1968644.43</v>
      </c>
      <c r="AQ39" s="15" t="n">
        <v>4164298.48</v>
      </c>
      <c r="AR39" s="15" t="n">
        <v>6877871.71</v>
      </c>
      <c r="AS39" s="15" t="n">
        <v>2427111.58</v>
      </c>
      <c r="AT39" s="15" t="n">
        <v>1008775.1</v>
      </c>
      <c r="AU39" s="15" t="n">
        <v>701072.08</v>
      </c>
      <c r="AV39" s="15" t="n">
        <v>1623495.78</v>
      </c>
      <c r="AW39" s="15" t="n">
        <v>2935713.45</v>
      </c>
      <c r="AX39" s="15" t="n">
        <v>5888387.71</v>
      </c>
      <c r="AY39" s="15" t="n">
        <v>2731041</v>
      </c>
      <c r="AZ39" s="15" t="n">
        <v>1232438.09</v>
      </c>
      <c r="BA39" s="15" t="n">
        <v>710037.13</v>
      </c>
      <c r="BB39" s="15" t="n">
        <v>828332.49</v>
      </c>
      <c r="BC39" s="15" t="n">
        <v>1408436.94</v>
      </c>
      <c r="BD39" s="15" t="n">
        <v>2931574.84</v>
      </c>
      <c r="BE39" s="15" t="n">
        <v>346004.79</v>
      </c>
      <c r="BF39" s="15" t="n">
        <v>897787.88</v>
      </c>
      <c r="BG39" s="15" t="n">
        <v>663009.84</v>
      </c>
      <c r="BH39" s="15" t="n">
        <v>898406.79</v>
      </c>
      <c r="BI39" s="15" t="n">
        <v>728797.04</v>
      </c>
      <c r="BJ39" s="15" t="n">
        <v>199098.28</v>
      </c>
      <c r="BK39" s="15" t="n">
        <v>555800.9300000001</v>
      </c>
      <c r="BL39" s="15" t="n">
        <v>34669.17</v>
      </c>
      <c r="BM39" s="15" t="n">
        <v>335721.97</v>
      </c>
      <c r="BN39" s="15" t="n">
        <v>1215240.74</v>
      </c>
      <c r="BO39" s="15" t="n">
        <v>3066295.62</v>
      </c>
      <c r="BP39" s="15" t="n">
        <v>1280800.94</v>
      </c>
      <c r="BQ39" s="15" t="n">
        <v>3795255.48</v>
      </c>
      <c r="BR39" s="15" t="n">
        <v>424293.47</v>
      </c>
      <c r="BS39" s="15" t="n">
        <v>407106.63</v>
      </c>
      <c r="BT39" s="15" t="n">
        <v>2107498.29</v>
      </c>
      <c r="BU39" s="15" t="n">
        <v>3795881.33</v>
      </c>
      <c r="BV39" s="15" t="n">
        <v>184891.48</v>
      </c>
      <c r="BW39" s="15" t="n">
        <v>1042317.56</v>
      </c>
      <c r="BX39" s="15" t="n">
        <v>763787.9399999999</v>
      </c>
      <c r="BY39" s="15" t="n">
        <v>283286.49</v>
      </c>
      <c r="BZ39" s="15" t="n">
        <v>725492.2</v>
      </c>
      <c r="CA39" s="15" t="n">
        <v>923986.3100000001</v>
      </c>
      <c r="CB39" s="15" t="n">
        <v>4616598.04</v>
      </c>
      <c r="CC39" s="15" t="n">
        <v>3214712.54</v>
      </c>
      <c r="CD39" s="15" t="n">
        <v>1464959.03</v>
      </c>
      <c r="CE39" s="15" t="n">
        <v>339250.32</v>
      </c>
      <c r="CF39" s="15" t="n">
        <v>37616.53</v>
      </c>
      <c r="CG39" s="15" t="n">
        <v>5518023.26</v>
      </c>
      <c r="CH39" s="15" t="n">
        <v>3227707.36</v>
      </c>
      <c r="CI39" s="15" t="n">
        <v>1367440.68</v>
      </c>
      <c r="CJ39" s="15" t="n">
        <v>1689991.08</v>
      </c>
      <c r="CK39" s="15" t="n">
        <v>52720.01</v>
      </c>
      <c r="CL39" s="15" t="n">
        <v>1399420.44</v>
      </c>
      <c r="CM39" s="15" t="n">
        <v>700045.2</v>
      </c>
      <c r="CN39" s="15" t="n">
        <v>1592794.51</v>
      </c>
      <c r="CO39" s="15" t="n">
        <v>2162172.43</v>
      </c>
      <c r="CP39" s="15" t="n">
        <v>236407.66</v>
      </c>
      <c r="CQ39" s="15" t="n">
        <v>246597.7</v>
      </c>
      <c r="CR39" s="15" t="n">
        <v>367143.33</v>
      </c>
      <c r="CS39" s="15" t="n">
        <v>3927449.11</v>
      </c>
      <c r="CT39" s="15" t="n">
        <v>642860.79</v>
      </c>
      <c r="CU39" s="15" t="n">
        <v>1581916.37</v>
      </c>
      <c r="CV39" s="15" t="n">
        <v>1477829.61</v>
      </c>
      <c r="CW39" s="15" t="n">
        <v>666508.45</v>
      </c>
      <c r="CX39" s="15" t="n">
        <v>99666.69</v>
      </c>
      <c r="CY39" s="15" t="n">
        <v>5000188.91</v>
      </c>
      <c r="CZ39" s="15" t="n">
        <v>7109067.49</v>
      </c>
      <c r="DA39" s="15" t="n">
        <v>1104465.25</v>
      </c>
      <c r="DB39" s="15" t="n">
        <v>1851431.07</v>
      </c>
      <c r="DC39" s="15" t="n">
        <v>23396.68</v>
      </c>
      <c r="DD39" s="15" t="n">
        <v>2138612.07</v>
      </c>
      <c r="DE39" s="15" t="n">
        <v>4605692.98</v>
      </c>
      <c r="DF39" s="15" t="n">
        <v>2780537.04</v>
      </c>
      <c r="DG39" s="15" t="n">
        <v>2733422.74</v>
      </c>
      <c r="DH39" s="15" t="n">
        <v>432878.37</v>
      </c>
      <c r="DI39" s="15" t="n">
        <v>528167.33</v>
      </c>
      <c r="DJ39" s="15" t="n">
        <v>1865624.3</v>
      </c>
      <c r="DK39" s="15" t="n">
        <v>365588.11</v>
      </c>
      <c r="DL39" s="15" t="n">
        <v>4952955.97</v>
      </c>
      <c r="DM39" s="15" t="n">
        <v>4419229.01</v>
      </c>
      <c r="DN39" s="15" t="n">
        <v>588971.87</v>
      </c>
      <c r="DO39" s="15" t="n">
        <v>456064.74</v>
      </c>
      <c r="DP39" s="15" t="n">
        <v>1125077.77</v>
      </c>
    </row>
    <row r="40">
      <c r="A40" s="4" t="inlineStr">
        <is>
          <t>预制菜</t>
        </is>
      </c>
      <c r="B40" s="15" t="n">
        <v>3589716.66</v>
      </c>
      <c r="C40" s="15" t="n">
        <v>1134022.56</v>
      </c>
      <c r="D40" s="15" t="n">
        <v>2123303.67</v>
      </c>
      <c r="E40" s="15" t="n">
        <v>37193.47</v>
      </c>
      <c r="F40" s="15" t="n">
        <v>-85577.56</v>
      </c>
      <c r="G40" s="15" t="n">
        <v>3762079.54</v>
      </c>
      <c r="H40" s="15" t="n">
        <v>4577717.77</v>
      </c>
      <c r="I40" s="15" t="n">
        <v>3775734.73</v>
      </c>
      <c r="J40" s="15" t="n">
        <v>934603.7</v>
      </c>
      <c r="K40" s="15" t="n">
        <v>734031.6899999999</v>
      </c>
      <c r="L40" s="15" t="n">
        <v>394453.22</v>
      </c>
      <c r="M40" s="15" t="n">
        <v>2997931.53</v>
      </c>
      <c r="N40" s="15" t="n">
        <v>5088922.5</v>
      </c>
      <c r="O40" s="15" t="n">
        <v>2975037.21</v>
      </c>
      <c r="P40" s="15" t="n">
        <v>2572955.04</v>
      </c>
      <c r="Q40" s="15" t="n">
        <v>42151.6</v>
      </c>
      <c r="R40" s="15" t="n">
        <v>1640170.3</v>
      </c>
      <c r="S40" s="15" t="n">
        <v>5722254.3</v>
      </c>
      <c r="T40" s="15" t="n">
        <v>442906.16</v>
      </c>
      <c r="U40" s="15" t="n">
        <v>4424723.57</v>
      </c>
      <c r="V40" s="15" t="n">
        <v>1392698.29</v>
      </c>
      <c r="W40" s="15" t="n">
        <v>64871.33</v>
      </c>
      <c r="X40" s="15" t="n">
        <v>490576.84</v>
      </c>
      <c r="Y40" s="15" t="n">
        <v>4958537.85</v>
      </c>
      <c r="Z40" s="15" t="n">
        <v>3011790.05</v>
      </c>
      <c r="AA40" s="15" t="n">
        <v>3883427.51</v>
      </c>
      <c r="AB40" s="15" t="n">
        <v>1737643.49</v>
      </c>
      <c r="AC40" s="15" t="n">
        <v>710168.83</v>
      </c>
      <c r="AD40" s="15" t="n">
        <v>294186.65</v>
      </c>
      <c r="AE40" s="15" t="n">
        <v>2383482.72</v>
      </c>
      <c r="AF40" s="15" t="n">
        <v>5881494.93</v>
      </c>
      <c r="AG40" s="15" t="n">
        <v>228117.11</v>
      </c>
      <c r="AH40" s="15" t="n">
        <v>625694.76</v>
      </c>
      <c r="AI40" s="15" t="n">
        <v>520068.07</v>
      </c>
      <c r="AJ40" s="15" t="n">
        <v>-245845.72</v>
      </c>
      <c r="AK40" s="15" t="n">
        <v>2884434.83</v>
      </c>
      <c r="AL40" s="15" t="n">
        <v>6827649.03</v>
      </c>
      <c r="AM40" s="15" t="n">
        <v>1860464.31</v>
      </c>
      <c r="AN40" s="15" t="n">
        <v>2714696.95</v>
      </c>
      <c r="AO40" s="15" t="n">
        <v>551036.34</v>
      </c>
      <c r="AP40" s="15" t="n">
        <v>-53743.94</v>
      </c>
      <c r="AQ40" s="15" t="n">
        <v>420929.3</v>
      </c>
      <c r="AR40" s="15" t="n">
        <v>6509498</v>
      </c>
      <c r="AS40" s="15" t="n">
        <v>178987.38</v>
      </c>
      <c r="AT40" s="15" t="n">
        <v>2436763.25</v>
      </c>
      <c r="AU40" s="15" t="n">
        <v>533734.83</v>
      </c>
      <c r="AV40" s="15" t="n">
        <v>967127.71</v>
      </c>
      <c r="AW40" s="15" t="n">
        <v>5315901.25</v>
      </c>
      <c r="AX40" s="15" t="n">
        <v>3305462.33</v>
      </c>
      <c r="AY40" s="15" t="n">
        <v>2908550.97</v>
      </c>
      <c r="AZ40" s="15" t="n">
        <v>2674509.18</v>
      </c>
      <c r="BA40" s="15" t="n">
        <v>38297.3</v>
      </c>
      <c r="BB40" s="15" t="n">
        <v>1881492.01</v>
      </c>
      <c r="BC40" s="15" t="n">
        <v>5482016.55</v>
      </c>
      <c r="BD40" s="15" t="n">
        <v>6067608.72</v>
      </c>
      <c r="BE40" s="15" t="n">
        <v>4049486.09</v>
      </c>
      <c r="BF40" s="15" t="n">
        <v>1523493.82</v>
      </c>
      <c r="BG40" s="15" t="n">
        <v>597848.96</v>
      </c>
      <c r="BH40" s="15" t="n">
        <v>863604.3199999999</v>
      </c>
      <c r="BI40" s="15" t="n">
        <v>2789069.04</v>
      </c>
      <c r="BJ40" s="15" t="n">
        <v>652405.1899999999</v>
      </c>
      <c r="BK40" s="15" t="n">
        <v>3260388.29</v>
      </c>
      <c r="BL40" s="15" t="n">
        <v>2860076.09</v>
      </c>
      <c r="BM40" s="15" t="n">
        <v>438487.46</v>
      </c>
      <c r="BN40" s="15" t="n">
        <v>-42787.48</v>
      </c>
      <c r="BO40" s="15" t="n">
        <v>2003215.15</v>
      </c>
      <c r="BP40" s="15" t="n">
        <v>3550064.89</v>
      </c>
      <c r="BQ40" s="15" t="n">
        <v>1111352.6</v>
      </c>
      <c r="BR40" s="15" t="n">
        <v>764323.72</v>
      </c>
      <c r="BS40" s="15" t="n">
        <v>575950.17</v>
      </c>
      <c r="BT40" s="15" t="n">
        <v>2722.56</v>
      </c>
      <c r="BU40" s="15" t="n">
        <v>1670498.95</v>
      </c>
      <c r="BV40" s="15" t="n">
        <v>6463734.82</v>
      </c>
      <c r="BW40" s="15" t="n">
        <v>2028872.86</v>
      </c>
      <c r="BX40" s="15" t="n">
        <v>1681117.15</v>
      </c>
      <c r="BY40" s="15" t="n">
        <v>539699.11</v>
      </c>
      <c r="BZ40" s="15" t="n">
        <v>845597.11</v>
      </c>
      <c r="CA40" s="15" t="n">
        <v>5487911.33</v>
      </c>
      <c r="CB40" s="15" t="n">
        <v>7065535.92</v>
      </c>
      <c r="CC40" s="15" t="n">
        <v>1788004.92</v>
      </c>
      <c r="CD40" s="15" t="n">
        <v>2433374.16</v>
      </c>
      <c r="CE40" s="15" t="n">
        <v>525265.64</v>
      </c>
      <c r="CF40" s="15" t="n">
        <v>1100502.65</v>
      </c>
      <c r="CG40" s="15" t="n">
        <v>512054.06</v>
      </c>
      <c r="CH40" s="15" t="n">
        <v>7270672.9</v>
      </c>
      <c r="CI40" s="15" t="n">
        <v>3798882.86</v>
      </c>
      <c r="CJ40" s="15" t="n">
        <v>1772934.24</v>
      </c>
      <c r="CK40" s="15" t="n">
        <v>101486.26</v>
      </c>
      <c r="CL40" s="15" t="n">
        <v>1866215.26</v>
      </c>
      <c r="CM40" s="15" t="n">
        <v>4577862.6</v>
      </c>
      <c r="CN40" s="15" t="n">
        <v>4734876.44</v>
      </c>
      <c r="CO40" s="15" t="n">
        <v>3829086.02</v>
      </c>
      <c r="CP40" s="15" t="n">
        <v>1541406.81</v>
      </c>
      <c r="CQ40" s="15" t="n">
        <v>685170.21</v>
      </c>
      <c r="CR40" s="15" t="n">
        <v>119742.47</v>
      </c>
      <c r="CS40" s="15" t="n">
        <v>3515418.04</v>
      </c>
      <c r="CT40" s="15" t="n">
        <v>5102211.96</v>
      </c>
      <c r="CU40" s="15" t="n">
        <v>372157.56</v>
      </c>
      <c r="CV40" s="15" t="n">
        <v>2641181.6</v>
      </c>
      <c r="CW40" s="15" t="n">
        <v>33987.26</v>
      </c>
      <c r="CX40" s="15" t="n">
        <v>1051061.91</v>
      </c>
      <c r="CY40" s="15" t="n">
        <v>707533.03</v>
      </c>
      <c r="CZ40" s="15" t="n">
        <v>5263310.23</v>
      </c>
      <c r="DA40" s="15" t="n">
        <v>3077277.72</v>
      </c>
      <c r="DB40" s="15" t="n">
        <v>1693970.24</v>
      </c>
      <c r="DC40" s="15" t="n">
        <v>261029.89</v>
      </c>
      <c r="DD40" s="15" t="n">
        <v>638170.16</v>
      </c>
      <c r="DE40" s="15" t="n">
        <v>2855372.13</v>
      </c>
      <c r="DF40" s="15" t="n">
        <v>1817786.5</v>
      </c>
      <c r="DG40" s="15" t="n">
        <v>3204153.54</v>
      </c>
      <c r="DH40" s="15" t="n">
        <v>855957.89</v>
      </c>
      <c r="DI40" s="15" t="n">
        <v>349963.85</v>
      </c>
      <c r="DJ40" s="15" t="n">
        <v>761634.4</v>
      </c>
      <c r="DK40" s="15" t="n">
        <v>848994.3199999999</v>
      </c>
      <c r="DL40" s="15" t="n">
        <v>2508357.15</v>
      </c>
      <c r="DM40" s="15" t="n">
        <v>2583790.77</v>
      </c>
      <c r="DN40" s="15" t="n">
        <v>2913700.18</v>
      </c>
      <c r="DO40" s="15" t="n">
        <v>31021.94</v>
      </c>
      <c r="DP40" s="15" t="n">
        <v>1795030.12</v>
      </c>
    </row>
    <row r="41">
      <c r="A41" s="4" t="inlineStr">
        <is>
          <t>其他产品A</t>
        </is>
      </c>
      <c r="B41" s="15" t="n">
        <v>3348772.76</v>
      </c>
      <c r="C41" s="15" t="n">
        <v>2834138.26</v>
      </c>
      <c r="D41" s="15" t="n">
        <v>788690.14</v>
      </c>
      <c r="E41" s="15" t="n">
        <v>417365.9</v>
      </c>
      <c r="F41" s="15" t="n">
        <v>2051013.32</v>
      </c>
      <c r="G41" s="15" t="n">
        <v>681411.21</v>
      </c>
      <c r="H41" s="15" t="n">
        <v>5660547.6</v>
      </c>
      <c r="I41" s="15" t="n">
        <v>99995.45</v>
      </c>
      <c r="J41" s="15" t="n">
        <v>205556.21</v>
      </c>
      <c r="K41" s="15" t="n">
        <v>554662.66</v>
      </c>
      <c r="L41" s="15" t="n">
        <v>-207666.42</v>
      </c>
      <c r="M41" s="15" t="n">
        <v>2734028.71</v>
      </c>
      <c r="N41" s="15" t="n">
        <v>3165686.45</v>
      </c>
      <c r="O41" s="15" t="n">
        <v>747077.5699999999</v>
      </c>
      <c r="P41" s="15" t="n">
        <v>2329449.45</v>
      </c>
      <c r="Q41" s="15" t="n">
        <v>746216.99</v>
      </c>
      <c r="R41" s="15" t="n">
        <v>-170163.82</v>
      </c>
      <c r="S41" s="15" t="n">
        <v>2606115.38</v>
      </c>
      <c r="T41" s="15" t="n">
        <v>7272086.17</v>
      </c>
      <c r="U41" s="15" t="n">
        <v>267944.49</v>
      </c>
      <c r="V41" s="15" t="n">
        <v>2313131.22</v>
      </c>
      <c r="W41" s="15" t="n">
        <v>461341.36</v>
      </c>
      <c r="X41" s="15" t="n">
        <v>105212.62</v>
      </c>
      <c r="Y41" s="15" t="n">
        <v>2537409.7</v>
      </c>
      <c r="Z41" s="15" t="n">
        <v>5593294.5</v>
      </c>
      <c r="AA41" s="15" t="n">
        <v>868210.5</v>
      </c>
      <c r="AB41" s="15" t="n">
        <v>1698593.82</v>
      </c>
      <c r="AC41" s="15" t="n">
        <v>501366.5</v>
      </c>
      <c r="AD41" s="15" t="n">
        <v>541983.84</v>
      </c>
      <c r="AE41" s="15" t="n">
        <v>4777132.12</v>
      </c>
      <c r="AF41" s="15" t="n">
        <v>1280935.72</v>
      </c>
      <c r="AG41" s="15" t="n">
        <v>4164535.86</v>
      </c>
      <c r="AH41" s="15" t="n">
        <v>2235642.87</v>
      </c>
      <c r="AI41" s="15" t="n">
        <v>205088</v>
      </c>
      <c r="AJ41" s="15" t="n">
        <v>1201160.44</v>
      </c>
      <c r="AK41" s="15" t="n">
        <v>2974289.45</v>
      </c>
      <c r="AL41" s="15" t="n">
        <v>6197824.41</v>
      </c>
      <c r="AM41" s="15" t="n">
        <v>2732506.62</v>
      </c>
      <c r="AN41" s="15" t="n">
        <v>2691504.53</v>
      </c>
      <c r="AO41" s="15" t="n">
        <v>290502.96</v>
      </c>
      <c r="AP41" s="15" t="n">
        <v>1732253.73</v>
      </c>
      <c r="AQ41" s="15" t="n">
        <v>3895409.99</v>
      </c>
      <c r="AR41" s="15" t="n">
        <v>4534700.1</v>
      </c>
      <c r="AS41" s="15" t="n">
        <v>3131371.68</v>
      </c>
      <c r="AT41" s="15" t="n">
        <v>2442969.96</v>
      </c>
      <c r="AU41" s="15" t="n">
        <v>314781.11</v>
      </c>
      <c r="AV41" s="15" t="n">
        <v>1801224.91</v>
      </c>
      <c r="AW41" s="15" t="n">
        <v>2011612.73</v>
      </c>
      <c r="AX41" s="15" t="n">
        <v>2177565.74</v>
      </c>
      <c r="AY41" s="15" t="n">
        <v>3321489.39</v>
      </c>
      <c r="AZ41" s="15" t="n">
        <v>1117688.89</v>
      </c>
      <c r="BA41" s="15" t="n">
        <v>677481.9399999999</v>
      </c>
      <c r="BB41" s="15" t="n">
        <v>876676.78</v>
      </c>
      <c r="BC41" s="15" t="n">
        <v>3414518.25</v>
      </c>
      <c r="BD41" s="15" t="n">
        <v>7341050.46</v>
      </c>
      <c r="BE41" s="15" t="n">
        <v>3031452.83</v>
      </c>
      <c r="BF41" s="15" t="n">
        <v>2189304.91</v>
      </c>
      <c r="BG41" s="15" t="n">
        <v>716740.99</v>
      </c>
      <c r="BH41" s="15" t="n">
        <v>935003.14</v>
      </c>
      <c r="BI41" s="15" t="n">
        <v>513529.58</v>
      </c>
      <c r="BJ41" s="15" t="n">
        <v>589810.91</v>
      </c>
      <c r="BK41" s="15" t="n">
        <v>3180755.45</v>
      </c>
      <c r="BL41" s="15" t="n">
        <v>586917.26</v>
      </c>
      <c r="BM41" s="15" t="n">
        <v>446422.36</v>
      </c>
      <c r="BN41" s="15" t="n">
        <v>1474437.77</v>
      </c>
      <c r="BO41" s="15" t="n">
        <v>2205084.64</v>
      </c>
      <c r="BP41" s="15" t="n">
        <v>5397510.69</v>
      </c>
      <c r="BQ41" s="15" t="n">
        <v>333182.39</v>
      </c>
      <c r="BR41" s="15" t="n">
        <v>1307587.92</v>
      </c>
      <c r="BS41" s="15" t="n">
        <v>607839.51</v>
      </c>
      <c r="BT41" s="15" t="n">
        <v>871956.11</v>
      </c>
      <c r="BU41" s="15" t="n">
        <v>3402482.34</v>
      </c>
      <c r="BV41" s="15" t="n">
        <v>1583540.5</v>
      </c>
      <c r="BW41" s="15" t="n">
        <v>1859742.39</v>
      </c>
      <c r="BX41" s="15" t="n">
        <v>2310516.45</v>
      </c>
      <c r="BY41" s="15" t="n">
        <v>93511.47</v>
      </c>
      <c r="BZ41" s="15" t="n">
        <v>438163.21</v>
      </c>
      <c r="CA41" s="15" t="n">
        <v>1439467.29</v>
      </c>
      <c r="CB41" s="15" t="n">
        <v>297151.4</v>
      </c>
      <c r="CC41" s="15" t="n">
        <v>360189.78</v>
      </c>
      <c r="CD41" s="15" t="n">
        <v>2776431.69</v>
      </c>
      <c r="CE41" s="15" t="n">
        <v>272392.79</v>
      </c>
      <c r="CF41" s="15" t="n">
        <v>2132932.32</v>
      </c>
      <c r="CG41" s="15" t="n">
        <v>466169.72</v>
      </c>
      <c r="CH41" s="15" t="n">
        <v>2307350.95</v>
      </c>
      <c r="CI41" s="15" t="n">
        <v>976313.65</v>
      </c>
      <c r="CJ41" s="15" t="n">
        <v>325819.76</v>
      </c>
      <c r="CK41" s="15" t="n">
        <v>516326.85</v>
      </c>
      <c r="CL41" s="15" t="n">
        <v>1859142.17</v>
      </c>
      <c r="CM41" s="15" t="n">
        <v>2853307.55</v>
      </c>
      <c r="CN41" s="15" t="n">
        <v>1235296.99</v>
      </c>
      <c r="CO41" s="15" t="n">
        <v>3513972.56</v>
      </c>
      <c r="CP41" s="15" t="n">
        <v>31775.4</v>
      </c>
      <c r="CQ41" s="15" t="n">
        <v>96216.89999999999</v>
      </c>
      <c r="CR41" s="15" t="n">
        <v>97161.32000000001</v>
      </c>
      <c r="CS41" s="15" t="n">
        <v>2753537.58</v>
      </c>
      <c r="CT41" s="15" t="n">
        <v>7447683</v>
      </c>
      <c r="CU41" s="15" t="n">
        <v>3331270.28</v>
      </c>
      <c r="CV41" s="15" t="n">
        <v>1422078.03</v>
      </c>
      <c r="CW41" s="15" t="n">
        <v>337722.74</v>
      </c>
      <c r="CX41" s="15" t="n">
        <v>243126.51</v>
      </c>
      <c r="CY41" s="15" t="n">
        <v>5750011.89</v>
      </c>
      <c r="CZ41" s="15" t="n">
        <v>218138.88</v>
      </c>
      <c r="DA41" s="15" t="n">
        <v>3941455.63</v>
      </c>
      <c r="DB41" s="15" t="n">
        <v>2290394.78</v>
      </c>
      <c r="DC41" s="15" t="n">
        <v>146159.2</v>
      </c>
      <c r="DD41" s="15" t="n">
        <v>1475566.68</v>
      </c>
      <c r="DE41" s="15" t="n">
        <v>1044830.86</v>
      </c>
      <c r="DF41" s="15" t="n">
        <v>5447145.66</v>
      </c>
      <c r="DG41" s="15" t="n">
        <v>4132973.95</v>
      </c>
      <c r="DH41" s="15" t="n">
        <v>2072035.79</v>
      </c>
      <c r="DI41" s="15" t="n">
        <v>169834.53</v>
      </c>
      <c r="DJ41" s="15" t="n">
        <v>1096782.98</v>
      </c>
      <c r="DK41" s="15" t="n">
        <v>712067.65</v>
      </c>
      <c r="DL41" s="15" t="n">
        <v>6827086.78</v>
      </c>
      <c r="DM41" s="15" t="n">
        <v>1885762.14</v>
      </c>
      <c r="DN41" s="15" t="n">
        <v>1210988.65</v>
      </c>
      <c r="DO41" s="15" t="n">
        <v>700698.08</v>
      </c>
      <c r="DP41" s="15" t="n">
        <v>128272.51</v>
      </c>
    </row>
    <row r="42">
      <c r="A42" s="4" t="inlineStr">
        <is>
          <t>其他产品B</t>
        </is>
      </c>
      <c r="B42" s="15" t="n">
        <v>6646129.69</v>
      </c>
      <c r="C42" s="15" t="n">
        <v>242787.01</v>
      </c>
      <c r="D42" s="15" t="n">
        <v>2222580.43</v>
      </c>
      <c r="E42" s="15" t="n">
        <v>244327.93</v>
      </c>
      <c r="F42" s="15" t="n">
        <v>2124425.27</v>
      </c>
      <c r="G42" s="15" t="n">
        <v>2450048.35</v>
      </c>
      <c r="H42" s="15" t="n">
        <v>7382540.12</v>
      </c>
      <c r="I42" s="15" t="n">
        <v>1113713.42</v>
      </c>
      <c r="J42" s="15" t="n">
        <v>228233.96</v>
      </c>
      <c r="K42" s="15" t="n">
        <v>390052.2</v>
      </c>
      <c r="L42" s="15" t="n">
        <v>2238809.13</v>
      </c>
      <c r="M42" s="15" t="n">
        <v>1723529.82</v>
      </c>
      <c r="N42" s="15" t="n">
        <v>3696317.79</v>
      </c>
      <c r="O42" s="15" t="n">
        <v>1569393.86</v>
      </c>
      <c r="P42" s="15" t="n">
        <v>190911.46</v>
      </c>
      <c r="Q42" s="15" t="n">
        <v>222828.42</v>
      </c>
      <c r="R42" s="15" t="n">
        <v>1757592.15</v>
      </c>
      <c r="S42" s="15" t="n">
        <v>5934316.63</v>
      </c>
      <c r="T42" s="15" t="n">
        <v>3915940.41</v>
      </c>
      <c r="U42" s="15" t="n">
        <v>4416574.86</v>
      </c>
      <c r="V42" s="15" t="n">
        <v>163065.5</v>
      </c>
      <c r="W42" s="15" t="n">
        <v>165060.83</v>
      </c>
      <c r="X42" s="15" t="n">
        <v>1281903.83</v>
      </c>
      <c r="Y42" s="15" t="n">
        <v>2417791.96</v>
      </c>
      <c r="Z42" s="15" t="n">
        <v>6824148.23</v>
      </c>
      <c r="AA42" s="15" t="n">
        <v>1502401.57</v>
      </c>
      <c r="AB42" s="15" t="n">
        <v>2392751.35</v>
      </c>
      <c r="AC42" s="15" t="n">
        <v>272927.03</v>
      </c>
      <c r="AD42" s="15" t="n">
        <v>1390965.14</v>
      </c>
      <c r="AE42" s="15" t="n">
        <v>1206525.35</v>
      </c>
      <c r="AF42" s="15" t="n">
        <v>6840604.58</v>
      </c>
      <c r="AG42" s="15" t="n">
        <v>1137631.44</v>
      </c>
      <c r="AH42" s="15" t="n">
        <v>117649.78</v>
      </c>
      <c r="AI42" s="15" t="n">
        <v>473517.04</v>
      </c>
      <c r="AJ42" s="15" t="n">
        <v>2226279.02</v>
      </c>
      <c r="AK42" s="15" t="n">
        <v>1451438.28</v>
      </c>
      <c r="AL42" s="15" t="n">
        <v>6508760.43</v>
      </c>
      <c r="AM42" s="15" t="n">
        <v>772354.5600000001</v>
      </c>
      <c r="AN42" s="15" t="n">
        <v>2319281.07</v>
      </c>
      <c r="AO42" s="15" t="n">
        <v>55735.79</v>
      </c>
      <c r="AP42" s="15" t="n">
        <v>1775549.55</v>
      </c>
      <c r="AQ42" s="15" t="n">
        <v>2659922.68</v>
      </c>
      <c r="AR42" s="15" t="n">
        <v>3377036.5</v>
      </c>
      <c r="AS42" s="15" t="n">
        <v>1880217</v>
      </c>
      <c r="AT42" s="15" t="n">
        <v>989225.76</v>
      </c>
      <c r="AU42" s="15" t="n">
        <v>497148.36</v>
      </c>
      <c r="AV42" s="15" t="n">
        <v>527020.6899999999</v>
      </c>
      <c r="AW42" s="15" t="n">
        <v>4446995.12</v>
      </c>
      <c r="AX42" s="15" t="n">
        <v>1463885.74</v>
      </c>
      <c r="AY42" s="15" t="n">
        <v>781365.54</v>
      </c>
      <c r="AZ42" s="15" t="n">
        <v>2915755.39</v>
      </c>
      <c r="BA42" s="15" t="n">
        <v>98730.7</v>
      </c>
      <c r="BB42" s="15" t="n">
        <v>1899209.31</v>
      </c>
      <c r="BC42" s="15" t="n">
        <v>5869680.25</v>
      </c>
      <c r="BD42" s="15" t="n">
        <v>2189926.12</v>
      </c>
      <c r="BE42" s="15" t="n">
        <v>1567085.58</v>
      </c>
      <c r="BF42" s="15" t="n">
        <v>2112787.44</v>
      </c>
      <c r="BG42" s="15" t="n">
        <v>709609.97</v>
      </c>
      <c r="BH42" s="15" t="n">
        <v>976476.65</v>
      </c>
      <c r="BI42" s="15" t="n">
        <v>2673895.58</v>
      </c>
      <c r="BJ42" s="15" t="n">
        <v>688597.9399999999</v>
      </c>
      <c r="BK42" s="15" t="n">
        <v>2516160.24</v>
      </c>
      <c r="BL42" s="15" t="n">
        <v>65718.88</v>
      </c>
      <c r="BM42" s="15" t="n">
        <v>422205.09</v>
      </c>
      <c r="BN42" s="15" t="n">
        <v>-127156.05</v>
      </c>
      <c r="BO42" s="15" t="n">
        <v>5858866.57</v>
      </c>
      <c r="BP42" s="15" t="n">
        <v>3966809.92</v>
      </c>
      <c r="BQ42" s="15" t="n">
        <v>4295249.53</v>
      </c>
      <c r="BR42" s="15" t="n">
        <v>1375659.53</v>
      </c>
      <c r="BS42" s="15" t="n">
        <v>152291.32</v>
      </c>
      <c r="BT42" s="15" t="n">
        <v>270123.94</v>
      </c>
      <c r="BU42" s="15" t="n">
        <v>4681507.49</v>
      </c>
      <c r="BV42" s="15" t="n">
        <v>3410325.71</v>
      </c>
      <c r="BW42" s="15" t="n">
        <v>2550436.86</v>
      </c>
      <c r="BX42" s="15" t="n">
        <v>2808057.77</v>
      </c>
      <c r="BY42" s="15" t="n">
        <v>495335.67</v>
      </c>
      <c r="BZ42" s="15" t="n">
        <v>681366.26</v>
      </c>
      <c r="CA42" s="15" t="n">
        <v>2218560.88</v>
      </c>
      <c r="CB42" s="15" t="n">
        <v>6266367.28</v>
      </c>
      <c r="CC42" s="15" t="n">
        <v>678219.46</v>
      </c>
      <c r="CD42" s="15" t="n">
        <v>357334.2</v>
      </c>
      <c r="CE42" s="15" t="n">
        <v>102569.77</v>
      </c>
      <c r="CF42" s="15" t="n">
        <v>823192.03</v>
      </c>
      <c r="CG42" s="15" t="n">
        <v>5958271.43</v>
      </c>
      <c r="CH42" s="15" t="n">
        <v>2706187.45</v>
      </c>
      <c r="CI42" s="15" t="n">
        <v>1701398.69</v>
      </c>
      <c r="CJ42" s="15" t="n">
        <v>1508246.09</v>
      </c>
      <c r="CK42" s="15" t="n">
        <v>282665.03</v>
      </c>
      <c r="CL42" s="15" t="n">
        <v>2140196.82</v>
      </c>
      <c r="CM42" s="15" t="n">
        <v>3782619.5</v>
      </c>
      <c r="CN42" s="15" t="n">
        <v>2895089.5</v>
      </c>
      <c r="CO42" s="15" t="n">
        <v>2568989.68</v>
      </c>
      <c r="CP42" s="15" t="n">
        <v>1608859.77</v>
      </c>
      <c r="CQ42" s="15" t="n">
        <v>668770.48</v>
      </c>
      <c r="CR42" s="15" t="n">
        <v>380688.13</v>
      </c>
      <c r="CS42" s="15" t="n">
        <v>664546.03</v>
      </c>
      <c r="CT42" s="15" t="n">
        <v>5827435.44</v>
      </c>
      <c r="CU42" s="15" t="n">
        <v>1605597.16</v>
      </c>
      <c r="CV42" s="15" t="n">
        <v>2030681.75</v>
      </c>
      <c r="CW42" s="15" t="n">
        <v>443166.13</v>
      </c>
      <c r="CX42" s="15" t="n">
        <v>1869707.11</v>
      </c>
      <c r="CY42" s="15" t="n">
        <v>4228112.81</v>
      </c>
      <c r="CZ42" s="15" t="n">
        <v>4481550.46</v>
      </c>
      <c r="DA42" s="15" t="n">
        <v>2982079.68</v>
      </c>
      <c r="DB42" s="15" t="n">
        <v>2800349.2</v>
      </c>
      <c r="DC42" s="15" t="n">
        <v>248703.34</v>
      </c>
      <c r="DD42" s="15" t="n">
        <v>712722.77</v>
      </c>
      <c r="DE42" s="15" t="n">
        <v>1004758.4</v>
      </c>
      <c r="DF42" s="15" t="n">
        <v>3083884.87</v>
      </c>
      <c r="DG42" s="15" t="n">
        <v>1473159.18</v>
      </c>
      <c r="DH42" s="15" t="n">
        <v>104118.27</v>
      </c>
      <c r="DI42" s="15" t="n">
        <v>296413.62</v>
      </c>
      <c r="DJ42" s="15" t="n">
        <v>177070.05</v>
      </c>
      <c r="DK42" s="15" t="n">
        <v>4033210.99</v>
      </c>
      <c r="DL42" s="15" t="n">
        <v>612378.26</v>
      </c>
      <c r="DM42" s="15" t="n">
        <v>475400.91</v>
      </c>
      <c r="DN42" s="15" t="n">
        <v>2407005.23</v>
      </c>
      <c r="DO42" s="15" t="n">
        <v>714334.85</v>
      </c>
      <c r="DP42" s="15" t="n">
        <v>1925017</v>
      </c>
    </row>
    <row r="43">
      <c r="A43" s="4" t="inlineStr">
        <is>
          <t>其他产品C</t>
        </is>
      </c>
      <c r="B43" s="15" t="n">
        <v>3433509.09</v>
      </c>
      <c r="C43" s="15" t="n">
        <v>4288856.24</v>
      </c>
      <c r="D43" s="15" t="n">
        <v>254402.12</v>
      </c>
      <c r="E43" s="15" t="n">
        <v>444997.21</v>
      </c>
      <c r="F43" s="15" t="n">
        <v>910286.05</v>
      </c>
      <c r="G43" s="15" t="n">
        <v>3183373.1</v>
      </c>
      <c r="H43" s="15" t="n">
        <v>4471517.72</v>
      </c>
      <c r="I43" s="15" t="n">
        <v>1050849.01</v>
      </c>
      <c r="J43" s="15" t="n">
        <v>2510279.51</v>
      </c>
      <c r="K43" s="15" t="n">
        <v>141903.82</v>
      </c>
      <c r="L43" s="15" t="n">
        <v>1746669.04</v>
      </c>
      <c r="M43" s="15" t="n">
        <v>1690654.92</v>
      </c>
      <c r="N43" s="15" t="n">
        <v>6532019.02</v>
      </c>
      <c r="O43" s="15" t="n">
        <v>3649905.04</v>
      </c>
      <c r="P43" s="15" t="n">
        <v>1022665.23</v>
      </c>
      <c r="Q43" s="15" t="n">
        <v>490078.79</v>
      </c>
      <c r="R43" s="15" t="n">
        <v>1406046.69</v>
      </c>
      <c r="S43" s="15" t="n">
        <v>3791544.53</v>
      </c>
      <c r="T43" s="15" t="n">
        <v>3769970.8</v>
      </c>
      <c r="U43" s="15" t="n">
        <v>3122835.29</v>
      </c>
      <c r="V43" s="15" t="n">
        <v>362635.54</v>
      </c>
      <c r="W43" s="15" t="n">
        <v>704369.3199999999</v>
      </c>
      <c r="X43" s="15" t="n">
        <v>763036.03</v>
      </c>
      <c r="Y43" s="15" t="n">
        <v>644376.36</v>
      </c>
      <c r="Z43" s="15" t="n">
        <v>2187652.71</v>
      </c>
      <c r="AA43" s="15" t="n">
        <v>1751277.92</v>
      </c>
      <c r="AB43" s="15" t="n">
        <v>979935.55</v>
      </c>
      <c r="AC43" s="15" t="n">
        <v>704803.6899999999</v>
      </c>
      <c r="AD43" s="15" t="n">
        <v>1751557.17</v>
      </c>
      <c r="AE43" s="15" t="n">
        <v>2657400.06</v>
      </c>
      <c r="AF43" s="15" t="n">
        <v>2615089.25</v>
      </c>
      <c r="AG43" s="15" t="n">
        <v>756652.6</v>
      </c>
      <c r="AH43" s="15" t="n">
        <v>449178.01</v>
      </c>
      <c r="AI43" s="15" t="n">
        <v>637436.83</v>
      </c>
      <c r="AJ43" s="15" t="n">
        <v>1716706.64</v>
      </c>
      <c r="AK43" s="15" t="n">
        <v>5429332.04</v>
      </c>
      <c r="AL43" s="15" t="n">
        <v>5837286.55</v>
      </c>
      <c r="AM43" s="15" t="n">
        <v>262546.18</v>
      </c>
      <c r="AN43" s="15" t="n">
        <v>2039228.58</v>
      </c>
      <c r="AO43" s="15" t="n">
        <v>84663.63</v>
      </c>
      <c r="AP43" s="15" t="n">
        <v>2223388.26</v>
      </c>
      <c r="AQ43" s="15" t="n">
        <v>750401.3100000001</v>
      </c>
      <c r="AR43" s="15" t="n">
        <v>4030987.3</v>
      </c>
      <c r="AS43" s="15" t="n">
        <v>566899.5</v>
      </c>
      <c r="AT43" s="15" t="n">
        <v>1761090.79</v>
      </c>
      <c r="AU43" s="15" t="n">
        <v>340405.45</v>
      </c>
      <c r="AV43" s="15" t="n">
        <v>1269330.05</v>
      </c>
      <c r="AW43" s="15" t="n">
        <v>3267235.19</v>
      </c>
      <c r="AX43" s="15" t="n">
        <v>470167.62</v>
      </c>
      <c r="AY43" s="15" t="n">
        <v>3794713.49</v>
      </c>
      <c r="AZ43" s="15" t="n">
        <v>1815239.53</v>
      </c>
      <c r="BA43" s="15" t="n">
        <v>726066.61</v>
      </c>
      <c r="BB43" s="15" t="n">
        <v>340229.25</v>
      </c>
      <c r="BC43" s="15" t="n">
        <v>2750931.1</v>
      </c>
      <c r="BD43" s="15" t="n">
        <v>5963315.26</v>
      </c>
      <c r="BE43" s="15" t="n">
        <v>1421999.78</v>
      </c>
      <c r="BF43" s="15" t="n">
        <v>2008098.09</v>
      </c>
      <c r="BG43" s="15" t="n">
        <v>689225.92</v>
      </c>
      <c r="BH43" s="15" t="n">
        <v>1352098.24</v>
      </c>
      <c r="BI43" s="15" t="n">
        <v>4934192.83</v>
      </c>
      <c r="BJ43" s="15" t="n">
        <v>6630534.17</v>
      </c>
      <c r="BK43" s="15" t="n">
        <v>3659883.25</v>
      </c>
      <c r="BL43" s="15" t="n">
        <v>2685897.45</v>
      </c>
      <c r="BM43" s="15" t="n">
        <v>393764.92</v>
      </c>
      <c r="BN43" s="15" t="n">
        <v>943210.5</v>
      </c>
      <c r="BO43" s="15" t="n">
        <v>5564602.18</v>
      </c>
      <c r="BP43" s="15" t="n">
        <v>1985582.02</v>
      </c>
      <c r="BQ43" s="15" t="n">
        <v>3299722.35</v>
      </c>
      <c r="BR43" s="15" t="n">
        <v>1577951.06</v>
      </c>
      <c r="BS43" s="15" t="n">
        <v>28316.24</v>
      </c>
      <c r="BT43" s="15" t="n">
        <v>1013211.9</v>
      </c>
      <c r="BU43" s="15" t="n">
        <v>4861799.65</v>
      </c>
      <c r="BV43" s="15" t="n">
        <v>4618986.37</v>
      </c>
      <c r="BW43" s="15" t="n">
        <v>142562.5</v>
      </c>
      <c r="BX43" s="15" t="n">
        <v>2562708.17</v>
      </c>
      <c r="BY43" s="15" t="n">
        <v>683172.66</v>
      </c>
      <c r="BZ43" s="15" t="n">
        <v>995063.3</v>
      </c>
      <c r="CA43" s="15" t="n">
        <v>3333455.48</v>
      </c>
      <c r="CB43" s="15" t="n">
        <v>2118114.7</v>
      </c>
      <c r="CC43" s="15" t="n">
        <v>939322.8199999999</v>
      </c>
      <c r="CD43" s="15" t="n">
        <v>869380.37</v>
      </c>
      <c r="CE43" s="15" t="n">
        <v>631924.72</v>
      </c>
      <c r="CF43" s="15" t="n">
        <v>566786.46</v>
      </c>
      <c r="CG43" s="15" t="n">
        <v>315988.27</v>
      </c>
      <c r="CH43" s="15" t="n">
        <v>6315538.99</v>
      </c>
      <c r="CI43" s="15" t="n">
        <v>585269.1800000001</v>
      </c>
      <c r="CJ43" s="15" t="n">
        <v>2173486.43</v>
      </c>
      <c r="CK43" s="15" t="n">
        <v>50445.14</v>
      </c>
      <c r="CL43" s="15" t="n">
        <v>660470.03</v>
      </c>
      <c r="CM43" s="15" t="n">
        <v>5699366.38</v>
      </c>
      <c r="CN43" s="15" t="n">
        <v>1776967.53</v>
      </c>
      <c r="CO43" s="15" t="n">
        <v>4311235.16</v>
      </c>
      <c r="CP43" s="15" t="n">
        <v>1569093.26</v>
      </c>
      <c r="CQ43" s="15" t="n">
        <v>620347.37</v>
      </c>
      <c r="CR43" s="15" t="n">
        <v>801898.23</v>
      </c>
      <c r="CS43" s="15" t="n">
        <v>4835832.8</v>
      </c>
      <c r="CT43" s="15" t="n">
        <v>4488697.29</v>
      </c>
      <c r="CU43" s="15" t="n">
        <v>2889307.8</v>
      </c>
      <c r="CV43" s="15" t="n">
        <v>2885448.58</v>
      </c>
      <c r="CW43" s="15" t="n">
        <v>586751.63</v>
      </c>
      <c r="CX43" s="15" t="n">
        <v>2249107.6</v>
      </c>
      <c r="CY43" s="15" t="n">
        <v>691614.47</v>
      </c>
      <c r="CZ43" s="15" t="n">
        <v>5307166.74</v>
      </c>
      <c r="DA43" s="15" t="n">
        <v>2596624.8</v>
      </c>
      <c r="DB43" s="15" t="n">
        <v>1271518.46</v>
      </c>
      <c r="DC43" s="15" t="n">
        <v>668935.63</v>
      </c>
      <c r="DD43" s="15" t="n">
        <v>2150044.99</v>
      </c>
      <c r="DE43" s="15" t="n">
        <v>561507.6899999999</v>
      </c>
      <c r="DF43" s="15" t="n">
        <v>6857537.35</v>
      </c>
      <c r="DG43" s="15" t="n">
        <v>3971232.12</v>
      </c>
      <c r="DH43" s="15" t="n">
        <v>2719981.38</v>
      </c>
      <c r="DI43" s="15" t="n">
        <v>722651.88</v>
      </c>
      <c r="DJ43" s="15" t="n">
        <v>1815123.15</v>
      </c>
      <c r="DK43" s="15" t="n">
        <v>4681584.7</v>
      </c>
      <c r="DL43" s="15" t="n">
        <v>1209771.93</v>
      </c>
      <c r="DM43" s="15" t="n">
        <v>596055.64</v>
      </c>
      <c r="DN43" s="15" t="n">
        <v>2125788.58</v>
      </c>
      <c r="DO43" s="15" t="n">
        <v>547204.29</v>
      </c>
      <c r="DP43" s="15" t="n">
        <v>584126.78</v>
      </c>
    </row>
    <row r="44">
      <c r="A44" s="4" t="inlineStr">
        <is>
          <t>中式汤底</t>
        </is>
      </c>
      <c r="B44" s="15" t="n">
        <v>3999087.92</v>
      </c>
      <c r="C44" s="15" t="n">
        <v>928543.67</v>
      </c>
      <c r="D44" s="15" t="n">
        <v>2338657.37</v>
      </c>
      <c r="E44" s="15" t="n">
        <v>52907.28</v>
      </c>
      <c r="F44" s="15" t="n">
        <v>1786528.32</v>
      </c>
      <c r="G44" s="15" t="n">
        <v>1692759.78</v>
      </c>
      <c r="H44" s="15" t="n">
        <v>3892974.73</v>
      </c>
      <c r="I44" s="15" t="n">
        <v>2559597.9</v>
      </c>
      <c r="J44" s="15" t="n">
        <v>2522410.96</v>
      </c>
      <c r="K44" s="15" t="n">
        <v>444819.13</v>
      </c>
      <c r="L44" s="15" t="n">
        <v>1460117.93</v>
      </c>
      <c r="M44" s="15" t="n">
        <v>2007666.19</v>
      </c>
      <c r="N44" s="15" t="n">
        <v>700159.87</v>
      </c>
      <c r="O44" s="15" t="n">
        <v>849239.61</v>
      </c>
      <c r="P44" s="15" t="n">
        <v>43364.63</v>
      </c>
      <c r="Q44" s="15" t="n">
        <v>440362.78</v>
      </c>
      <c r="R44" s="15" t="n">
        <v>-298756.53</v>
      </c>
      <c r="S44" s="15" t="n">
        <v>1437660.56</v>
      </c>
      <c r="T44" s="15" t="n">
        <v>5471353.82</v>
      </c>
      <c r="U44" s="15" t="n">
        <v>1235350.1</v>
      </c>
      <c r="V44" s="15" t="n">
        <v>1315224.43</v>
      </c>
      <c r="W44" s="15" t="n">
        <v>321680.98</v>
      </c>
      <c r="X44" s="15" t="n">
        <v>1451463.6</v>
      </c>
      <c r="Y44" s="15" t="n">
        <v>3033165.23</v>
      </c>
      <c r="Z44" s="15" t="n">
        <v>6776073.14</v>
      </c>
      <c r="AA44" s="15" t="n">
        <v>619126.15</v>
      </c>
      <c r="AB44" s="15" t="n">
        <v>1276122.15</v>
      </c>
      <c r="AC44" s="15" t="n">
        <v>275500.79</v>
      </c>
      <c r="AD44" s="15" t="n">
        <v>1869083.09</v>
      </c>
      <c r="AE44" s="15" t="n">
        <v>5523821.05</v>
      </c>
      <c r="AF44" s="15" t="n">
        <v>4793130.33</v>
      </c>
      <c r="AG44" s="15" t="n">
        <v>1020870.62</v>
      </c>
      <c r="AH44" s="15" t="n">
        <v>877666.33</v>
      </c>
      <c r="AI44" s="15" t="n">
        <v>437404.11</v>
      </c>
      <c r="AJ44" s="15" t="n">
        <v>580677.16</v>
      </c>
      <c r="AK44" s="15" t="n">
        <v>457161.34</v>
      </c>
      <c r="AL44" s="15" t="n">
        <v>1878138.56</v>
      </c>
      <c r="AM44" s="15" t="n">
        <v>2300774.55</v>
      </c>
      <c r="AN44" s="15" t="n">
        <v>2035974.3</v>
      </c>
      <c r="AO44" s="15" t="n">
        <v>306128.3</v>
      </c>
      <c r="AP44" s="15" t="n">
        <v>1355575.44</v>
      </c>
      <c r="AQ44" s="15" t="n">
        <v>2459861.38</v>
      </c>
      <c r="AR44" s="15" t="n">
        <v>2735065.65</v>
      </c>
      <c r="AS44" s="15" t="n">
        <v>2420081.72</v>
      </c>
      <c r="AT44" s="15" t="n">
        <v>458178.9</v>
      </c>
      <c r="AU44" s="15" t="n">
        <v>547220.85</v>
      </c>
      <c r="AV44" s="15" t="n">
        <v>2076780.95</v>
      </c>
      <c r="AW44" s="15" t="n">
        <v>5279745.69</v>
      </c>
      <c r="AX44" s="15" t="n">
        <v>1546722.41</v>
      </c>
      <c r="AY44" s="15" t="n">
        <v>4004701.9</v>
      </c>
      <c r="AZ44" s="15" t="n">
        <v>2313524.02</v>
      </c>
      <c r="BA44" s="15" t="n">
        <v>637559.61</v>
      </c>
      <c r="BB44" s="15" t="n">
        <v>-241434.32</v>
      </c>
      <c r="BC44" s="15" t="n">
        <v>5977511.67</v>
      </c>
      <c r="BD44" s="15" t="n">
        <v>7450149.23</v>
      </c>
      <c r="BE44" s="15" t="n">
        <v>4029653.93</v>
      </c>
      <c r="BF44" s="15" t="n">
        <v>2937587.87</v>
      </c>
      <c r="BG44" s="15" t="n">
        <v>421149.23</v>
      </c>
      <c r="BH44" s="15" t="n">
        <v>947453.54</v>
      </c>
      <c r="BI44" s="15" t="n">
        <v>1617478.1</v>
      </c>
      <c r="BJ44" s="15" t="n">
        <v>6888877.31</v>
      </c>
      <c r="BK44" s="15" t="n">
        <v>1912304.06</v>
      </c>
      <c r="BL44" s="15" t="n">
        <v>2681023.2</v>
      </c>
      <c r="BM44" s="15" t="n">
        <v>507083.43</v>
      </c>
      <c r="BN44" s="15" t="n">
        <v>1149701.58</v>
      </c>
      <c r="BO44" s="15" t="n">
        <v>4910690.31</v>
      </c>
      <c r="BP44" s="15" t="n">
        <v>7003409.33</v>
      </c>
      <c r="BQ44" s="15" t="n">
        <v>1691000.77</v>
      </c>
      <c r="BR44" s="15" t="n">
        <v>776347.42</v>
      </c>
      <c r="BS44" s="15" t="n">
        <v>414904.7</v>
      </c>
      <c r="BT44" s="15" t="n">
        <v>2353.57</v>
      </c>
      <c r="BU44" s="15" t="n">
        <v>4505718.11</v>
      </c>
      <c r="BV44" s="15" t="n">
        <v>5205545.27</v>
      </c>
      <c r="BW44" s="15" t="n">
        <v>3861610.73</v>
      </c>
      <c r="BX44" s="15" t="n">
        <v>624230.49</v>
      </c>
      <c r="BY44" s="15" t="n">
        <v>195369.13</v>
      </c>
      <c r="BZ44" s="15" t="n">
        <v>1955506.32</v>
      </c>
      <c r="CA44" s="15" t="n">
        <v>332484.22</v>
      </c>
      <c r="CB44" s="15" t="n">
        <v>1761471.15</v>
      </c>
      <c r="CC44" s="15" t="n">
        <v>1286412.07</v>
      </c>
      <c r="CD44" s="15" t="n">
        <v>2452269.53</v>
      </c>
      <c r="CE44" s="15" t="n">
        <v>220251.41</v>
      </c>
      <c r="CF44" s="15" t="n">
        <v>58933.29</v>
      </c>
      <c r="CG44" s="15" t="n">
        <v>3877710.88</v>
      </c>
      <c r="CH44" s="15" t="n">
        <v>3934942.6</v>
      </c>
      <c r="CI44" s="15" t="n">
        <v>1646157.88</v>
      </c>
      <c r="CJ44" s="15" t="n">
        <v>1650805.29</v>
      </c>
      <c r="CK44" s="15" t="n">
        <v>389810.42</v>
      </c>
      <c r="CL44" s="15" t="n">
        <v>1203253.51</v>
      </c>
      <c r="CM44" s="15" t="n">
        <v>209244.57</v>
      </c>
      <c r="CN44" s="15" t="n">
        <v>4647557.25</v>
      </c>
      <c r="CO44" s="15" t="n">
        <v>1734444.27</v>
      </c>
      <c r="CP44" s="15" t="n">
        <v>1851277.41</v>
      </c>
      <c r="CQ44" s="15" t="n">
        <v>145668.24</v>
      </c>
      <c r="CR44" s="15" t="n">
        <v>1393975.3</v>
      </c>
      <c r="CS44" s="15" t="n">
        <v>3635664.96</v>
      </c>
      <c r="CT44" s="15" t="n">
        <v>6105229.73</v>
      </c>
      <c r="CU44" s="15" t="n">
        <v>4287757.7</v>
      </c>
      <c r="CV44" s="15" t="n">
        <v>1323705.5</v>
      </c>
      <c r="CW44" s="15" t="n">
        <v>134975.95</v>
      </c>
      <c r="CX44" s="15" t="n">
        <v>311981.34</v>
      </c>
      <c r="CY44" s="15" t="n">
        <v>3288570.28</v>
      </c>
      <c r="CZ44" s="15" t="n">
        <v>759371.41</v>
      </c>
      <c r="DA44" s="15" t="n">
        <v>857415.86</v>
      </c>
      <c r="DB44" s="15" t="n">
        <v>1041154.9</v>
      </c>
      <c r="DC44" s="15" t="n">
        <v>680744.5699999999</v>
      </c>
      <c r="DD44" s="15" t="n">
        <v>13052.92</v>
      </c>
      <c r="DE44" s="15" t="n">
        <v>1330458.69</v>
      </c>
      <c r="DF44" s="15" t="n">
        <v>5585545.02</v>
      </c>
      <c r="DG44" s="15" t="n">
        <v>3193394.63</v>
      </c>
      <c r="DH44" s="15" t="n">
        <v>2998379.54</v>
      </c>
      <c r="DI44" s="15" t="n">
        <v>724460.1800000001</v>
      </c>
      <c r="DJ44" s="15" t="n">
        <v>1318690.85</v>
      </c>
      <c r="DK44" s="15" t="n">
        <v>2885360.99</v>
      </c>
      <c r="DL44" s="15" t="n">
        <v>4273524.11</v>
      </c>
      <c r="DM44" s="15" t="n">
        <v>3390439.47</v>
      </c>
      <c r="DN44" s="15" t="n">
        <v>2854366.3</v>
      </c>
      <c r="DO44" s="15" t="n">
        <v>133334.41</v>
      </c>
      <c r="DP44" s="15" t="n">
        <v>2152845.42</v>
      </c>
    </row>
    <row r="45">
      <c r="A45" s="4" t="inlineStr">
        <is>
          <t>酱料</t>
        </is>
      </c>
      <c r="B45" s="15" t="n">
        <v>6973097.54</v>
      </c>
      <c r="C45" s="15" t="n">
        <v>3839377.32</v>
      </c>
      <c r="D45" s="15" t="n">
        <v>428578.07</v>
      </c>
      <c r="E45" s="15" t="n">
        <v>392732.58</v>
      </c>
      <c r="F45" s="15" t="n">
        <v>-75777.21000000001</v>
      </c>
      <c r="G45" s="15" t="n">
        <v>2791579.44</v>
      </c>
      <c r="H45" s="15" t="n">
        <v>742892.99</v>
      </c>
      <c r="I45" s="15" t="n">
        <v>4381634.84</v>
      </c>
      <c r="J45" s="15" t="n">
        <v>1278869.48</v>
      </c>
      <c r="K45" s="15" t="n">
        <v>429560.87</v>
      </c>
      <c r="L45" s="15" t="n">
        <v>625279.4</v>
      </c>
      <c r="M45" s="15" t="n">
        <v>5495343.11</v>
      </c>
      <c r="N45" s="15" t="n">
        <v>1131368.7</v>
      </c>
      <c r="O45" s="15" t="n">
        <v>1794794.22</v>
      </c>
      <c r="P45" s="15" t="n">
        <v>2282449.47</v>
      </c>
      <c r="Q45" s="15" t="n">
        <v>225403.65</v>
      </c>
      <c r="R45" s="15" t="n">
        <v>859819.86</v>
      </c>
      <c r="S45" s="15" t="n">
        <v>4688436.67</v>
      </c>
      <c r="T45" s="15" t="n">
        <v>5052053.07</v>
      </c>
      <c r="U45" s="15" t="n">
        <v>1314096.72</v>
      </c>
      <c r="V45" s="15" t="n">
        <v>2982122.89</v>
      </c>
      <c r="W45" s="15" t="n">
        <v>631620.54</v>
      </c>
      <c r="X45" s="15" t="n">
        <v>418779.7</v>
      </c>
      <c r="Y45" s="15" t="n">
        <v>1570645.64</v>
      </c>
      <c r="Z45" s="15" t="n">
        <v>688192.3</v>
      </c>
      <c r="AA45" s="15" t="n">
        <v>3366560.25</v>
      </c>
      <c r="AB45" s="15" t="n">
        <v>583249.4</v>
      </c>
      <c r="AC45" s="15" t="n">
        <v>190175.03</v>
      </c>
      <c r="AD45" s="15" t="n">
        <v>1485565.15</v>
      </c>
      <c r="AE45" s="15" t="n">
        <v>4982660.27</v>
      </c>
      <c r="AF45" s="15" t="n">
        <v>3319199.83</v>
      </c>
      <c r="AG45" s="15" t="n">
        <v>3013740.66</v>
      </c>
      <c r="AH45" s="15" t="n">
        <v>1298047.98</v>
      </c>
      <c r="AI45" s="15" t="n">
        <v>359465.31</v>
      </c>
      <c r="AJ45" s="15" t="n">
        <v>1161452.34</v>
      </c>
      <c r="AK45" s="15" t="n">
        <v>413630.88</v>
      </c>
      <c r="AL45" s="15" t="n">
        <v>3270447.48</v>
      </c>
      <c r="AM45" s="15" t="n">
        <v>2911214.14</v>
      </c>
      <c r="AN45" s="15" t="n">
        <v>2880314.96</v>
      </c>
      <c r="AO45" s="15" t="n">
        <v>203900.55</v>
      </c>
      <c r="AP45" s="15" t="n">
        <v>929279.4</v>
      </c>
      <c r="AQ45" s="15" t="n">
        <v>3852328.13</v>
      </c>
      <c r="AR45" s="15" t="n">
        <v>5670995.47</v>
      </c>
      <c r="AS45" s="15" t="n">
        <v>3231818.17</v>
      </c>
      <c r="AT45" s="15" t="n">
        <v>319850.82</v>
      </c>
      <c r="AU45" s="15" t="n">
        <v>501472.61</v>
      </c>
      <c r="AV45" s="15" t="n">
        <v>-143131.81</v>
      </c>
      <c r="AW45" s="15" t="n">
        <v>129036.42</v>
      </c>
      <c r="AX45" s="15" t="n">
        <v>1843889.48</v>
      </c>
      <c r="AY45" s="15" t="n">
        <v>1193923.51</v>
      </c>
      <c r="AZ45" s="15" t="n">
        <v>2232787.41</v>
      </c>
      <c r="BA45" s="15" t="n">
        <v>636945.53</v>
      </c>
      <c r="BB45" s="15" t="n">
        <v>142213.34</v>
      </c>
      <c r="BC45" s="15" t="n">
        <v>224920.78</v>
      </c>
      <c r="BD45" s="15" t="n">
        <v>774256.25</v>
      </c>
      <c r="BE45" s="15" t="n">
        <v>2498994.19</v>
      </c>
      <c r="BF45" s="15" t="n">
        <v>1422263.28</v>
      </c>
      <c r="BG45" s="15" t="n">
        <v>364623.29</v>
      </c>
      <c r="BH45" s="15" t="n">
        <v>1283225.15</v>
      </c>
      <c r="BI45" s="15" t="n">
        <v>2153259.5</v>
      </c>
      <c r="BJ45" s="15" t="n">
        <v>1779412.3</v>
      </c>
      <c r="BK45" s="15" t="n">
        <v>3911184.72</v>
      </c>
      <c r="BL45" s="15" t="n">
        <v>2248515.87</v>
      </c>
      <c r="BM45" s="15" t="n">
        <v>222638.46</v>
      </c>
      <c r="BN45" s="15" t="n">
        <v>39788.77</v>
      </c>
      <c r="BO45" s="15" t="n">
        <v>1365050.43</v>
      </c>
      <c r="BP45" s="15" t="n">
        <v>1810929.6</v>
      </c>
      <c r="BQ45" s="15" t="n">
        <v>2806406.88</v>
      </c>
      <c r="BR45" s="15" t="n">
        <v>427779.31</v>
      </c>
      <c r="BS45" s="15" t="n">
        <v>109189.31</v>
      </c>
      <c r="BT45" s="15" t="n">
        <v>1956935.04</v>
      </c>
      <c r="BU45" s="15" t="n">
        <v>3016131.9</v>
      </c>
      <c r="BV45" s="15" t="n">
        <v>3464938.63</v>
      </c>
      <c r="BW45" s="15" t="n">
        <v>890230.11</v>
      </c>
      <c r="BX45" s="15" t="n">
        <v>1384877.66</v>
      </c>
      <c r="BY45" s="15" t="n">
        <v>281152.3</v>
      </c>
      <c r="BZ45" s="15" t="n">
        <v>1419854.64</v>
      </c>
      <c r="CA45" s="15" t="n">
        <v>401660.67</v>
      </c>
      <c r="CB45" s="15" t="n">
        <v>7464158.65</v>
      </c>
      <c r="CC45" s="15" t="n">
        <v>2993408.68</v>
      </c>
      <c r="CD45" s="15" t="n">
        <v>1577862.36</v>
      </c>
      <c r="CE45" s="15" t="n">
        <v>659789.09</v>
      </c>
      <c r="CF45" s="15" t="n">
        <v>176088.31</v>
      </c>
      <c r="CG45" s="15" t="n">
        <v>706868.1899999999</v>
      </c>
      <c r="CH45" s="15" t="n">
        <v>6952947.98</v>
      </c>
      <c r="CI45" s="15" t="n">
        <v>2411122.41</v>
      </c>
      <c r="CJ45" s="15" t="n">
        <v>1312968.6</v>
      </c>
      <c r="CK45" s="15" t="n">
        <v>40611.36</v>
      </c>
      <c r="CL45" s="15" t="n">
        <v>1512987.39</v>
      </c>
      <c r="CM45" s="15" t="n">
        <v>1234873.77</v>
      </c>
      <c r="CN45" s="15" t="n">
        <v>1842652.97</v>
      </c>
      <c r="CO45" s="15" t="n">
        <v>3737531.29</v>
      </c>
      <c r="CP45" s="15" t="n">
        <v>2143167.2</v>
      </c>
      <c r="CQ45" s="15" t="n">
        <v>407659.26</v>
      </c>
      <c r="CR45" s="15" t="n">
        <v>1082151.15</v>
      </c>
      <c r="CS45" s="15" t="n">
        <v>3092328.76</v>
      </c>
      <c r="CT45" s="15" t="n">
        <v>2338333.79</v>
      </c>
      <c r="CU45" s="15" t="n">
        <v>3667988.78</v>
      </c>
      <c r="CV45" s="15" t="n">
        <v>76969.14</v>
      </c>
      <c r="CW45" s="15" t="n">
        <v>564838.11</v>
      </c>
      <c r="CX45" s="15" t="n">
        <v>1401239.64</v>
      </c>
      <c r="CY45" s="15" t="n">
        <v>2837273.61</v>
      </c>
      <c r="CZ45" s="15" t="n">
        <v>6766584.18</v>
      </c>
      <c r="DA45" s="15" t="n">
        <v>2850017.64</v>
      </c>
      <c r="DB45" s="15" t="n">
        <v>2656712.3</v>
      </c>
      <c r="DC45" s="15" t="n">
        <v>582315.76</v>
      </c>
      <c r="DD45" s="15" t="n">
        <v>328789.47</v>
      </c>
      <c r="DE45" s="15" t="n">
        <v>4020714.93</v>
      </c>
      <c r="DF45" s="15" t="n">
        <v>5968228.24</v>
      </c>
      <c r="DG45" s="15" t="n">
        <v>1461833.71</v>
      </c>
      <c r="DH45" s="15" t="n">
        <v>2265864.77</v>
      </c>
      <c r="DI45" s="15" t="n">
        <v>56143.61</v>
      </c>
      <c r="DJ45" s="15" t="n">
        <v>677462.85</v>
      </c>
      <c r="DK45" s="15" t="n">
        <v>4245187.94</v>
      </c>
      <c r="DL45" s="15" t="n">
        <v>5458660.59</v>
      </c>
      <c r="DM45" s="15" t="n">
        <v>1167986.09</v>
      </c>
      <c r="DN45" s="15" t="n">
        <v>1781537.01</v>
      </c>
      <c r="DO45" s="15" t="n">
        <v>401775.02</v>
      </c>
      <c r="DP45" s="15" t="n">
        <v>315434.93</v>
      </c>
    </row>
    <row r="46">
      <c r="A46" s="4" t="inlineStr">
        <is>
          <t>川味底料</t>
        </is>
      </c>
      <c r="B46" s="15" t="n">
        <v>4892323.09</v>
      </c>
      <c r="C46" s="15" t="n">
        <v>330655.76</v>
      </c>
      <c r="D46" s="15" t="n">
        <v>2972617.8</v>
      </c>
      <c r="E46" s="15" t="n">
        <v>701277.11</v>
      </c>
      <c r="F46" s="15" t="n">
        <v>491740.76</v>
      </c>
      <c r="G46" s="15" t="n">
        <v>597537.1899999999</v>
      </c>
      <c r="H46" s="15" t="n">
        <v>3234695.4</v>
      </c>
      <c r="I46" s="15" t="n">
        <v>3023375.86</v>
      </c>
      <c r="J46" s="15" t="n">
        <v>1946856.41</v>
      </c>
      <c r="K46" s="15" t="n">
        <v>450158.71</v>
      </c>
      <c r="L46" s="15" t="n">
        <v>439018.4</v>
      </c>
      <c r="M46" s="15" t="n">
        <v>4507246.97</v>
      </c>
      <c r="N46" s="15" t="n">
        <v>3421525.74</v>
      </c>
      <c r="O46" s="15" t="n">
        <v>2084448.52</v>
      </c>
      <c r="P46" s="15" t="n">
        <v>2003583.49</v>
      </c>
      <c r="Q46" s="15" t="n">
        <v>65162.48</v>
      </c>
      <c r="R46" s="15" t="n">
        <v>2233843.6</v>
      </c>
      <c r="S46" s="15" t="n">
        <v>3468699.1</v>
      </c>
      <c r="T46" s="15" t="n">
        <v>5937363.46</v>
      </c>
      <c r="U46" s="15" t="n">
        <v>1039249.27</v>
      </c>
      <c r="V46" s="15" t="n">
        <v>1260366.87</v>
      </c>
      <c r="W46" s="15" t="n">
        <v>690838.42</v>
      </c>
      <c r="X46" s="15" t="n">
        <v>1926427.02</v>
      </c>
      <c r="Y46" s="15" t="n">
        <v>5234002.02</v>
      </c>
      <c r="Z46" s="15" t="n">
        <v>2542925.91</v>
      </c>
      <c r="AA46" s="15" t="n">
        <v>3259232.01</v>
      </c>
      <c r="AB46" s="15" t="n">
        <v>2347396.01</v>
      </c>
      <c r="AC46" s="15" t="n">
        <v>256101.73</v>
      </c>
      <c r="AD46" s="15" t="n">
        <v>1702219.69</v>
      </c>
      <c r="AE46" s="15" t="n">
        <v>914198.86</v>
      </c>
      <c r="AF46" s="15" t="n">
        <v>7296855.2</v>
      </c>
      <c r="AG46" s="15" t="n">
        <v>596118.22</v>
      </c>
      <c r="AH46" s="15" t="n">
        <v>1694017.23</v>
      </c>
      <c r="AI46" s="15" t="n">
        <v>565017.05</v>
      </c>
      <c r="AJ46" s="15" t="n">
        <v>140937.18</v>
      </c>
      <c r="AK46" s="15" t="n">
        <v>5722782.6</v>
      </c>
      <c r="AL46" s="15" t="n">
        <v>2591585.32</v>
      </c>
      <c r="AM46" s="15" t="n">
        <v>2869907.81</v>
      </c>
      <c r="AN46" s="15" t="n">
        <v>289532.24</v>
      </c>
      <c r="AO46" s="15" t="n">
        <v>221376.66</v>
      </c>
      <c r="AP46" s="15" t="n">
        <v>245098.66</v>
      </c>
      <c r="AQ46" s="15" t="n">
        <v>2986004.39</v>
      </c>
      <c r="AR46" s="15" t="n">
        <v>3255520.56</v>
      </c>
      <c r="AS46" s="15" t="n">
        <v>1858535.14</v>
      </c>
      <c r="AT46" s="15" t="n">
        <v>614205.14</v>
      </c>
      <c r="AU46" s="15" t="n">
        <v>687724.9300000001</v>
      </c>
      <c r="AV46" s="15" t="n">
        <v>1187703.04</v>
      </c>
      <c r="AW46" s="15" t="n">
        <v>5314045.07</v>
      </c>
      <c r="AX46" s="15" t="n">
        <v>2745132.52</v>
      </c>
      <c r="AY46" s="15" t="n">
        <v>3467134.89</v>
      </c>
      <c r="AZ46" s="15" t="n">
        <v>1701292.67</v>
      </c>
      <c r="BA46" s="15" t="n">
        <v>472377.37</v>
      </c>
      <c r="BB46" s="15" t="n">
        <v>958334.9399999999</v>
      </c>
      <c r="BC46" s="15" t="n">
        <v>2852826.58</v>
      </c>
      <c r="BD46" s="15" t="n">
        <v>781325.4</v>
      </c>
      <c r="BE46" s="15" t="n">
        <v>2201026.39</v>
      </c>
      <c r="BF46" s="15" t="n">
        <v>1892321.16</v>
      </c>
      <c r="BG46" s="15" t="n">
        <v>127970.18</v>
      </c>
      <c r="BH46" s="15" t="n">
        <v>1906094.68</v>
      </c>
      <c r="BI46" s="15" t="n">
        <v>914655.02</v>
      </c>
      <c r="BJ46" s="15" t="n">
        <v>473344.61</v>
      </c>
      <c r="BK46" s="15" t="n">
        <v>3256816.21</v>
      </c>
      <c r="BL46" s="15" t="n">
        <v>396275.6</v>
      </c>
      <c r="BM46" s="15" t="n">
        <v>594910.8</v>
      </c>
      <c r="BN46" s="15" t="n">
        <v>-51585.94</v>
      </c>
      <c r="BO46" s="15" t="n">
        <v>1622472.6</v>
      </c>
      <c r="BP46" s="15" t="n">
        <v>3858881.59</v>
      </c>
      <c r="BQ46" s="15" t="n">
        <v>1888397.78</v>
      </c>
      <c r="BR46" s="15" t="n">
        <v>1266164.21</v>
      </c>
      <c r="BS46" s="15" t="n">
        <v>57415.91</v>
      </c>
      <c r="BT46" s="15" t="n">
        <v>164622.35</v>
      </c>
      <c r="BU46" s="15" t="n">
        <v>624543</v>
      </c>
      <c r="BV46" s="15" t="n">
        <v>3740053.67</v>
      </c>
      <c r="BW46" s="15" t="n">
        <v>2675024.84</v>
      </c>
      <c r="BX46" s="15" t="n">
        <v>349809.98</v>
      </c>
      <c r="BY46" s="15" t="n">
        <v>652274.97</v>
      </c>
      <c r="BZ46" s="15" t="n">
        <v>1656408.54</v>
      </c>
      <c r="CA46" s="15" t="n">
        <v>4595581.25</v>
      </c>
      <c r="CB46" s="15" t="n">
        <v>4303208.54</v>
      </c>
      <c r="CC46" s="15" t="n">
        <v>1843144.82</v>
      </c>
      <c r="CD46" s="15" t="n">
        <v>321520.18</v>
      </c>
      <c r="CE46" s="15" t="n">
        <v>527505.3100000001</v>
      </c>
      <c r="CF46" s="15" t="n">
        <v>1410262.33</v>
      </c>
      <c r="CG46" s="15" t="n">
        <v>4850849.15</v>
      </c>
      <c r="CH46" s="15" t="n">
        <v>5028930.64</v>
      </c>
      <c r="CI46" s="15" t="n">
        <v>124938.72</v>
      </c>
      <c r="CJ46" s="15" t="n">
        <v>2148122.78</v>
      </c>
      <c r="CK46" s="15" t="n">
        <v>478904.45</v>
      </c>
      <c r="CL46" s="15" t="n">
        <v>600246.24</v>
      </c>
      <c r="CM46" s="15" t="n">
        <v>4204445.48</v>
      </c>
      <c r="CN46" s="15" t="n">
        <v>6766549.98</v>
      </c>
      <c r="CO46" s="15" t="n">
        <v>1293476.78</v>
      </c>
      <c r="CP46" s="15" t="n">
        <v>1987105.34</v>
      </c>
      <c r="CQ46" s="15" t="n">
        <v>370571.56</v>
      </c>
      <c r="CR46" s="15" t="n">
        <v>1417137.98</v>
      </c>
      <c r="CS46" s="15" t="n">
        <v>3889729.15</v>
      </c>
      <c r="CT46" s="15" t="n">
        <v>6592789.84</v>
      </c>
      <c r="CU46" s="15" t="n">
        <v>3268270.77</v>
      </c>
      <c r="CV46" s="15" t="n">
        <v>1779670.84</v>
      </c>
      <c r="CW46" s="15" t="n">
        <v>304646.93</v>
      </c>
      <c r="CX46" s="15" t="n">
        <v>591405.98</v>
      </c>
      <c r="CY46" s="15" t="n">
        <v>3996272.46</v>
      </c>
      <c r="CZ46" s="15" t="n">
        <v>4700801.79</v>
      </c>
      <c r="DA46" s="15" t="n">
        <v>3689055.14</v>
      </c>
      <c r="DB46" s="15" t="n">
        <v>619173.49</v>
      </c>
      <c r="DC46" s="15" t="n">
        <v>47982.21</v>
      </c>
      <c r="DD46" s="15" t="n">
        <v>2234975.27</v>
      </c>
      <c r="DE46" s="15" t="n">
        <v>796006.13</v>
      </c>
      <c r="DF46" s="15" t="n">
        <v>1063586.87</v>
      </c>
      <c r="DG46" s="15" t="n">
        <v>2139541.33</v>
      </c>
      <c r="DH46" s="15" t="n">
        <v>2236538.49</v>
      </c>
      <c r="DI46" s="15" t="n">
        <v>62000.26</v>
      </c>
      <c r="DJ46" s="15" t="n">
        <v>1363963.91</v>
      </c>
      <c r="DK46" s="15" t="n">
        <v>5204113.1</v>
      </c>
      <c r="DL46" s="15" t="n">
        <v>2031740.18</v>
      </c>
      <c r="DM46" s="15" t="n">
        <v>3436610.48</v>
      </c>
      <c r="DN46" s="15" t="n">
        <v>727996.08</v>
      </c>
      <c r="DO46" s="15" t="n">
        <v>185530.09</v>
      </c>
      <c r="DP46" s="15" t="n">
        <v>801649.51</v>
      </c>
    </row>
    <row r="47">
      <c r="A47" s="4" t="inlineStr">
        <is>
          <t>调味汁</t>
        </is>
      </c>
      <c r="B47" s="15" t="n">
        <v>2892568.14</v>
      </c>
      <c r="C47" s="15" t="n">
        <v>2063455.46</v>
      </c>
      <c r="D47" s="15" t="n">
        <v>1467663.07</v>
      </c>
      <c r="E47" s="15" t="n">
        <v>341543.92</v>
      </c>
      <c r="F47" s="15" t="n">
        <v>339261.49</v>
      </c>
      <c r="G47" s="15" t="n">
        <v>4366446.09</v>
      </c>
      <c r="H47" s="15" t="n">
        <v>6182738.33</v>
      </c>
      <c r="I47" s="15" t="n">
        <v>1801091.87</v>
      </c>
      <c r="J47" s="15" t="n">
        <v>2503941.1</v>
      </c>
      <c r="K47" s="15" t="n">
        <v>261082.73</v>
      </c>
      <c r="L47" s="15" t="n">
        <v>1878228.19</v>
      </c>
      <c r="M47" s="15" t="n">
        <v>2017304.63</v>
      </c>
      <c r="N47" s="15" t="n">
        <v>1670105.1</v>
      </c>
      <c r="O47" s="15" t="n">
        <v>396931.34</v>
      </c>
      <c r="P47" s="15" t="n">
        <v>919682.78</v>
      </c>
      <c r="Q47" s="15" t="n">
        <v>490586.02</v>
      </c>
      <c r="R47" s="15" t="n">
        <v>815888.51</v>
      </c>
      <c r="S47" s="15" t="n">
        <v>661843.6899999999</v>
      </c>
      <c r="T47" s="15" t="n">
        <v>157419.7</v>
      </c>
      <c r="U47" s="15" t="n">
        <v>4113955.18</v>
      </c>
      <c r="V47" s="15" t="n">
        <v>252786.29</v>
      </c>
      <c r="W47" s="15" t="n">
        <v>673147.53</v>
      </c>
      <c r="X47" s="15" t="n">
        <v>1300766.42</v>
      </c>
      <c r="Y47" s="15" t="n">
        <v>5220614.16</v>
      </c>
      <c r="Z47" s="15" t="n">
        <v>369368.79</v>
      </c>
      <c r="AA47" s="15" t="n">
        <v>3567232.06</v>
      </c>
      <c r="AB47" s="15" t="n">
        <v>283457.01</v>
      </c>
      <c r="AC47" s="15" t="n">
        <v>500366.03</v>
      </c>
      <c r="AD47" s="15" t="n">
        <v>1169874.02</v>
      </c>
      <c r="AE47" s="15" t="n">
        <v>327154.81</v>
      </c>
      <c r="AF47" s="15" t="n">
        <v>6341412.26</v>
      </c>
      <c r="AG47" s="15" t="n">
        <v>4484339.09</v>
      </c>
      <c r="AH47" s="15" t="n">
        <v>1197318.47</v>
      </c>
      <c r="AI47" s="15" t="n">
        <v>535366.8199999999</v>
      </c>
      <c r="AJ47" s="15" t="n">
        <v>751370.9300000001</v>
      </c>
      <c r="AK47" s="15" t="n">
        <v>4606119.45</v>
      </c>
      <c r="AL47" s="15" t="n">
        <v>6269058.84</v>
      </c>
      <c r="AM47" s="15" t="n">
        <v>1293706.33</v>
      </c>
      <c r="AN47" s="15" t="n">
        <v>480136.05</v>
      </c>
      <c r="AO47" s="15" t="n">
        <v>635842.5600000001</v>
      </c>
      <c r="AP47" s="15" t="n">
        <v>2037363.31</v>
      </c>
      <c r="AQ47" s="15" t="n">
        <v>649802.29</v>
      </c>
      <c r="AR47" s="15" t="n">
        <v>1029846.3</v>
      </c>
      <c r="AS47" s="15" t="n">
        <v>4216581.34</v>
      </c>
      <c r="AT47" s="15" t="n">
        <v>890797.95</v>
      </c>
      <c r="AU47" s="15" t="n">
        <v>184243.59</v>
      </c>
      <c r="AV47" s="15" t="n">
        <v>694622.91</v>
      </c>
      <c r="AW47" s="15" t="n">
        <v>3062657.73</v>
      </c>
      <c r="AX47" s="15" t="n">
        <v>6101060.01</v>
      </c>
      <c r="AY47" s="15" t="n">
        <v>3541417.64</v>
      </c>
      <c r="AZ47" s="15" t="n">
        <v>2213978.34</v>
      </c>
      <c r="BA47" s="15" t="n">
        <v>175247.52</v>
      </c>
      <c r="BB47" s="15" t="n">
        <v>588075.35</v>
      </c>
      <c r="BC47" s="15" t="n">
        <v>1279686.64</v>
      </c>
      <c r="BD47" s="15" t="n">
        <v>6987229.05</v>
      </c>
      <c r="BE47" s="15" t="n">
        <v>3827768.72</v>
      </c>
      <c r="BF47" s="15" t="n">
        <v>1731280.21</v>
      </c>
      <c r="BG47" s="15" t="n">
        <v>540619.5</v>
      </c>
      <c r="BH47" s="15" t="n">
        <v>1953121.86</v>
      </c>
      <c r="BI47" s="15" t="n">
        <v>2036437.49</v>
      </c>
      <c r="BJ47" s="15" t="n">
        <v>3424346.19</v>
      </c>
      <c r="BK47" s="15" t="n">
        <v>3335438.04</v>
      </c>
      <c r="BL47" s="15" t="n">
        <v>1157881.98</v>
      </c>
      <c r="BM47" s="15" t="n">
        <v>167057.02</v>
      </c>
      <c r="BN47" s="15" t="n">
        <v>1559702.5</v>
      </c>
      <c r="BO47" s="15" t="n">
        <v>2910346.73</v>
      </c>
      <c r="BP47" s="15" t="n">
        <v>4267734.69</v>
      </c>
      <c r="BQ47" s="15" t="n">
        <v>502849.25</v>
      </c>
      <c r="BR47" s="15" t="n">
        <v>194499.86</v>
      </c>
      <c r="BS47" s="15" t="n">
        <v>381926.06</v>
      </c>
      <c r="BT47" s="15" t="n">
        <v>1032609.37</v>
      </c>
      <c r="BU47" s="15" t="n">
        <v>1437104.52</v>
      </c>
      <c r="BV47" s="15" t="n">
        <v>4526095.32</v>
      </c>
      <c r="BW47" s="15" t="n">
        <v>3669562.82</v>
      </c>
      <c r="BX47" s="15" t="n">
        <v>2528178.11</v>
      </c>
      <c r="BY47" s="15" t="n">
        <v>212001.66</v>
      </c>
      <c r="BZ47" s="15" t="n">
        <v>1551356.71</v>
      </c>
      <c r="CA47" s="15" t="n">
        <v>4525086.54</v>
      </c>
      <c r="CB47" s="15" t="n">
        <v>7243744.11</v>
      </c>
      <c r="CC47" s="15" t="n">
        <v>407415.8</v>
      </c>
      <c r="CD47" s="15" t="n">
        <v>2049198.03</v>
      </c>
      <c r="CE47" s="15" t="n">
        <v>79803.11</v>
      </c>
      <c r="CF47" s="15" t="n">
        <v>1253952.66</v>
      </c>
      <c r="CG47" s="15" t="n">
        <v>3877384.6</v>
      </c>
      <c r="CH47" s="15" t="n">
        <v>4615081.21</v>
      </c>
      <c r="CI47" s="15" t="n">
        <v>2984110.16</v>
      </c>
      <c r="CJ47" s="15" t="n">
        <v>2020432.72</v>
      </c>
      <c r="CK47" s="15" t="n">
        <v>188853.35</v>
      </c>
      <c r="CL47" s="15" t="n">
        <v>1665885.76</v>
      </c>
      <c r="CM47" s="15" t="n">
        <v>2441778.29</v>
      </c>
      <c r="CN47" s="15" t="n">
        <v>6475654.14</v>
      </c>
      <c r="CO47" s="15" t="n">
        <v>4131890.54</v>
      </c>
      <c r="CP47" s="15" t="n">
        <v>1021225.03</v>
      </c>
      <c r="CQ47" s="15" t="n">
        <v>528056.26</v>
      </c>
      <c r="CR47" s="15" t="n">
        <v>351949.72</v>
      </c>
      <c r="CS47" s="15" t="n">
        <v>3530954.57</v>
      </c>
      <c r="CT47" s="15" t="n">
        <v>5751093.37</v>
      </c>
      <c r="CU47" s="15" t="n">
        <v>2661332.25</v>
      </c>
      <c r="CV47" s="15" t="n">
        <v>218990.14</v>
      </c>
      <c r="CW47" s="15" t="n">
        <v>459789.42</v>
      </c>
      <c r="CX47" s="15" t="n">
        <v>559081.05</v>
      </c>
      <c r="CY47" s="15" t="n">
        <v>5345403.11</v>
      </c>
      <c r="CZ47" s="15" t="n">
        <v>3096603.17</v>
      </c>
      <c r="DA47" s="15" t="n">
        <v>4494871.97</v>
      </c>
      <c r="DB47" s="15" t="n">
        <v>213142.94</v>
      </c>
      <c r="DC47" s="15" t="n">
        <v>304491.21</v>
      </c>
      <c r="DD47" s="15" t="n">
        <v>694674.34</v>
      </c>
      <c r="DE47" s="15" t="n">
        <v>4300717.87</v>
      </c>
      <c r="DF47" s="15" t="n">
        <v>1018183.68</v>
      </c>
      <c r="DG47" s="15" t="n">
        <v>4458510.67</v>
      </c>
      <c r="DH47" s="15" t="n">
        <v>1095347.91</v>
      </c>
      <c r="DI47" s="15" t="n">
        <v>71757.05</v>
      </c>
      <c r="DJ47" s="15" t="n">
        <v>360390.66</v>
      </c>
      <c r="DK47" s="15" t="n">
        <v>2738559.09</v>
      </c>
      <c r="DL47" s="15" t="n">
        <v>3548056.15</v>
      </c>
      <c r="DM47" s="15" t="n">
        <v>3357663.44</v>
      </c>
      <c r="DN47" s="15" t="n">
        <v>2881508.11</v>
      </c>
      <c r="DO47" s="15" t="n">
        <v>538542.92</v>
      </c>
      <c r="DP47" s="15" t="n">
        <v>1352334.54</v>
      </c>
    </row>
    <row r="48">
      <c r="A48" s="4" t="inlineStr">
        <is>
          <t>复合调味粉</t>
        </is>
      </c>
      <c r="B48" s="15" t="n">
        <v>6552548.5</v>
      </c>
      <c r="C48" s="15" t="n">
        <v>3791206.44</v>
      </c>
      <c r="D48" s="15" t="n">
        <v>1519245.63</v>
      </c>
      <c r="E48" s="15" t="n">
        <v>81448.36</v>
      </c>
      <c r="F48" s="15" t="n">
        <v>1589283.85</v>
      </c>
      <c r="G48" s="15" t="n">
        <v>2260000.75</v>
      </c>
      <c r="H48" s="15" t="n">
        <v>6497117.36</v>
      </c>
      <c r="I48" s="15" t="n">
        <v>3413987.94</v>
      </c>
      <c r="J48" s="15" t="n">
        <v>2624725.56</v>
      </c>
      <c r="K48" s="15" t="n">
        <v>520552.51</v>
      </c>
      <c r="L48" s="15" t="n">
        <v>914869.02</v>
      </c>
      <c r="M48" s="15" t="n">
        <v>3834937.1</v>
      </c>
      <c r="N48" s="15" t="n">
        <v>5080566.56</v>
      </c>
      <c r="O48" s="15" t="n">
        <v>1176355.41</v>
      </c>
      <c r="P48" s="15" t="n">
        <v>1264379.43</v>
      </c>
      <c r="Q48" s="15" t="n">
        <v>699292.1</v>
      </c>
      <c r="R48" s="15" t="n">
        <v>930963.23</v>
      </c>
      <c r="S48" s="15" t="n">
        <v>3816218.91</v>
      </c>
      <c r="T48" s="15" t="n">
        <v>1349434.16</v>
      </c>
      <c r="U48" s="15" t="n">
        <v>3625996.33</v>
      </c>
      <c r="V48" s="15" t="n">
        <v>971201.49</v>
      </c>
      <c r="W48" s="15" t="n">
        <v>565734.85</v>
      </c>
      <c r="X48" s="15" t="n">
        <v>701045.9</v>
      </c>
      <c r="Y48" s="15" t="n">
        <v>2829568.02</v>
      </c>
      <c r="Z48" s="15" t="n">
        <v>5272751.96</v>
      </c>
      <c r="AA48" s="15" t="n">
        <v>1565758.49</v>
      </c>
      <c r="AB48" s="15" t="n">
        <v>915651.96</v>
      </c>
      <c r="AC48" s="15" t="n">
        <v>450652.39</v>
      </c>
      <c r="AD48" s="15" t="n">
        <v>1521279.49</v>
      </c>
      <c r="AE48" s="15" t="n">
        <v>337166.57</v>
      </c>
      <c r="AF48" s="15" t="n">
        <v>805412.4300000001</v>
      </c>
      <c r="AG48" s="15" t="n">
        <v>893267.91</v>
      </c>
      <c r="AH48" s="15" t="n">
        <v>1775811.7</v>
      </c>
      <c r="AI48" s="15" t="n">
        <v>459789.35</v>
      </c>
      <c r="AJ48" s="15" t="n">
        <v>1252909.39</v>
      </c>
      <c r="AK48" s="15" t="n">
        <v>3655769.52</v>
      </c>
      <c r="AL48" s="15" t="n">
        <v>856328.3</v>
      </c>
      <c r="AM48" s="15" t="n">
        <v>1379666.42</v>
      </c>
      <c r="AN48" s="15" t="n">
        <v>1660806.13</v>
      </c>
      <c r="AO48" s="15" t="n">
        <v>730856.1</v>
      </c>
      <c r="AP48" s="15" t="n">
        <v>2098989.04</v>
      </c>
      <c r="AQ48" s="15" t="n">
        <v>175657.37</v>
      </c>
      <c r="AR48" s="15" t="n">
        <v>4977905.3</v>
      </c>
      <c r="AS48" s="15" t="n">
        <v>2620813.12</v>
      </c>
      <c r="AT48" s="15" t="n">
        <v>674166.04</v>
      </c>
      <c r="AU48" s="15" t="n">
        <v>526129.46</v>
      </c>
      <c r="AV48" s="15" t="n">
        <v>-32583.47</v>
      </c>
      <c r="AW48" s="15" t="n">
        <v>5885983.42</v>
      </c>
      <c r="AX48" s="15" t="n">
        <v>3024547.38</v>
      </c>
      <c r="AY48" s="15" t="n">
        <v>2612204.43</v>
      </c>
      <c r="AZ48" s="15" t="n">
        <v>1428766.31</v>
      </c>
      <c r="BA48" s="15" t="n">
        <v>207437.69</v>
      </c>
      <c r="BB48" s="15" t="n">
        <v>-249735.8</v>
      </c>
      <c r="BC48" s="15" t="n">
        <v>498310.73</v>
      </c>
      <c r="BD48" s="15" t="n">
        <v>3344007.45</v>
      </c>
      <c r="BE48" s="15" t="n">
        <v>2493550.81</v>
      </c>
      <c r="BF48" s="15" t="n">
        <v>1621160.63</v>
      </c>
      <c r="BG48" s="15" t="n">
        <v>70670.67999999999</v>
      </c>
      <c r="BH48" s="15" t="n">
        <v>974291.54</v>
      </c>
      <c r="BI48" s="15" t="n">
        <v>611520.84</v>
      </c>
      <c r="BJ48" s="15" t="n">
        <v>1145245.88</v>
      </c>
      <c r="BK48" s="15" t="n">
        <v>2769199.27</v>
      </c>
      <c r="BL48" s="15" t="n">
        <v>230173.32</v>
      </c>
      <c r="BM48" s="15" t="n">
        <v>210445.89</v>
      </c>
      <c r="BN48" s="15" t="n">
        <v>1485980.96</v>
      </c>
      <c r="BO48" s="15" t="n">
        <v>3919347.17</v>
      </c>
      <c r="BP48" s="15" t="n">
        <v>613963.75</v>
      </c>
      <c r="BQ48" s="15" t="n">
        <v>2693822.46</v>
      </c>
      <c r="BR48" s="15" t="n">
        <v>2395596.22</v>
      </c>
      <c r="BS48" s="15" t="n">
        <v>568372.88</v>
      </c>
      <c r="BT48" s="15" t="n">
        <v>905949.13</v>
      </c>
      <c r="BU48" s="15" t="n">
        <v>4038628.36</v>
      </c>
      <c r="BV48" s="15" t="n">
        <v>6817869.54</v>
      </c>
      <c r="BW48" s="15" t="n">
        <v>1571744.95</v>
      </c>
      <c r="BX48" s="15" t="n">
        <v>1812102</v>
      </c>
      <c r="BY48" s="15" t="n">
        <v>129026.82</v>
      </c>
      <c r="BZ48" s="15" t="n">
        <v>1466437.67</v>
      </c>
      <c r="CA48" s="15" t="n">
        <v>2245802.87</v>
      </c>
      <c r="CB48" s="15" t="n">
        <v>1102898.65</v>
      </c>
      <c r="CC48" s="15" t="n">
        <v>2501368.24</v>
      </c>
      <c r="CD48" s="15" t="n">
        <v>1682425.08</v>
      </c>
      <c r="CE48" s="15" t="n">
        <v>506112.96</v>
      </c>
      <c r="CF48" s="15" t="n">
        <v>1917547.33</v>
      </c>
      <c r="CG48" s="15" t="n">
        <v>5401706.38</v>
      </c>
      <c r="CH48" s="15" t="n">
        <v>1582951</v>
      </c>
      <c r="CI48" s="15" t="n">
        <v>3546711.79</v>
      </c>
      <c r="CJ48" s="15" t="n">
        <v>479543.28</v>
      </c>
      <c r="CK48" s="15" t="n">
        <v>123664.08</v>
      </c>
      <c r="CL48" s="15" t="n">
        <v>1684541.02</v>
      </c>
      <c r="CM48" s="15" t="n">
        <v>4315367.79</v>
      </c>
      <c r="CN48" s="15" t="n">
        <v>4621393.64</v>
      </c>
      <c r="CO48" s="15" t="n">
        <v>1072534.46</v>
      </c>
      <c r="CP48" s="15" t="n">
        <v>729546.4</v>
      </c>
      <c r="CQ48" s="15" t="n">
        <v>713635.37</v>
      </c>
      <c r="CR48" s="15" t="n">
        <v>1085078.02</v>
      </c>
      <c r="CS48" s="15" t="n">
        <v>2700307.12</v>
      </c>
      <c r="CT48" s="15" t="n">
        <v>4651627.32</v>
      </c>
      <c r="CU48" s="15" t="n">
        <v>548067.3199999999</v>
      </c>
      <c r="CV48" s="15" t="n">
        <v>2186813.02</v>
      </c>
      <c r="CW48" s="15" t="n">
        <v>157506.57</v>
      </c>
      <c r="CX48" s="15" t="n">
        <v>1747217.27</v>
      </c>
      <c r="CY48" s="15" t="n">
        <v>3639925.57</v>
      </c>
      <c r="CZ48" s="15" t="n">
        <v>3163064.36</v>
      </c>
      <c r="DA48" s="15" t="n">
        <v>2226311.2</v>
      </c>
      <c r="DB48" s="15" t="n">
        <v>495246.57</v>
      </c>
      <c r="DC48" s="15" t="n">
        <v>401792.33</v>
      </c>
      <c r="DD48" s="15" t="n">
        <v>489997.21</v>
      </c>
      <c r="DE48" s="15" t="n">
        <v>4456615.05</v>
      </c>
      <c r="DF48" s="15" t="n">
        <v>2105707.35</v>
      </c>
      <c r="DG48" s="15" t="n">
        <v>1311484.05</v>
      </c>
      <c r="DH48" s="15" t="n">
        <v>1099010.54</v>
      </c>
      <c r="DI48" s="15" t="n">
        <v>39863.94</v>
      </c>
      <c r="DJ48" s="15" t="n">
        <v>1445343.31</v>
      </c>
      <c r="DK48" s="15" t="n">
        <v>5393573.6</v>
      </c>
      <c r="DL48" s="15" t="n">
        <v>1953613.2</v>
      </c>
      <c r="DM48" s="15" t="n">
        <v>3433622.92</v>
      </c>
      <c r="DN48" s="15" t="n">
        <v>2772204.84</v>
      </c>
      <c r="DO48" s="15" t="n">
        <v>105334.28</v>
      </c>
      <c r="DP48" s="15" t="n">
        <v>1104101.47</v>
      </c>
    </row>
    <row r="49">
      <c r="A49" s="4" t="inlineStr">
        <is>
          <t>团餐</t>
        </is>
      </c>
      <c r="B49" s="15" t="n">
        <v>2747657.66</v>
      </c>
      <c r="C49" s="15" t="n">
        <v>3107737.99</v>
      </c>
      <c r="D49" s="15" t="n">
        <v>1593216.05</v>
      </c>
      <c r="E49" s="15" t="n">
        <v>51101.5</v>
      </c>
      <c r="F49" s="15" t="n">
        <v>1076596.7</v>
      </c>
      <c r="G49" s="15" t="n">
        <v>1978620.97</v>
      </c>
      <c r="H49" s="15" t="n">
        <v>5589254.07</v>
      </c>
      <c r="I49" s="15" t="n">
        <v>3701017.42</v>
      </c>
      <c r="J49" s="15" t="n">
        <v>2827631.3</v>
      </c>
      <c r="K49" s="15" t="n">
        <v>566373.29</v>
      </c>
      <c r="L49" s="15" t="n">
        <v>1605293.59</v>
      </c>
      <c r="M49" s="15" t="n">
        <v>2109900.23</v>
      </c>
      <c r="N49" s="15" t="n">
        <v>966690.97</v>
      </c>
      <c r="O49" s="15" t="n">
        <v>142821.55</v>
      </c>
      <c r="P49" s="15" t="n">
        <v>1603446.78</v>
      </c>
      <c r="Q49" s="15" t="n">
        <v>95021.14999999999</v>
      </c>
      <c r="R49" s="15" t="n">
        <v>1133130.6</v>
      </c>
      <c r="S49" s="15" t="n">
        <v>3893490.29</v>
      </c>
      <c r="T49" s="15" t="n">
        <v>6688942.06</v>
      </c>
      <c r="U49" s="15" t="n">
        <v>3722509.31</v>
      </c>
      <c r="V49" s="15" t="n">
        <v>1474851.07</v>
      </c>
      <c r="W49" s="15" t="n">
        <v>376489.51</v>
      </c>
      <c r="X49" s="15" t="n">
        <v>2163808.17</v>
      </c>
      <c r="Y49" s="15" t="n">
        <v>1611395.66</v>
      </c>
      <c r="Z49" s="15" t="n">
        <v>3349027.15</v>
      </c>
      <c r="AA49" s="15" t="n">
        <v>2684279.68</v>
      </c>
      <c r="AB49" s="15" t="n">
        <v>1356214.07</v>
      </c>
      <c r="AC49" s="15" t="n">
        <v>611319.52</v>
      </c>
      <c r="AD49" s="15" t="n">
        <v>1561176.22</v>
      </c>
      <c r="AE49" s="15" t="n">
        <v>5734106.49</v>
      </c>
      <c r="AF49" s="15" t="n">
        <v>2920419.29</v>
      </c>
      <c r="AG49" s="15" t="n">
        <v>3750635.67</v>
      </c>
      <c r="AH49" s="15" t="n">
        <v>2363843.7</v>
      </c>
      <c r="AI49" s="15" t="n">
        <v>232322.74</v>
      </c>
      <c r="AJ49" s="15" t="n">
        <v>1645124.33</v>
      </c>
      <c r="AK49" s="15" t="n">
        <v>1544352.95</v>
      </c>
      <c r="AL49" s="15" t="n">
        <v>1761546.17</v>
      </c>
      <c r="AM49" s="15" t="n">
        <v>1414537.43</v>
      </c>
      <c r="AN49" s="15" t="n">
        <v>1349315.17</v>
      </c>
      <c r="AO49" s="15" t="n">
        <v>218229.1</v>
      </c>
      <c r="AP49" s="15" t="n">
        <v>1163892.58</v>
      </c>
      <c r="AQ49" s="15" t="n">
        <v>5847513.11</v>
      </c>
      <c r="AR49" s="15" t="n">
        <v>1609950.58</v>
      </c>
      <c r="AS49" s="15" t="n">
        <v>2204646.55</v>
      </c>
      <c r="AT49" s="15" t="n">
        <v>2685669.1</v>
      </c>
      <c r="AU49" s="15" t="n">
        <v>123704.31</v>
      </c>
      <c r="AV49" s="15" t="n">
        <v>1722695.05</v>
      </c>
      <c r="AW49" s="15" t="n">
        <v>5596377.33</v>
      </c>
      <c r="AX49" s="15" t="n">
        <v>3313471.15</v>
      </c>
      <c r="AY49" s="15" t="n">
        <v>4026066.71</v>
      </c>
      <c r="AZ49" s="15" t="n">
        <v>1520935.9</v>
      </c>
      <c r="BA49" s="15" t="n">
        <v>467856.83</v>
      </c>
      <c r="BB49" s="15" t="n">
        <v>-110625.45</v>
      </c>
      <c r="BC49" s="15" t="n">
        <v>123049.01</v>
      </c>
      <c r="BD49" s="15" t="n">
        <v>1756540.74</v>
      </c>
      <c r="BE49" s="15" t="n">
        <v>1369649.37</v>
      </c>
      <c r="BF49" s="15" t="n">
        <v>1661763.08</v>
      </c>
      <c r="BG49" s="15" t="n">
        <v>484530.58</v>
      </c>
      <c r="BH49" s="15" t="n">
        <v>324428.12</v>
      </c>
      <c r="BI49" s="15" t="n">
        <v>5923225.46</v>
      </c>
      <c r="BJ49" s="15" t="n">
        <v>519548.8</v>
      </c>
      <c r="BK49" s="15" t="n">
        <v>4339609.35</v>
      </c>
      <c r="BL49" s="15" t="n">
        <v>372452.67</v>
      </c>
      <c r="BM49" s="15" t="n">
        <v>227997.42</v>
      </c>
      <c r="BN49" s="15" t="n">
        <v>514702.24</v>
      </c>
      <c r="BO49" s="15" t="n">
        <v>3844363.09</v>
      </c>
      <c r="BP49" s="15" t="n">
        <v>2005863.84</v>
      </c>
      <c r="BQ49" s="15" t="n">
        <v>665788.5</v>
      </c>
      <c r="BR49" s="15" t="n">
        <v>1267625.02</v>
      </c>
      <c r="BS49" s="15" t="n">
        <v>473870.56</v>
      </c>
      <c r="BT49" s="15" t="n">
        <v>1903959.65</v>
      </c>
      <c r="BU49" s="15" t="n">
        <v>3892582.87</v>
      </c>
      <c r="BV49" s="15" t="n">
        <v>3288945.56</v>
      </c>
      <c r="BW49" s="15" t="n">
        <v>2714710.21</v>
      </c>
      <c r="BX49" s="15" t="n">
        <v>830953.37</v>
      </c>
      <c r="BY49" s="15" t="n">
        <v>712864.36</v>
      </c>
      <c r="BZ49" s="15" t="n">
        <v>941370.6</v>
      </c>
      <c r="CA49" s="15" t="n">
        <v>1509108.02</v>
      </c>
      <c r="CB49" s="15" t="n">
        <v>7281274.84</v>
      </c>
      <c r="CC49" s="15" t="n">
        <v>1755432.89</v>
      </c>
      <c r="CD49" s="15" t="n">
        <v>1729257.01</v>
      </c>
      <c r="CE49" s="15" t="n">
        <v>567039.88</v>
      </c>
      <c r="CF49" s="15" t="n">
        <v>2086299.58</v>
      </c>
      <c r="CG49" s="15" t="n">
        <v>3533929.68</v>
      </c>
      <c r="CH49" s="15" t="n">
        <v>4607762.21</v>
      </c>
      <c r="CI49" s="15" t="n">
        <v>500720.24</v>
      </c>
      <c r="CJ49" s="15" t="n">
        <v>2261586.2</v>
      </c>
      <c r="CK49" s="15" t="n">
        <v>371246.7</v>
      </c>
      <c r="CL49" s="15" t="n">
        <v>1537775.4</v>
      </c>
      <c r="CM49" s="15" t="n">
        <v>2406537.71</v>
      </c>
      <c r="CN49" s="15" t="n">
        <v>2831564.38</v>
      </c>
      <c r="CO49" s="15" t="n">
        <v>2797729.5</v>
      </c>
      <c r="CP49" s="15" t="n">
        <v>1947266.11</v>
      </c>
      <c r="CQ49" s="15" t="n">
        <v>402457.59</v>
      </c>
      <c r="CR49" s="15" t="n">
        <v>1036130.41</v>
      </c>
      <c r="CS49" s="15" t="n">
        <v>4860684.73</v>
      </c>
      <c r="CT49" s="15" t="n">
        <v>3868843.95</v>
      </c>
      <c r="CU49" s="15" t="n">
        <v>2716581.8</v>
      </c>
      <c r="CV49" s="15" t="n">
        <v>2049513.44</v>
      </c>
      <c r="CW49" s="15" t="n">
        <v>678821.1800000001</v>
      </c>
      <c r="CX49" s="15" t="n">
        <v>1923834.19</v>
      </c>
      <c r="CY49" s="15" t="n">
        <v>2781777.85</v>
      </c>
      <c r="CZ49" s="15" t="n">
        <v>1948841.16</v>
      </c>
      <c r="DA49" s="15" t="n">
        <v>3617069.86</v>
      </c>
      <c r="DB49" s="15" t="n">
        <v>1847860.09</v>
      </c>
      <c r="DC49" s="15" t="n">
        <v>201076.5</v>
      </c>
      <c r="DD49" s="15" t="n">
        <v>369233.07</v>
      </c>
      <c r="DE49" s="15" t="n">
        <v>5753603.49</v>
      </c>
      <c r="DF49" s="15" t="n">
        <v>5462381.81</v>
      </c>
      <c r="DG49" s="15" t="n">
        <v>4203233.04</v>
      </c>
      <c r="DH49" s="15" t="n">
        <v>221624.78</v>
      </c>
      <c r="DI49" s="15" t="n">
        <v>334828.42</v>
      </c>
      <c r="DJ49" s="15" t="n">
        <v>1852850.19</v>
      </c>
      <c r="DK49" s="15" t="n">
        <v>2002381.13</v>
      </c>
      <c r="DL49" s="15" t="n">
        <v>2641263.86</v>
      </c>
      <c r="DM49" s="15" t="n">
        <v>1196796.96</v>
      </c>
      <c r="DN49" s="15" t="n">
        <v>1445890.29</v>
      </c>
      <c r="DO49" s="15" t="n">
        <v>219085.92</v>
      </c>
      <c r="DP49" s="15" t="n">
        <v>818400.02</v>
      </c>
    </row>
    <row r="50">
      <c r="A50" s="4" t="inlineStr">
        <is>
          <t>预制菜</t>
        </is>
      </c>
      <c r="B50" s="15" t="n">
        <v>1309910.37</v>
      </c>
      <c r="C50" s="15" t="n">
        <v>714470.23</v>
      </c>
      <c r="D50" s="15" t="n">
        <v>1537539.73</v>
      </c>
      <c r="E50" s="15" t="n">
        <v>393681.77</v>
      </c>
      <c r="F50" s="15" t="n">
        <v>833157.67</v>
      </c>
      <c r="G50" s="15" t="n">
        <v>2374910.26</v>
      </c>
      <c r="H50" s="15" t="n">
        <v>6138928.42</v>
      </c>
      <c r="I50" s="15" t="n">
        <v>3553833.82</v>
      </c>
      <c r="J50" s="15" t="n">
        <v>2754840.33</v>
      </c>
      <c r="K50" s="15" t="n">
        <v>74816.84</v>
      </c>
      <c r="L50" s="15" t="n">
        <v>1098125.74</v>
      </c>
      <c r="M50" s="15" t="n">
        <v>3429178.2</v>
      </c>
      <c r="N50" s="15" t="n">
        <v>3965750.97</v>
      </c>
      <c r="O50" s="15" t="n">
        <v>1554605.65</v>
      </c>
      <c r="P50" s="15" t="n">
        <v>1493545.7</v>
      </c>
      <c r="Q50" s="15" t="n">
        <v>654797.66</v>
      </c>
      <c r="R50" s="15" t="n">
        <v>1071559.58</v>
      </c>
      <c r="S50" s="15" t="n">
        <v>5843649.07</v>
      </c>
      <c r="T50" s="15" t="n">
        <v>1082221.87</v>
      </c>
      <c r="U50" s="15" t="n">
        <v>916430.04</v>
      </c>
      <c r="V50" s="15" t="n">
        <v>1796106.89</v>
      </c>
      <c r="W50" s="15" t="n">
        <v>484849.11</v>
      </c>
      <c r="X50" s="15" t="n">
        <v>-227406.66</v>
      </c>
      <c r="Y50" s="15" t="n">
        <v>471246.55</v>
      </c>
      <c r="Z50" s="15" t="n">
        <v>4480579.13</v>
      </c>
      <c r="AA50" s="15" t="n">
        <v>1499829.08</v>
      </c>
      <c r="AB50" s="15" t="n">
        <v>1071519.53</v>
      </c>
      <c r="AC50" s="15" t="n">
        <v>98282.82000000001</v>
      </c>
      <c r="AD50" s="15" t="n">
        <v>286792.56</v>
      </c>
      <c r="AE50" s="15" t="n">
        <v>2013856.67</v>
      </c>
      <c r="AF50" s="15" t="n">
        <v>2827755.43</v>
      </c>
      <c r="AG50" s="15" t="n">
        <v>232959.11</v>
      </c>
      <c r="AH50" s="15" t="n">
        <v>2196190.2</v>
      </c>
      <c r="AI50" s="15" t="n">
        <v>64360.55</v>
      </c>
      <c r="AJ50" s="15" t="n">
        <v>271498.74</v>
      </c>
      <c r="AK50" s="15" t="n">
        <v>1901150.62</v>
      </c>
      <c r="AL50" s="15" t="n">
        <v>1509047.71</v>
      </c>
      <c r="AM50" s="15" t="n">
        <v>1892586.48</v>
      </c>
      <c r="AN50" s="15" t="n">
        <v>2583394.86</v>
      </c>
      <c r="AO50" s="15" t="n">
        <v>558447.42</v>
      </c>
      <c r="AP50" s="15" t="n">
        <v>896838.1</v>
      </c>
      <c r="AQ50" s="15" t="n">
        <v>5886372.27</v>
      </c>
      <c r="AR50" s="15" t="n">
        <v>1535062.14</v>
      </c>
      <c r="AS50" s="15" t="n">
        <v>1123231.97</v>
      </c>
      <c r="AT50" s="15" t="n">
        <v>2815077.41</v>
      </c>
      <c r="AU50" s="15" t="n">
        <v>684050.84</v>
      </c>
      <c r="AV50" s="15" t="n">
        <v>1675680.24</v>
      </c>
      <c r="AW50" s="15" t="n">
        <v>4606455.11</v>
      </c>
      <c r="AX50" s="15" t="n">
        <v>2621325.25</v>
      </c>
      <c r="AY50" s="15" t="n">
        <v>981606.51</v>
      </c>
      <c r="AZ50" s="15" t="n">
        <v>2635527.27</v>
      </c>
      <c r="BA50" s="15" t="n">
        <v>158140.58</v>
      </c>
      <c r="BB50" s="15" t="n">
        <v>1519886.08</v>
      </c>
      <c r="BC50" s="15" t="n">
        <v>3721689.41</v>
      </c>
      <c r="BD50" s="15" t="n">
        <v>3621439.52</v>
      </c>
      <c r="BE50" s="15" t="n">
        <v>4203217.81</v>
      </c>
      <c r="BF50" s="15" t="n">
        <v>2468841.9</v>
      </c>
      <c r="BG50" s="15" t="n">
        <v>507851.4</v>
      </c>
      <c r="BH50" s="15" t="n">
        <v>-248652.01</v>
      </c>
      <c r="BI50" s="15" t="n">
        <v>2448194.39</v>
      </c>
      <c r="BJ50" s="15" t="n">
        <v>6107560.61</v>
      </c>
      <c r="BK50" s="15" t="n">
        <v>2311621.9</v>
      </c>
      <c r="BL50" s="15" t="n">
        <v>2198801.16</v>
      </c>
      <c r="BM50" s="15" t="n">
        <v>103228.09</v>
      </c>
      <c r="BN50" s="15" t="n">
        <v>728515.38</v>
      </c>
      <c r="BO50" s="15" t="n">
        <v>120548.12</v>
      </c>
      <c r="BP50" s="15" t="n">
        <v>3752137.64</v>
      </c>
      <c r="BQ50" s="15" t="n">
        <v>2245589.61</v>
      </c>
      <c r="BR50" s="15" t="n">
        <v>1898741.63</v>
      </c>
      <c r="BS50" s="15" t="n">
        <v>480177.03</v>
      </c>
      <c r="BT50" s="15" t="n">
        <v>985830.6899999999</v>
      </c>
      <c r="BU50" s="15" t="n">
        <v>5174236.82</v>
      </c>
      <c r="BV50" s="15" t="n">
        <v>1225306.16</v>
      </c>
      <c r="BW50" s="15" t="n">
        <v>3183879.09</v>
      </c>
      <c r="BX50" s="15" t="n">
        <v>1443995.35</v>
      </c>
      <c r="BY50" s="15" t="n">
        <v>154903.94</v>
      </c>
      <c r="BZ50" s="15" t="n">
        <v>1872445.61</v>
      </c>
      <c r="CA50" s="15" t="n">
        <v>2618549.19</v>
      </c>
      <c r="CB50" s="15" t="n">
        <v>498405.51</v>
      </c>
      <c r="CC50" s="15" t="n">
        <v>4199976.18</v>
      </c>
      <c r="CD50" s="15" t="n">
        <v>1383299.65</v>
      </c>
      <c r="CE50" s="15" t="n">
        <v>442067.6</v>
      </c>
      <c r="CF50" s="15" t="n">
        <v>1773034.46</v>
      </c>
      <c r="CG50" s="15" t="n">
        <v>4381442.11</v>
      </c>
      <c r="CH50" s="15" t="n">
        <v>6527149.34</v>
      </c>
      <c r="CI50" s="15" t="n">
        <v>3818847.52</v>
      </c>
      <c r="CJ50" s="15" t="n">
        <v>1253387.56</v>
      </c>
      <c r="CK50" s="15" t="n">
        <v>433375.95</v>
      </c>
      <c r="CL50" s="15" t="n">
        <v>1376234.01</v>
      </c>
      <c r="CM50" s="15" t="n">
        <v>5975117.72</v>
      </c>
      <c r="CN50" s="15" t="n">
        <v>3848849.34</v>
      </c>
      <c r="CO50" s="15" t="n">
        <v>1527233.21</v>
      </c>
      <c r="CP50" s="15" t="n">
        <v>1024880.76</v>
      </c>
      <c r="CQ50" s="15" t="n">
        <v>23184.35</v>
      </c>
      <c r="CR50" s="15" t="n">
        <v>1942582.83</v>
      </c>
      <c r="CS50" s="15" t="n">
        <v>444862.82</v>
      </c>
      <c r="CT50" s="15" t="n">
        <v>4873009.36</v>
      </c>
      <c r="CU50" s="15" t="n">
        <v>1313516.56</v>
      </c>
      <c r="CV50" s="15" t="n">
        <v>1110485.52</v>
      </c>
      <c r="CW50" s="15" t="n">
        <v>49081.45</v>
      </c>
      <c r="CX50" s="15" t="n">
        <v>1495853.88</v>
      </c>
      <c r="CY50" s="15" t="n">
        <v>3651536.23</v>
      </c>
      <c r="CZ50" s="15" t="n">
        <v>1304523.61</v>
      </c>
      <c r="DA50" s="15" t="n">
        <v>2779206.31</v>
      </c>
      <c r="DB50" s="15" t="n">
        <v>2919861.26</v>
      </c>
      <c r="DC50" s="15" t="n">
        <v>742347.08</v>
      </c>
      <c r="DD50" s="15" t="n">
        <v>1672148.81</v>
      </c>
      <c r="DE50" s="15" t="n">
        <v>279950.52</v>
      </c>
      <c r="DF50" s="15" t="n">
        <v>750421.11</v>
      </c>
      <c r="DG50" s="15" t="n">
        <v>4187242.4</v>
      </c>
      <c r="DH50" s="15" t="n">
        <v>1848097.14</v>
      </c>
      <c r="DI50" s="15" t="n">
        <v>537342.65</v>
      </c>
      <c r="DJ50" s="15" t="n">
        <v>1458826.97</v>
      </c>
      <c r="DK50" s="15" t="n">
        <v>987683.1800000001</v>
      </c>
      <c r="DL50" s="15" t="n">
        <v>2764339.16</v>
      </c>
      <c r="DM50" s="15" t="n">
        <v>2068498.36</v>
      </c>
      <c r="DN50" s="15" t="n">
        <v>500265.71</v>
      </c>
      <c r="DO50" s="15" t="n">
        <v>227892.1</v>
      </c>
      <c r="DP50" s="15" t="n">
        <v>305884.56</v>
      </c>
    </row>
    <row r="51">
      <c r="A51" s="4" t="inlineStr">
        <is>
          <t>其他产品A</t>
        </is>
      </c>
      <c r="B51" s="15" t="n">
        <v>2594362.6</v>
      </c>
      <c r="C51" s="15" t="n">
        <v>1431916.28</v>
      </c>
      <c r="D51" s="15" t="n">
        <v>262875.92</v>
      </c>
      <c r="E51" s="15" t="n">
        <v>273153.12</v>
      </c>
      <c r="F51" s="15" t="n">
        <v>974681.73</v>
      </c>
      <c r="G51" s="15" t="n">
        <v>518003.99</v>
      </c>
      <c r="H51" s="15" t="n">
        <v>3399263.86</v>
      </c>
      <c r="I51" s="15" t="n">
        <v>986538.66</v>
      </c>
      <c r="J51" s="15" t="n">
        <v>1666902.42</v>
      </c>
      <c r="K51" s="15" t="n">
        <v>581425.24</v>
      </c>
      <c r="L51" s="15" t="n">
        <v>1548980.12</v>
      </c>
      <c r="M51" s="15" t="n">
        <v>4756002.49</v>
      </c>
      <c r="N51" s="15" t="n">
        <v>1359739.75</v>
      </c>
      <c r="O51" s="15" t="n">
        <v>3624821.07</v>
      </c>
      <c r="P51" s="15" t="n">
        <v>967722.4399999999</v>
      </c>
      <c r="Q51" s="15" t="n">
        <v>81562.12</v>
      </c>
      <c r="R51" s="15" t="n">
        <v>1942140.11</v>
      </c>
      <c r="S51" s="15" t="n">
        <v>4744762.81</v>
      </c>
      <c r="T51" s="15" t="n">
        <v>6378713.25</v>
      </c>
      <c r="U51" s="15" t="n">
        <v>2120157.38</v>
      </c>
      <c r="V51" s="15" t="n">
        <v>131867.94</v>
      </c>
      <c r="W51" s="15" t="n">
        <v>386925.23</v>
      </c>
      <c r="X51" s="15" t="n">
        <v>977076.39</v>
      </c>
      <c r="Y51" s="15" t="n">
        <v>162018.16</v>
      </c>
      <c r="Z51" s="15" t="n">
        <v>2570581.54</v>
      </c>
      <c r="AA51" s="15" t="n">
        <v>1481017.15</v>
      </c>
      <c r="AB51" s="15" t="n">
        <v>625430.22</v>
      </c>
      <c r="AC51" s="15" t="n">
        <v>419705.94</v>
      </c>
      <c r="AD51" s="15" t="n">
        <v>-294339.38</v>
      </c>
      <c r="AE51" s="15" t="n">
        <v>1271284.09</v>
      </c>
      <c r="AF51" s="15" t="n">
        <v>3030334.49</v>
      </c>
      <c r="AG51" s="15" t="n">
        <v>2817971.56</v>
      </c>
      <c r="AH51" s="15" t="n">
        <v>1447339.81</v>
      </c>
      <c r="AI51" s="15" t="n">
        <v>336473.33</v>
      </c>
      <c r="AJ51" s="15" t="n">
        <v>253159.06</v>
      </c>
      <c r="AK51" s="15" t="n">
        <v>3760976.34</v>
      </c>
      <c r="AL51" s="15" t="n">
        <v>2876540.76</v>
      </c>
      <c r="AM51" s="15" t="n">
        <v>3483157.62</v>
      </c>
      <c r="AN51" s="15" t="n">
        <v>2230056.99</v>
      </c>
      <c r="AO51" s="15" t="n">
        <v>730702.97</v>
      </c>
      <c r="AP51" s="15" t="n">
        <v>590461.8100000001</v>
      </c>
      <c r="AQ51" s="15" t="n">
        <v>4809324.93</v>
      </c>
      <c r="AR51" s="15" t="n">
        <v>6412607.42</v>
      </c>
      <c r="AS51" s="15" t="n">
        <v>1892569.83</v>
      </c>
      <c r="AT51" s="15" t="n">
        <v>1263761.33</v>
      </c>
      <c r="AU51" s="15" t="n">
        <v>148529.39</v>
      </c>
      <c r="AV51" s="15" t="n">
        <v>1687679.23</v>
      </c>
      <c r="AW51" s="15" t="n">
        <v>3264208.3</v>
      </c>
      <c r="AX51" s="15" t="n">
        <v>2484154.7</v>
      </c>
      <c r="AY51" s="15" t="n">
        <v>2504516.54</v>
      </c>
      <c r="AZ51" s="15" t="n">
        <v>1671788.26</v>
      </c>
      <c r="BA51" s="15" t="n">
        <v>589319.8</v>
      </c>
      <c r="BB51" s="15" t="n">
        <v>1811257.13</v>
      </c>
      <c r="BC51" s="15" t="n">
        <v>1196988.22</v>
      </c>
      <c r="BD51" s="15" t="n">
        <v>6508136.47</v>
      </c>
      <c r="BE51" s="15" t="n">
        <v>2386257.99</v>
      </c>
      <c r="BF51" s="15" t="n">
        <v>1020789.33</v>
      </c>
      <c r="BG51" s="15" t="n">
        <v>345599.74</v>
      </c>
      <c r="BH51" s="15" t="n">
        <v>1937422.78</v>
      </c>
      <c r="BI51" s="15" t="n">
        <v>3393666.24</v>
      </c>
      <c r="BJ51" s="15" t="n">
        <v>1293602.48</v>
      </c>
      <c r="BK51" s="15" t="n">
        <v>1363543.74</v>
      </c>
      <c r="BL51" s="15" t="n">
        <v>2882384.43</v>
      </c>
      <c r="BM51" s="15" t="n">
        <v>436525.84</v>
      </c>
      <c r="BN51" s="15" t="n">
        <v>490958.62</v>
      </c>
      <c r="BO51" s="15" t="n">
        <v>1429445.66</v>
      </c>
      <c r="BP51" s="15" t="n">
        <v>910173.42</v>
      </c>
      <c r="BQ51" s="15" t="n">
        <v>1154282.21</v>
      </c>
      <c r="BR51" s="15" t="n">
        <v>2616264.37</v>
      </c>
      <c r="BS51" s="15" t="n">
        <v>328186.26</v>
      </c>
      <c r="BT51" s="15" t="n">
        <v>190151.14</v>
      </c>
      <c r="BU51" s="15" t="n">
        <v>327800.57</v>
      </c>
      <c r="BV51" s="15" t="n">
        <v>7186833.14</v>
      </c>
      <c r="BW51" s="15" t="n">
        <v>1730427.27</v>
      </c>
      <c r="BX51" s="15" t="n">
        <v>670779.9399999999</v>
      </c>
      <c r="BY51" s="15" t="n">
        <v>314877.85</v>
      </c>
      <c r="BZ51" s="15" t="n">
        <v>365050.78</v>
      </c>
      <c r="CA51" s="15" t="n">
        <v>5537410.64</v>
      </c>
      <c r="CB51" s="15" t="n">
        <v>1650786.32</v>
      </c>
      <c r="CC51" s="15" t="n">
        <v>3884155.96</v>
      </c>
      <c r="CD51" s="15" t="n">
        <v>2341740.29</v>
      </c>
      <c r="CE51" s="15" t="n">
        <v>575774.86</v>
      </c>
      <c r="CF51" s="15" t="n">
        <v>2068605.24</v>
      </c>
      <c r="CG51" s="15" t="n">
        <v>2609502.47</v>
      </c>
      <c r="CH51" s="15" t="n">
        <v>1339841.57</v>
      </c>
      <c r="CI51" s="15" t="n">
        <v>2452570.22</v>
      </c>
      <c r="CJ51" s="15" t="n">
        <v>1293933.4</v>
      </c>
      <c r="CK51" s="15" t="n">
        <v>505030.71</v>
      </c>
      <c r="CL51" s="15" t="n">
        <v>-182883.86</v>
      </c>
      <c r="CM51" s="15" t="n">
        <v>2466652.46</v>
      </c>
      <c r="CN51" s="15" t="n">
        <v>3683503.77</v>
      </c>
      <c r="CO51" s="15" t="n">
        <v>4480958.81</v>
      </c>
      <c r="CP51" s="15" t="n">
        <v>1069191.22</v>
      </c>
      <c r="CQ51" s="15" t="n">
        <v>276458.93</v>
      </c>
      <c r="CR51" s="15" t="n">
        <v>1700888.16</v>
      </c>
      <c r="CS51" s="15" t="n">
        <v>4441877.54</v>
      </c>
      <c r="CT51" s="15" t="n">
        <v>5687519.22</v>
      </c>
      <c r="CU51" s="15" t="n">
        <v>1532705.99</v>
      </c>
      <c r="CV51" s="15" t="n">
        <v>328435.97</v>
      </c>
      <c r="CW51" s="15" t="n">
        <v>17208.95</v>
      </c>
      <c r="CX51" s="15" t="n">
        <v>2105776.74</v>
      </c>
      <c r="CY51" s="15" t="n">
        <v>4572422.74</v>
      </c>
      <c r="CZ51" s="15" t="n">
        <v>5067803.74</v>
      </c>
      <c r="DA51" s="15" t="n">
        <v>2038860.76</v>
      </c>
      <c r="DB51" s="15" t="n">
        <v>2703603.11</v>
      </c>
      <c r="DC51" s="15" t="n">
        <v>111166.37</v>
      </c>
      <c r="DD51" s="15" t="n">
        <v>2191912.59</v>
      </c>
      <c r="DE51" s="15" t="n">
        <v>1846744.85</v>
      </c>
      <c r="DF51" s="15" t="n">
        <v>1464440.97</v>
      </c>
      <c r="DG51" s="15" t="n">
        <v>3126045.8</v>
      </c>
      <c r="DH51" s="15" t="n">
        <v>2415119.45</v>
      </c>
      <c r="DI51" s="15" t="n">
        <v>406897.15</v>
      </c>
      <c r="DJ51" s="15" t="n">
        <v>1267868.67</v>
      </c>
      <c r="DK51" s="15" t="n">
        <v>3072897.38</v>
      </c>
      <c r="DL51" s="15" t="n">
        <v>625485.2</v>
      </c>
      <c r="DM51" s="15" t="n">
        <v>2860285.5</v>
      </c>
      <c r="DN51" s="15" t="n">
        <v>2738476.92</v>
      </c>
      <c r="DO51" s="15" t="n">
        <v>607354.38</v>
      </c>
      <c r="DP51" s="15" t="n">
        <v>1047926.19</v>
      </c>
    </row>
    <row r="52">
      <c r="A52" s="4" t="inlineStr">
        <is>
          <t>其他产品B</t>
        </is>
      </c>
      <c r="B52" s="15" t="n">
        <v>1261677.58</v>
      </c>
      <c r="C52" s="15" t="n">
        <v>1600920.01</v>
      </c>
      <c r="D52" s="15" t="n">
        <v>1526436.51</v>
      </c>
      <c r="E52" s="15" t="n">
        <v>570712.8100000001</v>
      </c>
      <c r="F52" s="15" t="n">
        <v>1699676.19</v>
      </c>
      <c r="G52" s="15" t="n">
        <v>3820187.79</v>
      </c>
      <c r="H52" s="15" t="n">
        <v>491518.01</v>
      </c>
      <c r="I52" s="15" t="n">
        <v>183845.49</v>
      </c>
      <c r="J52" s="15" t="n">
        <v>885746.23</v>
      </c>
      <c r="K52" s="15" t="n">
        <v>98893.94</v>
      </c>
      <c r="L52" s="15" t="n">
        <v>1722075.87</v>
      </c>
      <c r="M52" s="15" t="n">
        <v>623605.1800000001</v>
      </c>
      <c r="N52" s="15" t="n">
        <v>585613.91</v>
      </c>
      <c r="O52" s="15" t="n">
        <v>2149095.59</v>
      </c>
      <c r="P52" s="15" t="n">
        <v>2851443.87</v>
      </c>
      <c r="Q52" s="15" t="n">
        <v>575603.21</v>
      </c>
      <c r="R52" s="15" t="n">
        <v>1178626.65</v>
      </c>
      <c r="S52" s="15" t="n">
        <v>807623.33</v>
      </c>
      <c r="T52" s="15" t="n">
        <v>2935466.99</v>
      </c>
      <c r="U52" s="15" t="n">
        <v>2396416.53</v>
      </c>
      <c r="V52" s="15" t="n">
        <v>383081.21</v>
      </c>
      <c r="W52" s="15" t="n">
        <v>578397.15</v>
      </c>
      <c r="X52" s="15" t="n">
        <v>1796451.46</v>
      </c>
      <c r="Y52" s="15" t="n">
        <v>625624.3100000001</v>
      </c>
      <c r="Z52" s="15" t="n">
        <v>4818808.2</v>
      </c>
      <c r="AA52" s="15" t="n">
        <v>2866917.07</v>
      </c>
      <c r="AB52" s="15" t="n">
        <v>2908544.37</v>
      </c>
      <c r="AC52" s="15" t="n">
        <v>80659.38</v>
      </c>
      <c r="AD52" s="15" t="n">
        <v>1352154.56</v>
      </c>
      <c r="AE52" s="15" t="n">
        <v>217877.97</v>
      </c>
      <c r="AF52" s="15" t="n">
        <v>2174870.48</v>
      </c>
      <c r="AG52" s="15" t="n">
        <v>3016321.94</v>
      </c>
      <c r="AH52" s="15" t="n">
        <v>1088192.89</v>
      </c>
      <c r="AI52" s="15" t="n">
        <v>45937.76</v>
      </c>
      <c r="AJ52" s="15" t="n">
        <v>1922787.19</v>
      </c>
      <c r="AK52" s="15" t="n">
        <v>1953909.22</v>
      </c>
      <c r="AL52" s="15" t="n">
        <v>4207169.74</v>
      </c>
      <c r="AM52" s="15" t="n">
        <v>239573.09</v>
      </c>
      <c r="AN52" s="15" t="n">
        <v>1932942.71</v>
      </c>
      <c r="AO52" s="15" t="n">
        <v>446563.33</v>
      </c>
      <c r="AP52" s="15" t="n">
        <v>31813.84</v>
      </c>
      <c r="AQ52" s="15" t="n">
        <v>2928039.21</v>
      </c>
      <c r="AR52" s="15" t="n">
        <v>3135112.18</v>
      </c>
      <c r="AS52" s="15" t="n">
        <v>4022997.15</v>
      </c>
      <c r="AT52" s="15" t="n">
        <v>1880222.53</v>
      </c>
      <c r="AU52" s="15" t="n">
        <v>42296.25</v>
      </c>
      <c r="AV52" s="15" t="n">
        <v>1359584.89</v>
      </c>
      <c r="AW52" s="15" t="n">
        <v>1943793.86</v>
      </c>
      <c r="AX52" s="15" t="n">
        <v>5953802.17</v>
      </c>
      <c r="AY52" s="15" t="n">
        <v>2841024.03</v>
      </c>
      <c r="AZ52" s="15" t="n">
        <v>1016139.66</v>
      </c>
      <c r="BA52" s="15" t="n">
        <v>492106.41</v>
      </c>
      <c r="BB52" s="15" t="n">
        <v>1584710.05</v>
      </c>
      <c r="BC52" s="15" t="n">
        <v>5131522.83</v>
      </c>
      <c r="BD52" s="15" t="n">
        <v>4923652.97</v>
      </c>
      <c r="BE52" s="15" t="n">
        <v>2322382.61</v>
      </c>
      <c r="BF52" s="15" t="n">
        <v>150938.84</v>
      </c>
      <c r="BG52" s="15" t="n">
        <v>513143.27</v>
      </c>
      <c r="BH52" s="15" t="n">
        <v>1710701.87</v>
      </c>
      <c r="BI52" s="15" t="n">
        <v>2435199.87</v>
      </c>
      <c r="BJ52" s="15" t="n">
        <v>4283805.76</v>
      </c>
      <c r="BK52" s="15" t="n">
        <v>1869214.17</v>
      </c>
      <c r="BL52" s="15" t="n">
        <v>1477098.47</v>
      </c>
      <c r="BM52" s="15" t="n">
        <v>655058.35</v>
      </c>
      <c r="BN52" s="15" t="n">
        <v>476223.48</v>
      </c>
      <c r="BO52" s="15" t="n">
        <v>2032219.79</v>
      </c>
      <c r="BP52" s="15" t="n">
        <v>3898405.57</v>
      </c>
      <c r="BQ52" s="15" t="n">
        <v>3370159.35</v>
      </c>
      <c r="BR52" s="15" t="n">
        <v>1469004.47</v>
      </c>
      <c r="BS52" s="15" t="n">
        <v>400123.55</v>
      </c>
      <c r="BT52" s="15" t="n">
        <v>263374.44</v>
      </c>
      <c r="BU52" s="15" t="n">
        <v>2174932.04</v>
      </c>
      <c r="BV52" s="15" t="n">
        <v>5900256.03</v>
      </c>
      <c r="BW52" s="15" t="n">
        <v>3498013.5</v>
      </c>
      <c r="BX52" s="15" t="n">
        <v>2617398.54</v>
      </c>
      <c r="BY52" s="15" t="n">
        <v>505893.9</v>
      </c>
      <c r="BZ52" s="15" t="n">
        <v>364618.56</v>
      </c>
      <c r="CA52" s="15" t="n">
        <v>3923794.58</v>
      </c>
      <c r="CB52" s="15" t="n">
        <v>6558962.93</v>
      </c>
      <c r="CC52" s="15" t="n">
        <v>2791453.87</v>
      </c>
      <c r="CD52" s="15" t="n">
        <v>2494511.29</v>
      </c>
      <c r="CE52" s="15" t="n">
        <v>314124.11</v>
      </c>
      <c r="CF52" s="15" t="n">
        <v>1490987.75</v>
      </c>
      <c r="CG52" s="15" t="n">
        <v>4066617.82</v>
      </c>
      <c r="CH52" s="15" t="n">
        <v>408851.96</v>
      </c>
      <c r="CI52" s="15" t="n">
        <v>269163.3</v>
      </c>
      <c r="CJ52" s="15" t="n">
        <v>133552.75</v>
      </c>
      <c r="CK52" s="15" t="n">
        <v>277369.98</v>
      </c>
      <c r="CL52" s="15" t="n">
        <v>1208829.21</v>
      </c>
      <c r="CM52" s="15" t="n">
        <v>5694927.74</v>
      </c>
      <c r="CN52" s="15" t="n">
        <v>4183481.43</v>
      </c>
      <c r="CO52" s="15" t="n">
        <v>1294923.2</v>
      </c>
      <c r="CP52" s="15" t="n">
        <v>2919497.3</v>
      </c>
      <c r="CQ52" s="15" t="n">
        <v>678116.04</v>
      </c>
      <c r="CR52" s="15" t="n">
        <v>1102849.7</v>
      </c>
      <c r="CS52" s="15" t="n">
        <v>4592353.61</v>
      </c>
      <c r="CT52" s="15" t="n">
        <v>6022888.33</v>
      </c>
      <c r="CU52" s="15" t="n">
        <v>1929494.49</v>
      </c>
      <c r="CV52" s="15" t="n">
        <v>1906940</v>
      </c>
      <c r="CW52" s="15" t="n">
        <v>633994.1</v>
      </c>
      <c r="CX52" s="15" t="n">
        <v>-33551.05</v>
      </c>
      <c r="CY52" s="15" t="n">
        <v>180244.02</v>
      </c>
      <c r="CZ52" s="15" t="n">
        <v>4378848.05</v>
      </c>
      <c r="DA52" s="15" t="n">
        <v>572848.72</v>
      </c>
      <c r="DB52" s="15" t="n">
        <v>1329464.47</v>
      </c>
      <c r="DC52" s="15" t="n">
        <v>430002.25</v>
      </c>
      <c r="DD52" s="15" t="n">
        <v>980002.53</v>
      </c>
      <c r="DE52" s="15" t="n">
        <v>2753164.57</v>
      </c>
      <c r="DF52" s="15" t="n">
        <v>690343.86</v>
      </c>
      <c r="DG52" s="15" t="n">
        <v>3726639.59</v>
      </c>
      <c r="DH52" s="15" t="n">
        <v>2858652.66</v>
      </c>
      <c r="DI52" s="15" t="n">
        <v>383297.59</v>
      </c>
      <c r="DJ52" s="15" t="n">
        <v>-4949.06</v>
      </c>
      <c r="DK52" s="15" t="n">
        <v>2460239.88</v>
      </c>
      <c r="DL52" s="15" t="n">
        <v>3136197.45</v>
      </c>
      <c r="DM52" s="15" t="n">
        <v>2441871.25</v>
      </c>
      <c r="DN52" s="15" t="n">
        <v>1696023.13</v>
      </c>
      <c r="DO52" s="15" t="n">
        <v>178815.54</v>
      </c>
      <c r="DP52" s="15" t="n">
        <v>-254563.5</v>
      </c>
    </row>
    <row r="53">
      <c r="A53" s="4" t="inlineStr">
        <is>
          <t>其他产品C</t>
        </is>
      </c>
      <c r="B53" s="15" t="n">
        <v>6455790.55</v>
      </c>
      <c r="C53" s="15" t="n">
        <v>2495979.62</v>
      </c>
      <c r="D53" s="15" t="n">
        <v>1157791.7</v>
      </c>
      <c r="E53" s="15" t="n">
        <v>94807.67</v>
      </c>
      <c r="F53" s="15" t="n">
        <v>160614.41</v>
      </c>
      <c r="G53" s="15" t="n">
        <v>684069.22</v>
      </c>
      <c r="H53" s="15" t="n">
        <v>551670.9399999999</v>
      </c>
      <c r="I53" s="15" t="n">
        <v>1770307.84</v>
      </c>
      <c r="J53" s="15" t="n">
        <v>996779.47</v>
      </c>
      <c r="K53" s="15" t="n">
        <v>696697.9399999999</v>
      </c>
      <c r="L53" s="15" t="n">
        <v>681890.97</v>
      </c>
      <c r="M53" s="15" t="n">
        <v>1022372.39</v>
      </c>
      <c r="N53" s="15" t="n">
        <v>3378064.09</v>
      </c>
      <c r="O53" s="15" t="n">
        <v>582608.86</v>
      </c>
      <c r="P53" s="15" t="n">
        <v>2602261.11</v>
      </c>
      <c r="Q53" s="15" t="n">
        <v>175991.41</v>
      </c>
      <c r="R53" s="15" t="n">
        <v>-24587.26</v>
      </c>
      <c r="S53" s="15" t="n">
        <v>2715285.78</v>
      </c>
      <c r="T53" s="15" t="n">
        <v>4512253.91</v>
      </c>
      <c r="U53" s="15" t="n">
        <v>2085208.86</v>
      </c>
      <c r="V53" s="15" t="n">
        <v>541479.52</v>
      </c>
      <c r="W53" s="15" t="n">
        <v>652194.01</v>
      </c>
      <c r="X53" s="15" t="n">
        <v>1705911.92</v>
      </c>
      <c r="Y53" s="15" t="n">
        <v>5671272.16</v>
      </c>
      <c r="Z53" s="15" t="n">
        <v>4442425.15</v>
      </c>
      <c r="AA53" s="15" t="n">
        <v>4181956.72</v>
      </c>
      <c r="AB53" s="15" t="n">
        <v>2381587.2</v>
      </c>
      <c r="AC53" s="15" t="n">
        <v>484573.58</v>
      </c>
      <c r="AD53" s="15" t="n">
        <v>2101636.28</v>
      </c>
      <c r="AE53" s="15" t="n">
        <v>2991101.17</v>
      </c>
      <c r="AF53" s="15" t="n">
        <v>2824370.7</v>
      </c>
      <c r="AG53" s="15" t="n">
        <v>2539194.86</v>
      </c>
      <c r="AH53" s="15" t="n">
        <v>1903683.98</v>
      </c>
      <c r="AI53" s="15" t="n">
        <v>490958.41</v>
      </c>
      <c r="AJ53" s="15" t="n">
        <v>1273082.94</v>
      </c>
      <c r="AK53" s="15" t="n">
        <v>2773952.61</v>
      </c>
      <c r="AL53" s="15" t="n">
        <v>3576917.69</v>
      </c>
      <c r="AM53" s="15" t="n">
        <v>1111091.99</v>
      </c>
      <c r="AN53" s="15" t="n">
        <v>684798.52</v>
      </c>
      <c r="AO53" s="15" t="n">
        <v>572456.8</v>
      </c>
      <c r="AP53" s="15" t="n">
        <v>1673716.64</v>
      </c>
      <c r="AQ53" s="15" t="n">
        <v>673000.49</v>
      </c>
      <c r="AR53" s="15" t="n">
        <v>3268618.97</v>
      </c>
      <c r="AS53" s="15" t="n">
        <v>4031685.63</v>
      </c>
      <c r="AT53" s="15" t="n">
        <v>542294.27</v>
      </c>
      <c r="AU53" s="15" t="n">
        <v>704299.74</v>
      </c>
      <c r="AV53" s="15" t="n">
        <v>1808795.63</v>
      </c>
      <c r="AW53" s="15" t="n">
        <v>1678527.69</v>
      </c>
      <c r="AX53" s="15" t="n">
        <v>6825498.37</v>
      </c>
      <c r="AY53" s="15" t="n">
        <v>1203409.74</v>
      </c>
      <c r="AZ53" s="15" t="n">
        <v>290063.53</v>
      </c>
      <c r="BA53" s="15" t="n">
        <v>321783.58</v>
      </c>
      <c r="BB53" s="15" t="n">
        <v>-205925.71</v>
      </c>
      <c r="BC53" s="15" t="n">
        <v>1677665.41</v>
      </c>
      <c r="BD53" s="15" t="n">
        <v>5780550.44</v>
      </c>
      <c r="BE53" s="15" t="n">
        <v>1721607.7</v>
      </c>
      <c r="BF53" s="15" t="n">
        <v>1307516.86</v>
      </c>
      <c r="BG53" s="15" t="n">
        <v>223687.73</v>
      </c>
      <c r="BH53" s="15" t="n">
        <v>579754.11</v>
      </c>
      <c r="BI53" s="15" t="n">
        <v>3998435.83</v>
      </c>
      <c r="BJ53" s="15" t="n">
        <v>5587944.19</v>
      </c>
      <c r="BK53" s="15" t="n">
        <v>722545.52</v>
      </c>
      <c r="BL53" s="15" t="n">
        <v>2711690.34</v>
      </c>
      <c r="BM53" s="15" t="n">
        <v>319354.26</v>
      </c>
      <c r="BN53" s="15" t="n">
        <v>1219976.58</v>
      </c>
      <c r="BO53" s="15" t="n">
        <v>4402993.97</v>
      </c>
      <c r="BP53" s="15" t="n">
        <v>2862962.37</v>
      </c>
      <c r="BQ53" s="15" t="n">
        <v>470632.05</v>
      </c>
      <c r="BR53" s="15" t="n">
        <v>2029306.53</v>
      </c>
      <c r="BS53" s="15" t="n">
        <v>436417.29</v>
      </c>
      <c r="BT53" s="15" t="n">
        <v>1952860.62</v>
      </c>
      <c r="BU53" s="15" t="n">
        <v>5031117.93</v>
      </c>
      <c r="BV53" s="15" t="n">
        <v>7000396.66</v>
      </c>
      <c r="BW53" s="15" t="n">
        <v>3696503.14</v>
      </c>
      <c r="BX53" s="15" t="n">
        <v>1686383.61</v>
      </c>
      <c r="BY53" s="15" t="n">
        <v>201903.51</v>
      </c>
      <c r="BZ53" s="15" t="n">
        <v>990252.71</v>
      </c>
      <c r="CA53" s="15" t="n">
        <v>4991528.12</v>
      </c>
      <c r="CB53" s="15" t="n">
        <v>1142521.77</v>
      </c>
      <c r="CC53" s="15" t="n">
        <v>2748967.18</v>
      </c>
      <c r="CD53" s="15" t="n">
        <v>2437436.02</v>
      </c>
      <c r="CE53" s="15" t="n">
        <v>608861.1800000001</v>
      </c>
      <c r="CF53" s="15" t="n">
        <v>832821.76</v>
      </c>
      <c r="CG53" s="15" t="n">
        <v>3614068.8</v>
      </c>
      <c r="CH53" s="15" t="n">
        <v>6992170.71</v>
      </c>
      <c r="CI53" s="15" t="n">
        <v>3335507.28</v>
      </c>
      <c r="CJ53" s="15" t="n">
        <v>958001.41</v>
      </c>
      <c r="CK53" s="15" t="n">
        <v>142610.16</v>
      </c>
      <c r="CL53" s="15" t="n">
        <v>911817.33</v>
      </c>
      <c r="CM53" s="15" t="n">
        <v>2571347.52</v>
      </c>
      <c r="CN53" s="15" t="n">
        <v>5331996.84</v>
      </c>
      <c r="CO53" s="15" t="n">
        <v>2232566.07</v>
      </c>
      <c r="CP53" s="15" t="n">
        <v>1989890.47</v>
      </c>
      <c r="CQ53" s="15" t="n">
        <v>103982.92</v>
      </c>
      <c r="CR53" s="15" t="n">
        <v>813223.51</v>
      </c>
      <c r="CS53" s="15" t="n">
        <v>5087765.06</v>
      </c>
      <c r="CT53" s="15" t="n">
        <v>6717568.26</v>
      </c>
      <c r="CU53" s="15" t="n">
        <v>105002.63</v>
      </c>
      <c r="CV53" s="15" t="n">
        <v>535960.1800000001</v>
      </c>
      <c r="CW53" s="15" t="n">
        <v>524936.46</v>
      </c>
      <c r="CX53" s="15" t="n">
        <v>185354.75</v>
      </c>
      <c r="CY53" s="15" t="n">
        <v>1244736.58</v>
      </c>
      <c r="CZ53" s="15" t="n">
        <v>1288680.18</v>
      </c>
      <c r="DA53" s="15" t="n">
        <v>1647707.9</v>
      </c>
      <c r="DB53" s="15" t="n">
        <v>1174600.51</v>
      </c>
      <c r="DC53" s="15" t="n">
        <v>424385.14</v>
      </c>
      <c r="DD53" s="15" t="n">
        <v>65614.86</v>
      </c>
      <c r="DE53" s="15" t="n">
        <v>5674585.58</v>
      </c>
      <c r="DF53" s="15" t="n">
        <v>5441062.48</v>
      </c>
      <c r="DG53" s="15" t="n">
        <v>3755247.35</v>
      </c>
      <c r="DH53" s="15" t="n">
        <v>647230.58</v>
      </c>
      <c r="DI53" s="15" t="n">
        <v>203035.91</v>
      </c>
      <c r="DJ53" s="15" t="n">
        <v>13346.59</v>
      </c>
      <c r="DK53" s="15" t="n">
        <v>4165033.43</v>
      </c>
      <c r="DL53" s="15" t="n">
        <v>2683379.69</v>
      </c>
      <c r="DM53" s="15" t="n">
        <v>3805274.39</v>
      </c>
      <c r="DN53" s="15" t="n">
        <v>1739649.31</v>
      </c>
      <c r="DO53" s="15" t="n">
        <v>273405.62</v>
      </c>
      <c r="DP53" s="15" t="n">
        <v>2070819.59</v>
      </c>
    </row>
  </sheetData>
  <mergeCells count="23">
    <mergeCell ref="B2:G2"/>
    <mergeCell ref="N2:S2"/>
    <mergeCell ref="AX2:BC2"/>
    <mergeCell ref="BD2:BI2"/>
    <mergeCell ref="BP2:BU2"/>
    <mergeCell ref="CZ2:DE2"/>
    <mergeCell ref="BJ2:BO2"/>
    <mergeCell ref="B1:Y1"/>
    <mergeCell ref="H2:M2"/>
    <mergeCell ref="Z2:AE2"/>
    <mergeCell ref="T2:Y2"/>
    <mergeCell ref="AF2:AK2"/>
    <mergeCell ref="BV2:CA2"/>
    <mergeCell ref="CH2:CM2"/>
    <mergeCell ref="AR2:AW2"/>
    <mergeCell ref="CT2:CY2"/>
    <mergeCell ref="Z1:AW1"/>
    <mergeCell ref="DF2:DK2"/>
    <mergeCell ref="AL2:AQ2"/>
    <mergeCell ref="CB2:CG2"/>
    <mergeCell ref="CN2:CS2"/>
    <mergeCell ref="AX1:BU1"/>
    <mergeCell ref="BV1:C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产品名称</t>
        </is>
      </c>
      <c r="B1" s="2" t="inlineStr">
        <is>
          <t>销售额</t>
        </is>
      </c>
      <c r="C1" s="2" t="inlineStr">
        <is>
          <t>利润率</t>
        </is>
      </c>
      <c r="D1" s="2" t="inlineStr">
        <is>
          <t>备注</t>
        </is>
      </c>
      <c r="E1" s="2" t="inlineStr">
        <is>
          <t>月份数据</t>
        </is>
      </c>
      <c r="F1" s="2" t="inlineStr">
        <is>
          <t>分类评分</t>
        </is>
      </c>
    </row>
    <row r="2">
      <c r="A2" s="4" t="inlineStr">
        <is>
          <t>中式汤底</t>
        </is>
      </c>
      <c r="B2" s="15" t="n">
        <v>2621894.11</v>
      </c>
      <c r="C2" s="25" t="n">
        <v>0.2902</v>
      </c>
      <c r="D2" s="4" t="inlineStr">
        <is>
          <t>超预期</t>
        </is>
      </c>
      <c r="E2" s="3" t="inlineStr">
        <is>
          <t>1月</t>
        </is>
      </c>
      <c r="F2" s="4" t="n">
        <v>94.7</v>
      </c>
    </row>
    <row r="3">
      <c r="A3" s="4" t="inlineStr">
        <is>
          <t>酱料</t>
        </is>
      </c>
      <c r="B3" s="15" t="n">
        <v>1067360.25</v>
      </c>
      <c r="C3" s="25" t="n">
        <v>0.1782</v>
      </c>
      <c r="D3" s="4" t="inlineStr">
        <is>
          <t>促销期</t>
        </is>
      </c>
      <c r="E3" s="3" t="inlineStr">
        <is>
          <t>2月</t>
        </is>
      </c>
      <c r="F3" s="4" t="n">
        <v>80.09999999999999</v>
      </c>
    </row>
    <row r="4">
      <c r="A4" s="4" t="inlineStr">
        <is>
          <t>川味底料</t>
        </is>
      </c>
      <c r="B4" s="15" t="n">
        <v>255644.79</v>
      </c>
      <c r="C4" s="25" t="n">
        <v>0.409</v>
      </c>
      <c r="D4" s="4" t="inlineStr">
        <is>
          <t>促销期</t>
        </is>
      </c>
      <c r="E4" s="3" t="inlineStr">
        <is>
          <t>3月</t>
        </is>
      </c>
      <c r="F4" s="4" t="n">
        <v>96.90000000000001</v>
      </c>
    </row>
    <row r="5">
      <c r="A5" s="4" t="inlineStr">
        <is>
          <t>调味汁</t>
        </is>
      </c>
      <c r="B5" s="15" t="n">
        <v>2114087.02</v>
      </c>
      <c r="C5" s="25" t="n">
        <v>0.2086</v>
      </c>
      <c r="D5" s="4" t="inlineStr">
        <is>
          <t>新产品</t>
        </is>
      </c>
      <c r="E5" s="3" t="inlineStr">
        <is>
          <t>4月</t>
        </is>
      </c>
      <c r="F5" s="4" t="n">
        <v>62.9</v>
      </c>
    </row>
    <row r="6">
      <c r="A6" s="4" t="inlineStr">
        <is>
          <t>复合调味粉</t>
        </is>
      </c>
      <c r="B6" s="15" t="n">
        <v>1219527.92</v>
      </c>
      <c r="C6" s="25" t="n">
        <v>0.1084</v>
      </c>
      <c r="D6" s="4" t="inlineStr">
        <is>
          <t>正常</t>
        </is>
      </c>
      <c r="E6" s="3" t="inlineStr">
        <is>
          <t>5月</t>
        </is>
      </c>
      <c r="F6" s="4" t="n">
        <v>87.7</v>
      </c>
    </row>
    <row r="7">
      <c r="A7" s="4" t="inlineStr">
        <is>
          <t>团餐</t>
        </is>
      </c>
      <c r="B7" s="15" t="n">
        <v>614167.62</v>
      </c>
      <c r="C7" s="4" t="inlineStr">
        <is>
          <t>N/A</t>
        </is>
      </c>
      <c r="D7" s="4" t="inlineStr">
        <is>
          <t>低于预期</t>
        </is>
      </c>
      <c r="E7" s="3" t="inlineStr">
        <is>
          <t>6月</t>
        </is>
      </c>
      <c r="F7" s="4" t="n">
        <v>79.5</v>
      </c>
    </row>
    <row r="8">
      <c r="A8" s="4" t="inlineStr">
        <is>
          <t>预制菜</t>
        </is>
      </c>
      <c r="B8" s="15" t="n">
        <v>2813671.6</v>
      </c>
      <c r="C8" s="25" t="n">
        <v>0.3353</v>
      </c>
      <c r="D8" s="4" t="inlineStr">
        <is>
          <t>低于预期</t>
        </is>
      </c>
      <c r="E8" s="3" t="inlineStr">
        <is>
          <t>7月</t>
        </is>
      </c>
      <c r="F8" s="4" t="n">
        <v>66.09999999999999</v>
      </c>
    </row>
    <row r="9">
      <c r="A9" s="4" t="inlineStr">
        <is>
          <t>中式汤底</t>
        </is>
      </c>
      <c r="B9" s="15" t="n">
        <v>1449347.09</v>
      </c>
      <c r="C9" s="25" t="n">
        <v>0.2141</v>
      </c>
      <c r="D9" s="4" t="inlineStr">
        <is>
          <t>低于预期</t>
        </is>
      </c>
      <c r="E9" s="3" t="inlineStr">
        <is>
          <t>8月</t>
        </is>
      </c>
      <c r="F9" s="4" t="n">
        <v>66.2</v>
      </c>
    </row>
    <row r="10">
      <c r="A10" s="4" t="inlineStr">
        <is>
          <t>酱料</t>
        </is>
      </c>
      <c r="B10" s="15" t="n">
        <v>1272572.02</v>
      </c>
      <c r="C10" s="25" t="n">
        <v>0.213</v>
      </c>
      <c r="D10" s="4" t="inlineStr">
        <is>
          <t>季节性波动</t>
        </is>
      </c>
      <c r="E10" s="3" t="inlineStr">
        <is>
          <t>9月</t>
        </is>
      </c>
      <c r="F10" s="4" t="n">
        <v>77.59999999999999</v>
      </c>
    </row>
    <row r="11">
      <c r="A11" s="4" t="inlineStr">
        <is>
          <t>川味底料</t>
        </is>
      </c>
      <c r="B11" s="15" t="n">
        <v>1345670.67</v>
      </c>
      <c r="C11" s="25" t="n">
        <v>0.2842</v>
      </c>
      <c r="D11" s="4" t="inlineStr">
        <is>
          <t>促销期</t>
        </is>
      </c>
      <c r="E11" s="3" t="inlineStr">
        <is>
          <t>10月</t>
        </is>
      </c>
      <c r="F11" s="4" t="n">
        <v>91.7</v>
      </c>
    </row>
    <row r="12">
      <c r="A12" s="4" t="inlineStr">
        <is>
          <t>调味汁</t>
        </is>
      </c>
      <c r="B12" s="15" t="n">
        <v>2590263.07</v>
      </c>
      <c r="C12" s="4" t="inlineStr">
        <is>
          <t>—</t>
        </is>
      </c>
      <c r="D12" s="4" t="inlineStr"/>
      <c r="E12" s="3" t="inlineStr">
        <is>
          <t>11月</t>
        </is>
      </c>
      <c r="F12" s="4" t="n">
        <v>90.5</v>
      </c>
    </row>
    <row r="13">
      <c r="A13" s="4" t="inlineStr">
        <is>
          <t>复合调味粉</t>
        </is>
      </c>
      <c r="B13" s="15" t="n">
        <v>1646977.99</v>
      </c>
      <c r="C13" s="25" t="n">
        <v>0.2119</v>
      </c>
      <c r="D13" s="4" t="inlineStr">
        <is>
          <t>新产品</t>
        </is>
      </c>
      <c r="E13" s="3" t="inlineStr">
        <is>
          <t>12月</t>
        </is>
      </c>
      <c r="F13" s="4" t="n">
        <v>90.09999999999999</v>
      </c>
    </row>
    <row r="14">
      <c r="A14" s="4" t="inlineStr">
        <is>
          <t>团餐</t>
        </is>
      </c>
      <c r="B14" s="15" t="n">
        <v>1781941.77</v>
      </c>
      <c r="C14" s="25" t="n">
        <v>0.08500000000000001</v>
      </c>
      <c r="D14" s="4" t="inlineStr"/>
      <c r="E14" s="3" t="inlineStr">
        <is>
          <t>1月</t>
        </is>
      </c>
      <c r="F14" s="4" t="n">
        <v>70.7</v>
      </c>
    </row>
    <row r="15">
      <c r="A15" s="4" t="inlineStr">
        <is>
          <t>预制菜</t>
        </is>
      </c>
      <c r="B15" s="15" t="n">
        <v>1860931.46</v>
      </c>
      <c r="C15" s="25" t="n">
        <v>0.3586</v>
      </c>
      <c r="D15" s="4" t="inlineStr">
        <is>
          <t>低于预期</t>
        </is>
      </c>
      <c r="E15" s="3" t="inlineStr">
        <is>
          <t>2月</t>
        </is>
      </c>
      <c r="F15" s="4" t="n">
        <v>76.7</v>
      </c>
    </row>
    <row r="16">
      <c r="A16" s="4" t="inlineStr">
        <is>
          <t>中式汤底</t>
        </is>
      </c>
      <c r="B16" s="4" t="inlineStr">
        <is>
          <t>实际净利</t>
        </is>
      </c>
      <c r="C16" s="25" t="n">
        <v>0.169</v>
      </c>
      <c r="D16" s="4" t="inlineStr">
        <is>
          <t>新产品</t>
        </is>
      </c>
      <c r="E16" s="3" t="inlineStr">
        <is>
          <t>3月</t>
        </is>
      </c>
      <c r="F16" s="4" t="n">
        <v>66.3</v>
      </c>
    </row>
    <row r="17">
      <c r="A17" s="4" t="inlineStr">
        <is>
          <t>酱料</t>
        </is>
      </c>
      <c r="B17" s="15" t="n">
        <v>2609023.35</v>
      </c>
      <c r="C17" s="25" t="n">
        <v>0.3329</v>
      </c>
      <c r="D17" s="4" t="inlineStr">
        <is>
          <t>季节性波动</t>
        </is>
      </c>
      <c r="E17" s="3" t="inlineStr">
        <is>
          <t>4月</t>
        </is>
      </c>
      <c r="F17" s="4" t="n">
        <v>76.40000000000001</v>
      </c>
    </row>
    <row r="18">
      <c r="A18" s="4" t="inlineStr">
        <is>
          <t>川味底料</t>
        </is>
      </c>
      <c r="B18" s="15" t="n">
        <v>837355.42</v>
      </c>
      <c r="C18" s="25" t="n">
        <v>0.3704</v>
      </c>
      <c r="D18" s="4" t="inlineStr">
        <is>
          <t>正常</t>
        </is>
      </c>
      <c r="E18" s="3" t="inlineStr">
        <is>
          <t>5月</t>
        </is>
      </c>
      <c r="F18" s="4" t="n">
        <v>96.40000000000001</v>
      </c>
    </row>
    <row r="19">
      <c r="A19" s="4" t="inlineStr">
        <is>
          <t>调味汁</t>
        </is>
      </c>
      <c r="B19" s="15" t="n">
        <v>1041227.28</v>
      </c>
      <c r="C19" s="25" t="n">
        <v>0.1939</v>
      </c>
      <c r="D19" s="4" t="inlineStr">
        <is>
          <t>季节性波动</t>
        </is>
      </c>
      <c r="E19" s="3" t="inlineStr">
        <is>
          <t>6月</t>
        </is>
      </c>
      <c r="F19" s="4" t="n">
        <v>95.90000000000001</v>
      </c>
    </row>
    <row r="20">
      <c r="A20" s="4" t="inlineStr">
        <is>
          <t>复合调味粉</t>
        </is>
      </c>
      <c r="B20" s="15" t="n">
        <v>1965038.62</v>
      </c>
      <c r="C20" s="25" t="n">
        <v>0.11</v>
      </c>
      <c r="D20" s="4" t="inlineStr">
        <is>
          <t>超预期</t>
        </is>
      </c>
      <c r="E20" s="3" t="inlineStr">
        <is>
          <t>7月</t>
        </is>
      </c>
      <c r="F20" s="4" t="n">
        <v>61.3</v>
      </c>
    </row>
    <row r="21">
      <c r="A21" s="4" t="inlineStr">
        <is>
          <t>团餐</t>
        </is>
      </c>
      <c r="B21" s="15" t="n">
        <v>296253.77</v>
      </c>
      <c r="C21" s="25" t="n">
        <v>0.0731</v>
      </c>
      <c r="D21" s="4" t="inlineStr">
        <is>
          <t>低于预期</t>
        </is>
      </c>
      <c r="E21" s="3" t="inlineStr">
        <is>
          <t>8月</t>
        </is>
      </c>
      <c r="F21" s="4" t="n">
        <v>95</v>
      </c>
    </row>
    <row r="22">
      <c r="A22" s="4" t="inlineStr">
        <is>
          <t>预制菜</t>
        </is>
      </c>
      <c r="B22" s="15" t="n">
        <v>1489715.48</v>
      </c>
      <c r="C22" s="4" t="inlineStr">
        <is>
          <t>N/A</t>
        </is>
      </c>
      <c r="D22" s="4" t="inlineStr">
        <is>
          <t>正常</t>
        </is>
      </c>
      <c r="E22" s="3" t="inlineStr">
        <is>
          <t>9月</t>
        </is>
      </c>
      <c r="F22" s="4" t="n">
        <v>73.7</v>
      </c>
    </row>
    <row r="23">
      <c r="A23" s="4" t="inlineStr">
        <is>
          <t>中式汤底</t>
        </is>
      </c>
      <c r="B23" s="15" t="n">
        <v>959540.64</v>
      </c>
      <c r="C23" s="25" t="n">
        <v>0.4135</v>
      </c>
      <c r="D23" s="4" t="inlineStr">
        <is>
          <t>促销期</t>
        </is>
      </c>
      <c r="E23" s="3" t="inlineStr">
        <is>
          <t>10月</t>
        </is>
      </c>
      <c r="F23" s="4" t="n">
        <v>87.2</v>
      </c>
    </row>
    <row r="24">
      <c r="A24" s="4" t="inlineStr">
        <is>
          <t>酱料</t>
        </is>
      </c>
      <c r="B24" s="15" t="n">
        <v>723203.9</v>
      </c>
      <c r="C24" s="25" t="n">
        <v>0.1059</v>
      </c>
      <c r="D24" s="4" t="n"/>
      <c r="E24" s="3" t="inlineStr">
        <is>
          <t>11月</t>
        </is>
      </c>
      <c r="F24" s="4" t="n">
        <v>91.8</v>
      </c>
    </row>
    <row r="25">
      <c r="A25" s="4" t="inlineStr">
        <is>
          <t>川味底料</t>
        </is>
      </c>
      <c r="B25" s="15" t="n">
        <v>2019384.6</v>
      </c>
      <c r="C25" s="25" t="n">
        <v>0.4014</v>
      </c>
      <c r="D25" s="4" t="inlineStr">
        <is>
          <t>需关注</t>
        </is>
      </c>
      <c r="E25" s="3" t="inlineStr">
        <is>
          <t>12月</t>
        </is>
      </c>
      <c r="F25" s="4" t="n">
        <v>80.5</v>
      </c>
    </row>
    <row r="26">
      <c r="A26" s="4" t="inlineStr">
        <is>
          <t>调味汁</t>
        </is>
      </c>
      <c r="B26" s="15" t="n">
        <v>383295.54</v>
      </c>
      <c r="C26" s="25" t="n">
        <v>0.1932</v>
      </c>
      <c r="D26" s="4" t="inlineStr">
        <is>
          <t>促销期</t>
        </is>
      </c>
      <c r="E26" s="3" t="inlineStr">
        <is>
          <t>1月</t>
        </is>
      </c>
      <c r="F26" s="4" t="n">
        <v>92.7</v>
      </c>
    </row>
    <row r="27">
      <c r="A27" s="4" t="inlineStr">
        <is>
          <t>复合调味粉</t>
        </is>
      </c>
      <c r="B27" s="15" t="n">
        <v>535744.38</v>
      </c>
      <c r="C27" s="25" t="n">
        <v>0.2021</v>
      </c>
      <c r="D27" s="4" t="inlineStr">
        <is>
          <t>促销期</t>
        </is>
      </c>
      <c r="E27" s="3" t="inlineStr">
        <is>
          <t>2月</t>
        </is>
      </c>
      <c r="F27" s="4" t="inlineStr">
        <is>
          <t>优秀</t>
        </is>
      </c>
    </row>
    <row r="28">
      <c r="A28" s="4" t="inlineStr">
        <is>
          <t>团餐</t>
        </is>
      </c>
      <c r="B28" s="15" t="n">
        <v>245589.25</v>
      </c>
      <c r="C28" s="25" t="n">
        <v>0.0713</v>
      </c>
      <c r="D28" s="4" t="inlineStr">
        <is>
          <t>低于预期</t>
        </is>
      </c>
      <c r="E28" s="3" t="inlineStr">
        <is>
          <t>3月</t>
        </is>
      </c>
      <c r="F28" s="4" t="n">
        <v>80</v>
      </c>
    </row>
    <row r="29">
      <c r="A29" s="4" t="inlineStr">
        <is>
          <t>预制菜</t>
        </is>
      </c>
      <c r="B29" s="4" t="inlineStr">
        <is>
          <t>实际净利</t>
        </is>
      </c>
      <c r="C29" s="25" t="n">
        <v>0.3797</v>
      </c>
      <c r="D29" s="4" t="n"/>
      <c r="E29" s="3" t="inlineStr">
        <is>
          <t>4月</t>
        </is>
      </c>
      <c r="F29" s="4" t="n">
        <v>98.2</v>
      </c>
    </row>
    <row r="30">
      <c r="A30" s="4" t="inlineStr">
        <is>
          <t>中式汤底</t>
        </is>
      </c>
      <c r="B30" s="15" t="n">
        <v>285490.92</v>
      </c>
      <c r="C30" s="25" t="n">
        <v>0.1721</v>
      </c>
      <c r="D30" s="4" t="inlineStr">
        <is>
          <t>低于预期</t>
        </is>
      </c>
      <c r="E30" s="3" t="inlineStr">
        <is>
          <t>5月</t>
        </is>
      </c>
      <c r="F30" s="4" t="n">
        <v>82.5</v>
      </c>
    </row>
    <row r="31">
      <c r="A31" s="4" t="inlineStr">
        <is>
          <t>酱料</t>
        </is>
      </c>
      <c r="B31" s="15" t="n">
        <v>1666719.11</v>
      </c>
      <c r="C31" s="25" t="n">
        <v>0.0605</v>
      </c>
      <c r="D31" s="4" t="inlineStr">
        <is>
          <t>新产品</t>
        </is>
      </c>
      <c r="E31" s="3" t="inlineStr">
        <is>
          <t>6月</t>
        </is>
      </c>
      <c r="F31" s="4" t="n">
        <v>69.8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项目</t>
        </is>
      </c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  <c r="N1" s="2" t="inlineStr">
        <is>
          <t>合计</t>
        </is>
      </c>
      <c r="O1" s="2" t="inlineStr">
        <is>
          <t>全零列</t>
        </is>
      </c>
    </row>
    <row r="2">
      <c r="A2" s="4" t="inlineStr">
        <is>
          <t>营业收入</t>
        </is>
      </c>
      <c r="B2" s="15" t="n">
        <v>3669670.22</v>
      </c>
      <c r="C2" s="15" t="n">
        <v>3892109.82</v>
      </c>
      <c r="D2" s="15" t="n">
        <v>2672138.85</v>
      </c>
      <c r="E2" s="15" t="n">
        <v>517400.02</v>
      </c>
      <c r="F2" s="15" t="n">
        <v>3080812.63</v>
      </c>
      <c r="G2" s="15" t="n">
        <v>3520815.26</v>
      </c>
      <c r="H2" s="15" t="n">
        <v>203557.75</v>
      </c>
      <c r="I2" s="15" t="n">
        <v>1978039.88</v>
      </c>
      <c r="J2" s="15" t="n">
        <v>947572.01</v>
      </c>
      <c r="K2" s="15" t="n">
        <v>3263401.29</v>
      </c>
      <c r="L2" s="15" t="n">
        <v>1686490.96</v>
      </c>
      <c r="M2" s="15" t="n">
        <v>1410211.32</v>
      </c>
      <c r="N2" s="16" t="n">
        <v>1289696.72</v>
      </c>
      <c r="O2" s="15" t="n">
        <v>0</v>
      </c>
    </row>
    <row r="3">
      <c r="A3" s="4" t="inlineStr">
        <is>
          <t>营业成本</t>
        </is>
      </c>
      <c r="B3" s="15" t="n">
        <v>-564588.87</v>
      </c>
      <c r="C3" s="15" t="n">
        <v>-1994212.7</v>
      </c>
      <c r="D3" s="15" t="n">
        <v>-1151484.41</v>
      </c>
      <c r="E3" s="15" t="n">
        <v>-1336219.41</v>
      </c>
      <c r="F3" s="15" t="n">
        <v>-581587.84</v>
      </c>
      <c r="G3" s="15" t="n">
        <v>-883389.29</v>
      </c>
      <c r="H3" s="15" t="n">
        <v>-1494179.26</v>
      </c>
      <c r="I3" s="15" t="n">
        <v>-2851282.29</v>
      </c>
      <c r="J3" s="15" t="n">
        <v>-734527.4399999999</v>
      </c>
      <c r="K3" s="15" t="n">
        <v>-975465.41</v>
      </c>
      <c r="L3" s="15" t="n">
        <v>-132000.05</v>
      </c>
      <c r="M3" s="15" t="n">
        <v>-203755.64</v>
      </c>
      <c r="N3" s="16" t="n">
        <v>1222612.84</v>
      </c>
      <c r="O3" s="15" t="n">
        <v>0</v>
      </c>
    </row>
    <row r="4">
      <c r="A4" s="6" t="inlineStr">
        <is>
          <t>毛利</t>
        </is>
      </c>
      <c r="B4" s="15" t="n">
        <v>1555390.07</v>
      </c>
      <c r="C4" s="15" t="n">
        <v>2238293.68</v>
      </c>
      <c r="D4" s="15" t="n">
        <v>2818940.78</v>
      </c>
      <c r="E4" s="15" t="n">
        <v>2681414.82</v>
      </c>
      <c r="F4" s="15" t="n">
        <v>4166047.57</v>
      </c>
      <c r="G4" s="15" t="n">
        <v>226827.62</v>
      </c>
      <c r="H4" s="15" t="n">
        <v>741374.58</v>
      </c>
      <c r="I4" s="15" t="n">
        <v>2825808.95</v>
      </c>
      <c r="J4" s="15" t="n">
        <v>2427022.19</v>
      </c>
      <c r="K4" s="15" t="n">
        <v>311690.62</v>
      </c>
      <c r="L4" s="15" t="n">
        <v>4494920.1</v>
      </c>
      <c r="M4" s="15" t="n">
        <v>2227620.27</v>
      </c>
      <c r="N4" s="16" t="n">
        <v>5791906.83</v>
      </c>
      <c r="O4" s="15" t="n">
        <v>0</v>
      </c>
    </row>
    <row r="5">
      <c r="A5" s="4" t="n"/>
    </row>
    <row r="6">
      <c r="A6" s="4" t="inlineStr">
        <is>
          <t>管理费用</t>
        </is>
      </c>
      <c r="B6" s="15" t="n">
        <v>-1552775.99</v>
      </c>
      <c r="C6" s="15" t="n">
        <v>-1408852.16</v>
      </c>
      <c r="D6" s="15" t="n">
        <v>-173179.39</v>
      </c>
      <c r="E6" s="15" t="n">
        <v>-325424.57</v>
      </c>
      <c r="F6" s="15" t="n">
        <v>-1391062.73</v>
      </c>
      <c r="G6" s="15" t="n">
        <v>-661546.12</v>
      </c>
      <c r="H6" s="15" t="n">
        <v>-580009.77</v>
      </c>
      <c r="I6" s="15" t="n">
        <v>-895210.6899999999</v>
      </c>
      <c r="J6" s="15" t="n">
        <v>-223083.26</v>
      </c>
      <c r="K6" s="15" t="n">
        <v>-1584152.52</v>
      </c>
      <c r="L6" s="15" t="n">
        <v>-1733021.63</v>
      </c>
      <c r="M6" s="15" t="n">
        <v>-106826.07</v>
      </c>
      <c r="N6" s="16" t="n">
        <v>13484660.54</v>
      </c>
      <c r="O6" s="15" t="n">
        <v>0</v>
      </c>
    </row>
    <row r="7">
      <c r="A7" s="4" t="inlineStr">
        <is>
          <t>销售费用</t>
        </is>
      </c>
      <c r="B7" s="15" t="n">
        <v>-609613.3</v>
      </c>
      <c r="C7" s="15" t="n">
        <v>-1067940.18</v>
      </c>
      <c r="D7" s="15" t="n">
        <v>-681410.37</v>
      </c>
      <c r="E7" s="15" t="n">
        <v>-1581275.63</v>
      </c>
      <c r="F7" s="15" t="n">
        <v>-2290499.62</v>
      </c>
      <c r="G7" s="15" t="n">
        <v>-1876884.22</v>
      </c>
      <c r="H7" s="15" t="n">
        <v>-783186.79</v>
      </c>
      <c r="I7" s="15" t="n">
        <v>-1605348.07</v>
      </c>
      <c r="J7" s="15" t="n">
        <v>-2253969.42</v>
      </c>
      <c r="K7" s="15" t="n">
        <v>-407993.3</v>
      </c>
      <c r="L7" s="15" t="n">
        <v>-229179.11</v>
      </c>
      <c r="M7" s="15" t="n">
        <v>-218487.13</v>
      </c>
      <c r="N7" s="16" t="n">
        <v>3231089.11</v>
      </c>
      <c r="O7" s="15" t="n">
        <v>0</v>
      </c>
    </row>
    <row r="8">
      <c r="A8" s="4" t="inlineStr">
        <is>
          <t>财务费用</t>
        </is>
      </c>
      <c r="B8" s="15" t="n">
        <v>-1860535.33</v>
      </c>
      <c r="C8" s="15" t="n">
        <v>-453292.98</v>
      </c>
      <c r="D8" s="15" t="n">
        <v>-681709.11</v>
      </c>
      <c r="E8" s="15" t="n">
        <v>-977907.6800000001</v>
      </c>
      <c r="F8" s="15" t="n">
        <v>-328368.78</v>
      </c>
      <c r="G8" s="15" t="n">
        <v>-1059052.08</v>
      </c>
      <c r="H8" s="15" t="n">
        <v>-2162675.13</v>
      </c>
      <c r="I8" s="15" t="n">
        <v>-918763.1800000001</v>
      </c>
      <c r="J8" s="15" t="n">
        <v>-462551.22</v>
      </c>
      <c r="K8" s="15" t="n">
        <v>-248008.29</v>
      </c>
      <c r="L8" s="15" t="n">
        <v>-1261006.35</v>
      </c>
      <c r="M8" s="15" t="n">
        <v>-635107.8</v>
      </c>
      <c r="N8" s="16" t="n">
        <v>1568385.08</v>
      </c>
      <c r="O8" s="15" t="n">
        <v>0</v>
      </c>
    </row>
    <row r="9">
      <c r="A9" s="4" t="n"/>
    </row>
    <row r="10">
      <c r="A10" s="6" t="inlineStr">
        <is>
          <t>营业利润</t>
        </is>
      </c>
      <c r="B10" s="15" t="n">
        <v>3690859.94</v>
      </c>
      <c r="C10" s="15" t="n">
        <v>3765526.1</v>
      </c>
      <c r="D10" s="15" t="n">
        <v>2646852.95</v>
      </c>
      <c r="E10" s="15" t="n">
        <v>3353538.35</v>
      </c>
      <c r="F10" s="15" t="n">
        <v>1322744.1</v>
      </c>
      <c r="G10" s="15" t="n">
        <v>2013989.97</v>
      </c>
      <c r="H10" s="15" t="n">
        <v>1889057.13</v>
      </c>
      <c r="I10" s="15" t="n">
        <v>4443406.44</v>
      </c>
      <c r="J10" s="15" t="n">
        <v>3785890.02</v>
      </c>
      <c r="K10" s="15" t="n">
        <v>1203491.43</v>
      </c>
      <c r="L10" s="15" t="n">
        <v>3813877.57</v>
      </c>
      <c r="M10" s="15" t="n">
        <v>1713719.79</v>
      </c>
      <c r="N10" s="16" t="n">
        <v>9848982.939999999</v>
      </c>
      <c r="O10" s="15" t="n">
        <v>0</v>
      </c>
    </row>
    <row r="11">
      <c r="A11" s="4" t="inlineStr">
        <is>
          <t>所得税</t>
        </is>
      </c>
      <c r="B11" s="15" t="n">
        <v>-194782.88</v>
      </c>
      <c r="C11" s="15" t="n">
        <v>-1263301.87</v>
      </c>
      <c r="D11" s="15" t="n">
        <v>-539073.46</v>
      </c>
      <c r="E11" s="15" t="n">
        <v>-226686.85</v>
      </c>
      <c r="F11" s="15" t="n">
        <v>-988551.97</v>
      </c>
      <c r="G11" s="15" t="n">
        <v>-145113.62</v>
      </c>
      <c r="H11" s="15" t="n">
        <v>-602952.3199999999</v>
      </c>
      <c r="I11" s="15" t="n">
        <v>-596796.46</v>
      </c>
      <c r="J11" s="15" t="n">
        <v>-2604275.63</v>
      </c>
      <c r="K11" s="15" t="n">
        <v>-2764262.27</v>
      </c>
      <c r="L11" s="15" t="n">
        <v>-327713.15</v>
      </c>
      <c r="M11" s="15" t="n">
        <v>-262696.47</v>
      </c>
      <c r="N11" s="16" t="n">
        <v>12238134.73</v>
      </c>
      <c r="O11" s="15" t="n">
        <v>0</v>
      </c>
    </row>
    <row r="12">
      <c r="A12" s="6" t="inlineStr">
        <is>
          <t>净利润</t>
        </is>
      </c>
      <c r="B12" s="15" t="n">
        <v>1780204.18</v>
      </c>
      <c r="C12" s="15" t="n">
        <v>1979678.81</v>
      </c>
      <c r="D12" s="15" t="n">
        <v>1979281.13</v>
      </c>
      <c r="E12" s="15" t="n">
        <v>229981.27</v>
      </c>
      <c r="F12" s="15" t="n">
        <v>362109.88</v>
      </c>
      <c r="G12" s="15" t="n">
        <v>1508863.36</v>
      </c>
      <c r="H12" s="15" t="n">
        <v>284825.03</v>
      </c>
      <c r="I12" s="15" t="n">
        <v>4006952.59</v>
      </c>
      <c r="J12" s="15" t="n">
        <v>3095724.84</v>
      </c>
      <c r="K12" s="15" t="n">
        <v>4452079.18</v>
      </c>
      <c r="L12" s="15" t="n">
        <v>4145901</v>
      </c>
      <c r="M12" s="15" t="n">
        <v>1571909.83</v>
      </c>
      <c r="N12" s="16" t="n">
        <v>851667.52</v>
      </c>
      <c r="O12" s="15" t="n">
        <v>0</v>
      </c>
    </row>
    <row r="13">
      <c r="A13" s="4" t="n"/>
    </row>
    <row r="14">
      <c r="A14" s="4">
        <f>SUM模拟(None)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6" t="n"/>
      <c r="O14" s="15" t="n">
        <v>0</v>
      </c>
    </row>
    <row r="15">
      <c r="A15" s="4">
        <f>VLOOKUP模拟(None)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6" t="n"/>
      <c r="O15" s="15" t="n">
        <v>0</v>
      </c>
    </row>
    <row r="16">
      <c r="A16" s="4" t="inlineStr">
        <is>
          <t>正常数据</t>
        </is>
      </c>
      <c r="B16" s="15" t="n">
        <v>4221361.04</v>
      </c>
      <c r="C16" s="15" t="n">
        <v>873757.78</v>
      </c>
      <c r="D16" s="15" t="n">
        <v>907550.12</v>
      </c>
      <c r="E16" s="15" t="n">
        <v>4377133.57</v>
      </c>
      <c r="F16" s="15" t="n">
        <v>387329.69</v>
      </c>
      <c r="G16" s="15" t="n">
        <v>2616654</v>
      </c>
      <c r="H16" s="15" t="n">
        <v>486089.15</v>
      </c>
      <c r="I16" s="15" t="n">
        <v>1836661.7</v>
      </c>
      <c r="J16" s="15" t="n">
        <v>1352024.88</v>
      </c>
      <c r="K16" s="15" t="n">
        <v>3458318.2</v>
      </c>
      <c r="L16" s="15" t="n">
        <v>1883944.08</v>
      </c>
      <c r="M16" s="15" t="n">
        <v>4225419</v>
      </c>
      <c r="N16" s="16" t="n">
        <v>4043214.62</v>
      </c>
      <c r="O16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6" t="inlineStr">
        <is>
          <t>区域/产品</t>
        </is>
      </c>
      <c r="B1" s="2" t="inlineStr">
        <is>
          <t>2024年</t>
        </is>
      </c>
      <c r="J1" s="2" t="inlineStr">
        <is>
          <t>2025年</t>
        </is>
      </c>
      <c r="R1" s="2" t="inlineStr">
        <is>
          <t>同比变化</t>
        </is>
      </c>
    </row>
    <row r="2">
      <c r="B2" s="2" t="inlineStr">
        <is>
          <t>上半年</t>
        </is>
      </c>
      <c r="F2" s="2" t="inlineStr">
        <is>
          <t>下半年</t>
        </is>
      </c>
      <c r="J2" s="2" t="inlineStr">
        <is>
          <t>上半年</t>
        </is>
      </c>
      <c r="N2" s="2" t="inlineStr">
        <is>
          <t>下半年</t>
        </is>
      </c>
    </row>
    <row r="3"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毛利率</t>
        </is>
      </c>
      <c r="F3" s="2" t="inlineStr">
        <is>
          <t>收入</t>
        </is>
      </c>
      <c r="G3" s="2" t="inlineStr">
        <is>
          <t>成本</t>
        </is>
      </c>
      <c r="H3" s="2" t="inlineStr">
        <is>
          <t>毛利</t>
        </is>
      </c>
      <c r="I3" s="2" t="inlineStr">
        <is>
          <t>毛利率</t>
        </is>
      </c>
      <c r="J3" s="2" t="inlineStr">
        <is>
          <t>收入</t>
        </is>
      </c>
      <c r="K3" s="2" t="inlineStr">
        <is>
          <t>成本</t>
        </is>
      </c>
      <c r="L3" s="2" t="inlineStr">
        <is>
          <t>毛利</t>
        </is>
      </c>
      <c r="M3" s="2" t="inlineStr">
        <is>
          <t>毛利率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毛利率</t>
        </is>
      </c>
      <c r="R3" s="2" t="inlineStr">
        <is>
          <t>收入增长率</t>
        </is>
      </c>
      <c r="S3" s="2" t="inlineStr">
        <is>
          <t>利润增长率</t>
        </is>
      </c>
    </row>
    <row r="4">
      <c r="A4" s="4" t="inlineStr">
        <is>
          <t>中式汤底</t>
        </is>
      </c>
      <c r="B4" s="15" t="n">
        <v>2812816.72</v>
      </c>
      <c r="C4" s="15" t="n">
        <v>1905311.83</v>
      </c>
      <c r="D4" s="15" t="n">
        <v>1062131.65</v>
      </c>
      <c r="E4" s="25" t="n">
        <v>0.3385</v>
      </c>
      <c r="F4" s="15" t="n">
        <v>1729354.31</v>
      </c>
      <c r="G4" s="15" t="n">
        <v>1157981.44</v>
      </c>
      <c r="H4" s="15" t="n">
        <v>532727.11</v>
      </c>
      <c r="I4" s="25" t="n">
        <v>0.2014</v>
      </c>
      <c r="J4" s="15" t="n">
        <v>2420535.56</v>
      </c>
      <c r="K4" s="15" t="n">
        <v>1733125.65</v>
      </c>
      <c r="L4" s="15" t="n">
        <v>695237.85</v>
      </c>
      <c r="M4" s="25" t="n">
        <v>0.3033</v>
      </c>
      <c r="N4" s="15" t="n">
        <v>2022022.96</v>
      </c>
      <c r="O4" s="15" t="n">
        <v>1290445.38</v>
      </c>
      <c r="P4" s="15" t="n">
        <v>582911.16</v>
      </c>
      <c r="Q4" s="25" t="n">
        <v>0.3594</v>
      </c>
      <c r="R4" s="27" t="n">
        <v>-0.0219</v>
      </c>
      <c r="S4" s="27" t="n">
        <v>-0.1742</v>
      </c>
    </row>
    <row r="5">
      <c r="A5" s="4" t="inlineStr">
        <is>
          <t>酱料</t>
        </is>
      </c>
      <c r="B5" s="15" t="n">
        <v>3031160.63</v>
      </c>
      <c r="C5" s="15" t="n">
        <v>1700070.37</v>
      </c>
      <c r="D5" s="15" t="n">
        <v>1112912.94</v>
      </c>
      <c r="E5" s="25" t="n">
        <v>0.3856</v>
      </c>
      <c r="F5" s="15" t="n">
        <v>5226207.48</v>
      </c>
      <c r="G5" s="15" t="n">
        <v>2897098.05</v>
      </c>
      <c r="H5" s="15" t="n">
        <v>2043601.01</v>
      </c>
      <c r="I5" s="25" t="n">
        <v>0.2419</v>
      </c>
      <c r="J5" s="15" t="n">
        <v>3413329.59</v>
      </c>
      <c r="K5" s="15" t="n">
        <v>2009269.81</v>
      </c>
      <c r="L5" s="15" t="n">
        <v>932780.52</v>
      </c>
      <c r="M5" s="25" t="n">
        <v>0.3101</v>
      </c>
      <c r="N5" s="15" t="n">
        <v>6722581.14</v>
      </c>
      <c r="O5" s="15" t="n">
        <v>4084033.29</v>
      </c>
      <c r="P5" s="15" t="n">
        <v>2132009.31</v>
      </c>
      <c r="Q5" s="25" t="n">
        <v>0.345</v>
      </c>
      <c r="R5" s="27" t="n">
        <v>0.2275</v>
      </c>
      <c r="S5" s="27" t="n">
        <v>-0.0062</v>
      </c>
    </row>
    <row r="6">
      <c r="A6" s="4" t="inlineStr">
        <is>
          <t>川味底料</t>
        </is>
      </c>
      <c r="B6" s="15" t="n">
        <v>1127769.92</v>
      </c>
      <c r="C6" s="15" t="n">
        <v>778869.64</v>
      </c>
      <c r="D6" s="15" t="n">
        <v>317138.4</v>
      </c>
      <c r="E6" s="25" t="n">
        <v>0.331</v>
      </c>
      <c r="F6" s="15" t="n">
        <v>5593226.56</v>
      </c>
      <c r="G6" s="15" t="n">
        <v>3979260.27</v>
      </c>
      <c r="H6" s="15" t="n">
        <v>2387920.6</v>
      </c>
      <c r="I6" s="25" t="n">
        <v>0.4039</v>
      </c>
      <c r="J6" s="15" t="n">
        <v>1293607.47</v>
      </c>
      <c r="K6" s="15" t="n">
        <v>854773.9300000001</v>
      </c>
      <c r="L6" s="15" t="n">
        <v>517630.7</v>
      </c>
      <c r="M6" s="25" t="n">
        <v>0.3193</v>
      </c>
      <c r="N6" s="15" t="n">
        <v>4815830.32</v>
      </c>
      <c r="O6" s="15" t="n">
        <v>2750696.14</v>
      </c>
      <c r="P6" s="15" t="n">
        <v>1333244.12</v>
      </c>
      <c r="Q6" s="25" t="n">
        <v>0.2283</v>
      </c>
      <c r="R6" s="27" t="n">
        <v>-0.091</v>
      </c>
      <c r="S6" s="27" t="n">
        <v>-0.2466</v>
      </c>
    </row>
    <row r="7">
      <c r="A7" s="4" t="inlineStr">
        <is>
          <t>调味汁</t>
        </is>
      </c>
      <c r="B7" s="15" t="n">
        <v>1569740.17</v>
      </c>
      <c r="C7" s="15" t="n">
        <v>946144.48</v>
      </c>
      <c r="D7" s="15" t="n">
        <v>526376.46</v>
      </c>
      <c r="E7" s="25" t="n">
        <v>0.4305</v>
      </c>
      <c r="F7" s="15" t="n">
        <v>3510559.5</v>
      </c>
      <c r="G7" s="15" t="n">
        <v>2409924.1</v>
      </c>
      <c r="H7" s="15" t="n">
        <v>1297301.09</v>
      </c>
      <c r="I7" s="25" t="n">
        <v>0.2803</v>
      </c>
      <c r="J7" s="15" t="n">
        <v>1600821.36</v>
      </c>
      <c r="K7" s="15" t="n">
        <v>1170103.2</v>
      </c>
      <c r="L7" s="15" t="n">
        <v>618724.13</v>
      </c>
      <c r="M7" s="25" t="n">
        <v>0.2134</v>
      </c>
      <c r="N7" s="15" t="n">
        <v>2938961.46</v>
      </c>
      <c r="O7" s="15" t="n">
        <v>1823263.38</v>
      </c>
      <c r="P7" s="15" t="n">
        <v>887403.6899999999</v>
      </c>
      <c r="Q7" s="25" t="n">
        <v>0.2012</v>
      </c>
      <c r="R7" s="27" t="n">
        <v>-0.1064</v>
      </c>
      <c r="S7" s="27" t="n">
        <v>-0.09669999999999999</v>
      </c>
    </row>
    <row r="8">
      <c r="A8" s="4" t="inlineStr">
        <is>
          <t>复合调味粉</t>
        </is>
      </c>
      <c r="B8" s="15" t="n">
        <v>5759830.21</v>
      </c>
      <c r="C8" s="15" t="n">
        <v>3769633.04</v>
      </c>
      <c r="D8" s="15" t="n">
        <v>1637806.57</v>
      </c>
      <c r="E8" s="25" t="n">
        <v>0.222</v>
      </c>
      <c r="F8" s="15" t="n">
        <v>2951531.18</v>
      </c>
      <c r="G8" s="15" t="n">
        <v>1719168.26</v>
      </c>
      <c r="H8" s="15" t="n">
        <v>774763.16</v>
      </c>
      <c r="I8" s="25" t="n">
        <v>0.4412</v>
      </c>
      <c r="J8" s="15" t="n">
        <v>5201980.36</v>
      </c>
      <c r="K8" s="15" t="n">
        <v>3350209.16</v>
      </c>
      <c r="L8" s="15" t="n">
        <v>1944832.51</v>
      </c>
      <c r="M8" s="25" t="n">
        <v>0.4388</v>
      </c>
      <c r="N8" s="15" t="n">
        <v>3028174.82</v>
      </c>
      <c r="O8" s="15" t="n">
        <v>1921007.77</v>
      </c>
      <c r="P8" s="15" t="n">
        <v>1355280.61</v>
      </c>
      <c r="Q8" s="25" t="n">
        <v>0.2159</v>
      </c>
      <c r="R8" s="27" t="n">
        <v>-0.0552</v>
      </c>
      <c r="S8" s="27" t="n">
        <v>-0.2489</v>
      </c>
    </row>
    <row r="9">
      <c r="A9" s="4" t="inlineStr">
        <is>
          <t>团餐</t>
        </is>
      </c>
      <c r="B9" s="15" t="n">
        <v>5081732.01</v>
      </c>
      <c r="C9" s="15" t="n">
        <v>3494707.02</v>
      </c>
      <c r="D9" s="15" t="n">
        <v>1978870.29</v>
      </c>
      <c r="E9" s="25" t="n">
        <v>0.3652</v>
      </c>
      <c r="F9" s="15" t="n">
        <v>5547582.67</v>
      </c>
      <c r="G9" s="15" t="n">
        <v>4145960.12</v>
      </c>
      <c r="H9" s="15" t="n">
        <v>2419060.13</v>
      </c>
      <c r="I9" s="25" t="n">
        <v>0.2305</v>
      </c>
      <c r="J9" s="15" t="n">
        <v>6283939.26</v>
      </c>
      <c r="K9" s="15" t="n">
        <v>4560297.93</v>
      </c>
      <c r="L9" s="15" t="n">
        <v>2233278.61</v>
      </c>
      <c r="M9" s="25" t="n">
        <v>0.4194</v>
      </c>
      <c r="N9" s="15" t="n">
        <v>4646435.23</v>
      </c>
      <c r="O9" s="15" t="n">
        <v>3167826.39</v>
      </c>
      <c r="P9" s="15" t="n">
        <v>1214923.06</v>
      </c>
      <c r="Q9" s="25" t="n">
        <v>0.2361</v>
      </c>
      <c r="R9" s="27" t="n">
        <v>0.0283</v>
      </c>
      <c r="S9" s="27" t="n">
        <v>0.4277</v>
      </c>
    </row>
    <row r="10">
      <c r="A10" s="4" t="inlineStr">
        <is>
          <t>预制菜</t>
        </is>
      </c>
      <c r="B10" s="15" t="n">
        <v>3667871.39</v>
      </c>
      <c r="C10" s="15" t="n">
        <v>2089070.2</v>
      </c>
      <c r="D10" s="15" t="n">
        <v>1135797.99</v>
      </c>
      <c r="E10" s="25" t="n">
        <v>0.3533</v>
      </c>
      <c r="F10" s="15" t="n">
        <v>3078397.74</v>
      </c>
      <c r="G10" s="15" t="n">
        <v>1839691.1</v>
      </c>
      <c r="H10" s="15" t="n">
        <v>819254.05</v>
      </c>
      <c r="I10" s="25" t="n">
        <v>0.3056</v>
      </c>
      <c r="J10" s="15" t="n">
        <v>4395200.16</v>
      </c>
      <c r="K10" s="15" t="n">
        <v>2697424.12</v>
      </c>
      <c r="L10" s="15" t="n">
        <v>1921028.05</v>
      </c>
      <c r="M10" s="25" t="n">
        <v>0.3884</v>
      </c>
      <c r="N10" s="15" t="n">
        <v>2807984.92</v>
      </c>
      <c r="O10" s="15" t="n">
        <v>1705359.05</v>
      </c>
      <c r="P10" s="15" t="n">
        <v>1119195.09</v>
      </c>
      <c r="Q10" s="25" t="n">
        <v>0.2471</v>
      </c>
      <c r="R10" s="27" t="n">
        <v>0.0677</v>
      </c>
      <c r="S10" s="27" t="n">
        <v>0.4403</v>
      </c>
    </row>
    <row r="11">
      <c r="A11" s="4" t="inlineStr">
        <is>
          <t>江苏分部</t>
        </is>
      </c>
      <c r="B11" s="15" t="n">
        <v>1202927.88</v>
      </c>
      <c r="C11" s="15" t="n">
        <v>731524.6800000001</v>
      </c>
      <c r="D11" s="15" t="n">
        <v>438998.45</v>
      </c>
      <c r="E11" s="25" t="n">
        <v>0.4212</v>
      </c>
      <c r="F11" s="15" t="n">
        <v>2441790.48</v>
      </c>
      <c r="G11" s="15" t="n">
        <v>1461216.03</v>
      </c>
      <c r="H11" s="15" t="n">
        <v>1047437.18</v>
      </c>
      <c r="I11" s="25" t="n">
        <v>0.3709</v>
      </c>
      <c r="J11" s="15" t="n">
        <v>1135559.49</v>
      </c>
      <c r="K11" s="15" t="n">
        <v>839514.39</v>
      </c>
      <c r="L11" s="15" t="n">
        <v>387606.9</v>
      </c>
      <c r="M11" s="25" t="n">
        <v>0.412</v>
      </c>
      <c r="N11" s="15" t="n">
        <v>3173607.91</v>
      </c>
      <c r="O11" s="15" t="n">
        <v>1774372.43</v>
      </c>
      <c r="P11" s="15" t="n">
        <v>1121216.26</v>
      </c>
      <c r="Q11" s="25" t="n">
        <v>0.3071</v>
      </c>
      <c r="R11" s="27" t="n">
        <v>0.1823</v>
      </c>
      <c r="S11" s="27" t="n">
        <v>0.3685</v>
      </c>
    </row>
    <row r="12">
      <c r="A12" s="4" t="inlineStr">
        <is>
          <t>浙江分部</t>
        </is>
      </c>
      <c r="B12" s="15" t="n">
        <v>4937239.05</v>
      </c>
      <c r="C12" s="15" t="n">
        <v>3408802.54</v>
      </c>
      <c r="D12" s="15" t="n">
        <v>1855296.52</v>
      </c>
      <c r="E12" s="25" t="n">
        <v>0.3636</v>
      </c>
      <c r="F12" s="15" t="n">
        <v>5231678.18</v>
      </c>
      <c r="G12" s="15" t="n">
        <v>3560711.61</v>
      </c>
      <c r="H12" s="15" t="n">
        <v>1717343.92</v>
      </c>
      <c r="I12" s="25" t="n">
        <v>0.2622</v>
      </c>
      <c r="J12" s="15" t="n">
        <v>5666715.09</v>
      </c>
      <c r="K12" s="15" t="n">
        <v>3976964.63</v>
      </c>
      <c r="L12" s="15" t="n">
        <v>2008492.9</v>
      </c>
      <c r="M12" s="25" t="n">
        <v>0.2234</v>
      </c>
      <c r="N12" s="15" t="n">
        <v>4926882.09</v>
      </c>
      <c r="O12" s="15" t="n">
        <v>3130118.42</v>
      </c>
      <c r="P12" s="15" t="n">
        <v>1456617.81</v>
      </c>
      <c r="Q12" s="25" t="n">
        <v>0.2391</v>
      </c>
      <c r="R12" s="27" t="n">
        <v>0.0418</v>
      </c>
      <c r="S12" s="27" t="n">
        <v>0.4609</v>
      </c>
    </row>
    <row r="13">
      <c r="A13" s="4" t="inlineStr">
        <is>
          <t>上海分部</t>
        </is>
      </c>
      <c r="B13" s="15" t="n">
        <v>5437969.09</v>
      </c>
      <c r="C13" s="15" t="n">
        <v>3283082.08</v>
      </c>
      <c r="D13" s="15" t="n">
        <v>2427673.06</v>
      </c>
      <c r="E13" s="25" t="n">
        <v>0.355</v>
      </c>
      <c r="F13" s="15" t="n">
        <v>5210394.4</v>
      </c>
      <c r="G13" s="15" t="n">
        <v>3041986.63</v>
      </c>
      <c r="H13" s="15" t="n">
        <v>2322537.34</v>
      </c>
      <c r="I13" s="25" t="n">
        <v>0.3811</v>
      </c>
      <c r="J13" s="15" t="n">
        <v>5882547.44</v>
      </c>
      <c r="K13" s="15" t="n">
        <v>4008605.55</v>
      </c>
      <c r="L13" s="15" t="n">
        <v>2230299.09</v>
      </c>
      <c r="M13" s="25" t="n">
        <v>0.3497</v>
      </c>
      <c r="N13" s="15" t="n">
        <v>5518692.35</v>
      </c>
      <c r="O13" s="15" t="n">
        <v>3568488.71</v>
      </c>
      <c r="P13" s="15" t="n">
        <v>1853709.65</v>
      </c>
      <c r="Q13" s="25" t="n">
        <v>0.3255</v>
      </c>
      <c r="R13" s="27" t="n">
        <v>0.0707</v>
      </c>
      <c r="S13" s="27" t="n">
        <v>0.1245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产品月度销售汇总（含公式）</t>
        </is>
      </c>
    </row>
    <row r="2">
      <c r="A2" s="2" t="inlineStr">
        <is>
          <t>产品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合计</t>
        </is>
      </c>
    </row>
    <row r="3">
      <c r="A3" s="4" t="inlineStr">
        <is>
          <t>中式汤底</t>
        </is>
      </c>
      <c r="B3" s="15" t="n">
        <v>251110.66</v>
      </c>
      <c r="C3" s="15" t="n">
        <v>118993.58</v>
      </c>
      <c r="D3" s="15" t="n">
        <v>229199.2</v>
      </c>
      <c r="E3" s="15" t="n">
        <v>72332.28</v>
      </c>
      <c r="F3" s="15" t="n">
        <v>475846.81</v>
      </c>
      <c r="G3" s="15" t="n">
        <v>383454.7</v>
      </c>
      <c r="H3" s="15" t="n">
        <v>322854.56</v>
      </c>
      <c r="I3" s="15" t="n">
        <v>335797.72</v>
      </c>
      <c r="J3" s="15" t="n">
        <v>127360.05</v>
      </c>
      <c r="K3" s="15" t="n">
        <v>84634.14</v>
      </c>
      <c r="L3" s="15" t="n">
        <v>472958.61</v>
      </c>
      <c r="M3" s="15" t="n">
        <v>92682.17</v>
      </c>
      <c r="N3" s="15">
        <f>SUM(B3:M3)</f>
        <v/>
      </c>
    </row>
    <row r="4">
      <c r="A4" s="4" t="inlineStr">
        <is>
          <t>酱料</t>
        </is>
      </c>
      <c r="B4" s="15" t="n">
        <v>318572.18</v>
      </c>
      <c r="C4" s="15" t="n">
        <v>437826.07</v>
      </c>
      <c r="D4" s="15" t="n">
        <v>65855.17</v>
      </c>
      <c r="E4" s="15" t="n">
        <v>360499.04</v>
      </c>
      <c r="F4" s="15" t="n">
        <v>375653.69</v>
      </c>
      <c r="G4" s="15" t="n">
        <v>454392.28</v>
      </c>
      <c r="H4" s="15" t="n">
        <v>423142.27</v>
      </c>
      <c r="I4" s="15" t="n">
        <v>405158.64</v>
      </c>
      <c r="J4" s="15" t="n">
        <v>129875.81</v>
      </c>
      <c r="K4" s="15" t="n">
        <v>269585.48</v>
      </c>
      <c r="L4" s="15" t="n">
        <v>340736.37</v>
      </c>
      <c r="M4" s="15" t="n">
        <v>451606.26</v>
      </c>
      <c r="N4" s="15">
        <f>SUM(B4:M4)</f>
        <v/>
      </c>
    </row>
    <row r="5">
      <c r="A5" s="4" t="inlineStr">
        <is>
          <t>川味底料</t>
        </is>
      </c>
      <c r="B5" s="15" t="n">
        <v>61668.4</v>
      </c>
      <c r="C5" s="15" t="n">
        <v>489683.59</v>
      </c>
      <c r="D5" s="15" t="n">
        <v>498602.25</v>
      </c>
      <c r="E5" s="15" t="n">
        <v>385307.47</v>
      </c>
      <c r="F5" s="15" t="n">
        <v>74266.42</v>
      </c>
      <c r="G5" s="15" t="n">
        <v>276036.06</v>
      </c>
      <c r="H5" s="15" t="n">
        <v>140622.92</v>
      </c>
      <c r="I5" s="15" t="n">
        <v>392962.24</v>
      </c>
      <c r="J5" s="15" t="n">
        <v>117541.87</v>
      </c>
      <c r="K5" s="15" t="n">
        <v>350484.02</v>
      </c>
      <c r="L5" s="15" t="n">
        <v>102987.48</v>
      </c>
      <c r="M5" s="15" t="n">
        <v>471447.98</v>
      </c>
      <c r="N5" s="15">
        <f>SUM(B5:M5)</f>
        <v/>
      </c>
    </row>
    <row r="6">
      <c r="A6" s="4" t="inlineStr">
        <is>
          <t>调味汁</t>
        </is>
      </c>
      <c r="B6" s="15" t="n">
        <v>199506.71</v>
      </c>
      <c r="C6" s="15" t="n">
        <v>112794.95</v>
      </c>
      <c r="D6" s="15" t="n">
        <v>299484.51</v>
      </c>
      <c r="E6" s="15" t="n">
        <v>400328.09</v>
      </c>
      <c r="F6" s="15" t="n">
        <v>446339.14</v>
      </c>
      <c r="G6" s="15" t="n">
        <v>144350.28</v>
      </c>
      <c r="H6" s="15" t="n">
        <v>480006.92</v>
      </c>
      <c r="I6" s="15" t="n">
        <v>133419.64</v>
      </c>
      <c r="J6" s="15" t="n">
        <v>225578.52</v>
      </c>
      <c r="K6" s="15" t="n">
        <v>274266.13</v>
      </c>
      <c r="L6" s="15" t="n">
        <v>205797.31</v>
      </c>
      <c r="M6" s="15" t="n">
        <v>421053.8</v>
      </c>
      <c r="N6" s="15">
        <f>SUM(B6:M6)</f>
        <v/>
      </c>
    </row>
    <row r="7">
      <c r="A7" s="4" t="inlineStr">
        <is>
          <t>复合调味粉</t>
        </is>
      </c>
      <c r="B7" s="15" t="n">
        <v>368799.72</v>
      </c>
      <c r="C7" s="15" t="n">
        <v>146385.31</v>
      </c>
      <c r="D7" s="15" t="n">
        <v>433090.67</v>
      </c>
      <c r="E7" s="15" t="n">
        <v>474293.69</v>
      </c>
      <c r="F7" s="15" t="n">
        <v>451363.91</v>
      </c>
      <c r="G7" s="15" t="n">
        <v>105478.87</v>
      </c>
      <c r="H7" s="15" t="n">
        <v>128688.42</v>
      </c>
      <c r="I7" s="15" t="n">
        <v>257222.14</v>
      </c>
      <c r="J7" s="15" t="n">
        <v>102257.24</v>
      </c>
      <c r="K7" s="15" t="n">
        <v>484216.25</v>
      </c>
      <c r="L7" s="15" t="n">
        <v>91368.03</v>
      </c>
      <c r="M7" s="15" t="n">
        <v>175670.81</v>
      </c>
      <c r="N7" s="15">
        <f>SUM(B7:M7)</f>
        <v/>
      </c>
    </row>
    <row r="8">
      <c r="A8" s="4" t="inlineStr">
        <is>
          <t>团餐</t>
        </is>
      </c>
      <c r="B8" s="15" t="n">
        <v>128511.04</v>
      </c>
      <c r="C8" s="15" t="n">
        <v>343719.46</v>
      </c>
      <c r="D8" s="15" t="n">
        <v>272553.82</v>
      </c>
      <c r="E8" s="15" t="n">
        <v>114788.29</v>
      </c>
      <c r="F8" s="15" t="n">
        <v>191996.76</v>
      </c>
      <c r="G8" s="15" t="n">
        <v>271354</v>
      </c>
      <c r="H8" s="15" t="n">
        <v>364791.95</v>
      </c>
      <c r="I8" s="15" t="n">
        <v>438313.02</v>
      </c>
      <c r="J8" s="15" t="n">
        <v>130954.18</v>
      </c>
      <c r="K8" s="15" t="n">
        <v>402961.58</v>
      </c>
      <c r="L8" s="15" t="n">
        <v>354305.33</v>
      </c>
      <c r="M8" s="15" t="n">
        <v>189283.33</v>
      </c>
      <c r="N8" s="15">
        <f>SUM(B8:M8)</f>
        <v/>
      </c>
    </row>
    <row r="9">
      <c r="A9" s="4" t="inlineStr">
        <is>
          <t>预制菜</t>
        </is>
      </c>
      <c r="B9" s="15" t="n">
        <v>117977.54</v>
      </c>
      <c r="C9" s="15" t="n">
        <v>324140.69</v>
      </c>
      <c r="D9" s="15" t="n">
        <v>133311.1</v>
      </c>
      <c r="E9" s="15" t="n">
        <v>247679.17</v>
      </c>
      <c r="F9" s="15" t="n">
        <v>157306.94</v>
      </c>
      <c r="G9" s="15" t="n">
        <v>266516.73</v>
      </c>
      <c r="H9" s="15" t="n">
        <v>100370</v>
      </c>
      <c r="I9" s="15" t="n">
        <v>342267.32</v>
      </c>
      <c r="J9" s="15" t="n">
        <v>254904.89</v>
      </c>
      <c r="K9" s="15" t="n">
        <v>327926.07</v>
      </c>
      <c r="L9" s="15" t="n">
        <v>327399.53</v>
      </c>
      <c r="M9" s="15" t="n">
        <v>114563.3</v>
      </c>
      <c r="N9" s="15">
        <f>SUM(B9:M9)</f>
        <v/>
      </c>
    </row>
    <row r="10">
      <c r="A10" s="6" t="inlineStr">
        <is>
          <t>月度合计</t>
        </is>
      </c>
      <c r="B10" s="15">
        <f>SUM(B3:B9)</f>
        <v/>
      </c>
      <c r="C10" s="15">
        <f>SUM(C3:C9)</f>
        <v/>
      </c>
      <c r="D10" s="15">
        <f>SUM(D3:D9)</f>
        <v/>
      </c>
      <c r="E10" s="15">
        <f>SUM(E3:E9)</f>
        <v/>
      </c>
      <c r="F10" s="15">
        <f>SUM(F3:F9)</f>
        <v/>
      </c>
      <c r="G10" s="15">
        <f>SUM(G3:G9)</f>
        <v/>
      </c>
      <c r="H10" s="15">
        <f>SUM(H3:H9)</f>
        <v/>
      </c>
      <c r="I10" s="15">
        <f>SUM(I3:I9)</f>
        <v/>
      </c>
      <c r="J10" s="15">
        <f>SUM(J3:J9)</f>
        <v/>
      </c>
      <c r="K10" s="15">
        <f>SUM(K3:K9)</f>
        <v/>
      </c>
      <c r="L10" s="15">
        <f>SUM(L3:L9)</f>
        <v/>
      </c>
      <c r="M10" s="15">
        <f>SUM(M3:M9)</f>
        <v/>
      </c>
      <c r="N10" s="15">
        <f>SUM(N3:N9)</f>
        <v/>
      </c>
    </row>
    <row r="11">
      <c r="A11" s="6" t="inlineStr">
        <is>
          <t>月度平均</t>
        </is>
      </c>
      <c r="B11" s="15">
        <f>AVERAGE(B3:B9)</f>
        <v/>
      </c>
      <c r="C11" s="15">
        <f>AVERAGE(C3:C9)</f>
        <v/>
      </c>
      <c r="D11" s="15">
        <f>AVERAGE(D3:D9)</f>
        <v/>
      </c>
      <c r="E11" s="15">
        <f>AVERAGE(E3:E9)</f>
        <v/>
      </c>
      <c r="F11" s="15">
        <f>AVERAGE(F3:F9)</f>
        <v/>
      </c>
      <c r="G11" s="15">
        <f>AVERAGE(G3:G9)</f>
        <v/>
      </c>
      <c r="H11" s="15">
        <f>AVERAGE(H3:H9)</f>
        <v/>
      </c>
      <c r="I11" s="15">
        <f>AVERAGE(I3:I9)</f>
        <v/>
      </c>
      <c r="J11" s="15">
        <f>AVERAGE(J3:J9)</f>
        <v/>
      </c>
      <c r="K11" s="15">
        <f>AVERAGE(K3:K9)</f>
        <v/>
      </c>
      <c r="L11" s="15">
        <f>AVERAGE(L3:L9)</f>
        <v/>
      </c>
      <c r="M11" s="15">
        <f>AVERAGE(M3:M9)</f>
        <v/>
      </c>
      <c r="N11" s="15">
        <f>AVERAGE(N3:N9)</f>
        <v/>
      </c>
    </row>
    <row r="12">
      <c r="A12" s="6" t="inlineStr">
        <is>
          <t>达标状态</t>
        </is>
      </c>
      <c r="B12" s="4">
        <f>IF(B10&gt;1000000,"达标","未达标")</f>
        <v/>
      </c>
      <c r="C12" s="4">
        <f>IF(C10&gt;1000000,"达标","未达标")</f>
        <v/>
      </c>
      <c r="D12" s="4">
        <f>IF(D10&gt;1000000,"达标","未达标")</f>
        <v/>
      </c>
      <c r="E12" s="4">
        <f>IF(E10&gt;1000000,"达标","未达标")</f>
        <v/>
      </c>
      <c r="F12" s="4">
        <f>IF(F10&gt;1000000,"达标","未达标")</f>
        <v/>
      </c>
      <c r="G12" s="4">
        <f>IF(G10&gt;1000000,"达标","未达标")</f>
        <v/>
      </c>
      <c r="H12" s="4">
        <f>IF(H10&gt;1000000,"达标","未达标")</f>
        <v/>
      </c>
      <c r="I12" s="4">
        <f>IF(I10&gt;1000000,"达标","未达标")</f>
        <v/>
      </c>
      <c r="J12" s="4">
        <f>IF(J10&gt;1000000,"达标","未达标")</f>
        <v/>
      </c>
      <c r="K12" s="4">
        <f>IF(K10&gt;1000000,"达标","未达标")</f>
        <v/>
      </c>
      <c r="L12" s="4">
        <f>IF(L10&gt;1000000,"达标","未达标")</f>
        <v/>
      </c>
      <c r="M12" s="4">
        <f>IF(M10&gt;1000000,"达标","未达标")</f>
        <v/>
      </c>
    </row>
    <row r="13">
      <c r="A13" s="6" t="inlineStr">
        <is>
          <t>占年度比例</t>
        </is>
      </c>
      <c r="B13" s="25">
        <f>B10/N10</f>
        <v/>
      </c>
      <c r="C13" s="25">
        <f>C10/N10</f>
        <v/>
      </c>
      <c r="D13" s="25">
        <f>D10/N10</f>
        <v/>
      </c>
      <c r="E13" s="25">
        <f>E10/N10</f>
        <v/>
      </c>
      <c r="F13" s="25">
        <f>F10/N10</f>
        <v/>
      </c>
      <c r="G13" s="25">
        <f>G10/N10</f>
        <v/>
      </c>
      <c r="H13" s="25">
        <f>H10/N10</f>
        <v/>
      </c>
      <c r="I13" s="25">
        <f>I10/N10</f>
        <v/>
      </c>
      <c r="J13" s="25">
        <f>J10/N10</f>
        <v/>
      </c>
      <c r="K13" s="25">
        <f>K10/N10</f>
        <v/>
      </c>
      <c r="L13" s="25">
        <f>L10/N10</f>
        <v/>
      </c>
      <c r="M13" s="25">
        <f>M10/N10</f>
        <v/>
      </c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inlineStr">
        <is>
          <t>Q1</t>
        </is>
      </c>
      <c r="I1" s="2" t="inlineStr">
        <is>
          <t>Q2</t>
        </is>
      </c>
      <c r="J1" s="2" t="inlineStr">
        <is>
          <t>Q3</t>
        </is>
      </c>
      <c r="K1" s="2" t="inlineStr">
        <is>
          <t>Q4</t>
        </is>
      </c>
    </row>
    <row r="2">
      <c r="A2" s="4" t="inlineStr">
        <is>
          <t>营业收入(万元)</t>
        </is>
      </c>
      <c r="B2" s="7" t="n">
        <v>8352.9</v>
      </c>
      <c r="C2" s="7" t="n">
        <v>14016</v>
      </c>
      <c r="D2" s="7" t="n">
        <v>10305</v>
      </c>
      <c r="E2" s="7" t="n">
        <v>11966</v>
      </c>
      <c r="F2" s="7" t="n">
        <v>12641.6</v>
      </c>
      <c r="G2" s="7" t="n">
        <v>13928.4</v>
      </c>
      <c r="H2" s="7" t="n">
        <v>4527.63</v>
      </c>
      <c r="I2" s="7" t="n">
        <v>3304.97</v>
      </c>
      <c r="J2" s="7" t="n">
        <v>2810.62</v>
      </c>
      <c r="K2" s="7" t="n">
        <v>3886.28</v>
      </c>
    </row>
    <row r="3">
      <c r="A3" s="4" t="inlineStr">
        <is>
          <t>营业成本(万元)</t>
        </is>
      </c>
      <c r="B3" s="7" t="n">
        <v>6650</v>
      </c>
      <c r="C3" s="7" t="n">
        <v>9761.6</v>
      </c>
      <c r="D3" s="7" t="n">
        <v>9519.1</v>
      </c>
      <c r="E3" s="7" t="n">
        <v>9033.700000000001</v>
      </c>
      <c r="F3" s="7" t="n">
        <v>5010.9</v>
      </c>
      <c r="G3" s="7" t="n">
        <v>8830.4</v>
      </c>
      <c r="H3" s="7" t="n">
        <v>2233.99</v>
      </c>
      <c r="I3" s="7" t="n">
        <v>2929.01</v>
      </c>
      <c r="J3" s="7" t="n">
        <v>3036.05</v>
      </c>
      <c r="K3" s="7" t="n">
        <v>2037.75</v>
      </c>
    </row>
    <row r="4">
      <c r="A4" s="4" t="inlineStr">
        <is>
          <t>毛利(万元)</t>
        </is>
      </c>
      <c r="B4" s="7" t="n">
        <v>3092.4</v>
      </c>
      <c r="C4" s="7" t="n">
        <v>4067.3</v>
      </c>
      <c r="D4" s="7" t="n">
        <v>4217.6</v>
      </c>
      <c r="E4" s="7" t="n">
        <v>3642.2</v>
      </c>
      <c r="F4" s="7" t="n">
        <v>3483.1</v>
      </c>
      <c r="G4" s="7" t="n">
        <v>4402.2</v>
      </c>
      <c r="H4" s="7" t="n">
        <v>1288.5</v>
      </c>
      <c r="I4" s="7" t="n">
        <v>962.25</v>
      </c>
      <c r="J4" s="7" t="n">
        <v>1507.66</v>
      </c>
      <c r="K4" s="7" t="n">
        <v>954.14</v>
      </c>
    </row>
    <row r="5">
      <c r="A5" s="4" t="inlineStr">
        <is>
          <t>毛利率</t>
        </is>
      </c>
      <c r="B5" s="25" t="n">
        <v>0.3765</v>
      </c>
      <c r="C5" s="25" t="n">
        <v>0.2559</v>
      </c>
      <c r="D5" s="25" t="n">
        <v>0.2738</v>
      </c>
      <c r="E5" s="25" t="n">
        <v>0.3959</v>
      </c>
      <c r="F5" s="25" t="n">
        <v>0.3221</v>
      </c>
      <c r="G5" s="25" t="n">
        <v>0.3151</v>
      </c>
      <c r="H5" s="25" t="n">
        <v>0.1</v>
      </c>
      <c r="I5" s="25" t="n">
        <v>0.1</v>
      </c>
      <c r="J5" s="25" t="n">
        <v>0.07000000000000001</v>
      </c>
      <c r="K5" s="25" t="n">
        <v>0.08</v>
      </c>
    </row>
    <row r="6">
      <c r="A6" s="4" t="inlineStr">
        <is>
          <t>净利润(万元)</t>
        </is>
      </c>
      <c r="B6" s="7" t="n">
        <v>892</v>
      </c>
      <c r="C6" s="7" t="n">
        <v>553.2</v>
      </c>
      <c r="D6" s="7" t="n">
        <v>1185</v>
      </c>
      <c r="E6" s="7" t="n">
        <v>1365.6</v>
      </c>
      <c r="F6" s="7" t="n">
        <v>1017.9</v>
      </c>
      <c r="G6" s="7" t="n">
        <v>1457.7</v>
      </c>
      <c r="H6" s="7" t="n">
        <v>303.37</v>
      </c>
      <c r="I6" s="7" t="n">
        <v>292.97</v>
      </c>
      <c r="J6" s="7" t="n">
        <v>509.21</v>
      </c>
      <c r="K6" s="7" t="n">
        <v>421.87</v>
      </c>
    </row>
    <row r="7">
      <c r="A7" s="4" t="inlineStr">
        <is>
          <t>净利率</t>
        </is>
      </c>
      <c r="B7" s="25" t="n">
        <v>0.1385</v>
      </c>
      <c r="C7" s="25" t="n">
        <v>0.0453</v>
      </c>
      <c r="D7" s="25" t="n">
        <v>0.0478</v>
      </c>
      <c r="E7" s="25" t="n">
        <v>0.0587</v>
      </c>
      <c r="F7" s="25" t="n">
        <v>0.0424</v>
      </c>
      <c r="G7" s="25" t="n">
        <v>0.1092</v>
      </c>
      <c r="H7" s="25" t="n">
        <v>0.03</v>
      </c>
      <c r="I7" s="25" t="n">
        <v>0.03</v>
      </c>
      <c r="J7" s="25" t="n">
        <v>0.03</v>
      </c>
      <c r="K7" s="25" t="n">
        <v>0.02</v>
      </c>
    </row>
    <row r="8">
      <c r="A8" s="4" t="inlineStr">
        <is>
          <t>员工数</t>
        </is>
      </c>
      <c r="B8" s="7" t="n">
        <v>275</v>
      </c>
      <c r="C8" s="7" t="n">
        <v>445</v>
      </c>
      <c r="D8" s="7" t="n">
        <v>412</v>
      </c>
      <c r="E8" s="7" t="n">
        <v>251</v>
      </c>
      <c r="F8" s="7" t="n">
        <v>309</v>
      </c>
      <c r="G8" s="7" t="n">
        <v>230</v>
      </c>
      <c r="H8" s="7" t="n">
        <v>61.5</v>
      </c>
      <c r="I8" s="7" t="n">
        <v>64.75</v>
      </c>
      <c r="J8" s="7" t="n">
        <v>55.31</v>
      </c>
      <c r="K8" s="7" t="n">
        <v>66.65000000000001</v>
      </c>
    </row>
    <row r="9">
      <c r="A9" s="4" t="inlineStr">
        <is>
          <t>人均产值(万元)</t>
        </is>
      </c>
      <c r="B9" s="7" t="n">
        <v>26.9</v>
      </c>
      <c r="C9" s="7" t="n">
        <v>19.7</v>
      </c>
      <c r="D9" s="7" t="n">
        <v>38.6</v>
      </c>
      <c r="E9" s="7" t="n">
        <v>31.9</v>
      </c>
      <c r="F9" s="7" t="n">
        <v>19.5</v>
      </c>
      <c r="G9" s="7" t="n">
        <v>21.5</v>
      </c>
      <c r="H9" s="7" t="n">
        <v>6.1</v>
      </c>
      <c r="I9" s="7" t="n">
        <v>6.79</v>
      </c>
      <c r="J9" s="7" t="n">
        <v>5.09</v>
      </c>
      <c r="K9" s="7" t="n">
        <v>4.31</v>
      </c>
    </row>
    <row r="10">
      <c r="A10" s="4" t="inlineStr">
        <is>
          <t>研发费用(万元)</t>
        </is>
      </c>
      <c r="B10" s="7" t="n">
        <v>1961.5</v>
      </c>
      <c r="C10" s="7" t="n">
        <v>918.4</v>
      </c>
      <c r="D10" s="7" t="n">
        <v>1287.9</v>
      </c>
      <c r="E10" s="7" t="n">
        <v>1664.3</v>
      </c>
      <c r="F10" s="7" t="n">
        <v>932.5</v>
      </c>
      <c r="G10" s="7" t="n">
        <v>1597.6</v>
      </c>
      <c r="H10" s="7" t="n">
        <v>425.98</v>
      </c>
      <c r="I10" s="7" t="n">
        <v>386.21</v>
      </c>
      <c r="J10" s="7" t="n">
        <v>475.29</v>
      </c>
      <c r="K10" s="7" t="n">
        <v>532.3</v>
      </c>
    </row>
    <row r="11">
      <c r="A11" s="4" t="inlineStr">
        <is>
          <t>研发占比</t>
        </is>
      </c>
      <c r="B11" s="25" t="n">
        <v>0.0393</v>
      </c>
      <c r="C11" s="25" t="n">
        <v>0.049</v>
      </c>
      <c r="D11" s="25" t="n">
        <v>0.104</v>
      </c>
      <c r="E11" s="25" t="n">
        <v>0.0413</v>
      </c>
      <c r="F11" s="25" t="n">
        <v>0.0505</v>
      </c>
      <c r="G11" s="25" t="n">
        <v>0.0453</v>
      </c>
      <c r="H11" s="25" t="n">
        <v>0.01</v>
      </c>
      <c r="I11" s="25" t="n">
        <v>0.01</v>
      </c>
      <c r="J11" s="25" t="n">
        <v>0.01</v>
      </c>
      <c r="K11" s="25" t="n">
        <v>0.01</v>
      </c>
    </row>
    <row r="12">
      <c r="A12" s="4" t="inlineStr">
        <is>
          <t>资产总额(万元)</t>
        </is>
      </c>
      <c r="B12" s="7" t="n">
        <v>11335.2</v>
      </c>
      <c r="C12" s="7" t="n">
        <v>29363.8</v>
      </c>
      <c r="D12" s="7" t="n">
        <v>19970.8</v>
      </c>
      <c r="E12" s="7" t="n">
        <v>40104.4</v>
      </c>
      <c r="F12" s="7" t="n">
        <v>45459.4</v>
      </c>
      <c r="G12" s="7" t="n">
        <v>44404.3</v>
      </c>
      <c r="H12" s="7" t="n">
        <v>11847.43</v>
      </c>
      <c r="I12" s="7" t="n">
        <v>13351.11</v>
      </c>
      <c r="J12" s="7" t="n">
        <v>12709.82</v>
      </c>
      <c r="K12" s="7" t="n">
        <v>11516.4</v>
      </c>
    </row>
    <row r="13">
      <c r="A13" s="4" t="inlineStr">
        <is>
          <t>负债率</t>
        </is>
      </c>
      <c r="B13" s="25" t="n">
        <v>0.4898</v>
      </c>
      <c r="C13" s="25" t="n">
        <v>0.6765</v>
      </c>
      <c r="D13" s="25" t="n">
        <v>0.6028</v>
      </c>
      <c r="E13" s="25" t="n">
        <v>0.5878</v>
      </c>
      <c r="F13" s="25" t="n">
        <v>0.4218</v>
      </c>
      <c r="G13" s="25" t="n">
        <v>0.5339</v>
      </c>
      <c r="H13" s="25" t="n">
        <v>0.13</v>
      </c>
      <c r="I13" s="25" t="n">
        <v>0.14</v>
      </c>
      <c r="J13" s="25" t="n">
        <v>0.13</v>
      </c>
      <c r="K13" s="25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2026-02-20T00:52:01Z</dcterms:created>
  <dcterms:modified xmlns:dcterms="http://purl.org/dc/terms/" xmlns:xsi="http://www.w3.org/2001/XMLSchema-instance" xsi:type="dcterms:W3CDTF">2026-02-20T00:52:02Z</dcterms:modified>
</cp:coreProperties>
</file>