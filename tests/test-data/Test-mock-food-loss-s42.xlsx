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收入及净利简表" sheetId="2" state="visible" r:id="rId2"/>
    <sheet xmlns:r="http://schemas.openxmlformats.org/officeDocument/2006/relationships" name="2025年销售1中心利润表" sheetId="3" state="visible" r:id="rId3"/>
    <sheet xmlns:r="http://schemas.openxmlformats.org/officeDocument/2006/relationships" name="2025年中心利润表" sheetId="4" state="visible" r:id="rId4"/>
    <sheet xmlns:r="http://schemas.openxmlformats.org/officeDocument/2006/relationships" name="2025年江苏分部利润表" sheetId="5" state="visible" r:id="rId5"/>
    <sheet xmlns:r="http://schemas.openxmlformats.org/officeDocument/2006/relationships" name="2025年浙江分部利润表" sheetId="6" state="visible" r:id="rId6"/>
    <sheet xmlns:r="http://schemas.openxmlformats.org/officeDocument/2006/relationships" name="2025年上海分部利润表" sheetId="7" state="visible" r:id="rId7"/>
    <sheet xmlns:r="http://schemas.openxmlformats.org/officeDocument/2006/relationships" name="2025年赣皖区域利润表" sheetId="8" state="visible" r:id="rId8"/>
    <sheet xmlns:r="http://schemas.openxmlformats.org/officeDocument/2006/relationships" name="2025年安徽省区利润表" sheetId="9" state="visible" r:id="rId9"/>
    <sheet xmlns:r="http://schemas.openxmlformats.org/officeDocument/2006/relationships" name="2025年江西省区利润表" sheetId="10" state="visible" r:id="rId10"/>
    <sheet xmlns:r="http://schemas.openxmlformats.org/officeDocument/2006/relationships" name="24年返利明细" sheetId="11" state="visible" r:id="rId11"/>
    <sheet xmlns:r="http://schemas.openxmlformats.org/officeDocument/2006/relationships" name="资产负债表" sheetId="12" state="visible" r:id="rId12"/>
    <sheet xmlns:r="http://schemas.openxmlformats.org/officeDocument/2006/relationships" name="销售明细" sheetId="13" state="visible" r:id="rId13"/>
    <sheet xmlns:r="http://schemas.openxmlformats.org/officeDocument/2006/relationships" name="应收账款账龄" sheetId="14" state="visible" r:id="rId14"/>
    <sheet xmlns:r="http://schemas.openxmlformats.org/officeDocument/2006/relationships" name="库存台账" sheetId="15" state="visible" r:id="rId15"/>
    <sheet xmlns:r="http://schemas.openxmlformats.org/officeDocument/2006/relationships" name="月度经营分析" sheetId="16" state="visible" r:id="rId16"/>
    <sheet xmlns:r="http://schemas.openxmlformats.org/officeDocument/2006/relationships" name="费用预算执行" sheetId="17" state="visible" r:id="rId17"/>
    <sheet xmlns:r="http://schemas.openxmlformats.org/officeDocument/2006/relationships" name="现金流量表" sheetId="18" state="visible" r:id="rId18"/>
    <sheet xmlns:r="http://schemas.openxmlformats.org/officeDocument/2006/relationships" name="超宽数据表" sheetId="19" state="visible" r:id="rId19"/>
    <sheet xmlns:r="http://schemas.openxmlformats.org/officeDocument/2006/relationships" name="混合类型测试" sheetId="20" state="visible" r:id="rId20"/>
    <sheet xmlns:r="http://schemas.openxmlformats.org/officeDocument/2006/relationships" name="空值区域测试" sheetId="21" state="visible" r:id="rId21"/>
    <sheet xmlns:r="http://schemas.openxmlformats.org/officeDocument/2006/relationships" name="跨年对比(2024-2025)" sheetId="22" state="visible" r:id="rId22"/>
    <sheet xmlns:r="http://schemas.openxmlformats.org/officeDocument/2006/relationships" name="公式测试" sheetId="23" state="visible" r:id="rId23"/>
    <sheet xmlns:r="http://schemas.openxmlformats.org/officeDocument/2006/relationships" name="纯数字列名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-mm-dd h:mm:ss"/>
    <numFmt numFmtId="166" formatCode="0.0"/>
    <numFmt numFmtId="167" formatCode="yyyy-mm-dd"/>
    <numFmt numFmtId="168" formatCode="YYYY-MM-DD"/>
    <numFmt numFmtId="169" formatCode="0.0%"/>
    <numFmt numFmtId="170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6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169" fontId="2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/>
    </xf>
    <xf numFmtId="3" fontId="4" fillId="0" borderId="1" pivotButton="0" quotePrefix="0" xfId="0"/>
    <xf numFmtId="169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7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销售1中心经营口径报表索引</t>
        </is>
      </c>
    </row>
    <row r="2">
      <c r="A2" s="2" t="inlineStr">
        <is>
          <t>序号</t>
        </is>
      </c>
      <c r="B2" s="2" t="inlineStr">
        <is>
          <t>索引</t>
        </is>
      </c>
      <c r="C2" s="2" t="inlineStr">
        <is>
          <t>报表编制说明</t>
        </is>
      </c>
    </row>
    <row r="3">
      <c r="A3" s="3" t="n">
        <v>1</v>
      </c>
      <c r="B3" s="4" t="inlineStr">
        <is>
          <t>收入及净利简表</t>
        </is>
      </c>
      <c r="C3" s="5" t="inlineStr">
        <is>
          <t>1、分部及区域的预算净利及实际净利，数据来源为本文件中分部利润表</t>
        </is>
      </c>
    </row>
    <row r="4">
      <c r="A4" s="3" t="n">
        <v>2</v>
      </c>
      <c r="B4" s="4" t="inlineStr">
        <is>
          <t>2025年销售1中心利润表</t>
        </is>
      </c>
      <c r="C4" s="5" t="inlineStr">
        <is>
          <t>编制规则同2025年销售1中心利润表</t>
        </is>
      </c>
    </row>
    <row r="5">
      <c r="A5" s="3" t="n">
        <v>3</v>
      </c>
      <c r="B5" s="4" t="inlineStr">
        <is>
          <t>2025年中心利润表</t>
        </is>
      </c>
      <c r="C5" s="5" t="inlineStr">
        <is>
          <t>编制规则同2025年销售1中心利润表</t>
        </is>
      </c>
    </row>
    <row r="6">
      <c r="A6" s="3" t="n">
        <v>4</v>
      </c>
      <c r="B6" s="4" t="inlineStr">
        <is>
          <t>2025年江苏分部利润表</t>
        </is>
      </c>
      <c r="C6" s="5" t="inlineStr">
        <is>
          <t>编制规则同2025年销售1中心利润表</t>
        </is>
      </c>
    </row>
    <row r="7">
      <c r="A7" s="3" t="n">
        <v>5</v>
      </c>
      <c r="B7" s="4" t="inlineStr">
        <is>
          <t>2025年浙江分部利润表</t>
        </is>
      </c>
      <c r="C7" s="5" t="inlineStr">
        <is>
          <t>编制规则同2025年销售1中心利润表</t>
        </is>
      </c>
    </row>
    <row r="8">
      <c r="A8" s="3" t="n">
        <v>6</v>
      </c>
      <c r="B8" s="4" t="inlineStr">
        <is>
          <t>2025年上海分部利润表</t>
        </is>
      </c>
      <c r="C8" s="5" t="inlineStr">
        <is>
          <t>编制规则同2025年销售1中心利润表</t>
        </is>
      </c>
    </row>
    <row r="9">
      <c r="A9" s="3" t="n">
        <v>7</v>
      </c>
      <c r="B9" s="4" t="inlineStr">
        <is>
          <t>2025年赣皖区域利润表</t>
        </is>
      </c>
      <c r="C9" s="5" t="inlineStr">
        <is>
          <t>编制规则同2025年销售1中心利润表</t>
        </is>
      </c>
    </row>
    <row r="10">
      <c r="A10" s="3" t="n">
        <v>8</v>
      </c>
      <c r="B10" s="4" t="inlineStr">
        <is>
          <t>2025年安徽省区利润表</t>
        </is>
      </c>
      <c r="C10" s="5" t="inlineStr">
        <is>
          <t>编制规则同2025年销售1中心利润表</t>
        </is>
      </c>
    </row>
    <row r="11">
      <c r="A11" s="3" t="n">
        <v>9</v>
      </c>
      <c r="B11" s="4" t="inlineStr">
        <is>
          <t>2025年江西省区利润表</t>
        </is>
      </c>
      <c r="C11" s="5" t="inlineStr">
        <is>
          <t>编制规则同2025年销售1中心利润表</t>
        </is>
      </c>
    </row>
    <row r="12">
      <c r="A12" s="3" t="n">
        <v>10</v>
      </c>
      <c r="B12" s="4" t="inlineStr">
        <is>
          <t>24年返利明细</t>
        </is>
      </c>
      <c r="C12" s="5" t="inlineStr"/>
    </row>
    <row r="13">
      <c r="A13" s="3" t="n">
        <v>11</v>
      </c>
      <c r="B13" s="4" t="inlineStr">
        <is>
          <t>资产负债表</t>
        </is>
      </c>
      <c r="C13" s="5" t="inlineStr"/>
    </row>
    <row r="14">
      <c r="A14" s="3" t="n">
        <v>12</v>
      </c>
      <c r="B14" s="4" t="inlineStr">
        <is>
          <t>销售明细</t>
        </is>
      </c>
      <c r="C14" s="5" t="inlineStr"/>
    </row>
    <row r="15">
      <c r="A15" s="3" t="n">
        <v>13</v>
      </c>
      <c r="B15" s="4" t="inlineStr">
        <is>
          <t>应收账款账龄</t>
        </is>
      </c>
      <c r="C15" s="5" t="inlineStr"/>
    </row>
    <row r="16">
      <c r="A16" s="3" t="n">
        <v>14</v>
      </c>
      <c r="B16" s="4" t="inlineStr">
        <is>
          <t>库存台账</t>
        </is>
      </c>
      <c r="C16" s="5" t="inlineStr"/>
    </row>
    <row r="17">
      <c r="A17" s="3" t="n">
        <v>15</v>
      </c>
      <c r="B17" s="4" t="inlineStr">
        <is>
          <t>月度经营分析</t>
        </is>
      </c>
      <c r="C17" s="5" t="inlineStr"/>
    </row>
    <row r="18">
      <c r="A18" s="3" t="n">
        <v>16</v>
      </c>
      <c r="B18" s="4" t="inlineStr">
        <is>
          <t>费用预算执行</t>
        </is>
      </c>
      <c r="C18" s="5" t="inlineStr"/>
    </row>
    <row r="19">
      <c r="A19" s="3" t="n">
        <v>17</v>
      </c>
      <c r="B19" s="4" t="inlineStr">
        <is>
          <t>现金流量表</t>
        </is>
      </c>
      <c r="C19" s="5" t="inlineStr"/>
    </row>
    <row r="20">
      <c r="A20" s="3" t="n">
        <v>18</v>
      </c>
      <c r="B20" s="4" t="inlineStr">
        <is>
          <t>超宽数据表</t>
        </is>
      </c>
      <c r="C20" s="5" t="inlineStr"/>
    </row>
    <row r="21">
      <c r="A21" s="3" t="n">
        <v>19</v>
      </c>
      <c r="B21" s="4" t="inlineStr">
        <is>
          <t>混合类型测试</t>
        </is>
      </c>
      <c r="C21" s="5" t="inlineStr"/>
    </row>
    <row r="22">
      <c r="A22" s="3" t="n">
        <v>20</v>
      </c>
      <c r="B22" s="4" t="inlineStr">
        <is>
          <t>空值区域测试</t>
        </is>
      </c>
      <c r="C22" s="5" t="inlineStr"/>
    </row>
    <row r="23">
      <c r="A23" s="3" t="n">
        <v>21</v>
      </c>
      <c r="B23" s="4" t="inlineStr">
        <is>
          <t>跨年对比(2024-2025)</t>
        </is>
      </c>
      <c r="C23" s="5" t="inlineStr"/>
    </row>
    <row r="24">
      <c r="A24" s="3" t="n">
        <v>22</v>
      </c>
      <c r="B24" s="4" t="inlineStr">
        <is>
          <t>公式测试</t>
        </is>
      </c>
      <c r="C24" s="5" t="inlineStr"/>
    </row>
    <row r="25">
      <c r="A25" s="3" t="n">
        <v>23</v>
      </c>
      <c r="B25" s="4" t="inlineStr">
        <is>
          <t>纯数字列名</t>
        </is>
      </c>
      <c r="C25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销售1中心2025年各分部及区域收入&amp;净利简表</t>
        </is>
      </c>
    </row>
    <row r="2">
      <c r="A2" s="2" t="inlineStr">
        <is>
          <t>区域</t>
        </is>
      </c>
      <c r="B2" s="2" t="inlineStr">
        <is>
          <t>1月</t>
        </is>
      </c>
      <c r="E2" s="2" t="inlineStr">
        <is>
          <t>2月</t>
        </is>
      </c>
      <c r="H2" s="2" t="inlineStr">
        <is>
          <t>3月</t>
        </is>
      </c>
      <c r="K2" s="2" t="inlineStr">
        <is>
          <t>4月</t>
        </is>
      </c>
      <c r="N2" s="2" t="inlineStr">
        <is>
          <t>5月</t>
        </is>
      </c>
      <c r="Q2" s="2" t="inlineStr">
        <is>
          <t>6月</t>
        </is>
      </c>
      <c r="T2" s="2" t="inlineStr">
        <is>
          <t>7月</t>
        </is>
      </c>
      <c r="W2" s="2" t="inlineStr">
        <is>
          <t>8月</t>
        </is>
      </c>
      <c r="Z2" s="2" t="inlineStr">
        <is>
          <t>9月</t>
        </is>
      </c>
      <c r="AC2" s="2" t="inlineStr">
        <is>
          <t>10月</t>
        </is>
      </c>
      <c r="AF2" s="2" t="inlineStr">
        <is>
          <t>11月</t>
        </is>
      </c>
      <c r="AI2" s="2" t="inlineStr">
        <is>
          <t>12月</t>
        </is>
      </c>
    </row>
    <row r="3">
      <c r="A3" s="4" t="n"/>
      <c r="B3" s="2" t="inlineStr">
        <is>
          <t>预算收入</t>
        </is>
      </c>
      <c r="C3" s="2" t="inlineStr">
        <is>
          <t>24年同期实际</t>
        </is>
      </c>
      <c r="D3" s="2" t="inlineStr">
        <is>
          <t>实际收入</t>
        </is>
      </c>
      <c r="E3" s="2" t="inlineStr">
        <is>
          <t>预算收入</t>
        </is>
      </c>
      <c r="F3" s="2" t="inlineStr">
        <is>
          <t>24年同期实际</t>
        </is>
      </c>
      <c r="G3" s="2" t="inlineStr">
        <is>
          <t>实际收入</t>
        </is>
      </c>
      <c r="H3" s="2" t="inlineStr">
        <is>
          <t>预算收入</t>
        </is>
      </c>
      <c r="I3" s="2" t="inlineStr">
        <is>
          <t>24年同期实际</t>
        </is>
      </c>
      <c r="J3" s="2" t="inlineStr">
        <is>
          <t>实际收入</t>
        </is>
      </c>
      <c r="K3" s="2" t="inlineStr">
        <is>
          <t>预算收入</t>
        </is>
      </c>
      <c r="L3" s="2" t="inlineStr">
        <is>
          <t>24年同期实际</t>
        </is>
      </c>
      <c r="M3" s="2" t="inlineStr">
        <is>
          <t>实际收入</t>
        </is>
      </c>
      <c r="N3" s="2" t="inlineStr">
        <is>
          <t>预算收入</t>
        </is>
      </c>
      <c r="O3" s="2" t="inlineStr">
        <is>
          <t>24年同期实际</t>
        </is>
      </c>
      <c r="P3" s="2" t="inlineStr">
        <is>
          <t>实际收入</t>
        </is>
      </c>
      <c r="Q3" s="2" t="inlineStr">
        <is>
          <t>预算收入</t>
        </is>
      </c>
      <c r="R3" s="2" t="inlineStr">
        <is>
          <t>24年同期实际</t>
        </is>
      </c>
      <c r="S3" s="2" t="inlineStr">
        <is>
          <t>实际收入</t>
        </is>
      </c>
      <c r="T3" s="2" t="inlineStr">
        <is>
          <t>预算收入</t>
        </is>
      </c>
      <c r="U3" s="2" t="inlineStr">
        <is>
          <t>24年同期实际</t>
        </is>
      </c>
      <c r="V3" s="2" t="inlineStr">
        <is>
          <t>实际收入</t>
        </is>
      </c>
      <c r="W3" s="2" t="inlineStr">
        <is>
          <t>预算收入</t>
        </is>
      </c>
      <c r="X3" s="2" t="inlineStr">
        <is>
          <t>24年同期实际</t>
        </is>
      </c>
      <c r="Y3" s="2" t="inlineStr">
        <is>
          <t>实际收入</t>
        </is>
      </c>
      <c r="Z3" s="2" t="inlineStr">
        <is>
          <t>预算收入</t>
        </is>
      </c>
      <c r="AA3" s="2" t="inlineStr">
        <is>
          <t>24年同期实际</t>
        </is>
      </c>
      <c r="AB3" s="2" t="inlineStr">
        <is>
          <t>实际收入</t>
        </is>
      </c>
      <c r="AC3" s="2" t="inlineStr">
        <is>
          <t>预算收入</t>
        </is>
      </c>
      <c r="AD3" s="2" t="inlineStr">
        <is>
          <t>24年同期实际</t>
        </is>
      </c>
      <c r="AE3" s="2" t="inlineStr">
        <is>
          <t>实际收入</t>
        </is>
      </c>
      <c r="AF3" s="2" t="inlineStr">
        <is>
          <t>预算收入</t>
        </is>
      </c>
      <c r="AG3" s="2" t="inlineStr">
        <is>
          <t>24年同期实际</t>
        </is>
      </c>
      <c r="AH3" s="2" t="inlineStr">
        <is>
          <t>实际收入</t>
        </is>
      </c>
      <c r="AI3" s="2" t="inlineStr">
        <is>
          <t>预算收入</t>
        </is>
      </c>
      <c r="AJ3" s="2" t="inlineStr">
        <is>
          <t>24年同期实际</t>
        </is>
      </c>
      <c r="AK3" s="2" t="inlineStr">
        <is>
          <t>实际收入</t>
        </is>
      </c>
    </row>
    <row r="4">
      <c r="A4" s="6" t="inlineStr">
        <is>
          <t>江苏分部</t>
        </is>
      </c>
      <c r="B4" s="7" t="n">
        <v>1621319</v>
      </c>
      <c r="C4" s="7" t="n">
        <v>709920.6</v>
      </c>
      <c r="D4" s="7" t="n">
        <v>1132921.1</v>
      </c>
      <c r="E4" s="7" t="n">
        <v>1789549.8</v>
      </c>
      <c r="F4" s="7" t="n">
        <v>1001345.8</v>
      </c>
      <c r="G4" s="7" t="n">
        <v>1176664.7</v>
      </c>
      <c r="H4" s="7" t="n">
        <v>1754533.2</v>
      </c>
      <c r="I4" s="7" t="n">
        <v>1032643.4</v>
      </c>
      <c r="J4" s="7" t="n">
        <v>1438444.3</v>
      </c>
      <c r="K4" s="7" t="n">
        <v>2043414.6</v>
      </c>
      <c r="L4" s="7" t="n">
        <v>2215203.4</v>
      </c>
      <c r="M4" s="7" t="n">
        <v>2018845.1</v>
      </c>
      <c r="N4" s="7" t="n">
        <v>1704404</v>
      </c>
      <c r="O4" s="7" t="n">
        <v>1604026.4</v>
      </c>
      <c r="P4" s="7" t="n">
        <v>2036971.8</v>
      </c>
      <c r="Q4" s="7" t="n">
        <v>1672081.3</v>
      </c>
      <c r="R4" s="7" t="n">
        <v>1358205</v>
      </c>
      <c r="S4" s="7" t="n">
        <v>2211722.5</v>
      </c>
      <c r="T4" s="7" t="n">
        <v>1814984.5</v>
      </c>
      <c r="U4" s="7" t="n">
        <v>2821835.7</v>
      </c>
      <c r="V4" s="7" t="n">
        <v>2648584</v>
      </c>
      <c r="W4" s="7" t="n">
        <v>1800201.2</v>
      </c>
      <c r="X4" s="7" t="n">
        <v>1922366.5</v>
      </c>
      <c r="Y4" s="7" t="n">
        <v>1885434.3</v>
      </c>
      <c r="Z4" s="7" t="n">
        <v>1720933.1</v>
      </c>
      <c r="AA4" s="7" t="n">
        <v>1698971.4</v>
      </c>
      <c r="AB4" s="7" t="n">
        <v>1836764.9</v>
      </c>
      <c r="AC4" s="7" t="n">
        <v>1705040</v>
      </c>
      <c r="AD4" s="7" t="n">
        <v>2438549.4</v>
      </c>
      <c r="AE4" s="7" t="n">
        <v>2449104.3</v>
      </c>
      <c r="AF4" s="7" t="n">
        <v>2077476.8</v>
      </c>
      <c r="AG4" s="7" t="n">
        <v>1244344.7</v>
      </c>
      <c r="AH4" s="7" t="n">
        <v>1860563.8</v>
      </c>
      <c r="AI4" s="7" t="n">
        <v>1811952.4</v>
      </c>
      <c r="AJ4" s="7" t="n">
        <v>1059257.3</v>
      </c>
      <c r="AK4" s="7" t="n">
        <v>1424805.9</v>
      </c>
    </row>
    <row r="5">
      <c r="A5" s="6" t="inlineStr">
        <is>
          <t>浙江分部</t>
        </is>
      </c>
      <c r="B5" s="7" t="n">
        <v>1774761.5</v>
      </c>
      <c r="C5" s="7" t="n">
        <v>1186349.9</v>
      </c>
      <c r="D5" s="7" t="n">
        <v>1168954.9</v>
      </c>
      <c r="E5" s="7" t="n">
        <v>2004486</v>
      </c>
      <c r="F5" s="7" t="n">
        <v>1363392.6</v>
      </c>
      <c r="G5" s="7" t="n">
        <v>1438123.2</v>
      </c>
      <c r="H5" s="7" t="n">
        <v>1948043.9</v>
      </c>
      <c r="I5" s="7" t="n">
        <v>1113354.9</v>
      </c>
      <c r="J5" s="7" t="n">
        <v>1663222.2</v>
      </c>
      <c r="K5" s="7" t="n">
        <v>1611861.9</v>
      </c>
      <c r="L5" s="7" t="n">
        <v>1930964.6</v>
      </c>
      <c r="M5" s="7" t="n">
        <v>2026689</v>
      </c>
      <c r="N5" s="7" t="n">
        <v>1566294.3</v>
      </c>
      <c r="O5" s="7" t="n">
        <v>2002633</v>
      </c>
      <c r="P5" s="7" t="n">
        <v>2429493.1</v>
      </c>
      <c r="Q5" s="7" t="n">
        <v>1797447.5</v>
      </c>
      <c r="R5" s="7" t="n">
        <v>1121547.9</v>
      </c>
      <c r="S5" s="7" t="n">
        <v>1861102.3</v>
      </c>
      <c r="T5" s="7" t="n">
        <v>1860509.2</v>
      </c>
      <c r="U5" s="7" t="n">
        <v>1320138</v>
      </c>
      <c r="V5" s="7" t="n">
        <v>2063964</v>
      </c>
      <c r="W5" s="7" t="n">
        <v>1700691.7</v>
      </c>
      <c r="X5" s="7" t="n">
        <v>1615504.8</v>
      </c>
      <c r="Y5" s="7" t="n">
        <v>2219215.9</v>
      </c>
      <c r="Z5" s="7" t="n">
        <v>1960066.3</v>
      </c>
      <c r="AA5" s="7" t="n">
        <v>1681718.9</v>
      </c>
      <c r="AB5" s="7" t="n">
        <v>1652825</v>
      </c>
      <c r="AC5" s="7" t="n">
        <v>1923951.2</v>
      </c>
      <c r="AD5" s="7" t="n">
        <v>1924206.9</v>
      </c>
      <c r="AE5" s="7" t="n">
        <v>2200597.2</v>
      </c>
      <c r="AF5" s="7" t="n">
        <v>1881901.1</v>
      </c>
      <c r="AG5" s="7" t="n">
        <v>1537538.9</v>
      </c>
      <c r="AH5" s="7" t="n">
        <v>1595590.6</v>
      </c>
      <c r="AI5" s="7" t="n">
        <v>1641355.7</v>
      </c>
      <c r="AJ5" s="7" t="n">
        <v>993526.8</v>
      </c>
      <c r="AK5" s="7" t="n">
        <v>1150067.4</v>
      </c>
    </row>
    <row r="6">
      <c r="A6" s="6" t="inlineStr">
        <is>
          <t>上海分部</t>
        </is>
      </c>
      <c r="B6" s="7" t="n">
        <v>1638406.6</v>
      </c>
      <c r="C6" s="7" t="n">
        <v>789989.3</v>
      </c>
      <c r="D6" s="7" t="n">
        <v>1204998.8</v>
      </c>
      <c r="E6" s="7" t="n">
        <v>1678301.2</v>
      </c>
      <c r="F6" s="7" t="n">
        <v>984634.7</v>
      </c>
      <c r="G6" s="7" t="n">
        <v>1323343.4</v>
      </c>
      <c r="H6" s="7" t="n">
        <v>1637795.9</v>
      </c>
      <c r="I6" s="7" t="n">
        <v>1304621.2</v>
      </c>
      <c r="J6" s="7" t="n">
        <v>1738161</v>
      </c>
      <c r="K6" s="7" t="n">
        <v>1868698.5</v>
      </c>
      <c r="L6" s="7" t="n">
        <v>1186244.7</v>
      </c>
      <c r="M6" s="7" t="n">
        <v>1901414.9</v>
      </c>
      <c r="N6" s="7" t="n">
        <v>1994228.2</v>
      </c>
      <c r="O6" s="7" t="n">
        <v>1871567.7</v>
      </c>
      <c r="P6" s="7" t="n">
        <v>2310826.3</v>
      </c>
      <c r="Q6" s="7" t="n">
        <v>1674177.7</v>
      </c>
      <c r="R6" s="7" t="n">
        <v>2696675.4</v>
      </c>
      <c r="S6" s="7" t="n">
        <v>2704926.6</v>
      </c>
      <c r="T6" s="7" t="n">
        <v>1691501.8</v>
      </c>
      <c r="U6" s="7" t="n">
        <v>1880183</v>
      </c>
      <c r="V6" s="7" t="n">
        <v>2269226.4</v>
      </c>
      <c r="W6" s="7" t="n">
        <v>1840042.7</v>
      </c>
      <c r="X6" s="7" t="n">
        <v>1259639.7</v>
      </c>
      <c r="Y6" s="7" t="n">
        <v>1921855.4</v>
      </c>
      <c r="Z6" s="7" t="n">
        <v>1973371.1</v>
      </c>
      <c r="AA6" s="7" t="n">
        <v>1968759.9</v>
      </c>
      <c r="AB6" s="7" t="n">
        <v>1870425.2</v>
      </c>
      <c r="AC6" s="7" t="n">
        <v>2113153.1</v>
      </c>
      <c r="AD6" s="7" t="n">
        <v>1766638.6</v>
      </c>
      <c r="AE6" s="7" t="n">
        <v>1966494.4</v>
      </c>
      <c r="AF6" s="7" t="n">
        <v>1862471.5</v>
      </c>
      <c r="AG6" s="7" t="n">
        <v>966708.7</v>
      </c>
      <c r="AH6" s="7" t="n">
        <v>1589412.4</v>
      </c>
      <c r="AI6" s="7" t="n">
        <v>1728448.8</v>
      </c>
      <c r="AJ6" s="7" t="n">
        <v>1187552.2</v>
      </c>
      <c r="AK6" s="7" t="n">
        <v>1384597.2</v>
      </c>
    </row>
    <row r="7">
      <c r="A7" s="6" t="inlineStr">
        <is>
          <t>赣皖区域</t>
        </is>
      </c>
      <c r="B7" s="7" t="n">
        <v>1141142</v>
      </c>
      <c r="C7" s="7" t="n">
        <v>450830.5</v>
      </c>
      <c r="D7" s="7" t="n">
        <v>625311.8999999999</v>
      </c>
      <c r="E7" s="7" t="n">
        <v>1268551</v>
      </c>
      <c r="F7" s="7" t="n">
        <v>613141.6</v>
      </c>
      <c r="G7" s="7" t="n">
        <v>912700.5</v>
      </c>
      <c r="H7" s="7" t="n">
        <v>1253128.5</v>
      </c>
      <c r="I7" s="7" t="n">
        <v>853096</v>
      </c>
      <c r="J7" s="7" t="n">
        <v>1047232.5</v>
      </c>
      <c r="K7" s="7" t="n">
        <v>1325775.7</v>
      </c>
      <c r="L7" s="7" t="n">
        <v>1147546.9</v>
      </c>
      <c r="M7" s="7" t="n">
        <v>1264647.2</v>
      </c>
      <c r="N7" s="7" t="n">
        <v>1325983</v>
      </c>
      <c r="O7" s="7" t="n">
        <v>927847.3</v>
      </c>
      <c r="P7" s="7" t="n">
        <v>1288172.1</v>
      </c>
      <c r="Q7" s="7" t="n">
        <v>1328501.6</v>
      </c>
      <c r="R7" s="7" t="n">
        <v>1179927.3</v>
      </c>
      <c r="S7" s="7" t="n">
        <v>1459793.3</v>
      </c>
      <c r="T7" s="7" t="n">
        <v>1156053.7</v>
      </c>
      <c r="U7" s="7" t="n">
        <v>1540442.3</v>
      </c>
      <c r="V7" s="7" t="n">
        <v>1652505.9</v>
      </c>
      <c r="W7" s="7" t="n">
        <v>1133263.1</v>
      </c>
      <c r="X7" s="7" t="n">
        <v>899990.5</v>
      </c>
      <c r="Y7" s="7" t="n">
        <v>1400094.5</v>
      </c>
      <c r="Z7" s="7" t="n">
        <v>1277909.5</v>
      </c>
      <c r="AA7" s="7" t="n">
        <v>1286677.6</v>
      </c>
      <c r="AB7" s="7" t="n">
        <v>1183339.8</v>
      </c>
      <c r="AC7" s="7" t="n">
        <v>1292546.4</v>
      </c>
      <c r="AD7" s="7" t="n">
        <v>976541.6</v>
      </c>
      <c r="AE7" s="7" t="n">
        <v>1540676.1</v>
      </c>
      <c r="AF7" s="7" t="n">
        <v>1333193.3</v>
      </c>
      <c r="AG7" s="7" t="n">
        <v>1002068.9</v>
      </c>
      <c r="AH7" s="7" t="n">
        <v>1161105.9</v>
      </c>
      <c r="AI7" s="7" t="n">
        <v>1032254.3</v>
      </c>
      <c r="AJ7" s="7" t="n">
        <v>729957.6</v>
      </c>
      <c r="AK7" s="7" t="n">
        <v>855087.8999999999</v>
      </c>
    </row>
    <row r="8">
      <c r="A8" s="6" t="inlineStr">
        <is>
          <t>销售1总监费用</t>
        </is>
      </c>
      <c r="B8" s="7" t="n">
        <v>0</v>
      </c>
      <c r="C8" s="7" t="n">
        <v>20856.7</v>
      </c>
      <c r="D8" s="7" t="n">
        <v>19061.7</v>
      </c>
      <c r="E8" s="7" t="n">
        <v>0</v>
      </c>
      <c r="F8" s="7" t="n">
        <v>13597</v>
      </c>
      <c r="G8" s="7" t="n">
        <v>15502.6</v>
      </c>
      <c r="H8" s="7" t="n">
        <v>0</v>
      </c>
      <c r="I8" s="7" t="n">
        <v>10406.8</v>
      </c>
      <c r="J8" s="7" t="n">
        <v>13086.6</v>
      </c>
      <c r="K8" s="7" t="n">
        <v>0</v>
      </c>
      <c r="L8" s="7" t="n">
        <v>36556.8</v>
      </c>
      <c r="M8" s="7" t="n">
        <v>43777.1</v>
      </c>
      <c r="N8" s="7" t="n">
        <v>0</v>
      </c>
      <c r="O8" s="7" t="n">
        <v>12891.5</v>
      </c>
      <c r="P8" s="7" t="n">
        <v>14045.6</v>
      </c>
      <c r="Q8" s="7" t="n">
        <v>0</v>
      </c>
      <c r="R8" s="7" t="n">
        <v>44531.4</v>
      </c>
      <c r="S8" s="7" t="n">
        <v>40835</v>
      </c>
      <c r="T8" s="7" t="n">
        <v>0</v>
      </c>
      <c r="U8" s="7" t="n">
        <v>31547.7</v>
      </c>
      <c r="V8" s="7" t="n">
        <v>43404.8</v>
      </c>
      <c r="W8" s="7" t="n">
        <v>0</v>
      </c>
      <c r="X8" s="7" t="n">
        <v>27576.7</v>
      </c>
      <c r="Y8" s="7" t="n">
        <v>45347.3</v>
      </c>
      <c r="Z8" s="7" t="n">
        <v>0</v>
      </c>
      <c r="AA8" s="7" t="n">
        <v>11443.8</v>
      </c>
      <c r="AB8" s="7" t="n">
        <v>11509.9</v>
      </c>
      <c r="AC8" s="7" t="n">
        <v>0</v>
      </c>
      <c r="AD8" s="7" t="n">
        <v>18128.7</v>
      </c>
      <c r="AE8" s="7" t="n">
        <v>23470.6</v>
      </c>
      <c r="AF8" s="7" t="n">
        <v>0</v>
      </c>
      <c r="AG8" s="7" t="n">
        <v>39289.2</v>
      </c>
      <c r="AH8" s="7" t="n">
        <v>40652.3</v>
      </c>
      <c r="AI8" s="7" t="n">
        <v>0</v>
      </c>
      <c r="AJ8" s="7" t="n">
        <v>13933.1</v>
      </c>
      <c r="AK8" s="7" t="n">
        <v>15242</v>
      </c>
    </row>
    <row r="9">
      <c r="A9" s="6" t="inlineStr">
        <is>
          <t>合计</t>
        </is>
      </c>
      <c r="B9" s="8" t="n">
        <v>6175629.1</v>
      </c>
      <c r="C9" s="8" t="n">
        <v>3157947</v>
      </c>
      <c r="D9" s="8" t="n">
        <v>4151248.4</v>
      </c>
      <c r="E9" s="8" t="n">
        <v>6740888</v>
      </c>
      <c r="F9" s="8" t="n">
        <v>3976111.7</v>
      </c>
      <c r="G9" s="8" t="n">
        <v>4866334.4</v>
      </c>
      <c r="H9" s="8" t="n">
        <v>6593501.5</v>
      </c>
      <c r="I9" s="8" t="n">
        <v>4314122.3</v>
      </c>
      <c r="J9" s="8" t="n">
        <v>5900146.6</v>
      </c>
      <c r="K9" s="8" t="n">
        <v>6849750.7</v>
      </c>
      <c r="L9" s="8" t="n">
        <v>6516516.4</v>
      </c>
      <c r="M9" s="8" t="n">
        <v>7255373.3</v>
      </c>
      <c r="N9" s="8" t="n">
        <v>6590909.5</v>
      </c>
      <c r="O9" s="8" t="n">
        <v>6418965.9</v>
      </c>
      <c r="P9" s="8" t="n">
        <v>8079508.9</v>
      </c>
      <c r="Q9" s="8" t="n">
        <v>6472208.1</v>
      </c>
      <c r="R9" s="8" t="n">
        <v>6400887</v>
      </c>
      <c r="S9" s="8" t="n">
        <v>8278379.7</v>
      </c>
      <c r="T9" s="8" t="n">
        <v>6523049.2</v>
      </c>
      <c r="U9" s="8" t="n">
        <v>7594146.7</v>
      </c>
      <c r="V9" s="8" t="n">
        <v>8677685.1</v>
      </c>
      <c r="W9" s="8" t="n">
        <v>6474198.7</v>
      </c>
      <c r="X9" s="8" t="n">
        <v>5725078.2</v>
      </c>
      <c r="Y9" s="8" t="n">
        <v>7471947.4</v>
      </c>
      <c r="Z9" s="8" t="n">
        <v>6932280</v>
      </c>
      <c r="AA9" s="8" t="n">
        <v>6647571.6</v>
      </c>
      <c r="AB9" s="8" t="n">
        <v>6554864.8</v>
      </c>
      <c r="AC9" s="8" t="n">
        <v>7034690.7</v>
      </c>
      <c r="AD9" s="8" t="n">
        <v>7124065.2</v>
      </c>
      <c r="AE9" s="8" t="n">
        <v>8180342.6</v>
      </c>
      <c r="AF9" s="8" t="n">
        <v>7155042.7</v>
      </c>
      <c r="AG9" s="8" t="n">
        <v>4789950.4</v>
      </c>
      <c r="AH9" s="8" t="n">
        <v>6247325</v>
      </c>
      <c r="AI9" s="8" t="n">
        <v>6214011.2</v>
      </c>
      <c r="AJ9" s="8" t="n">
        <v>3984227</v>
      </c>
      <c r="AK9" s="8" t="n">
        <v>4829800.4</v>
      </c>
    </row>
    <row r="11">
      <c r="A11" s="2" t="inlineStr">
        <is>
          <t>区域</t>
        </is>
      </c>
      <c r="B11" s="2" t="inlineStr">
        <is>
          <t>1月</t>
        </is>
      </c>
      <c r="E11" s="2" t="inlineStr">
        <is>
          <t>2月</t>
        </is>
      </c>
      <c r="H11" s="2" t="inlineStr">
        <is>
          <t>3月</t>
        </is>
      </c>
      <c r="K11" s="2" t="inlineStr">
        <is>
          <t>4月</t>
        </is>
      </c>
      <c r="N11" s="2" t="inlineStr">
        <is>
          <t>5月</t>
        </is>
      </c>
      <c r="Q11" s="2" t="inlineStr">
        <is>
          <t>6月</t>
        </is>
      </c>
      <c r="T11" s="2" t="inlineStr">
        <is>
          <t>7月</t>
        </is>
      </c>
      <c r="W11" s="2" t="inlineStr">
        <is>
          <t>8月</t>
        </is>
      </c>
      <c r="Z11" s="2" t="inlineStr">
        <is>
          <t>9月</t>
        </is>
      </c>
      <c r="AC11" s="2" t="inlineStr">
        <is>
          <t>10月</t>
        </is>
      </c>
      <c r="AF11" s="2" t="inlineStr">
        <is>
          <t>11月</t>
        </is>
      </c>
      <c r="AI11" s="2" t="inlineStr">
        <is>
          <t>12月</t>
        </is>
      </c>
    </row>
    <row r="12">
      <c r="A12" s="4" t="n"/>
      <c r="B12" s="2" t="inlineStr">
        <is>
          <t>预算净利</t>
        </is>
      </c>
      <c r="C12" s="2" t="inlineStr">
        <is>
          <t>24年同期实际</t>
        </is>
      </c>
      <c r="D12" s="2" t="inlineStr">
        <is>
          <t>实际净利</t>
        </is>
      </c>
      <c r="E12" s="2" t="inlineStr">
        <is>
          <t>预算净利</t>
        </is>
      </c>
      <c r="F12" s="2" t="inlineStr">
        <is>
          <t>24年同期实际</t>
        </is>
      </c>
      <c r="G12" s="2" t="inlineStr">
        <is>
          <t>实际净利</t>
        </is>
      </c>
      <c r="H12" s="2" t="inlineStr">
        <is>
          <t>预算净利</t>
        </is>
      </c>
      <c r="I12" s="2" t="inlineStr">
        <is>
          <t>24年同期实际</t>
        </is>
      </c>
      <c r="J12" s="2" t="inlineStr">
        <is>
          <t>实际净利</t>
        </is>
      </c>
      <c r="K12" s="2" t="inlineStr">
        <is>
          <t>预算净利</t>
        </is>
      </c>
      <c r="L12" s="2" t="inlineStr">
        <is>
          <t>24年同期实际</t>
        </is>
      </c>
      <c r="M12" s="2" t="inlineStr">
        <is>
          <t>实际净利</t>
        </is>
      </c>
      <c r="N12" s="2" t="inlineStr">
        <is>
          <t>预算净利</t>
        </is>
      </c>
      <c r="O12" s="2" t="inlineStr">
        <is>
          <t>24年同期实际</t>
        </is>
      </c>
      <c r="P12" s="2" t="inlineStr">
        <is>
          <t>实际净利</t>
        </is>
      </c>
      <c r="Q12" s="2" t="inlineStr">
        <is>
          <t>预算净利</t>
        </is>
      </c>
      <c r="R12" s="2" t="inlineStr">
        <is>
          <t>24年同期实际</t>
        </is>
      </c>
      <c r="S12" s="2" t="inlineStr">
        <is>
          <t>实际净利</t>
        </is>
      </c>
      <c r="T12" s="2" t="inlineStr">
        <is>
          <t>预算净利</t>
        </is>
      </c>
      <c r="U12" s="2" t="inlineStr">
        <is>
          <t>24年同期实际</t>
        </is>
      </c>
      <c r="V12" s="2" t="inlineStr">
        <is>
          <t>实际净利</t>
        </is>
      </c>
      <c r="W12" s="2" t="inlineStr">
        <is>
          <t>预算净利</t>
        </is>
      </c>
      <c r="X12" s="2" t="inlineStr">
        <is>
          <t>24年同期实际</t>
        </is>
      </c>
      <c r="Y12" s="2" t="inlineStr">
        <is>
          <t>实际净利</t>
        </is>
      </c>
      <c r="Z12" s="2" t="inlineStr">
        <is>
          <t>预算净利</t>
        </is>
      </c>
      <c r="AA12" s="2" t="inlineStr">
        <is>
          <t>24年同期实际</t>
        </is>
      </c>
      <c r="AB12" s="2" t="inlineStr">
        <is>
          <t>实际净利</t>
        </is>
      </c>
      <c r="AC12" s="2" t="inlineStr">
        <is>
          <t>预算净利</t>
        </is>
      </c>
      <c r="AD12" s="2" t="inlineStr">
        <is>
          <t>24年同期实际</t>
        </is>
      </c>
      <c r="AE12" s="2" t="inlineStr">
        <is>
          <t>实际净利</t>
        </is>
      </c>
      <c r="AF12" s="2" t="inlineStr">
        <is>
          <t>预算净利</t>
        </is>
      </c>
      <c r="AG12" s="2" t="inlineStr">
        <is>
          <t>24年同期实际</t>
        </is>
      </c>
      <c r="AH12" s="2" t="inlineStr">
        <is>
          <t>实际净利</t>
        </is>
      </c>
      <c r="AI12" s="2" t="inlineStr">
        <is>
          <t>预算净利</t>
        </is>
      </c>
      <c r="AJ12" s="2" t="inlineStr">
        <is>
          <t>24年同期实际</t>
        </is>
      </c>
      <c r="AK12" s="2" t="inlineStr">
        <is>
          <t>实际净利</t>
        </is>
      </c>
    </row>
    <row r="13">
      <c r="A13" s="6" t="inlineStr">
        <is>
          <t>江苏分部</t>
        </is>
      </c>
      <c r="B13" s="7" t="n">
        <v>113349.7</v>
      </c>
      <c r="C13" s="7" t="n">
        <v>152888.5</v>
      </c>
      <c r="D13" s="7" t="n">
        <v>120242.5</v>
      </c>
      <c r="E13" s="7" t="n">
        <v>142983.4</v>
      </c>
      <c r="F13" s="7" t="n">
        <v>109052.3</v>
      </c>
      <c r="G13" s="7" t="n">
        <v>88288.10000000001</v>
      </c>
      <c r="H13" s="7" t="n">
        <v>199074</v>
      </c>
      <c r="I13" s="7" t="n">
        <v>30008.7</v>
      </c>
      <c r="J13" s="7" t="n">
        <v>36045.7</v>
      </c>
      <c r="K13" s="7" t="n">
        <v>132458.8</v>
      </c>
      <c r="L13" s="7" t="n">
        <v>131792.7</v>
      </c>
      <c r="M13" s="7" t="n">
        <v>242116.6</v>
      </c>
      <c r="N13" s="7" t="n">
        <v>180457.9</v>
      </c>
      <c r="O13" s="7" t="n">
        <v>220746.5</v>
      </c>
      <c r="P13" s="7" t="n">
        <v>211035.9</v>
      </c>
      <c r="Q13" s="7" t="n">
        <v>150017.2</v>
      </c>
      <c r="R13" s="7" t="n">
        <v>339607.1</v>
      </c>
      <c r="S13" s="7" t="n">
        <v>258549.5</v>
      </c>
      <c r="T13" s="7" t="n">
        <v>147056.9</v>
      </c>
      <c r="U13" s="7" t="n">
        <v>201397.9</v>
      </c>
      <c r="V13" s="7" t="n">
        <v>298327.8</v>
      </c>
      <c r="W13" s="7" t="n">
        <v>196484.6</v>
      </c>
      <c r="X13" s="7" t="n">
        <v>252918.1</v>
      </c>
      <c r="Y13" s="7" t="n">
        <v>197724.7</v>
      </c>
      <c r="Z13" s="7" t="n">
        <v>200009.6</v>
      </c>
      <c r="AA13" s="7" t="n">
        <v>64902.4</v>
      </c>
      <c r="AB13" s="7" t="n">
        <v>67282.7</v>
      </c>
      <c r="AC13" s="7" t="n">
        <v>159338.2</v>
      </c>
      <c r="AD13" s="7" t="n">
        <v>200730.6</v>
      </c>
      <c r="AE13" s="7" t="n">
        <v>167920.7</v>
      </c>
      <c r="AF13" s="7" t="n">
        <v>174383.7</v>
      </c>
      <c r="AG13" s="7" t="n">
        <v>87121.39999999999</v>
      </c>
      <c r="AH13" s="7" t="n">
        <v>76980.3</v>
      </c>
      <c r="AI13" s="7" t="n">
        <v>122245.4</v>
      </c>
      <c r="AJ13" s="7" t="n">
        <v>112312.2</v>
      </c>
      <c r="AK13" s="7" t="n">
        <v>85636.60000000001</v>
      </c>
    </row>
    <row r="14">
      <c r="A14" s="6" t="inlineStr">
        <is>
          <t>浙江分部</t>
        </is>
      </c>
      <c r="B14" s="7" t="n">
        <v>121285.8</v>
      </c>
      <c r="C14" s="7" t="n">
        <v>26272.3</v>
      </c>
      <c r="D14" s="7" t="n">
        <v>46656.5</v>
      </c>
      <c r="E14" s="7" t="n">
        <v>78000</v>
      </c>
      <c r="F14" s="7" t="n">
        <v>41189.2</v>
      </c>
      <c r="G14" s="7" t="n">
        <v>32275.1</v>
      </c>
      <c r="H14" s="7" t="n">
        <v>127600.9</v>
      </c>
      <c r="I14" s="7" t="n">
        <v>70856</v>
      </c>
      <c r="J14" s="7" t="n">
        <v>73987.2</v>
      </c>
      <c r="K14" s="7" t="n">
        <v>128870.7</v>
      </c>
      <c r="L14" s="7" t="n">
        <v>108566</v>
      </c>
      <c r="M14" s="7" t="n">
        <v>136829.1</v>
      </c>
      <c r="N14" s="7" t="n">
        <v>84723.5</v>
      </c>
      <c r="O14" s="7" t="n">
        <v>138688.5</v>
      </c>
      <c r="P14" s="7" t="n">
        <v>255033</v>
      </c>
      <c r="Q14" s="7" t="n">
        <v>105920.7</v>
      </c>
      <c r="R14" s="7" t="n">
        <v>35516.4</v>
      </c>
      <c r="S14" s="7" t="n">
        <v>50776.1</v>
      </c>
      <c r="T14" s="7" t="n">
        <v>89334.7</v>
      </c>
      <c r="U14" s="7" t="n">
        <v>68723.60000000001</v>
      </c>
      <c r="V14" s="7" t="n">
        <v>126818.4</v>
      </c>
      <c r="W14" s="7" t="n">
        <v>141375</v>
      </c>
      <c r="X14" s="7" t="n">
        <v>263945.1</v>
      </c>
      <c r="Y14" s="7" t="n">
        <v>184142.9</v>
      </c>
      <c r="Z14" s="7" t="n">
        <v>112096.5</v>
      </c>
      <c r="AA14" s="7" t="n">
        <v>66196.10000000001</v>
      </c>
      <c r="AB14" s="7" t="n">
        <v>65193.2</v>
      </c>
      <c r="AC14" s="7" t="n">
        <v>80972.7</v>
      </c>
      <c r="AD14" s="7" t="n">
        <v>293731.7</v>
      </c>
      <c r="AE14" s="7" t="n">
        <v>197251.5</v>
      </c>
      <c r="AF14" s="7" t="n">
        <v>94213</v>
      </c>
      <c r="AG14" s="7" t="n">
        <v>115561.8</v>
      </c>
      <c r="AH14" s="7" t="n">
        <v>110794.2</v>
      </c>
      <c r="AI14" s="7" t="n">
        <v>134080.2</v>
      </c>
      <c r="AJ14" s="7" t="n">
        <v>38465.1</v>
      </c>
      <c r="AK14" s="7" t="n">
        <v>51061.2</v>
      </c>
    </row>
    <row r="15">
      <c r="A15" s="6" t="inlineStr">
        <is>
          <t>上海分部</t>
        </is>
      </c>
      <c r="B15" s="7" t="n">
        <v>110507.2</v>
      </c>
      <c r="C15" s="7" t="n">
        <v>45385.9</v>
      </c>
      <c r="D15" s="7" t="n">
        <v>36213.4</v>
      </c>
      <c r="E15" s="7" t="n">
        <v>135964.2</v>
      </c>
      <c r="F15" s="7" t="n">
        <v>36044.7</v>
      </c>
      <c r="G15" s="7" t="n">
        <v>52155.3</v>
      </c>
      <c r="H15" s="7" t="n">
        <v>116053.1</v>
      </c>
      <c r="I15" s="7" t="n">
        <v>63676.2</v>
      </c>
      <c r="J15" s="7" t="n">
        <v>74303.5</v>
      </c>
      <c r="K15" s="7" t="n">
        <v>109075</v>
      </c>
      <c r="L15" s="7" t="n">
        <v>92409.60000000001</v>
      </c>
      <c r="M15" s="7" t="n">
        <v>72147.60000000001</v>
      </c>
      <c r="N15" s="7" t="n">
        <v>107146.4</v>
      </c>
      <c r="O15" s="7" t="n">
        <v>67587.89999999999</v>
      </c>
      <c r="P15" s="7" t="n">
        <v>49486</v>
      </c>
      <c r="Q15" s="7" t="n">
        <v>90072.10000000001</v>
      </c>
      <c r="R15" s="7" t="n">
        <v>165202.1</v>
      </c>
      <c r="S15" s="7" t="n">
        <v>198578.2</v>
      </c>
      <c r="T15" s="7" t="n">
        <v>81205.89999999999</v>
      </c>
      <c r="U15" s="7" t="n">
        <v>67213.5</v>
      </c>
      <c r="V15" s="7" t="n">
        <v>107632</v>
      </c>
      <c r="W15" s="7" t="n">
        <v>140520.6</v>
      </c>
      <c r="X15" s="7" t="n">
        <v>195896.7</v>
      </c>
      <c r="Y15" s="7" t="n">
        <v>225682.5</v>
      </c>
      <c r="Z15" s="7" t="n">
        <v>109630.5</v>
      </c>
      <c r="AA15" s="7" t="n">
        <v>195792.8</v>
      </c>
      <c r="AB15" s="7" t="n">
        <v>140910.2</v>
      </c>
      <c r="AC15" s="7" t="n">
        <v>132590.5</v>
      </c>
      <c r="AD15" s="7" t="n">
        <v>219414.7</v>
      </c>
      <c r="AE15" s="7" t="n">
        <v>176476.6</v>
      </c>
      <c r="AF15" s="7" t="n">
        <v>104495.5</v>
      </c>
      <c r="AG15" s="7" t="n">
        <v>72324.89999999999</v>
      </c>
      <c r="AH15" s="7" t="n">
        <v>51859.3</v>
      </c>
      <c r="AI15" s="7" t="n">
        <v>82719.7</v>
      </c>
      <c r="AJ15" s="7" t="n">
        <v>131169.2</v>
      </c>
      <c r="AK15" s="7" t="n">
        <v>147938.8</v>
      </c>
    </row>
    <row r="16">
      <c r="A16" s="6" t="inlineStr">
        <is>
          <t>赣皖区域</t>
        </is>
      </c>
      <c r="B16" s="7" t="n">
        <v>70714.3</v>
      </c>
      <c r="C16" s="7" t="n">
        <v>24736</v>
      </c>
      <c r="D16" s="7" t="n">
        <v>16784.7</v>
      </c>
      <c r="E16" s="7" t="n">
        <v>114458.3</v>
      </c>
      <c r="F16" s="7" t="n">
        <v>75572.10000000001</v>
      </c>
      <c r="G16" s="7" t="n">
        <v>75860.10000000001</v>
      </c>
      <c r="H16" s="7" t="n">
        <v>85139.7</v>
      </c>
      <c r="I16" s="7" t="n">
        <v>117096.6</v>
      </c>
      <c r="J16" s="7" t="n">
        <v>117387.3</v>
      </c>
      <c r="K16" s="7" t="n">
        <v>89890.7</v>
      </c>
      <c r="L16" s="7" t="n">
        <v>215686.3</v>
      </c>
      <c r="M16" s="7" t="n">
        <v>151432.1</v>
      </c>
      <c r="N16" s="7" t="n">
        <v>76521.10000000001</v>
      </c>
      <c r="O16" s="7" t="n">
        <v>124310.7</v>
      </c>
      <c r="P16" s="7" t="n">
        <v>121959.8</v>
      </c>
      <c r="Q16" s="7" t="n">
        <v>99006.5</v>
      </c>
      <c r="R16" s="7" t="n">
        <v>120417</v>
      </c>
      <c r="S16" s="7" t="n">
        <v>92546.7</v>
      </c>
      <c r="T16" s="7" t="n">
        <v>101033.6</v>
      </c>
      <c r="U16" s="7" t="n">
        <v>60517.1</v>
      </c>
      <c r="V16" s="7" t="n">
        <v>49317.9</v>
      </c>
      <c r="W16" s="7" t="n">
        <v>114246.9</v>
      </c>
      <c r="X16" s="7" t="n">
        <v>67579.7</v>
      </c>
      <c r="Y16" s="7" t="n">
        <v>116732.6</v>
      </c>
      <c r="Z16" s="7" t="n">
        <v>77944.7</v>
      </c>
      <c r="AA16" s="7" t="n">
        <v>139926.2</v>
      </c>
      <c r="AB16" s="7" t="n">
        <v>126922.6</v>
      </c>
      <c r="AC16" s="7" t="n">
        <v>72637.3</v>
      </c>
      <c r="AD16" s="7" t="n">
        <v>131136.6</v>
      </c>
      <c r="AE16" s="7" t="n">
        <v>99170</v>
      </c>
      <c r="AF16" s="7" t="n">
        <v>118814.1</v>
      </c>
      <c r="AG16" s="7" t="n">
        <v>108523.4</v>
      </c>
      <c r="AH16" s="7" t="n">
        <v>103803</v>
      </c>
      <c r="AI16" s="7" t="n">
        <v>104169.8</v>
      </c>
      <c r="AJ16" s="7" t="n">
        <v>77483.39999999999</v>
      </c>
      <c r="AK16" s="7" t="n">
        <v>94352.5</v>
      </c>
    </row>
    <row r="17">
      <c r="A17" s="6" t="inlineStr">
        <is>
          <t>销售1总监费用</t>
        </is>
      </c>
      <c r="B17" s="7" t="n">
        <v>-26156.8</v>
      </c>
      <c r="C17" s="7" t="n">
        <v>-11057.1</v>
      </c>
      <c r="D17" s="7" t="n">
        <v>-19061.7</v>
      </c>
      <c r="E17" s="7" t="n">
        <v>-24409.2</v>
      </c>
      <c r="F17" s="7" t="n">
        <v>-17997.3</v>
      </c>
      <c r="G17" s="7" t="n">
        <v>-15502.6</v>
      </c>
      <c r="H17" s="7" t="n">
        <v>-29861.2</v>
      </c>
      <c r="I17" s="7" t="n">
        <v>-10554.3</v>
      </c>
      <c r="J17" s="7" t="n">
        <v>-13086.6</v>
      </c>
      <c r="K17" s="7" t="n">
        <v>-29370.3</v>
      </c>
      <c r="L17" s="7" t="n">
        <v>-48269.6</v>
      </c>
      <c r="M17" s="7" t="n">
        <v>-43777.1</v>
      </c>
      <c r="N17" s="7" t="n">
        <v>-29679.5</v>
      </c>
      <c r="O17" s="7" t="n">
        <v>-13007.9</v>
      </c>
      <c r="P17" s="7" t="n">
        <v>-14045.6</v>
      </c>
      <c r="Q17" s="7" t="n">
        <v>-24436</v>
      </c>
      <c r="R17" s="7" t="n">
        <v>-48584</v>
      </c>
      <c r="S17" s="7" t="n">
        <v>-40835</v>
      </c>
      <c r="T17" s="7" t="n">
        <v>-26653.4</v>
      </c>
      <c r="U17" s="7" t="n">
        <v>-36961.2</v>
      </c>
      <c r="V17" s="7" t="n">
        <v>-43404.8</v>
      </c>
      <c r="W17" s="7" t="n">
        <v>-26434.9</v>
      </c>
      <c r="X17" s="7" t="n">
        <v>-24594.3</v>
      </c>
      <c r="Y17" s="7" t="n">
        <v>-45347.3</v>
      </c>
      <c r="Z17" s="7" t="n">
        <v>-28598.4</v>
      </c>
      <c r="AA17" s="7" t="n">
        <v>-15769</v>
      </c>
      <c r="AB17" s="7" t="n">
        <v>-11509.9</v>
      </c>
      <c r="AC17" s="7" t="n">
        <v>-25022.6</v>
      </c>
      <c r="AD17" s="7" t="n">
        <v>-20010.1</v>
      </c>
      <c r="AE17" s="7" t="n">
        <v>-23470.6</v>
      </c>
      <c r="AF17" s="7" t="n">
        <v>-26706.6</v>
      </c>
      <c r="AG17" s="7" t="n">
        <v>-60903.3</v>
      </c>
      <c r="AH17" s="7" t="n">
        <v>-40652.3</v>
      </c>
      <c r="AI17" s="7" t="n">
        <v>-25408.8</v>
      </c>
      <c r="AJ17" s="7" t="n">
        <v>-11805.8</v>
      </c>
      <c r="AK17" s="7" t="n">
        <v>-15242</v>
      </c>
    </row>
    <row r="18">
      <c r="A18" s="6" t="inlineStr">
        <is>
          <t>合计</t>
        </is>
      </c>
      <c r="B18" s="8" t="n">
        <v>389700.2</v>
      </c>
      <c r="C18" s="8" t="n">
        <v>238225.6</v>
      </c>
      <c r="D18" s="8" t="n">
        <v>200835.4</v>
      </c>
      <c r="E18" s="8" t="n">
        <v>446996.7</v>
      </c>
      <c r="F18" s="8" t="n">
        <v>243861</v>
      </c>
      <c r="G18" s="8" t="n">
        <v>233076</v>
      </c>
      <c r="H18" s="8" t="n">
        <v>498006.5</v>
      </c>
      <c r="I18" s="8" t="n">
        <v>271083.2</v>
      </c>
      <c r="J18" s="8" t="n">
        <v>288637.1</v>
      </c>
      <c r="K18" s="8" t="n">
        <v>430924.9</v>
      </c>
      <c r="L18" s="8" t="n">
        <v>500185</v>
      </c>
      <c r="M18" s="8" t="n">
        <v>558748.3</v>
      </c>
      <c r="N18" s="8" t="n">
        <v>419169.4</v>
      </c>
      <c r="O18" s="8" t="n">
        <v>538325.7</v>
      </c>
      <c r="P18" s="8" t="n">
        <v>623469.1</v>
      </c>
      <c r="Q18" s="8" t="n">
        <v>420580.5</v>
      </c>
      <c r="R18" s="8" t="n">
        <v>612158.6</v>
      </c>
      <c r="S18" s="8" t="n">
        <v>559615.5</v>
      </c>
      <c r="T18" s="8" t="n">
        <v>391977.7</v>
      </c>
      <c r="U18" s="8" t="n">
        <v>360890.9</v>
      </c>
      <c r="V18" s="8" t="n">
        <v>538691.3</v>
      </c>
      <c r="W18" s="8" t="n">
        <v>566192.2</v>
      </c>
      <c r="X18" s="8" t="n">
        <v>755745.3</v>
      </c>
      <c r="Y18" s="8" t="n">
        <v>678935.4</v>
      </c>
      <c r="Z18" s="8" t="n">
        <v>471082.9</v>
      </c>
      <c r="AA18" s="8" t="n">
        <v>451048.5</v>
      </c>
      <c r="AB18" s="8" t="n">
        <v>388798.8</v>
      </c>
      <c r="AC18" s="8" t="n">
        <v>420516.1</v>
      </c>
      <c r="AD18" s="8" t="n">
        <v>825003.5</v>
      </c>
      <c r="AE18" s="8" t="n">
        <v>617348.2</v>
      </c>
      <c r="AF18" s="8" t="n">
        <v>465199.7</v>
      </c>
      <c r="AG18" s="8" t="n">
        <v>322628.2</v>
      </c>
      <c r="AH18" s="8" t="n">
        <v>302784.5</v>
      </c>
      <c r="AI18" s="8" t="n">
        <v>417806.3</v>
      </c>
      <c r="AJ18" s="8" t="n">
        <v>347624.1</v>
      </c>
      <c r="AK18" s="8" t="n">
        <v>363747.1</v>
      </c>
    </row>
    <row r="19">
      <c r="A19" t="inlineStr">
        <is>
          <t>备注：</t>
        </is>
      </c>
    </row>
    <row r="20">
      <c r="A20" t="inlineStr">
        <is>
          <t>本表收入为扣除返利后收入，利润为分红前利润</t>
        </is>
      </c>
    </row>
    <row r="21">
      <c r="A21" t="inlineStr">
        <is>
          <t>编制说明：</t>
        </is>
      </c>
    </row>
  </sheetData>
  <mergeCells count="25">
    <mergeCell ref="B11:D11"/>
    <mergeCell ref="N2:P2"/>
    <mergeCell ref="AI11:AK11"/>
    <mergeCell ref="H2:J2"/>
    <mergeCell ref="H11:J11"/>
    <mergeCell ref="T11:V11"/>
    <mergeCell ref="T2:V2"/>
    <mergeCell ref="Z2:AB2"/>
    <mergeCell ref="E2:G2"/>
    <mergeCell ref="K2:M2"/>
    <mergeCell ref="AF11:AH11"/>
    <mergeCell ref="E11:G11"/>
    <mergeCell ref="AF2:AH2"/>
    <mergeCell ref="A1:AL1"/>
    <mergeCell ref="B2:D2"/>
    <mergeCell ref="W11:Y11"/>
    <mergeCell ref="Q2:S2"/>
    <mergeCell ref="W2:Y2"/>
    <mergeCell ref="AI2:AK2"/>
    <mergeCell ref="Q11:S11"/>
    <mergeCell ref="AC11:AE11"/>
    <mergeCell ref="AC2:AE2"/>
    <mergeCell ref="N11:P11"/>
    <mergeCell ref="Z11:AB11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宁波味觉销售1中心利润表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7178695.9</v>
      </c>
      <c r="D6" s="7" t="n">
        <v>4015428.1</v>
      </c>
      <c r="E6" s="7" t="n">
        <v>6578227.8</v>
      </c>
      <c r="F6" s="7" t="n">
        <v>4785889.9</v>
      </c>
      <c r="G6" s="7" t="n">
        <v>6748749.4</v>
      </c>
      <c r="H6" s="7" t="n">
        <v>5862486</v>
      </c>
      <c r="I6" s="7" t="n">
        <v>6298725.3</v>
      </c>
      <c r="J6" s="7" t="n">
        <v>7102750.4</v>
      </c>
      <c r="K6" s="7" t="n">
        <v>7299121.5</v>
      </c>
      <c r="L6" s="7" t="n">
        <v>8017705</v>
      </c>
      <c r="M6" s="7" t="n">
        <v>6618486.9</v>
      </c>
      <c r="N6" s="7" t="n">
        <v>8122877.9</v>
      </c>
      <c r="O6" s="7" t="n">
        <v>7352211.2</v>
      </c>
      <c r="P6" s="7" t="n">
        <v>8547877.300000001</v>
      </c>
      <c r="Q6" s="7" t="n">
        <v>6415715.2</v>
      </c>
      <c r="R6" s="7" t="n">
        <v>7351745.1</v>
      </c>
      <c r="S6" s="7" t="n">
        <v>7576712.4</v>
      </c>
      <c r="T6" s="7" t="n">
        <v>6507920.5</v>
      </c>
      <c r="U6" s="7" t="n">
        <v>7651487.5</v>
      </c>
      <c r="V6" s="7" t="n">
        <v>8100673</v>
      </c>
      <c r="W6" s="7" t="n">
        <v>6603785</v>
      </c>
      <c r="X6" s="7" t="n">
        <v>6118861.9</v>
      </c>
      <c r="Y6" s="7" t="n">
        <v>6243217.3</v>
      </c>
      <c r="Z6" s="7" t="n">
        <v>4814044.3</v>
      </c>
      <c r="AA6" s="8" t="n">
        <v>82565135.40000001</v>
      </c>
      <c r="AB6" s="8" t="n">
        <v>79348259.40000001</v>
      </c>
    </row>
    <row r="7">
      <c r="A7" s="4" t="inlineStr">
        <is>
          <t>中式汤底</t>
        </is>
      </c>
      <c r="D7" s="7" t="n">
        <v>537566.4</v>
      </c>
      <c r="F7" s="7" t="n">
        <v>674445.0999999999</v>
      </c>
      <c r="H7" s="7" t="n">
        <v>908448.6</v>
      </c>
      <c r="J7" s="7" t="n">
        <v>1023301.8</v>
      </c>
      <c r="L7" s="7" t="n">
        <v>1144799.7</v>
      </c>
      <c r="N7" s="7" t="n">
        <v>1041184.8</v>
      </c>
      <c r="P7" s="7" t="n">
        <v>1224525.3</v>
      </c>
      <c r="R7" s="7" t="n">
        <v>729467.8</v>
      </c>
      <c r="T7" s="7" t="n">
        <v>915800.2</v>
      </c>
      <c r="V7" s="7" t="n">
        <v>1189654.6</v>
      </c>
      <c r="X7" s="7" t="n">
        <v>658264.7999999999</v>
      </c>
      <c r="Z7" s="7" t="n">
        <v>644652.2</v>
      </c>
      <c r="AB7" s="7" t="n">
        <v>10692111.3</v>
      </c>
    </row>
    <row r="8">
      <c r="A8" s="4" t="inlineStr">
        <is>
          <t>酱料</t>
        </is>
      </c>
      <c r="D8" s="7" t="n">
        <v>319143.4</v>
      </c>
      <c r="F8" s="7" t="n">
        <v>584828.5</v>
      </c>
      <c r="H8" s="7" t="n">
        <v>553641.7999999999</v>
      </c>
      <c r="J8" s="7" t="n">
        <v>733475.1</v>
      </c>
      <c r="L8" s="7" t="n">
        <v>874805.7999999999</v>
      </c>
      <c r="N8" s="7" t="n">
        <v>937637.6000000001</v>
      </c>
      <c r="P8" s="7" t="n">
        <v>986980.4000000001</v>
      </c>
      <c r="R8" s="7" t="n">
        <v>901953.8</v>
      </c>
      <c r="T8" s="7" t="n">
        <v>598780.2000000001</v>
      </c>
      <c r="V8" s="7" t="n">
        <v>1030653.5</v>
      </c>
      <c r="X8" s="7" t="n">
        <v>731406.4</v>
      </c>
      <c r="Z8" s="7" t="n">
        <v>581357.7</v>
      </c>
      <c r="AB8" s="7" t="n">
        <v>8834664.199999999</v>
      </c>
    </row>
    <row r="9">
      <c r="A9" s="4" t="inlineStr">
        <is>
          <t>川味底料</t>
        </is>
      </c>
      <c r="D9" s="7" t="n">
        <v>443259.5</v>
      </c>
      <c r="F9" s="7" t="n">
        <v>749020.3999999999</v>
      </c>
      <c r="H9" s="7" t="n">
        <v>689724.6</v>
      </c>
      <c r="J9" s="7" t="n">
        <v>814940.6</v>
      </c>
      <c r="L9" s="7" t="n">
        <v>1119980.5</v>
      </c>
      <c r="N9" s="7" t="n">
        <v>1050447.3</v>
      </c>
      <c r="P9" s="7" t="n">
        <v>1276371.8</v>
      </c>
      <c r="R9" s="7" t="n">
        <v>972712.3</v>
      </c>
      <c r="T9" s="7" t="n">
        <v>808751.1000000001</v>
      </c>
      <c r="V9" s="7" t="n">
        <v>847534.5</v>
      </c>
      <c r="X9" s="7" t="n">
        <v>921438</v>
      </c>
      <c r="Z9" s="7" t="n">
        <v>695976.6</v>
      </c>
      <c r="AB9" s="7" t="n">
        <v>10390157.2</v>
      </c>
    </row>
    <row r="10">
      <c r="A10" s="4" t="inlineStr">
        <is>
          <t>调味汁</t>
        </is>
      </c>
      <c r="D10" s="7" t="n">
        <v>786106.2999999999</v>
      </c>
      <c r="F10" s="7" t="n">
        <v>657873.8</v>
      </c>
      <c r="H10" s="7" t="n">
        <v>1071704.1</v>
      </c>
      <c r="J10" s="7" t="n">
        <v>1440649.7</v>
      </c>
      <c r="L10" s="7" t="n">
        <v>1230073.6</v>
      </c>
      <c r="N10" s="7" t="n">
        <v>1510226.2</v>
      </c>
      <c r="P10" s="7" t="n">
        <v>1345956.6</v>
      </c>
      <c r="R10" s="7" t="n">
        <v>1378006.6</v>
      </c>
      <c r="T10" s="7" t="n">
        <v>1190981.9</v>
      </c>
      <c r="V10" s="7" t="n">
        <v>1366847.5</v>
      </c>
      <c r="X10" s="7" t="n">
        <v>1227734.9</v>
      </c>
      <c r="Z10" s="7" t="n">
        <v>962552.1</v>
      </c>
      <c r="AB10" s="7" t="n">
        <v>14168713.3</v>
      </c>
    </row>
    <row r="11">
      <c r="A11" s="4" t="inlineStr">
        <is>
          <t>复合调味粉</t>
        </is>
      </c>
      <c r="D11" s="7" t="n">
        <v>700920.8</v>
      </c>
      <c r="F11" s="7" t="n">
        <v>676230.1</v>
      </c>
      <c r="H11" s="7" t="n">
        <v>762356.2</v>
      </c>
      <c r="J11" s="7" t="n">
        <v>1151999.5</v>
      </c>
      <c r="L11" s="7" t="n">
        <v>1365871.2</v>
      </c>
      <c r="N11" s="7" t="n">
        <v>1200174.2</v>
      </c>
      <c r="P11" s="7" t="n">
        <v>1271900.6</v>
      </c>
      <c r="R11" s="7" t="n">
        <v>1130521</v>
      </c>
      <c r="T11" s="7" t="n">
        <v>1015173.7</v>
      </c>
      <c r="V11" s="7" t="n">
        <v>1325004.3</v>
      </c>
      <c r="X11" s="7" t="n">
        <v>874494.8</v>
      </c>
      <c r="Z11" s="7" t="n">
        <v>513703.1</v>
      </c>
      <c r="AB11" s="7" t="n">
        <v>11988349.5</v>
      </c>
    </row>
    <row r="12">
      <c r="A12" s="4" t="inlineStr">
        <is>
          <t>团餐</t>
        </is>
      </c>
      <c r="D12" s="7" t="n">
        <v>736447</v>
      </c>
      <c r="F12" s="7" t="n">
        <v>939440.6000000001</v>
      </c>
      <c r="H12" s="7" t="n">
        <v>1104262.9</v>
      </c>
      <c r="J12" s="7" t="n">
        <v>1242131.3</v>
      </c>
      <c r="L12" s="7" t="n">
        <v>1507342</v>
      </c>
      <c r="N12" s="7" t="n">
        <v>1451903.5</v>
      </c>
      <c r="P12" s="7" t="n">
        <v>1166270.6</v>
      </c>
      <c r="R12" s="7" t="n">
        <v>1283568.9</v>
      </c>
      <c r="T12" s="7" t="n">
        <v>1152429.1</v>
      </c>
      <c r="V12" s="7" t="n">
        <v>1055808.7</v>
      </c>
      <c r="X12" s="7" t="n">
        <v>825516.4</v>
      </c>
      <c r="Z12" s="7" t="n">
        <v>667070.5</v>
      </c>
      <c r="AB12" s="7" t="n">
        <v>13132191.5</v>
      </c>
    </row>
    <row r="13">
      <c r="A13" s="4" t="inlineStr">
        <is>
          <t>预制菜</t>
        </is>
      </c>
      <c r="D13" s="7" t="n">
        <v>608743.3</v>
      </c>
      <c r="F13" s="7" t="n">
        <v>568993.3</v>
      </c>
      <c r="H13" s="7" t="n">
        <v>796921.8</v>
      </c>
      <c r="J13" s="7" t="n">
        <v>805098.2</v>
      </c>
      <c r="L13" s="7" t="n">
        <v>822590.5000000001</v>
      </c>
      <c r="N13" s="7" t="n">
        <v>1045971.1</v>
      </c>
      <c r="P13" s="7" t="n">
        <v>1362275</v>
      </c>
      <c r="R13" s="7" t="n">
        <v>1030369.7</v>
      </c>
      <c r="T13" s="7" t="n">
        <v>861438.7000000001</v>
      </c>
      <c r="V13" s="7" t="n">
        <v>1341368.9</v>
      </c>
      <c r="X13" s="7" t="n">
        <v>967817.3999999999</v>
      </c>
      <c r="Z13" s="7" t="n">
        <v>749246.2000000001</v>
      </c>
      <c r="AB13" s="7" t="n">
        <v>10960834.1</v>
      </c>
    </row>
    <row r="14">
      <c r="A14" s="4" t="inlineStr">
        <is>
          <t>返利</t>
        </is>
      </c>
      <c r="D14" s="7" t="n">
        <v>-122315</v>
      </c>
      <c r="F14" s="7" t="n">
        <v>-140470.8</v>
      </c>
      <c r="H14" s="7" t="n">
        <v>-67706</v>
      </c>
      <c r="J14" s="7" t="n">
        <v>-164065.6</v>
      </c>
      <c r="L14" s="7" t="n">
        <v>-139260.1</v>
      </c>
      <c r="N14" s="7" t="n">
        <v>-214356.7</v>
      </c>
      <c r="P14" s="7" t="n">
        <v>-203667.2</v>
      </c>
      <c r="R14" s="7" t="n">
        <v>-215785.7</v>
      </c>
      <c r="T14" s="7" t="n">
        <v>-84118.7</v>
      </c>
      <c r="V14" s="7" t="n">
        <v>-180686.6</v>
      </c>
      <c r="X14" s="7" t="n">
        <v>-159053.7</v>
      </c>
      <c r="Z14" s="7" t="n">
        <v>-51496.4</v>
      </c>
      <c r="AB14" s="7" t="n">
        <v>-1742982.5</v>
      </c>
    </row>
    <row r="15">
      <c r="A15" s="4" t="inlineStr">
        <is>
          <t>其他</t>
        </is>
      </c>
      <c r="D15" s="7" t="n">
        <v>5556.4</v>
      </c>
      <c r="F15" s="7" t="n">
        <v>75528.89999999999</v>
      </c>
      <c r="H15" s="7" t="n">
        <v>43132</v>
      </c>
      <c r="J15" s="7" t="n">
        <v>55219.8</v>
      </c>
      <c r="L15" s="7" t="n">
        <v>91501.8</v>
      </c>
      <c r="N15" s="7" t="n">
        <v>99689.89999999999</v>
      </c>
      <c r="P15" s="7" t="n">
        <v>117264.2</v>
      </c>
      <c r="R15" s="7" t="n">
        <v>140930.7</v>
      </c>
      <c r="T15" s="7" t="n">
        <v>48684.3</v>
      </c>
      <c r="V15" s="7" t="n">
        <v>124487.6</v>
      </c>
      <c r="X15" s="7" t="n">
        <v>71242.89999999999</v>
      </c>
      <c r="Z15" s="7" t="n">
        <v>50982.3</v>
      </c>
      <c r="AB15" s="7" t="n">
        <v>924220.8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4293379.9</v>
      </c>
      <c r="D16" s="7" t="n">
        <v>2830612.9</v>
      </c>
      <c r="E16" s="7" t="n">
        <v>5161857</v>
      </c>
      <c r="F16" s="7" t="n">
        <v>3342109.2</v>
      </c>
      <c r="G16" s="7" t="n">
        <v>4576433.6</v>
      </c>
      <c r="H16" s="7" t="n">
        <v>4004150</v>
      </c>
      <c r="I16" s="7" t="n">
        <v>4069083.3</v>
      </c>
      <c r="J16" s="7" t="n">
        <v>4870445.7</v>
      </c>
      <c r="K16" s="7" t="n">
        <v>5074235.1</v>
      </c>
      <c r="L16" s="7" t="n">
        <v>5573790.5</v>
      </c>
      <c r="M16" s="7" t="n">
        <v>4522530.7</v>
      </c>
      <c r="N16" s="7" t="n">
        <v>5672312.3</v>
      </c>
      <c r="O16" s="7" t="n">
        <v>5137354.3</v>
      </c>
      <c r="P16" s="7" t="n">
        <v>5946674.4</v>
      </c>
      <c r="Q16" s="7" t="n">
        <v>4512989.1</v>
      </c>
      <c r="R16" s="7" t="n">
        <v>5130491.6</v>
      </c>
      <c r="S16" s="7" t="n">
        <v>4021114.6</v>
      </c>
      <c r="T16" s="7" t="n">
        <v>4449095.1</v>
      </c>
      <c r="U16" s="7" t="n">
        <v>4838984.4</v>
      </c>
      <c r="V16" s="7" t="n">
        <v>5584160.3</v>
      </c>
      <c r="W16" s="7" t="n">
        <v>5064179.2</v>
      </c>
      <c r="X16" s="7" t="n">
        <v>4276310.6</v>
      </c>
      <c r="Y16" s="7" t="n">
        <v>4340198.1</v>
      </c>
      <c r="Z16" s="7" t="n">
        <v>3382412.2</v>
      </c>
      <c r="AA16" s="8" t="n">
        <v>55612339.3</v>
      </c>
      <c r="AB16" s="8" t="n">
        <v>55062564.8</v>
      </c>
    </row>
    <row r="17">
      <c r="A17" s="4" t="inlineStr">
        <is>
          <t>中式汤底</t>
        </is>
      </c>
      <c r="D17" s="7" t="n">
        <v>338301.8</v>
      </c>
      <c r="F17" s="7" t="n">
        <v>421979.9</v>
      </c>
      <c r="H17" s="7" t="n">
        <v>570677.1000000001</v>
      </c>
      <c r="J17" s="7" t="n">
        <v>642601.5</v>
      </c>
      <c r="L17" s="7" t="n">
        <v>719933.2</v>
      </c>
      <c r="N17" s="7" t="n">
        <v>661720.7000000001</v>
      </c>
      <c r="P17" s="7" t="n">
        <v>766452.4</v>
      </c>
      <c r="R17" s="7" t="n">
        <v>458580.8</v>
      </c>
      <c r="T17" s="7" t="n">
        <v>576844.7000000001</v>
      </c>
      <c r="V17" s="7" t="n">
        <v>745868.2000000001</v>
      </c>
      <c r="X17" s="7" t="n">
        <v>409778.4</v>
      </c>
      <c r="Z17" s="7" t="n">
        <v>399900.5</v>
      </c>
      <c r="AB17" s="7" t="n">
        <v>6712639.2</v>
      </c>
    </row>
    <row r="18">
      <c r="A18" s="4" t="inlineStr">
        <is>
          <t>酱料</t>
        </is>
      </c>
      <c r="D18" s="7" t="n">
        <v>204922.7</v>
      </c>
      <c r="F18" s="7" t="n">
        <v>376025.6</v>
      </c>
      <c r="H18" s="7" t="n">
        <v>355994.2</v>
      </c>
      <c r="J18" s="7" t="n">
        <v>472844.9999999999</v>
      </c>
      <c r="L18" s="7" t="n">
        <v>563346.5</v>
      </c>
      <c r="N18" s="7" t="n">
        <v>604329.9</v>
      </c>
      <c r="P18" s="7" t="n">
        <v>635684</v>
      </c>
      <c r="R18" s="7" t="n">
        <v>579176.3</v>
      </c>
      <c r="T18" s="7" t="n">
        <v>387016.9</v>
      </c>
      <c r="V18" s="7" t="n">
        <v>663719.7</v>
      </c>
      <c r="X18" s="7" t="n">
        <v>468619.6</v>
      </c>
      <c r="Z18" s="7" t="n">
        <v>374298.3</v>
      </c>
      <c r="AB18" s="7" t="n">
        <v>5685978.7</v>
      </c>
    </row>
    <row r="19">
      <c r="A19" s="4" t="inlineStr">
        <is>
          <t>川味底料</t>
        </is>
      </c>
      <c r="D19" s="7" t="n">
        <v>294262</v>
      </c>
      <c r="F19" s="7" t="n">
        <v>495653.6</v>
      </c>
      <c r="H19" s="7" t="n">
        <v>457483.1</v>
      </c>
      <c r="J19" s="7" t="n">
        <v>543319.7</v>
      </c>
      <c r="L19" s="7" t="n">
        <v>740826.7</v>
      </c>
      <c r="N19" s="7" t="n">
        <v>699067</v>
      </c>
      <c r="P19" s="7" t="n">
        <v>840810.6000000001</v>
      </c>
      <c r="R19" s="7" t="n">
        <v>642162.9</v>
      </c>
      <c r="T19" s="7" t="n">
        <v>531816.7</v>
      </c>
      <c r="V19" s="7" t="n">
        <v>560418.3</v>
      </c>
      <c r="X19" s="7" t="n">
        <v>606759</v>
      </c>
      <c r="Z19" s="7" t="n">
        <v>462252.9</v>
      </c>
      <c r="AB19" s="7" t="n">
        <v>6874832.5</v>
      </c>
    </row>
    <row r="20">
      <c r="A20" s="4" t="inlineStr">
        <is>
          <t>调味汁</t>
        </is>
      </c>
      <c r="D20" s="7" t="n">
        <v>506050</v>
      </c>
      <c r="F20" s="7" t="n">
        <v>425877.5</v>
      </c>
      <c r="H20" s="7" t="n">
        <v>693609</v>
      </c>
      <c r="J20" s="7" t="n">
        <v>933831.7</v>
      </c>
      <c r="L20" s="7" t="n">
        <v>789347.8</v>
      </c>
      <c r="N20" s="7" t="n">
        <v>970590.6</v>
      </c>
      <c r="P20" s="7" t="n">
        <v>876963.7</v>
      </c>
      <c r="R20" s="7" t="n">
        <v>895314.8999999999</v>
      </c>
      <c r="T20" s="7" t="n">
        <v>765818.3</v>
      </c>
      <c r="V20" s="7" t="n">
        <v>887221.2999999999</v>
      </c>
      <c r="X20" s="7" t="n">
        <v>792180</v>
      </c>
      <c r="Z20" s="7" t="n">
        <v>619566.4</v>
      </c>
      <c r="AB20" s="7" t="n">
        <v>9156371.199999999</v>
      </c>
    </row>
    <row r="21">
      <c r="A21" s="4" t="inlineStr">
        <is>
          <t>复合调味粉</t>
        </is>
      </c>
      <c r="D21" s="7" t="n">
        <v>466172.2</v>
      </c>
      <c r="F21" s="7" t="n">
        <v>444019.3</v>
      </c>
      <c r="H21" s="7" t="n">
        <v>502798.8</v>
      </c>
      <c r="J21" s="7" t="n">
        <v>758790.2999999999</v>
      </c>
      <c r="L21" s="7" t="n">
        <v>907615.7</v>
      </c>
      <c r="N21" s="7" t="n">
        <v>792745.5999999999</v>
      </c>
      <c r="P21" s="7" t="n">
        <v>854372.7000000001</v>
      </c>
      <c r="R21" s="7" t="n">
        <v>745972.7999999999</v>
      </c>
      <c r="T21" s="7" t="n">
        <v>676203.6000000001</v>
      </c>
      <c r="V21" s="7" t="n">
        <v>879943.2</v>
      </c>
      <c r="X21" s="7" t="n">
        <v>587283.4</v>
      </c>
      <c r="Z21" s="7" t="n">
        <v>337742.2</v>
      </c>
      <c r="AB21" s="7" t="n">
        <v>7953659.8</v>
      </c>
    </row>
    <row r="22">
      <c r="A22" s="4" t="inlineStr">
        <is>
          <t>团餐</t>
        </is>
      </c>
      <c r="D22" s="7" t="n">
        <v>464347.6</v>
      </c>
      <c r="F22" s="7" t="n">
        <v>592287.4</v>
      </c>
      <c r="H22" s="7" t="n">
        <v>693760.3</v>
      </c>
      <c r="J22" s="7" t="n">
        <v>788265.2999999999</v>
      </c>
      <c r="L22" s="7" t="n">
        <v>949066</v>
      </c>
      <c r="N22" s="7" t="n">
        <v>914773.8999999999</v>
      </c>
      <c r="P22" s="7" t="n">
        <v>733251.5</v>
      </c>
      <c r="R22" s="7" t="n">
        <v>808715.1000000001</v>
      </c>
      <c r="T22" s="7" t="n">
        <v>725541.5</v>
      </c>
      <c r="V22" s="7" t="n">
        <v>669273.6</v>
      </c>
      <c r="X22" s="7" t="n">
        <v>523458.8</v>
      </c>
      <c r="Z22" s="7" t="n">
        <v>419379.6</v>
      </c>
      <c r="AB22" s="7" t="n">
        <v>8282120.6</v>
      </c>
    </row>
    <row r="23">
      <c r="A23" s="4" t="inlineStr">
        <is>
          <t>预制菜</t>
        </is>
      </c>
      <c r="D23" s="7" t="n">
        <v>424570.3</v>
      </c>
      <c r="F23" s="7" t="n">
        <v>394722</v>
      </c>
      <c r="H23" s="7" t="n">
        <v>568001.8999999999</v>
      </c>
      <c r="J23" s="7" t="n">
        <v>562015.9</v>
      </c>
      <c r="L23" s="7" t="n">
        <v>564338.6</v>
      </c>
      <c r="N23" s="7" t="n">
        <v>741006.8</v>
      </c>
      <c r="P23" s="7" t="n">
        <v>966213.2000000001</v>
      </c>
      <c r="R23" s="7" t="n">
        <v>726897.2</v>
      </c>
      <c r="T23" s="7" t="n">
        <v>603599.4</v>
      </c>
      <c r="V23" s="7" t="n">
        <v>950884</v>
      </c>
      <c r="X23" s="7" t="n">
        <v>681001.7999999999</v>
      </c>
      <c r="Z23" s="7" t="n">
        <v>529069.3999999999</v>
      </c>
      <c r="AB23" s="7" t="n">
        <v>7712320.5</v>
      </c>
    </row>
    <row r="24">
      <c r="A24" s="4" t="inlineStr">
        <is>
          <t>其他</t>
        </is>
      </c>
      <c r="D24" s="7" t="n">
        <v>18751.4</v>
      </c>
      <c r="F24" s="7" t="n">
        <v>4091.9</v>
      </c>
      <c r="H24" s="7" t="n">
        <v>41664</v>
      </c>
      <c r="J24" s="7" t="n">
        <v>83814.89999999999</v>
      </c>
      <c r="L24" s="7" t="n">
        <v>89128.7</v>
      </c>
      <c r="N24" s="7" t="n">
        <v>76650.89999999999</v>
      </c>
      <c r="P24" s="7" t="n">
        <v>105228.1</v>
      </c>
      <c r="R24" s="7" t="n">
        <v>61943.9</v>
      </c>
      <c r="T24" s="7" t="n">
        <v>67731.5</v>
      </c>
      <c r="V24" s="7" t="n">
        <v>54511.4</v>
      </c>
      <c r="X24" s="7" t="n">
        <v>9876.700000000001</v>
      </c>
      <c r="Z24" s="7" t="n">
        <v>12630.4</v>
      </c>
      <c r="AB24" s="7" t="n">
        <v>626023.8</v>
      </c>
    </row>
    <row r="25">
      <c r="A25" s="4" t="inlineStr">
        <is>
          <t>运费</t>
        </is>
      </c>
      <c r="D25" s="7" t="n">
        <v>131986.3</v>
      </c>
      <c r="F25" s="7" t="n">
        <v>191543.9</v>
      </c>
      <c r="H25" s="7" t="n">
        <v>161825.6</v>
      </c>
      <c r="J25" s="7" t="n">
        <v>168776.3</v>
      </c>
      <c r="L25" s="7" t="n">
        <v>339316</v>
      </c>
      <c r="N25" s="7" t="n">
        <v>288077.8</v>
      </c>
      <c r="P25" s="7" t="n">
        <v>272926.3</v>
      </c>
      <c r="R25" s="7" t="n">
        <v>273671.6</v>
      </c>
      <c r="T25" s="7" t="n">
        <v>182254</v>
      </c>
      <c r="V25" s="7" t="n">
        <v>226832</v>
      </c>
      <c r="X25" s="7" t="n">
        <v>207229.6</v>
      </c>
      <c r="Z25" s="7" t="n">
        <v>240202.9</v>
      </c>
      <c r="AB25" s="7" t="n">
        <v>2684642.3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2885316</v>
      </c>
      <c r="D26" s="7" t="n">
        <v>1184815.2</v>
      </c>
      <c r="E26" s="7" t="n">
        <v>1416370.8</v>
      </c>
      <c r="F26" s="7" t="n">
        <v>1443780.7</v>
      </c>
      <c r="G26" s="7" t="n">
        <v>2172315.8</v>
      </c>
      <c r="H26" s="7" t="n">
        <v>1858336</v>
      </c>
      <c r="I26" s="7" t="n">
        <v>2229642</v>
      </c>
      <c r="J26" s="7" t="n">
        <v>2232304.7</v>
      </c>
      <c r="K26" s="7" t="n">
        <v>2224886.4</v>
      </c>
      <c r="L26" s="7" t="n">
        <v>2443914.5</v>
      </c>
      <c r="M26" s="7" t="n">
        <v>2095956.2</v>
      </c>
      <c r="N26" s="7" t="n">
        <v>2450565.6</v>
      </c>
      <c r="O26" s="7" t="n">
        <v>2214856.9</v>
      </c>
      <c r="P26" s="7" t="n">
        <v>2601202.9</v>
      </c>
      <c r="Q26" s="7" t="n">
        <v>1902726.1</v>
      </c>
      <c r="R26" s="7" t="n">
        <v>2221253.5</v>
      </c>
      <c r="S26" s="7" t="n">
        <v>3555597.8</v>
      </c>
      <c r="T26" s="7" t="n">
        <v>2058825.4</v>
      </c>
      <c r="U26" s="7" t="n">
        <v>2812503.1</v>
      </c>
      <c r="V26" s="7" t="n">
        <v>2516512.7</v>
      </c>
      <c r="W26" s="7" t="n">
        <v>1539605.8</v>
      </c>
      <c r="X26" s="7" t="n">
        <v>1842551.3</v>
      </c>
      <c r="Y26" s="7" t="n">
        <v>1903019.2</v>
      </c>
      <c r="Z26" s="7" t="n">
        <v>1431632.1</v>
      </c>
      <c r="AA26" s="8" t="n">
        <v>26952796.1</v>
      </c>
      <c r="AB26" s="8" t="n">
        <v>24285694.6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40.2</v>
      </c>
      <c r="D27" s="13" t="n">
        <v>29.5</v>
      </c>
      <c r="E27" s="13" t="n">
        <v>21.5</v>
      </c>
      <c r="F27" s="13" t="n">
        <v>30.2</v>
      </c>
      <c r="G27" s="13" t="n">
        <v>32.2</v>
      </c>
      <c r="H27" s="13" t="n">
        <v>31.7</v>
      </c>
      <c r="I27" s="13" t="n">
        <v>35.4</v>
      </c>
      <c r="J27" s="13" t="n">
        <v>31.4</v>
      </c>
      <c r="K27" s="13" t="n">
        <v>30.5</v>
      </c>
      <c r="L27" s="13" t="n">
        <v>30.5</v>
      </c>
      <c r="M27" s="13" t="n">
        <v>31.7</v>
      </c>
      <c r="N27" s="13" t="n">
        <v>30.2</v>
      </c>
      <c r="O27" s="13" t="n">
        <v>30.1</v>
      </c>
      <c r="P27" s="13" t="n">
        <v>30.4</v>
      </c>
      <c r="Q27" s="13" t="n">
        <v>29.7</v>
      </c>
      <c r="R27" s="13" t="n">
        <v>30.2</v>
      </c>
      <c r="S27" s="13" t="n">
        <v>46.9</v>
      </c>
      <c r="T27" s="13" t="n">
        <v>31.6</v>
      </c>
      <c r="U27" s="13" t="n">
        <v>36.8</v>
      </c>
      <c r="V27" s="13" t="n">
        <v>31.1</v>
      </c>
      <c r="W27" s="13" t="n">
        <v>23.3</v>
      </c>
      <c r="X27" s="13" t="n">
        <v>30.1</v>
      </c>
      <c r="Y27" s="13" t="n">
        <v>30.5</v>
      </c>
      <c r="Z27" s="13" t="n">
        <v>29.7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66716.5</v>
      </c>
      <c r="D28" s="7" t="n">
        <v>25653.6</v>
      </c>
      <c r="E28" s="7" t="n">
        <v>71552.2</v>
      </c>
      <c r="F28" s="7" t="n">
        <v>61755.8</v>
      </c>
      <c r="G28" s="7" t="n">
        <v>72628.2</v>
      </c>
      <c r="H28" s="7" t="n">
        <v>30853.3</v>
      </c>
      <c r="I28" s="7" t="n">
        <v>57740</v>
      </c>
      <c r="J28" s="7" t="n">
        <v>74864.5</v>
      </c>
      <c r="K28" s="7" t="n">
        <v>75588.39999999999</v>
      </c>
      <c r="L28" s="7" t="n">
        <v>69666.7</v>
      </c>
      <c r="M28" s="7" t="n">
        <v>69033.2</v>
      </c>
      <c r="N28" s="7" t="n">
        <v>105894.9</v>
      </c>
      <c r="O28" s="7" t="n">
        <v>65212.5</v>
      </c>
      <c r="P28" s="7" t="n">
        <v>89893.5</v>
      </c>
      <c r="Q28" s="7" t="n">
        <v>69783.39999999999</v>
      </c>
      <c r="R28" s="7" t="n">
        <v>81747.60000000001</v>
      </c>
      <c r="S28" s="7" t="n">
        <v>63117.9</v>
      </c>
      <c r="T28" s="7" t="n">
        <v>38150.4</v>
      </c>
      <c r="U28" s="7" t="n">
        <v>73713.10000000001</v>
      </c>
      <c r="V28" s="7" t="n">
        <v>65558</v>
      </c>
      <c r="W28" s="7" t="n">
        <v>71772.60000000001</v>
      </c>
      <c r="X28" s="7" t="n">
        <v>91758.10000000001</v>
      </c>
      <c r="Y28" s="7" t="n">
        <v>68982.7</v>
      </c>
      <c r="Z28" s="7" t="n">
        <v>58676.9</v>
      </c>
      <c r="AA28" s="8" t="n">
        <v>825840.7</v>
      </c>
      <c r="AB28" s="8" t="n">
        <v>794473.3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1198487.5</v>
      </c>
      <c r="D29" s="7" t="n">
        <v>511141.8</v>
      </c>
      <c r="E29" s="7" t="n">
        <v>1182738.4</v>
      </c>
      <c r="F29" s="7" t="n">
        <v>1172254.4</v>
      </c>
      <c r="G29" s="7" t="n">
        <v>991364</v>
      </c>
      <c r="H29" s="7" t="n">
        <v>966681.4</v>
      </c>
      <c r="I29" s="7" t="n">
        <v>1114950</v>
      </c>
      <c r="J29" s="7" t="n">
        <v>1680559.3</v>
      </c>
      <c r="K29" s="7" t="n">
        <v>1087878</v>
      </c>
      <c r="L29" s="7" t="n">
        <v>868413.1</v>
      </c>
      <c r="M29" s="7" t="n">
        <v>951041.6</v>
      </c>
      <c r="N29" s="7" t="n">
        <v>963569.6</v>
      </c>
      <c r="O29" s="7" t="n">
        <v>1008150.4</v>
      </c>
      <c r="P29" s="7" t="n">
        <v>1050981.3</v>
      </c>
      <c r="Q29" s="7" t="n">
        <v>1082296.3</v>
      </c>
      <c r="R29" s="7" t="n">
        <v>916752</v>
      </c>
      <c r="S29" s="7" t="n">
        <v>1072361.6</v>
      </c>
      <c r="T29" s="7" t="n">
        <v>965769.6</v>
      </c>
      <c r="U29" s="7" t="n">
        <v>965014.1</v>
      </c>
      <c r="V29" s="7" t="n">
        <v>1671977.4</v>
      </c>
      <c r="W29" s="7" t="n">
        <v>1213493.6</v>
      </c>
      <c r="X29" s="7" t="n">
        <v>929476.3</v>
      </c>
      <c r="Y29" s="7" t="n">
        <v>960371.6</v>
      </c>
      <c r="Z29" s="7" t="n">
        <v>1160837.5</v>
      </c>
      <c r="AA29" s="8" t="n">
        <v>12828147.1</v>
      </c>
      <c r="AB29" s="8" t="n">
        <v>12858413.7</v>
      </c>
    </row>
    <row r="30">
      <c r="A30" s="4" t="inlineStr">
        <is>
          <t>职工薪酬</t>
        </is>
      </c>
      <c r="D30" s="7" t="n">
        <v>251521.6</v>
      </c>
      <c r="F30" s="7" t="n">
        <v>634866.8</v>
      </c>
      <c r="H30" s="7" t="n">
        <v>472495.3</v>
      </c>
      <c r="J30" s="7" t="n">
        <v>901753.3</v>
      </c>
      <c r="L30" s="7" t="n">
        <v>388641.4</v>
      </c>
      <c r="N30" s="7" t="n">
        <v>578227</v>
      </c>
      <c r="P30" s="7" t="n">
        <v>543833.3</v>
      </c>
      <c r="R30" s="7" t="n">
        <v>551100.2</v>
      </c>
      <c r="T30" s="7" t="n">
        <v>545704.1</v>
      </c>
      <c r="V30" s="7" t="n">
        <v>798317</v>
      </c>
      <c r="X30" s="7" t="n">
        <v>387271.5</v>
      </c>
      <c r="Z30" s="7" t="n">
        <v>502138</v>
      </c>
      <c r="AB30" s="7" t="n">
        <v>6555869.5</v>
      </c>
    </row>
    <row r="31">
      <c r="A31" s="4" t="inlineStr">
        <is>
          <t>工资</t>
        </is>
      </c>
      <c r="D31" s="7" t="n">
        <v>145668.1</v>
      </c>
      <c r="F31" s="7" t="n">
        <v>381004.3</v>
      </c>
      <c r="H31" s="7" t="n">
        <v>289663</v>
      </c>
      <c r="J31" s="7" t="n">
        <v>542635</v>
      </c>
      <c r="L31" s="7" t="n">
        <v>227646.6</v>
      </c>
      <c r="N31" s="7" t="n">
        <v>368273.4</v>
      </c>
      <c r="P31" s="7" t="n">
        <v>312067.9</v>
      </c>
      <c r="R31" s="7" t="n">
        <v>325303.8</v>
      </c>
      <c r="T31" s="7" t="n">
        <v>321889.4</v>
      </c>
      <c r="V31" s="7" t="n">
        <v>440629.7</v>
      </c>
      <c r="X31" s="7" t="n">
        <v>207398.8</v>
      </c>
      <c r="Z31" s="7" t="n">
        <v>256294.7</v>
      </c>
      <c r="AB31" s="7" t="n">
        <v>3818474.7</v>
      </c>
    </row>
    <row r="32">
      <c r="A32" s="4" t="inlineStr">
        <is>
          <t>奖金及提成</t>
        </is>
      </c>
      <c r="D32" s="7" t="n">
        <v>49262</v>
      </c>
      <c r="F32" s="7" t="n">
        <v>116117.7</v>
      </c>
      <c r="H32" s="7" t="n">
        <v>79501.2</v>
      </c>
      <c r="J32" s="7" t="n">
        <v>178810.9</v>
      </c>
      <c r="L32" s="7" t="n">
        <v>77076</v>
      </c>
      <c r="N32" s="7" t="n">
        <v>108981.4</v>
      </c>
      <c r="P32" s="7" t="n">
        <v>119866.5</v>
      </c>
      <c r="R32" s="7" t="n">
        <v>111519.8</v>
      </c>
      <c r="T32" s="7" t="n">
        <v>124123.1</v>
      </c>
      <c r="V32" s="7" t="n">
        <v>130156.7</v>
      </c>
      <c r="X32" s="7" t="n">
        <v>85727.8</v>
      </c>
      <c r="Z32" s="7" t="n">
        <v>120377.8</v>
      </c>
      <c r="AB32" s="7" t="n">
        <v>1301520.9</v>
      </c>
    </row>
    <row r="33">
      <c r="A33" s="4" t="inlineStr">
        <is>
          <t>社保</t>
        </is>
      </c>
      <c r="D33" s="7" t="n">
        <v>36453.4</v>
      </c>
      <c r="F33" s="7" t="n">
        <v>91893.8</v>
      </c>
      <c r="H33" s="7" t="n">
        <v>66545</v>
      </c>
      <c r="J33" s="7" t="n">
        <v>114110.2</v>
      </c>
      <c r="L33" s="7" t="n">
        <v>52666.6</v>
      </c>
      <c r="N33" s="7" t="n">
        <v>67382.60000000001</v>
      </c>
      <c r="P33" s="7" t="n">
        <v>78234.2</v>
      </c>
      <c r="R33" s="7" t="n">
        <v>78417.2</v>
      </c>
      <c r="T33" s="7" t="n">
        <v>65592.10000000001</v>
      </c>
      <c r="V33" s="7" t="n">
        <v>163075.9</v>
      </c>
      <c r="X33" s="7" t="n">
        <v>59175.7</v>
      </c>
      <c r="Z33" s="7" t="n">
        <v>83251.7</v>
      </c>
      <c r="AB33" s="7" t="n">
        <v>956798.4</v>
      </c>
    </row>
    <row r="34">
      <c r="A34" s="4" t="inlineStr">
        <is>
          <t>养老</t>
        </is>
      </c>
      <c r="D34" s="7" t="n">
        <v>1718.7</v>
      </c>
      <c r="F34" s="7" t="n">
        <v>5141.7</v>
      </c>
      <c r="H34" s="7" t="n">
        <v>3658.1</v>
      </c>
      <c r="J34" s="7" t="n">
        <v>6422.4</v>
      </c>
      <c r="L34" s="7" t="n">
        <v>3287.2</v>
      </c>
      <c r="N34" s="7" t="n">
        <v>3230.8</v>
      </c>
      <c r="P34" s="7" t="n">
        <v>2842.2</v>
      </c>
      <c r="R34" s="7" t="n">
        <v>4400.5</v>
      </c>
      <c r="T34" s="7" t="n">
        <v>3670.4</v>
      </c>
      <c r="V34" s="7" t="n">
        <v>8107.1</v>
      </c>
      <c r="X34" s="7" t="n">
        <v>2919.2</v>
      </c>
      <c r="Z34" s="7" t="n">
        <v>4009.3</v>
      </c>
      <c r="AB34" s="7" t="n">
        <v>49407.6</v>
      </c>
    </row>
    <row r="35">
      <c r="A35" s="4" t="inlineStr">
        <is>
          <t>医疗</t>
        </is>
      </c>
      <c r="D35" s="7" t="n">
        <v>168.9</v>
      </c>
      <c r="F35" s="7" t="n">
        <v>477.6</v>
      </c>
      <c r="H35" s="7" t="n">
        <v>350</v>
      </c>
      <c r="J35" s="7" t="n">
        <v>547.1</v>
      </c>
      <c r="L35" s="7" t="n">
        <v>294.1</v>
      </c>
      <c r="N35" s="7" t="n">
        <v>385.9</v>
      </c>
      <c r="P35" s="7" t="n">
        <v>333.9</v>
      </c>
      <c r="R35" s="7" t="n">
        <v>373.5</v>
      </c>
      <c r="T35" s="7" t="n">
        <v>363.8</v>
      </c>
      <c r="V35" s="7" t="n">
        <v>641.8</v>
      </c>
      <c r="X35" s="7" t="n">
        <v>283.3</v>
      </c>
      <c r="Z35" s="7" t="n">
        <v>361.8</v>
      </c>
      <c r="AB35" s="7" t="n">
        <v>4581.7</v>
      </c>
    </row>
    <row r="36">
      <c r="A36" s="4" t="inlineStr">
        <is>
          <t>工伤</t>
        </is>
      </c>
      <c r="D36" s="7" t="n">
        <v>1561.3</v>
      </c>
      <c r="F36" s="7" t="n">
        <v>4523.7</v>
      </c>
      <c r="H36" s="7" t="n">
        <v>2690</v>
      </c>
      <c r="J36" s="7" t="n">
        <v>6300.6</v>
      </c>
      <c r="L36" s="7" t="n">
        <v>3762.7</v>
      </c>
      <c r="N36" s="7" t="n">
        <v>3127.1</v>
      </c>
      <c r="P36" s="7" t="n">
        <v>5083.5</v>
      </c>
      <c r="R36" s="7" t="n">
        <v>3799.3</v>
      </c>
      <c r="T36" s="7" t="n">
        <v>2785.5</v>
      </c>
      <c r="V36" s="7" t="n">
        <v>8034.7</v>
      </c>
      <c r="X36" s="7" t="n">
        <v>3254.6</v>
      </c>
      <c r="Z36" s="7" t="n">
        <v>5109.1</v>
      </c>
      <c r="AB36" s="7" t="n">
        <v>50032.1</v>
      </c>
    </row>
    <row r="37">
      <c r="A37" s="4" t="inlineStr">
        <is>
          <t>失业</t>
        </is>
      </c>
      <c r="D37" s="7" t="n">
        <v>1435.9</v>
      </c>
      <c r="F37" s="7" t="n">
        <v>3005.3</v>
      </c>
      <c r="H37" s="7" t="n">
        <v>1761.3</v>
      </c>
      <c r="J37" s="7" t="n">
        <v>3757.2</v>
      </c>
      <c r="L37" s="7" t="n">
        <v>1931</v>
      </c>
      <c r="N37" s="7" t="n">
        <v>1558</v>
      </c>
      <c r="P37" s="7" t="n">
        <v>1827.9</v>
      </c>
      <c r="R37" s="7" t="n">
        <v>1834.2</v>
      </c>
      <c r="T37" s="7" t="n">
        <v>2113.6</v>
      </c>
      <c r="V37" s="7" t="n">
        <v>3621.7</v>
      </c>
      <c r="X37" s="7" t="n">
        <v>2198.5</v>
      </c>
      <c r="Z37" s="7" t="n">
        <v>2605.1</v>
      </c>
      <c r="AB37" s="7" t="n">
        <v>27649.7</v>
      </c>
    </row>
    <row r="38">
      <c r="A38" s="4" t="inlineStr">
        <is>
          <t>生育</t>
        </is>
      </c>
      <c r="D38" s="7" t="n">
        <v>1173.8</v>
      </c>
      <c r="F38" s="7" t="n">
        <v>2010.5</v>
      </c>
      <c r="H38" s="7" t="n">
        <v>2690.9</v>
      </c>
      <c r="J38" s="7" t="n">
        <v>4133.2</v>
      </c>
      <c r="L38" s="7" t="n">
        <v>1642.6</v>
      </c>
      <c r="N38" s="7" t="n">
        <v>1868.8</v>
      </c>
      <c r="P38" s="7" t="n">
        <v>2705.4</v>
      </c>
      <c r="R38" s="7" t="n">
        <v>2009.8</v>
      </c>
      <c r="T38" s="7" t="n">
        <v>2337.1</v>
      </c>
      <c r="V38" s="7" t="n">
        <v>3163.8</v>
      </c>
      <c r="X38" s="7" t="n">
        <v>2377.6</v>
      </c>
      <c r="Z38" s="7" t="n">
        <v>2299.3</v>
      </c>
      <c r="AB38" s="7" t="n">
        <v>28412.8</v>
      </c>
    </row>
    <row r="39">
      <c r="A39" s="4" t="inlineStr">
        <is>
          <t>公积金</t>
        </is>
      </c>
      <c r="D39" s="7" t="n">
        <v>2908.7</v>
      </c>
      <c r="F39" s="7" t="n">
        <v>5439.6</v>
      </c>
      <c r="H39" s="7" t="n">
        <v>5031.7</v>
      </c>
      <c r="J39" s="7" t="n">
        <v>8429.299999999999</v>
      </c>
      <c r="L39" s="7" t="n">
        <v>4269.9</v>
      </c>
      <c r="N39" s="7" t="n">
        <v>3048.3</v>
      </c>
      <c r="P39" s="7" t="n">
        <v>4572.9</v>
      </c>
      <c r="R39" s="7" t="n">
        <v>5185.7</v>
      </c>
      <c r="T39" s="7" t="n">
        <v>4991.5</v>
      </c>
      <c r="V39" s="7" t="n">
        <v>8611.6</v>
      </c>
      <c r="X39" s="7" t="n">
        <v>4298.1</v>
      </c>
      <c r="Z39" s="7" t="n">
        <v>5810.4</v>
      </c>
      <c r="AB39" s="7" t="n">
        <v>62597.7</v>
      </c>
    </row>
    <row r="40">
      <c r="A40" s="4" t="inlineStr">
        <is>
          <t>工会经费</t>
        </is>
      </c>
      <c r="D40" s="7" t="n">
        <v>1569.2</v>
      </c>
      <c r="F40" s="7" t="n">
        <v>4832.7</v>
      </c>
      <c r="H40" s="7" t="n">
        <v>3964.6</v>
      </c>
      <c r="J40" s="7" t="n">
        <v>7746.8</v>
      </c>
      <c r="L40" s="7" t="n">
        <v>2620.6</v>
      </c>
      <c r="N40" s="7" t="n">
        <v>4086.8</v>
      </c>
      <c r="P40" s="7" t="n">
        <v>2891.2</v>
      </c>
      <c r="R40" s="7" t="n">
        <v>4451.2</v>
      </c>
      <c r="T40" s="7" t="n">
        <v>2830.4</v>
      </c>
      <c r="V40" s="7" t="n">
        <v>4551</v>
      </c>
      <c r="X40" s="7" t="n">
        <v>3159</v>
      </c>
      <c r="Z40" s="7" t="n">
        <v>3512.8</v>
      </c>
      <c r="AB40" s="7" t="n">
        <v>46216.3</v>
      </c>
    </row>
    <row r="41">
      <c r="A41" s="4" t="inlineStr">
        <is>
          <t>职工教育经费</t>
        </is>
      </c>
      <c r="D41" s="7" t="n">
        <v>2189.9</v>
      </c>
      <c r="F41" s="7" t="n">
        <v>6183.5</v>
      </c>
      <c r="H41" s="7" t="n">
        <v>5481.4</v>
      </c>
      <c r="J41" s="7" t="n">
        <v>9311.5</v>
      </c>
      <c r="L41" s="7" t="n">
        <v>4488.5</v>
      </c>
      <c r="N41" s="7" t="n">
        <v>3217.1</v>
      </c>
      <c r="P41" s="7" t="n">
        <v>3725.4</v>
      </c>
      <c r="R41" s="7" t="n">
        <v>3422.1</v>
      </c>
      <c r="T41" s="7" t="n">
        <v>3913.9</v>
      </c>
      <c r="V41" s="7" t="n">
        <v>8307.4</v>
      </c>
      <c r="X41" s="7" t="n">
        <v>4272.9</v>
      </c>
      <c r="Z41" s="7" t="n">
        <v>4668.8</v>
      </c>
      <c r="AB41" s="7" t="n">
        <v>59182.4</v>
      </c>
    </row>
    <row r="42">
      <c r="A42" s="4" t="inlineStr">
        <is>
          <t>福利费</t>
        </is>
      </c>
      <c r="D42" s="7" t="n">
        <v>13470.3</v>
      </c>
      <c r="F42" s="7" t="n">
        <v>29395.2</v>
      </c>
      <c r="H42" s="7" t="n">
        <v>22308.4</v>
      </c>
      <c r="J42" s="7" t="n">
        <v>40709.6</v>
      </c>
      <c r="L42" s="7" t="n">
        <v>19873.2</v>
      </c>
      <c r="N42" s="7" t="n">
        <v>23237.4</v>
      </c>
      <c r="P42" s="7" t="n">
        <v>22475.2</v>
      </c>
      <c r="R42" s="7" t="n">
        <v>22800.4</v>
      </c>
      <c r="T42" s="7" t="n">
        <v>22363.7</v>
      </c>
      <c r="V42" s="7" t="n">
        <v>42984.7</v>
      </c>
      <c r="X42" s="7" t="n">
        <v>23239.2</v>
      </c>
      <c r="Z42" s="7" t="n">
        <v>28221.8</v>
      </c>
      <c r="AB42" s="7" t="n">
        <v>311079.1</v>
      </c>
    </row>
    <row r="43">
      <c r="A43" s="4" t="inlineStr">
        <is>
          <t>职工房租</t>
        </is>
      </c>
      <c r="D43" s="7" t="n">
        <v>967.6</v>
      </c>
      <c r="F43" s="7" t="n">
        <v>1518.6</v>
      </c>
      <c r="H43" s="7" t="n">
        <v>1245</v>
      </c>
      <c r="J43" s="7" t="n">
        <v>2042.8</v>
      </c>
      <c r="L43" s="7" t="n">
        <v>1438</v>
      </c>
      <c r="N43" s="7" t="n">
        <v>1264.8</v>
      </c>
      <c r="P43" s="7" t="n">
        <v>1409.1</v>
      </c>
      <c r="R43" s="7" t="n">
        <v>1703.5</v>
      </c>
      <c r="T43" s="7" t="n">
        <v>1676.5</v>
      </c>
      <c r="V43" s="7" t="n">
        <v>2130.3</v>
      </c>
      <c r="X43" s="7" t="n">
        <v>1059.6</v>
      </c>
      <c r="Z43" s="7" t="n">
        <v>1893.1</v>
      </c>
      <c r="AB43" s="7" t="n">
        <v>18348.9</v>
      </c>
    </row>
    <row r="44">
      <c r="A44" s="4" t="inlineStr">
        <is>
          <t>水电物业费</t>
        </is>
      </c>
      <c r="D44" s="7" t="n">
        <v>1639.3</v>
      </c>
      <c r="F44" s="7" t="n">
        <v>3476.2</v>
      </c>
      <c r="H44" s="7" t="n">
        <v>3063.3</v>
      </c>
      <c r="J44" s="7" t="n">
        <v>4949</v>
      </c>
      <c r="L44" s="7" t="n">
        <v>1890.3</v>
      </c>
      <c r="N44" s="7" t="n">
        <v>2093.4</v>
      </c>
      <c r="P44" s="7" t="n">
        <v>2952.9</v>
      </c>
      <c r="R44" s="7" t="n">
        <v>2072.1</v>
      </c>
      <c r="T44" s="7" t="n">
        <v>2321.4</v>
      </c>
      <c r="V44" s="7" t="n">
        <v>3554.5</v>
      </c>
      <c r="X44" s="7" t="n">
        <v>2285.2</v>
      </c>
      <c r="Z44" s="7" t="n">
        <v>2373.6</v>
      </c>
      <c r="AB44" s="7" t="n">
        <v>32671.2</v>
      </c>
    </row>
    <row r="45">
      <c r="A45" s="4" t="inlineStr">
        <is>
          <t>员工餐</t>
        </is>
      </c>
      <c r="D45" s="7" t="n">
        <v>2274.2</v>
      </c>
      <c r="F45" s="7" t="n">
        <v>4627.3</v>
      </c>
      <c r="H45" s="7" t="n">
        <v>2671</v>
      </c>
      <c r="J45" s="7" t="n">
        <v>6347.1</v>
      </c>
      <c r="L45" s="7" t="n">
        <v>3226.7</v>
      </c>
      <c r="N45" s="7" t="n">
        <v>2877.1</v>
      </c>
      <c r="P45" s="7" t="n">
        <v>4089.9</v>
      </c>
      <c r="R45" s="7" t="n">
        <v>3298</v>
      </c>
      <c r="T45" s="7" t="n">
        <v>3693.1</v>
      </c>
      <c r="V45" s="7" t="n">
        <v>4319.4</v>
      </c>
      <c r="X45" s="7" t="n">
        <v>3111.8</v>
      </c>
      <c r="Z45" s="7" t="n">
        <v>4634.3</v>
      </c>
      <c r="AB45" s="7" t="n">
        <v>45169.9</v>
      </c>
    </row>
    <row r="46">
      <c r="A46" s="4" t="inlineStr">
        <is>
          <t>节日礼品</t>
        </is>
      </c>
      <c r="D46" s="7" t="n">
        <v>391.8</v>
      </c>
      <c r="F46" s="7" t="n">
        <v>543.4</v>
      </c>
      <c r="H46" s="7" t="n">
        <v>656.6</v>
      </c>
      <c r="J46" s="7" t="n">
        <v>1393.3</v>
      </c>
      <c r="L46" s="7" t="n">
        <v>540.6</v>
      </c>
      <c r="N46" s="7" t="n">
        <v>801.1</v>
      </c>
      <c r="P46" s="7" t="n">
        <v>850.2</v>
      </c>
      <c r="R46" s="7" t="n">
        <v>596.2</v>
      </c>
      <c r="T46" s="7" t="n">
        <v>521.9</v>
      </c>
      <c r="V46" s="7" t="n">
        <v>1409.2</v>
      </c>
      <c r="X46" s="7" t="n">
        <v>547.1</v>
      </c>
      <c r="Z46" s="7" t="n">
        <v>832.4</v>
      </c>
      <c r="AB46" s="7" t="n">
        <v>9083.799999999999</v>
      </c>
    </row>
    <row r="47">
      <c r="A47" s="4" t="inlineStr">
        <is>
          <t>生日礼品</t>
        </is>
      </c>
      <c r="D47" s="7" t="n">
        <v>2293.6</v>
      </c>
      <c r="F47" s="7" t="n">
        <v>7289.7</v>
      </c>
      <c r="H47" s="7" t="n">
        <v>5876.7</v>
      </c>
      <c r="J47" s="7" t="n">
        <v>11345</v>
      </c>
      <c r="L47" s="7" t="n">
        <v>6524.9</v>
      </c>
      <c r="N47" s="7" t="n">
        <v>7159.2</v>
      </c>
      <c r="P47" s="7" t="n">
        <v>5037.3</v>
      </c>
      <c r="R47" s="7" t="n">
        <v>6709.8</v>
      </c>
      <c r="T47" s="7" t="n">
        <v>4631.4</v>
      </c>
      <c r="V47" s="7" t="n">
        <v>12460.8</v>
      </c>
      <c r="X47" s="7" t="n">
        <v>7184.6</v>
      </c>
      <c r="Z47" s="7" t="n">
        <v>6484.1</v>
      </c>
      <c r="AB47" s="7" t="n">
        <v>82997.10000000001</v>
      </c>
    </row>
    <row r="48">
      <c r="A48" s="4" t="inlineStr">
        <is>
          <t>体检</t>
        </is>
      </c>
      <c r="D48" s="7" t="n">
        <v>2095.4</v>
      </c>
      <c r="F48" s="7" t="n">
        <v>4863.8</v>
      </c>
      <c r="H48" s="7" t="n">
        <v>3942.9</v>
      </c>
      <c r="J48" s="7" t="n">
        <v>6693.2</v>
      </c>
      <c r="L48" s="7" t="n">
        <v>1990.4</v>
      </c>
      <c r="N48" s="7" t="n">
        <v>3257.7</v>
      </c>
      <c r="P48" s="7" t="n">
        <v>2609.6</v>
      </c>
      <c r="R48" s="7" t="n">
        <v>3841</v>
      </c>
      <c r="T48" s="7" t="n">
        <v>2731.7</v>
      </c>
      <c r="V48" s="7" t="n">
        <v>7025.1</v>
      </c>
      <c r="X48" s="7" t="n">
        <v>3097.8</v>
      </c>
      <c r="Z48" s="7" t="n">
        <v>3757.1</v>
      </c>
      <c r="AB48" s="7" t="n">
        <v>45905.7</v>
      </c>
    </row>
    <row r="49">
      <c r="A49" s="4" t="inlineStr">
        <is>
          <t>其他福利支出</t>
        </is>
      </c>
      <c r="D49" s="7" t="n">
        <v>3808.4</v>
      </c>
      <c r="F49" s="7" t="n">
        <v>7076.2</v>
      </c>
      <c r="H49" s="7" t="n">
        <v>4852.9</v>
      </c>
      <c r="J49" s="7" t="n">
        <v>7939.2</v>
      </c>
      <c r="L49" s="7" t="n">
        <v>4262.3</v>
      </c>
      <c r="N49" s="7" t="n">
        <v>5784.1</v>
      </c>
      <c r="P49" s="7" t="n">
        <v>5526.2</v>
      </c>
      <c r="R49" s="7" t="n">
        <v>4579.8</v>
      </c>
      <c r="T49" s="7" t="n">
        <v>6787.7</v>
      </c>
      <c r="V49" s="7" t="n">
        <v>12085.4</v>
      </c>
      <c r="X49" s="7" t="n">
        <v>5953.1</v>
      </c>
      <c r="Z49" s="7" t="n">
        <v>8247.200000000001</v>
      </c>
      <c r="AB49" s="7" t="n">
        <v>76902.5</v>
      </c>
    </row>
    <row r="50">
      <c r="A50" s="4" t="inlineStr">
        <is>
          <t>招聘费</t>
        </is>
      </c>
      <c r="D50" s="7" t="n">
        <v>713.9</v>
      </c>
      <c r="F50" s="7" t="n">
        <v>1670.4</v>
      </c>
      <c r="H50" s="7" t="n">
        <v>1330.7</v>
      </c>
      <c r="J50" s="7" t="n">
        <v>1951.7</v>
      </c>
      <c r="L50" s="7" t="n">
        <v>751.6</v>
      </c>
      <c r="N50" s="7" t="n">
        <v>1221.5</v>
      </c>
      <c r="P50" s="7" t="n">
        <v>980.7</v>
      </c>
      <c r="R50" s="7" t="n">
        <v>827.5</v>
      </c>
      <c r="T50" s="7" t="n">
        <v>993.8</v>
      </c>
      <c r="V50" s="7" t="n">
        <v>1633.2</v>
      </c>
      <c r="X50" s="7" t="n">
        <v>916.1</v>
      </c>
      <c r="Z50" s="7" t="n">
        <v>1123.9</v>
      </c>
      <c r="AB50" s="7" t="n">
        <v>14115</v>
      </c>
    </row>
    <row r="51">
      <c r="A51" s="4" t="inlineStr">
        <is>
          <t>办公费</t>
        </is>
      </c>
      <c r="D51" s="7" t="n">
        <v>17669</v>
      </c>
      <c r="F51" s="7" t="n">
        <v>44748</v>
      </c>
      <c r="H51" s="7" t="n">
        <v>25554.2</v>
      </c>
      <c r="J51" s="7" t="n">
        <v>57159</v>
      </c>
      <c r="L51" s="7" t="n">
        <v>18415.4</v>
      </c>
      <c r="N51" s="7" t="n">
        <v>31572.6</v>
      </c>
      <c r="P51" s="7" t="n">
        <v>35176.2</v>
      </c>
      <c r="R51" s="7" t="n">
        <v>20276.9</v>
      </c>
      <c r="T51" s="7" t="n">
        <v>22336.4</v>
      </c>
      <c r="V51" s="7" t="n">
        <v>44345</v>
      </c>
      <c r="X51" s="7" t="n">
        <v>26301.9</v>
      </c>
      <c r="Z51" s="7" t="n">
        <v>34877.8</v>
      </c>
      <c r="AB51" s="7" t="n">
        <v>378432.4</v>
      </c>
    </row>
    <row r="52">
      <c r="A52" s="4" t="inlineStr">
        <is>
          <t>市内交通费</t>
        </is>
      </c>
      <c r="D52" s="7" t="n">
        <v>3366.6</v>
      </c>
      <c r="F52" s="7" t="n">
        <v>6100.3</v>
      </c>
      <c r="H52" s="7" t="n">
        <v>4371.6</v>
      </c>
      <c r="J52" s="7" t="n">
        <v>12327.1</v>
      </c>
      <c r="L52" s="7" t="n">
        <v>4470.4</v>
      </c>
      <c r="N52" s="7" t="n">
        <v>6044.8</v>
      </c>
      <c r="P52" s="7" t="n">
        <v>5129.3</v>
      </c>
      <c r="R52" s="7" t="n">
        <v>4197.9</v>
      </c>
      <c r="T52" s="7" t="n">
        <v>4489.1</v>
      </c>
      <c r="V52" s="7" t="n">
        <v>11272.6</v>
      </c>
      <c r="X52" s="7" t="n">
        <v>5801.8</v>
      </c>
      <c r="Z52" s="7" t="n">
        <v>6469.6</v>
      </c>
      <c r="AB52" s="7" t="n">
        <v>74041.10000000001</v>
      </c>
    </row>
    <row r="53">
      <c r="A53" s="4" t="inlineStr">
        <is>
          <t>差旅费</t>
        </is>
      </c>
      <c r="D53" s="7" t="n">
        <v>31574.5</v>
      </c>
      <c r="F53" s="7" t="n">
        <v>69104.2</v>
      </c>
      <c r="H53" s="7" t="n">
        <v>59306.5</v>
      </c>
      <c r="J53" s="7" t="n">
        <v>110761.3</v>
      </c>
      <c r="L53" s="7" t="n">
        <v>43301.5</v>
      </c>
      <c r="N53" s="7" t="n">
        <v>49054.1</v>
      </c>
      <c r="P53" s="7" t="n">
        <v>72697</v>
      </c>
      <c r="R53" s="7" t="n">
        <v>67319.7</v>
      </c>
      <c r="T53" s="7" t="n">
        <v>43408.8</v>
      </c>
      <c r="V53" s="7" t="n">
        <v>97113.3</v>
      </c>
      <c r="X53" s="7" t="n">
        <v>62586.8</v>
      </c>
      <c r="Z53" s="7" t="n">
        <v>52019.1</v>
      </c>
      <c r="AB53" s="7" t="n">
        <v>758246.8</v>
      </c>
    </row>
    <row r="54">
      <c r="A54" s="4" t="inlineStr">
        <is>
          <t>交通费</t>
        </is>
      </c>
      <c r="D54" s="7" t="n">
        <v>1393.7</v>
      </c>
      <c r="F54" s="7" t="n">
        <v>4460.7</v>
      </c>
      <c r="H54" s="7" t="n">
        <v>3588</v>
      </c>
      <c r="J54" s="7" t="n">
        <v>6488.4</v>
      </c>
      <c r="L54" s="7" t="n">
        <v>2537.7</v>
      </c>
      <c r="N54" s="7" t="n">
        <v>3197.1</v>
      </c>
      <c r="P54" s="7" t="n">
        <v>3935.5</v>
      </c>
      <c r="R54" s="7" t="n">
        <v>2610.6</v>
      </c>
      <c r="T54" s="7" t="n">
        <v>2941.3</v>
      </c>
      <c r="V54" s="7" t="n">
        <v>6494</v>
      </c>
      <c r="X54" s="7" t="n">
        <v>2594.6</v>
      </c>
      <c r="Z54" s="7" t="n">
        <v>4321.2</v>
      </c>
      <c r="AB54" s="7" t="n">
        <v>44562.8</v>
      </c>
    </row>
    <row r="55">
      <c r="A55" s="4" t="inlineStr">
        <is>
          <t>住宿费</t>
        </is>
      </c>
      <c r="D55" s="7" t="n">
        <v>2634.8</v>
      </c>
      <c r="F55" s="7" t="n">
        <v>6265.8</v>
      </c>
      <c r="H55" s="7" t="n">
        <v>4993.3</v>
      </c>
      <c r="J55" s="7" t="n">
        <v>6547</v>
      </c>
      <c r="L55" s="7" t="n">
        <v>4501.2</v>
      </c>
      <c r="N55" s="7" t="n">
        <v>6050.7</v>
      </c>
      <c r="P55" s="7" t="n">
        <v>6319.9</v>
      </c>
      <c r="R55" s="7" t="n">
        <v>4557.9</v>
      </c>
      <c r="T55" s="7" t="n">
        <v>6093.8</v>
      </c>
      <c r="V55" s="7" t="n">
        <v>10174</v>
      </c>
      <c r="X55" s="7" t="n">
        <v>5160.5</v>
      </c>
      <c r="Z55" s="7" t="n">
        <v>4476.3</v>
      </c>
      <c r="AB55" s="7" t="n">
        <v>67775.2</v>
      </c>
    </row>
    <row r="56">
      <c r="A56" s="4" t="inlineStr">
        <is>
          <t>餐补</t>
        </is>
      </c>
      <c r="D56" s="7" t="n">
        <v>852.5</v>
      </c>
      <c r="F56" s="7" t="n">
        <v>3433.5</v>
      </c>
      <c r="H56" s="7" t="n">
        <v>2753.4</v>
      </c>
      <c r="J56" s="7" t="n">
        <v>2814.9</v>
      </c>
      <c r="L56" s="7" t="n">
        <v>2472.5</v>
      </c>
      <c r="N56" s="7" t="n">
        <v>1565.3</v>
      </c>
      <c r="P56" s="7" t="n">
        <v>2244.6</v>
      </c>
      <c r="R56" s="7" t="n">
        <v>2405.4</v>
      </c>
      <c r="T56" s="7" t="n">
        <v>2529.9</v>
      </c>
      <c r="V56" s="7" t="n">
        <v>4861.4</v>
      </c>
      <c r="X56" s="7" t="n">
        <v>2283.7</v>
      </c>
      <c r="Z56" s="7" t="n">
        <v>2497.3</v>
      </c>
      <c r="AB56" s="7" t="n">
        <v>30714.4</v>
      </c>
    </row>
    <row r="57">
      <c r="A57" s="4" t="inlineStr">
        <is>
          <t>交通补助</t>
        </is>
      </c>
      <c r="D57" s="7" t="n">
        <v>3093.2</v>
      </c>
      <c r="F57" s="7" t="n">
        <v>9324.6</v>
      </c>
      <c r="H57" s="7" t="n">
        <v>7829.6</v>
      </c>
      <c r="J57" s="7" t="n">
        <v>10125</v>
      </c>
      <c r="L57" s="7" t="n">
        <v>6273.7</v>
      </c>
      <c r="N57" s="7" t="n">
        <v>6882.3</v>
      </c>
      <c r="P57" s="7" t="n">
        <v>7003.8</v>
      </c>
      <c r="R57" s="7" t="n">
        <v>6518.4</v>
      </c>
      <c r="T57" s="7" t="n">
        <v>5713.4</v>
      </c>
      <c r="V57" s="7" t="n">
        <v>8785.5</v>
      </c>
      <c r="X57" s="7" t="n">
        <v>6186.7</v>
      </c>
      <c r="Z57" s="7" t="n">
        <v>7688.5</v>
      </c>
      <c r="AB57" s="7" t="n">
        <v>85424.7</v>
      </c>
    </row>
    <row r="58">
      <c r="A58" s="4" t="inlineStr">
        <is>
          <t>通讯补助</t>
        </is>
      </c>
      <c r="D58" s="7" t="n">
        <v>2033.7</v>
      </c>
      <c r="F58" s="7" t="n">
        <v>3928.1</v>
      </c>
      <c r="H58" s="7" t="n">
        <v>3292.6</v>
      </c>
      <c r="J58" s="7" t="n">
        <v>7050.6</v>
      </c>
      <c r="L58" s="7" t="n">
        <v>4576.3</v>
      </c>
      <c r="N58" s="7" t="n">
        <v>4721.6</v>
      </c>
      <c r="P58" s="7" t="n">
        <v>5112.3</v>
      </c>
      <c r="R58" s="7" t="n">
        <v>5224.4</v>
      </c>
      <c r="T58" s="7" t="n">
        <v>3911.2</v>
      </c>
      <c r="V58" s="7" t="n">
        <v>7243.5</v>
      </c>
      <c r="X58" s="7" t="n">
        <v>3839.1</v>
      </c>
      <c r="Z58" s="7" t="n">
        <v>6994.6</v>
      </c>
      <c r="AB58" s="7" t="n">
        <v>57928</v>
      </c>
    </row>
    <row r="59">
      <c r="A59" s="4" t="inlineStr">
        <is>
          <t>招待费</t>
        </is>
      </c>
      <c r="D59" s="7" t="n">
        <v>23206.1</v>
      </c>
      <c r="F59" s="7" t="n">
        <v>35997.9</v>
      </c>
      <c r="H59" s="7" t="n">
        <v>45847.3</v>
      </c>
      <c r="J59" s="7" t="n">
        <v>63965.1</v>
      </c>
      <c r="L59" s="7" t="n">
        <v>40281.6</v>
      </c>
      <c r="N59" s="7" t="n">
        <v>47417.4</v>
      </c>
      <c r="P59" s="7" t="n">
        <v>29822.1</v>
      </c>
      <c r="R59" s="7" t="n">
        <v>30203.3</v>
      </c>
      <c r="T59" s="7" t="n">
        <v>29380.2</v>
      </c>
      <c r="V59" s="7" t="n">
        <v>48162.7</v>
      </c>
      <c r="X59" s="7" t="n">
        <v>39360.4</v>
      </c>
      <c r="Z59" s="7" t="n">
        <v>52097.1</v>
      </c>
      <c r="AB59" s="7" t="n">
        <v>485741.2</v>
      </c>
    </row>
    <row r="60">
      <c r="A60" s="4" t="inlineStr">
        <is>
          <t>通讯费</t>
        </is>
      </c>
      <c r="D60" s="7" t="n">
        <v>186.7</v>
      </c>
      <c r="F60" s="7" t="n">
        <v>352.2</v>
      </c>
      <c r="H60" s="7" t="n">
        <v>259.4</v>
      </c>
      <c r="J60" s="7" t="n">
        <v>445.4</v>
      </c>
      <c r="L60" s="7" t="n">
        <v>337.7</v>
      </c>
      <c r="N60" s="7" t="n">
        <v>225.7</v>
      </c>
      <c r="P60" s="7" t="n">
        <v>336.2</v>
      </c>
      <c r="R60" s="7" t="n">
        <v>255.6</v>
      </c>
      <c r="T60" s="7" t="n">
        <v>366.7</v>
      </c>
      <c r="V60" s="7" t="n">
        <v>607.8</v>
      </c>
      <c r="X60" s="7" t="n">
        <v>264.4</v>
      </c>
      <c r="Z60" s="7" t="n">
        <v>392.3</v>
      </c>
      <c r="AB60" s="7" t="n">
        <v>4030.1</v>
      </c>
    </row>
    <row r="61">
      <c r="A61" s="4" t="inlineStr">
        <is>
          <t>网络费</t>
        </is>
      </c>
      <c r="D61" s="7" t="n">
        <v>2011.6</v>
      </c>
      <c r="F61" s="7" t="n">
        <v>4554.8</v>
      </c>
      <c r="H61" s="7" t="n">
        <v>3350.6</v>
      </c>
      <c r="J61" s="7" t="n">
        <v>8123.8</v>
      </c>
      <c r="L61" s="7" t="n">
        <v>3188.7</v>
      </c>
      <c r="N61" s="7" t="n">
        <v>3740.7</v>
      </c>
      <c r="P61" s="7" t="n">
        <v>3413.9</v>
      </c>
      <c r="R61" s="7" t="n">
        <v>5130.9</v>
      </c>
      <c r="T61" s="7" t="n">
        <v>5229.4</v>
      </c>
      <c r="V61" s="7" t="n">
        <v>9194.4</v>
      </c>
      <c r="X61" s="7" t="n">
        <v>4408.9</v>
      </c>
      <c r="Z61" s="7" t="n">
        <v>4895.7</v>
      </c>
      <c r="AB61" s="7" t="n">
        <v>57243.4</v>
      </c>
    </row>
    <row r="62">
      <c r="A62" s="4" t="inlineStr">
        <is>
          <t>修理费</t>
        </is>
      </c>
      <c r="D62" s="7" t="n">
        <v>2131.9</v>
      </c>
      <c r="F62" s="7" t="n">
        <v>4819.2</v>
      </c>
      <c r="H62" s="7" t="n">
        <v>3464.7</v>
      </c>
      <c r="J62" s="7" t="n">
        <v>6398.4</v>
      </c>
      <c r="L62" s="7" t="n">
        <v>2515.4</v>
      </c>
      <c r="N62" s="7" t="n">
        <v>2974.4</v>
      </c>
      <c r="P62" s="7" t="n">
        <v>2696.8</v>
      </c>
      <c r="R62" s="7" t="n">
        <v>2758.6</v>
      </c>
      <c r="T62" s="7" t="n">
        <v>3617.8</v>
      </c>
      <c r="V62" s="7" t="n">
        <v>5347.5</v>
      </c>
      <c r="X62" s="7" t="n">
        <v>3653.9</v>
      </c>
      <c r="Z62" s="7" t="n">
        <v>3321.6</v>
      </c>
      <c r="AB62" s="7" t="n">
        <v>43700.2</v>
      </c>
    </row>
    <row r="63">
      <c r="A63" s="4" t="inlineStr">
        <is>
          <t>车辆费</t>
        </is>
      </c>
      <c r="D63" s="7" t="n">
        <v>2806.7</v>
      </c>
      <c r="F63" s="7" t="n">
        <v>6792.6</v>
      </c>
      <c r="H63" s="7" t="n">
        <v>4653.1</v>
      </c>
      <c r="J63" s="7" t="n">
        <v>9986.1</v>
      </c>
      <c r="L63" s="7" t="n">
        <v>4167.8</v>
      </c>
      <c r="N63" s="7" t="n">
        <v>3489.3</v>
      </c>
      <c r="P63" s="7" t="n">
        <v>4124</v>
      </c>
      <c r="R63" s="7" t="n">
        <v>3496.5</v>
      </c>
      <c r="T63" s="7" t="n">
        <v>4875.5</v>
      </c>
      <c r="V63" s="7" t="n">
        <v>9723</v>
      </c>
      <c r="X63" s="7" t="n">
        <v>5210.9</v>
      </c>
      <c r="Z63" s="7" t="n">
        <v>4069.1</v>
      </c>
      <c r="AB63" s="7" t="n">
        <v>63394.6</v>
      </c>
    </row>
    <row r="64">
      <c r="A64" s="4" t="inlineStr">
        <is>
          <t>租赁费</t>
        </is>
      </c>
      <c r="D64" s="7" t="n">
        <v>29000.9</v>
      </c>
      <c r="F64" s="7" t="n">
        <v>47727.7</v>
      </c>
      <c r="H64" s="7" t="n">
        <v>41619.4</v>
      </c>
      <c r="J64" s="7" t="n">
        <v>92783.89999999999</v>
      </c>
      <c r="L64" s="7" t="n">
        <v>46102</v>
      </c>
      <c r="N64" s="7" t="n">
        <v>58978.8</v>
      </c>
      <c r="P64" s="7" t="n">
        <v>42717</v>
      </c>
      <c r="R64" s="7" t="n">
        <v>53034.9</v>
      </c>
      <c r="T64" s="7" t="n">
        <v>54787.3</v>
      </c>
      <c r="V64" s="7" t="n">
        <v>86550.8</v>
      </c>
      <c r="X64" s="7" t="n">
        <v>45899.2</v>
      </c>
      <c r="Z64" s="7" t="n">
        <v>70908.8</v>
      </c>
      <c r="AB64" s="7" t="n">
        <v>670110.7</v>
      </c>
    </row>
    <row r="65">
      <c r="A65" s="4" t="inlineStr">
        <is>
          <t>能源费</t>
        </is>
      </c>
      <c r="D65" s="7" t="n">
        <v>8314.299999999999</v>
      </c>
      <c r="F65" s="7" t="n">
        <v>18808</v>
      </c>
      <c r="H65" s="7" t="n">
        <v>12504.6</v>
      </c>
      <c r="J65" s="7" t="n">
        <v>22629.6</v>
      </c>
      <c r="L65" s="7" t="n">
        <v>14448.6</v>
      </c>
      <c r="N65" s="7" t="n">
        <v>17232.3</v>
      </c>
      <c r="P65" s="7" t="n">
        <v>16852.9</v>
      </c>
      <c r="R65" s="7" t="n">
        <v>13428</v>
      </c>
      <c r="T65" s="7" t="n">
        <v>15587.1</v>
      </c>
      <c r="V65" s="7" t="n">
        <v>26098.2</v>
      </c>
      <c r="X65" s="7" t="n">
        <v>14280.7</v>
      </c>
      <c r="Z65" s="7" t="n">
        <v>20254.5</v>
      </c>
      <c r="AB65" s="7" t="n">
        <v>200438.8</v>
      </c>
    </row>
    <row r="66">
      <c r="A66" s="4" t="inlineStr">
        <is>
          <t>水费</t>
        </is>
      </c>
      <c r="D66" s="7" t="n">
        <v>2156.3</v>
      </c>
      <c r="F66" s="7" t="n">
        <v>3939.9</v>
      </c>
      <c r="H66" s="7" t="n">
        <v>3570.2</v>
      </c>
      <c r="J66" s="7" t="n">
        <v>5570.2</v>
      </c>
      <c r="L66" s="7" t="n">
        <v>2694.1</v>
      </c>
      <c r="N66" s="7" t="n">
        <v>3515.1</v>
      </c>
      <c r="P66" s="7" t="n">
        <v>3798.5</v>
      </c>
      <c r="R66" s="7" t="n">
        <v>2519.5</v>
      </c>
      <c r="T66" s="7" t="n">
        <v>4506</v>
      </c>
      <c r="V66" s="7" t="n">
        <v>5942.1</v>
      </c>
      <c r="X66" s="7" t="n">
        <v>4050.8</v>
      </c>
      <c r="Z66" s="7" t="n">
        <v>5247.2</v>
      </c>
      <c r="AB66" s="7" t="n">
        <v>47509.9</v>
      </c>
    </row>
    <row r="67">
      <c r="A67" s="4" t="inlineStr">
        <is>
          <t>电费</t>
        </is>
      </c>
      <c r="D67" s="7" t="n">
        <v>1178.3</v>
      </c>
      <c r="F67" s="7" t="n">
        <v>2956.5</v>
      </c>
      <c r="H67" s="7" t="n">
        <v>1956.9</v>
      </c>
      <c r="J67" s="7" t="n">
        <v>3217.3</v>
      </c>
      <c r="L67" s="7" t="n">
        <v>1808</v>
      </c>
      <c r="N67" s="7" t="n">
        <v>2953.3</v>
      </c>
      <c r="P67" s="7" t="n">
        <v>2676.1</v>
      </c>
      <c r="R67" s="7" t="n">
        <v>2118.3</v>
      </c>
      <c r="T67" s="7" t="n">
        <v>1858</v>
      </c>
      <c r="V67" s="7" t="n">
        <v>3649.4</v>
      </c>
      <c r="X67" s="7" t="n">
        <v>2096.5</v>
      </c>
      <c r="Z67" s="7" t="n">
        <v>3386.2</v>
      </c>
      <c r="AB67" s="7" t="n">
        <v>29854.8</v>
      </c>
    </row>
    <row r="68">
      <c r="A68" s="4" t="inlineStr">
        <is>
          <t>燃气费</t>
        </is>
      </c>
      <c r="D68" s="7" t="n">
        <v>1828.8</v>
      </c>
      <c r="F68" s="7" t="n">
        <v>4263.8</v>
      </c>
      <c r="H68" s="7" t="n">
        <v>2704.2</v>
      </c>
      <c r="J68" s="7" t="n">
        <v>6564</v>
      </c>
      <c r="L68" s="7" t="n">
        <v>3639.1</v>
      </c>
      <c r="N68" s="7" t="n">
        <v>3423</v>
      </c>
      <c r="P68" s="7" t="n">
        <v>3421.6</v>
      </c>
      <c r="R68" s="7" t="n">
        <v>2404.1</v>
      </c>
      <c r="T68" s="7" t="n">
        <v>3721.7</v>
      </c>
      <c r="V68" s="7" t="n">
        <v>4387.9</v>
      </c>
      <c r="X68" s="7" t="n">
        <v>3445.5</v>
      </c>
      <c r="Z68" s="7" t="n">
        <v>3774.1</v>
      </c>
      <c r="AB68" s="7" t="n">
        <v>43577.8</v>
      </c>
    </row>
    <row r="69">
      <c r="A69" s="4" t="inlineStr">
        <is>
          <t>蒸汽费</t>
        </is>
      </c>
      <c r="D69" s="7" t="n">
        <v>3150.9</v>
      </c>
      <c r="F69" s="7" t="n">
        <v>7647.8</v>
      </c>
      <c r="H69" s="7" t="n">
        <v>4273.3</v>
      </c>
      <c r="J69" s="7" t="n">
        <v>7278.1</v>
      </c>
      <c r="L69" s="7" t="n">
        <v>6307.4</v>
      </c>
      <c r="N69" s="7" t="n">
        <v>7340.9</v>
      </c>
      <c r="P69" s="7" t="n">
        <v>6956.7</v>
      </c>
      <c r="R69" s="7" t="n">
        <v>6386.1</v>
      </c>
      <c r="T69" s="7" t="n">
        <v>5501.4</v>
      </c>
      <c r="V69" s="7" t="n">
        <v>12118.8</v>
      </c>
      <c r="X69" s="7" t="n">
        <v>4687.9</v>
      </c>
      <c r="Z69" s="7" t="n">
        <v>7847</v>
      </c>
      <c r="AB69" s="7" t="n">
        <v>79496.3</v>
      </c>
    </row>
    <row r="70">
      <c r="A70" s="4" t="inlineStr">
        <is>
          <t>物业费</t>
        </is>
      </c>
      <c r="D70" s="7" t="n">
        <v>30.7</v>
      </c>
      <c r="F70" s="7" t="n">
        <v>64.90000000000001</v>
      </c>
      <c r="H70" s="7" t="n">
        <v>62</v>
      </c>
      <c r="J70" s="7" t="n">
        <v>110.8</v>
      </c>
      <c r="L70" s="7" t="n">
        <v>55.7</v>
      </c>
      <c r="N70" s="7" t="n">
        <v>57.2</v>
      </c>
      <c r="P70" s="7" t="n">
        <v>62.5</v>
      </c>
      <c r="R70" s="7" t="n">
        <v>38.7</v>
      </c>
      <c r="T70" s="7" t="n">
        <v>59.7</v>
      </c>
      <c r="V70" s="7" t="n">
        <v>70.90000000000001</v>
      </c>
      <c r="X70" s="7" t="n">
        <v>56.7</v>
      </c>
      <c r="Z70" s="7" t="n">
        <v>60.2</v>
      </c>
      <c r="AB70" s="7" t="n">
        <v>730</v>
      </c>
    </row>
    <row r="71">
      <c r="A71" s="4" t="inlineStr">
        <is>
          <t>劳动保护费</t>
        </is>
      </c>
      <c r="D71" s="7" t="n">
        <v>2327.1</v>
      </c>
      <c r="F71" s="7" t="n">
        <v>8925.6</v>
      </c>
      <c r="H71" s="7" t="n">
        <v>6843.1</v>
      </c>
      <c r="J71" s="7" t="n">
        <v>12750.7</v>
      </c>
      <c r="L71" s="7" t="n">
        <v>6934.8</v>
      </c>
      <c r="N71" s="7" t="n">
        <v>4719.9</v>
      </c>
      <c r="P71" s="7" t="n">
        <v>5104.8</v>
      </c>
      <c r="R71" s="7" t="n">
        <v>4638.2</v>
      </c>
      <c r="T71" s="7" t="n">
        <v>5046.1</v>
      </c>
      <c r="V71" s="7" t="n">
        <v>10887</v>
      </c>
      <c r="X71" s="7" t="n">
        <v>7084.4</v>
      </c>
      <c r="Z71" s="7" t="n">
        <v>6401.9</v>
      </c>
      <c r="AB71" s="7" t="n">
        <v>81663.60000000001</v>
      </c>
    </row>
    <row r="72">
      <c r="A72" s="4" t="inlineStr">
        <is>
          <t>顾问费</t>
        </is>
      </c>
      <c r="D72" s="7" t="n">
        <v>1229</v>
      </c>
      <c r="F72" s="7" t="n">
        <v>2878.9</v>
      </c>
      <c r="H72" s="7" t="n">
        <v>2614</v>
      </c>
      <c r="J72" s="7" t="n">
        <v>5660.3</v>
      </c>
      <c r="L72" s="7" t="n">
        <v>1888.4</v>
      </c>
      <c r="N72" s="7" t="n">
        <v>2784.7</v>
      </c>
      <c r="P72" s="7" t="n">
        <v>3306.2</v>
      </c>
      <c r="R72" s="7" t="n">
        <v>2606</v>
      </c>
      <c r="T72" s="7" t="n">
        <v>3053.7</v>
      </c>
      <c r="V72" s="7" t="n">
        <v>5029.2</v>
      </c>
      <c r="X72" s="7" t="n">
        <v>1829</v>
      </c>
      <c r="Z72" s="7" t="n">
        <v>2802.3</v>
      </c>
      <c r="AB72" s="7" t="n">
        <v>35681.7</v>
      </c>
    </row>
    <row r="73">
      <c r="A73" s="4" t="inlineStr">
        <is>
          <t>快递费</t>
        </is>
      </c>
      <c r="D73" s="7" t="n">
        <v>1359.1</v>
      </c>
      <c r="F73" s="7" t="n">
        <v>2998.1</v>
      </c>
      <c r="H73" s="7" t="n">
        <v>2812.7</v>
      </c>
      <c r="J73" s="7" t="n">
        <v>6090.3</v>
      </c>
      <c r="L73" s="7" t="n">
        <v>3022.6</v>
      </c>
      <c r="N73" s="7" t="n">
        <v>4088.1</v>
      </c>
      <c r="P73" s="7" t="n">
        <v>3959.6</v>
      </c>
      <c r="R73" s="7" t="n">
        <v>4036.2</v>
      </c>
      <c r="T73" s="7" t="n">
        <v>2650.4</v>
      </c>
      <c r="V73" s="7" t="n">
        <v>6162.1</v>
      </c>
      <c r="X73" s="7" t="n">
        <v>2444.1</v>
      </c>
      <c r="Z73" s="7" t="n">
        <v>3478.7</v>
      </c>
      <c r="AB73" s="7" t="n">
        <v>43102</v>
      </c>
    </row>
    <row r="74">
      <c r="A74" s="4" t="inlineStr">
        <is>
          <t>诉讼费</t>
        </is>
      </c>
      <c r="D74" s="7" t="n">
        <v>3586.3</v>
      </c>
      <c r="F74" s="7" t="n">
        <v>6575</v>
      </c>
      <c r="H74" s="7" t="n">
        <v>4005.8</v>
      </c>
      <c r="J74" s="7" t="n">
        <v>7123.5</v>
      </c>
      <c r="L74" s="7" t="n">
        <v>6205.8</v>
      </c>
      <c r="N74" s="7" t="n">
        <v>6799.4</v>
      </c>
      <c r="P74" s="7" t="n">
        <v>6210.8</v>
      </c>
      <c r="R74" s="7" t="n">
        <v>3756.1</v>
      </c>
      <c r="T74" s="7" t="n">
        <v>6912.1</v>
      </c>
      <c r="V74" s="7" t="n">
        <v>8458.4</v>
      </c>
      <c r="X74" s="7" t="n">
        <v>6756.1</v>
      </c>
      <c r="Z74" s="7" t="n">
        <v>6953.2</v>
      </c>
      <c r="AB74" s="7" t="n">
        <v>73342.5</v>
      </c>
    </row>
    <row r="75">
      <c r="A75" s="4" t="inlineStr">
        <is>
          <t>会员费</t>
        </is>
      </c>
      <c r="D75" s="7" t="n">
        <v>2843.2</v>
      </c>
      <c r="F75" s="7" t="n">
        <v>5429.7</v>
      </c>
      <c r="H75" s="7" t="n">
        <v>3558</v>
      </c>
      <c r="J75" s="7" t="n">
        <v>6610.9</v>
      </c>
      <c r="L75" s="7" t="n">
        <v>3616.7</v>
      </c>
      <c r="N75" s="7" t="n">
        <v>5707.5</v>
      </c>
      <c r="P75" s="7" t="n">
        <v>4839.5</v>
      </c>
      <c r="R75" s="7" t="n">
        <v>5598.1</v>
      </c>
      <c r="T75" s="7" t="n">
        <v>4283</v>
      </c>
      <c r="V75" s="7" t="n">
        <v>9512.4</v>
      </c>
      <c r="X75" s="7" t="n">
        <v>3594.5</v>
      </c>
      <c r="Z75" s="7" t="n">
        <v>7404.5</v>
      </c>
      <c r="AB75" s="7" t="n">
        <v>62998</v>
      </c>
    </row>
    <row r="76">
      <c r="A76" s="4" t="inlineStr">
        <is>
          <t>广告宣传费</t>
        </is>
      </c>
      <c r="D76" s="7" t="n">
        <v>17396.7</v>
      </c>
      <c r="F76" s="7" t="n">
        <v>35184.4</v>
      </c>
      <c r="H76" s="7" t="n">
        <v>37253.8</v>
      </c>
      <c r="J76" s="7" t="n">
        <v>36916.1</v>
      </c>
      <c r="L76" s="7" t="n">
        <v>25069</v>
      </c>
      <c r="N76" s="7" t="n">
        <v>34781.1</v>
      </c>
      <c r="P76" s="7" t="n">
        <v>28513.8</v>
      </c>
      <c r="R76" s="7" t="n">
        <v>31941.6</v>
      </c>
      <c r="T76" s="7" t="n">
        <v>36880.3</v>
      </c>
      <c r="V76" s="7" t="n">
        <v>47050.5</v>
      </c>
      <c r="X76" s="7" t="n">
        <v>32461</v>
      </c>
      <c r="Z76" s="7" t="n">
        <v>24996.6</v>
      </c>
      <c r="AB76" s="7" t="n">
        <v>388444.9</v>
      </c>
    </row>
    <row r="77">
      <c r="A77" s="4" t="inlineStr">
        <is>
          <t>会务费</t>
        </is>
      </c>
      <c r="D77" s="7" t="n">
        <v>1186.9</v>
      </c>
      <c r="F77" s="7" t="n">
        <v>2089.2</v>
      </c>
      <c r="H77" s="7" t="n">
        <v>1582.7</v>
      </c>
      <c r="J77" s="7" t="n">
        <v>3809.3</v>
      </c>
      <c r="L77" s="7" t="n">
        <v>1492.8</v>
      </c>
      <c r="N77" s="7" t="n">
        <v>1913.2</v>
      </c>
      <c r="P77" s="7" t="n">
        <v>2065.3</v>
      </c>
      <c r="R77" s="7" t="n">
        <v>1234.7</v>
      </c>
      <c r="T77" s="7" t="n">
        <v>1854.1</v>
      </c>
      <c r="V77" s="7" t="n">
        <v>3532.6</v>
      </c>
      <c r="X77" s="7" t="n">
        <v>1878.9</v>
      </c>
      <c r="Z77" s="7" t="n">
        <v>1558.8</v>
      </c>
      <c r="AB77" s="7" t="n">
        <v>24198.5</v>
      </c>
    </row>
    <row r="78">
      <c r="A78" s="4" t="inlineStr">
        <is>
          <t>装修费</t>
        </is>
      </c>
      <c r="D78" s="7" t="n">
        <v>582.6</v>
      </c>
      <c r="F78" s="7" t="n">
        <v>1280.7</v>
      </c>
      <c r="H78" s="7" t="n">
        <v>1118.2</v>
      </c>
      <c r="J78" s="7" t="n">
        <v>1512.6</v>
      </c>
      <c r="L78" s="7" t="n">
        <v>670.9</v>
      </c>
      <c r="N78" s="7" t="n">
        <v>685.1</v>
      </c>
      <c r="P78" s="7" t="n">
        <v>940.6</v>
      </c>
      <c r="R78" s="7" t="n">
        <v>849.2</v>
      </c>
      <c r="T78" s="7" t="n">
        <v>841.8</v>
      </c>
      <c r="V78" s="7" t="n">
        <v>1318</v>
      </c>
      <c r="X78" s="7" t="n">
        <v>763.7</v>
      </c>
      <c r="Z78" s="7" t="n">
        <v>1137.9</v>
      </c>
      <c r="AB78" s="7" t="n">
        <v>11701.3</v>
      </c>
    </row>
    <row r="79">
      <c r="A79" s="4" t="inlineStr">
        <is>
          <t>推广费</t>
        </is>
      </c>
      <c r="D79" s="7" t="n">
        <v>1756.8</v>
      </c>
      <c r="F79" s="7" t="n">
        <v>3052.2</v>
      </c>
      <c r="H79" s="7" t="n">
        <v>3208.2</v>
      </c>
      <c r="J79" s="7" t="n">
        <v>4620.6</v>
      </c>
      <c r="L79" s="7" t="n">
        <v>3344.8</v>
      </c>
      <c r="N79" s="7" t="n">
        <v>3135.9</v>
      </c>
      <c r="P79" s="7" t="n">
        <v>3559.8</v>
      </c>
      <c r="R79" s="7" t="n">
        <v>2918.3</v>
      </c>
      <c r="T79" s="7" t="n">
        <v>3276.6</v>
      </c>
      <c r="V79" s="7" t="n">
        <v>4566.5</v>
      </c>
      <c r="X79" s="7" t="n">
        <v>4194.9</v>
      </c>
      <c r="Z79" s="7" t="n">
        <v>5249.4</v>
      </c>
      <c r="AB79" s="7" t="n">
        <v>42884</v>
      </c>
    </row>
    <row r="80">
      <c r="A80" s="4" t="inlineStr">
        <is>
          <t>展会费</t>
        </is>
      </c>
      <c r="D80" s="7" t="n">
        <v>3420.1</v>
      </c>
      <c r="F80" s="7" t="n">
        <v>6028.5</v>
      </c>
      <c r="H80" s="7" t="n">
        <v>5756.8</v>
      </c>
      <c r="J80" s="7" t="n">
        <v>8443.6</v>
      </c>
      <c r="L80" s="7" t="n">
        <v>4905.6</v>
      </c>
      <c r="N80" s="7" t="n">
        <v>6155.1</v>
      </c>
      <c r="P80" s="7" t="n">
        <v>4974.8</v>
      </c>
      <c r="R80" s="7" t="n">
        <v>5649.8</v>
      </c>
      <c r="T80" s="7" t="n">
        <v>5901.4</v>
      </c>
      <c r="V80" s="7" t="n">
        <v>10623</v>
      </c>
      <c r="X80" s="7" t="n">
        <v>4448.5</v>
      </c>
      <c r="Z80" s="7" t="n">
        <v>6336.6</v>
      </c>
      <c r="AB80" s="7" t="n">
        <v>72643.8</v>
      </c>
    </row>
    <row r="81">
      <c r="A81" s="4" t="inlineStr">
        <is>
          <t>设计费</t>
        </is>
      </c>
      <c r="D81" s="7" t="n">
        <v>888.5</v>
      </c>
      <c r="F81" s="7" t="n">
        <v>2002.2</v>
      </c>
      <c r="H81" s="7" t="n">
        <v>1277.6</v>
      </c>
      <c r="J81" s="7" t="n">
        <v>2076.6</v>
      </c>
      <c r="L81" s="7" t="n">
        <v>1239.6</v>
      </c>
      <c r="N81" s="7" t="n">
        <v>1977.7</v>
      </c>
      <c r="P81" s="7" t="n">
        <v>1528.3</v>
      </c>
      <c r="R81" s="7" t="n">
        <v>1589.3</v>
      </c>
      <c r="T81" s="7" t="n">
        <v>1846.5</v>
      </c>
      <c r="V81" s="7" t="n">
        <v>2427.1</v>
      </c>
      <c r="X81" s="7" t="n">
        <v>1353.9</v>
      </c>
      <c r="Z81" s="7" t="n">
        <v>2232.4</v>
      </c>
      <c r="AB81" s="7" t="n">
        <v>20439.7</v>
      </c>
    </row>
    <row r="82">
      <c r="A82" s="4" t="inlineStr">
        <is>
          <t>折旧费</t>
        </is>
      </c>
      <c r="D82" s="7" t="n">
        <v>24855.9</v>
      </c>
      <c r="F82" s="7" t="n">
        <v>60232.1</v>
      </c>
      <c r="H82" s="7" t="n">
        <v>30225.2</v>
      </c>
      <c r="J82" s="7" t="n">
        <v>59989.2</v>
      </c>
      <c r="L82" s="7" t="n">
        <v>44058.7</v>
      </c>
      <c r="N82" s="7" t="n">
        <v>31624.8</v>
      </c>
      <c r="P82" s="7" t="n">
        <v>37352.3</v>
      </c>
      <c r="R82" s="7" t="n">
        <v>46891.7</v>
      </c>
      <c r="T82" s="7" t="n">
        <v>49495.1</v>
      </c>
      <c r="V82" s="7" t="n">
        <v>58510.4</v>
      </c>
      <c r="X82" s="7" t="n">
        <v>41528.1</v>
      </c>
      <c r="Z82" s="7" t="n">
        <v>46183</v>
      </c>
      <c r="AB82" s="7" t="n">
        <v>530946.5</v>
      </c>
    </row>
    <row r="83">
      <c r="A83" s="4" t="inlineStr">
        <is>
          <t>认证费</t>
        </is>
      </c>
      <c r="D83" s="7" t="n">
        <v>1631.9</v>
      </c>
      <c r="F83" s="7" t="n">
        <v>4097.5</v>
      </c>
      <c r="H83" s="7" t="n">
        <v>4343.6</v>
      </c>
      <c r="J83" s="7" t="n">
        <v>5938.6</v>
      </c>
      <c r="L83" s="7" t="n">
        <v>2519.6</v>
      </c>
      <c r="N83" s="7" t="n">
        <v>3778.1</v>
      </c>
      <c r="P83" s="7" t="n">
        <v>4188.4</v>
      </c>
      <c r="R83" s="7" t="n">
        <v>3556.7</v>
      </c>
      <c r="T83" s="7" t="n">
        <v>4044.6</v>
      </c>
      <c r="V83" s="7" t="n">
        <v>6503.6</v>
      </c>
      <c r="X83" s="7" t="n">
        <v>4464</v>
      </c>
      <c r="Z83" s="7" t="n">
        <v>4282.7</v>
      </c>
      <c r="AB83" s="7" t="n">
        <v>49349.3</v>
      </c>
    </row>
    <row r="84">
      <c r="A84" s="4" t="inlineStr">
        <is>
          <t>样品费</t>
        </is>
      </c>
      <c r="D84" s="7" t="n">
        <v>11500.9</v>
      </c>
      <c r="F84" s="7" t="n">
        <v>22579.3</v>
      </c>
      <c r="H84" s="7" t="n">
        <v>16913</v>
      </c>
      <c r="J84" s="7" t="n">
        <v>37500</v>
      </c>
      <c r="L84" s="7" t="n">
        <v>20692.2</v>
      </c>
      <c r="N84" s="7" t="n">
        <v>22690</v>
      </c>
      <c r="P84" s="7" t="n">
        <v>19873.7</v>
      </c>
      <c r="R84" s="7" t="n">
        <v>18327.4</v>
      </c>
      <c r="T84" s="7" t="n">
        <v>20860.7</v>
      </c>
      <c r="V84" s="7" t="n">
        <v>28263.5</v>
      </c>
      <c r="X84" s="7" t="n">
        <v>20359.2</v>
      </c>
      <c r="Z84" s="7" t="n">
        <v>26215</v>
      </c>
      <c r="AB84" s="7" t="n">
        <v>265774.9</v>
      </c>
    </row>
    <row r="85">
      <c r="A85" s="4" t="inlineStr">
        <is>
          <t>劳务费</t>
        </is>
      </c>
      <c r="D85" s="7" t="n">
        <v>1968.7</v>
      </c>
      <c r="F85" s="7" t="n">
        <v>7851.4</v>
      </c>
      <c r="H85" s="7" t="n">
        <v>4939.6</v>
      </c>
      <c r="J85" s="7" t="n">
        <v>8178.1</v>
      </c>
      <c r="L85" s="7" t="n">
        <v>4511.2</v>
      </c>
      <c r="N85" s="7" t="n">
        <v>6243.4</v>
      </c>
      <c r="P85" s="7" t="n">
        <v>6063.6</v>
      </c>
      <c r="R85" s="7" t="n">
        <v>4867.7</v>
      </c>
      <c r="T85" s="7" t="n">
        <v>5868.8</v>
      </c>
      <c r="V85" s="7" t="n">
        <v>7922.1</v>
      </c>
      <c r="X85" s="7" t="n">
        <v>5950.6</v>
      </c>
      <c r="Z85" s="7" t="n">
        <v>6139.5</v>
      </c>
      <c r="AB85" s="7" t="n">
        <v>70504.7</v>
      </c>
    </row>
    <row r="86">
      <c r="A86" s="4" t="inlineStr">
        <is>
          <t>销售佣金</t>
        </is>
      </c>
      <c r="D86" s="7" t="n">
        <v>1606.4</v>
      </c>
      <c r="F86" s="7" t="n">
        <v>5697.3</v>
      </c>
      <c r="H86" s="7" t="n">
        <v>4427.9</v>
      </c>
      <c r="J86" s="7" t="n">
        <v>6421</v>
      </c>
      <c r="L86" s="7" t="n">
        <v>3954.7</v>
      </c>
      <c r="N86" s="7" t="n">
        <v>2929.8</v>
      </c>
      <c r="P86" s="7" t="n">
        <v>5674.3</v>
      </c>
      <c r="R86" s="7" t="n">
        <v>4244.9</v>
      </c>
      <c r="T86" s="7" t="n">
        <v>3798.1</v>
      </c>
      <c r="V86" s="7" t="n">
        <v>8057.7</v>
      </c>
      <c r="X86" s="7" t="n">
        <v>4976.6</v>
      </c>
      <c r="Z86" s="7" t="n">
        <v>4655.2</v>
      </c>
      <c r="AB86" s="7" t="n">
        <v>56443.9</v>
      </c>
    </row>
    <row r="87">
      <c r="A87" s="4" t="inlineStr">
        <is>
          <t>检测费</t>
        </is>
      </c>
      <c r="D87" s="7" t="n">
        <v>30.2</v>
      </c>
      <c r="F87" s="7" t="n">
        <v>81.59999999999999</v>
      </c>
      <c r="H87" s="7" t="n">
        <v>67.59999999999999</v>
      </c>
      <c r="J87" s="7" t="n">
        <v>121.9</v>
      </c>
      <c r="L87" s="7" t="n">
        <v>62.8</v>
      </c>
      <c r="N87" s="7" t="n">
        <v>64.5</v>
      </c>
      <c r="P87" s="7" t="n">
        <v>67.90000000000001</v>
      </c>
      <c r="R87" s="7" t="n">
        <v>73.8</v>
      </c>
      <c r="T87" s="7" t="n">
        <v>70.3</v>
      </c>
      <c r="V87" s="7" t="n">
        <v>115.7</v>
      </c>
      <c r="X87" s="7" t="n">
        <v>58.3</v>
      </c>
      <c r="Z87" s="7" t="n">
        <v>57.4</v>
      </c>
      <c r="AB87" s="7" t="n">
        <v>872</v>
      </c>
    </row>
    <row r="88">
      <c r="A88" s="4" t="inlineStr">
        <is>
          <t>质量赔偿</t>
        </is>
      </c>
      <c r="D88" s="7" t="n">
        <v>332.8</v>
      </c>
      <c r="F88" s="7" t="n">
        <v>1026.3</v>
      </c>
      <c r="H88" s="7" t="n">
        <v>510.1</v>
      </c>
      <c r="J88" s="7" t="n">
        <v>1456.8</v>
      </c>
      <c r="L88" s="7" t="n">
        <v>467.4</v>
      </c>
      <c r="N88" s="7" t="n">
        <v>586</v>
      </c>
      <c r="P88" s="7" t="n">
        <v>701.2</v>
      </c>
      <c r="R88" s="7" t="n">
        <v>518</v>
      </c>
      <c r="T88" s="7" t="n">
        <v>655.3</v>
      </c>
      <c r="V88" s="7" t="n">
        <v>1129.9</v>
      </c>
      <c r="X88" s="7" t="n">
        <v>613.6</v>
      </c>
      <c r="Z88" s="7" t="n">
        <v>889.8</v>
      </c>
      <c r="AB88" s="7" t="n">
        <v>8887.200000000001</v>
      </c>
    </row>
    <row r="89">
      <c r="A89" s="4" t="inlineStr">
        <is>
          <t>保险费</t>
        </is>
      </c>
      <c r="D89" s="7" t="n">
        <v>940.8</v>
      </c>
      <c r="F89" s="7" t="n">
        <v>2907.7</v>
      </c>
      <c r="H89" s="7" t="n">
        <v>1554.7</v>
      </c>
      <c r="J89" s="7" t="n">
        <v>4250.7</v>
      </c>
      <c r="L89" s="7" t="n">
        <v>1977.3</v>
      </c>
      <c r="N89" s="7" t="n">
        <v>2229.2</v>
      </c>
      <c r="P89" s="7" t="n">
        <v>1755.2</v>
      </c>
      <c r="R89" s="7" t="n">
        <v>2473.7</v>
      </c>
      <c r="T89" s="7" t="n">
        <v>1709.3</v>
      </c>
      <c r="V89" s="7" t="n">
        <v>2813.5</v>
      </c>
      <c r="X89" s="7" t="n">
        <v>1547.4</v>
      </c>
      <c r="Z89" s="7" t="n">
        <v>2514.7</v>
      </c>
      <c r="AB89" s="7" t="n">
        <v>26674.2</v>
      </c>
    </row>
    <row r="90">
      <c r="A90" s="4" t="inlineStr">
        <is>
          <t>清洁费</t>
        </is>
      </c>
      <c r="D90" s="7" t="n">
        <v>2695.7</v>
      </c>
      <c r="F90" s="7" t="n">
        <v>6947.9</v>
      </c>
      <c r="H90" s="7" t="n">
        <v>4925.3</v>
      </c>
      <c r="J90" s="7" t="n">
        <v>11452.6</v>
      </c>
      <c r="L90" s="7" t="n">
        <v>5235.7</v>
      </c>
      <c r="N90" s="7" t="n">
        <v>4345.3</v>
      </c>
      <c r="P90" s="7" t="n">
        <v>7057.7</v>
      </c>
      <c r="R90" s="7" t="n">
        <v>4715.4</v>
      </c>
      <c r="T90" s="7" t="n">
        <v>6405.7</v>
      </c>
      <c r="V90" s="7" t="n">
        <v>9807.5</v>
      </c>
      <c r="X90" s="7" t="n">
        <v>6559.4</v>
      </c>
      <c r="Z90" s="7" t="n">
        <v>6007.9</v>
      </c>
      <c r="AB90" s="7" t="n">
        <v>76156.10000000001</v>
      </c>
    </row>
    <row r="91">
      <c r="A91" s="4" t="inlineStr">
        <is>
          <t>低值易耗品</t>
        </is>
      </c>
      <c r="D91" s="7" t="n">
        <v>2988.7</v>
      </c>
      <c r="F91" s="7" t="n">
        <v>4265.2</v>
      </c>
      <c r="H91" s="7" t="n">
        <v>3629.4</v>
      </c>
      <c r="J91" s="7" t="n">
        <v>10141</v>
      </c>
      <c r="L91" s="7" t="n">
        <v>3479.5</v>
      </c>
      <c r="N91" s="7" t="n">
        <v>4257.2</v>
      </c>
      <c r="P91" s="7" t="n">
        <v>5052.7</v>
      </c>
      <c r="R91" s="7" t="n">
        <v>3877.7</v>
      </c>
      <c r="T91" s="7" t="n">
        <v>5801.1</v>
      </c>
      <c r="V91" s="7" t="n">
        <v>8385.5</v>
      </c>
      <c r="X91" s="7" t="n">
        <v>4968.1</v>
      </c>
      <c r="Z91" s="7" t="n">
        <v>6059.9</v>
      </c>
      <c r="AB91" s="7" t="n">
        <v>62906</v>
      </c>
    </row>
    <row r="92">
      <c r="A92" s="4" t="inlineStr">
        <is>
          <t>物料消耗</t>
        </is>
      </c>
      <c r="D92" s="7" t="n">
        <v>2155.9</v>
      </c>
      <c r="F92" s="7" t="n">
        <v>4270.3</v>
      </c>
      <c r="H92" s="7" t="n">
        <v>4678.4</v>
      </c>
      <c r="J92" s="7" t="n">
        <v>7211</v>
      </c>
      <c r="L92" s="7" t="n">
        <v>4136.4</v>
      </c>
      <c r="N92" s="7" t="n">
        <v>4339.9</v>
      </c>
      <c r="P92" s="7" t="n">
        <v>3700.9</v>
      </c>
      <c r="R92" s="7" t="n">
        <v>3927.3</v>
      </c>
      <c r="T92" s="7" t="n">
        <v>2906.8</v>
      </c>
      <c r="V92" s="7" t="n">
        <v>5230.2</v>
      </c>
      <c r="X92" s="7" t="n">
        <v>2871.6</v>
      </c>
      <c r="Z92" s="7" t="n">
        <v>4109.9</v>
      </c>
      <c r="AB92" s="7" t="n">
        <v>49538.6</v>
      </c>
    </row>
    <row r="93">
      <c r="A93" s="4" t="inlineStr">
        <is>
          <t>盘盈盘亏</t>
        </is>
      </c>
      <c r="D93" s="7" t="n">
        <v>684.7</v>
      </c>
      <c r="F93" s="7" t="n">
        <v>1416.2</v>
      </c>
      <c r="H93" s="7" t="n">
        <v>1103.4</v>
      </c>
      <c r="J93" s="7" t="n">
        <v>1578.9</v>
      </c>
      <c r="L93" s="7" t="n">
        <v>969.6</v>
      </c>
      <c r="N93" s="7" t="n">
        <v>938.5</v>
      </c>
      <c r="P93" s="7" t="n">
        <v>1364</v>
      </c>
      <c r="R93" s="7" t="n">
        <v>1228.1</v>
      </c>
      <c r="T93" s="7" t="n">
        <v>1260.2</v>
      </c>
      <c r="V93" s="7" t="n">
        <v>2608.8</v>
      </c>
      <c r="X93" s="7" t="n">
        <v>1152.4</v>
      </c>
      <c r="Z93" s="7" t="n">
        <v>1384.7</v>
      </c>
      <c r="AB93" s="7" t="n">
        <v>15689.5</v>
      </c>
    </row>
    <row r="94">
      <c r="A94" s="4" t="inlineStr">
        <is>
          <t>平台服务费</t>
        </is>
      </c>
      <c r="D94" s="7" t="n">
        <v>417.9</v>
      </c>
      <c r="F94" s="7" t="n">
        <v>1046.7</v>
      </c>
      <c r="H94" s="7" t="n">
        <v>651.1</v>
      </c>
      <c r="J94" s="7" t="n">
        <v>1415.3</v>
      </c>
      <c r="L94" s="7" t="n">
        <v>563.8</v>
      </c>
      <c r="N94" s="7" t="n">
        <v>693.1</v>
      </c>
      <c r="P94" s="7" t="n">
        <v>1149.7</v>
      </c>
      <c r="R94" s="7" t="n">
        <v>1078.1</v>
      </c>
      <c r="T94" s="7" t="n">
        <v>891.4</v>
      </c>
      <c r="V94" s="7" t="n">
        <v>1533.5</v>
      </c>
      <c r="X94" s="7" t="n">
        <v>949.9</v>
      </c>
      <c r="Z94" s="7" t="n">
        <v>1013.9</v>
      </c>
      <c r="AB94" s="7" t="n">
        <v>11404.4</v>
      </c>
    </row>
    <row r="95">
      <c r="A95" s="4" t="inlineStr">
        <is>
          <t>无形资产摊销</t>
        </is>
      </c>
      <c r="D95" s="7" t="n">
        <v>2796</v>
      </c>
      <c r="F95" s="7" t="n">
        <v>4839.6</v>
      </c>
      <c r="H95" s="7" t="n">
        <v>3825.4</v>
      </c>
      <c r="J95" s="7" t="n">
        <v>10705.4</v>
      </c>
      <c r="L95" s="7" t="n">
        <v>4186.1</v>
      </c>
      <c r="N95" s="7" t="n">
        <v>4590</v>
      </c>
      <c r="P95" s="7" t="n">
        <v>5918.9</v>
      </c>
      <c r="R95" s="7" t="n">
        <v>4043.9</v>
      </c>
      <c r="T95" s="7" t="n">
        <v>5182.8</v>
      </c>
      <c r="V95" s="7" t="n">
        <v>10548.3</v>
      </c>
      <c r="X95" s="7" t="n">
        <v>5935.8</v>
      </c>
      <c r="Z95" s="7" t="n">
        <v>6584</v>
      </c>
      <c r="AB95" s="7" t="n">
        <v>69156.2</v>
      </c>
    </row>
    <row r="96">
      <c r="A96" s="4" t="inlineStr">
        <is>
          <t>研发材料</t>
        </is>
      </c>
      <c r="D96" s="7" t="n">
        <v>291.6</v>
      </c>
      <c r="F96" s="7" t="n">
        <v>1013.9</v>
      </c>
      <c r="H96" s="7" t="n">
        <v>856.8</v>
      </c>
      <c r="J96" s="7" t="n">
        <v>1147.9</v>
      </c>
      <c r="L96" s="7" t="n">
        <v>769.5</v>
      </c>
      <c r="N96" s="7" t="n">
        <v>518.6</v>
      </c>
      <c r="P96" s="7" t="n">
        <v>882.7</v>
      </c>
      <c r="R96" s="7" t="n">
        <v>699.5</v>
      </c>
      <c r="T96" s="7" t="n">
        <v>927.6</v>
      </c>
      <c r="V96" s="7" t="n">
        <v>945.1</v>
      </c>
      <c r="X96" s="7" t="n">
        <v>826.7</v>
      </c>
      <c r="Z96" s="7" t="n">
        <v>991.7</v>
      </c>
      <c r="AB96" s="7" t="n">
        <v>9871.6</v>
      </c>
    </row>
    <row r="97">
      <c r="A97" s="4" t="inlineStr">
        <is>
          <t>项目名称</t>
        </is>
      </c>
      <c r="D97" s="7" t="n">
        <v>1296.8</v>
      </c>
      <c r="F97" s="7" t="n">
        <v>2219.4</v>
      </c>
      <c r="H97" s="7" t="n">
        <v>1715.7</v>
      </c>
      <c r="J97" s="7" t="n">
        <v>3904.2</v>
      </c>
      <c r="L97" s="7" t="n">
        <v>1633.3</v>
      </c>
      <c r="N97" s="7" t="n">
        <v>2438.6</v>
      </c>
      <c r="P97" s="7" t="n">
        <v>2391</v>
      </c>
      <c r="R97" s="7" t="n">
        <v>1507.2</v>
      </c>
      <c r="T97" s="7" t="n">
        <v>2236.8</v>
      </c>
      <c r="V97" s="7" t="n">
        <v>3436.2</v>
      </c>
      <c r="X97" s="7" t="n">
        <v>1651.9</v>
      </c>
      <c r="Z97" s="7" t="n">
        <v>2552.7</v>
      </c>
      <c r="AB97" s="7" t="n">
        <v>26983.8</v>
      </c>
    </row>
    <row r="98">
      <c r="A98" s="4" t="inlineStr">
        <is>
          <t>研发费</t>
        </is>
      </c>
      <c r="D98" s="7" t="n">
        <v>1695.8</v>
      </c>
      <c r="F98" s="7" t="n">
        <v>3811.2</v>
      </c>
      <c r="H98" s="7" t="n">
        <v>3305</v>
      </c>
      <c r="J98" s="7" t="n">
        <v>5747</v>
      </c>
      <c r="L98" s="7" t="n">
        <v>2650.7</v>
      </c>
      <c r="N98" s="7" t="n">
        <v>3640.3</v>
      </c>
      <c r="P98" s="7" t="n">
        <v>3788.1</v>
      </c>
      <c r="R98" s="7" t="n">
        <v>3892.4</v>
      </c>
      <c r="T98" s="7" t="n">
        <v>3583.3</v>
      </c>
      <c r="V98" s="7" t="n">
        <v>7786.9</v>
      </c>
      <c r="X98" s="7" t="n">
        <v>3369.2</v>
      </c>
      <c r="Z98" s="7" t="n">
        <v>4144.3</v>
      </c>
      <c r="AB98" s="7" t="n">
        <v>47414.2</v>
      </c>
    </row>
    <row r="99">
      <c r="A99" s="4" t="inlineStr">
        <is>
          <t>残保金</t>
        </is>
      </c>
      <c r="D99" s="7" t="n">
        <v>3713.6</v>
      </c>
      <c r="F99" s="7" t="n">
        <v>7305</v>
      </c>
      <c r="H99" s="7" t="n">
        <v>4118</v>
      </c>
      <c r="J99" s="7" t="n">
        <v>12080.8</v>
      </c>
      <c r="L99" s="7" t="n">
        <v>5723.5</v>
      </c>
      <c r="N99" s="7" t="n">
        <v>6783.6</v>
      </c>
      <c r="P99" s="7" t="n">
        <v>7660.5</v>
      </c>
      <c r="R99" s="7" t="n">
        <v>6293.9</v>
      </c>
      <c r="T99" s="7" t="n">
        <v>4217.3</v>
      </c>
      <c r="V99" s="7" t="n">
        <v>11473.4</v>
      </c>
      <c r="X99" s="7" t="n">
        <v>4444.1</v>
      </c>
      <c r="Z99" s="7" t="n">
        <v>7359.7</v>
      </c>
      <c r="AB99" s="7" t="n">
        <v>81173.39999999999</v>
      </c>
    </row>
    <row r="100">
      <c r="A100" s="4" t="inlineStr">
        <is>
          <t>环保费</t>
        </is>
      </c>
      <c r="D100" s="7" t="n">
        <v>3212.5</v>
      </c>
      <c r="F100" s="7" t="n">
        <v>7041.9</v>
      </c>
      <c r="H100" s="7" t="n">
        <v>5218.4</v>
      </c>
      <c r="J100" s="7" t="n">
        <v>9554.1</v>
      </c>
      <c r="L100" s="7" t="n">
        <v>4063.1</v>
      </c>
      <c r="N100" s="7" t="n">
        <v>4965.3</v>
      </c>
      <c r="P100" s="7" t="n">
        <v>5545.2</v>
      </c>
      <c r="R100" s="7" t="n">
        <v>5379.7</v>
      </c>
      <c r="T100" s="7" t="n">
        <v>6443.3</v>
      </c>
      <c r="V100" s="7" t="n">
        <v>6865.7</v>
      </c>
      <c r="X100" s="7" t="n">
        <v>5096.8</v>
      </c>
      <c r="Z100" s="7" t="n">
        <v>5467.3</v>
      </c>
      <c r="AB100" s="7" t="n">
        <v>68853.3</v>
      </c>
    </row>
    <row r="101">
      <c r="A101" s="4" t="inlineStr">
        <is>
          <t>报废损失</t>
        </is>
      </c>
      <c r="D101" s="7" t="n">
        <v>2891.8</v>
      </c>
      <c r="F101" s="7" t="n">
        <v>9142</v>
      </c>
      <c r="H101" s="7" t="n">
        <v>5320.3</v>
      </c>
      <c r="J101" s="7" t="n">
        <v>7238.2</v>
      </c>
      <c r="L101" s="7" t="n">
        <v>6209</v>
      </c>
      <c r="N101" s="7" t="n">
        <v>6742.3</v>
      </c>
      <c r="P101" s="7" t="n">
        <v>7347</v>
      </c>
      <c r="R101" s="7" t="n">
        <v>5488.4</v>
      </c>
      <c r="T101" s="7" t="n">
        <v>6513.7</v>
      </c>
      <c r="V101" s="7" t="n">
        <v>9392.5</v>
      </c>
      <c r="X101" s="7" t="n">
        <v>4211.7</v>
      </c>
      <c r="Z101" s="7" t="n">
        <v>7274.7</v>
      </c>
      <c r="AB101" s="7" t="n">
        <v>77771.60000000001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302562.2</v>
      </c>
      <c r="D102" s="7" t="n">
        <v>164196.9</v>
      </c>
      <c r="E102" s="7" t="n">
        <v>373156.9</v>
      </c>
      <c r="F102" s="7" t="n">
        <v>246387.9</v>
      </c>
      <c r="G102" s="7" t="n">
        <v>339700.9</v>
      </c>
      <c r="H102" s="7" t="n">
        <v>237973.4</v>
      </c>
      <c r="I102" s="7" t="n">
        <v>305106.4</v>
      </c>
      <c r="J102" s="7" t="n">
        <v>308450</v>
      </c>
      <c r="K102" s="7" t="n">
        <v>380766.3</v>
      </c>
      <c r="L102" s="7" t="n">
        <v>572601.9</v>
      </c>
      <c r="M102" s="7" t="n">
        <v>337813.5</v>
      </c>
      <c r="N102" s="7" t="n">
        <v>380863.5</v>
      </c>
      <c r="O102" s="7" t="n">
        <v>292359.7</v>
      </c>
      <c r="P102" s="7" t="n">
        <v>503441.6</v>
      </c>
      <c r="Q102" s="7" t="n">
        <v>391121.6</v>
      </c>
      <c r="R102" s="7" t="n">
        <v>428659</v>
      </c>
      <c r="S102" s="7" t="n">
        <v>313161.3</v>
      </c>
      <c r="T102" s="7" t="n">
        <v>353164.6</v>
      </c>
      <c r="U102" s="7" t="n">
        <v>363325.9</v>
      </c>
      <c r="V102" s="7" t="n">
        <v>382246.3</v>
      </c>
      <c r="W102" s="7" t="n">
        <v>305898.3</v>
      </c>
      <c r="X102" s="7" t="n">
        <v>392387.9</v>
      </c>
      <c r="Y102" s="7" t="n">
        <v>359344.4</v>
      </c>
      <c r="Z102" s="7" t="n">
        <v>156073.5</v>
      </c>
      <c r="AA102" s="8" t="n">
        <v>4064317.4</v>
      </c>
      <c r="AB102" s="8" t="n">
        <v>4126446.5</v>
      </c>
    </row>
    <row r="103">
      <c r="A103" s="4" t="inlineStr">
        <is>
          <t>职工薪酬</t>
        </is>
      </c>
      <c r="D103" s="7" t="n">
        <v>84853.39999999999</v>
      </c>
      <c r="F103" s="7" t="n">
        <v>134157.6</v>
      </c>
      <c r="H103" s="7" t="n">
        <v>95633.7</v>
      </c>
      <c r="J103" s="7" t="n">
        <v>167590.9</v>
      </c>
      <c r="L103" s="7" t="n">
        <v>247425.3</v>
      </c>
      <c r="N103" s="7" t="n">
        <v>182508.7</v>
      </c>
      <c r="P103" s="7" t="n">
        <v>296116.9</v>
      </c>
      <c r="R103" s="7" t="n">
        <v>170208.9</v>
      </c>
      <c r="T103" s="7" t="n">
        <v>200614.4</v>
      </c>
      <c r="V103" s="7" t="n">
        <v>231470.2</v>
      </c>
      <c r="X103" s="7" t="n">
        <v>237894.8</v>
      </c>
      <c r="Z103" s="7" t="n">
        <v>80732.7</v>
      </c>
      <c r="AB103" s="7" t="n">
        <v>2129207.5</v>
      </c>
    </row>
    <row r="104">
      <c r="A104" s="4" t="inlineStr">
        <is>
          <t>工资</t>
        </is>
      </c>
      <c r="D104" s="7" t="n">
        <v>53854.5</v>
      </c>
      <c r="F104" s="7" t="n">
        <v>82950.3</v>
      </c>
      <c r="H104" s="7" t="n">
        <v>50020.9</v>
      </c>
      <c r="J104" s="7" t="n">
        <v>91247.3</v>
      </c>
      <c r="L104" s="7" t="n">
        <v>133923.5</v>
      </c>
      <c r="N104" s="7" t="n">
        <v>95487.89999999999</v>
      </c>
      <c r="P104" s="7" t="n">
        <v>167342.4</v>
      </c>
      <c r="R104" s="7" t="n">
        <v>90735</v>
      </c>
      <c r="T104" s="7" t="n">
        <v>118383.4</v>
      </c>
      <c r="V104" s="7" t="n">
        <v>136492.4</v>
      </c>
      <c r="X104" s="7" t="n">
        <v>152194.7</v>
      </c>
      <c r="Z104" s="7" t="n">
        <v>44639.6</v>
      </c>
      <c r="AB104" s="7" t="n">
        <v>1217271.9</v>
      </c>
    </row>
    <row r="105">
      <c r="A105" s="4" t="inlineStr">
        <is>
          <t>奖金及提成</t>
        </is>
      </c>
      <c r="D105" s="7" t="n">
        <v>12795.9</v>
      </c>
      <c r="F105" s="7" t="n">
        <v>18294.2</v>
      </c>
      <c r="H105" s="7" t="n">
        <v>22127.8</v>
      </c>
      <c r="J105" s="7" t="n">
        <v>35115.7</v>
      </c>
      <c r="L105" s="7" t="n">
        <v>43601.1</v>
      </c>
      <c r="N105" s="7" t="n">
        <v>33821.1</v>
      </c>
      <c r="P105" s="7" t="n">
        <v>61852.5</v>
      </c>
      <c r="R105" s="7" t="n">
        <v>33533</v>
      </c>
      <c r="T105" s="7" t="n">
        <v>41111.1</v>
      </c>
      <c r="V105" s="7" t="n">
        <v>44030.7</v>
      </c>
      <c r="X105" s="7" t="n">
        <v>30601.9</v>
      </c>
      <c r="Z105" s="7" t="n">
        <v>20223.4</v>
      </c>
      <c r="AB105" s="7" t="n">
        <v>397108.4</v>
      </c>
    </row>
    <row r="106">
      <c r="A106" s="4" t="inlineStr">
        <is>
          <t>社保</t>
        </is>
      </c>
      <c r="D106" s="7" t="n">
        <v>10320.9</v>
      </c>
      <c r="F106" s="7" t="n">
        <v>20071.8</v>
      </c>
      <c r="H106" s="7" t="n">
        <v>13423.3</v>
      </c>
      <c r="J106" s="7" t="n">
        <v>26897.1</v>
      </c>
      <c r="L106" s="7" t="n">
        <v>44161.8</v>
      </c>
      <c r="N106" s="7" t="n">
        <v>34535.5</v>
      </c>
      <c r="P106" s="7" t="n">
        <v>43370.4</v>
      </c>
      <c r="R106" s="7" t="n">
        <v>27119.5</v>
      </c>
      <c r="T106" s="7" t="n">
        <v>26756.5</v>
      </c>
      <c r="V106" s="7" t="n">
        <v>34002.8</v>
      </c>
      <c r="X106" s="7" t="n">
        <v>38170.8</v>
      </c>
      <c r="Z106" s="7" t="n">
        <v>9389.5</v>
      </c>
      <c r="AB106" s="7" t="n">
        <v>328219.9</v>
      </c>
    </row>
    <row r="107">
      <c r="A107" s="4" t="inlineStr">
        <is>
          <t>养老</t>
        </is>
      </c>
      <c r="D107" s="7" t="n">
        <v>124.6</v>
      </c>
      <c r="F107" s="7" t="n">
        <v>171</v>
      </c>
      <c r="H107" s="7" t="n">
        <v>145.9</v>
      </c>
      <c r="J107" s="7" t="n">
        <v>259.7</v>
      </c>
      <c r="L107" s="7" t="n">
        <v>335.2</v>
      </c>
      <c r="N107" s="7" t="n">
        <v>196.7</v>
      </c>
      <c r="P107" s="7" t="n">
        <v>287.3</v>
      </c>
      <c r="R107" s="7" t="n">
        <v>212</v>
      </c>
      <c r="T107" s="7" t="n">
        <v>240.1</v>
      </c>
      <c r="V107" s="7" t="n">
        <v>266.9</v>
      </c>
      <c r="X107" s="7" t="n">
        <v>275.2</v>
      </c>
      <c r="Z107" s="7" t="n">
        <v>120</v>
      </c>
      <c r="AB107" s="7" t="n">
        <v>2634.6</v>
      </c>
    </row>
    <row r="108">
      <c r="A108" s="4" t="inlineStr">
        <is>
          <t>医疗</t>
        </is>
      </c>
      <c r="D108" s="7" t="n">
        <v>898.6</v>
      </c>
      <c r="F108" s="7" t="n">
        <v>1221.6</v>
      </c>
      <c r="H108" s="7" t="n">
        <v>949.2</v>
      </c>
      <c r="J108" s="7" t="n">
        <v>1411.4</v>
      </c>
      <c r="L108" s="7" t="n">
        <v>2607.4</v>
      </c>
      <c r="N108" s="7" t="n">
        <v>1980.9</v>
      </c>
      <c r="P108" s="7" t="n">
        <v>1999.8</v>
      </c>
      <c r="R108" s="7" t="n">
        <v>1422.1</v>
      </c>
      <c r="T108" s="7" t="n">
        <v>1980.8</v>
      </c>
      <c r="V108" s="7" t="n">
        <v>2202.8</v>
      </c>
      <c r="X108" s="7" t="n">
        <v>1771.2</v>
      </c>
      <c r="Z108" s="7" t="n">
        <v>542.5</v>
      </c>
      <c r="AB108" s="7" t="n">
        <v>18988.3</v>
      </c>
    </row>
    <row r="109">
      <c r="A109" s="4" t="inlineStr">
        <is>
          <t>工伤</t>
        </is>
      </c>
      <c r="D109" s="7" t="n">
        <v>568.2</v>
      </c>
      <c r="F109" s="7" t="n">
        <v>820.9</v>
      </c>
      <c r="H109" s="7" t="n">
        <v>1003</v>
      </c>
      <c r="J109" s="7" t="n">
        <v>1305.7</v>
      </c>
      <c r="L109" s="7" t="n">
        <v>2364.2</v>
      </c>
      <c r="N109" s="7" t="n">
        <v>972.2</v>
      </c>
      <c r="P109" s="7" t="n">
        <v>2006.3</v>
      </c>
      <c r="R109" s="7" t="n">
        <v>1461.9</v>
      </c>
      <c r="T109" s="7" t="n">
        <v>1063.5</v>
      </c>
      <c r="V109" s="7" t="n">
        <v>1389.7</v>
      </c>
      <c r="X109" s="7" t="n">
        <v>1488.1</v>
      </c>
      <c r="Z109" s="7" t="n">
        <v>650.7</v>
      </c>
      <c r="AB109" s="7" t="n">
        <v>15094.4</v>
      </c>
    </row>
    <row r="110">
      <c r="A110" s="4" t="inlineStr">
        <is>
          <t>失业</t>
        </is>
      </c>
      <c r="D110" s="7" t="n">
        <v>588.9</v>
      </c>
      <c r="F110" s="7" t="n">
        <v>921.7</v>
      </c>
      <c r="H110" s="7" t="n">
        <v>1030.6</v>
      </c>
      <c r="J110" s="7" t="n">
        <v>1127.9</v>
      </c>
      <c r="L110" s="7" t="n">
        <v>2129.7</v>
      </c>
      <c r="N110" s="7" t="n">
        <v>2257.9</v>
      </c>
      <c r="P110" s="7" t="n">
        <v>2553.3</v>
      </c>
      <c r="R110" s="7" t="n">
        <v>2332.5</v>
      </c>
      <c r="T110" s="7" t="n">
        <v>1785.2</v>
      </c>
      <c r="V110" s="7" t="n">
        <v>1833</v>
      </c>
      <c r="X110" s="7" t="n">
        <v>2222.2</v>
      </c>
      <c r="Z110" s="7" t="n">
        <v>590.9</v>
      </c>
      <c r="AB110" s="7" t="n">
        <v>19373.8</v>
      </c>
    </row>
    <row r="111">
      <c r="A111" s="4" t="inlineStr">
        <is>
          <t>生育</t>
        </is>
      </c>
      <c r="D111" s="7" t="n">
        <v>617.9</v>
      </c>
      <c r="F111" s="7" t="n">
        <v>751.2</v>
      </c>
      <c r="H111" s="7" t="n">
        <v>741.8</v>
      </c>
      <c r="J111" s="7" t="n">
        <v>1092.6</v>
      </c>
      <c r="L111" s="7" t="n">
        <v>1655.9</v>
      </c>
      <c r="N111" s="7" t="n">
        <v>1587.7</v>
      </c>
      <c r="P111" s="7" t="n">
        <v>1810</v>
      </c>
      <c r="R111" s="7" t="n">
        <v>1409.3</v>
      </c>
      <c r="T111" s="7" t="n">
        <v>1342.7</v>
      </c>
      <c r="V111" s="7" t="n">
        <v>1614.9</v>
      </c>
      <c r="X111" s="7" t="n">
        <v>1530.6</v>
      </c>
      <c r="Z111" s="7" t="n">
        <v>406.2</v>
      </c>
      <c r="AB111" s="7" t="n">
        <v>14560.8</v>
      </c>
    </row>
    <row r="112">
      <c r="A112" s="4" t="inlineStr">
        <is>
          <t>公积金</t>
        </is>
      </c>
      <c r="D112" s="7" t="n">
        <v>856.1</v>
      </c>
      <c r="F112" s="7" t="n">
        <v>1363.5</v>
      </c>
      <c r="H112" s="7" t="n">
        <v>801.1</v>
      </c>
      <c r="J112" s="7" t="n">
        <v>1062.3</v>
      </c>
      <c r="L112" s="7" t="n">
        <v>2520.2</v>
      </c>
      <c r="N112" s="7" t="n">
        <v>1696.1</v>
      </c>
      <c r="P112" s="7" t="n">
        <v>2457.1</v>
      </c>
      <c r="R112" s="7" t="n">
        <v>1739.2</v>
      </c>
      <c r="T112" s="7" t="n">
        <v>1852.7</v>
      </c>
      <c r="V112" s="7" t="n">
        <v>2004.1</v>
      </c>
      <c r="X112" s="7" t="n">
        <v>1387.2</v>
      </c>
      <c r="Z112" s="7" t="n">
        <v>804.2</v>
      </c>
      <c r="AB112" s="7" t="n">
        <v>18543.8</v>
      </c>
    </row>
    <row r="113">
      <c r="A113" s="4" t="inlineStr">
        <is>
          <t>工会经费</t>
        </is>
      </c>
      <c r="D113" s="7" t="n">
        <v>603</v>
      </c>
      <c r="F113" s="7" t="n">
        <v>1441.4</v>
      </c>
      <c r="H113" s="7" t="n">
        <v>1109.8</v>
      </c>
      <c r="J113" s="7" t="n">
        <v>1659.8</v>
      </c>
      <c r="L113" s="7" t="n">
        <v>2982.9</v>
      </c>
      <c r="N113" s="7" t="n">
        <v>1401.9</v>
      </c>
      <c r="P113" s="7" t="n">
        <v>1797.5</v>
      </c>
      <c r="R113" s="7" t="n">
        <v>2304.4</v>
      </c>
      <c r="T113" s="7" t="n">
        <v>1399.2</v>
      </c>
      <c r="V113" s="7" t="n">
        <v>2166</v>
      </c>
      <c r="X113" s="7" t="n">
        <v>2098.9</v>
      </c>
      <c r="Z113" s="7" t="n">
        <v>515.2</v>
      </c>
      <c r="AB113" s="7" t="n">
        <v>19480</v>
      </c>
    </row>
    <row r="114">
      <c r="A114" s="4" t="inlineStr">
        <is>
          <t>职工教育经费</t>
        </is>
      </c>
      <c r="D114" s="7" t="n">
        <v>750.1</v>
      </c>
      <c r="F114" s="7" t="n">
        <v>962.8</v>
      </c>
      <c r="H114" s="7" t="n">
        <v>1419.9</v>
      </c>
      <c r="J114" s="7" t="n">
        <v>1707.6</v>
      </c>
      <c r="L114" s="7" t="n">
        <v>2261.5</v>
      </c>
      <c r="N114" s="7" t="n">
        <v>1961.5</v>
      </c>
      <c r="P114" s="7" t="n">
        <v>2440.9</v>
      </c>
      <c r="R114" s="7" t="n">
        <v>2268.2</v>
      </c>
      <c r="T114" s="7" t="n">
        <v>1944.1</v>
      </c>
      <c r="V114" s="7" t="n">
        <v>1862.4</v>
      </c>
      <c r="X114" s="7" t="n">
        <v>1771.6</v>
      </c>
      <c r="Z114" s="7" t="n">
        <v>629.2</v>
      </c>
      <c r="AB114" s="7" t="n">
        <v>19979.8</v>
      </c>
    </row>
    <row r="115">
      <c r="A115" s="4" t="inlineStr">
        <is>
          <t>福利费</t>
        </is>
      </c>
      <c r="D115" s="7" t="n">
        <v>5672.9</v>
      </c>
      <c r="F115" s="7" t="n">
        <v>9073.6</v>
      </c>
      <c r="H115" s="7" t="n">
        <v>6730.9</v>
      </c>
      <c r="J115" s="7" t="n">
        <v>9901.1</v>
      </c>
      <c r="L115" s="7" t="n">
        <v>17974.3</v>
      </c>
      <c r="N115" s="7" t="n">
        <v>13604.7</v>
      </c>
      <c r="P115" s="7" t="n">
        <v>16856.1</v>
      </c>
      <c r="R115" s="7" t="n">
        <v>12509.6</v>
      </c>
      <c r="T115" s="7" t="n">
        <v>9167.4</v>
      </c>
      <c r="V115" s="7" t="n">
        <v>10911.8</v>
      </c>
      <c r="X115" s="7" t="n">
        <v>11669.7</v>
      </c>
      <c r="Z115" s="7" t="n">
        <v>4531.6</v>
      </c>
      <c r="AB115" s="7" t="n">
        <v>128603.7</v>
      </c>
    </row>
    <row r="116">
      <c r="A116" s="4" t="inlineStr">
        <is>
          <t>职工房租</t>
        </is>
      </c>
      <c r="D116" s="7" t="n">
        <v>743.1</v>
      </c>
      <c r="F116" s="7" t="n">
        <v>1022.2</v>
      </c>
      <c r="H116" s="7" t="n">
        <v>821</v>
      </c>
      <c r="J116" s="7" t="n">
        <v>998.7</v>
      </c>
      <c r="L116" s="7" t="n">
        <v>1971.6</v>
      </c>
      <c r="N116" s="7" t="n">
        <v>1563.3</v>
      </c>
      <c r="P116" s="7" t="n">
        <v>1574.7</v>
      </c>
      <c r="R116" s="7" t="n">
        <v>1160.4</v>
      </c>
      <c r="T116" s="7" t="n">
        <v>1182.6</v>
      </c>
      <c r="V116" s="7" t="n">
        <v>1387.5</v>
      </c>
      <c r="X116" s="7" t="n">
        <v>1765.6</v>
      </c>
      <c r="Z116" s="7" t="n">
        <v>457</v>
      </c>
      <c r="AB116" s="7" t="n">
        <v>14647.7</v>
      </c>
    </row>
    <row r="117">
      <c r="A117" s="4" t="inlineStr">
        <is>
          <t>水电物业费</t>
        </is>
      </c>
      <c r="D117" s="7" t="n">
        <v>1116.2</v>
      </c>
      <c r="F117" s="7" t="n">
        <v>1653.6</v>
      </c>
      <c r="H117" s="7" t="n">
        <v>930.5</v>
      </c>
      <c r="J117" s="7" t="n">
        <v>1592.8</v>
      </c>
      <c r="L117" s="7" t="n">
        <v>2625.6</v>
      </c>
      <c r="N117" s="7" t="n">
        <v>2424.4</v>
      </c>
      <c r="P117" s="7" t="n">
        <v>2380.2</v>
      </c>
      <c r="R117" s="7" t="n">
        <v>2332.9</v>
      </c>
      <c r="T117" s="7" t="n">
        <v>1312.8</v>
      </c>
      <c r="V117" s="7" t="n">
        <v>1654</v>
      </c>
      <c r="X117" s="7" t="n">
        <v>2148.8</v>
      </c>
      <c r="Z117" s="7" t="n">
        <v>726.3</v>
      </c>
      <c r="AB117" s="7" t="n">
        <v>20898.1</v>
      </c>
    </row>
    <row r="118">
      <c r="A118" s="4" t="inlineStr">
        <is>
          <t>员工餐</t>
        </is>
      </c>
      <c r="D118" s="7" t="n">
        <v>656</v>
      </c>
      <c r="F118" s="7" t="n">
        <v>1061.4</v>
      </c>
      <c r="H118" s="7" t="n">
        <v>967.9</v>
      </c>
      <c r="J118" s="7" t="n">
        <v>1465.5</v>
      </c>
      <c r="L118" s="7" t="n">
        <v>1910.9</v>
      </c>
      <c r="N118" s="7" t="n">
        <v>1928.9</v>
      </c>
      <c r="P118" s="7" t="n">
        <v>2377</v>
      </c>
      <c r="R118" s="7" t="n">
        <v>1482.7</v>
      </c>
      <c r="T118" s="7" t="n">
        <v>1015</v>
      </c>
      <c r="V118" s="7" t="n">
        <v>1476.6</v>
      </c>
      <c r="X118" s="7" t="n">
        <v>1345.6</v>
      </c>
      <c r="Z118" s="7" t="n">
        <v>578.6</v>
      </c>
      <c r="AB118" s="7" t="n">
        <v>16266.1</v>
      </c>
    </row>
    <row r="119">
      <c r="A119" s="4" t="inlineStr">
        <is>
          <t>节日礼品</t>
        </is>
      </c>
      <c r="D119" s="7" t="n">
        <v>1108.6</v>
      </c>
      <c r="F119" s="7" t="n">
        <v>1723.5</v>
      </c>
      <c r="H119" s="7" t="n">
        <v>918.2</v>
      </c>
      <c r="J119" s="7" t="n">
        <v>1858.4</v>
      </c>
      <c r="L119" s="7" t="n">
        <v>3812.5</v>
      </c>
      <c r="N119" s="7" t="n">
        <v>2382.7</v>
      </c>
      <c r="P119" s="7" t="n">
        <v>2113</v>
      </c>
      <c r="R119" s="7" t="n">
        <v>2402.2</v>
      </c>
      <c r="T119" s="7" t="n">
        <v>1638.9</v>
      </c>
      <c r="V119" s="7" t="n">
        <v>2094.4</v>
      </c>
      <c r="X119" s="7" t="n">
        <v>1589.8</v>
      </c>
      <c r="Z119" s="7" t="n">
        <v>1115.5</v>
      </c>
      <c r="AB119" s="7" t="n">
        <v>22757.7</v>
      </c>
    </row>
    <row r="120">
      <c r="A120" s="4" t="inlineStr">
        <is>
          <t>生日礼品</t>
        </is>
      </c>
      <c r="D120" s="7" t="n">
        <v>579.1</v>
      </c>
      <c r="F120" s="7" t="n">
        <v>1440.4</v>
      </c>
      <c r="H120" s="7" t="n">
        <v>1375.2</v>
      </c>
      <c r="J120" s="7" t="n">
        <v>1456.5</v>
      </c>
      <c r="L120" s="7" t="n">
        <v>2994.1</v>
      </c>
      <c r="N120" s="7" t="n">
        <v>1641.4</v>
      </c>
      <c r="P120" s="7" t="n">
        <v>3018.3</v>
      </c>
      <c r="R120" s="7" t="n">
        <v>1502.2</v>
      </c>
      <c r="T120" s="7" t="n">
        <v>1248.2</v>
      </c>
      <c r="V120" s="7" t="n">
        <v>1391.5</v>
      </c>
      <c r="X120" s="7" t="n">
        <v>2182.6</v>
      </c>
      <c r="Z120" s="7" t="n">
        <v>542.5</v>
      </c>
      <c r="AB120" s="7" t="n">
        <v>19372</v>
      </c>
    </row>
    <row r="121">
      <c r="A121" s="4" t="inlineStr">
        <is>
          <t>体检</t>
        </is>
      </c>
      <c r="D121" s="7" t="n">
        <v>587.5</v>
      </c>
      <c r="F121" s="7" t="n">
        <v>1172.9</v>
      </c>
      <c r="H121" s="7" t="n">
        <v>746.1</v>
      </c>
      <c r="J121" s="7" t="n">
        <v>983.8</v>
      </c>
      <c r="L121" s="7" t="n">
        <v>1895.4</v>
      </c>
      <c r="N121" s="7" t="n">
        <v>1674.1</v>
      </c>
      <c r="P121" s="7" t="n">
        <v>2100.3</v>
      </c>
      <c r="R121" s="7" t="n">
        <v>1821.5</v>
      </c>
      <c r="T121" s="7" t="n">
        <v>1171.4</v>
      </c>
      <c r="V121" s="7" t="n">
        <v>1228.5</v>
      </c>
      <c r="X121" s="7" t="n">
        <v>1088.2</v>
      </c>
      <c r="Z121" s="7" t="n">
        <v>477.5</v>
      </c>
      <c r="AB121" s="7" t="n">
        <v>14947.2</v>
      </c>
    </row>
    <row r="122">
      <c r="A122" s="4" t="inlineStr">
        <is>
          <t>其他福利支出</t>
        </is>
      </c>
      <c r="D122" s="7" t="n">
        <v>882.4</v>
      </c>
      <c r="F122" s="7" t="n">
        <v>999.6</v>
      </c>
      <c r="H122" s="7" t="n">
        <v>972</v>
      </c>
      <c r="J122" s="7" t="n">
        <v>1545.4</v>
      </c>
      <c r="L122" s="7" t="n">
        <v>2764.2</v>
      </c>
      <c r="N122" s="7" t="n">
        <v>1989.9</v>
      </c>
      <c r="P122" s="7" t="n">
        <v>3292.6</v>
      </c>
      <c r="R122" s="7" t="n">
        <v>1807.7</v>
      </c>
      <c r="T122" s="7" t="n">
        <v>1598.5</v>
      </c>
      <c r="V122" s="7" t="n">
        <v>1679.3</v>
      </c>
      <c r="X122" s="7" t="n">
        <v>1549.1</v>
      </c>
      <c r="Z122" s="7" t="n">
        <v>634.2</v>
      </c>
      <c r="AB122" s="7" t="n">
        <v>19714.9</v>
      </c>
    </row>
    <row r="123">
      <c r="A123" s="4" t="inlineStr">
        <is>
          <t>招聘费</t>
        </is>
      </c>
      <c r="D123" s="7" t="n">
        <v>883.3</v>
      </c>
      <c r="F123" s="7" t="n">
        <v>1239.4</v>
      </c>
      <c r="H123" s="7" t="n">
        <v>775.3</v>
      </c>
      <c r="J123" s="7" t="n">
        <v>1667.3</v>
      </c>
      <c r="L123" s="7" t="n">
        <v>2309.8</v>
      </c>
      <c r="N123" s="7" t="n">
        <v>1293.1</v>
      </c>
      <c r="P123" s="7" t="n">
        <v>1922.7</v>
      </c>
      <c r="R123" s="7" t="n">
        <v>1761.5</v>
      </c>
      <c r="T123" s="7" t="n">
        <v>1601.6</v>
      </c>
      <c r="V123" s="7" t="n">
        <v>1902.4</v>
      </c>
      <c r="X123" s="7" t="n">
        <v>1511.2</v>
      </c>
      <c r="Z123" s="7" t="n">
        <v>908.8</v>
      </c>
      <c r="AB123" s="7" t="n">
        <v>17776.4</v>
      </c>
    </row>
    <row r="124">
      <c r="A124" s="4" t="inlineStr">
        <is>
          <t>办公费</t>
        </is>
      </c>
      <c r="D124" s="7" t="n">
        <v>3540</v>
      </c>
      <c r="F124" s="7" t="n">
        <v>6967.6</v>
      </c>
      <c r="H124" s="7" t="n">
        <v>6934.5</v>
      </c>
      <c r="J124" s="7" t="n">
        <v>10630.9</v>
      </c>
      <c r="L124" s="7" t="n">
        <v>14599.8</v>
      </c>
      <c r="N124" s="7" t="n">
        <v>11165.7</v>
      </c>
      <c r="P124" s="7" t="n">
        <v>17857.1</v>
      </c>
      <c r="R124" s="7" t="n">
        <v>10080.5</v>
      </c>
      <c r="T124" s="7" t="n">
        <v>7492.5</v>
      </c>
      <c r="V124" s="7" t="n">
        <v>13740.5</v>
      </c>
      <c r="X124" s="7" t="n">
        <v>15180</v>
      </c>
      <c r="Z124" s="7" t="n">
        <v>3644.8</v>
      </c>
      <c r="AB124" s="7" t="n">
        <v>121833.9</v>
      </c>
    </row>
    <row r="125">
      <c r="A125" s="4" t="inlineStr">
        <is>
          <t>市内交通费</t>
        </is>
      </c>
      <c r="D125" s="7" t="n">
        <v>818.9</v>
      </c>
      <c r="F125" s="7" t="n">
        <v>1434.8</v>
      </c>
      <c r="H125" s="7" t="n">
        <v>1396.9</v>
      </c>
      <c r="J125" s="7" t="n">
        <v>1748.3</v>
      </c>
      <c r="L125" s="7" t="n">
        <v>2645.2</v>
      </c>
      <c r="N125" s="7" t="n">
        <v>2443.1</v>
      </c>
      <c r="P125" s="7" t="n">
        <v>1939</v>
      </c>
      <c r="R125" s="7" t="n">
        <v>1710.2</v>
      </c>
      <c r="T125" s="7" t="n">
        <v>2368.1</v>
      </c>
      <c r="V125" s="7" t="n">
        <v>1994.5</v>
      </c>
      <c r="X125" s="7" t="n">
        <v>1647.3</v>
      </c>
      <c r="Z125" s="7" t="n">
        <v>1047.9</v>
      </c>
      <c r="AB125" s="7" t="n">
        <v>21194.2</v>
      </c>
    </row>
    <row r="126">
      <c r="A126" s="4" t="inlineStr">
        <is>
          <t>差旅费</t>
        </is>
      </c>
      <c r="D126" s="7" t="n">
        <v>11798.7</v>
      </c>
      <c r="F126" s="7" t="n">
        <v>13289.1</v>
      </c>
      <c r="H126" s="7" t="n">
        <v>10360.7</v>
      </c>
      <c r="J126" s="7" t="n">
        <v>18073.9</v>
      </c>
      <c r="L126" s="7" t="n">
        <v>27512.2</v>
      </c>
      <c r="N126" s="7" t="n">
        <v>23864.8</v>
      </c>
      <c r="P126" s="7" t="n">
        <v>36036.7</v>
      </c>
      <c r="R126" s="7" t="n">
        <v>24099.2</v>
      </c>
      <c r="T126" s="7" t="n">
        <v>15207.7</v>
      </c>
      <c r="V126" s="7" t="n">
        <v>25455.9</v>
      </c>
      <c r="X126" s="7" t="n">
        <v>18921.4</v>
      </c>
      <c r="Z126" s="7" t="n">
        <v>7761.5</v>
      </c>
      <c r="AB126" s="7" t="n">
        <v>232381.8</v>
      </c>
    </row>
    <row r="127">
      <c r="A127" s="4" t="inlineStr">
        <is>
          <t>交通费</t>
        </is>
      </c>
      <c r="D127" s="7" t="n">
        <v>174.9</v>
      </c>
      <c r="F127" s="7" t="n">
        <v>371.9</v>
      </c>
      <c r="H127" s="7" t="n">
        <v>210.5</v>
      </c>
      <c r="J127" s="7" t="n">
        <v>405.6</v>
      </c>
      <c r="L127" s="7" t="n">
        <v>595.5</v>
      </c>
      <c r="N127" s="7" t="n">
        <v>409.9</v>
      </c>
      <c r="P127" s="7" t="n">
        <v>585.2</v>
      </c>
      <c r="R127" s="7" t="n">
        <v>542.1</v>
      </c>
      <c r="T127" s="7" t="n">
        <v>319.2</v>
      </c>
      <c r="V127" s="7" t="n">
        <v>407.1</v>
      </c>
      <c r="X127" s="7" t="n">
        <v>376.7</v>
      </c>
      <c r="Z127" s="7" t="n">
        <v>157</v>
      </c>
      <c r="AB127" s="7" t="n">
        <v>4555.6</v>
      </c>
    </row>
    <row r="128">
      <c r="A128" s="4" t="inlineStr">
        <is>
          <t>住宿费</t>
        </is>
      </c>
      <c r="D128" s="7" t="n">
        <v>967.3</v>
      </c>
      <c r="F128" s="7" t="n">
        <v>1541.4</v>
      </c>
      <c r="H128" s="7" t="n">
        <v>1630.8</v>
      </c>
      <c r="J128" s="7" t="n">
        <v>2105.9</v>
      </c>
      <c r="L128" s="7" t="n">
        <v>4297</v>
      </c>
      <c r="N128" s="7" t="n">
        <v>2583.1</v>
      </c>
      <c r="P128" s="7" t="n">
        <v>2673.6</v>
      </c>
      <c r="R128" s="7" t="n">
        <v>2553.1</v>
      </c>
      <c r="T128" s="7" t="n">
        <v>2029.9</v>
      </c>
      <c r="V128" s="7" t="n">
        <v>2766.5</v>
      </c>
      <c r="X128" s="7" t="n">
        <v>2279.5</v>
      </c>
      <c r="Z128" s="7" t="n">
        <v>844.7</v>
      </c>
      <c r="AB128" s="7" t="n">
        <v>26272.8</v>
      </c>
    </row>
    <row r="129">
      <c r="A129" s="4" t="inlineStr">
        <is>
          <t>餐补</t>
        </is>
      </c>
      <c r="D129" s="7" t="n">
        <v>172.6</v>
      </c>
      <c r="F129" s="7" t="n">
        <v>241.5</v>
      </c>
      <c r="H129" s="7" t="n">
        <v>347.2</v>
      </c>
      <c r="J129" s="7" t="n">
        <v>424.5</v>
      </c>
      <c r="L129" s="7" t="n">
        <v>496.4</v>
      </c>
      <c r="N129" s="7" t="n">
        <v>581.5</v>
      </c>
      <c r="P129" s="7" t="n">
        <v>604.1</v>
      </c>
      <c r="R129" s="7" t="n">
        <v>586.4</v>
      </c>
      <c r="T129" s="7" t="n">
        <v>541.3</v>
      </c>
      <c r="V129" s="7" t="n">
        <v>578.9</v>
      </c>
      <c r="X129" s="7" t="n">
        <v>351.7</v>
      </c>
      <c r="Z129" s="7" t="n">
        <v>201.4</v>
      </c>
      <c r="AB129" s="7" t="n">
        <v>5127.5</v>
      </c>
    </row>
    <row r="130">
      <c r="A130" s="4" t="inlineStr">
        <is>
          <t>交通补助</t>
        </is>
      </c>
      <c r="D130" s="7" t="n">
        <v>341.4</v>
      </c>
      <c r="F130" s="7" t="n">
        <v>538.4</v>
      </c>
      <c r="H130" s="7" t="n">
        <v>305.1</v>
      </c>
      <c r="J130" s="7" t="n">
        <v>699.6</v>
      </c>
      <c r="L130" s="7" t="n">
        <v>832.3</v>
      </c>
      <c r="N130" s="7" t="n">
        <v>804</v>
      </c>
      <c r="P130" s="7" t="n">
        <v>1036.9</v>
      </c>
      <c r="R130" s="7" t="n">
        <v>683.9</v>
      </c>
      <c r="T130" s="7" t="n">
        <v>742.9</v>
      </c>
      <c r="V130" s="7" t="n">
        <v>806.4</v>
      </c>
      <c r="X130" s="7" t="n">
        <v>552.5</v>
      </c>
      <c r="Z130" s="7" t="n">
        <v>287.9</v>
      </c>
      <c r="AB130" s="7" t="n">
        <v>7631.3</v>
      </c>
    </row>
    <row r="131">
      <c r="A131" s="4" t="inlineStr">
        <is>
          <t>通讯补助</t>
        </is>
      </c>
      <c r="D131" s="7" t="n">
        <v>971</v>
      </c>
      <c r="F131" s="7" t="n">
        <v>1626.1</v>
      </c>
      <c r="H131" s="7" t="n">
        <v>901.9</v>
      </c>
      <c r="J131" s="7" t="n">
        <v>1826.9</v>
      </c>
      <c r="L131" s="7" t="n">
        <v>3840</v>
      </c>
      <c r="N131" s="7" t="n">
        <v>2090.3</v>
      </c>
      <c r="P131" s="7" t="n">
        <v>2762.3</v>
      </c>
      <c r="R131" s="7" t="n">
        <v>1842.3</v>
      </c>
      <c r="T131" s="7" t="n">
        <v>2413.7</v>
      </c>
      <c r="V131" s="7" t="n">
        <v>2483.5</v>
      </c>
      <c r="X131" s="7" t="n">
        <v>2064.7</v>
      </c>
      <c r="Z131" s="7" t="n">
        <v>730.6</v>
      </c>
      <c r="AB131" s="7" t="n">
        <v>23553.3</v>
      </c>
    </row>
    <row r="132">
      <c r="A132" s="4" t="inlineStr">
        <is>
          <t>招待费</t>
        </is>
      </c>
      <c r="D132" s="7" t="n">
        <v>6530.2</v>
      </c>
      <c r="F132" s="7" t="n">
        <v>7432.6</v>
      </c>
      <c r="H132" s="7" t="n">
        <v>7991.9</v>
      </c>
      <c r="J132" s="7" t="n">
        <v>10256.4</v>
      </c>
      <c r="L132" s="7" t="n">
        <v>23267.5</v>
      </c>
      <c r="N132" s="7" t="n">
        <v>10670.4</v>
      </c>
      <c r="P132" s="7" t="n">
        <v>25186.9</v>
      </c>
      <c r="R132" s="7" t="n">
        <v>14075.1</v>
      </c>
      <c r="T132" s="7" t="n">
        <v>10994.6</v>
      </c>
      <c r="V132" s="7" t="n">
        <v>17280</v>
      </c>
      <c r="X132" s="7" t="n">
        <v>19639.3</v>
      </c>
      <c r="Z132" s="7" t="n">
        <v>7532.5</v>
      </c>
      <c r="AB132" s="7" t="n">
        <v>160857.4</v>
      </c>
    </row>
    <row r="133">
      <c r="A133" s="4" t="inlineStr">
        <is>
          <t>通讯费</t>
        </is>
      </c>
      <c r="D133" s="7" t="n">
        <v>248.5</v>
      </c>
      <c r="F133" s="7" t="n">
        <v>550</v>
      </c>
      <c r="H133" s="7" t="n">
        <v>631.4</v>
      </c>
      <c r="J133" s="7" t="n">
        <v>762.2</v>
      </c>
      <c r="L133" s="7" t="n">
        <v>1467.6</v>
      </c>
      <c r="N133" s="7" t="n">
        <v>983</v>
      </c>
      <c r="P133" s="7" t="n">
        <v>1363.4</v>
      </c>
      <c r="R133" s="7" t="n">
        <v>840.6</v>
      </c>
      <c r="T133" s="7" t="n">
        <v>948.1</v>
      </c>
      <c r="V133" s="7" t="n">
        <v>760.3</v>
      </c>
      <c r="X133" s="7" t="n">
        <v>633.3</v>
      </c>
      <c r="Z133" s="7" t="n">
        <v>291.8</v>
      </c>
      <c r="AB133" s="7" t="n">
        <v>9480.200000000001</v>
      </c>
    </row>
    <row r="134">
      <c r="A134" s="4" t="inlineStr">
        <is>
          <t>网络费</t>
        </is>
      </c>
      <c r="D134" s="7" t="n">
        <v>116.7</v>
      </c>
      <c r="F134" s="7" t="n">
        <v>279.8</v>
      </c>
      <c r="H134" s="7" t="n">
        <v>250.2</v>
      </c>
      <c r="J134" s="7" t="n">
        <v>352.3</v>
      </c>
      <c r="L134" s="7" t="n">
        <v>558.2</v>
      </c>
      <c r="N134" s="7" t="n">
        <v>274.2</v>
      </c>
      <c r="P134" s="7" t="n">
        <v>577.2</v>
      </c>
      <c r="R134" s="7" t="n">
        <v>428.1</v>
      </c>
      <c r="T134" s="7" t="n">
        <v>397.3</v>
      </c>
      <c r="V134" s="7" t="n">
        <v>400.9</v>
      </c>
      <c r="X134" s="7" t="n">
        <v>292.8</v>
      </c>
      <c r="Z134" s="7" t="n">
        <v>147.1</v>
      </c>
      <c r="AB134" s="7" t="n">
        <v>4074.8</v>
      </c>
    </row>
    <row r="135">
      <c r="A135" s="4" t="inlineStr">
        <is>
          <t>修理费</t>
        </is>
      </c>
      <c r="D135" s="7" t="n">
        <v>166.9</v>
      </c>
      <c r="F135" s="7" t="n">
        <v>315.4</v>
      </c>
      <c r="H135" s="7" t="n">
        <v>212.5</v>
      </c>
      <c r="J135" s="7" t="n">
        <v>403.4</v>
      </c>
      <c r="L135" s="7" t="n">
        <v>835.7</v>
      </c>
      <c r="N135" s="7" t="n">
        <v>555.8</v>
      </c>
      <c r="P135" s="7" t="n">
        <v>541.2</v>
      </c>
      <c r="R135" s="7" t="n">
        <v>639.1</v>
      </c>
      <c r="T135" s="7" t="n">
        <v>519.4</v>
      </c>
      <c r="V135" s="7" t="n">
        <v>316.2</v>
      </c>
      <c r="X135" s="7" t="n">
        <v>478.9</v>
      </c>
      <c r="Z135" s="7" t="n">
        <v>224.8</v>
      </c>
      <c r="AB135" s="7" t="n">
        <v>5209.3</v>
      </c>
    </row>
    <row r="136">
      <c r="A136" s="4" t="inlineStr">
        <is>
          <t>车辆费</t>
        </is>
      </c>
      <c r="D136" s="7" t="n">
        <v>867.3</v>
      </c>
      <c r="F136" s="7" t="n">
        <v>1624.7</v>
      </c>
      <c r="H136" s="7" t="n">
        <v>1905.4</v>
      </c>
      <c r="J136" s="7" t="n">
        <v>1535</v>
      </c>
      <c r="L136" s="7" t="n">
        <v>4167.6</v>
      </c>
      <c r="N136" s="7" t="n">
        <v>2036.5</v>
      </c>
      <c r="P136" s="7" t="n">
        <v>4118.5</v>
      </c>
      <c r="R136" s="7" t="n">
        <v>2177.7</v>
      </c>
      <c r="T136" s="7" t="n">
        <v>2758.7</v>
      </c>
      <c r="V136" s="7" t="n">
        <v>1826.7</v>
      </c>
      <c r="X136" s="7" t="n">
        <v>2801.6</v>
      </c>
      <c r="Z136" s="7" t="n">
        <v>1072.8</v>
      </c>
      <c r="AB136" s="7" t="n">
        <v>26892.5</v>
      </c>
    </row>
    <row r="137">
      <c r="A137" s="4" t="inlineStr">
        <is>
          <t>租赁费</t>
        </is>
      </c>
      <c r="D137" s="7" t="n">
        <v>10114.5</v>
      </c>
      <c r="F137" s="7" t="n">
        <v>11924.9</v>
      </c>
      <c r="H137" s="7" t="n">
        <v>10222.5</v>
      </c>
      <c r="J137" s="7" t="n">
        <v>13104.9</v>
      </c>
      <c r="L137" s="7" t="n">
        <v>21205.6</v>
      </c>
      <c r="N137" s="7" t="n">
        <v>16262.8</v>
      </c>
      <c r="P137" s="7" t="n">
        <v>19252.1</v>
      </c>
      <c r="R137" s="7" t="n">
        <v>15019.5</v>
      </c>
      <c r="T137" s="7" t="n">
        <v>16449.7</v>
      </c>
      <c r="V137" s="7" t="n">
        <v>21779.5</v>
      </c>
      <c r="X137" s="7" t="n">
        <v>25141.5</v>
      </c>
      <c r="Z137" s="7" t="n">
        <v>9604.200000000001</v>
      </c>
      <c r="AB137" s="7" t="n">
        <v>190081.7</v>
      </c>
    </row>
    <row r="138">
      <c r="A138" s="4" t="inlineStr">
        <is>
          <t>能源费</t>
        </is>
      </c>
      <c r="D138" s="7" t="n">
        <v>1409.1</v>
      </c>
      <c r="F138" s="7" t="n">
        <v>2475.8</v>
      </c>
      <c r="H138" s="7" t="n">
        <v>1748.4</v>
      </c>
      <c r="J138" s="7" t="n">
        <v>2303.3</v>
      </c>
      <c r="L138" s="7" t="n">
        <v>4792.5</v>
      </c>
      <c r="N138" s="7" t="n">
        <v>2997.5</v>
      </c>
      <c r="P138" s="7" t="n">
        <v>5240.4</v>
      </c>
      <c r="R138" s="7" t="n">
        <v>4013.9</v>
      </c>
      <c r="T138" s="7" t="n">
        <v>3591.2</v>
      </c>
      <c r="V138" s="7" t="n">
        <v>3161.2</v>
      </c>
      <c r="X138" s="7" t="n">
        <v>3225.2</v>
      </c>
      <c r="Z138" s="7" t="n">
        <v>1163.4</v>
      </c>
      <c r="AB138" s="7" t="n">
        <v>36121.9</v>
      </c>
    </row>
    <row r="139">
      <c r="A139" s="4" t="inlineStr">
        <is>
          <t>水费</t>
        </is>
      </c>
      <c r="D139" s="7" t="n">
        <v>436.2</v>
      </c>
      <c r="F139" s="7" t="n">
        <v>383.4</v>
      </c>
      <c r="H139" s="7" t="n">
        <v>398.9</v>
      </c>
      <c r="J139" s="7" t="n">
        <v>596.5</v>
      </c>
      <c r="L139" s="7" t="n">
        <v>1363.3</v>
      </c>
      <c r="N139" s="7" t="n">
        <v>818.5</v>
      </c>
      <c r="P139" s="7" t="n">
        <v>1303.5</v>
      </c>
      <c r="R139" s="7" t="n">
        <v>677.2</v>
      </c>
      <c r="T139" s="7" t="n">
        <v>779.7</v>
      </c>
      <c r="V139" s="7" t="n">
        <v>853.3</v>
      </c>
      <c r="X139" s="7" t="n">
        <v>811.6</v>
      </c>
      <c r="Z139" s="7" t="n">
        <v>234.4</v>
      </c>
      <c r="AB139" s="7" t="n">
        <v>8656.5</v>
      </c>
    </row>
    <row r="140">
      <c r="A140" s="4" t="inlineStr">
        <is>
          <t>电费</t>
        </is>
      </c>
      <c r="D140" s="7" t="n">
        <v>810.8</v>
      </c>
      <c r="F140" s="7" t="n">
        <v>1878.7</v>
      </c>
      <c r="H140" s="7" t="n">
        <v>1168.1</v>
      </c>
      <c r="J140" s="7" t="n">
        <v>1450.2</v>
      </c>
      <c r="L140" s="7" t="n">
        <v>2913.5</v>
      </c>
      <c r="N140" s="7" t="n">
        <v>1915.9</v>
      </c>
      <c r="P140" s="7" t="n">
        <v>3479.4</v>
      </c>
      <c r="R140" s="7" t="n">
        <v>3002</v>
      </c>
      <c r="T140" s="7" t="n">
        <v>2483.7</v>
      </c>
      <c r="V140" s="7" t="n">
        <v>2029.6</v>
      </c>
      <c r="X140" s="7" t="n">
        <v>2107.1</v>
      </c>
      <c r="Z140" s="7" t="n">
        <v>812.6</v>
      </c>
      <c r="AB140" s="7" t="n">
        <v>24051.6</v>
      </c>
    </row>
    <row r="141">
      <c r="A141" s="4" t="inlineStr">
        <is>
          <t>燃气费</t>
        </is>
      </c>
      <c r="D141" s="7" t="n">
        <v>55.7</v>
      </c>
      <c r="F141" s="7" t="n">
        <v>96.5</v>
      </c>
      <c r="H141" s="7" t="n">
        <v>61.4</v>
      </c>
      <c r="J141" s="7" t="n">
        <v>92</v>
      </c>
      <c r="L141" s="7" t="n">
        <v>178.3</v>
      </c>
      <c r="N141" s="7" t="n">
        <v>108.7</v>
      </c>
      <c r="P141" s="7" t="n">
        <v>179.8</v>
      </c>
      <c r="R141" s="7" t="n">
        <v>147.9</v>
      </c>
      <c r="T141" s="7" t="n">
        <v>94.2</v>
      </c>
      <c r="V141" s="7" t="n">
        <v>89</v>
      </c>
      <c r="X141" s="7" t="n">
        <v>102.5</v>
      </c>
      <c r="Z141" s="7" t="n">
        <v>44.5</v>
      </c>
      <c r="AB141" s="7" t="n">
        <v>1250.5</v>
      </c>
    </row>
    <row r="142">
      <c r="A142" s="4" t="inlineStr">
        <is>
          <t>蒸汽费</t>
        </is>
      </c>
      <c r="D142" s="7" t="n">
        <v>106.4</v>
      </c>
      <c r="F142" s="7" t="n">
        <v>117.2</v>
      </c>
      <c r="H142" s="7" t="n">
        <v>120</v>
      </c>
      <c r="J142" s="7" t="n">
        <v>164.6</v>
      </c>
      <c r="L142" s="7" t="n">
        <v>337.4</v>
      </c>
      <c r="N142" s="7" t="n">
        <v>154.4</v>
      </c>
      <c r="P142" s="7" t="n">
        <v>277.7</v>
      </c>
      <c r="R142" s="7" t="n">
        <v>186.8</v>
      </c>
      <c r="T142" s="7" t="n">
        <v>233.6</v>
      </c>
      <c r="V142" s="7" t="n">
        <v>189.3</v>
      </c>
      <c r="X142" s="7" t="n">
        <v>204</v>
      </c>
      <c r="Z142" s="7" t="n">
        <v>71.90000000000001</v>
      </c>
      <c r="AB142" s="7" t="n">
        <v>2163.3</v>
      </c>
    </row>
    <row r="143">
      <c r="A143" s="4" t="inlineStr">
        <is>
          <t>物业费</t>
        </is>
      </c>
      <c r="D143" s="7" t="n">
        <v>418.5</v>
      </c>
      <c r="F143" s="7" t="n">
        <v>647</v>
      </c>
      <c r="H143" s="7" t="n">
        <v>534.8</v>
      </c>
      <c r="J143" s="7" t="n">
        <v>1083</v>
      </c>
      <c r="L143" s="7" t="n">
        <v>1921.6</v>
      </c>
      <c r="N143" s="7" t="n">
        <v>872.8</v>
      </c>
      <c r="P143" s="7" t="n">
        <v>1391.4</v>
      </c>
      <c r="R143" s="7" t="n">
        <v>1339.7</v>
      </c>
      <c r="T143" s="7" t="n">
        <v>1381.2</v>
      </c>
      <c r="V143" s="7" t="n">
        <v>1228.4</v>
      </c>
      <c r="X143" s="7" t="n">
        <v>1235.1</v>
      </c>
      <c r="Z143" s="7" t="n">
        <v>573.3</v>
      </c>
      <c r="AB143" s="7" t="n">
        <v>12626.8</v>
      </c>
    </row>
    <row r="144">
      <c r="A144" s="4" t="inlineStr">
        <is>
          <t>劳动保护费</t>
        </is>
      </c>
      <c r="D144" s="7" t="n">
        <v>838.2</v>
      </c>
      <c r="F144" s="7" t="n">
        <v>1350.4</v>
      </c>
      <c r="H144" s="7" t="n">
        <v>1558.2</v>
      </c>
      <c r="J144" s="7" t="n">
        <v>1630.3</v>
      </c>
      <c r="L144" s="7" t="n">
        <v>3776.6</v>
      </c>
      <c r="N144" s="7" t="n">
        <v>2014.8</v>
      </c>
      <c r="P144" s="7" t="n">
        <v>2019.2</v>
      </c>
      <c r="R144" s="7" t="n">
        <v>2856.4</v>
      </c>
      <c r="T144" s="7" t="n">
        <v>2139</v>
      </c>
      <c r="V144" s="7" t="n">
        <v>2053.9</v>
      </c>
      <c r="X144" s="7" t="n">
        <v>2611.7</v>
      </c>
      <c r="Z144" s="7" t="n">
        <v>988.6</v>
      </c>
      <c r="AB144" s="7" t="n">
        <v>23837.3</v>
      </c>
    </row>
    <row r="145">
      <c r="A145" s="4" t="inlineStr">
        <is>
          <t>顾问费</t>
        </is>
      </c>
      <c r="D145" s="7" t="n">
        <v>782.1</v>
      </c>
      <c r="F145" s="7" t="n">
        <v>845.3</v>
      </c>
      <c r="H145" s="7" t="n">
        <v>1220.4</v>
      </c>
      <c r="J145" s="7" t="n">
        <v>1101.4</v>
      </c>
      <c r="L145" s="7" t="n">
        <v>3283.3</v>
      </c>
      <c r="N145" s="7" t="n">
        <v>2171.5</v>
      </c>
      <c r="P145" s="7" t="n">
        <v>2650.7</v>
      </c>
      <c r="R145" s="7" t="n">
        <v>1477.3</v>
      </c>
      <c r="T145" s="7" t="n">
        <v>1496.9</v>
      </c>
      <c r="V145" s="7" t="n">
        <v>2195.8</v>
      </c>
      <c r="X145" s="7" t="n">
        <v>1675.7</v>
      </c>
      <c r="Z145" s="7" t="n">
        <v>900.3</v>
      </c>
      <c r="AB145" s="7" t="n">
        <v>19800.7</v>
      </c>
    </row>
    <row r="146">
      <c r="A146" s="4" t="inlineStr">
        <is>
          <t>快递费</t>
        </is>
      </c>
      <c r="D146" s="7" t="n">
        <v>810.7</v>
      </c>
      <c r="F146" s="7" t="n">
        <v>866.2</v>
      </c>
      <c r="H146" s="7" t="n">
        <v>1220</v>
      </c>
      <c r="J146" s="7" t="n">
        <v>1583.9</v>
      </c>
      <c r="L146" s="7" t="n">
        <v>1743.3</v>
      </c>
      <c r="N146" s="7" t="n">
        <v>1461.3</v>
      </c>
      <c r="P146" s="7" t="n">
        <v>1943.1</v>
      </c>
      <c r="R146" s="7" t="n">
        <v>1579.1</v>
      </c>
      <c r="T146" s="7" t="n">
        <v>1257.5</v>
      </c>
      <c r="V146" s="7" t="n">
        <v>1532.7</v>
      </c>
      <c r="X146" s="7" t="n">
        <v>1975.5</v>
      </c>
      <c r="Z146" s="7" t="n">
        <v>752.3</v>
      </c>
      <c r="AB146" s="7" t="n">
        <v>16725.6</v>
      </c>
    </row>
    <row r="147">
      <c r="A147" s="4" t="inlineStr">
        <is>
          <t>诉讼费</t>
        </is>
      </c>
      <c r="D147" s="7" t="n">
        <v>679.9</v>
      </c>
      <c r="F147" s="7" t="n">
        <v>958.1</v>
      </c>
      <c r="H147" s="7" t="n">
        <v>922.4</v>
      </c>
      <c r="J147" s="7" t="n">
        <v>994.2</v>
      </c>
      <c r="L147" s="7" t="n">
        <v>2462.9</v>
      </c>
      <c r="N147" s="7" t="n">
        <v>1797.3</v>
      </c>
      <c r="P147" s="7" t="n">
        <v>2599.5</v>
      </c>
      <c r="R147" s="7" t="n">
        <v>2197.9</v>
      </c>
      <c r="T147" s="7" t="n">
        <v>1497.2</v>
      </c>
      <c r="V147" s="7" t="n">
        <v>1187.8</v>
      </c>
      <c r="X147" s="7" t="n">
        <v>1397.4</v>
      </c>
      <c r="Z147" s="7" t="n">
        <v>651.3</v>
      </c>
      <c r="AB147" s="7" t="n">
        <v>17345.9</v>
      </c>
    </row>
    <row r="148">
      <c r="A148" s="4" t="inlineStr">
        <is>
          <t>会员费</t>
        </is>
      </c>
      <c r="D148" s="7" t="n">
        <v>350.4</v>
      </c>
      <c r="F148" s="7" t="n">
        <v>516.6</v>
      </c>
      <c r="H148" s="7" t="n">
        <v>532</v>
      </c>
      <c r="J148" s="7" t="n">
        <v>741</v>
      </c>
      <c r="L148" s="7" t="n">
        <v>932.8</v>
      </c>
      <c r="N148" s="7" t="n">
        <v>743.1</v>
      </c>
      <c r="P148" s="7" t="n">
        <v>892.6</v>
      </c>
      <c r="R148" s="7" t="n">
        <v>1029.6</v>
      </c>
      <c r="T148" s="7" t="n">
        <v>888.9</v>
      </c>
      <c r="V148" s="7" t="n">
        <v>623.4</v>
      </c>
      <c r="X148" s="7" t="n">
        <v>1091.6</v>
      </c>
      <c r="Z148" s="7" t="n">
        <v>316.3</v>
      </c>
      <c r="AB148" s="7" t="n">
        <v>8658.299999999999</v>
      </c>
    </row>
    <row r="149">
      <c r="A149" s="4" t="inlineStr">
        <is>
          <t>广告宣传费</t>
        </is>
      </c>
      <c r="D149" s="7" t="n">
        <v>4150.3</v>
      </c>
      <c r="F149" s="7" t="n">
        <v>8481.5</v>
      </c>
      <c r="H149" s="7" t="n">
        <v>8941.9</v>
      </c>
      <c r="J149" s="7" t="n">
        <v>11457.9</v>
      </c>
      <c r="L149" s="7" t="n">
        <v>12233.2</v>
      </c>
      <c r="N149" s="7" t="n">
        <v>13601.8</v>
      </c>
      <c r="P149" s="7" t="n">
        <v>13318.5</v>
      </c>
      <c r="R149" s="7" t="n">
        <v>11165</v>
      </c>
      <c r="T149" s="7" t="n">
        <v>10541.7</v>
      </c>
      <c r="V149" s="7" t="n">
        <v>12817.2</v>
      </c>
      <c r="X149" s="7" t="n">
        <v>8933.9</v>
      </c>
      <c r="Z149" s="7" t="n">
        <v>5718.6</v>
      </c>
      <c r="AB149" s="7" t="n">
        <v>121361.5</v>
      </c>
    </row>
    <row r="150">
      <c r="A150" s="4" t="inlineStr">
        <is>
          <t>会务费</t>
        </is>
      </c>
      <c r="D150" s="7" t="n">
        <v>185.9</v>
      </c>
      <c r="F150" s="7" t="n">
        <v>209.7</v>
      </c>
      <c r="H150" s="7" t="n">
        <v>250.7</v>
      </c>
      <c r="J150" s="7" t="n">
        <v>234.2</v>
      </c>
      <c r="L150" s="7" t="n">
        <v>479.4</v>
      </c>
      <c r="N150" s="7" t="n">
        <v>364.9</v>
      </c>
      <c r="P150" s="7" t="n">
        <v>360.6</v>
      </c>
      <c r="R150" s="7" t="n">
        <v>312.3</v>
      </c>
      <c r="T150" s="7" t="n">
        <v>371.7</v>
      </c>
      <c r="V150" s="7" t="n">
        <v>385.5</v>
      </c>
      <c r="X150" s="7" t="n">
        <v>399.6</v>
      </c>
      <c r="Z150" s="7" t="n">
        <v>167.8</v>
      </c>
      <c r="AB150" s="7" t="n">
        <v>3722.3</v>
      </c>
    </row>
    <row r="151">
      <c r="A151" s="4" t="inlineStr">
        <is>
          <t>装修费</t>
        </is>
      </c>
      <c r="D151" s="7" t="n">
        <v>892.1</v>
      </c>
      <c r="F151" s="7" t="n">
        <v>1055.1</v>
      </c>
      <c r="H151" s="7" t="n">
        <v>1136</v>
      </c>
      <c r="J151" s="7" t="n">
        <v>1667.4</v>
      </c>
      <c r="L151" s="7" t="n">
        <v>2408.8</v>
      </c>
      <c r="N151" s="7" t="n">
        <v>2482.7</v>
      </c>
      <c r="P151" s="7" t="n">
        <v>3327.3</v>
      </c>
      <c r="R151" s="7" t="n">
        <v>1655.5</v>
      </c>
      <c r="T151" s="7" t="n">
        <v>1550.8</v>
      </c>
      <c r="V151" s="7" t="n">
        <v>2469</v>
      </c>
      <c r="X151" s="7" t="n">
        <v>2539.6</v>
      </c>
      <c r="Z151" s="7" t="n">
        <v>714</v>
      </c>
      <c r="AB151" s="7" t="n">
        <v>21898.3</v>
      </c>
    </row>
    <row r="152">
      <c r="A152" s="4" t="inlineStr">
        <is>
          <t>推广费</t>
        </is>
      </c>
      <c r="D152" s="7" t="n">
        <v>614.7</v>
      </c>
      <c r="F152" s="7" t="n">
        <v>828</v>
      </c>
      <c r="H152" s="7" t="n">
        <v>615.7</v>
      </c>
      <c r="J152" s="7" t="n">
        <v>1102.4</v>
      </c>
      <c r="L152" s="7" t="n">
        <v>1719.1</v>
      </c>
      <c r="N152" s="7" t="n">
        <v>1232.6</v>
      </c>
      <c r="P152" s="7" t="n">
        <v>1166.8</v>
      </c>
      <c r="R152" s="7" t="n">
        <v>921.6</v>
      </c>
      <c r="T152" s="7" t="n">
        <v>976.2</v>
      </c>
      <c r="V152" s="7" t="n">
        <v>1208.7</v>
      </c>
      <c r="X152" s="7" t="n">
        <v>947.3</v>
      </c>
      <c r="Z152" s="7" t="n">
        <v>571</v>
      </c>
      <c r="AB152" s="7" t="n">
        <v>11904.1</v>
      </c>
    </row>
    <row r="153">
      <c r="A153" s="4" t="inlineStr">
        <is>
          <t>展会费</t>
        </is>
      </c>
      <c r="D153" s="7" t="n">
        <v>574.9</v>
      </c>
      <c r="F153" s="7" t="n">
        <v>756.8</v>
      </c>
      <c r="H153" s="7" t="n">
        <v>1132.6</v>
      </c>
      <c r="J153" s="7" t="n">
        <v>1364.4</v>
      </c>
      <c r="L153" s="7" t="n">
        <v>2453.3</v>
      </c>
      <c r="N153" s="7" t="n">
        <v>1276.7</v>
      </c>
      <c r="P153" s="7" t="n">
        <v>1805.6</v>
      </c>
      <c r="R153" s="7" t="n">
        <v>1316</v>
      </c>
      <c r="T153" s="7" t="n">
        <v>1418</v>
      </c>
      <c r="V153" s="7" t="n">
        <v>1881.4</v>
      </c>
      <c r="X153" s="7" t="n">
        <v>1833.6</v>
      </c>
      <c r="Z153" s="7" t="n">
        <v>653.7</v>
      </c>
      <c r="AB153" s="7" t="n">
        <v>16467</v>
      </c>
    </row>
    <row r="154">
      <c r="A154" s="4" t="inlineStr">
        <is>
          <t>设计费</t>
        </is>
      </c>
      <c r="D154" s="7" t="n">
        <v>628.6</v>
      </c>
      <c r="F154" s="7" t="n">
        <v>1035.5</v>
      </c>
      <c r="H154" s="7" t="n">
        <v>753</v>
      </c>
      <c r="J154" s="7" t="n">
        <v>1601.3</v>
      </c>
      <c r="L154" s="7" t="n">
        <v>2953.1</v>
      </c>
      <c r="N154" s="7" t="n">
        <v>1193.8</v>
      </c>
      <c r="P154" s="7" t="n">
        <v>2789.6</v>
      </c>
      <c r="R154" s="7" t="n">
        <v>2073.4</v>
      </c>
      <c r="T154" s="7" t="n">
        <v>1664.7</v>
      </c>
      <c r="V154" s="7" t="n">
        <v>1197.7</v>
      </c>
      <c r="X154" s="7" t="n">
        <v>1484.7</v>
      </c>
      <c r="Z154" s="7" t="n">
        <v>820.5</v>
      </c>
      <c r="AB154" s="7" t="n">
        <v>18195.9</v>
      </c>
    </row>
    <row r="155">
      <c r="A155" s="4" t="inlineStr">
        <is>
          <t>折旧费</t>
        </is>
      </c>
      <c r="D155" s="7" t="n">
        <v>5801.2</v>
      </c>
      <c r="F155" s="7" t="n">
        <v>12617.2</v>
      </c>
      <c r="H155" s="7" t="n">
        <v>10334.2</v>
      </c>
      <c r="J155" s="7" t="n">
        <v>11774</v>
      </c>
      <c r="L155" s="7" t="n">
        <v>21206.5</v>
      </c>
      <c r="N155" s="7" t="n">
        <v>13851.6</v>
      </c>
      <c r="P155" s="7" t="n">
        <v>17141.2</v>
      </c>
      <c r="R155" s="7" t="n">
        <v>16803.8</v>
      </c>
      <c r="T155" s="7" t="n">
        <v>15628.5</v>
      </c>
      <c r="V155" s="7" t="n">
        <v>18265.1</v>
      </c>
      <c r="X155" s="7" t="n">
        <v>14727</v>
      </c>
      <c r="Z155" s="7" t="n">
        <v>4753.3</v>
      </c>
      <c r="AB155" s="7" t="n">
        <v>162903.6</v>
      </c>
    </row>
    <row r="156">
      <c r="A156" s="4" t="inlineStr">
        <is>
          <t>认证费</t>
        </is>
      </c>
      <c r="D156" s="7" t="n">
        <v>604.4</v>
      </c>
      <c r="F156" s="7" t="n">
        <v>996.7</v>
      </c>
      <c r="H156" s="7" t="n">
        <v>738</v>
      </c>
      <c r="J156" s="7" t="n">
        <v>1126.1</v>
      </c>
      <c r="L156" s="7" t="n">
        <v>2046.3</v>
      </c>
      <c r="N156" s="7" t="n">
        <v>1123</v>
      </c>
      <c r="P156" s="7" t="n">
        <v>1291.6</v>
      </c>
      <c r="R156" s="7" t="n">
        <v>1061.5</v>
      </c>
      <c r="T156" s="7" t="n">
        <v>1531.7</v>
      </c>
      <c r="V156" s="7" t="n">
        <v>1390.3</v>
      </c>
      <c r="X156" s="7" t="n">
        <v>1601.6</v>
      </c>
      <c r="Z156" s="7" t="n">
        <v>448.5</v>
      </c>
      <c r="AB156" s="7" t="n">
        <v>13959.7</v>
      </c>
    </row>
    <row r="157">
      <c r="A157" s="4" t="inlineStr">
        <is>
          <t>样品费</t>
        </is>
      </c>
      <c r="D157" s="7" t="n">
        <v>3699.9</v>
      </c>
      <c r="F157" s="7" t="n">
        <v>6087.9</v>
      </c>
      <c r="H157" s="7" t="n">
        <v>4184.9</v>
      </c>
      <c r="J157" s="7" t="n">
        <v>4873.2</v>
      </c>
      <c r="L157" s="7" t="n">
        <v>13276.2</v>
      </c>
      <c r="N157" s="7" t="n">
        <v>9444</v>
      </c>
      <c r="P157" s="7" t="n">
        <v>11914</v>
      </c>
      <c r="R157" s="7" t="n">
        <v>10128.5</v>
      </c>
      <c r="T157" s="7" t="n">
        <v>7487.2</v>
      </c>
      <c r="V157" s="7" t="n">
        <v>8381.299999999999</v>
      </c>
      <c r="X157" s="7" t="n">
        <v>8698.9</v>
      </c>
      <c r="Z157" s="7" t="n">
        <v>3535.9</v>
      </c>
      <c r="AB157" s="7" t="n">
        <v>91711.89999999999</v>
      </c>
    </row>
    <row r="158">
      <c r="A158" s="4" t="inlineStr">
        <is>
          <t>劳务费</t>
        </is>
      </c>
      <c r="D158" s="7" t="n">
        <v>916.3</v>
      </c>
      <c r="F158" s="7" t="n">
        <v>906.1</v>
      </c>
      <c r="H158" s="7" t="n">
        <v>972.8</v>
      </c>
      <c r="J158" s="7" t="n">
        <v>1236.8</v>
      </c>
      <c r="L158" s="7" t="n">
        <v>1774.8</v>
      </c>
      <c r="N158" s="7" t="n">
        <v>1841.2</v>
      </c>
      <c r="P158" s="7" t="n">
        <v>2257.2</v>
      </c>
      <c r="R158" s="7" t="n">
        <v>1499.5</v>
      </c>
      <c r="T158" s="7" t="n">
        <v>1724.1</v>
      </c>
      <c r="V158" s="7" t="n">
        <v>1369.1</v>
      </c>
      <c r="X158" s="7" t="n">
        <v>1721.4</v>
      </c>
      <c r="Z158" s="7" t="n">
        <v>785.4</v>
      </c>
      <c r="AB158" s="7" t="n">
        <v>17004.7</v>
      </c>
    </row>
    <row r="159">
      <c r="A159" s="4" t="inlineStr">
        <is>
          <t>销售佣金</t>
        </is>
      </c>
      <c r="D159" s="7" t="n">
        <v>1076.7</v>
      </c>
      <c r="F159" s="7" t="n">
        <v>1471.1</v>
      </c>
      <c r="H159" s="7" t="n">
        <v>1707.8</v>
      </c>
      <c r="J159" s="7" t="n">
        <v>2208.3</v>
      </c>
      <c r="L159" s="7" t="n">
        <v>4172.7</v>
      </c>
      <c r="N159" s="7" t="n">
        <v>1830.9</v>
      </c>
      <c r="P159" s="7" t="n">
        <v>2270.1</v>
      </c>
      <c r="R159" s="7" t="n">
        <v>1979.3</v>
      </c>
      <c r="T159" s="7" t="n">
        <v>1795.4</v>
      </c>
      <c r="V159" s="7" t="n">
        <v>2692.6</v>
      </c>
      <c r="X159" s="7" t="n">
        <v>2700.5</v>
      </c>
      <c r="Z159" s="7" t="n">
        <v>751.3</v>
      </c>
      <c r="AB159" s="7" t="n">
        <v>24656.7</v>
      </c>
    </row>
    <row r="160">
      <c r="A160" s="4" t="inlineStr">
        <is>
          <t>检测费</t>
        </is>
      </c>
      <c r="D160" s="7" t="n">
        <v>659.7</v>
      </c>
      <c r="F160" s="7" t="n">
        <v>827.6</v>
      </c>
      <c r="H160" s="7" t="n">
        <v>968.6</v>
      </c>
      <c r="J160" s="7" t="n">
        <v>1576.2</v>
      </c>
      <c r="L160" s="7" t="n">
        <v>2256.8</v>
      </c>
      <c r="N160" s="7" t="n">
        <v>1991</v>
      </c>
      <c r="P160" s="7" t="n">
        <v>2016.8</v>
      </c>
      <c r="R160" s="7" t="n">
        <v>1636.1</v>
      </c>
      <c r="T160" s="7" t="n">
        <v>1379.6</v>
      </c>
      <c r="V160" s="7" t="n">
        <v>2062.7</v>
      </c>
      <c r="X160" s="7" t="n">
        <v>1718</v>
      </c>
      <c r="Z160" s="7" t="n">
        <v>848.6</v>
      </c>
      <c r="AB160" s="7" t="n">
        <v>17941.7</v>
      </c>
    </row>
    <row r="161">
      <c r="A161" s="4" t="inlineStr">
        <is>
          <t>质量赔偿</t>
        </is>
      </c>
      <c r="D161" s="7" t="n">
        <v>795.8</v>
      </c>
      <c r="F161" s="7" t="n">
        <v>700.3</v>
      </c>
      <c r="H161" s="7" t="n">
        <v>1123.4</v>
      </c>
      <c r="J161" s="7" t="n">
        <v>1180.7</v>
      </c>
      <c r="L161" s="7" t="n">
        <v>2674.3</v>
      </c>
      <c r="N161" s="7" t="n">
        <v>1354</v>
      </c>
      <c r="P161" s="7" t="n">
        <v>1693.4</v>
      </c>
      <c r="R161" s="7" t="n">
        <v>1201.5</v>
      </c>
      <c r="T161" s="7" t="n">
        <v>1638.7</v>
      </c>
      <c r="V161" s="7" t="n">
        <v>1144.5</v>
      </c>
      <c r="X161" s="7" t="n">
        <v>1231.5</v>
      </c>
      <c r="Z161" s="7" t="n">
        <v>564.7</v>
      </c>
      <c r="AB161" s="7" t="n">
        <v>15302.8</v>
      </c>
    </row>
    <row r="162">
      <c r="A162" s="4" t="inlineStr">
        <is>
          <t>保险费</t>
        </is>
      </c>
      <c r="D162" s="7" t="n">
        <v>762.7</v>
      </c>
      <c r="F162" s="7" t="n">
        <v>896.5</v>
      </c>
      <c r="H162" s="7" t="n">
        <v>790.7</v>
      </c>
      <c r="J162" s="7" t="n">
        <v>1300.7</v>
      </c>
      <c r="L162" s="7" t="n">
        <v>2495.8</v>
      </c>
      <c r="N162" s="7" t="n">
        <v>1411.5</v>
      </c>
      <c r="P162" s="7" t="n">
        <v>2027.5</v>
      </c>
      <c r="R162" s="7" t="n">
        <v>1290.2</v>
      </c>
      <c r="T162" s="7" t="n">
        <v>1425.1</v>
      </c>
      <c r="V162" s="7" t="n">
        <v>1003.1</v>
      </c>
      <c r="X162" s="7" t="n">
        <v>1266</v>
      </c>
      <c r="Z162" s="7" t="n">
        <v>674.1</v>
      </c>
      <c r="AB162" s="7" t="n">
        <v>15343.9</v>
      </c>
    </row>
    <row r="163">
      <c r="A163" s="4" t="inlineStr">
        <is>
          <t>清洁费</t>
        </is>
      </c>
      <c r="D163" s="7" t="n">
        <v>210.3</v>
      </c>
      <c r="F163" s="7" t="n">
        <v>270.7</v>
      </c>
      <c r="H163" s="7" t="n">
        <v>304.7</v>
      </c>
      <c r="J163" s="7" t="n">
        <v>256.7</v>
      </c>
      <c r="L163" s="7" t="n">
        <v>676.6</v>
      </c>
      <c r="N163" s="7" t="n">
        <v>454.8</v>
      </c>
      <c r="P163" s="7" t="n">
        <v>524.3</v>
      </c>
      <c r="R163" s="7" t="n">
        <v>606.3</v>
      </c>
      <c r="T163" s="7" t="n">
        <v>363.1</v>
      </c>
      <c r="V163" s="7" t="n">
        <v>305.4</v>
      </c>
      <c r="X163" s="7" t="n">
        <v>355.6</v>
      </c>
      <c r="Z163" s="7" t="n">
        <v>159.4</v>
      </c>
      <c r="AB163" s="7" t="n">
        <v>4487.9</v>
      </c>
    </row>
    <row r="164">
      <c r="A164" s="4" t="inlineStr">
        <is>
          <t>低值易耗品</t>
        </is>
      </c>
      <c r="D164" s="7" t="n">
        <v>13.5</v>
      </c>
      <c r="F164" s="7" t="n">
        <v>27.3</v>
      </c>
      <c r="H164" s="7" t="n">
        <v>17.9</v>
      </c>
      <c r="J164" s="7" t="n">
        <v>31.5</v>
      </c>
      <c r="L164" s="7" t="n">
        <v>56.9</v>
      </c>
      <c r="N164" s="7" t="n">
        <v>29.9</v>
      </c>
      <c r="P164" s="7" t="n">
        <v>51.9</v>
      </c>
      <c r="R164" s="7" t="n">
        <v>35.9</v>
      </c>
      <c r="T164" s="7" t="n">
        <v>25.3</v>
      </c>
      <c r="V164" s="7" t="n">
        <v>32.8</v>
      </c>
      <c r="X164" s="7" t="n">
        <v>38.1</v>
      </c>
      <c r="Z164" s="7" t="n">
        <v>11.5</v>
      </c>
      <c r="AB164" s="7" t="n">
        <v>372.5</v>
      </c>
    </row>
    <row r="165">
      <c r="A165" s="4" t="inlineStr">
        <is>
          <t>物料消耗</t>
        </is>
      </c>
      <c r="D165" s="7" t="n">
        <v>779.6</v>
      </c>
      <c r="F165" s="7" t="n">
        <v>1164</v>
      </c>
      <c r="H165" s="7" t="n">
        <v>1461.3</v>
      </c>
      <c r="J165" s="7" t="n">
        <v>1762.7</v>
      </c>
      <c r="L165" s="7" t="n">
        <v>2792.4</v>
      </c>
      <c r="N165" s="7" t="n">
        <v>2536.5</v>
      </c>
      <c r="P165" s="7" t="n">
        <v>3528.2</v>
      </c>
      <c r="R165" s="7" t="n">
        <v>2097.2</v>
      </c>
      <c r="T165" s="7" t="n">
        <v>2367.4</v>
      </c>
      <c r="V165" s="7" t="n">
        <v>1890.6</v>
      </c>
      <c r="X165" s="7" t="n">
        <v>1723.5</v>
      </c>
      <c r="Z165" s="7" t="n">
        <v>1069.8</v>
      </c>
      <c r="AB165" s="7" t="n">
        <v>23173.2</v>
      </c>
    </row>
    <row r="166">
      <c r="A166" s="4" t="inlineStr">
        <is>
          <t>盘盈盘亏</t>
        </is>
      </c>
      <c r="D166" s="7" t="n">
        <v>931.3</v>
      </c>
      <c r="F166" s="7" t="n">
        <v>1241.8</v>
      </c>
      <c r="H166" s="7" t="n">
        <v>1628.1</v>
      </c>
      <c r="J166" s="7" t="n">
        <v>1446.2</v>
      </c>
      <c r="L166" s="7" t="n">
        <v>3931.9</v>
      </c>
      <c r="N166" s="7" t="n">
        <v>2416.6</v>
      </c>
      <c r="P166" s="7" t="n">
        <v>2429.2</v>
      </c>
      <c r="R166" s="7" t="n">
        <v>2374.4</v>
      </c>
      <c r="T166" s="7" t="n">
        <v>2318.5</v>
      </c>
      <c r="V166" s="7" t="n">
        <v>1662.7</v>
      </c>
      <c r="X166" s="7" t="n">
        <v>2896.3</v>
      </c>
      <c r="Z166" s="7" t="n">
        <v>802</v>
      </c>
      <c r="AB166" s="7" t="n">
        <v>24079</v>
      </c>
    </row>
    <row r="167">
      <c r="A167" s="4" t="inlineStr">
        <is>
          <t>平台服务费</t>
        </is>
      </c>
      <c r="D167" s="7" t="n">
        <v>419.8</v>
      </c>
      <c r="F167" s="7" t="n">
        <v>1120.4</v>
      </c>
      <c r="H167" s="7" t="n">
        <v>915.5</v>
      </c>
      <c r="J167" s="7" t="n">
        <v>1181.2</v>
      </c>
      <c r="L167" s="7" t="n">
        <v>1429.2</v>
      </c>
      <c r="N167" s="7" t="n">
        <v>1487.5</v>
      </c>
      <c r="P167" s="7" t="n">
        <v>1677.1</v>
      </c>
      <c r="R167" s="7" t="n">
        <v>1395.1</v>
      </c>
      <c r="T167" s="7" t="n">
        <v>1273.5</v>
      </c>
      <c r="V167" s="7" t="n">
        <v>1319.7</v>
      </c>
      <c r="X167" s="7" t="n">
        <v>1089.5</v>
      </c>
      <c r="Z167" s="7" t="n">
        <v>611.4</v>
      </c>
      <c r="AB167" s="7" t="n">
        <v>13919.9</v>
      </c>
    </row>
    <row r="168">
      <c r="A168" s="4" t="inlineStr">
        <is>
          <t>无形资产摊销</t>
        </is>
      </c>
      <c r="D168" s="7" t="n">
        <v>597.7</v>
      </c>
      <c r="F168" s="7" t="n">
        <v>1117.1</v>
      </c>
      <c r="H168" s="7" t="n">
        <v>1079.5</v>
      </c>
      <c r="J168" s="7" t="n">
        <v>1098.9</v>
      </c>
      <c r="L168" s="7" t="n">
        <v>2516.7</v>
      </c>
      <c r="N168" s="7" t="n">
        <v>1231.5</v>
      </c>
      <c r="P168" s="7" t="n">
        <v>2493.6</v>
      </c>
      <c r="R168" s="7" t="n">
        <v>1351.7</v>
      </c>
      <c r="T168" s="7" t="n">
        <v>1651.3</v>
      </c>
      <c r="V168" s="7" t="n">
        <v>1217.5</v>
      </c>
      <c r="X168" s="7" t="n">
        <v>1246.2</v>
      </c>
      <c r="Z168" s="7" t="n">
        <v>492.7</v>
      </c>
      <c r="AB168" s="7" t="n">
        <v>16094.4</v>
      </c>
    </row>
    <row r="169">
      <c r="A169" s="4" t="inlineStr">
        <is>
          <t>研发材料</t>
        </is>
      </c>
      <c r="D169" s="7" t="n">
        <v>175.4</v>
      </c>
      <c r="F169" s="7" t="n">
        <v>275.3</v>
      </c>
      <c r="H169" s="7" t="n">
        <v>314.3</v>
      </c>
      <c r="J169" s="7" t="n">
        <v>329.9</v>
      </c>
      <c r="L169" s="7" t="n">
        <v>836.9</v>
      </c>
      <c r="N169" s="7" t="n">
        <v>435.2</v>
      </c>
      <c r="P169" s="7" t="n">
        <v>474.6</v>
      </c>
      <c r="R169" s="7" t="n">
        <v>557.2</v>
      </c>
      <c r="T169" s="7" t="n">
        <v>379.4</v>
      </c>
      <c r="V169" s="7" t="n">
        <v>627.3</v>
      </c>
      <c r="X169" s="7" t="n">
        <v>459.2</v>
      </c>
      <c r="Z169" s="7" t="n">
        <v>142.6</v>
      </c>
      <c r="AB169" s="7" t="n">
        <v>5007.3</v>
      </c>
    </row>
    <row r="170">
      <c r="A170" s="4" t="inlineStr">
        <is>
          <t>项目名称</t>
        </is>
      </c>
      <c r="D170" s="7" t="n">
        <v>899.7</v>
      </c>
      <c r="F170" s="7" t="n">
        <v>1303.4</v>
      </c>
      <c r="H170" s="7" t="n">
        <v>1154.4</v>
      </c>
      <c r="J170" s="7" t="n">
        <v>1072.5</v>
      </c>
      <c r="L170" s="7" t="n">
        <v>1901.6</v>
      </c>
      <c r="N170" s="7" t="n">
        <v>1689.2</v>
      </c>
      <c r="P170" s="7" t="n">
        <v>2514.6</v>
      </c>
      <c r="R170" s="7" t="n">
        <v>1436.2</v>
      </c>
      <c r="T170" s="7" t="n">
        <v>1327.6</v>
      </c>
      <c r="V170" s="7" t="n">
        <v>1411.9</v>
      </c>
      <c r="X170" s="7" t="n">
        <v>2234.8</v>
      </c>
      <c r="Z170" s="7" t="n">
        <v>603.2</v>
      </c>
      <c r="AB170" s="7" t="n">
        <v>17549.1</v>
      </c>
    </row>
    <row r="171">
      <c r="A171" s="4" t="inlineStr">
        <is>
          <t>研发费</t>
        </is>
      </c>
      <c r="D171" s="7" t="n">
        <v>379.9</v>
      </c>
      <c r="F171" s="7" t="n">
        <v>603.7</v>
      </c>
      <c r="H171" s="7" t="n">
        <v>524.3</v>
      </c>
      <c r="J171" s="7" t="n">
        <v>821.1</v>
      </c>
      <c r="L171" s="7" t="n">
        <v>2058.7</v>
      </c>
      <c r="N171" s="7" t="n">
        <v>1029.2</v>
      </c>
      <c r="P171" s="7" t="n">
        <v>1752.1</v>
      </c>
      <c r="R171" s="7" t="n">
        <v>987.9</v>
      </c>
      <c r="T171" s="7" t="n">
        <v>1241.8</v>
      </c>
      <c r="V171" s="7" t="n">
        <v>846.7</v>
      </c>
      <c r="X171" s="7" t="n">
        <v>1446.9</v>
      </c>
      <c r="Z171" s="7" t="n">
        <v>521.7</v>
      </c>
      <c r="AB171" s="7" t="n">
        <v>12214</v>
      </c>
    </row>
    <row r="172">
      <c r="A172" s="4" t="inlineStr">
        <is>
          <t>残保金</t>
        </is>
      </c>
      <c r="D172" s="7" t="n">
        <v>167.9</v>
      </c>
      <c r="F172" s="7" t="n">
        <v>265.2</v>
      </c>
      <c r="H172" s="7" t="n">
        <v>285.5</v>
      </c>
      <c r="J172" s="7" t="n">
        <v>423.2</v>
      </c>
      <c r="L172" s="7" t="n">
        <v>483.9</v>
      </c>
      <c r="N172" s="7" t="n">
        <v>506.3</v>
      </c>
      <c r="P172" s="7" t="n">
        <v>455.8</v>
      </c>
      <c r="R172" s="7" t="n">
        <v>450.8</v>
      </c>
      <c r="T172" s="7" t="n">
        <v>504.4</v>
      </c>
      <c r="V172" s="7" t="n">
        <v>368.9</v>
      </c>
      <c r="X172" s="7" t="n">
        <v>408.6</v>
      </c>
      <c r="Z172" s="7" t="n">
        <v>211.2</v>
      </c>
      <c r="AB172" s="7" t="n">
        <v>4531.7</v>
      </c>
    </row>
    <row r="173">
      <c r="A173" s="4" t="inlineStr">
        <is>
          <t>环保费</t>
        </is>
      </c>
      <c r="D173" s="7" t="n">
        <v>938.2</v>
      </c>
      <c r="F173" s="7" t="n">
        <v>1522.6</v>
      </c>
      <c r="H173" s="7" t="n">
        <v>958.4</v>
      </c>
      <c r="J173" s="7" t="n">
        <v>1808.3</v>
      </c>
      <c r="L173" s="7" t="n">
        <v>2208.1</v>
      </c>
      <c r="N173" s="7" t="n">
        <v>2528.1</v>
      </c>
      <c r="P173" s="7" t="n">
        <v>2101</v>
      </c>
      <c r="R173" s="7" t="n">
        <v>2135.1</v>
      </c>
      <c r="T173" s="7" t="n">
        <v>1953.3</v>
      </c>
      <c r="V173" s="7" t="n">
        <v>2368.6</v>
      </c>
      <c r="X173" s="7" t="n">
        <v>2278.5</v>
      </c>
      <c r="Z173" s="7" t="n">
        <v>662.1</v>
      </c>
      <c r="AB173" s="7" t="n">
        <v>21462.3</v>
      </c>
    </row>
    <row r="174">
      <c r="A174" s="4" t="inlineStr">
        <is>
          <t>报废损失</t>
        </is>
      </c>
      <c r="D174" s="7" t="n">
        <v>374.2</v>
      </c>
      <c r="F174" s="7" t="n">
        <v>440.1</v>
      </c>
      <c r="H174" s="7" t="n">
        <v>658.2</v>
      </c>
      <c r="J174" s="7" t="n">
        <v>924.1</v>
      </c>
      <c r="L174" s="7" t="n">
        <v>1830.9</v>
      </c>
      <c r="N174" s="7" t="n">
        <v>738.2</v>
      </c>
      <c r="P174" s="7" t="n">
        <v>1569.9</v>
      </c>
      <c r="R174" s="7" t="n">
        <v>819.5</v>
      </c>
      <c r="T174" s="7" t="n">
        <v>832.6</v>
      </c>
      <c r="V174" s="7" t="n">
        <v>692.6</v>
      </c>
      <c r="X174" s="7" t="n">
        <v>837.4</v>
      </c>
      <c r="Z174" s="7" t="n">
        <v>345.3</v>
      </c>
      <c r="AB174" s="7" t="n">
        <v>10063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172554.3</v>
      </c>
      <c r="D175" s="7" t="n">
        <v>125028.6</v>
      </c>
      <c r="E175" s="7" t="n">
        <v>177994.9</v>
      </c>
      <c r="F175" s="7" t="n">
        <v>145193.7</v>
      </c>
      <c r="G175" s="7" t="n">
        <v>196502</v>
      </c>
      <c r="H175" s="7" t="n">
        <v>193613.7</v>
      </c>
      <c r="I175" s="7" t="n">
        <v>180185.6</v>
      </c>
      <c r="J175" s="7" t="n">
        <v>193901.3</v>
      </c>
      <c r="K175" s="7" t="n">
        <v>205613.6</v>
      </c>
      <c r="L175" s="7" t="n">
        <v>216080.1</v>
      </c>
      <c r="M175" s="7" t="n">
        <v>189898</v>
      </c>
      <c r="N175" s="7" t="n">
        <v>319528.6</v>
      </c>
      <c r="O175" s="7" t="n">
        <v>213942.5</v>
      </c>
      <c r="P175" s="7" t="n">
        <v>257251.2</v>
      </c>
      <c r="Q175" s="7" t="n">
        <v>161691.8</v>
      </c>
      <c r="R175" s="7" t="n">
        <v>148130.5</v>
      </c>
      <c r="S175" s="7" t="n">
        <v>194660.1</v>
      </c>
      <c r="T175" s="7" t="n">
        <v>167208.6</v>
      </c>
      <c r="U175" s="7" t="n">
        <v>167422.9</v>
      </c>
      <c r="V175" s="7" t="n">
        <v>251261.9</v>
      </c>
      <c r="W175" s="7" t="n">
        <v>206163</v>
      </c>
      <c r="X175" s="7" t="n">
        <v>78671.8</v>
      </c>
      <c r="Y175" s="7" t="n">
        <v>206332.4</v>
      </c>
      <c r="Z175" s="7" t="n">
        <v>143706</v>
      </c>
      <c r="AA175" s="8" t="n">
        <v>2272961.1</v>
      </c>
      <c r="AB175" s="8" t="n">
        <v>2239576</v>
      </c>
    </row>
    <row r="176">
      <c r="A176" s="4" t="inlineStr">
        <is>
          <t>职工薪酬</t>
        </is>
      </c>
      <c r="D176" s="7" t="n">
        <v>63156.2</v>
      </c>
      <c r="F176" s="7" t="n">
        <v>82336.5</v>
      </c>
      <c r="H176" s="7" t="n">
        <v>98189.39999999999</v>
      </c>
      <c r="J176" s="7" t="n">
        <v>78828.89999999999</v>
      </c>
      <c r="L176" s="7" t="n">
        <v>114730.8</v>
      </c>
      <c r="N176" s="7" t="n">
        <v>176189.7</v>
      </c>
      <c r="P176" s="7" t="n">
        <v>108355.3</v>
      </c>
      <c r="R176" s="7" t="n">
        <v>71515.8</v>
      </c>
      <c r="T176" s="7" t="n">
        <v>87521.2</v>
      </c>
      <c r="V176" s="7" t="n">
        <v>102897.7</v>
      </c>
      <c r="X176" s="7" t="n">
        <v>34752</v>
      </c>
      <c r="Z176" s="7" t="n">
        <v>78196.7</v>
      </c>
      <c r="AB176" s="7" t="n">
        <v>1096670.2</v>
      </c>
    </row>
    <row r="177">
      <c r="A177" s="4" t="inlineStr">
        <is>
          <t>工资</t>
        </is>
      </c>
      <c r="D177" s="7" t="n">
        <v>36340.5</v>
      </c>
      <c r="F177" s="7" t="n">
        <v>52877.5</v>
      </c>
      <c r="H177" s="7" t="n">
        <v>56239.4</v>
      </c>
      <c r="J177" s="7" t="n">
        <v>44862.4</v>
      </c>
      <c r="L177" s="7" t="n">
        <v>64721.9</v>
      </c>
      <c r="N177" s="7" t="n">
        <v>104679.9</v>
      </c>
      <c r="P177" s="7" t="n">
        <v>58775.7</v>
      </c>
      <c r="R177" s="7" t="n">
        <v>42101.8</v>
      </c>
      <c r="T177" s="7" t="n">
        <v>51882.1</v>
      </c>
      <c r="V177" s="7" t="n">
        <v>52772.7</v>
      </c>
      <c r="X177" s="7" t="n">
        <v>17808.2</v>
      </c>
      <c r="Z177" s="7" t="n">
        <v>45807.2</v>
      </c>
      <c r="AB177" s="7" t="n">
        <v>628869.3</v>
      </c>
    </row>
    <row r="178">
      <c r="A178" s="4" t="inlineStr">
        <is>
          <t>奖金及提成</t>
        </is>
      </c>
      <c r="D178" s="7" t="n">
        <v>13396.1</v>
      </c>
      <c r="F178" s="7" t="n">
        <v>12817.1</v>
      </c>
      <c r="H178" s="7" t="n">
        <v>19458.2</v>
      </c>
      <c r="J178" s="7" t="n">
        <v>15979.6</v>
      </c>
      <c r="L178" s="7" t="n">
        <v>23831.1</v>
      </c>
      <c r="N178" s="7" t="n">
        <v>40586.9</v>
      </c>
      <c r="P178" s="7" t="n">
        <v>23615.8</v>
      </c>
      <c r="R178" s="7" t="n">
        <v>10851.5</v>
      </c>
      <c r="T178" s="7" t="n">
        <v>13941</v>
      </c>
      <c r="V178" s="7" t="n">
        <v>24439.6</v>
      </c>
      <c r="X178" s="7" t="n">
        <v>8151.1</v>
      </c>
      <c r="Z178" s="7" t="n">
        <v>15403.2</v>
      </c>
      <c r="AB178" s="7" t="n">
        <v>222471.2</v>
      </c>
    </row>
    <row r="179">
      <c r="A179" s="4" t="inlineStr">
        <is>
          <t>社保</t>
        </is>
      </c>
      <c r="D179" s="7" t="n">
        <v>9841.1</v>
      </c>
      <c r="F179" s="7" t="n">
        <v>12710.8</v>
      </c>
      <c r="H179" s="7" t="n">
        <v>17495.7</v>
      </c>
      <c r="J179" s="7" t="n">
        <v>11919.7</v>
      </c>
      <c r="L179" s="7" t="n">
        <v>19976</v>
      </c>
      <c r="N179" s="7" t="n">
        <v>21294.6</v>
      </c>
      <c r="P179" s="7" t="n">
        <v>18621.2</v>
      </c>
      <c r="R179" s="7" t="n">
        <v>14196</v>
      </c>
      <c r="T179" s="7" t="n">
        <v>17104.2</v>
      </c>
      <c r="V179" s="7" t="n">
        <v>17592.2</v>
      </c>
      <c r="X179" s="7" t="n">
        <v>6376.8</v>
      </c>
      <c r="Z179" s="7" t="n">
        <v>12890.5</v>
      </c>
      <c r="AB179" s="7" t="n">
        <v>180018.8</v>
      </c>
    </row>
    <row r="180">
      <c r="A180" s="4" t="inlineStr">
        <is>
          <t>养老</t>
        </is>
      </c>
      <c r="D180" s="7" t="n">
        <v>30</v>
      </c>
      <c r="F180" s="7" t="n">
        <v>34.2</v>
      </c>
      <c r="H180" s="7" t="n">
        <v>65.7</v>
      </c>
      <c r="J180" s="7" t="n">
        <v>65.90000000000001</v>
      </c>
      <c r="L180" s="7" t="n">
        <v>49.6</v>
      </c>
      <c r="N180" s="7" t="n">
        <v>102.3</v>
      </c>
      <c r="P180" s="7" t="n">
        <v>62.7</v>
      </c>
      <c r="R180" s="7" t="n">
        <v>55.9</v>
      </c>
      <c r="T180" s="7" t="n">
        <v>47</v>
      </c>
      <c r="V180" s="7" t="n">
        <v>73.5</v>
      </c>
      <c r="X180" s="7" t="n">
        <v>27.6</v>
      </c>
      <c r="Z180" s="7" t="n">
        <v>48.7</v>
      </c>
      <c r="AB180" s="7" t="n">
        <v>663.1</v>
      </c>
    </row>
    <row r="181">
      <c r="A181" s="4" t="inlineStr">
        <is>
          <t>医疗</t>
        </is>
      </c>
      <c r="D181" s="7" t="n">
        <v>83.8</v>
      </c>
      <c r="F181" s="7" t="n">
        <v>128.9</v>
      </c>
      <c r="H181" s="7" t="n">
        <v>164.5</v>
      </c>
      <c r="J181" s="7" t="n">
        <v>144.3</v>
      </c>
      <c r="L181" s="7" t="n">
        <v>177.6</v>
      </c>
      <c r="N181" s="7" t="n">
        <v>219.1</v>
      </c>
      <c r="P181" s="7" t="n">
        <v>199.1</v>
      </c>
      <c r="R181" s="7" t="n">
        <v>133.3</v>
      </c>
      <c r="T181" s="7" t="n">
        <v>92.3</v>
      </c>
      <c r="V181" s="7" t="n">
        <v>177.4</v>
      </c>
      <c r="X181" s="7" t="n">
        <v>56.6</v>
      </c>
      <c r="Z181" s="7" t="n">
        <v>74</v>
      </c>
      <c r="AB181" s="7" t="n">
        <v>1650.9</v>
      </c>
    </row>
    <row r="182">
      <c r="A182" s="4" t="inlineStr">
        <is>
          <t>工伤</t>
        </is>
      </c>
      <c r="D182" s="7" t="n">
        <v>922.7</v>
      </c>
      <c r="F182" s="7" t="n">
        <v>881.4</v>
      </c>
      <c r="H182" s="7" t="n">
        <v>1193.4</v>
      </c>
      <c r="J182" s="7" t="n">
        <v>1489.7</v>
      </c>
      <c r="L182" s="7" t="n">
        <v>1068.6</v>
      </c>
      <c r="N182" s="7" t="n">
        <v>2052.1</v>
      </c>
      <c r="P182" s="7" t="n">
        <v>1796</v>
      </c>
      <c r="R182" s="7" t="n">
        <v>705.9</v>
      </c>
      <c r="T182" s="7" t="n">
        <v>956.2</v>
      </c>
      <c r="V182" s="7" t="n">
        <v>1634</v>
      </c>
      <c r="X182" s="7" t="n">
        <v>593.3</v>
      </c>
      <c r="Z182" s="7" t="n">
        <v>883.5</v>
      </c>
      <c r="AB182" s="7" t="n">
        <v>14176.8</v>
      </c>
    </row>
    <row r="183">
      <c r="A183" s="4" t="inlineStr">
        <is>
          <t>失业</t>
        </is>
      </c>
      <c r="D183" s="7" t="n">
        <v>406.1</v>
      </c>
      <c r="F183" s="7" t="n">
        <v>457.6</v>
      </c>
      <c r="H183" s="7" t="n">
        <v>565.2</v>
      </c>
      <c r="J183" s="7" t="n">
        <v>422.7</v>
      </c>
      <c r="L183" s="7" t="n">
        <v>696.6</v>
      </c>
      <c r="N183" s="7" t="n">
        <v>1033.5</v>
      </c>
      <c r="P183" s="7" t="n">
        <v>630.5</v>
      </c>
      <c r="R183" s="7" t="n">
        <v>291.4</v>
      </c>
      <c r="T183" s="7" t="n">
        <v>399.7</v>
      </c>
      <c r="V183" s="7" t="n">
        <v>709.8</v>
      </c>
      <c r="X183" s="7" t="n">
        <v>228</v>
      </c>
      <c r="Z183" s="7" t="n">
        <v>318.7</v>
      </c>
      <c r="AB183" s="7" t="n">
        <v>6159.8</v>
      </c>
    </row>
    <row r="184">
      <c r="A184" s="4" t="inlineStr">
        <is>
          <t>生育</t>
        </is>
      </c>
      <c r="D184" s="7" t="n">
        <v>699.6</v>
      </c>
      <c r="F184" s="7" t="n">
        <v>752.8</v>
      </c>
      <c r="H184" s="7" t="n">
        <v>1123.3</v>
      </c>
      <c r="J184" s="7" t="n">
        <v>962.9</v>
      </c>
      <c r="L184" s="7" t="n">
        <v>815.6</v>
      </c>
      <c r="N184" s="7" t="n">
        <v>1579.3</v>
      </c>
      <c r="P184" s="7" t="n">
        <v>1034.7</v>
      </c>
      <c r="R184" s="7" t="n">
        <v>618.1</v>
      </c>
      <c r="T184" s="7" t="n">
        <v>848.7</v>
      </c>
      <c r="V184" s="7" t="n">
        <v>1489.6</v>
      </c>
      <c r="X184" s="7" t="n">
        <v>394.5</v>
      </c>
      <c r="Z184" s="7" t="n">
        <v>842.8</v>
      </c>
      <c r="AB184" s="7" t="n">
        <v>11161.9</v>
      </c>
    </row>
    <row r="185">
      <c r="A185" s="4" t="inlineStr">
        <is>
          <t>公积金</t>
        </is>
      </c>
      <c r="D185" s="7" t="n">
        <v>461.3</v>
      </c>
      <c r="F185" s="7" t="n">
        <v>428.6</v>
      </c>
      <c r="H185" s="7" t="n">
        <v>492.1</v>
      </c>
      <c r="J185" s="7" t="n">
        <v>583.9</v>
      </c>
      <c r="L185" s="7" t="n">
        <v>705.6</v>
      </c>
      <c r="N185" s="7" t="n">
        <v>1100.5</v>
      </c>
      <c r="P185" s="7" t="n">
        <v>935.3</v>
      </c>
      <c r="R185" s="7" t="n">
        <v>465.2</v>
      </c>
      <c r="T185" s="7" t="n">
        <v>634.7</v>
      </c>
      <c r="V185" s="7" t="n">
        <v>1000.3</v>
      </c>
      <c r="X185" s="7" t="n">
        <v>226.6</v>
      </c>
      <c r="Z185" s="7" t="n">
        <v>573.8</v>
      </c>
      <c r="AB185" s="7" t="n">
        <v>7607.9</v>
      </c>
    </row>
    <row r="186">
      <c r="A186" s="4" t="inlineStr">
        <is>
          <t>工会经费</t>
        </is>
      </c>
      <c r="D186" s="7" t="n">
        <v>671.7</v>
      </c>
      <c r="F186" s="7" t="n">
        <v>550.4</v>
      </c>
      <c r="H186" s="7" t="n">
        <v>807.8</v>
      </c>
      <c r="J186" s="7" t="n">
        <v>1132.7</v>
      </c>
      <c r="L186" s="7" t="n">
        <v>939.1</v>
      </c>
      <c r="N186" s="7" t="n">
        <v>1947.8</v>
      </c>
      <c r="P186" s="7" t="n">
        <v>1086.1</v>
      </c>
      <c r="R186" s="7" t="n">
        <v>684.6</v>
      </c>
      <c r="T186" s="7" t="n">
        <v>753.6</v>
      </c>
      <c r="V186" s="7" t="n">
        <v>1603</v>
      </c>
      <c r="X186" s="7" t="n">
        <v>464.7</v>
      </c>
      <c r="Z186" s="7" t="n">
        <v>668.1</v>
      </c>
      <c r="AB186" s="7" t="n">
        <v>11309.6</v>
      </c>
    </row>
    <row r="187">
      <c r="A187" s="4" t="inlineStr">
        <is>
          <t>职工教育经费</t>
        </is>
      </c>
      <c r="D187" s="7" t="n">
        <v>444.5</v>
      </c>
      <c r="F187" s="7" t="n">
        <v>852.7</v>
      </c>
      <c r="H187" s="7" t="n">
        <v>728.6</v>
      </c>
      <c r="J187" s="7" t="n">
        <v>1169.8</v>
      </c>
      <c r="L187" s="7" t="n">
        <v>1221.2</v>
      </c>
      <c r="N187" s="7" t="n">
        <v>1924.6</v>
      </c>
      <c r="P187" s="7" t="n">
        <v>1456.1</v>
      </c>
      <c r="R187" s="7" t="n">
        <v>758.9</v>
      </c>
      <c r="T187" s="7" t="n">
        <v>696.2</v>
      </c>
      <c r="V187" s="7" t="n">
        <v>1453.4</v>
      </c>
      <c r="X187" s="7" t="n">
        <v>458.5</v>
      </c>
      <c r="Z187" s="7" t="n">
        <v>619.7</v>
      </c>
      <c r="AB187" s="7" t="n">
        <v>11784.2</v>
      </c>
    </row>
    <row r="188">
      <c r="A188" s="4" t="inlineStr">
        <is>
          <t>福利费</t>
        </is>
      </c>
      <c r="D188" s="7" t="n">
        <v>2001</v>
      </c>
      <c r="F188" s="7" t="n">
        <v>2099.4</v>
      </c>
      <c r="H188" s="7" t="n">
        <v>2967.6</v>
      </c>
      <c r="J188" s="7" t="n">
        <v>3180.8</v>
      </c>
      <c r="L188" s="7" t="n">
        <v>3335.9</v>
      </c>
      <c r="N188" s="7" t="n">
        <v>4655.4</v>
      </c>
      <c r="P188" s="7" t="n">
        <v>3865.1</v>
      </c>
      <c r="R188" s="7" t="n">
        <v>2457.8</v>
      </c>
      <c r="T188" s="7" t="n">
        <v>2509.4</v>
      </c>
      <c r="V188" s="7" t="n">
        <v>4036.5</v>
      </c>
      <c r="X188" s="7" t="n">
        <v>1266.1</v>
      </c>
      <c r="Z188" s="7" t="n">
        <v>2234.2</v>
      </c>
      <c r="AB188" s="7" t="n">
        <v>34609.2</v>
      </c>
    </row>
    <row r="189">
      <c r="A189" s="4" t="inlineStr">
        <is>
          <t>职工房租</t>
        </is>
      </c>
      <c r="D189" s="7" t="n">
        <v>848.5</v>
      </c>
      <c r="F189" s="7" t="n">
        <v>887.2</v>
      </c>
      <c r="H189" s="7" t="n">
        <v>1147.1</v>
      </c>
      <c r="J189" s="7" t="n">
        <v>1216.8</v>
      </c>
      <c r="L189" s="7" t="n">
        <v>1208.9</v>
      </c>
      <c r="N189" s="7" t="n">
        <v>1846.9</v>
      </c>
      <c r="P189" s="7" t="n">
        <v>1632.1</v>
      </c>
      <c r="R189" s="7" t="n">
        <v>1030.8</v>
      </c>
      <c r="T189" s="7" t="n">
        <v>797.7</v>
      </c>
      <c r="V189" s="7" t="n">
        <v>1102.8</v>
      </c>
      <c r="X189" s="7" t="n">
        <v>475.1</v>
      </c>
      <c r="Z189" s="7" t="n">
        <v>635.2</v>
      </c>
      <c r="AB189" s="7" t="n">
        <v>12829.1</v>
      </c>
    </row>
    <row r="190">
      <c r="A190" s="4" t="inlineStr">
        <is>
          <t>水电物业费</t>
        </is>
      </c>
      <c r="D190" s="7" t="n">
        <v>143.7</v>
      </c>
      <c r="F190" s="7" t="n">
        <v>153.3</v>
      </c>
      <c r="H190" s="7" t="n">
        <v>211.2</v>
      </c>
      <c r="J190" s="7" t="n">
        <v>228.5</v>
      </c>
      <c r="L190" s="7" t="n">
        <v>191.6</v>
      </c>
      <c r="N190" s="7" t="n">
        <v>382.5</v>
      </c>
      <c r="P190" s="7" t="n">
        <v>250.1</v>
      </c>
      <c r="R190" s="7" t="n">
        <v>151.7</v>
      </c>
      <c r="T190" s="7" t="n">
        <v>214.5</v>
      </c>
      <c r="V190" s="7" t="n">
        <v>227</v>
      </c>
      <c r="X190" s="7" t="n">
        <v>71</v>
      </c>
      <c r="Z190" s="7" t="n">
        <v>146.3</v>
      </c>
      <c r="AB190" s="7" t="n">
        <v>2371.4</v>
      </c>
    </row>
    <row r="191">
      <c r="A191" s="4" t="inlineStr">
        <is>
          <t>员工餐</t>
        </is>
      </c>
      <c r="D191" s="7" t="n">
        <v>52.5</v>
      </c>
      <c r="F191" s="7" t="n">
        <v>51.8</v>
      </c>
      <c r="H191" s="7" t="n">
        <v>70.8</v>
      </c>
      <c r="J191" s="7" t="n">
        <v>64.3</v>
      </c>
      <c r="L191" s="7" t="n">
        <v>75.2</v>
      </c>
      <c r="N191" s="7" t="n">
        <v>97.5</v>
      </c>
      <c r="P191" s="7" t="n">
        <v>100.4</v>
      </c>
      <c r="R191" s="7" t="n">
        <v>44</v>
      </c>
      <c r="T191" s="7" t="n">
        <v>46.4</v>
      </c>
      <c r="V191" s="7" t="n">
        <v>67.90000000000001</v>
      </c>
      <c r="X191" s="7" t="n">
        <v>19.4</v>
      </c>
      <c r="Z191" s="7" t="n">
        <v>48.1</v>
      </c>
      <c r="AB191" s="7" t="n">
        <v>738.3</v>
      </c>
    </row>
    <row r="192">
      <c r="A192" s="4" t="inlineStr">
        <is>
          <t>节日礼品</t>
        </is>
      </c>
      <c r="D192" s="7" t="n">
        <v>348.6</v>
      </c>
      <c r="F192" s="7" t="n">
        <v>299</v>
      </c>
      <c r="H192" s="7" t="n">
        <v>439.7</v>
      </c>
      <c r="J192" s="7" t="n">
        <v>437.9</v>
      </c>
      <c r="L192" s="7" t="n">
        <v>529.9</v>
      </c>
      <c r="N192" s="7" t="n">
        <v>798.7</v>
      </c>
      <c r="P192" s="7" t="n">
        <v>583.1</v>
      </c>
      <c r="R192" s="7" t="n">
        <v>465.3</v>
      </c>
      <c r="T192" s="7" t="n">
        <v>464.4</v>
      </c>
      <c r="V192" s="7" t="n">
        <v>889.5</v>
      </c>
      <c r="X192" s="7" t="n">
        <v>256.2</v>
      </c>
      <c r="Z192" s="7" t="n">
        <v>505.1</v>
      </c>
      <c r="AB192" s="7" t="n">
        <v>6017.4</v>
      </c>
    </row>
    <row r="193">
      <c r="A193" s="4" t="inlineStr">
        <is>
          <t>生日礼品</t>
        </is>
      </c>
      <c r="D193" s="7" t="n">
        <v>7.9</v>
      </c>
      <c r="F193" s="7" t="n">
        <v>8.1</v>
      </c>
      <c r="H193" s="7" t="n">
        <v>13.9</v>
      </c>
      <c r="J193" s="7" t="n">
        <v>12</v>
      </c>
      <c r="L193" s="7" t="n">
        <v>13.4</v>
      </c>
      <c r="N193" s="7" t="n">
        <v>23.5</v>
      </c>
      <c r="P193" s="7" t="n">
        <v>16.5</v>
      </c>
      <c r="R193" s="7" t="n">
        <v>7.6</v>
      </c>
      <c r="T193" s="7" t="n">
        <v>12.1</v>
      </c>
      <c r="V193" s="7" t="n">
        <v>18.4</v>
      </c>
      <c r="X193" s="7" t="n">
        <v>4.2</v>
      </c>
      <c r="Z193" s="7" t="n">
        <v>8.5</v>
      </c>
      <c r="AB193" s="7" t="n">
        <v>146.1</v>
      </c>
    </row>
    <row r="194">
      <c r="A194" s="4" t="inlineStr">
        <is>
          <t>体检</t>
        </is>
      </c>
      <c r="D194" s="7" t="n">
        <v>289.1</v>
      </c>
      <c r="F194" s="7" t="n">
        <v>321.3</v>
      </c>
      <c r="H194" s="7" t="n">
        <v>332.1</v>
      </c>
      <c r="J194" s="7" t="n">
        <v>425</v>
      </c>
      <c r="L194" s="7" t="n">
        <v>387.7</v>
      </c>
      <c r="N194" s="7" t="n">
        <v>430.4</v>
      </c>
      <c r="P194" s="7" t="n">
        <v>591.1</v>
      </c>
      <c r="R194" s="7" t="n">
        <v>224</v>
      </c>
      <c r="T194" s="7" t="n">
        <v>312.7</v>
      </c>
      <c r="V194" s="7" t="n">
        <v>591.3</v>
      </c>
      <c r="X194" s="7" t="n">
        <v>116.8</v>
      </c>
      <c r="Z194" s="7" t="n">
        <v>339.5</v>
      </c>
      <c r="AB194" s="7" t="n">
        <v>4361</v>
      </c>
    </row>
    <row r="195">
      <c r="A195" s="4" t="inlineStr">
        <is>
          <t>其他福利支出</t>
        </is>
      </c>
      <c r="D195" s="7" t="n">
        <v>310.7</v>
      </c>
      <c r="F195" s="7" t="n">
        <v>378.7</v>
      </c>
      <c r="H195" s="7" t="n">
        <v>752.8</v>
      </c>
      <c r="J195" s="7" t="n">
        <v>796.3</v>
      </c>
      <c r="L195" s="7" t="n">
        <v>929.2</v>
      </c>
      <c r="N195" s="7" t="n">
        <v>1075.9</v>
      </c>
      <c r="P195" s="7" t="n">
        <v>691.8</v>
      </c>
      <c r="R195" s="7" t="n">
        <v>534.4</v>
      </c>
      <c r="T195" s="7" t="n">
        <v>661.6</v>
      </c>
      <c r="V195" s="7" t="n">
        <v>1139.6</v>
      </c>
      <c r="X195" s="7" t="n">
        <v>323.4</v>
      </c>
      <c r="Z195" s="7" t="n">
        <v>551.5</v>
      </c>
      <c r="AB195" s="7" t="n">
        <v>8145.9</v>
      </c>
    </row>
    <row r="196">
      <c r="A196" s="4" t="inlineStr">
        <is>
          <t>招聘费</t>
        </is>
      </c>
      <c r="D196" s="7" t="n">
        <v>884.6</v>
      </c>
      <c r="F196" s="7" t="n">
        <v>708.9</v>
      </c>
      <c r="H196" s="7" t="n">
        <v>1163.9</v>
      </c>
      <c r="J196" s="7" t="n">
        <v>1074.2</v>
      </c>
      <c r="L196" s="7" t="n">
        <v>1002</v>
      </c>
      <c r="N196" s="7" t="n">
        <v>1442.4</v>
      </c>
      <c r="P196" s="7" t="n">
        <v>1865.1</v>
      </c>
      <c r="R196" s="7" t="n">
        <v>944.6</v>
      </c>
      <c r="T196" s="7" t="n">
        <v>1076.7</v>
      </c>
      <c r="V196" s="7" t="n">
        <v>1295.3</v>
      </c>
      <c r="X196" s="7" t="n">
        <v>414.6</v>
      </c>
      <c r="Z196" s="7" t="n">
        <v>826.1</v>
      </c>
      <c r="AB196" s="7" t="n">
        <v>12698.4</v>
      </c>
    </row>
    <row r="197">
      <c r="A197" s="4" t="inlineStr">
        <is>
          <t>办公费</t>
        </is>
      </c>
      <c r="D197" s="7" t="n">
        <v>4043.9</v>
      </c>
      <c r="F197" s="7" t="n">
        <v>4180.8</v>
      </c>
      <c r="H197" s="7" t="n">
        <v>4124.8</v>
      </c>
      <c r="J197" s="7" t="n">
        <v>6421.9</v>
      </c>
      <c r="L197" s="7" t="n">
        <v>6617.9</v>
      </c>
      <c r="N197" s="7" t="n">
        <v>10399.3</v>
      </c>
      <c r="P197" s="7" t="n">
        <v>8265.6</v>
      </c>
      <c r="R197" s="7" t="n">
        <v>5126.4</v>
      </c>
      <c r="T197" s="7" t="n">
        <v>5273.9</v>
      </c>
      <c r="V197" s="7" t="n">
        <v>8446.4</v>
      </c>
      <c r="X197" s="7" t="n">
        <v>1754.9</v>
      </c>
      <c r="Z197" s="7" t="n">
        <v>5418.4</v>
      </c>
      <c r="AB197" s="7" t="n">
        <v>70074.2</v>
      </c>
    </row>
    <row r="198">
      <c r="A198" s="4" t="inlineStr">
        <is>
          <t>市内交通费</t>
        </is>
      </c>
      <c r="D198" s="7" t="n">
        <v>102</v>
      </c>
      <c r="F198" s="7" t="n">
        <v>89</v>
      </c>
      <c r="H198" s="7" t="n">
        <v>101.3</v>
      </c>
      <c r="J198" s="7" t="n">
        <v>156.4</v>
      </c>
      <c r="L198" s="7" t="n">
        <v>144.8</v>
      </c>
      <c r="N198" s="7" t="n">
        <v>208.4</v>
      </c>
      <c r="P198" s="7" t="n">
        <v>196.3</v>
      </c>
      <c r="R198" s="7" t="n">
        <v>101.5</v>
      </c>
      <c r="T198" s="7" t="n">
        <v>118.7</v>
      </c>
      <c r="V198" s="7" t="n">
        <v>136.7</v>
      </c>
      <c r="X198" s="7" t="n">
        <v>51.2</v>
      </c>
      <c r="Z198" s="7" t="n">
        <v>117.9</v>
      </c>
      <c r="AB198" s="7" t="n">
        <v>1524.2</v>
      </c>
    </row>
    <row r="199">
      <c r="A199" s="4" t="inlineStr">
        <is>
          <t>差旅费</t>
        </is>
      </c>
      <c r="D199" s="7" t="n">
        <v>7707.5</v>
      </c>
      <c r="F199" s="7" t="n">
        <v>11116.7</v>
      </c>
      <c r="H199" s="7" t="n">
        <v>9136</v>
      </c>
      <c r="J199" s="7" t="n">
        <v>12871.6</v>
      </c>
      <c r="L199" s="7" t="n">
        <v>16186.6</v>
      </c>
      <c r="N199" s="7" t="n">
        <v>22565.3</v>
      </c>
      <c r="P199" s="7" t="n">
        <v>17558.9</v>
      </c>
      <c r="R199" s="7" t="n">
        <v>8211.299999999999</v>
      </c>
      <c r="T199" s="7" t="n">
        <v>12738.1</v>
      </c>
      <c r="V199" s="7" t="n">
        <v>15559.9</v>
      </c>
      <c r="X199" s="7" t="n">
        <v>4876.3</v>
      </c>
      <c r="Z199" s="7" t="n">
        <v>6673.2</v>
      </c>
      <c r="AB199" s="7" t="n">
        <v>145201.4</v>
      </c>
    </row>
    <row r="200">
      <c r="A200" s="4" t="inlineStr">
        <is>
          <t>交通费</t>
        </is>
      </c>
      <c r="D200" s="7" t="n">
        <v>4.4</v>
      </c>
      <c r="F200" s="7" t="n">
        <v>4.9</v>
      </c>
      <c r="H200" s="7" t="n">
        <v>8.1</v>
      </c>
      <c r="J200" s="7" t="n">
        <v>5.6</v>
      </c>
      <c r="L200" s="7" t="n">
        <v>8.199999999999999</v>
      </c>
      <c r="N200" s="7" t="n">
        <v>13.1</v>
      </c>
      <c r="P200" s="7" t="n">
        <v>7.7</v>
      </c>
      <c r="R200" s="7" t="n">
        <v>4.6</v>
      </c>
      <c r="T200" s="7" t="n">
        <v>6</v>
      </c>
      <c r="V200" s="7" t="n">
        <v>8.300000000000001</v>
      </c>
      <c r="X200" s="7" t="n">
        <v>2.1</v>
      </c>
      <c r="Z200" s="7" t="n">
        <v>3.9</v>
      </c>
      <c r="AB200" s="7" t="n">
        <v>76.90000000000001</v>
      </c>
    </row>
    <row r="201">
      <c r="A201" s="4" t="inlineStr">
        <is>
          <t>住宿费</t>
        </is>
      </c>
      <c r="D201" s="7" t="n">
        <v>558.9</v>
      </c>
      <c r="F201" s="7" t="n">
        <v>642.8</v>
      </c>
      <c r="H201" s="7" t="n">
        <v>1250.3</v>
      </c>
      <c r="J201" s="7" t="n">
        <v>1285.7</v>
      </c>
      <c r="L201" s="7" t="n">
        <v>1432.1</v>
      </c>
      <c r="N201" s="7" t="n">
        <v>2202.8</v>
      </c>
      <c r="P201" s="7" t="n">
        <v>1825.8</v>
      </c>
      <c r="R201" s="7" t="n">
        <v>792</v>
      </c>
      <c r="T201" s="7" t="n">
        <v>942.5</v>
      </c>
      <c r="V201" s="7" t="n">
        <v>1202.6</v>
      </c>
      <c r="X201" s="7" t="n">
        <v>318.8</v>
      </c>
      <c r="Z201" s="7" t="n">
        <v>597</v>
      </c>
      <c r="AB201" s="7" t="n">
        <v>13051.3</v>
      </c>
    </row>
    <row r="202">
      <c r="A202" s="4" t="inlineStr">
        <is>
          <t>餐补</t>
        </is>
      </c>
      <c r="D202" s="7" t="n">
        <v>590.3</v>
      </c>
      <c r="F202" s="7" t="n">
        <v>620.7</v>
      </c>
      <c r="H202" s="7" t="n">
        <v>715.7</v>
      </c>
      <c r="J202" s="7" t="n">
        <v>1008.6</v>
      </c>
      <c r="L202" s="7" t="n">
        <v>781.4</v>
      </c>
      <c r="N202" s="7" t="n">
        <v>1629.3</v>
      </c>
      <c r="P202" s="7" t="n">
        <v>1517.8</v>
      </c>
      <c r="R202" s="7" t="n">
        <v>627.7</v>
      </c>
      <c r="T202" s="7" t="n">
        <v>772</v>
      </c>
      <c r="V202" s="7" t="n">
        <v>1278.9</v>
      </c>
      <c r="X202" s="7" t="n">
        <v>330.7</v>
      </c>
      <c r="Z202" s="7" t="n">
        <v>718.3</v>
      </c>
      <c r="AB202" s="7" t="n">
        <v>10591.4</v>
      </c>
    </row>
    <row r="203">
      <c r="A203" s="4" t="inlineStr">
        <is>
          <t>交通补助</t>
        </is>
      </c>
      <c r="D203" s="7" t="n">
        <v>426</v>
      </c>
      <c r="F203" s="7" t="n">
        <v>479.1</v>
      </c>
      <c r="H203" s="7" t="n">
        <v>687.1</v>
      </c>
      <c r="J203" s="7" t="n">
        <v>505.4</v>
      </c>
      <c r="L203" s="7" t="n">
        <v>679.3</v>
      </c>
      <c r="N203" s="7" t="n">
        <v>987</v>
      </c>
      <c r="P203" s="7" t="n">
        <v>1091.3</v>
      </c>
      <c r="R203" s="7" t="n">
        <v>528.3</v>
      </c>
      <c r="T203" s="7" t="n">
        <v>746.6</v>
      </c>
      <c r="V203" s="7" t="n">
        <v>727.4</v>
      </c>
      <c r="X203" s="7" t="n">
        <v>332.5</v>
      </c>
      <c r="Z203" s="7" t="n">
        <v>653.8</v>
      </c>
      <c r="AB203" s="7" t="n">
        <v>7843.8</v>
      </c>
    </row>
    <row r="204">
      <c r="A204" s="4" t="inlineStr">
        <is>
          <t>通讯补助</t>
        </is>
      </c>
      <c r="D204" s="7" t="n">
        <v>347.3</v>
      </c>
      <c r="F204" s="7" t="n">
        <v>389.2</v>
      </c>
      <c r="H204" s="7" t="n">
        <v>605.8</v>
      </c>
      <c r="J204" s="7" t="n">
        <v>474</v>
      </c>
      <c r="L204" s="7" t="n">
        <v>697.8</v>
      </c>
      <c r="N204" s="7" t="n">
        <v>1168.7</v>
      </c>
      <c r="P204" s="7" t="n">
        <v>948.8</v>
      </c>
      <c r="R204" s="7" t="n">
        <v>352.5</v>
      </c>
      <c r="T204" s="7" t="n">
        <v>519.2</v>
      </c>
      <c r="V204" s="7" t="n">
        <v>654.3</v>
      </c>
      <c r="X204" s="7" t="n">
        <v>294.1</v>
      </c>
      <c r="Z204" s="7" t="n">
        <v>325.3</v>
      </c>
      <c r="AB204" s="7" t="n">
        <v>6777</v>
      </c>
    </row>
    <row r="205">
      <c r="A205" s="4" t="inlineStr">
        <is>
          <t>招待费</t>
        </is>
      </c>
      <c r="D205" s="7" t="n">
        <v>3727.1</v>
      </c>
      <c r="F205" s="7" t="n">
        <v>4130.3</v>
      </c>
      <c r="H205" s="7" t="n">
        <v>7777.9</v>
      </c>
      <c r="J205" s="7" t="n">
        <v>5574.4</v>
      </c>
      <c r="L205" s="7" t="n">
        <v>9067.9</v>
      </c>
      <c r="N205" s="7" t="n">
        <v>12053.6</v>
      </c>
      <c r="P205" s="7" t="n">
        <v>10845.9</v>
      </c>
      <c r="R205" s="7" t="n">
        <v>7369.7</v>
      </c>
      <c r="T205" s="7" t="n">
        <v>6895.4</v>
      </c>
      <c r="V205" s="7" t="n">
        <v>10312.6</v>
      </c>
      <c r="X205" s="7" t="n">
        <v>4088.5</v>
      </c>
      <c r="Z205" s="7" t="n">
        <v>5652</v>
      </c>
      <c r="AB205" s="7" t="n">
        <v>87495.3</v>
      </c>
    </row>
    <row r="206">
      <c r="A206" s="4" t="inlineStr">
        <is>
          <t>通讯费</t>
        </is>
      </c>
      <c r="D206" s="7" t="n">
        <v>584.4</v>
      </c>
      <c r="F206" s="7" t="n">
        <v>615.5</v>
      </c>
      <c r="H206" s="7" t="n">
        <v>1144.9</v>
      </c>
      <c r="J206" s="7" t="n">
        <v>1123.6</v>
      </c>
      <c r="L206" s="7" t="n">
        <v>960.7</v>
      </c>
      <c r="N206" s="7" t="n">
        <v>1589.8</v>
      </c>
      <c r="P206" s="7" t="n">
        <v>1315.8</v>
      </c>
      <c r="R206" s="7" t="n">
        <v>706.4</v>
      </c>
      <c r="T206" s="7" t="n">
        <v>851.1</v>
      </c>
      <c r="V206" s="7" t="n">
        <v>1401.9</v>
      </c>
      <c r="X206" s="7" t="n">
        <v>483.4</v>
      </c>
      <c r="Z206" s="7" t="n">
        <v>864.9</v>
      </c>
      <c r="AB206" s="7" t="n">
        <v>11642.4</v>
      </c>
    </row>
    <row r="207">
      <c r="A207" s="4" t="inlineStr">
        <is>
          <t>网络费</t>
        </is>
      </c>
      <c r="D207" s="7" t="n">
        <v>402.5</v>
      </c>
      <c r="F207" s="7" t="n">
        <v>589.6</v>
      </c>
      <c r="H207" s="7" t="n">
        <v>754.4</v>
      </c>
      <c r="J207" s="7" t="n">
        <v>630.4</v>
      </c>
      <c r="L207" s="7" t="n">
        <v>1104.3</v>
      </c>
      <c r="N207" s="7" t="n">
        <v>1409.6</v>
      </c>
      <c r="P207" s="7" t="n">
        <v>1326.5</v>
      </c>
      <c r="R207" s="7" t="n">
        <v>680.9</v>
      </c>
      <c r="T207" s="7" t="n">
        <v>666.6</v>
      </c>
      <c r="V207" s="7" t="n">
        <v>926</v>
      </c>
      <c r="X207" s="7" t="n">
        <v>263.3</v>
      </c>
      <c r="Z207" s="7" t="n">
        <v>574.3</v>
      </c>
      <c r="AB207" s="7" t="n">
        <v>9328.4</v>
      </c>
    </row>
    <row r="208">
      <c r="A208" s="4" t="inlineStr">
        <is>
          <t>修理费</t>
        </is>
      </c>
      <c r="D208" s="7" t="n">
        <v>47.5</v>
      </c>
      <c r="F208" s="7" t="n">
        <v>43.4</v>
      </c>
      <c r="H208" s="7" t="n">
        <v>65.8</v>
      </c>
      <c r="J208" s="7" t="n">
        <v>99.5</v>
      </c>
      <c r="L208" s="7" t="n">
        <v>81.7</v>
      </c>
      <c r="N208" s="7" t="n">
        <v>129.3</v>
      </c>
      <c r="P208" s="7" t="n">
        <v>103.2</v>
      </c>
      <c r="R208" s="7" t="n">
        <v>44.4</v>
      </c>
      <c r="T208" s="7" t="n">
        <v>88.8</v>
      </c>
      <c r="V208" s="7" t="n">
        <v>92.59999999999999</v>
      </c>
      <c r="X208" s="7" t="n">
        <v>36.4</v>
      </c>
      <c r="Z208" s="7" t="n">
        <v>60</v>
      </c>
      <c r="AB208" s="7" t="n">
        <v>892.6</v>
      </c>
    </row>
    <row r="209">
      <c r="A209" s="4" t="inlineStr">
        <is>
          <t>车辆费</t>
        </is>
      </c>
      <c r="D209" s="7" t="n">
        <v>816.9</v>
      </c>
      <c r="F209" s="7" t="n">
        <v>677.7</v>
      </c>
      <c r="H209" s="7" t="n">
        <v>1081.3</v>
      </c>
      <c r="J209" s="7" t="n">
        <v>848.5</v>
      </c>
      <c r="L209" s="7" t="n">
        <v>1283.9</v>
      </c>
      <c r="N209" s="7" t="n">
        <v>1597.8</v>
      </c>
      <c r="P209" s="7" t="n">
        <v>1528.3</v>
      </c>
      <c r="R209" s="7" t="n">
        <v>968.1</v>
      </c>
      <c r="T209" s="7" t="n">
        <v>918.8</v>
      </c>
      <c r="V209" s="7" t="n">
        <v>1265.5</v>
      </c>
      <c r="X209" s="7" t="n">
        <v>532.6</v>
      </c>
      <c r="Z209" s="7" t="n">
        <v>789.5</v>
      </c>
      <c r="AB209" s="7" t="n">
        <v>12308.9</v>
      </c>
    </row>
    <row r="210">
      <c r="A210" s="4" t="inlineStr">
        <is>
          <t>租赁费</t>
        </is>
      </c>
      <c r="D210" s="7" t="n">
        <v>5699.7</v>
      </c>
      <c r="F210" s="7" t="n">
        <v>8861.4</v>
      </c>
      <c r="H210" s="7" t="n">
        <v>9604.4</v>
      </c>
      <c r="J210" s="7" t="n">
        <v>9591</v>
      </c>
      <c r="L210" s="7" t="n">
        <v>11479.5</v>
      </c>
      <c r="N210" s="7" t="n">
        <v>15994</v>
      </c>
      <c r="P210" s="7" t="n">
        <v>10076.3</v>
      </c>
      <c r="R210" s="7" t="n">
        <v>5920.5</v>
      </c>
      <c r="T210" s="7" t="n">
        <v>6239</v>
      </c>
      <c r="V210" s="7" t="n">
        <v>13644.6</v>
      </c>
      <c r="X210" s="7" t="n">
        <v>3252.7</v>
      </c>
      <c r="Z210" s="7" t="n">
        <v>5835.5</v>
      </c>
      <c r="AB210" s="7" t="n">
        <v>106198.6</v>
      </c>
    </row>
    <row r="211">
      <c r="A211" s="4" t="inlineStr">
        <is>
          <t>能源费</t>
        </is>
      </c>
      <c r="D211" s="7" t="n">
        <v>1241.4</v>
      </c>
      <c r="F211" s="7" t="n">
        <v>1481.6</v>
      </c>
      <c r="H211" s="7" t="n">
        <v>1706.9</v>
      </c>
      <c r="J211" s="7" t="n">
        <v>1879.6</v>
      </c>
      <c r="L211" s="7" t="n">
        <v>2618.3</v>
      </c>
      <c r="N211" s="7" t="n">
        <v>3378.3</v>
      </c>
      <c r="P211" s="7" t="n">
        <v>2266.8</v>
      </c>
      <c r="R211" s="7" t="n">
        <v>1505.4</v>
      </c>
      <c r="T211" s="7" t="n">
        <v>1618.7</v>
      </c>
      <c r="V211" s="7" t="n">
        <v>3053.4</v>
      </c>
      <c r="X211" s="7" t="n">
        <v>899.2</v>
      </c>
      <c r="Z211" s="7" t="n">
        <v>1343.7</v>
      </c>
      <c r="AB211" s="7" t="n">
        <v>22993.3</v>
      </c>
    </row>
    <row r="212">
      <c r="A212" s="4" t="inlineStr">
        <is>
          <t>水费</t>
        </is>
      </c>
      <c r="D212" s="7" t="n">
        <v>36.9</v>
      </c>
      <c r="F212" s="7" t="n">
        <v>32.7</v>
      </c>
      <c r="H212" s="7" t="n">
        <v>59</v>
      </c>
      <c r="J212" s="7" t="n">
        <v>39.7</v>
      </c>
      <c r="L212" s="7" t="n">
        <v>63.8</v>
      </c>
      <c r="N212" s="7" t="n">
        <v>66.3</v>
      </c>
      <c r="P212" s="7" t="n">
        <v>62.2</v>
      </c>
      <c r="R212" s="7" t="n">
        <v>33.9</v>
      </c>
      <c r="T212" s="7" t="n">
        <v>60.3</v>
      </c>
      <c r="V212" s="7" t="n">
        <v>75.3</v>
      </c>
      <c r="X212" s="7" t="n">
        <v>23.1</v>
      </c>
      <c r="Z212" s="7" t="n">
        <v>28.9</v>
      </c>
      <c r="AB212" s="7" t="n">
        <v>582.1</v>
      </c>
    </row>
    <row r="213">
      <c r="A213" s="4" t="inlineStr">
        <is>
          <t>电费</t>
        </is>
      </c>
      <c r="D213" s="7" t="n">
        <v>647.2</v>
      </c>
      <c r="F213" s="7" t="n">
        <v>596.1</v>
      </c>
      <c r="H213" s="7" t="n">
        <v>686.5</v>
      </c>
      <c r="J213" s="7" t="n">
        <v>887</v>
      </c>
      <c r="L213" s="7" t="n">
        <v>1321</v>
      </c>
      <c r="N213" s="7" t="n">
        <v>1839.9</v>
      </c>
      <c r="P213" s="7" t="n">
        <v>973.9</v>
      </c>
      <c r="R213" s="7" t="n">
        <v>837.5</v>
      </c>
      <c r="T213" s="7" t="n">
        <v>836.7</v>
      </c>
      <c r="V213" s="7" t="n">
        <v>1395.1</v>
      </c>
      <c r="X213" s="7" t="n">
        <v>442.6</v>
      </c>
      <c r="Z213" s="7" t="n">
        <v>548.6</v>
      </c>
      <c r="AB213" s="7" t="n">
        <v>11012.1</v>
      </c>
    </row>
    <row r="214">
      <c r="A214" s="4" t="inlineStr">
        <is>
          <t>燃气费</t>
        </is>
      </c>
      <c r="D214" s="7" t="n">
        <v>464.4</v>
      </c>
      <c r="F214" s="7" t="n">
        <v>712.5</v>
      </c>
      <c r="H214" s="7" t="n">
        <v>758.4</v>
      </c>
      <c r="J214" s="7" t="n">
        <v>815.3</v>
      </c>
      <c r="L214" s="7" t="n">
        <v>985.5</v>
      </c>
      <c r="N214" s="7" t="n">
        <v>1158.1</v>
      </c>
      <c r="P214" s="7" t="n">
        <v>1036.3</v>
      </c>
      <c r="R214" s="7" t="n">
        <v>490.3</v>
      </c>
      <c r="T214" s="7" t="n">
        <v>594.1</v>
      </c>
      <c r="V214" s="7" t="n">
        <v>1321.3</v>
      </c>
      <c r="X214" s="7" t="n">
        <v>341.2</v>
      </c>
      <c r="Z214" s="7" t="n">
        <v>591.7</v>
      </c>
      <c r="AB214" s="7" t="n">
        <v>9269.1</v>
      </c>
    </row>
    <row r="215">
      <c r="A215" s="4" t="inlineStr">
        <is>
          <t>蒸汽费</t>
        </is>
      </c>
      <c r="D215" s="7" t="n">
        <v>92.90000000000001</v>
      </c>
      <c r="F215" s="7" t="n">
        <v>140.3</v>
      </c>
      <c r="H215" s="7" t="n">
        <v>203</v>
      </c>
      <c r="J215" s="7" t="n">
        <v>137.6</v>
      </c>
      <c r="L215" s="7" t="n">
        <v>248</v>
      </c>
      <c r="N215" s="7" t="n">
        <v>314</v>
      </c>
      <c r="P215" s="7" t="n">
        <v>194.4</v>
      </c>
      <c r="R215" s="7" t="n">
        <v>143.7</v>
      </c>
      <c r="T215" s="7" t="n">
        <v>127.6</v>
      </c>
      <c r="V215" s="7" t="n">
        <v>261.7</v>
      </c>
      <c r="X215" s="7" t="n">
        <v>92.3</v>
      </c>
      <c r="Z215" s="7" t="n">
        <v>174.5</v>
      </c>
      <c r="AB215" s="7" t="n">
        <v>2130</v>
      </c>
    </row>
    <row r="216">
      <c r="A216" s="4" t="inlineStr">
        <is>
          <t>物业费</t>
        </is>
      </c>
      <c r="D216" s="7" t="n">
        <v>692.2</v>
      </c>
      <c r="F216" s="7" t="n">
        <v>747.5</v>
      </c>
      <c r="H216" s="7" t="n">
        <v>907.3</v>
      </c>
      <c r="J216" s="7" t="n">
        <v>715.3</v>
      </c>
      <c r="L216" s="7" t="n">
        <v>1117.6</v>
      </c>
      <c r="N216" s="7" t="n">
        <v>1360</v>
      </c>
      <c r="P216" s="7" t="n">
        <v>1544.2</v>
      </c>
      <c r="R216" s="7" t="n">
        <v>883.4</v>
      </c>
      <c r="T216" s="7" t="n">
        <v>789.1</v>
      </c>
      <c r="V216" s="7" t="n">
        <v>1344.9</v>
      </c>
      <c r="X216" s="7" t="n">
        <v>457.6</v>
      </c>
      <c r="Z216" s="7" t="n">
        <v>844.8</v>
      </c>
      <c r="AB216" s="7" t="n">
        <v>11403.9</v>
      </c>
    </row>
    <row r="217">
      <c r="A217" s="4" t="inlineStr">
        <is>
          <t>劳动保护费</t>
        </is>
      </c>
      <c r="D217" s="7" t="n">
        <v>433.3</v>
      </c>
      <c r="F217" s="7" t="n">
        <v>517.6</v>
      </c>
      <c r="H217" s="7" t="n">
        <v>872.4</v>
      </c>
      <c r="J217" s="7" t="n">
        <v>743.7</v>
      </c>
      <c r="L217" s="7" t="n">
        <v>1199.8</v>
      </c>
      <c r="N217" s="7" t="n">
        <v>1270</v>
      </c>
      <c r="P217" s="7" t="n">
        <v>1441</v>
      </c>
      <c r="R217" s="7" t="n">
        <v>639.7</v>
      </c>
      <c r="T217" s="7" t="n">
        <v>621.4</v>
      </c>
      <c r="V217" s="7" t="n">
        <v>1292</v>
      </c>
      <c r="X217" s="7" t="n">
        <v>421.8</v>
      </c>
      <c r="Z217" s="7" t="n">
        <v>687.3</v>
      </c>
      <c r="AB217" s="7" t="n">
        <v>10140</v>
      </c>
    </row>
    <row r="218">
      <c r="A218" s="4" t="inlineStr">
        <is>
          <t>顾问费</t>
        </is>
      </c>
      <c r="D218" s="7" t="n">
        <v>68</v>
      </c>
      <c r="F218" s="7" t="n">
        <v>122.6</v>
      </c>
      <c r="H218" s="7" t="n">
        <v>166.4</v>
      </c>
      <c r="J218" s="7" t="n">
        <v>133.3</v>
      </c>
      <c r="L218" s="7" t="n">
        <v>153.2</v>
      </c>
      <c r="N218" s="7" t="n">
        <v>195.7</v>
      </c>
      <c r="P218" s="7" t="n">
        <v>216.8</v>
      </c>
      <c r="R218" s="7" t="n">
        <v>97.5</v>
      </c>
      <c r="T218" s="7" t="n">
        <v>156.7</v>
      </c>
      <c r="V218" s="7" t="n">
        <v>185.2</v>
      </c>
      <c r="X218" s="7" t="n">
        <v>55.9</v>
      </c>
      <c r="Z218" s="7" t="n">
        <v>96.09999999999999</v>
      </c>
      <c r="AB218" s="7" t="n">
        <v>1647.4</v>
      </c>
    </row>
    <row r="219">
      <c r="A219" s="4" t="inlineStr">
        <is>
          <t>快递费</t>
        </is>
      </c>
      <c r="D219" s="7" t="n">
        <v>643.4</v>
      </c>
      <c r="F219" s="7" t="n">
        <v>614.3</v>
      </c>
      <c r="H219" s="7" t="n">
        <v>1011.2</v>
      </c>
      <c r="J219" s="7" t="n">
        <v>856.3</v>
      </c>
      <c r="L219" s="7" t="n">
        <v>889.3</v>
      </c>
      <c r="N219" s="7" t="n">
        <v>1473</v>
      </c>
      <c r="P219" s="7" t="n">
        <v>978.5</v>
      </c>
      <c r="R219" s="7" t="n">
        <v>584.4</v>
      </c>
      <c r="T219" s="7" t="n">
        <v>676.6</v>
      </c>
      <c r="V219" s="7" t="n">
        <v>1259.6</v>
      </c>
      <c r="X219" s="7" t="n">
        <v>400.8</v>
      </c>
      <c r="Z219" s="7" t="n">
        <v>778</v>
      </c>
      <c r="AB219" s="7" t="n">
        <v>10165.4</v>
      </c>
    </row>
    <row r="220">
      <c r="A220" s="4" t="inlineStr">
        <is>
          <t>诉讼费</t>
        </is>
      </c>
      <c r="D220" s="7" t="n">
        <v>620.9</v>
      </c>
      <c r="F220" s="7" t="n">
        <v>607.6</v>
      </c>
      <c r="H220" s="7" t="n">
        <v>937.1</v>
      </c>
      <c r="J220" s="7" t="n">
        <v>668.2</v>
      </c>
      <c r="L220" s="7" t="n">
        <v>774.1</v>
      </c>
      <c r="N220" s="7" t="n">
        <v>1299</v>
      </c>
      <c r="P220" s="7" t="n">
        <v>1004.3</v>
      </c>
      <c r="R220" s="7" t="n">
        <v>659.8</v>
      </c>
      <c r="T220" s="7" t="n">
        <v>808.3</v>
      </c>
      <c r="V220" s="7" t="n">
        <v>1221</v>
      </c>
      <c r="X220" s="7" t="n">
        <v>270.9</v>
      </c>
      <c r="Z220" s="7" t="n">
        <v>794.4</v>
      </c>
      <c r="AB220" s="7" t="n">
        <v>9665.6</v>
      </c>
    </row>
    <row r="221">
      <c r="A221" s="4" t="inlineStr">
        <is>
          <t>会员费</t>
        </is>
      </c>
      <c r="D221" s="7" t="n">
        <v>3.3</v>
      </c>
      <c r="F221" s="7" t="n">
        <v>4</v>
      </c>
      <c r="H221" s="7" t="n">
        <v>8.4</v>
      </c>
      <c r="J221" s="7" t="n">
        <v>6.5</v>
      </c>
      <c r="L221" s="7" t="n">
        <v>5.5</v>
      </c>
      <c r="N221" s="7" t="n">
        <v>9.199999999999999</v>
      </c>
      <c r="P221" s="7" t="n">
        <v>6.7</v>
      </c>
      <c r="R221" s="7" t="n">
        <v>3.7</v>
      </c>
      <c r="T221" s="7" t="n">
        <v>5.4</v>
      </c>
      <c r="V221" s="7" t="n">
        <v>11.3</v>
      </c>
      <c r="X221" s="7" t="n">
        <v>2.9</v>
      </c>
      <c r="Z221" s="7" t="n">
        <v>5</v>
      </c>
      <c r="AB221" s="7" t="n">
        <v>71.90000000000001</v>
      </c>
    </row>
    <row r="222">
      <c r="A222" s="4" t="inlineStr">
        <is>
          <t>广告宣传费</t>
        </is>
      </c>
      <c r="D222" s="7" t="n">
        <v>4227.1</v>
      </c>
      <c r="F222" s="7" t="n">
        <v>4610.6</v>
      </c>
      <c r="H222" s="7" t="n">
        <v>7361.8</v>
      </c>
      <c r="J222" s="7" t="n">
        <v>6934.7</v>
      </c>
      <c r="L222" s="7" t="n">
        <v>7028.1</v>
      </c>
      <c r="N222" s="7" t="n">
        <v>9234.9</v>
      </c>
      <c r="P222" s="7" t="n">
        <v>6336.3</v>
      </c>
      <c r="R222" s="7" t="n">
        <v>4862.2</v>
      </c>
      <c r="T222" s="7" t="n">
        <v>5931</v>
      </c>
      <c r="V222" s="7" t="n">
        <v>6570</v>
      </c>
      <c r="X222" s="7" t="n">
        <v>1699.7</v>
      </c>
      <c r="Z222" s="7" t="n">
        <v>4568.6</v>
      </c>
      <c r="AB222" s="7" t="n">
        <v>69365</v>
      </c>
    </row>
    <row r="223">
      <c r="A223" s="4" t="inlineStr">
        <is>
          <t>会务费</t>
        </is>
      </c>
      <c r="D223" s="7" t="n">
        <v>354.8</v>
      </c>
      <c r="F223" s="7" t="n">
        <v>393.7</v>
      </c>
      <c r="H223" s="7" t="n">
        <v>472.6</v>
      </c>
      <c r="J223" s="7" t="n">
        <v>553.2</v>
      </c>
      <c r="L223" s="7" t="n">
        <v>511.7</v>
      </c>
      <c r="N223" s="7" t="n">
        <v>858.6</v>
      </c>
      <c r="P223" s="7" t="n">
        <v>1129.5</v>
      </c>
      <c r="R223" s="7" t="n">
        <v>585.1</v>
      </c>
      <c r="T223" s="7" t="n">
        <v>515.7</v>
      </c>
      <c r="V223" s="7" t="n">
        <v>796.4</v>
      </c>
      <c r="X223" s="7" t="n">
        <v>279.8</v>
      </c>
      <c r="Z223" s="7" t="n">
        <v>491.2</v>
      </c>
      <c r="AB223" s="7" t="n">
        <v>6942.3</v>
      </c>
    </row>
    <row r="224">
      <c r="A224" s="4" t="inlineStr">
        <is>
          <t>装修费</t>
        </is>
      </c>
      <c r="D224" s="7" t="n">
        <v>447.8</v>
      </c>
      <c r="F224" s="7" t="n">
        <v>529.1</v>
      </c>
      <c r="H224" s="7" t="n">
        <v>814.6</v>
      </c>
      <c r="J224" s="7" t="n">
        <v>1122.4</v>
      </c>
      <c r="L224" s="7" t="n">
        <v>1304.2</v>
      </c>
      <c r="N224" s="7" t="n">
        <v>1403.3</v>
      </c>
      <c r="P224" s="7" t="n">
        <v>1588.7</v>
      </c>
      <c r="R224" s="7" t="n">
        <v>619.8</v>
      </c>
      <c r="T224" s="7" t="n">
        <v>859.6</v>
      </c>
      <c r="V224" s="7" t="n">
        <v>991.6</v>
      </c>
      <c r="X224" s="7" t="n">
        <v>478.2</v>
      </c>
      <c r="Z224" s="7" t="n">
        <v>725.6</v>
      </c>
      <c r="AB224" s="7" t="n">
        <v>10884.9</v>
      </c>
    </row>
    <row r="225">
      <c r="A225" s="4" t="inlineStr">
        <is>
          <t>推广费</t>
        </is>
      </c>
      <c r="D225" s="7" t="n">
        <v>202.1</v>
      </c>
      <c r="F225" s="7" t="n">
        <v>189.9</v>
      </c>
      <c r="H225" s="7" t="n">
        <v>246.4</v>
      </c>
      <c r="J225" s="7" t="n">
        <v>291</v>
      </c>
      <c r="L225" s="7" t="n">
        <v>469.2</v>
      </c>
      <c r="N225" s="7" t="n">
        <v>646.5</v>
      </c>
      <c r="P225" s="7" t="n">
        <v>561.2</v>
      </c>
      <c r="R225" s="7" t="n">
        <v>310.9</v>
      </c>
      <c r="T225" s="7" t="n">
        <v>340.1</v>
      </c>
      <c r="V225" s="7" t="n">
        <v>449.5</v>
      </c>
      <c r="X225" s="7" t="n">
        <v>150.4</v>
      </c>
      <c r="Z225" s="7" t="n">
        <v>314.9</v>
      </c>
      <c r="AB225" s="7" t="n">
        <v>4172.1</v>
      </c>
    </row>
    <row r="226">
      <c r="A226" s="4" t="inlineStr">
        <is>
          <t>展会费</t>
        </is>
      </c>
      <c r="D226" s="7" t="n">
        <v>536.5</v>
      </c>
      <c r="F226" s="7" t="n">
        <v>619</v>
      </c>
      <c r="H226" s="7" t="n">
        <v>912.9</v>
      </c>
      <c r="J226" s="7" t="n">
        <v>698.4</v>
      </c>
      <c r="L226" s="7" t="n">
        <v>779.2</v>
      </c>
      <c r="N226" s="7" t="n">
        <v>1241.5</v>
      </c>
      <c r="P226" s="7" t="n">
        <v>680.6</v>
      </c>
      <c r="R226" s="7" t="n">
        <v>421.1</v>
      </c>
      <c r="T226" s="7" t="n">
        <v>457.3</v>
      </c>
      <c r="V226" s="7" t="n">
        <v>1002.3</v>
      </c>
      <c r="X226" s="7" t="n">
        <v>376.7</v>
      </c>
      <c r="Z226" s="7" t="n">
        <v>587</v>
      </c>
      <c r="AB226" s="7" t="n">
        <v>8312.5</v>
      </c>
    </row>
    <row r="227">
      <c r="A227" s="4" t="inlineStr">
        <is>
          <t>设计费</t>
        </is>
      </c>
      <c r="D227" s="7" t="n">
        <v>167.7</v>
      </c>
      <c r="F227" s="7" t="n">
        <v>278.7</v>
      </c>
      <c r="H227" s="7" t="n">
        <v>294.8</v>
      </c>
      <c r="J227" s="7" t="n">
        <v>206.4</v>
      </c>
      <c r="L227" s="7" t="n">
        <v>390.7</v>
      </c>
      <c r="N227" s="7" t="n">
        <v>409</v>
      </c>
      <c r="P227" s="7" t="n">
        <v>293.2</v>
      </c>
      <c r="R227" s="7" t="n">
        <v>246.6</v>
      </c>
      <c r="T227" s="7" t="n">
        <v>300.7</v>
      </c>
      <c r="V227" s="7" t="n">
        <v>282.5</v>
      </c>
      <c r="X227" s="7" t="n">
        <v>149.3</v>
      </c>
      <c r="Z227" s="7" t="n">
        <v>213.6</v>
      </c>
      <c r="AB227" s="7" t="n">
        <v>3233.2</v>
      </c>
    </row>
    <row r="228">
      <c r="A228" s="4" t="inlineStr">
        <is>
          <t>折旧费</t>
        </is>
      </c>
      <c r="D228" s="7" t="n">
        <v>4561.7</v>
      </c>
      <c r="F228" s="7" t="n">
        <v>7181.8</v>
      </c>
      <c r="H228" s="7" t="n">
        <v>6671.5</v>
      </c>
      <c r="J228" s="7" t="n">
        <v>9836.799999999999</v>
      </c>
      <c r="L228" s="7" t="n">
        <v>9592.799999999999</v>
      </c>
      <c r="N228" s="7" t="n">
        <v>15924.7</v>
      </c>
      <c r="P228" s="7" t="n">
        <v>10283.9</v>
      </c>
      <c r="R228" s="7" t="n">
        <v>4857.5</v>
      </c>
      <c r="T228" s="7" t="n">
        <v>7633.1</v>
      </c>
      <c r="V228" s="7" t="n">
        <v>12298.2</v>
      </c>
      <c r="X228" s="7" t="n">
        <v>2593.2</v>
      </c>
      <c r="Z228" s="7" t="n">
        <v>4723.1</v>
      </c>
      <c r="AB228" s="7" t="n">
        <v>96158.3</v>
      </c>
    </row>
    <row r="229">
      <c r="A229" s="4" t="inlineStr">
        <is>
          <t>认证费</t>
        </is>
      </c>
      <c r="D229" s="7" t="n">
        <v>219.3</v>
      </c>
      <c r="F229" s="7" t="n">
        <v>188.7</v>
      </c>
      <c r="H229" s="7" t="n">
        <v>242.2</v>
      </c>
      <c r="J229" s="7" t="n">
        <v>397.5</v>
      </c>
      <c r="L229" s="7" t="n">
        <v>391.1</v>
      </c>
      <c r="N229" s="7" t="n">
        <v>574.5</v>
      </c>
      <c r="P229" s="7" t="n">
        <v>450</v>
      </c>
      <c r="R229" s="7" t="n">
        <v>281</v>
      </c>
      <c r="T229" s="7" t="n">
        <v>280.6</v>
      </c>
      <c r="V229" s="7" t="n">
        <v>298.4</v>
      </c>
      <c r="X229" s="7" t="n">
        <v>127.4</v>
      </c>
      <c r="Z229" s="7" t="n">
        <v>252.3</v>
      </c>
      <c r="AB229" s="7" t="n">
        <v>3703</v>
      </c>
    </row>
    <row r="230">
      <c r="A230" s="4" t="inlineStr">
        <is>
          <t>样品费</t>
        </is>
      </c>
      <c r="D230" s="7" t="n">
        <v>2489.1</v>
      </c>
      <c r="F230" s="7" t="n">
        <v>3749.5</v>
      </c>
      <c r="H230" s="7" t="n">
        <v>4794.6</v>
      </c>
      <c r="J230" s="7" t="n">
        <v>4736.1</v>
      </c>
      <c r="L230" s="7" t="n">
        <v>4297.8</v>
      </c>
      <c r="N230" s="7" t="n">
        <v>8247.9</v>
      </c>
      <c r="P230" s="7" t="n">
        <v>6429.2</v>
      </c>
      <c r="R230" s="7" t="n">
        <v>2572</v>
      </c>
      <c r="T230" s="7" t="n">
        <v>2786.6</v>
      </c>
      <c r="V230" s="7" t="n">
        <v>5256.4</v>
      </c>
      <c r="X230" s="7" t="n">
        <v>1152.5</v>
      </c>
      <c r="Z230" s="7" t="n">
        <v>3390.2</v>
      </c>
      <c r="AB230" s="7" t="n">
        <v>49901.9</v>
      </c>
    </row>
    <row r="231">
      <c r="A231" s="4" t="inlineStr">
        <is>
          <t>劳务费</t>
        </is>
      </c>
      <c r="D231" s="7" t="n">
        <v>401.7</v>
      </c>
      <c r="F231" s="7" t="n">
        <v>456.1</v>
      </c>
      <c r="H231" s="7" t="n">
        <v>568.5</v>
      </c>
      <c r="J231" s="7" t="n">
        <v>676.2</v>
      </c>
      <c r="L231" s="7" t="n">
        <v>545.5</v>
      </c>
      <c r="N231" s="7" t="n">
        <v>1288.7</v>
      </c>
      <c r="P231" s="7" t="n">
        <v>902.8</v>
      </c>
      <c r="R231" s="7" t="n">
        <v>453.5</v>
      </c>
      <c r="T231" s="7" t="n">
        <v>584</v>
      </c>
      <c r="V231" s="7" t="n">
        <v>557.3</v>
      </c>
      <c r="X231" s="7" t="n">
        <v>203.9</v>
      </c>
      <c r="Z231" s="7" t="n">
        <v>472.6</v>
      </c>
      <c r="AB231" s="7" t="n">
        <v>7110.8</v>
      </c>
    </row>
    <row r="232">
      <c r="A232" s="4" t="inlineStr">
        <is>
          <t>销售佣金</t>
        </is>
      </c>
      <c r="D232" s="7" t="n">
        <v>284.9</v>
      </c>
      <c r="F232" s="7" t="n">
        <v>265.2</v>
      </c>
      <c r="H232" s="7" t="n">
        <v>425.2</v>
      </c>
      <c r="J232" s="7" t="n">
        <v>348.5</v>
      </c>
      <c r="L232" s="7" t="n">
        <v>453.2</v>
      </c>
      <c r="N232" s="7" t="n">
        <v>728.1</v>
      </c>
      <c r="P232" s="7" t="n">
        <v>504.8</v>
      </c>
      <c r="R232" s="7" t="n">
        <v>315.9</v>
      </c>
      <c r="T232" s="7" t="n">
        <v>294.9</v>
      </c>
      <c r="V232" s="7" t="n">
        <v>600.8</v>
      </c>
      <c r="X232" s="7" t="n">
        <v>155</v>
      </c>
      <c r="Z232" s="7" t="n">
        <v>371.9</v>
      </c>
      <c r="AB232" s="7" t="n">
        <v>4748.4</v>
      </c>
    </row>
    <row r="233">
      <c r="A233" s="4" t="inlineStr">
        <is>
          <t>检测费</t>
        </is>
      </c>
      <c r="D233" s="7" t="n">
        <v>185.2</v>
      </c>
      <c r="F233" s="7" t="n">
        <v>207.3</v>
      </c>
      <c r="H233" s="7" t="n">
        <v>371.2</v>
      </c>
      <c r="J233" s="7" t="n">
        <v>297.6</v>
      </c>
      <c r="L233" s="7" t="n">
        <v>301.1</v>
      </c>
      <c r="N233" s="7" t="n">
        <v>505</v>
      </c>
      <c r="P233" s="7" t="n">
        <v>396.9</v>
      </c>
      <c r="R233" s="7" t="n">
        <v>260.6</v>
      </c>
      <c r="T233" s="7" t="n">
        <v>284.7</v>
      </c>
      <c r="V233" s="7" t="n">
        <v>362.8</v>
      </c>
      <c r="X233" s="7" t="n">
        <v>184</v>
      </c>
      <c r="Z233" s="7" t="n">
        <v>208.1</v>
      </c>
      <c r="AB233" s="7" t="n">
        <v>3564.5</v>
      </c>
    </row>
    <row r="234">
      <c r="A234" s="4" t="inlineStr">
        <is>
          <t>质量赔偿</t>
        </is>
      </c>
      <c r="D234" s="7" t="n">
        <v>532.4</v>
      </c>
      <c r="F234" s="7" t="n">
        <v>766.9</v>
      </c>
      <c r="H234" s="7" t="n">
        <v>1327</v>
      </c>
      <c r="J234" s="7" t="n">
        <v>1239.1</v>
      </c>
      <c r="L234" s="7" t="n">
        <v>1153.2</v>
      </c>
      <c r="N234" s="7" t="n">
        <v>1911.5</v>
      </c>
      <c r="P234" s="7" t="n">
        <v>1591.7</v>
      </c>
      <c r="R234" s="7" t="n">
        <v>688.7</v>
      </c>
      <c r="T234" s="7" t="n">
        <v>916.3</v>
      </c>
      <c r="V234" s="7" t="n">
        <v>1381.5</v>
      </c>
      <c r="X234" s="7" t="n">
        <v>390.3</v>
      </c>
      <c r="Z234" s="7" t="n">
        <v>846</v>
      </c>
      <c r="AB234" s="7" t="n">
        <v>12744.6</v>
      </c>
    </row>
    <row r="235">
      <c r="A235" s="4" t="inlineStr">
        <is>
          <t>保险费</t>
        </is>
      </c>
      <c r="D235" s="7" t="n">
        <v>58.5</v>
      </c>
      <c r="F235" s="7" t="n">
        <v>56.4</v>
      </c>
      <c r="H235" s="7" t="n">
        <v>82.2</v>
      </c>
      <c r="J235" s="7" t="n">
        <v>74</v>
      </c>
      <c r="L235" s="7" t="n">
        <v>76.59999999999999</v>
      </c>
      <c r="N235" s="7" t="n">
        <v>115.3</v>
      </c>
      <c r="P235" s="7" t="n">
        <v>104.9</v>
      </c>
      <c r="R235" s="7" t="n">
        <v>73.40000000000001</v>
      </c>
      <c r="T235" s="7" t="n">
        <v>56.3</v>
      </c>
      <c r="V235" s="7" t="n">
        <v>70.40000000000001</v>
      </c>
      <c r="X235" s="7" t="n">
        <v>23.9</v>
      </c>
      <c r="Z235" s="7" t="n">
        <v>69</v>
      </c>
      <c r="AB235" s="7" t="n">
        <v>860.9</v>
      </c>
    </row>
    <row r="236">
      <c r="A236" s="4" t="inlineStr">
        <is>
          <t>清洁费</t>
        </is>
      </c>
      <c r="D236" s="7" t="n">
        <v>647</v>
      </c>
      <c r="F236" s="7" t="n">
        <v>958.7</v>
      </c>
      <c r="H236" s="7" t="n">
        <v>1332.2</v>
      </c>
      <c r="J236" s="7" t="n">
        <v>985.5</v>
      </c>
      <c r="L236" s="7" t="n">
        <v>1594.2</v>
      </c>
      <c r="N236" s="7" t="n">
        <v>1842.6</v>
      </c>
      <c r="P236" s="7" t="n">
        <v>1793.5</v>
      </c>
      <c r="R236" s="7" t="n">
        <v>928.5</v>
      </c>
      <c r="T236" s="7" t="n">
        <v>1205.9</v>
      </c>
      <c r="V236" s="7" t="n">
        <v>1957.8</v>
      </c>
      <c r="X236" s="7" t="n">
        <v>461.4</v>
      </c>
      <c r="Z236" s="7" t="n">
        <v>791.3</v>
      </c>
      <c r="AB236" s="7" t="n">
        <v>14498.6</v>
      </c>
    </row>
    <row r="237">
      <c r="A237" s="4" t="inlineStr">
        <is>
          <t>低值易耗品</t>
        </is>
      </c>
      <c r="D237" s="7" t="n">
        <v>407.6</v>
      </c>
      <c r="F237" s="7" t="n">
        <v>481.5</v>
      </c>
      <c r="H237" s="7" t="n">
        <v>950.1</v>
      </c>
      <c r="J237" s="7" t="n">
        <v>724.8</v>
      </c>
      <c r="L237" s="7" t="n">
        <v>965.6</v>
      </c>
      <c r="N237" s="7" t="n">
        <v>1380.5</v>
      </c>
      <c r="P237" s="7" t="n">
        <v>1288.7</v>
      </c>
      <c r="R237" s="7" t="n">
        <v>455.8</v>
      </c>
      <c r="T237" s="7" t="n">
        <v>552.2</v>
      </c>
      <c r="V237" s="7" t="n">
        <v>871.1</v>
      </c>
      <c r="X237" s="7" t="n">
        <v>290.1</v>
      </c>
      <c r="Z237" s="7" t="n">
        <v>520.8</v>
      </c>
      <c r="AB237" s="7" t="n">
        <v>8888.799999999999</v>
      </c>
    </row>
    <row r="238">
      <c r="A238" s="4" t="inlineStr">
        <is>
          <t>物料消耗</t>
        </is>
      </c>
      <c r="D238" s="7" t="n">
        <v>238.3</v>
      </c>
      <c r="F238" s="7" t="n">
        <v>219.7</v>
      </c>
      <c r="H238" s="7" t="n">
        <v>328.4</v>
      </c>
      <c r="J238" s="7" t="n">
        <v>414.1</v>
      </c>
      <c r="L238" s="7" t="n">
        <v>347.9</v>
      </c>
      <c r="N238" s="7" t="n">
        <v>589.7</v>
      </c>
      <c r="P238" s="7" t="n">
        <v>577.2</v>
      </c>
      <c r="R238" s="7" t="n">
        <v>246.4</v>
      </c>
      <c r="T238" s="7" t="n">
        <v>237.6</v>
      </c>
      <c r="V238" s="7" t="n">
        <v>314.6</v>
      </c>
      <c r="X238" s="7" t="n">
        <v>156.8</v>
      </c>
      <c r="Z238" s="7" t="n">
        <v>276.6</v>
      </c>
      <c r="AB238" s="7" t="n">
        <v>3947.3</v>
      </c>
    </row>
    <row r="239">
      <c r="A239" s="4" t="inlineStr">
        <is>
          <t>盘盈盘亏</t>
        </is>
      </c>
      <c r="D239" s="7" t="n">
        <v>863.9</v>
      </c>
      <c r="F239" s="7" t="n">
        <v>669.8</v>
      </c>
      <c r="H239" s="7" t="n">
        <v>955.4</v>
      </c>
      <c r="J239" s="7" t="n">
        <v>910.9</v>
      </c>
      <c r="L239" s="7" t="n">
        <v>983.8</v>
      </c>
      <c r="N239" s="7" t="n">
        <v>2418.2</v>
      </c>
      <c r="P239" s="7" t="n">
        <v>1632.5</v>
      </c>
      <c r="R239" s="7" t="n">
        <v>653.9</v>
      </c>
      <c r="T239" s="7" t="n">
        <v>967.4</v>
      </c>
      <c r="V239" s="7" t="n">
        <v>1795.8</v>
      </c>
      <c r="X239" s="7" t="n">
        <v>363.8</v>
      </c>
      <c r="Z239" s="7" t="n">
        <v>759.9</v>
      </c>
      <c r="AB239" s="7" t="n">
        <v>12975.3</v>
      </c>
    </row>
    <row r="240">
      <c r="A240" s="4" t="inlineStr">
        <is>
          <t>平台服务费</t>
        </is>
      </c>
      <c r="D240" s="7" t="n">
        <v>139.1</v>
      </c>
      <c r="F240" s="7" t="n">
        <v>182</v>
      </c>
      <c r="H240" s="7" t="n">
        <v>174.6</v>
      </c>
      <c r="J240" s="7" t="n">
        <v>167.5</v>
      </c>
      <c r="L240" s="7" t="n">
        <v>191.5</v>
      </c>
      <c r="N240" s="7" t="n">
        <v>350</v>
      </c>
      <c r="P240" s="7" t="n">
        <v>204</v>
      </c>
      <c r="R240" s="7" t="n">
        <v>181.5</v>
      </c>
      <c r="T240" s="7" t="n">
        <v>122.1</v>
      </c>
      <c r="V240" s="7" t="n">
        <v>280.9</v>
      </c>
      <c r="X240" s="7" t="n">
        <v>97.40000000000001</v>
      </c>
      <c r="Z240" s="7" t="n">
        <v>131</v>
      </c>
      <c r="AB240" s="7" t="n">
        <v>2221.6</v>
      </c>
    </row>
    <row r="241">
      <c r="A241" s="4" t="inlineStr">
        <is>
          <t>无形资产摊销</t>
        </is>
      </c>
      <c r="D241" s="7" t="n">
        <v>501.6</v>
      </c>
      <c r="F241" s="7" t="n">
        <v>464.4</v>
      </c>
      <c r="H241" s="7" t="n">
        <v>522</v>
      </c>
      <c r="J241" s="7" t="n">
        <v>585.4</v>
      </c>
      <c r="L241" s="7" t="n">
        <v>864.7</v>
      </c>
      <c r="N241" s="7" t="n">
        <v>1116</v>
      </c>
      <c r="P241" s="7" t="n">
        <v>647.6</v>
      </c>
      <c r="R241" s="7" t="n">
        <v>489.6</v>
      </c>
      <c r="T241" s="7" t="n">
        <v>563.1</v>
      </c>
      <c r="V241" s="7" t="n">
        <v>848.5</v>
      </c>
      <c r="X241" s="7" t="n">
        <v>255.1</v>
      </c>
      <c r="Z241" s="7" t="n">
        <v>455</v>
      </c>
      <c r="AB241" s="7" t="n">
        <v>7313</v>
      </c>
    </row>
    <row r="242">
      <c r="A242" s="4" t="inlineStr">
        <is>
          <t>研发材料</t>
        </is>
      </c>
      <c r="D242" s="7" t="n">
        <v>464.4</v>
      </c>
      <c r="F242" s="7" t="n">
        <v>553.1</v>
      </c>
      <c r="H242" s="7" t="n">
        <v>831.3</v>
      </c>
      <c r="J242" s="7" t="n">
        <v>961.8</v>
      </c>
      <c r="L242" s="7" t="n">
        <v>874.5</v>
      </c>
      <c r="N242" s="7" t="n">
        <v>1232.1</v>
      </c>
      <c r="P242" s="7" t="n">
        <v>923.3</v>
      </c>
      <c r="R242" s="7" t="n">
        <v>548</v>
      </c>
      <c r="T242" s="7" t="n">
        <v>490.9</v>
      </c>
      <c r="V242" s="7" t="n">
        <v>1253.1</v>
      </c>
      <c r="X242" s="7" t="n">
        <v>398.8</v>
      </c>
      <c r="Z242" s="7" t="n">
        <v>546.2</v>
      </c>
      <c r="AB242" s="7" t="n">
        <v>9077.5</v>
      </c>
    </row>
    <row r="243">
      <c r="A243" s="4" t="inlineStr">
        <is>
          <t>项目名称</t>
        </is>
      </c>
      <c r="D243" s="7" t="n">
        <v>271.2</v>
      </c>
      <c r="F243" s="7" t="n">
        <v>559.9</v>
      </c>
      <c r="H243" s="7" t="n">
        <v>755.4</v>
      </c>
      <c r="J243" s="7" t="n">
        <v>588.4</v>
      </c>
      <c r="L243" s="7" t="n">
        <v>469</v>
      </c>
      <c r="N243" s="7" t="n">
        <v>942.1</v>
      </c>
      <c r="P243" s="7" t="n">
        <v>693.1</v>
      </c>
      <c r="R243" s="7" t="n">
        <v>382.3</v>
      </c>
      <c r="T243" s="7" t="n">
        <v>362.3</v>
      </c>
      <c r="V243" s="7" t="n">
        <v>714.5</v>
      </c>
      <c r="X243" s="7" t="n">
        <v>229.2</v>
      </c>
      <c r="Z243" s="7" t="n">
        <v>458.2</v>
      </c>
      <c r="AB243" s="7" t="n">
        <v>6425.6</v>
      </c>
    </row>
    <row r="244">
      <c r="A244" s="4" t="inlineStr">
        <is>
          <t>研发费</t>
        </is>
      </c>
      <c r="D244" s="7" t="n">
        <v>258.3</v>
      </c>
      <c r="F244" s="7" t="n">
        <v>429.3</v>
      </c>
      <c r="H244" s="7" t="n">
        <v>468</v>
      </c>
      <c r="J244" s="7" t="n">
        <v>465.3</v>
      </c>
      <c r="L244" s="7" t="n">
        <v>479.8</v>
      </c>
      <c r="N244" s="7" t="n">
        <v>788.5</v>
      </c>
      <c r="P244" s="7" t="n">
        <v>561.8</v>
      </c>
      <c r="R244" s="7" t="n">
        <v>444.3</v>
      </c>
      <c r="T244" s="7" t="n">
        <v>539.3</v>
      </c>
      <c r="V244" s="7" t="n">
        <v>770.4</v>
      </c>
      <c r="X244" s="7" t="n">
        <v>226.2</v>
      </c>
      <c r="Z244" s="7" t="n">
        <v>323.9</v>
      </c>
      <c r="AB244" s="7" t="n">
        <v>5755.1</v>
      </c>
    </row>
    <row r="245">
      <c r="A245" s="4" t="inlineStr">
        <is>
          <t>残保金</t>
        </is>
      </c>
      <c r="D245" s="7" t="n">
        <v>722</v>
      </c>
      <c r="F245" s="7" t="n">
        <v>670.4</v>
      </c>
      <c r="H245" s="7" t="n">
        <v>1143.3</v>
      </c>
      <c r="J245" s="7" t="n">
        <v>764.6</v>
      </c>
      <c r="L245" s="7" t="n">
        <v>919.8</v>
      </c>
      <c r="N245" s="7" t="n">
        <v>1684.5</v>
      </c>
      <c r="P245" s="7" t="n">
        <v>1341.8</v>
      </c>
      <c r="R245" s="7" t="n">
        <v>623</v>
      </c>
      <c r="T245" s="7" t="n">
        <v>874.6</v>
      </c>
      <c r="V245" s="7" t="n">
        <v>994.8</v>
      </c>
      <c r="X245" s="7" t="n">
        <v>272.7</v>
      </c>
      <c r="Z245" s="7" t="n">
        <v>510.9</v>
      </c>
      <c r="AB245" s="7" t="n">
        <v>10522.4</v>
      </c>
    </row>
    <row r="246">
      <c r="A246" s="4" t="inlineStr">
        <is>
          <t>环保费</t>
        </is>
      </c>
      <c r="D246" s="7" t="n">
        <v>356</v>
      </c>
      <c r="F246" s="7" t="n">
        <v>387.8</v>
      </c>
      <c r="H246" s="7" t="n">
        <v>585.1</v>
      </c>
      <c r="J246" s="7" t="n">
        <v>768</v>
      </c>
      <c r="L246" s="7" t="n">
        <v>861.3</v>
      </c>
      <c r="N246" s="7" t="n">
        <v>941.2</v>
      </c>
      <c r="P246" s="7" t="n">
        <v>713.3</v>
      </c>
      <c r="R246" s="7" t="n">
        <v>517.6</v>
      </c>
      <c r="T246" s="7" t="n">
        <v>530.9</v>
      </c>
      <c r="V246" s="7" t="n">
        <v>781.8</v>
      </c>
      <c r="X246" s="7" t="n">
        <v>325.6</v>
      </c>
      <c r="Z246" s="7" t="n">
        <v>654.7</v>
      </c>
      <c r="AB246" s="7" t="n">
        <v>7423.3</v>
      </c>
    </row>
    <row r="247">
      <c r="A247" s="4" t="inlineStr">
        <is>
          <t>报废损失</t>
        </is>
      </c>
      <c r="D247" s="7" t="n">
        <v>446.6</v>
      </c>
      <c r="F247" s="7" t="n">
        <v>396.5</v>
      </c>
      <c r="H247" s="7" t="n">
        <v>710</v>
      </c>
      <c r="J247" s="7" t="n">
        <v>749.3</v>
      </c>
      <c r="L247" s="7" t="n">
        <v>482</v>
      </c>
      <c r="N247" s="7" t="n">
        <v>1132.2</v>
      </c>
      <c r="P247" s="7" t="n">
        <v>581</v>
      </c>
      <c r="R247" s="7" t="n">
        <v>442.3</v>
      </c>
      <c r="T247" s="7" t="n">
        <v>414.5</v>
      </c>
      <c r="V247" s="7" t="n">
        <v>920.5</v>
      </c>
      <c r="X247" s="7" t="n">
        <v>284.7</v>
      </c>
      <c r="Z247" s="7" t="n">
        <v>523</v>
      </c>
      <c r="AB247" s="7" t="n">
        <v>7082.6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8638.200000000001</v>
      </c>
      <c r="D248" s="7" t="n">
        <v>-1951</v>
      </c>
      <c r="E248" s="7" t="n">
        <v>7730.5</v>
      </c>
      <c r="F248" s="7" t="n">
        <v>14203.6</v>
      </c>
      <c r="G248" s="7" t="n">
        <v>7757.4</v>
      </c>
      <c r="H248" s="7" t="n">
        <v>1224.1</v>
      </c>
      <c r="I248" s="7" t="n">
        <v>8509.700000000001</v>
      </c>
      <c r="J248" s="7" t="n">
        <v>14280.6</v>
      </c>
      <c r="K248" s="7" t="n">
        <v>7067.1</v>
      </c>
      <c r="L248" s="7" t="n">
        <v>6074</v>
      </c>
      <c r="M248" s="7" t="n">
        <v>9267.299999999999</v>
      </c>
      <c r="N248" s="7" t="n">
        <v>13440.5</v>
      </c>
      <c r="O248" s="7" t="n">
        <v>8243.700000000001</v>
      </c>
      <c r="P248" s="7" t="n">
        <v>-4162.2</v>
      </c>
      <c r="Q248" s="7" t="n">
        <v>7586</v>
      </c>
      <c r="R248" s="7" t="n">
        <v>6520.9</v>
      </c>
      <c r="S248" s="7" t="n">
        <v>8532.700000000001</v>
      </c>
      <c r="T248" s="7" t="n">
        <v>14274.9</v>
      </c>
      <c r="U248" s="7" t="n">
        <v>7451.8</v>
      </c>
      <c r="V248" s="7" t="n">
        <v>8028.5</v>
      </c>
      <c r="W248" s="7" t="n">
        <v>9144.700000000001</v>
      </c>
      <c r="X248" s="7" t="n">
        <v>19552.9</v>
      </c>
      <c r="Y248" s="7" t="n">
        <v>9086</v>
      </c>
      <c r="Z248" s="7" t="n">
        <v>6820.6</v>
      </c>
      <c r="AA248" s="8" t="n">
        <v>99015.10000000001</v>
      </c>
      <c r="AB248" s="8" t="n">
        <v>98307.39999999999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-2822.1</v>
      </c>
      <c r="E250" s="7" t="n">
        <v>0</v>
      </c>
      <c r="F250" s="7" t="n">
        <v>-3870.7</v>
      </c>
      <c r="G250" s="7" t="n">
        <v>0</v>
      </c>
      <c r="H250" s="7" t="n">
        <v>1329.1</v>
      </c>
      <c r="I250" s="7" t="n">
        <v>0</v>
      </c>
      <c r="J250" s="7" t="n">
        <v>-1754.9</v>
      </c>
      <c r="K250" s="7" t="n">
        <v>0</v>
      </c>
      <c r="L250" s="7" t="n">
        <v>-3326.4</v>
      </c>
      <c r="M250" s="7" t="n">
        <v>0</v>
      </c>
      <c r="N250" s="7" t="n">
        <v>-2239</v>
      </c>
      <c r="O250" s="7" t="n">
        <v>0</v>
      </c>
      <c r="P250" s="7" t="n">
        <v>-3803.5</v>
      </c>
      <c r="Q250" s="7" t="n">
        <v>0</v>
      </c>
      <c r="R250" s="7" t="n">
        <v>2891.4</v>
      </c>
      <c r="S250" s="7" t="n">
        <v>0</v>
      </c>
      <c r="T250" s="7" t="n">
        <v>-4910.7</v>
      </c>
      <c r="U250" s="7" t="n">
        <v>0</v>
      </c>
      <c r="V250" s="7" t="n">
        <v>-4580.1</v>
      </c>
      <c r="W250" s="7" t="n">
        <v>0</v>
      </c>
      <c r="X250" s="7" t="n">
        <v>2834.8</v>
      </c>
      <c r="Y250" s="7" t="n">
        <v>0</v>
      </c>
      <c r="Z250" s="7" t="n">
        <v>-247.3</v>
      </c>
      <c r="AA250" s="7" t="n">
        <v>0</v>
      </c>
      <c r="AB250" s="7" t="n">
        <v>-20499.4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15994.8</v>
      </c>
      <c r="D255" s="7" t="n">
        <v>17886.4</v>
      </c>
      <c r="E255" s="7" t="n">
        <v>13057.6</v>
      </c>
      <c r="F255" s="7" t="n">
        <v>11142</v>
      </c>
      <c r="G255" s="7" t="n">
        <v>13529.1</v>
      </c>
      <c r="H255" s="7" t="n">
        <v>2684.4</v>
      </c>
      <c r="I255" s="7" t="n">
        <v>16834.1</v>
      </c>
      <c r="J255" s="7" t="n">
        <v>4731</v>
      </c>
      <c r="K255" s="7" t="n">
        <v>15982</v>
      </c>
      <c r="L255" s="7" t="n">
        <v>2742</v>
      </c>
      <c r="M255" s="7" t="n">
        <v>15841.4</v>
      </c>
      <c r="N255" s="7" t="n">
        <v>18559.3</v>
      </c>
      <c r="O255" s="7" t="n">
        <v>16056.8</v>
      </c>
      <c r="P255" s="7" t="n">
        <v>27925.5</v>
      </c>
      <c r="Q255" s="7" t="n">
        <v>14438.3</v>
      </c>
      <c r="R255" s="7" t="n">
        <v>29909.2</v>
      </c>
      <c r="S255" s="7" t="n">
        <v>13353.9</v>
      </c>
      <c r="T255" s="7" t="n">
        <v>18754</v>
      </c>
      <c r="U255" s="7" t="n">
        <v>15543.8</v>
      </c>
      <c r="V255" s="7" t="n">
        <v>1793.3</v>
      </c>
      <c r="W255" s="7" t="n">
        <v>14082.8</v>
      </c>
      <c r="X255" s="7" t="n">
        <v>19337.2</v>
      </c>
      <c r="Y255" s="7" t="n">
        <v>13096.9</v>
      </c>
      <c r="Z255" s="7" t="n">
        <v>21039.8</v>
      </c>
      <c r="AA255" s="7" t="n">
        <v>177811.5</v>
      </c>
      <c r="AB255" s="7" t="n">
        <v>176504.1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708776.3</v>
      </c>
      <c r="D256" s="7" t="n">
        <v>556387.9</v>
      </c>
      <c r="E256" s="7" t="n">
        <v>607174.3</v>
      </c>
      <c r="F256" s="7" t="n">
        <v>498957.1</v>
      </c>
      <c r="G256" s="7" t="n">
        <v>625197.6</v>
      </c>
      <c r="H256" s="7" t="n">
        <v>615573.8</v>
      </c>
      <c r="I256" s="7" t="n">
        <v>654622.5</v>
      </c>
      <c r="J256" s="7" t="n">
        <v>643828.8</v>
      </c>
      <c r="K256" s="7" t="n">
        <v>647860.1</v>
      </c>
      <c r="L256" s="7" t="n">
        <v>999833.1</v>
      </c>
      <c r="M256" s="7" t="n">
        <v>669568.6</v>
      </c>
      <c r="N256" s="7" t="n">
        <v>629630.6</v>
      </c>
      <c r="O256" s="7" t="n">
        <v>592915.1</v>
      </c>
      <c r="P256" s="7" t="n">
        <v>665876.8</v>
      </c>
      <c r="Q256" s="7" t="n">
        <v>726246.6</v>
      </c>
      <c r="R256" s="7" t="n">
        <v>675926.1</v>
      </c>
      <c r="S256" s="7" t="n">
        <v>672064.6</v>
      </c>
      <c r="T256" s="7" t="n">
        <v>864131.7</v>
      </c>
      <c r="U256" s="7" t="n">
        <v>631580.4</v>
      </c>
      <c r="V256" s="7" t="n">
        <v>711159.8</v>
      </c>
      <c r="W256" s="7" t="n">
        <v>596680.9</v>
      </c>
      <c r="X256" s="7" t="n">
        <v>828051.5</v>
      </c>
      <c r="Y256" s="7" t="n">
        <v>772022.7</v>
      </c>
      <c r="Z256" s="7" t="n">
        <v>679083.5</v>
      </c>
      <c r="AA256" s="8" t="n">
        <v>7904709.7</v>
      </c>
      <c r="AB256" s="8" t="n">
        <v>8368440.7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3880.1</v>
      </c>
      <c r="E257" s="7" t="n">
        <v>0</v>
      </c>
      <c r="F257" s="7" t="n">
        <v>1193.9</v>
      </c>
      <c r="G257" s="7" t="n">
        <v>0</v>
      </c>
      <c r="H257" s="7" t="n">
        <v>3605</v>
      </c>
      <c r="I257" s="7" t="n">
        <v>0</v>
      </c>
      <c r="J257" s="7" t="n">
        <v>3291.4</v>
      </c>
      <c r="K257" s="7" t="n">
        <v>0</v>
      </c>
      <c r="L257" s="7" t="n">
        <v>2694.8</v>
      </c>
      <c r="M257" s="7" t="n">
        <v>0</v>
      </c>
      <c r="N257" s="7" t="n">
        <v>1937.5</v>
      </c>
      <c r="O257" s="7" t="n">
        <v>0</v>
      </c>
      <c r="P257" s="7" t="n">
        <v>2620.3</v>
      </c>
      <c r="Q257" s="7" t="n">
        <v>0</v>
      </c>
      <c r="R257" s="7" t="n">
        <v>2487.7</v>
      </c>
      <c r="S257" s="7" t="n">
        <v>0</v>
      </c>
      <c r="T257" s="7" t="n">
        <v>2757.3</v>
      </c>
      <c r="U257" s="7" t="n">
        <v>0</v>
      </c>
      <c r="V257" s="7" t="n">
        <v>3065.2</v>
      </c>
      <c r="W257" s="7" t="n">
        <v>0</v>
      </c>
      <c r="X257" s="7" t="n">
        <v>1613</v>
      </c>
      <c r="Y257" s="7" t="n">
        <v>0</v>
      </c>
      <c r="Z257" s="7" t="n">
        <v>3204.5</v>
      </c>
      <c r="AA257" s="7" t="n">
        <v>0</v>
      </c>
      <c r="AB257" s="7" t="n">
        <v>32350.7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331.4</v>
      </c>
      <c r="E258" s="7" t="n">
        <v>0</v>
      </c>
      <c r="F258" s="7" t="n">
        <v>1569.6</v>
      </c>
      <c r="G258" s="7" t="n">
        <v>0</v>
      </c>
      <c r="H258" s="7" t="n">
        <v>200</v>
      </c>
      <c r="I258" s="7" t="n">
        <v>0</v>
      </c>
      <c r="J258" s="7" t="n">
        <v>2505.6</v>
      </c>
      <c r="K258" s="7" t="n">
        <v>0</v>
      </c>
      <c r="L258" s="7" t="n">
        <v>389.3</v>
      </c>
      <c r="M258" s="7" t="n">
        <v>0</v>
      </c>
      <c r="N258" s="7" t="n">
        <v>2620.5</v>
      </c>
      <c r="O258" s="7" t="n">
        <v>0</v>
      </c>
      <c r="P258" s="7" t="n">
        <v>606.2</v>
      </c>
      <c r="Q258" s="7" t="n">
        <v>0</v>
      </c>
      <c r="R258" s="7" t="n">
        <v>1456.1</v>
      </c>
      <c r="S258" s="7" t="n">
        <v>0</v>
      </c>
      <c r="T258" s="7" t="n">
        <v>296.3</v>
      </c>
      <c r="U258" s="7" t="n">
        <v>0</v>
      </c>
      <c r="V258" s="7" t="n">
        <v>1713</v>
      </c>
      <c r="W258" s="7" t="n">
        <v>0</v>
      </c>
      <c r="X258" s="7" t="n">
        <v>2508.9</v>
      </c>
      <c r="Y258" s="7" t="n">
        <v>0</v>
      </c>
      <c r="Z258" s="7" t="n">
        <v>1973.8</v>
      </c>
      <c r="AA258" s="7" t="n">
        <v>0</v>
      </c>
      <c r="AB258" s="7" t="n">
        <v>16170.7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604454.1</v>
      </c>
      <c r="D259" s="7" t="n">
        <v>559261.2</v>
      </c>
      <c r="E259" s="7" t="n">
        <v>708325.4</v>
      </c>
      <c r="F259" s="7" t="n">
        <v>519046.5</v>
      </c>
      <c r="G259" s="7" t="n">
        <v>787739.8</v>
      </c>
      <c r="H259" s="7" t="n">
        <v>585526.2</v>
      </c>
      <c r="I259" s="7" t="n">
        <v>678653.1</v>
      </c>
      <c r="J259" s="7" t="n">
        <v>626619.8</v>
      </c>
      <c r="K259" s="7" t="n">
        <v>668860.6</v>
      </c>
      <c r="L259" s="7" t="n">
        <v>1021020.3</v>
      </c>
      <c r="M259" s="7" t="n">
        <v>739741.2</v>
      </c>
      <c r="N259" s="7" t="n">
        <v>575592.4</v>
      </c>
      <c r="O259" s="7" t="n">
        <v>763804</v>
      </c>
      <c r="P259" s="7" t="n">
        <v>723170.3</v>
      </c>
      <c r="Q259" s="7" t="n">
        <v>647295</v>
      </c>
      <c r="R259" s="7" t="n">
        <v>636551.8</v>
      </c>
      <c r="S259" s="7" t="n">
        <v>600267.1</v>
      </c>
      <c r="T259" s="7" t="n">
        <v>862646.3</v>
      </c>
      <c r="U259" s="7" t="n">
        <v>606477.6</v>
      </c>
      <c r="V259" s="7" t="n">
        <v>766597.2</v>
      </c>
      <c r="W259" s="7" t="n">
        <v>655250.3</v>
      </c>
      <c r="X259" s="7" t="n">
        <v>758488</v>
      </c>
      <c r="Y259" s="7" t="n">
        <v>789068.1</v>
      </c>
      <c r="Z259" s="7" t="n">
        <v>719967</v>
      </c>
      <c r="AA259" s="8" t="n">
        <v>8249936.3</v>
      </c>
      <c r="AB259" s="8" t="n">
        <v>8354487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198101.6</v>
      </c>
      <c r="D260" s="7" t="n">
        <v>139815.3</v>
      </c>
      <c r="E260" s="7" t="n">
        <v>153015.2</v>
      </c>
      <c r="F260" s="7" t="n">
        <v>129761.6</v>
      </c>
      <c r="G260" s="7" t="n">
        <v>185809.3</v>
      </c>
      <c r="H260" s="7" t="n">
        <v>146381.5</v>
      </c>
      <c r="I260" s="7" t="n">
        <v>175705</v>
      </c>
      <c r="J260" s="7" t="n">
        <v>156655</v>
      </c>
      <c r="K260" s="7" t="n">
        <v>157836.8</v>
      </c>
      <c r="L260" s="7" t="n">
        <v>255255.1</v>
      </c>
      <c r="M260" s="7" t="n">
        <v>175419.5</v>
      </c>
      <c r="N260" s="7" t="n">
        <v>143898.1</v>
      </c>
      <c r="O260" s="7" t="n">
        <v>160933.3</v>
      </c>
      <c r="P260" s="7" t="n">
        <v>180792.6</v>
      </c>
      <c r="Q260" s="7" t="n">
        <v>180595.7</v>
      </c>
      <c r="R260" s="7" t="n">
        <v>159138</v>
      </c>
      <c r="S260" s="7" t="n">
        <v>157285.3</v>
      </c>
      <c r="T260" s="7" t="n">
        <v>215661.6</v>
      </c>
      <c r="U260" s="7" t="n">
        <v>187063.6</v>
      </c>
      <c r="V260" s="7" t="n">
        <v>191649.3</v>
      </c>
      <c r="W260" s="7" t="n">
        <v>169623.1</v>
      </c>
      <c r="X260" s="7" t="n">
        <v>189622</v>
      </c>
      <c r="Y260" s="7" t="n">
        <v>153453.5</v>
      </c>
      <c r="Z260" s="7" t="n">
        <v>179991.8</v>
      </c>
      <c r="AA260" s="7" t="n">
        <v>2054841.9</v>
      </c>
      <c r="AB260" s="7" t="n">
        <v>2088621.9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526518.7</v>
      </c>
      <c r="D261" s="7" t="n">
        <v>419445.9</v>
      </c>
      <c r="E261" s="7" t="n">
        <v>378803.8</v>
      </c>
      <c r="F261" s="7" t="n">
        <v>389284.9</v>
      </c>
      <c r="G261" s="7" t="n">
        <v>503543.8</v>
      </c>
      <c r="H261" s="7" t="n">
        <v>439144.7</v>
      </c>
      <c r="I261" s="7" t="n">
        <v>375601.8</v>
      </c>
      <c r="J261" s="7" t="n">
        <v>469964.8</v>
      </c>
      <c r="K261" s="7" t="n">
        <v>540645.6</v>
      </c>
      <c r="L261" s="7" t="n">
        <v>765765.2</v>
      </c>
      <c r="M261" s="7" t="n">
        <v>342869.7</v>
      </c>
      <c r="N261" s="7" t="n">
        <v>431694.3</v>
      </c>
      <c r="O261" s="7" t="n">
        <v>418572.5</v>
      </c>
      <c r="P261" s="7" t="n">
        <v>542377.7</v>
      </c>
      <c r="Q261" s="7" t="n">
        <v>551371.8</v>
      </c>
      <c r="R261" s="7" t="n">
        <v>477413.8</v>
      </c>
      <c r="S261" s="7" t="n">
        <v>362358.6</v>
      </c>
      <c r="T261" s="7" t="n">
        <v>646984.7</v>
      </c>
      <c r="U261" s="7" t="n">
        <v>422135.6</v>
      </c>
      <c r="V261" s="7" t="n">
        <v>574947.9</v>
      </c>
      <c r="W261" s="7" t="n">
        <v>395639.8</v>
      </c>
      <c r="X261" s="7" t="n">
        <v>568866</v>
      </c>
      <c r="Y261" s="7" t="n">
        <v>311380.7</v>
      </c>
      <c r="Z261" s="7" t="n">
        <v>539975.2</v>
      </c>
      <c r="AA261" s="8" t="n">
        <v>5129442.4</v>
      </c>
      <c r="AB261" s="8" t="n">
        <v>6265865.1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80360.5</v>
      </c>
      <c r="E262" s="7" t="n">
        <v>0</v>
      </c>
      <c r="F262" s="7" t="n">
        <v>41804.9</v>
      </c>
      <c r="G262" s="7" t="n">
        <v>0</v>
      </c>
      <c r="H262" s="7" t="n">
        <v>60433.4</v>
      </c>
      <c r="I262" s="7" t="n">
        <v>0</v>
      </c>
      <c r="J262" s="7" t="n">
        <v>93792.10000000001</v>
      </c>
      <c r="K262" s="7" t="n">
        <v>0</v>
      </c>
      <c r="L262" s="7" t="n">
        <v>202810.8</v>
      </c>
      <c r="M262" s="7" t="n">
        <v>0</v>
      </c>
      <c r="N262" s="7" t="n">
        <v>21603.2</v>
      </c>
      <c r="O262" s="7" t="n">
        <v>0</v>
      </c>
      <c r="P262" s="7" t="n">
        <v>29352.9</v>
      </c>
      <c r="Q262" s="7" t="n">
        <v>0</v>
      </c>
      <c r="R262" s="7" t="n">
        <v>57512.7</v>
      </c>
      <c r="S262" s="7" t="n">
        <v>0</v>
      </c>
      <c r="T262" s="7" t="n">
        <v>65509.7</v>
      </c>
      <c r="U262" s="7" t="n">
        <v>0</v>
      </c>
      <c r="V262" s="7" t="n">
        <v>27283</v>
      </c>
      <c r="W262" s="7" t="n">
        <v>0</v>
      </c>
      <c r="X262" s="7" t="n">
        <v>170392.5</v>
      </c>
      <c r="Y262" s="7" t="n">
        <v>0</v>
      </c>
      <c r="Z262" s="7" t="n">
        <v>71764.7</v>
      </c>
      <c r="AA262" s="7" t="n">
        <v>0</v>
      </c>
      <c r="AB262" s="7" t="n">
        <v>922620.4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526518.7</v>
      </c>
      <c r="D263" s="7" t="n">
        <v>339085.4</v>
      </c>
      <c r="E263" s="7" t="n">
        <v>378803.8</v>
      </c>
      <c r="F263" s="7" t="n">
        <v>347480</v>
      </c>
      <c r="G263" s="7" t="n">
        <v>503543.8</v>
      </c>
      <c r="H263" s="7" t="n">
        <v>378711.3</v>
      </c>
      <c r="I263" s="7" t="n">
        <v>375601.8</v>
      </c>
      <c r="J263" s="7" t="n">
        <v>376172.7</v>
      </c>
      <c r="K263" s="7" t="n">
        <v>540645.6</v>
      </c>
      <c r="L263" s="7" t="n">
        <v>562954.4</v>
      </c>
      <c r="M263" s="7" t="n">
        <v>342869.7</v>
      </c>
      <c r="N263" s="7" t="n">
        <v>410091.1</v>
      </c>
      <c r="O263" s="7" t="n">
        <v>418572.5</v>
      </c>
      <c r="P263" s="7" t="n">
        <v>513024.8</v>
      </c>
      <c r="Q263" s="7" t="n">
        <v>551371.8</v>
      </c>
      <c r="R263" s="7" t="n">
        <v>419901.1</v>
      </c>
      <c r="S263" s="7" t="n">
        <v>362358.6</v>
      </c>
      <c r="T263" s="7" t="n">
        <v>581475</v>
      </c>
      <c r="U263" s="7" t="n">
        <v>422135.6</v>
      </c>
      <c r="V263" s="7" t="n">
        <v>547664.9</v>
      </c>
      <c r="W263" s="7" t="n">
        <v>395639.8</v>
      </c>
      <c r="X263" s="7" t="n">
        <v>398473.5</v>
      </c>
      <c r="Y263" s="7" t="n">
        <v>311380.7</v>
      </c>
      <c r="Z263" s="7" t="n">
        <v>468210.5</v>
      </c>
      <c r="AA263" s="8" t="n">
        <v>5129442.4</v>
      </c>
      <c r="AB263" s="8" t="n">
        <v>5343244.7</v>
      </c>
    </row>
    <row r="264">
      <c r="A264" s="4" t="inlineStr">
        <is>
          <t>净利率</t>
        </is>
      </c>
      <c r="D264" s="13" t="n">
        <v>10.4</v>
      </c>
      <c r="F264" s="13" t="n">
        <v>8.1</v>
      </c>
      <c r="H264" s="13" t="n">
        <v>7.5</v>
      </c>
      <c r="J264" s="13" t="n">
        <v>6.6</v>
      </c>
      <c r="L264" s="13" t="n">
        <v>9.6</v>
      </c>
      <c r="N264" s="13" t="n">
        <v>5.3</v>
      </c>
      <c r="P264" s="13" t="n">
        <v>6.3</v>
      </c>
      <c r="R264" s="13" t="n">
        <v>6.5</v>
      </c>
      <c r="T264" s="13" t="n">
        <v>9.9</v>
      </c>
      <c r="V264" s="13" t="n">
        <v>7.1</v>
      </c>
      <c r="X264" s="13" t="n">
        <v>9.300000000000001</v>
      </c>
      <c r="Z264" s="13" t="n">
        <v>11.2</v>
      </c>
    </row>
    <row r="265">
      <c r="A265" s="4" t="inlineStr">
        <is>
          <t>销售达成率</t>
        </is>
      </c>
      <c r="D265" s="13" t="n">
        <v>55.9</v>
      </c>
      <c r="F265" s="13" t="n">
        <v>72.8</v>
      </c>
      <c r="H265" s="13" t="n">
        <v>86.90000000000001</v>
      </c>
      <c r="J265" s="13" t="n">
        <v>112.8</v>
      </c>
      <c r="L265" s="13" t="n">
        <v>109.8</v>
      </c>
      <c r="N265" s="13" t="n">
        <v>122.7</v>
      </c>
      <c r="P265" s="13" t="n">
        <v>116.3</v>
      </c>
      <c r="R265" s="13" t="n">
        <v>114.6</v>
      </c>
      <c r="T265" s="13" t="n">
        <v>85.90000000000001</v>
      </c>
      <c r="V265" s="13" t="n">
        <v>105.9</v>
      </c>
      <c r="X265" s="13" t="n">
        <v>92.7</v>
      </c>
      <c r="Z265" s="13" t="n">
        <v>77.09999999999999</v>
      </c>
    </row>
    <row r="266">
      <c r="A266" s="4" t="inlineStr">
        <is>
          <t>净利达成率</t>
        </is>
      </c>
      <c r="D266" s="13" t="n">
        <v>79.7</v>
      </c>
      <c r="F266" s="13" t="n">
        <v>102.8</v>
      </c>
      <c r="H266" s="13" t="n">
        <v>87.2</v>
      </c>
      <c r="J266" s="13" t="n">
        <v>125.1</v>
      </c>
      <c r="L266" s="13" t="n">
        <v>141.6</v>
      </c>
      <c r="N266" s="13" t="n">
        <v>125.9</v>
      </c>
      <c r="P266" s="13" t="n">
        <v>129.6</v>
      </c>
      <c r="R266" s="13" t="n">
        <v>86.59999999999999</v>
      </c>
      <c r="T266" s="13" t="n">
        <v>178.5</v>
      </c>
      <c r="V266" s="13" t="n">
        <v>136.2</v>
      </c>
      <c r="X266" s="13" t="n">
        <v>143.8</v>
      </c>
      <c r="Z266" s="13" t="n">
        <v>173.4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销售1利润表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7178695.9</v>
      </c>
      <c r="D6" s="7" t="n">
        <v>4138287.7</v>
      </c>
      <c r="E6" s="7" t="n">
        <v>6578227.8</v>
      </c>
      <c r="F6" s="7" t="n">
        <v>4796399.1</v>
      </c>
      <c r="G6" s="7" t="n">
        <v>6748749.4</v>
      </c>
      <c r="H6" s="7" t="n">
        <v>5824679.4</v>
      </c>
      <c r="I6" s="7" t="n">
        <v>6298725.3</v>
      </c>
      <c r="J6" s="7" t="n">
        <v>7157198.6</v>
      </c>
      <c r="K6" s="7" t="n">
        <v>7299121.5</v>
      </c>
      <c r="L6" s="7" t="n">
        <v>7988901.3</v>
      </c>
      <c r="M6" s="7" t="n">
        <v>6618486.9</v>
      </c>
      <c r="N6" s="7" t="n">
        <v>8148930</v>
      </c>
      <c r="O6" s="7" t="n">
        <v>7352211.2</v>
      </c>
      <c r="P6" s="7" t="n">
        <v>8643323.5</v>
      </c>
      <c r="Q6" s="7" t="n">
        <v>6415715.2</v>
      </c>
      <c r="R6" s="7" t="n">
        <v>7333009.3</v>
      </c>
      <c r="S6" s="7" t="n">
        <v>7576712.4</v>
      </c>
      <c r="T6" s="7" t="n">
        <v>6466038.1</v>
      </c>
      <c r="U6" s="7" t="n">
        <v>7651487.5</v>
      </c>
      <c r="V6" s="7" t="n">
        <v>8145496</v>
      </c>
      <c r="W6" s="7" t="n">
        <v>6603785</v>
      </c>
      <c r="X6" s="7" t="n">
        <v>6155518.9</v>
      </c>
      <c r="Y6" s="7" t="n">
        <v>6243217.3</v>
      </c>
      <c r="Z6" s="7" t="n">
        <v>4721601.4</v>
      </c>
      <c r="AA6" s="8" t="n">
        <v>82565135.40000001</v>
      </c>
      <c r="AB6" s="8" t="n">
        <v>79519383.3</v>
      </c>
    </row>
    <row r="7">
      <c r="A7" s="4" t="inlineStr">
        <is>
          <t>中式汤底</t>
        </is>
      </c>
      <c r="D7" s="7" t="n">
        <v>537566.4</v>
      </c>
      <c r="F7" s="7" t="n">
        <v>674445.0999999999</v>
      </c>
      <c r="H7" s="7" t="n">
        <v>908448.6</v>
      </c>
      <c r="J7" s="7" t="n">
        <v>1023301.8</v>
      </c>
      <c r="L7" s="7" t="n">
        <v>1144799.7</v>
      </c>
      <c r="N7" s="7" t="n">
        <v>1041184.8</v>
      </c>
      <c r="P7" s="7" t="n">
        <v>1224525.3</v>
      </c>
      <c r="R7" s="7" t="n">
        <v>729467.8</v>
      </c>
      <c r="T7" s="7" t="n">
        <v>915800.2</v>
      </c>
      <c r="V7" s="7" t="n">
        <v>1189654.6</v>
      </c>
      <c r="X7" s="7" t="n">
        <v>658264.7999999999</v>
      </c>
      <c r="Z7" s="7" t="n">
        <v>644652.2</v>
      </c>
      <c r="AB7" s="7" t="n">
        <v>10692111.3</v>
      </c>
    </row>
    <row r="8">
      <c r="A8" s="4" t="inlineStr">
        <is>
          <t>酱料</t>
        </is>
      </c>
      <c r="D8" s="7" t="n">
        <v>319143.4</v>
      </c>
      <c r="F8" s="7" t="n">
        <v>584828.5</v>
      </c>
      <c r="H8" s="7" t="n">
        <v>553641.7999999999</v>
      </c>
      <c r="J8" s="7" t="n">
        <v>733475.1</v>
      </c>
      <c r="L8" s="7" t="n">
        <v>874805.7999999999</v>
      </c>
      <c r="N8" s="7" t="n">
        <v>937637.6000000001</v>
      </c>
      <c r="P8" s="7" t="n">
        <v>986980.4000000001</v>
      </c>
      <c r="R8" s="7" t="n">
        <v>901953.8</v>
      </c>
      <c r="T8" s="7" t="n">
        <v>598780.2000000001</v>
      </c>
      <c r="V8" s="7" t="n">
        <v>1030653.5</v>
      </c>
      <c r="X8" s="7" t="n">
        <v>731406.4</v>
      </c>
      <c r="Z8" s="7" t="n">
        <v>581357.7</v>
      </c>
      <c r="AB8" s="7" t="n">
        <v>8834664.199999999</v>
      </c>
    </row>
    <row r="9">
      <c r="A9" s="4" t="inlineStr">
        <is>
          <t>川味底料</t>
        </is>
      </c>
      <c r="D9" s="7" t="n">
        <v>443259.5</v>
      </c>
      <c r="F9" s="7" t="n">
        <v>749020.3999999999</v>
      </c>
      <c r="H9" s="7" t="n">
        <v>689724.6</v>
      </c>
      <c r="J9" s="7" t="n">
        <v>814940.6</v>
      </c>
      <c r="L9" s="7" t="n">
        <v>1119980.5</v>
      </c>
      <c r="N9" s="7" t="n">
        <v>1050447.3</v>
      </c>
      <c r="P9" s="7" t="n">
        <v>1276371.8</v>
      </c>
      <c r="R9" s="7" t="n">
        <v>972712.3</v>
      </c>
      <c r="T9" s="7" t="n">
        <v>808751.1000000001</v>
      </c>
      <c r="V9" s="7" t="n">
        <v>847534.5</v>
      </c>
      <c r="X9" s="7" t="n">
        <v>921438</v>
      </c>
      <c r="Z9" s="7" t="n">
        <v>695976.6</v>
      </c>
      <c r="AB9" s="7" t="n">
        <v>10390157.2</v>
      </c>
    </row>
    <row r="10">
      <c r="A10" s="4" t="inlineStr">
        <is>
          <t>调味汁</t>
        </is>
      </c>
      <c r="D10" s="7" t="n">
        <v>786106.2999999999</v>
      </c>
      <c r="F10" s="7" t="n">
        <v>657873.8</v>
      </c>
      <c r="H10" s="7" t="n">
        <v>1071704.1</v>
      </c>
      <c r="J10" s="7" t="n">
        <v>1440649.7</v>
      </c>
      <c r="L10" s="7" t="n">
        <v>1230073.6</v>
      </c>
      <c r="N10" s="7" t="n">
        <v>1510226.2</v>
      </c>
      <c r="P10" s="7" t="n">
        <v>1345956.6</v>
      </c>
      <c r="R10" s="7" t="n">
        <v>1378006.6</v>
      </c>
      <c r="T10" s="7" t="n">
        <v>1190981.9</v>
      </c>
      <c r="V10" s="7" t="n">
        <v>1366847.5</v>
      </c>
      <c r="X10" s="7" t="n">
        <v>1227734.9</v>
      </c>
      <c r="Z10" s="7" t="n">
        <v>962552.1</v>
      </c>
      <c r="AB10" s="7" t="n">
        <v>14168713.3</v>
      </c>
    </row>
    <row r="11">
      <c r="A11" s="4" t="inlineStr">
        <is>
          <t>复合调味粉</t>
        </is>
      </c>
      <c r="D11" s="7" t="n">
        <v>700920.8</v>
      </c>
      <c r="F11" s="7" t="n">
        <v>676230.1</v>
      </c>
      <c r="H11" s="7" t="n">
        <v>762356.2</v>
      </c>
      <c r="J11" s="7" t="n">
        <v>1151999.5</v>
      </c>
      <c r="L11" s="7" t="n">
        <v>1365871.2</v>
      </c>
      <c r="N11" s="7" t="n">
        <v>1200174.2</v>
      </c>
      <c r="P11" s="7" t="n">
        <v>1271900.6</v>
      </c>
      <c r="R11" s="7" t="n">
        <v>1130521</v>
      </c>
      <c r="T11" s="7" t="n">
        <v>1015173.7</v>
      </c>
      <c r="V11" s="7" t="n">
        <v>1325004.3</v>
      </c>
      <c r="X11" s="7" t="n">
        <v>874494.8</v>
      </c>
      <c r="Z11" s="7" t="n">
        <v>513703.1</v>
      </c>
      <c r="AB11" s="7" t="n">
        <v>11988349.5</v>
      </c>
    </row>
    <row r="12">
      <c r="A12" s="4" t="inlineStr">
        <is>
          <t>团餐</t>
        </is>
      </c>
      <c r="D12" s="7" t="n">
        <v>736447</v>
      </c>
      <c r="F12" s="7" t="n">
        <v>939440.6000000001</v>
      </c>
      <c r="H12" s="7" t="n">
        <v>1104262.9</v>
      </c>
      <c r="J12" s="7" t="n">
        <v>1242131.3</v>
      </c>
      <c r="L12" s="7" t="n">
        <v>1507342</v>
      </c>
      <c r="N12" s="7" t="n">
        <v>1451903.5</v>
      </c>
      <c r="P12" s="7" t="n">
        <v>1166270.6</v>
      </c>
      <c r="R12" s="7" t="n">
        <v>1283568.9</v>
      </c>
      <c r="T12" s="7" t="n">
        <v>1152429.1</v>
      </c>
      <c r="V12" s="7" t="n">
        <v>1055808.7</v>
      </c>
      <c r="X12" s="7" t="n">
        <v>825516.4</v>
      </c>
      <c r="Z12" s="7" t="n">
        <v>667070.5</v>
      </c>
      <c r="AB12" s="7" t="n">
        <v>13132191.5</v>
      </c>
    </row>
    <row r="13">
      <c r="A13" s="4" t="inlineStr">
        <is>
          <t>预制菜</t>
        </is>
      </c>
      <c r="D13" s="7" t="n">
        <v>608743.3</v>
      </c>
      <c r="F13" s="7" t="n">
        <v>568993.3</v>
      </c>
      <c r="H13" s="7" t="n">
        <v>796921.8</v>
      </c>
      <c r="J13" s="7" t="n">
        <v>805098.2</v>
      </c>
      <c r="L13" s="7" t="n">
        <v>822590.5000000001</v>
      </c>
      <c r="N13" s="7" t="n">
        <v>1045971.1</v>
      </c>
      <c r="P13" s="7" t="n">
        <v>1362275</v>
      </c>
      <c r="R13" s="7" t="n">
        <v>1030369.7</v>
      </c>
      <c r="T13" s="7" t="n">
        <v>861438.7000000001</v>
      </c>
      <c r="V13" s="7" t="n">
        <v>1341368.9</v>
      </c>
      <c r="X13" s="7" t="n">
        <v>967817.3999999999</v>
      </c>
      <c r="Z13" s="7" t="n">
        <v>749246.2000000001</v>
      </c>
      <c r="AB13" s="7" t="n">
        <v>10960834.1</v>
      </c>
    </row>
    <row r="14">
      <c r="A14" s="4" t="inlineStr">
        <is>
          <t>返利</t>
        </is>
      </c>
      <c r="D14" s="7" t="n">
        <v>-70439.2</v>
      </c>
      <c r="F14" s="7" t="n">
        <v>-79083.60000000001</v>
      </c>
      <c r="H14" s="7" t="n">
        <v>-175606.6</v>
      </c>
      <c r="J14" s="7" t="n">
        <v>-118941.4</v>
      </c>
      <c r="L14" s="7" t="n">
        <v>-140616.4</v>
      </c>
      <c r="N14" s="7" t="n">
        <v>-208275.5</v>
      </c>
      <c r="P14" s="7" t="n">
        <v>-160699.2</v>
      </c>
      <c r="R14" s="7" t="n">
        <v>-182080.6</v>
      </c>
      <c r="T14" s="7" t="n">
        <v>-145054.8</v>
      </c>
      <c r="V14" s="7" t="n">
        <v>-173438.7</v>
      </c>
      <c r="X14" s="7" t="n">
        <v>-88622.39999999999</v>
      </c>
      <c r="Z14" s="7" t="n">
        <v>-121876.5</v>
      </c>
      <c r="AB14" s="7" t="n">
        <v>-1664734.9</v>
      </c>
    </row>
    <row r="15">
      <c r="A15" s="4" t="inlineStr">
        <is>
          <t>其他</t>
        </is>
      </c>
      <c r="D15" s="7" t="n">
        <v>76540.2</v>
      </c>
      <c r="F15" s="7" t="n">
        <v>24650.9</v>
      </c>
      <c r="H15" s="7" t="n">
        <v>113226</v>
      </c>
      <c r="J15" s="7" t="n">
        <v>64543.8</v>
      </c>
      <c r="L15" s="7" t="n">
        <v>64054.4</v>
      </c>
      <c r="N15" s="7" t="n">
        <v>119660.8</v>
      </c>
      <c r="P15" s="7" t="n">
        <v>169742.4</v>
      </c>
      <c r="R15" s="7" t="n">
        <v>88489.8</v>
      </c>
      <c r="T15" s="7" t="n">
        <v>67738</v>
      </c>
      <c r="V15" s="7" t="n">
        <v>162062.7</v>
      </c>
      <c r="X15" s="7" t="n">
        <v>37468.6</v>
      </c>
      <c r="Z15" s="7" t="n">
        <v>28919.5</v>
      </c>
      <c r="AB15" s="7" t="n">
        <v>1017097.1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4093233.4</v>
      </c>
      <c r="D16" s="7" t="n">
        <v>2808776.7</v>
      </c>
      <c r="E16" s="7" t="n">
        <v>4408206.6</v>
      </c>
      <c r="F16" s="7" t="n">
        <v>3372110.6</v>
      </c>
      <c r="G16" s="7" t="n">
        <v>4704444.8</v>
      </c>
      <c r="H16" s="7" t="n">
        <v>3963898.3</v>
      </c>
      <c r="I16" s="7" t="n">
        <v>4223514.7</v>
      </c>
      <c r="J16" s="7" t="n">
        <v>5023726.3</v>
      </c>
      <c r="K16" s="7" t="n">
        <v>5019753.8</v>
      </c>
      <c r="L16" s="7" t="n">
        <v>5562670.9</v>
      </c>
      <c r="M16" s="7" t="n">
        <v>4029180.8</v>
      </c>
      <c r="N16" s="7" t="n">
        <v>5617181.7</v>
      </c>
      <c r="O16" s="7" t="n">
        <v>4453268.3</v>
      </c>
      <c r="P16" s="7" t="n">
        <v>5989848.2</v>
      </c>
      <c r="Q16" s="7" t="n">
        <v>5166869</v>
      </c>
      <c r="R16" s="7" t="n">
        <v>5129299.7</v>
      </c>
      <c r="S16" s="7" t="n">
        <v>4913959.2</v>
      </c>
      <c r="T16" s="7" t="n">
        <v>4579467.4</v>
      </c>
      <c r="U16" s="7" t="n">
        <v>4899241.3</v>
      </c>
      <c r="V16" s="7" t="n">
        <v>5558325.4</v>
      </c>
      <c r="W16" s="7" t="n">
        <v>4994726.7</v>
      </c>
      <c r="X16" s="7" t="n">
        <v>4200241</v>
      </c>
      <c r="Y16" s="7" t="n">
        <v>4140745.4</v>
      </c>
      <c r="Z16" s="7" t="n">
        <v>3289870.2</v>
      </c>
      <c r="AA16" s="8" t="n">
        <v>55047144</v>
      </c>
      <c r="AB16" s="8" t="n">
        <v>55095416.4</v>
      </c>
    </row>
    <row r="17">
      <c r="A17" s="4" t="inlineStr">
        <is>
          <t>中式汤底</t>
        </is>
      </c>
      <c r="D17" s="7" t="n">
        <v>338301.8</v>
      </c>
      <c r="F17" s="7" t="n">
        <v>421979.9</v>
      </c>
      <c r="H17" s="7" t="n">
        <v>570677.1000000001</v>
      </c>
      <c r="J17" s="7" t="n">
        <v>642601.5</v>
      </c>
      <c r="L17" s="7" t="n">
        <v>719933.2</v>
      </c>
      <c r="N17" s="7" t="n">
        <v>661720.7000000001</v>
      </c>
      <c r="P17" s="7" t="n">
        <v>766452.4</v>
      </c>
      <c r="R17" s="7" t="n">
        <v>458580.8</v>
      </c>
      <c r="T17" s="7" t="n">
        <v>576844.7000000001</v>
      </c>
      <c r="V17" s="7" t="n">
        <v>745868.2000000001</v>
      </c>
      <c r="X17" s="7" t="n">
        <v>409778.4</v>
      </c>
      <c r="Z17" s="7" t="n">
        <v>399900.5</v>
      </c>
      <c r="AB17" s="7" t="n">
        <v>6712639.2</v>
      </c>
    </row>
    <row r="18">
      <c r="A18" s="4" t="inlineStr">
        <is>
          <t>酱料</t>
        </is>
      </c>
      <c r="D18" s="7" t="n">
        <v>204922.7</v>
      </c>
      <c r="F18" s="7" t="n">
        <v>376025.6</v>
      </c>
      <c r="H18" s="7" t="n">
        <v>355994.2</v>
      </c>
      <c r="J18" s="7" t="n">
        <v>472844.9999999999</v>
      </c>
      <c r="L18" s="7" t="n">
        <v>563346.5</v>
      </c>
      <c r="N18" s="7" t="n">
        <v>604329.9</v>
      </c>
      <c r="P18" s="7" t="n">
        <v>635684</v>
      </c>
      <c r="R18" s="7" t="n">
        <v>579176.3</v>
      </c>
      <c r="T18" s="7" t="n">
        <v>387016.9</v>
      </c>
      <c r="V18" s="7" t="n">
        <v>663719.7</v>
      </c>
      <c r="X18" s="7" t="n">
        <v>468619.6</v>
      </c>
      <c r="Z18" s="7" t="n">
        <v>374298.3</v>
      </c>
      <c r="AB18" s="7" t="n">
        <v>5685978.7</v>
      </c>
    </row>
    <row r="19">
      <c r="A19" s="4" t="inlineStr">
        <is>
          <t>川味底料</t>
        </is>
      </c>
      <c r="D19" s="7" t="n">
        <v>294262</v>
      </c>
      <c r="F19" s="7" t="n">
        <v>495653.6</v>
      </c>
      <c r="H19" s="7" t="n">
        <v>457483.1</v>
      </c>
      <c r="J19" s="7" t="n">
        <v>543319.7</v>
      </c>
      <c r="L19" s="7" t="n">
        <v>740826.7</v>
      </c>
      <c r="N19" s="7" t="n">
        <v>699067</v>
      </c>
      <c r="P19" s="7" t="n">
        <v>840810.6000000001</v>
      </c>
      <c r="R19" s="7" t="n">
        <v>642162.9</v>
      </c>
      <c r="T19" s="7" t="n">
        <v>531816.7</v>
      </c>
      <c r="V19" s="7" t="n">
        <v>560418.3</v>
      </c>
      <c r="X19" s="7" t="n">
        <v>606759</v>
      </c>
      <c r="Z19" s="7" t="n">
        <v>462252.9</v>
      </c>
      <c r="AB19" s="7" t="n">
        <v>6874832.5</v>
      </c>
    </row>
    <row r="20">
      <c r="A20" s="4" t="inlineStr">
        <is>
          <t>调味汁</t>
        </is>
      </c>
      <c r="D20" s="7" t="n">
        <v>506050</v>
      </c>
      <c r="F20" s="7" t="n">
        <v>425877.5</v>
      </c>
      <c r="H20" s="7" t="n">
        <v>693609</v>
      </c>
      <c r="J20" s="7" t="n">
        <v>933831.7</v>
      </c>
      <c r="L20" s="7" t="n">
        <v>789347.8</v>
      </c>
      <c r="N20" s="7" t="n">
        <v>970590.6</v>
      </c>
      <c r="P20" s="7" t="n">
        <v>876963.7</v>
      </c>
      <c r="R20" s="7" t="n">
        <v>895314.8999999999</v>
      </c>
      <c r="T20" s="7" t="n">
        <v>765818.3</v>
      </c>
      <c r="V20" s="7" t="n">
        <v>887221.2999999999</v>
      </c>
      <c r="X20" s="7" t="n">
        <v>792180</v>
      </c>
      <c r="Z20" s="7" t="n">
        <v>619566.4</v>
      </c>
      <c r="AB20" s="7" t="n">
        <v>9156371.199999999</v>
      </c>
    </row>
    <row r="21">
      <c r="A21" s="4" t="inlineStr">
        <is>
          <t>复合调味粉</t>
        </is>
      </c>
      <c r="D21" s="7" t="n">
        <v>466172.2</v>
      </c>
      <c r="F21" s="7" t="n">
        <v>444019.3</v>
      </c>
      <c r="H21" s="7" t="n">
        <v>502798.8</v>
      </c>
      <c r="J21" s="7" t="n">
        <v>758790.2999999999</v>
      </c>
      <c r="L21" s="7" t="n">
        <v>907615.7</v>
      </c>
      <c r="N21" s="7" t="n">
        <v>792745.5999999999</v>
      </c>
      <c r="P21" s="7" t="n">
        <v>854372.7000000001</v>
      </c>
      <c r="R21" s="7" t="n">
        <v>745972.7999999999</v>
      </c>
      <c r="T21" s="7" t="n">
        <v>676203.6000000001</v>
      </c>
      <c r="V21" s="7" t="n">
        <v>879943.2</v>
      </c>
      <c r="X21" s="7" t="n">
        <v>587283.4</v>
      </c>
      <c r="Z21" s="7" t="n">
        <v>337742.2</v>
      </c>
      <c r="AB21" s="7" t="n">
        <v>7953659.8</v>
      </c>
    </row>
    <row r="22">
      <c r="A22" s="4" t="inlineStr">
        <is>
          <t>团餐</t>
        </is>
      </c>
      <c r="D22" s="7" t="n">
        <v>464347.6</v>
      </c>
      <c r="F22" s="7" t="n">
        <v>592287.4</v>
      </c>
      <c r="H22" s="7" t="n">
        <v>693760.3</v>
      </c>
      <c r="J22" s="7" t="n">
        <v>788265.2999999999</v>
      </c>
      <c r="L22" s="7" t="n">
        <v>949066</v>
      </c>
      <c r="N22" s="7" t="n">
        <v>914773.8999999999</v>
      </c>
      <c r="P22" s="7" t="n">
        <v>733251.5</v>
      </c>
      <c r="R22" s="7" t="n">
        <v>808715.1000000001</v>
      </c>
      <c r="T22" s="7" t="n">
        <v>725541.5</v>
      </c>
      <c r="V22" s="7" t="n">
        <v>669273.6</v>
      </c>
      <c r="X22" s="7" t="n">
        <v>523458.8</v>
      </c>
      <c r="Z22" s="7" t="n">
        <v>419379.6</v>
      </c>
      <c r="AB22" s="7" t="n">
        <v>8282120.6</v>
      </c>
    </row>
    <row r="23">
      <c r="A23" s="4" t="inlineStr">
        <is>
          <t>预制菜</t>
        </is>
      </c>
      <c r="D23" s="7" t="n">
        <v>424570.3</v>
      </c>
      <c r="F23" s="7" t="n">
        <v>394722</v>
      </c>
      <c r="H23" s="7" t="n">
        <v>568001.8999999999</v>
      </c>
      <c r="J23" s="7" t="n">
        <v>562015.9</v>
      </c>
      <c r="L23" s="7" t="n">
        <v>564338.6</v>
      </c>
      <c r="N23" s="7" t="n">
        <v>741006.8</v>
      </c>
      <c r="P23" s="7" t="n">
        <v>966213.2000000001</v>
      </c>
      <c r="R23" s="7" t="n">
        <v>726897.2</v>
      </c>
      <c r="T23" s="7" t="n">
        <v>603599.4</v>
      </c>
      <c r="V23" s="7" t="n">
        <v>950884</v>
      </c>
      <c r="X23" s="7" t="n">
        <v>681001.7999999999</v>
      </c>
      <c r="Z23" s="7" t="n">
        <v>529069.3999999999</v>
      </c>
      <c r="AB23" s="7" t="n">
        <v>7712320.5</v>
      </c>
    </row>
    <row r="24">
      <c r="A24" s="4" t="inlineStr">
        <is>
          <t>其他</t>
        </is>
      </c>
      <c r="D24" s="7" t="n">
        <v>44565.4</v>
      </c>
      <c r="F24" s="7" t="n">
        <v>43452.3</v>
      </c>
      <c r="H24" s="7" t="n">
        <v>44281.4</v>
      </c>
      <c r="J24" s="7" t="n">
        <v>85349.89999999999</v>
      </c>
      <c r="L24" s="7" t="n">
        <v>62314.5</v>
      </c>
      <c r="N24" s="7" t="n">
        <v>32347.8</v>
      </c>
      <c r="P24" s="7" t="n">
        <v>82926.3</v>
      </c>
      <c r="R24" s="7" t="n">
        <v>55978.1</v>
      </c>
      <c r="T24" s="7" t="n">
        <v>6697</v>
      </c>
      <c r="V24" s="7" t="n">
        <v>5991.9</v>
      </c>
      <c r="X24" s="7" t="n">
        <v>62737.2</v>
      </c>
      <c r="Z24" s="7" t="n">
        <v>21865.4</v>
      </c>
      <c r="AB24" s="7" t="n">
        <v>548507.2</v>
      </c>
    </row>
    <row r="25">
      <c r="A25" s="4" t="inlineStr">
        <is>
          <t>运费</t>
        </is>
      </c>
      <c r="D25" s="7" t="n">
        <v>110150.1</v>
      </c>
      <c r="F25" s="7" t="n">
        <v>221545.3</v>
      </c>
      <c r="H25" s="7" t="n">
        <v>121573.9</v>
      </c>
      <c r="J25" s="7" t="n">
        <v>322056.9</v>
      </c>
      <c r="L25" s="7" t="n">
        <v>328196.4</v>
      </c>
      <c r="N25" s="7" t="n">
        <v>232947.2</v>
      </c>
      <c r="P25" s="7" t="n">
        <v>316100.1</v>
      </c>
      <c r="R25" s="7" t="n">
        <v>272479.7</v>
      </c>
      <c r="T25" s="7" t="n">
        <v>312626.3</v>
      </c>
      <c r="V25" s="7" t="n">
        <v>200997.1</v>
      </c>
      <c r="X25" s="7" t="n">
        <v>131160</v>
      </c>
      <c r="Z25" s="7" t="n">
        <v>147660.9</v>
      </c>
      <c r="AB25" s="7" t="n">
        <v>2717493.9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3085462.5</v>
      </c>
      <c r="D26" s="7" t="n">
        <v>1329511</v>
      </c>
      <c r="E26" s="7" t="n">
        <v>2170021.2</v>
      </c>
      <c r="F26" s="7" t="n">
        <v>1424288.5</v>
      </c>
      <c r="G26" s="7" t="n">
        <v>2044304.6</v>
      </c>
      <c r="H26" s="7" t="n">
        <v>1860781.1</v>
      </c>
      <c r="I26" s="7" t="n">
        <v>2075210.6</v>
      </c>
      <c r="J26" s="7" t="n">
        <v>2133472.3</v>
      </c>
      <c r="K26" s="7" t="n">
        <v>2279367.7</v>
      </c>
      <c r="L26" s="7" t="n">
        <v>2426230.4</v>
      </c>
      <c r="M26" s="7" t="n">
        <v>2589306.1</v>
      </c>
      <c r="N26" s="7" t="n">
        <v>2531748.3</v>
      </c>
      <c r="O26" s="7" t="n">
        <v>2898942.9</v>
      </c>
      <c r="P26" s="7" t="n">
        <v>2653475.3</v>
      </c>
      <c r="Q26" s="7" t="n">
        <v>1248846.2</v>
      </c>
      <c r="R26" s="7" t="n">
        <v>2203709.6</v>
      </c>
      <c r="S26" s="7" t="n">
        <v>2662753.2</v>
      </c>
      <c r="T26" s="7" t="n">
        <v>1886570.7</v>
      </c>
      <c r="U26" s="7" t="n">
        <v>2752246.2</v>
      </c>
      <c r="V26" s="7" t="n">
        <v>2587170.6</v>
      </c>
      <c r="W26" s="7" t="n">
        <v>1609058.3</v>
      </c>
      <c r="X26" s="7" t="n">
        <v>1955277.9</v>
      </c>
      <c r="Y26" s="7" t="n">
        <v>2102471.9</v>
      </c>
      <c r="Z26" s="7" t="n">
        <v>1431731.2</v>
      </c>
      <c r="AA26" s="8" t="n">
        <v>27517991.4</v>
      </c>
      <c r="AB26" s="8" t="n">
        <v>24423966.9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43</v>
      </c>
      <c r="D27" s="13" t="n">
        <v>32.1</v>
      </c>
      <c r="E27" s="13" t="n">
        <v>33</v>
      </c>
      <c r="F27" s="13" t="n">
        <v>29.7</v>
      </c>
      <c r="G27" s="13" t="n">
        <v>30.3</v>
      </c>
      <c r="H27" s="13" t="n">
        <v>31.9</v>
      </c>
      <c r="I27" s="13" t="n">
        <v>32.9</v>
      </c>
      <c r="J27" s="13" t="n">
        <v>29.8</v>
      </c>
      <c r="K27" s="13" t="n">
        <v>31.2</v>
      </c>
      <c r="L27" s="13" t="n">
        <v>30.4</v>
      </c>
      <c r="M27" s="13" t="n">
        <v>39.1</v>
      </c>
      <c r="N27" s="13" t="n">
        <v>31.1</v>
      </c>
      <c r="O27" s="13" t="n">
        <v>39.4</v>
      </c>
      <c r="P27" s="13" t="n">
        <v>30.7</v>
      </c>
      <c r="Q27" s="13" t="n">
        <v>19.5</v>
      </c>
      <c r="R27" s="13" t="n">
        <v>30.1</v>
      </c>
      <c r="S27" s="13" t="n">
        <v>35.1</v>
      </c>
      <c r="T27" s="13" t="n">
        <v>29.2</v>
      </c>
      <c r="U27" s="13" t="n">
        <v>36</v>
      </c>
      <c r="V27" s="13" t="n">
        <v>31.8</v>
      </c>
      <c r="W27" s="13" t="n">
        <v>24.4</v>
      </c>
      <c r="X27" s="13" t="n">
        <v>31.8</v>
      </c>
      <c r="Y27" s="13" t="n">
        <v>33.7</v>
      </c>
      <c r="Z27" s="13" t="n">
        <v>30.3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66666.2</v>
      </c>
      <c r="D28" s="7" t="n">
        <v>54507.1</v>
      </c>
      <c r="E28" s="7" t="n">
        <v>58951.7</v>
      </c>
      <c r="F28" s="7" t="n">
        <v>43960</v>
      </c>
      <c r="G28" s="7" t="n">
        <v>65924.5</v>
      </c>
      <c r="H28" s="7" t="n">
        <v>79671.8</v>
      </c>
      <c r="I28" s="7" t="n">
        <v>60359.1</v>
      </c>
      <c r="J28" s="7" t="n">
        <v>98038.3</v>
      </c>
      <c r="K28" s="7" t="n">
        <v>56993.9</v>
      </c>
      <c r="L28" s="7" t="n">
        <v>58056.8</v>
      </c>
      <c r="M28" s="7" t="n">
        <v>70453.8</v>
      </c>
      <c r="N28" s="7" t="n">
        <v>93939.2</v>
      </c>
      <c r="O28" s="7" t="n">
        <v>63760.1</v>
      </c>
      <c r="P28" s="7" t="n">
        <v>95275.5</v>
      </c>
      <c r="Q28" s="7" t="n">
        <v>64802.3</v>
      </c>
      <c r="R28" s="7" t="n">
        <v>37503.5</v>
      </c>
      <c r="S28" s="7" t="n">
        <v>67757.2</v>
      </c>
      <c r="T28" s="7" t="n">
        <v>82598.39999999999</v>
      </c>
      <c r="U28" s="7" t="n">
        <v>65970.5</v>
      </c>
      <c r="V28" s="7" t="n">
        <v>71882.89999999999</v>
      </c>
      <c r="W28" s="7" t="n">
        <v>60384.6</v>
      </c>
      <c r="X28" s="7" t="n">
        <v>49538.6</v>
      </c>
      <c r="Y28" s="7" t="n">
        <v>61722.5</v>
      </c>
      <c r="Z28" s="7" t="n">
        <v>25552.5</v>
      </c>
      <c r="AA28" s="8" t="n">
        <v>763746.4</v>
      </c>
      <c r="AB28" s="8" t="n">
        <v>790524.6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964576.7</v>
      </c>
      <c r="D29" s="7" t="n">
        <v>658601.7</v>
      </c>
      <c r="E29" s="7" t="n">
        <v>1012319.8</v>
      </c>
      <c r="F29" s="7" t="n">
        <v>574744.6</v>
      </c>
      <c r="G29" s="7" t="n">
        <v>879840.1</v>
      </c>
      <c r="H29" s="7" t="n">
        <v>654587.8</v>
      </c>
      <c r="I29" s="7" t="n">
        <v>1001791.2</v>
      </c>
      <c r="J29" s="7" t="n">
        <v>1329206.9</v>
      </c>
      <c r="K29" s="7" t="n">
        <v>1036547.3</v>
      </c>
      <c r="L29" s="7" t="n">
        <v>857981.4</v>
      </c>
      <c r="M29" s="7" t="n">
        <v>894404.2</v>
      </c>
      <c r="N29" s="7" t="n">
        <v>1302840.3</v>
      </c>
      <c r="O29" s="7" t="n">
        <v>843694.5</v>
      </c>
      <c r="P29" s="7" t="n">
        <v>974637.1</v>
      </c>
      <c r="Q29" s="7" t="n">
        <v>1048485.2</v>
      </c>
      <c r="R29" s="7" t="n">
        <v>1285282</v>
      </c>
      <c r="S29" s="7" t="n">
        <v>916815.5</v>
      </c>
      <c r="T29" s="7" t="n">
        <v>1397141.2</v>
      </c>
      <c r="U29" s="7" t="n">
        <v>1091284.9</v>
      </c>
      <c r="V29" s="7" t="n">
        <v>973845.2</v>
      </c>
      <c r="W29" s="7" t="n">
        <v>848907.9</v>
      </c>
      <c r="X29" s="7" t="n">
        <v>740081.8</v>
      </c>
      <c r="Y29" s="7" t="n">
        <v>1017982.9</v>
      </c>
      <c r="Z29" s="7" t="n">
        <v>868276.2</v>
      </c>
      <c r="AA29" s="8" t="n">
        <v>11556650.2</v>
      </c>
      <c r="AB29" s="8" t="n">
        <v>11617226.2</v>
      </c>
    </row>
    <row r="30">
      <c r="A30" s="4" t="inlineStr">
        <is>
          <t>职工薪酬</t>
        </is>
      </c>
      <c r="D30" s="7" t="n">
        <v>387858.7</v>
      </c>
      <c r="F30" s="7" t="n">
        <v>235181.4</v>
      </c>
      <c r="H30" s="7" t="n">
        <v>320237.6</v>
      </c>
      <c r="J30" s="7" t="n">
        <v>712722.8</v>
      </c>
      <c r="L30" s="7" t="n">
        <v>459908.4</v>
      </c>
      <c r="N30" s="7" t="n">
        <v>550474.5</v>
      </c>
      <c r="P30" s="7" t="n">
        <v>391853.4</v>
      </c>
      <c r="R30" s="7" t="n">
        <v>776915.4</v>
      </c>
      <c r="T30" s="7" t="n">
        <v>804902.1</v>
      </c>
      <c r="V30" s="7" t="n">
        <v>540690.7</v>
      </c>
      <c r="X30" s="7" t="n">
        <v>436016.2</v>
      </c>
      <c r="Z30" s="7" t="n">
        <v>327547.6</v>
      </c>
      <c r="AB30" s="7" t="n">
        <v>5944308.8</v>
      </c>
    </row>
    <row r="31">
      <c r="A31" s="4" t="inlineStr">
        <is>
          <t>工资</t>
        </is>
      </c>
      <c r="D31" s="7" t="n">
        <v>235299.3</v>
      </c>
      <c r="F31" s="7" t="n">
        <v>141354.6</v>
      </c>
      <c r="H31" s="7" t="n">
        <v>181509.2</v>
      </c>
      <c r="J31" s="7" t="n">
        <v>460426.7</v>
      </c>
      <c r="L31" s="7" t="n">
        <v>311874.1</v>
      </c>
      <c r="N31" s="7" t="n">
        <v>299948.9</v>
      </c>
      <c r="P31" s="7" t="n">
        <v>214241.6</v>
      </c>
      <c r="R31" s="7" t="n">
        <v>489447.4</v>
      </c>
      <c r="T31" s="7" t="n">
        <v>526458.7</v>
      </c>
      <c r="V31" s="7" t="n">
        <v>356792.9</v>
      </c>
      <c r="X31" s="7" t="n">
        <v>264671.1</v>
      </c>
      <c r="Z31" s="7" t="n">
        <v>184484.4</v>
      </c>
      <c r="AB31" s="7" t="n">
        <v>3666508.9</v>
      </c>
    </row>
    <row r="32">
      <c r="A32" s="4" t="inlineStr">
        <is>
          <t>奖金及提成</t>
        </is>
      </c>
      <c r="D32" s="7" t="n">
        <v>73518.2</v>
      </c>
      <c r="F32" s="7" t="n">
        <v>44069.5</v>
      </c>
      <c r="H32" s="7" t="n">
        <v>63497.4</v>
      </c>
      <c r="J32" s="7" t="n">
        <v>94858.7</v>
      </c>
      <c r="L32" s="7" t="n">
        <v>70818.3</v>
      </c>
      <c r="N32" s="7" t="n">
        <v>133254.9</v>
      </c>
      <c r="P32" s="7" t="n">
        <v>80142.5</v>
      </c>
      <c r="R32" s="7" t="n">
        <v>130322.4</v>
      </c>
      <c r="T32" s="7" t="n">
        <v>119482.8</v>
      </c>
      <c r="V32" s="7" t="n">
        <v>96392.7</v>
      </c>
      <c r="X32" s="7" t="n">
        <v>84217.89999999999</v>
      </c>
      <c r="Z32" s="7" t="n">
        <v>68143.10000000001</v>
      </c>
      <c r="AB32" s="7" t="n">
        <v>1058718.4</v>
      </c>
    </row>
    <row r="33">
      <c r="A33" s="4" t="inlineStr">
        <is>
          <t>社保</t>
        </is>
      </c>
      <c r="D33" s="7" t="n">
        <v>58971.4</v>
      </c>
      <c r="F33" s="7" t="n">
        <v>32693</v>
      </c>
      <c r="H33" s="7" t="n">
        <v>54975.1</v>
      </c>
      <c r="J33" s="7" t="n">
        <v>116770</v>
      </c>
      <c r="L33" s="7" t="n">
        <v>49837.7</v>
      </c>
      <c r="N33" s="7" t="n">
        <v>83610.2</v>
      </c>
      <c r="P33" s="7" t="n">
        <v>67866.60000000001</v>
      </c>
      <c r="R33" s="7" t="n">
        <v>120663.6</v>
      </c>
      <c r="T33" s="7" t="n">
        <v>119682.3</v>
      </c>
      <c r="V33" s="7" t="n">
        <v>57016.8</v>
      </c>
      <c r="X33" s="7" t="n">
        <v>64704.2</v>
      </c>
      <c r="Z33" s="7" t="n">
        <v>48970.8</v>
      </c>
      <c r="AB33" s="7" t="n">
        <v>875761.7</v>
      </c>
    </row>
    <row r="34">
      <c r="A34" s="4" t="inlineStr">
        <is>
          <t>养老</t>
        </is>
      </c>
      <c r="D34" s="7" t="n">
        <v>1448.1</v>
      </c>
      <c r="F34" s="7" t="n">
        <v>1774.2</v>
      </c>
      <c r="H34" s="7" t="n">
        <v>1828.5</v>
      </c>
      <c r="J34" s="7" t="n">
        <v>4127.9</v>
      </c>
      <c r="L34" s="7" t="n">
        <v>1555.6</v>
      </c>
      <c r="N34" s="7" t="n">
        <v>4052.2</v>
      </c>
      <c r="P34" s="7" t="n">
        <v>2706.5</v>
      </c>
      <c r="R34" s="7" t="n">
        <v>2747.2</v>
      </c>
      <c r="T34" s="7" t="n">
        <v>3305.7</v>
      </c>
      <c r="V34" s="7" t="n">
        <v>3191.6</v>
      </c>
      <c r="X34" s="7" t="n">
        <v>1433</v>
      </c>
      <c r="Z34" s="7" t="n">
        <v>1967.8</v>
      </c>
      <c r="AB34" s="7" t="n">
        <v>30138.3</v>
      </c>
    </row>
    <row r="35">
      <c r="A35" s="4" t="inlineStr">
        <is>
          <t>医疗</t>
        </is>
      </c>
      <c r="D35" s="7" t="n">
        <v>3814.2</v>
      </c>
      <c r="F35" s="7" t="n">
        <v>2652.1</v>
      </c>
      <c r="H35" s="7" t="n">
        <v>3722</v>
      </c>
      <c r="J35" s="7" t="n">
        <v>7364.4</v>
      </c>
      <c r="L35" s="7" t="n">
        <v>6124</v>
      </c>
      <c r="N35" s="7" t="n">
        <v>5279</v>
      </c>
      <c r="P35" s="7" t="n">
        <v>4700</v>
      </c>
      <c r="R35" s="7" t="n">
        <v>7434.2</v>
      </c>
      <c r="T35" s="7" t="n">
        <v>7148</v>
      </c>
      <c r="V35" s="7" t="n">
        <v>5181.1</v>
      </c>
      <c r="X35" s="7" t="n">
        <v>3340.8</v>
      </c>
      <c r="Z35" s="7" t="n">
        <v>4481.4</v>
      </c>
      <c r="AB35" s="7" t="n">
        <v>61241.2</v>
      </c>
    </row>
    <row r="36">
      <c r="A36" s="4" t="inlineStr">
        <is>
          <t>工伤</t>
        </is>
      </c>
      <c r="D36" s="7" t="n">
        <v>1634</v>
      </c>
      <c r="F36" s="7" t="n">
        <v>1116.4</v>
      </c>
      <c r="H36" s="7" t="n">
        <v>1944</v>
      </c>
      <c r="J36" s="7" t="n">
        <v>3069.6</v>
      </c>
      <c r="L36" s="7" t="n">
        <v>2350.4</v>
      </c>
      <c r="N36" s="7" t="n">
        <v>3233.4</v>
      </c>
      <c r="P36" s="7" t="n">
        <v>2760.1</v>
      </c>
      <c r="R36" s="7" t="n">
        <v>3660.7</v>
      </c>
      <c r="T36" s="7" t="n">
        <v>3833.2</v>
      </c>
      <c r="V36" s="7" t="n">
        <v>1612.8</v>
      </c>
      <c r="X36" s="7" t="n">
        <v>1764.1</v>
      </c>
      <c r="Z36" s="7" t="n">
        <v>1739.4</v>
      </c>
      <c r="AB36" s="7" t="n">
        <v>28718.1</v>
      </c>
    </row>
    <row r="37">
      <c r="A37" s="4" t="inlineStr">
        <is>
          <t>失业</t>
        </is>
      </c>
      <c r="D37" s="7" t="n">
        <v>811.3</v>
      </c>
      <c r="F37" s="7" t="n">
        <v>625.6</v>
      </c>
      <c r="H37" s="7" t="n">
        <v>490.1</v>
      </c>
      <c r="J37" s="7" t="n">
        <v>1228.9</v>
      </c>
      <c r="L37" s="7" t="n">
        <v>1089.4</v>
      </c>
      <c r="N37" s="7" t="n">
        <v>1383.5</v>
      </c>
      <c r="P37" s="7" t="n">
        <v>1042.6</v>
      </c>
      <c r="R37" s="7" t="n">
        <v>1069.5</v>
      </c>
      <c r="T37" s="7" t="n">
        <v>1173.4</v>
      </c>
      <c r="V37" s="7" t="n">
        <v>766.9</v>
      </c>
      <c r="X37" s="7" t="n">
        <v>944.1</v>
      </c>
      <c r="Z37" s="7" t="n">
        <v>1076.1</v>
      </c>
      <c r="AB37" s="7" t="n">
        <v>11701.4</v>
      </c>
    </row>
    <row r="38">
      <c r="A38" s="4" t="inlineStr">
        <is>
          <t>生育</t>
        </is>
      </c>
      <c r="D38" s="7" t="n">
        <v>1458.1</v>
      </c>
      <c r="F38" s="7" t="n">
        <v>1022.7</v>
      </c>
      <c r="H38" s="7" t="n">
        <v>1106.9</v>
      </c>
      <c r="J38" s="7" t="n">
        <v>2941.3</v>
      </c>
      <c r="L38" s="7" t="n">
        <v>2186.2</v>
      </c>
      <c r="N38" s="7" t="n">
        <v>3425.2</v>
      </c>
      <c r="P38" s="7" t="n">
        <v>1863.3</v>
      </c>
      <c r="R38" s="7" t="n">
        <v>3116.8</v>
      </c>
      <c r="T38" s="7" t="n">
        <v>3059.9</v>
      </c>
      <c r="V38" s="7" t="n">
        <v>1642.6</v>
      </c>
      <c r="X38" s="7" t="n">
        <v>2073.3</v>
      </c>
      <c r="Z38" s="7" t="n">
        <v>2410</v>
      </c>
      <c r="AB38" s="7" t="n">
        <v>26306.3</v>
      </c>
    </row>
    <row r="39">
      <c r="A39" s="4" t="inlineStr">
        <is>
          <t>公积金</t>
        </is>
      </c>
      <c r="D39" s="7" t="n">
        <v>789.7</v>
      </c>
      <c r="F39" s="7" t="n">
        <v>684</v>
      </c>
      <c r="H39" s="7" t="n">
        <v>554.8</v>
      </c>
      <c r="J39" s="7" t="n">
        <v>1308.7</v>
      </c>
      <c r="L39" s="7" t="n">
        <v>1036.5</v>
      </c>
      <c r="N39" s="7" t="n">
        <v>956.1</v>
      </c>
      <c r="P39" s="7" t="n">
        <v>826.2</v>
      </c>
      <c r="R39" s="7" t="n">
        <v>1502</v>
      </c>
      <c r="T39" s="7" t="n">
        <v>1511</v>
      </c>
      <c r="V39" s="7" t="n">
        <v>1074.5</v>
      </c>
      <c r="X39" s="7" t="n">
        <v>865.1</v>
      </c>
      <c r="Z39" s="7" t="n">
        <v>783.8</v>
      </c>
      <c r="AB39" s="7" t="n">
        <v>11892.4</v>
      </c>
    </row>
    <row r="40">
      <c r="A40" s="4" t="inlineStr">
        <is>
          <t>工会经费</t>
        </is>
      </c>
      <c r="D40" s="7" t="n">
        <v>1715.3</v>
      </c>
      <c r="F40" s="7" t="n">
        <v>1953.3</v>
      </c>
      <c r="H40" s="7" t="n">
        <v>2182.7</v>
      </c>
      <c r="J40" s="7" t="n">
        <v>4516.3</v>
      </c>
      <c r="L40" s="7" t="n">
        <v>1999.7</v>
      </c>
      <c r="N40" s="7" t="n">
        <v>4101.8</v>
      </c>
      <c r="P40" s="7" t="n">
        <v>2008.2</v>
      </c>
      <c r="R40" s="7" t="n">
        <v>2810.4</v>
      </c>
      <c r="T40" s="7" t="n">
        <v>4361</v>
      </c>
      <c r="V40" s="7" t="n">
        <v>2802.7</v>
      </c>
      <c r="X40" s="7" t="n">
        <v>1716.6</v>
      </c>
      <c r="Z40" s="7" t="n">
        <v>2435.7</v>
      </c>
      <c r="AB40" s="7" t="n">
        <v>32603.7</v>
      </c>
    </row>
    <row r="41">
      <c r="A41" s="4" t="inlineStr">
        <is>
          <t>职工教育经费</t>
        </is>
      </c>
      <c r="D41" s="7" t="n">
        <v>837</v>
      </c>
      <c r="F41" s="7" t="n">
        <v>968.1</v>
      </c>
      <c r="H41" s="7" t="n">
        <v>907.5</v>
      </c>
      <c r="J41" s="7" t="n">
        <v>2239.8</v>
      </c>
      <c r="L41" s="7" t="n">
        <v>1280.9</v>
      </c>
      <c r="N41" s="7" t="n">
        <v>1975.5</v>
      </c>
      <c r="P41" s="7" t="n">
        <v>1568.5</v>
      </c>
      <c r="R41" s="7" t="n">
        <v>2193.7</v>
      </c>
      <c r="T41" s="7" t="n">
        <v>1955.5</v>
      </c>
      <c r="V41" s="7" t="n">
        <v>1786.1</v>
      </c>
      <c r="X41" s="7" t="n">
        <v>1114.9</v>
      </c>
      <c r="Z41" s="7" t="n">
        <v>1028.8</v>
      </c>
      <c r="AB41" s="7" t="n">
        <v>17856.3</v>
      </c>
    </row>
    <row r="42">
      <c r="A42" s="4" t="inlineStr">
        <is>
          <t>福利费</t>
        </is>
      </c>
      <c r="D42" s="7" t="n">
        <v>16727.8</v>
      </c>
      <c r="F42" s="7" t="n">
        <v>13458.9</v>
      </c>
      <c r="H42" s="7" t="n">
        <v>16610.9</v>
      </c>
      <c r="J42" s="7" t="n">
        <v>32602.6</v>
      </c>
      <c r="L42" s="7" t="n">
        <v>23061.2</v>
      </c>
      <c r="N42" s="7" t="n">
        <v>26627.1</v>
      </c>
      <c r="P42" s="7" t="n">
        <v>25199.8</v>
      </c>
      <c r="R42" s="7" t="n">
        <v>29975.9</v>
      </c>
      <c r="T42" s="7" t="n">
        <v>31450.8</v>
      </c>
      <c r="V42" s="7" t="n">
        <v>24825</v>
      </c>
      <c r="X42" s="7" t="n">
        <v>18726.4</v>
      </c>
      <c r="Z42" s="7" t="n">
        <v>21701</v>
      </c>
      <c r="AB42" s="7" t="n">
        <v>280967.4</v>
      </c>
    </row>
    <row r="43">
      <c r="A43" s="4" t="inlineStr">
        <is>
          <t>职工房租</t>
        </is>
      </c>
      <c r="D43" s="7" t="n">
        <v>3722.3</v>
      </c>
      <c r="F43" s="7" t="n">
        <v>2924.7</v>
      </c>
      <c r="H43" s="7" t="n">
        <v>3627.2</v>
      </c>
      <c r="J43" s="7" t="n">
        <v>6409.7</v>
      </c>
      <c r="L43" s="7" t="n">
        <v>4600.1</v>
      </c>
      <c r="N43" s="7" t="n">
        <v>5371.6</v>
      </c>
      <c r="P43" s="7" t="n">
        <v>6324.4</v>
      </c>
      <c r="R43" s="7" t="n">
        <v>6783.7</v>
      </c>
      <c r="T43" s="7" t="n">
        <v>7052.4</v>
      </c>
      <c r="V43" s="7" t="n">
        <v>5907.8</v>
      </c>
      <c r="X43" s="7" t="n">
        <v>4820.4</v>
      </c>
      <c r="Z43" s="7" t="n">
        <v>5215</v>
      </c>
      <c r="AB43" s="7" t="n">
        <v>62759.3</v>
      </c>
    </row>
    <row r="44">
      <c r="A44" s="4" t="inlineStr">
        <is>
          <t>水电物业费</t>
        </is>
      </c>
      <c r="D44" s="7" t="n">
        <v>2779.7</v>
      </c>
      <c r="F44" s="7" t="n">
        <v>2320.3</v>
      </c>
      <c r="H44" s="7" t="n">
        <v>2282.4</v>
      </c>
      <c r="J44" s="7" t="n">
        <v>4445</v>
      </c>
      <c r="L44" s="7" t="n">
        <v>3534.8</v>
      </c>
      <c r="N44" s="7" t="n">
        <v>3255.2</v>
      </c>
      <c r="P44" s="7" t="n">
        <v>4355.4</v>
      </c>
      <c r="R44" s="7" t="n">
        <v>4476.4</v>
      </c>
      <c r="T44" s="7" t="n">
        <v>4510.6</v>
      </c>
      <c r="V44" s="7" t="n">
        <v>3827.3</v>
      </c>
      <c r="X44" s="7" t="n">
        <v>2637.2</v>
      </c>
      <c r="Z44" s="7" t="n">
        <v>3019.4</v>
      </c>
      <c r="AB44" s="7" t="n">
        <v>41443.7</v>
      </c>
    </row>
    <row r="45">
      <c r="A45" s="4" t="inlineStr">
        <is>
          <t>员工餐</t>
        </is>
      </c>
      <c r="D45" s="7" t="n">
        <v>1987.1</v>
      </c>
      <c r="F45" s="7" t="n">
        <v>2079</v>
      </c>
      <c r="H45" s="7" t="n">
        <v>2541.4</v>
      </c>
      <c r="J45" s="7" t="n">
        <v>4852.2</v>
      </c>
      <c r="L45" s="7" t="n">
        <v>4245.6</v>
      </c>
      <c r="N45" s="7" t="n">
        <v>5262.8</v>
      </c>
      <c r="P45" s="7" t="n">
        <v>3843</v>
      </c>
      <c r="R45" s="7" t="n">
        <v>5676</v>
      </c>
      <c r="T45" s="7" t="n">
        <v>4233.5</v>
      </c>
      <c r="V45" s="7" t="n">
        <v>4068.2</v>
      </c>
      <c r="X45" s="7" t="n">
        <v>2403.6</v>
      </c>
      <c r="Z45" s="7" t="n">
        <v>4301.4</v>
      </c>
      <c r="AB45" s="7" t="n">
        <v>45493.8</v>
      </c>
    </row>
    <row r="46">
      <c r="A46" s="4" t="inlineStr">
        <is>
          <t>节日礼品</t>
        </is>
      </c>
      <c r="D46" s="7" t="n">
        <v>2211.3</v>
      </c>
      <c r="F46" s="7" t="n">
        <v>1307.3</v>
      </c>
      <c r="H46" s="7" t="n">
        <v>2263.1</v>
      </c>
      <c r="J46" s="7" t="n">
        <v>4971.3</v>
      </c>
      <c r="L46" s="7" t="n">
        <v>2840.3</v>
      </c>
      <c r="N46" s="7" t="n">
        <v>3014.6</v>
      </c>
      <c r="P46" s="7" t="n">
        <v>2737.1</v>
      </c>
      <c r="R46" s="7" t="n">
        <v>3694.8</v>
      </c>
      <c r="T46" s="7" t="n">
        <v>3340.9</v>
      </c>
      <c r="V46" s="7" t="n">
        <v>3040.8</v>
      </c>
      <c r="X46" s="7" t="n">
        <v>2471.8</v>
      </c>
      <c r="Z46" s="7" t="n">
        <v>2111.9</v>
      </c>
      <c r="AB46" s="7" t="n">
        <v>34005.2</v>
      </c>
    </row>
    <row r="47">
      <c r="A47" s="4" t="inlineStr">
        <is>
          <t>生日礼品</t>
        </is>
      </c>
      <c r="D47" s="7" t="n">
        <v>1669.2</v>
      </c>
      <c r="F47" s="7" t="n">
        <v>1910.7</v>
      </c>
      <c r="H47" s="7" t="n">
        <v>2428.5</v>
      </c>
      <c r="J47" s="7" t="n">
        <v>4668.1</v>
      </c>
      <c r="L47" s="7" t="n">
        <v>2893.3</v>
      </c>
      <c r="N47" s="7" t="n">
        <v>3007.1</v>
      </c>
      <c r="P47" s="7" t="n">
        <v>2233.2</v>
      </c>
      <c r="R47" s="7" t="n">
        <v>3715.8</v>
      </c>
      <c r="T47" s="7" t="n">
        <v>3823.1</v>
      </c>
      <c r="V47" s="7" t="n">
        <v>2945</v>
      </c>
      <c r="X47" s="7" t="n">
        <v>2053.1</v>
      </c>
      <c r="Z47" s="7" t="n">
        <v>3040.9</v>
      </c>
      <c r="AB47" s="7" t="n">
        <v>34388</v>
      </c>
    </row>
    <row r="48">
      <c r="A48" s="4" t="inlineStr">
        <is>
          <t>体检</t>
        </is>
      </c>
      <c r="D48" s="7" t="n">
        <v>2806</v>
      </c>
      <c r="F48" s="7" t="n">
        <v>1788</v>
      </c>
      <c r="H48" s="7" t="n">
        <v>2038.9</v>
      </c>
      <c r="J48" s="7" t="n">
        <v>5177.6</v>
      </c>
      <c r="L48" s="7" t="n">
        <v>3590.7</v>
      </c>
      <c r="N48" s="7" t="n">
        <v>4543</v>
      </c>
      <c r="P48" s="7" t="n">
        <v>3583.1</v>
      </c>
      <c r="R48" s="7" t="n">
        <v>3407</v>
      </c>
      <c r="T48" s="7" t="n">
        <v>5725</v>
      </c>
      <c r="V48" s="7" t="n">
        <v>2637.9</v>
      </c>
      <c r="X48" s="7" t="n">
        <v>2799</v>
      </c>
      <c r="Z48" s="7" t="n">
        <v>2772.7</v>
      </c>
      <c r="AB48" s="7" t="n">
        <v>40868.9</v>
      </c>
    </row>
    <row r="49">
      <c r="A49" s="4" t="inlineStr">
        <is>
          <t>其他福利支出</t>
        </is>
      </c>
      <c r="D49" s="7" t="n">
        <v>1552.2</v>
      </c>
      <c r="F49" s="7" t="n">
        <v>1128.9</v>
      </c>
      <c r="H49" s="7" t="n">
        <v>1429.4</v>
      </c>
      <c r="J49" s="7" t="n">
        <v>2078.7</v>
      </c>
      <c r="L49" s="7" t="n">
        <v>1356.4</v>
      </c>
      <c r="N49" s="7" t="n">
        <v>2172.8</v>
      </c>
      <c r="P49" s="7" t="n">
        <v>2123.6</v>
      </c>
      <c r="R49" s="7" t="n">
        <v>2222.2</v>
      </c>
      <c r="T49" s="7" t="n">
        <v>2765.3</v>
      </c>
      <c r="V49" s="7" t="n">
        <v>2398</v>
      </c>
      <c r="X49" s="7" t="n">
        <v>1541.3</v>
      </c>
      <c r="Z49" s="7" t="n">
        <v>1239.7</v>
      </c>
      <c r="AB49" s="7" t="n">
        <v>22008.5</v>
      </c>
    </row>
    <row r="50">
      <c r="A50" s="4" t="inlineStr">
        <is>
          <t>招聘费</t>
        </is>
      </c>
      <c r="D50" s="7" t="n">
        <v>3212.6</v>
      </c>
      <c r="F50" s="7" t="n">
        <v>3504.1</v>
      </c>
      <c r="H50" s="7" t="n">
        <v>3733.7</v>
      </c>
      <c r="J50" s="7" t="n">
        <v>7279</v>
      </c>
      <c r="L50" s="7" t="n">
        <v>3712.9</v>
      </c>
      <c r="N50" s="7" t="n">
        <v>7994.1</v>
      </c>
      <c r="P50" s="7" t="n">
        <v>4777.3</v>
      </c>
      <c r="R50" s="7" t="n">
        <v>7650.8</v>
      </c>
      <c r="T50" s="7" t="n">
        <v>8668.1</v>
      </c>
      <c r="V50" s="7" t="n">
        <v>5831.5</v>
      </c>
      <c r="X50" s="7" t="n">
        <v>5119.7</v>
      </c>
      <c r="Z50" s="7" t="n">
        <v>3665.6</v>
      </c>
      <c r="AB50" s="7" t="n">
        <v>65149.4</v>
      </c>
    </row>
    <row r="51">
      <c r="A51" s="4" t="inlineStr">
        <is>
          <t>办公费</t>
        </is>
      </c>
      <c r="D51" s="7" t="n">
        <v>15588.2</v>
      </c>
      <c r="F51" s="7" t="n">
        <v>18828</v>
      </c>
      <c r="H51" s="7" t="n">
        <v>14179</v>
      </c>
      <c r="J51" s="7" t="n">
        <v>48341.8</v>
      </c>
      <c r="L51" s="7" t="n">
        <v>28318.5</v>
      </c>
      <c r="N51" s="7" t="n">
        <v>47012</v>
      </c>
      <c r="P51" s="7" t="n">
        <v>25703.1</v>
      </c>
      <c r="R51" s="7" t="n">
        <v>48284.1</v>
      </c>
      <c r="T51" s="7" t="n">
        <v>30573</v>
      </c>
      <c r="V51" s="7" t="n">
        <v>27759.7</v>
      </c>
      <c r="X51" s="7" t="n">
        <v>17916.2</v>
      </c>
      <c r="Z51" s="7" t="n">
        <v>28737.9</v>
      </c>
      <c r="AB51" s="7" t="n">
        <v>351241.5</v>
      </c>
    </row>
    <row r="52">
      <c r="A52" s="4" t="inlineStr">
        <is>
          <t>市内交通费</t>
        </is>
      </c>
      <c r="D52" s="7" t="n">
        <v>2942.4</v>
      </c>
      <c r="F52" s="7" t="n">
        <v>2434.3</v>
      </c>
      <c r="H52" s="7" t="n">
        <v>3075.2</v>
      </c>
      <c r="J52" s="7" t="n">
        <v>4295.4</v>
      </c>
      <c r="L52" s="7" t="n">
        <v>3345.9</v>
      </c>
      <c r="N52" s="7" t="n">
        <v>5468</v>
      </c>
      <c r="P52" s="7" t="n">
        <v>4916.6</v>
      </c>
      <c r="R52" s="7" t="n">
        <v>3893</v>
      </c>
      <c r="T52" s="7" t="n">
        <v>4924.4</v>
      </c>
      <c r="V52" s="7" t="n">
        <v>3594.6</v>
      </c>
      <c r="X52" s="7" t="n">
        <v>2750.2</v>
      </c>
      <c r="Z52" s="7" t="n">
        <v>2576.8</v>
      </c>
      <c r="AB52" s="7" t="n">
        <v>44216.8</v>
      </c>
    </row>
    <row r="53">
      <c r="A53" s="4" t="inlineStr">
        <is>
          <t>差旅费</t>
        </is>
      </c>
      <c r="D53" s="7" t="n">
        <v>37793</v>
      </c>
      <c r="F53" s="7" t="n">
        <v>35529</v>
      </c>
      <c r="H53" s="7" t="n">
        <v>34393.3</v>
      </c>
      <c r="J53" s="7" t="n">
        <v>62264.9</v>
      </c>
      <c r="L53" s="7" t="n">
        <v>57490.2</v>
      </c>
      <c r="N53" s="7" t="n">
        <v>67590.10000000001</v>
      </c>
      <c r="P53" s="7" t="n">
        <v>59427.4</v>
      </c>
      <c r="R53" s="7" t="n">
        <v>78257.3</v>
      </c>
      <c r="T53" s="7" t="n">
        <v>93678.10000000001</v>
      </c>
      <c r="V53" s="7" t="n">
        <v>62359.1</v>
      </c>
      <c r="X53" s="7" t="n">
        <v>33995.6</v>
      </c>
      <c r="Z53" s="7" t="n">
        <v>59277.4</v>
      </c>
      <c r="AB53" s="7" t="n">
        <v>682055.4</v>
      </c>
    </row>
    <row r="54">
      <c r="A54" s="4" t="inlineStr">
        <is>
          <t>交通费</t>
        </is>
      </c>
      <c r="D54" s="7" t="n">
        <v>3510.4</v>
      </c>
      <c r="F54" s="7" t="n">
        <v>2347.3</v>
      </c>
      <c r="H54" s="7" t="n">
        <v>3005.4</v>
      </c>
      <c r="J54" s="7" t="n">
        <v>6909.5</v>
      </c>
      <c r="L54" s="7" t="n">
        <v>4571.2</v>
      </c>
      <c r="N54" s="7" t="n">
        <v>4687.4</v>
      </c>
      <c r="P54" s="7" t="n">
        <v>4282.4</v>
      </c>
      <c r="R54" s="7" t="n">
        <v>4717.4</v>
      </c>
      <c r="T54" s="7" t="n">
        <v>5850.2</v>
      </c>
      <c r="V54" s="7" t="n">
        <v>5209.6</v>
      </c>
      <c r="X54" s="7" t="n">
        <v>2784.8</v>
      </c>
      <c r="Z54" s="7" t="n">
        <v>2785.5</v>
      </c>
      <c r="AB54" s="7" t="n">
        <v>50661.1</v>
      </c>
    </row>
    <row r="55">
      <c r="A55" s="4" t="inlineStr">
        <is>
          <t>住宿费</t>
        </is>
      </c>
      <c r="D55" s="7" t="n">
        <v>2458.6</v>
      </c>
      <c r="F55" s="7" t="n">
        <v>2288.2</v>
      </c>
      <c r="H55" s="7" t="n">
        <v>2404.2</v>
      </c>
      <c r="J55" s="7" t="n">
        <v>3962.1</v>
      </c>
      <c r="L55" s="7" t="n">
        <v>3373.2</v>
      </c>
      <c r="N55" s="7" t="n">
        <v>5408.3</v>
      </c>
      <c r="P55" s="7" t="n">
        <v>4629.8</v>
      </c>
      <c r="R55" s="7" t="n">
        <v>3323.8</v>
      </c>
      <c r="T55" s="7" t="n">
        <v>3682.4</v>
      </c>
      <c r="V55" s="7" t="n">
        <v>3863.4</v>
      </c>
      <c r="X55" s="7" t="n">
        <v>2104.5</v>
      </c>
      <c r="Z55" s="7" t="n">
        <v>3872.4</v>
      </c>
      <c r="AB55" s="7" t="n">
        <v>41370.9</v>
      </c>
    </row>
    <row r="56">
      <c r="A56" s="4" t="inlineStr">
        <is>
          <t>餐补</t>
        </is>
      </c>
      <c r="D56" s="7" t="n">
        <v>4486.9</v>
      </c>
      <c r="F56" s="7" t="n">
        <v>2858</v>
      </c>
      <c r="H56" s="7" t="n">
        <v>3089.8</v>
      </c>
      <c r="J56" s="7" t="n">
        <v>7221.7</v>
      </c>
      <c r="L56" s="7" t="n">
        <v>4869.6</v>
      </c>
      <c r="N56" s="7" t="n">
        <v>4827.9</v>
      </c>
      <c r="P56" s="7" t="n">
        <v>4193.9</v>
      </c>
      <c r="R56" s="7" t="n">
        <v>5855.8</v>
      </c>
      <c r="T56" s="7" t="n">
        <v>8600.700000000001</v>
      </c>
      <c r="V56" s="7" t="n">
        <v>4517</v>
      </c>
      <c r="X56" s="7" t="n">
        <v>3895.9</v>
      </c>
      <c r="Z56" s="7" t="n">
        <v>4071.5</v>
      </c>
      <c r="AB56" s="7" t="n">
        <v>58488.7</v>
      </c>
    </row>
    <row r="57">
      <c r="A57" s="4" t="inlineStr">
        <is>
          <t>交通补助</t>
        </is>
      </c>
      <c r="D57" s="7" t="n">
        <v>29.4</v>
      </c>
      <c r="F57" s="7" t="n">
        <v>20.9</v>
      </c>
      <c r="H57" s="7" t="n">
        <v>29.9</v>
      </c>
      <c r="J57" s="7" t="n">
        <v>57.2</v>
      </c>
      <c r="L57" s="7" t="n">
        <v>24.7</v>
      </c>
      <c r="N57" s="7" t="n">
        <v>42.2</v>
      </c>
      <c r="P57" s="7" t="n">
        <v>35.2</v>
      </c>
      <c r="R57" s="7" t="n">
        <v>46.7</v>
      </c>
      <c r="T57" s="7" t="n">
        <v>62</v>
      </c>
      <c r="V57" s="7" t="n">
        <v>48.9</v>
      </c>
      <c r="X57" s="7" t="n">
        <v>35.1</v>
      </c>
      <c r="Z57" s="7" t="n">
        <v>38</v>
      </c>
      <c r="AB57" s="7" t="n">
        <v>470.2</v>
      </c>
    </row>
    <row r="58">
      <c r="A58" s="4" t="inlineStr">
        <is>
          <t>通讯补助</t>
        </is>
      </c>
      <c r="D58" s="7" t="n">
        <v>2238.1</v>
      </c>
      <c r="F58" s="7" t="n">
        <v>2241.5</v>
      </c>
      <c r="H58" s="7" t="n">
        <v>2112.6</v>
      </c>
      <c r="J58" s="7" t="n">
        <v>3781.6</v>
      </c>
      <c r="L58" s="7" t="n">
        <v>3170.5</v>
      </c>
      <c r="N58" s="7" t="n">
        <v>3901.1</v>
      </c>
      <c r="P58" s="7" t="n">
        <v>3525.2</v>
      </c>
      <c r="R58" s="7" t="n">
        <v>4874</v>
      </c>
      <c r="T58" s="7" t="n">
        <v>3880.2</v>
      </c>
      <c r="V58" s="7" t="n">
        <v>3489.8</v>
      </c>
      <c r="X58" s="7" t="n">
        <v>2078</v>
      </c>
      <c r="Z58" s="7" t="n">
        <v>2800.5</v>
      </c>
      <c r="AB58" s="7" t="n">
        <v>38093.1</v>
      </c>
    </row>
    <row r="59">
      <c r="A59" s="4" t="inlineStr">
        <is>
          <t>招待费</t>
        </is>
      </c>
      <c r="D59" s="7" t="n">
        <v>21732.7</v>
      </c>
      <c r="F59" s="7" t="n">
        <v>25548.5</v>
      </c>
      <c r="H59" s="7" t="n">
        <v>30889.2</v>
      </c>
      <c r="J59" s="7" t="n">
        <v>65546.8</v>
      </c>
      <c r="L59" s="7" t="n">
        <v>31304.6</v>
      </c>
      <c r="N59" s="7" t="n">
        <v>66797.60000000001</v>
      </c>
      <c r="P59" s="7" t="n">
        <v>33850.2</v>
      </c>
      <c r="R59" s="7" t="n">
        <v>36949.5</v>
      </c>
      <c r="T59" s="7" t="n">
        <v>72102.10000000001</v>
      </c>
      <c r="V59" s="7" t="n">
        <v>41910.7</v>
      </c>
      <c r="X59" s="7" t="n">
        <v>35685.1</v>
      </c>
      <c r="Z59" s="7" t="n">
        <v>36210.2</v>
      </c>
      <c r="AB59" s="7" t="n">
        <v>498527.2</v>
      </c>
    </row>
    <row r="60">
      <c r="A60" s="4" t="inlineStr">
        <is>
          <t>通讯费</t>
        </is>
      </c>
      <c r="D60" s="7" t="n">
        <v>1778.5</v>
      </c>
      <c r="F60" s="7" t="n">
        <v>1789.4</v>
      </c>
      <c r="H60" s="7" t="n">
        <v>1924.5</v>
      </c>
      <c r="J60" s="7" t="n">
        <v>3813.7</v>
      </c>
      <c r="L60" s="7" t="n">
        <v>1947.8</v>
      </c>
      <c r="N60" s="7" t="n">
        <v>2392.9</v>
      </c>
      <c r="P60" s="7" t="n">
        <v>2361.1</v>
      </c>
      <c r="R60" s="7" t="n">
        <v>3277.5</v>
      </c>
      <c r="T60" s="7" t="n">
        <v>3007.2</v>
      </c>
      <c r="V60" s="7" t="n">
        <v>2415.9</v>
      </c>
      <c r="X60" s="7" t="n">
        <v>2401.8</v>
      </c>
      <c r="Z60" s="7" t="n">
        <v>1840.3</v>
      </c>
      <c r="AB60" s="7" t="n">
        <v>28950.6</v>
      </c>
    </row>
    <row r="61">
      <c r="A61" s="4" t="inlineStr">
        <is>
          <t>网络费</t>
        </is>
      </c>
      <c r="D61" s="7" t="n">
        <v>1001.9</v>
      </c>
      <c r="F61" s="7" t="n">
        <v>1334.2</v>
      </c>
      <c r="H61" s="7" t="n">
        <v>1514</v>
      </c>
      <c r="J61" s="7" t="n">
        <v>3288.6</v>
      </c>
      <c r="L61" s="7" t="n">
        <v>1643.5</v>
      </c>
      <c r="N61" s="7" t="n">
        <v>1846.6</v>
      </c>
      <c r="P61" s="7" t="n">
        <v>1912</v>
      </c>
      <c r="R61" s="7" t="n">
        <v>2548</v>
      </c>
      <c r="T61" s="7" t="n">
        <v>2254.9</v>
      </c>
      <c r="V61" s="7" t="n">
        <v>2421.3</v>
      </c>
      <c r="X61" s="7" t="n">
        <v>1671.8</v>
      </c>
      <c r="Z61" s="7" t="n">
        <v>1745.7</v>
      </c>
      <c r="AB61" s="7" t="n">
        <v>23182.5</v>
      </c>
    </row>
    <row r="62">
      <c r="A62" s="4" t="inlineStr">
        <is>
          <t>修理费</t>
        </is>
      </c>
      <c r="D62" s="7" t="n">
        <v>2632.5</v>
      </c>
      <c r="F62" s="7" t="n">
        <v>3574.9</v>
      </c>
      <c r="H62" s="7" t="n">
        <v>3972.3</v>
      </c>
      <c r="J62" s="7" t="n">
        <v>8536.200000000001</v>
      </c>
      <c r="L62" s="7" t="n">
        <v>4825.9</v>
      </c>
      <c r="N62" s="7" t="n">
        <v>5165.5</v>
      </c>
      <c r="P62" s="7" t="n">
        <v>5624.3</v>
      </c>
      <c r="R62" s="7" t="n">
        <v>6376.9</v>
      </c>
      <c r="T62" s="7" t="n">
        <v>8016</v>
      </c>
      <c r="V62" s="7" t="n">
        <v>5018.9</v>
      </c>
      <c r="X62" s="7" t="n">
        <v>2643.8</v>
      </c>
      <c r="Z62" s="7" t="n">
        <v>5561</v>
      </c>
      <c r="AB62" s="7" t="n">
        <v>61948.2</v>
      </c>
    </row>
    <row r="63">
      <c r="A63" s="4" t="inlineStr">
        <is>
          <t>车辆费</t>
        </is>
      </c>
      <c r="D63" s="7" t="n">
        <v>3135</v>
      </c>
      <c r="F63" s="7" t="n">
        <v>1947.8</v>
      </c>
      <c r="H63" s="7" t="n">
        <v>2890.5</v>
      </c>
      <c r="J63" s="7" t="n">
        <v>4357.7</v>
      </c>
      <c r="L63" s="7" t="n">
        <v>3913.2</v>
      </c>
      <c r="N63" s="7" t="n">
        <v>6429.5</v>
      </c>
      <c r="P63" s="7" t="n">
        <v>3897</v>
      </c>
      <c r="R63" s="7" t="n">
        <v>6060</v>
      </c>
      <c r="T63" s="7" t="n">
        <v>5585</v>
      </c>
      <c r="V63" s="7" t="n">
        <v>5419.7</v>
      </c>
      <c r="X63" s="7" t="n">
        <v>2975.9</v>
      </c>
      <c r="Z63" s="7" t="n">
        <v>3190.2</v>
      </c>
      <c r="AB63" s="7" t="n">
        <v>49801.5</v>
      </c>
    </row>
    <row r="64">
      <c r="A64" s="4" t="inlineStr">
        <is>
          <t>租赁费</t>
        </is>
      </c>
      <c r="D64" s="7" t="n">
        <v>28517.1</v>
      </c>
      <c r="F64" s="7" t="n">
        <v>25618.9</v>
      </c>
      <c r="H64" s="7" t="n">
        <v>31573</v>
      </c>
      <c r="J64" s="7" t="n">
        <v>51213.7</v>
      </c>
      <c r="L64" s="7" t="n">
        <v>33872.8</v>
      </c>
      <c r="N64" s="7" t="n">
        <v>56294.6</v>
      </c>
      <c r="P64" s="7" t="n">
        <v>34558.4</v>
      </c>
      <c r="R64" s="7" t="n">
        <v>69004.7</v>
      </c>
      <c r="T64" s="7" t="n">
        <v>70446.39999999999</v>
      </c>
      <c r="V64" s="7" t="n">
        <v>40119.8</v>
      </c>
      <c r="X64" s="7" t="n">
        <v>33680.8</v>
      </c>
      <c r="Z64" s="7" t="n">
        <v>38685.7</v>
      </c>
      <c r="AB64" s="7" t="n">
        <v>513585.9</v>
      </c>
    </row>
    <row r="65">
      <c r="A65" s="4" t="inlineStr">
        <is>
          <t>能源费</t>
        </is>
      </c>
      <c r="D65" s="7" t="n">
        <v>9908.299999999999</v>
      </c>
      <c r="F65" s="7" t="n">
        <v>8491.1</v>
      </c>
      <c r="H65" s="7" t="n">
        <v>7526.3</v>
      </c>
      <c r="J65" s="7" t="n">
        <v>20113.2</v>
      </c>
      <c r="L65" s="7" t="n">
        <v>13690</v>
      </c>
      <c r="N65" s="7" t="n">
        <v>19024.8</v>
      </c>
      <c r="P65" s="7" t="n">
        <v>14168.4</v>
      </c>
      <c r="R65" s="7" t="n">
        <v>18139.6</v>
      </c>
      <c r="T65" s="7" t="n">
        <v>18137.4</v>
      </c>
      <c r="V65" s="7" t="n">
        <v>13005.7</v>
      </c>
      <c r="X65" s="7" t="n">
        <v>8838.5</v>
      </c>
      <c r="Z65" s="7" t="n">
        <v>10648.2</v>
      </c>
      <c r="AB65" s="7" t="n">
        <v>161691.5</v>
      </c>
    </row>
    <row r="66">
      <c r="A66" s="4" t="inlineStr">
        <is>
          <t>水费</t>
        </is>
      </c>
      <c r="D66" s="7" t="n">
        <v>222.1</v>
      </c>
      <c r="F66" s="7" t="n">
        <v>163.7</v>
      </c>
      <c r="H66" s="7" t="n">
        <v>244.2</v>
      </c>
      <c r="J66" s="7" t="n">
        <v>495</v>
      </c>
      <c r="L66" s="7" t="n">
        <v>363.7</v>
      </c>
      <c r="N66" s="7" t="n">
        <v>514.6</v>
      </c>
      <c r="P66" s="7" t="n">
        <v>367.8</v>
      </c>
      <c r="R66" s="7" t="n">
        <v>402.4</v>
      </c>
      <c r="T66" s="7" t="n">
        <v>586.8</v>
      </c>
      <c r="V66" s="7" t="n">
        <v>387.4</v>
      </c>
      <c r="X66" s="7" t="n">
        <v>287.9</v>
      </c>
      <c r="Z66" s="7" t="n">
        <v>312.5</v>
      </c>
      <c r="AB66" s="7" t="n">
        <v>4348.1</v>
      </c>
    </row>
    <row r="67">
      <c r="A67" s="4" t="inlineStr">
        <is>
          <t>电费</t>
        </is>
      </c>
      <c r="D67" s="7" t="n">
        <v>4850.3</v>
      </c>
      <c r="F67" s="7" t="n">
        <v>3594.1</v>
      </c>
      <c r="H67" s="7" t="n">
        <v>3256.1</v>
      </c>
      <c r="J67" s="7" t="n">
        <v>10079.8</v>
      </c>
      <c r="L67" s="7" t="n">
        <v>6857.5</v>
      </c>
      <c r="N67" s="7" t="n">
        <v>8160</v>
      </c>
      <c r="P67" s="7" t="n">
        <v>6057</v>
      </c>
      <c r="R67" s="7" t="n">
        <v>9114.6</v>
      </c>
      <c r="T67" s="7" t="n">
        <v>10045.6</v>
      </c>
      <c r="V67" s="7" t="n">
        <v>6088.7</v>
      </c>
      <c r="X67" s="7" t="n">
        <v>3964.6</v>
      </c>
      <c r="Z67" s="7" t="n">
        <v>4625</v>
      </c>
      <c r="AB67" s="7" t="n">
        <v>76693.3</v>
      </c>
    </row>
    <row r="68">
      <c r="A68" s="4" t="inlineStr">
        <is>
          <t>燃气费</t>
        </is>
      </c>
      <c r="D68" s="7" t="n">
        <v>3979.7</v>
      </c>
      <c r="F68" s="7" t="n">
        <v>4049.2</v>
      </c>
      <c r="H68" s="7" t="n">
        <v>3456.8</v>
      </c>
      <c r="J68" s="7" t="n">
        <v>8404.299999999999</v>
      </c>
      <c r="L68" s="7" t="n">
        <v>5324.8</v>
      </c>
      <c r="N68" s="7" t="n">
        <v>8631.200000000001</v>
      </c>
      <c r="P68" s="7" t="n">
        <v>6766</v>
      </c>
      <c r="R68" s="7" t="n">
        <v>7054</v>
      </c>
      <c r="T68" s="7" t="n">
        <v>5665.6</v>
      </c>
      <c r="V68" s="7" t="n">
        <v>5417.5</v>
      </c>
      <c r="X68" s="7" t="n">
        <v>3806.4</v>
      </c>
      <c r="Z68" s="7" t="n">
        <v>4788.7</v>
      </c>
      <c r="AB68" s="7" t="n">
        <v>67344.2</v>
      </c>
    </row>
    <row r="69">
      <c r="A69" s="4" t="inlineStr">
        <is>
          <t>蒸汽费</t>
        </is>
      </c>
      <c r="D69" s="7" t="n">
        <v>856.2</v>
      </c>
      <c r="F69" s="7" t="n">
        <v>684.1</v>
      </c>
      <c r="H69" s="7" t="n">
        <v>569.2</v>
      </c>
      <c r="J69" s="7" t="n">
        <v>1134.1</v>
      </c>
      <c r="L69" s="7" t="n">
        <v>1144</v>
      </c>
      <c r="N69" s="7" t="n">
        <v>1719</v>
      </c>
      <c r="P69" s="7" t="n">
        <v>977.6</v>
      </c>
      <c r="R69" s="7" t="n">
        <v>1568.6</v>
      </c>
      <c r="T69" s="7" t="n">
        <v>1839.4</v>
      </c>
      <c r="V69" s="7" t="n">
        <v>1112.1</v>
      </c>
      <c r="X69" s="7" t="n">
        <v>779.6</v>
      </c>
      <c r="Z69" s="7" t="n">
        <v>922</v>
      </c>
      <c r="AB69" s="7" t="n">
        <v>13305.9</v>
      </c>
    </row>
    <row r="70">
      <c r="A70" s="4" t="inlineStr">
        <is>
          <t>物业费</t>
        </is>
      </c>
      <c r="D70" s="7" t="n">
        <v>2758.5</v>
      </c>
      <c r="F70" s="7" t="n">
        <v>3005.3</v>
      </c>
      <c r="H70" s="7" t="n">
        <v>2479.3</v>
      </c>
      <c r="J70" s="7" t="n">
        <v>4894.4</v>
      </c>
      <c r="L70" s="7" t="n">
        <v>4151</v>
      </c>
      <c r="N70" s="7" t="n">
        <v>5593.8</v>
      </c>
      <c r="P70" s="7" t="n">
        <v>4645</v>
      </c>
      <c r="R70" s="7" t="n">
        <v>5029.8</v>
      </c>
      <c r="T70" s="7" t="n">
        <v>6668.8</v>
      </c>
      <c r="V70" s="7" t="n">
        <v>4070.8</v>
      </c>
      <c r="X70" s="7" t="n">
        <v>2536.1</v>
      </c>
      <c r="Z70" s="7" t="n">
        <v>3879.9</v>
      </c>
      <c r="AB70" s="7" t="n">
        <v>49712.7</v>
      </c>
    </row>
    <row r="71">
      <c r="A71" s="4" t="inlineStr">
        <is>
          <t>劳动保护费</t>
        </is>
      </c>
      <c r="D71" s="7" t="n">
        <v>423.4</v>
      </c>
      <c r="F71" s="7" t="n">
        <v>306.6</v>
      </c>
      <c r="H71" s="7" t="n">
        <v>331.7</v>
      </c>
      <c r="J71" s="7" t="n">
        <v>716.5</v>
      </c>
      <c r="L71" s="7" t="n">
        <v>428.5</v>
      </c>
      <c r="N71" s="7" t="n">
        <v>687.5</v>
      </c>
      <c r="P71" s="7" t="n">
        <v>594</v>
      </c>
      <c r="R71" s="7" t="n">
        <v>528.9</v>
      </c>
      <c r="T71" s="7" t="n">
        <v>908.8</v>
      </c>
      <c r="V71" s="7" t="n">
        <v>369</v>
      </c>
      <c r="X71" s="7" t="n">
        <v>289.3</v>
      </c>
      <c r="Z71" s="7" t="n">
        <v>527.1</v>
      </c>
      <c r="AB71" s="7" t="n">
        <v>6111.3</v>
      </c>
    </row>
    <row r="72">
      <c r="A72" s="4" t="inlineStr">
        <is>
          <t>顾问费</t>
        </is>
      </c>
      <c r="D72" s="7" t="n">
        <v>3089.2</v>
      </c>
      <c r="F72" s="7" t="n">
        <v>2897.1</v>
      </c>
      <c r="H72" s="7" t="n">
        <v>3629.1</v>
      </c>
      <c r="J72" s="7" t="n">
        <v>5071.4</v>
      </c>
      <c r="L72" s="7" t="n">
        <v>5165.2</v>
      </c>
      <c r="N72" s="7" t="n">
        <v>8120.9</v>
      </c>
      <c r="P72" s="7" t="n">
        <v>6122.5</v>
      </c>
      <c r="R72" s="7" t="n">
        <v>7031.9</v>
      </c>
      <c r="T72" s="7" t="n">
        <v>4947.5</v>
      </c>
      <c r="V72" s="7" t="n">
        <v>3881.6</v>
      </c>
      <c r="X72" s="7" t="n">
        <v>2955.5</v>
      </c>
      <c r="Z72" s="7" t="n">
        <v>4474.1</v>
      </c>
      <c r="AB72" s="7" t="n">
        <v>57386</v>
      </c>
    </row>
    <row r="73">
      <c r="A73" s="4" t="inlineStr">
        <is>
          <t>快递费</t>
        </is>
      </c>
      <c r="D73" s="7" t="n">
        <v>1763</v>
      </c>
      <c r="F73" s="7" t="n">
        <v>1201.4</v>
      </c>
      <c r="H73" s="7" t="n">
        <v>1856.3</v>
      </c>
      <c r="J73" s="7" t="n">
        <v>3025.1</v>
      </c>
      <c r="L73" s="7" t="n">
        <v>2286.6</v>
      </c>
      <c r="N73" s="7" t="n">
        <v>4157.7</v>
      </c>
      <c r="P73" s="7" t="n">
        <v>2200.1</v>
      </c>
      <c r="R73" s="7" t="n">
        <v>4161.1</v>
      </c>
      <c r="T73" s="7" t="n">
        <v>3432.9</v>
      </c>
      <c r="V73" s="7" t="n">
        <v>3211.5</v>
      </c>
      <c r="X73" s="7" t="n">
        <v>1715.7</v>
      </c>
      <c r="Z73" s="7" t="n">
        <v>1673.2</v>
      </c>
      <c r="AB73" s="7" t="n">
        <v>30684.6</v>
      </c>
    </row>
    <row r="74">
      <c r="A74" s="4" t="inlineStr">
        <is>
          <t>诉讼费</t>
        </is>
      </c>
      <c r="D74" s="7" t="n">
        <v>45.3</v>
      </c>
      <c r="F74" s="7" t="n">
        <v>28.8</v>
      </c>
      <c r="H74" s="7" t="n">
        <v>27.1</v>
      </c>
      <c r="J74" s="7" t="n">
        <v>62</v>
      </c>
      <c r="L74" s="7" t="n">
        <v>42.1</v>
      </c>
      <c r="N74" s="7" t="n">
        <v>71.40000000000001</v>
      </c>
      <c r="P74" s="7" t="n">
        <v>38</v>
      </c>
      <c r="R74" s="7" t="n">
        <v>76.8</v>
      </c>
      <c r="T74" s="7" t="n">
        <v>88.7</v>
      </c>
      <c r="V74" s="7" t="n">
        <v>47.5</v>
      </c>
      <c r="X74" s="7" t="n">
        <v>47.9</v>
      </c>
      <c r="Z74" s="7" t="n">
        <v>56.4</v>
      </c>
      <c r="AB74" s="7" t="n">
        <v>632</v>
      </c>
    </row>
    <row r="75">
      <c r="A75" s="4" t="inlineStr">
        <is>
          <t>会员费</t>
        </is>
      </c>
      <c r="D75" s="7" t="n">
        <v>1139.2</v>
      </c>
      <c r="F75" s="7" t="n">
        <v>830.3</v>
      </c>
      <c r="H75" s="7" t="n">
        <v>899.6</v>
      </c>
      <c r="J75" s="7" t="n">
        <v>1906.2</v>
      </c>
      <c r="L75" s="7" t="n">
        <v>1229.4</v>
      </c>
      <c r="N75" s="7" t="n">
        <v>2064.1</v>
      </c>
      <c r="P75" s="7" t="n">
        <v>1650</v>
      </c>
      <c r="R75" s="7" t="n">
        <v>1952.7</v>
      </c>
      <c r="T75" s="7" t="n">
        <v>1752</v>
      </c>
      <c r="V75" s="7" t="n">
        <v>1398.2</v>
      </c>
      <c r="X75" s="7" t="n">
        <v>1432.4</v>
      </c>
      <c r="Z75" s="7" t="n">
        <v>1612.6</v>
      </c>
      <c r="AB75" s="7" t="n">
        <v>17866.7</v>
      </c>
    </row>
    <row r="76">
      <c r="A76" s="4" t="inlineStr">
        <is>
          <t>广告宣传费</t>
        </is>
      </c>
      <c r="D76" s="7" t="n">
        <v>15659.4</v>
      </c>
      <c r="F76" s="7" t="n">
        <v>22388.7</v>
      </c>
      <c r="H76" s="7" t="n">
        <v>21641.5</v>
      </c>
      <c r="J76" s="7" t="n">
        <v>31126</v>
      </c>
      <c r="L76" s="7" t="n">
        <v>19125.6</v>
      </c>
      <c r="N76" s="7" t="n">
        <v>27728</v>
      </c>
      <c r="P76" s="7" t="n">
        <v>33122.2</v>
      </c>
      <c r="R76" s="7" t="n">
        <v>38250.8</v>
      </c>
      <c r="T76" s="7" t="n">
        <v>40323.2</v>
      </c>
      <c r="V76" s="7" t="n">
        <v>37808.5</v>
      </c>
      <c r="X76" s="7" t="n">
        <v>16669.6</v>
      </c>
      <c r="Z76" s="7" t="n">
        <v>28271.4</v>
      </c>
      <c r="AB76" s="7" t="n">
        <v>332114.9</v>
      </c>
    </row>
    <row r="77">
      <c r="A77" s="4" t="inlineStr">
        <is>
          <t>会务费</t>
        </is>
      </c>
      <c r="D77" s="7" t="n">
        <v>1748.6</v>
      </c>
      <c r="F77" s="7" t="n">
        <v>1839</v>
      </c>
      <c r="H77" s="7" t="n">
        <v>1896.9</v>
      </c>
      <c r="J77" s="7" t="n">
        <v>3463.1</v>
      </c>
      <c r="L77" s="7" t="n">
        <v>1890.2</v>
      </c>
      <c r="N77" s="7" t="n">
        <v>3572.8</v>
      </c>
      <c r="P77" s="7" t="n">
        <v>2740.8</v>
      </c>
      <c r="R77" s="7" t="n">
        <v>3399.8</v>
      </c>
      <c r="T77" s="7" t="n">
        <v>3479.1</v>
      </c>
      <c r="V77" s="7" t="n">
        <v>2155</v>
      </c>
      <c r="X77" s="7" t="n">
        <v>2144.8</v>
      </c>
      <c r="Z77" s="7" t="n">
        <v>2478.4</v>
      </c>
      <c r="AB77" s="7" t="n">
        <v>30808.5</v>
      </c>
    </row>
    <row r="78">
      <c r="A78" s="4" t="inlineStr">
        <is>
          <t>装修费</t>
        </is>
      </c>
      <c r="D78" s="7" t="n">
        <v>3079.5</v>
      </c>
      <c r="F78" s="7" t="n">
        <v>3194.8</v>
      </c>
      <c r="H78" s="7" t="n">
        <v>3440.4</v>
      </c>
      <c r="J78" s="7" t="n">
        <v>7585.3</v>
      </c>
      <c r="L78" s="7" t="n">
        <v>4383.9</v>
      </c>
      <c r="N78" s="7" t="n">
        <v>9310.299999999999</v>
      </c>
      <c r="P78" s="7" t="n">
        <v>5633.3</v>
      </c>
      <c r="R78" s="7" t="n">
        <v>8014.3</v>
      </c>
      <c r="T78" s="7" t="n">
        <v>5957.4</v>
      </c>
      <c r="V78" s="7" t="n">
        <v>5347.7</v>
      </c>
      <c r="X78" s="7" t="n">
        <v>4579.2</v>
      </c>
      <c r="Z78" s="7" t="n">
        <v>3786</v>
      </c>
      <c r="AB78" s="7" t="n">
        <v>64312.1</v>
      </c>
    </row>
    <row r="79">
      <c r="A79" s="4" t="inlineStr">
        <is>
          <t>推广费</t>
        </is>
      </c>
      <c r="D79" s="7" t="n">
        <v>4074.6</v>
      </c>
      <c r="F79" s="7" t="n">
        <v>3555.9</v>
      </c>
      <c r="H79" s="7" t="n">
        <v>3664.2</v>
      </c>
      <c r="J79" s="7" t="n">
        <v>6239.9</v>
      </c>
      <c r="L79" s="7" t="n">
        <v>3073.2</v>
      </c>
      <c r="N79" s="7" t="n">
        <v>7709.2</v>
      </c>
      <c r="P79" s="7" t="n">
        <v>3519.6</v>
      </c>
      <c r="R79" s="7" t="n">
        <v>6061.5</v>
      </c>
      <c r="T79" s="7" t="n">
        <v>7671.4</v>
      </c>
      <c r="V79" s="7" t="n">
        <v>5960</v>
      </c>
      <c r="X79" s="7" t="n">
        <v>2650.5</v>
      </c>
      <c r="Z79" s="7" t="n">
        <v>4497.7</v>
      </c>
      <c r="AB79" s="7" t="n">
        <v>58677.7</v>
      </c>
    </row>
    <row r="80">
      <c r="A80" s="4" t="inlineStr">
        <is>
          <t>展会费</t>
        </is>
      </c>
      <c r="D80" s="7" t="n">
        <v>3059</v>
      </c>
      <c r="F80" s="7" t="n">
        <v>2200.8</v>
      </c>
      <c r="H80" s="7" t="n">
        <v>3104.2</v>
      </c>
      <c r="J80" s="7" t="n">
        <v>8118.8</v>
      </c>
      <c r="L80" s="7" t="n">
        <v>4406.3</v>
      </c>
      <c r="N80" s="7" t="n">
        <v>6870.1</v>
      </c>
      <c r="P80" s="7" t="n">
        <v>5006.5</v>
      </c>
      <c r="R80" s="7" t="n">
        <v>7670.1</v>
      </c>
      <c r="T80" s="7" t="n">
        <v>6965.3</v>
      </c>
      <c r="V80" s="7" t="n">
        <v>6505</v>
      </c>
      <c r="X80" s="7" t="n">
        <v>4566.2</v>
      </c>
      <c r="Z80" s="7" t="n">
        <v>3969.4</v>
      </c>
      <c r="AB80" s="7" t="n">
        <v>62441.7</v>
      </c>
    </row>
    <row r="81">
      <c r="A81" s="4" t="inlineStr">
        <is>
          <t>设计费</t>
        </is>
      </c>
      <c r="D81" s="7" t="n">
        <v>191.3</v>
      </c>
      <c r="F81" s="7" t="n">
        <v>153.1</v>
      </c>
      <c r="H81" s="7" t="n">
        <v>172.3</v>
      </c>
      <c r="J81" s="7" t="n">
        <v>319.7</v>
      </c>
      <c r="L81" s="7" t="n">
        <v>146.4</v>
      </c>
      <c r="N81" s="7" t="n">
        <v>296.9</v>
      </c>
      <c r="P81" s="7" t="n">
        <v>180.9</v>
      </c>
      <c r="R81" s="7" t="n">
        <v>217.6</v>
      </c>
      <c r="T81" s="7" t="n">
        <v>418.9</v>
      </c>
      <c r="V81" s="7" t="n">
        <v>267.4</v>
      </c>
      <c r="X81" s="7" t="n">
        <v>184.2</v>
      </c>
      <c r="Z81" s="7" t="n">
        <v>175.4</v>
      </c>
      <c r="AB81" s="7" t="n">
        <v>2724.1</v>
      </c>
    </row>
    <row r="82">
      <c r="A82" s="4" t="inlineStr">
        <is>
          <t>折旧费</t>
        </is>
      </c>
      <c r="D82" s="7" t="n">
        <v>19745</v>
      </c>
      <c r="F82" s="7" t="n">
        <v>23067</v>
      </c>
      <c r="H82" s="7" t="n">
        <v>31704.8</v>
      </c>
      <c r="J82" s="7" t="n">
        <v>46081.4</v>
      </c>
      <c r="L82" s="7" t="n">
        <v>26752.7</v>
      </c>
      <c r="N82" s="7" t="n">
        <v>45265</v>
      </c>
      <c r="P82" s="7" t="n">
        <v>47356.3</v>
      </c>
      <c r="R82" s="7" t="n">
        <v>36426</v>
      </c>
      <c r="T82" s="7" t="n">
        <v>42860.4</v>
      </c>
      <c r="V82" s="7" t="n">
        <v>31348.8</v>
      </c>
      <c r="X82" s="7" t="n">
        <v>31233.3</v>
      </c>
      <c r="Z82" s="7" t="n">
        <v>27461.2</v>
      </c>
      <c r="AB82" s="7" t="n">
        <v>409301.9</v>
      </c>
    </row>
    <row r="83">
      <c r="A83" s="4" t="inlineStr">
        <is>
          <t>认证费</t>
        </is>
      </c>
      <c r="D83" s="7" t="n">
        <v>2285.2</v>
      </c>
      <c r="F83" s="7" t="n">
        <v>1442.2</v>
      </c>
      <c r="H83" s="7" t="n">
        <v>2148.2</v>
      </c>
      <c r="J83" s="7" t="n">
        <v>3857.9</v>
      </c>
      <c r="L83" s="7" t="n">
        <v>2964.3</v>
      </c>
      <c r="N83" s="7" t="n">
        <v>4644.7</v>
      </c>
      <c r="P83" s="7" t="n">
        <v>2585.4</v>
      </c>
      <c r="R83" s="7" t="n">
        <v>2825.7</v>
      </c>
      <c r="T83" s="7" t="n">
        <v>3220.6</v>
      </c>
      <c r="V83" s="7" t="n">
        <v>3594.9</v>
      </c>
      <c r="X83" s="7" t="n">
        <v>1717.8</v>
      </c>
      <c r="Z83" s="7" t="n">
        <v>2536.9</v>
      </c>
      <c r="AB83" s="7" t="n">
        <v>33823.8</v>
      </c>
    </row>
    <row r="84">
      <c r="A84" s="4" t="inlineStr">
        <is>
          <t>样品费</t>
        </is>
      </c>
      <c r="D84" s="7" t="n">
        <v>17072.9</v>
      </c>
      <c r="F84" s="7" t="n">
        <v>13359.6</v>
      </c>
      <c r="H84" s="7" t="n">
        <v>11033.3</v>
      </c>
      <c r="J84" s="7" t="n">
        <v>25630.1</v>
      </c>
      <c r="L84" s="7" t="n">
        <v>18576.1</v>
      </c>
      <c r="N84" s="7" t="n">
        <v>21536.3</v>
      </c>
      <c r="P84" s="7" t="n">
        <v>22233.7</v>
      </c>
      <c r="R84" s="7" t="n">
        <v>23316.2</v>
      </c>
      <c r="T84" s="7" t="n">
        <v>30327.9</v>
      </c>
      <c r="V84" s="7" t="n">
        <v>22462.5</v>
      </c>
      <c r="X84" s="7" t="n">
        <v>11391.3</v>
      </c>
      <c r="Z84" s="7" t="n">
        <v>13902.1</v>
      </c>
      <c r="AB84" s="7" t="n">
        <v>230842</v>
      </c>
    </row>
    <row r="85">
      <c r="A85" s="4" t="inlineStr">
        <is>
          <t>劳务费</t>
        </is>
      </c>
      <c r="D85" s="7" t="n">
        <v>1516.8</v>
      </c>
      <c r="F85" s="7" t="n">
        <v>1724.7</v>
      </c>
      <c r="H85" s="7" t="n">
        <v>1970.8</v>
      </c>
      <c r="J85" s="7" t="n">
        <v>3543.3</v>
      </c>
      <c r="L85" s="7" t="n">
        <v>2081.6</v>
      </c>
      <c r="N85" s="7" t="n">
        <v>3826.8</v>
      </c>
      <c r="P85" s="7" t="n">
        <v>2509.5</v>
      </c>
      <c r="R85" s="7" t="n">
        <v>2645.1</v>
      </c>
      <c r="T85" s="7" t="n">
        <v>4464.7</v>
      </c>
      <c r="V85" s="7" t="n">
        <v>1800.6</v>
      </c>
      <c r="X85" s="7" t="n">
        <v>2431.1</v>
      </c>
      <c r="Z85" s="7" t="n">
        <v>2200.6</v>
      </c>
      <c r="AB85" s="7" t="n">
        <v>30715.6</v>
      </c>
    </row>
    <row r="86">
      <c r="A86" s="4" t="inlineStr">
        <is>
          <t>销售佣金</t>
        </is>
      </c>
      <c r="D86" s="7" t="n">
        <v>3742</v>
      </c>
      <c r="F86" s="7" t="n">
        <v>2837.7</v>
      </c>
      <c r="H86" s="7" t="n">
        <v>2110.3</v>
      </c>
      <c r="J86" s="7" t="n">
        <v>7396</v>
      </c>
      <c r="L86" s="7" t="n">
        <v>4132</v>
      </c>
      <c r="N86" s="7" t="n">
        <v>7383.1</v>
      </c>
      <c r="P86" s="7" t="n">
        <v>4158.8</v>
      </c>
      <c r="R86" s="7" t="n">
        <v>7152.7</v>
      </c>
      <c r="T86" s="7" t="n">
        <v>7552.6</v>
      </c>
      <c r="V86" s="7" t="n">
        <v>3903.7</v>
      </c>
      <c r="X86" s="7" t="n">
        <v>2832.6</v>
      </c>
      <c r="Z86" s="7" t="n">
        <v>2931.9</v>
      </c>
      <c r="AB86" s="7" t="n">
        <v>56133.4</v>
      </c>
    </row>
    <row r="87">
      <c r="A87" s="4" t="inlineStr">
        <is>
          <t>检测费</t>
        </is>
      </c>
      <c r="D87" s="7" t="n">
        <v>2641.4</v>
      </c>
      <c r="F87" s="7" t="n">
        <v>2870.3</v>
      </c>
      <c r="H87" s="7" t="n">
        <v>3228.5</v>
      </c>
      <c r="J87" s="7" t="n">
        <v>6505.1</v>
      </c>
      <c r="L87" s="7" t="n">
        <v>3877.4</v>
      </c>
      <c r="N87" s="7" t="n">
        <v>4566.9</v>
      </c>
      <c r="P87" s="7" t="n">
        <v>3774</v>
      </c>
      <c r="R87" s="7" t="n">
        <v>6144.5</v>
      </c>
      <c r="T87" s="7" t="n">
        <v>4843.5</v>
      </c>
      <c r="V87" s="7" t="n">
        <v>4297.9</v>
      </c>
      <c r="X87" s="7" t="n">
        <v>3504.8</v>
      </c>
      <c r="Z87" s="7" t="n">
        <v>4467</v>
      </c>
      <c r="AB87" s="7" t="n">
        <v>50721.3</v>
      </c>
    </row>
    <row r="88">
      <c r="A88" s="4" t="inlineStr">
        <is>
          <t>质量赔偿</t>
        </is>
      </c>
      <c r="D88" s="7" t="n">
        <v>39.2</v>
      </c>
      <c r="F88" s="7" t="n">
        <v>34.4</v>
      </c>
      <c r="H88" s="7" t="n">
        <v>49.7</v>
      </c>
      <c r="J88" s="7" t="n">
        <v>86.7</v>
      </c>
      <c r="L88" s="7" t="n">
        <v>58.5</v>
      </c>
      <c r="N88" s="7" t="n">
        <v>83.40000000000001</v>
      </c>
      <c r="P88" s="7" t="n">
        <v>54.6</v>
      </c>
      <c r="R88" s="7" t="n">
        <v>76.09999999999999</v>
      </c>
      <c r="T88" s="7" t="n">
        <v>138.4</v>
      </c>
      <c r="V88" s="7" t="n">
        <v>83.59999999999999</v>
      </c>
      <c r="X88" s="7" t="n">
        <v>69.7</v>
      </c>
      <c r="Z88" s="7" t="n">
        <v>86.5</v>
      </c>
      <c r="AB88" s="7" t="n">
        <v>860.8</v>
      </c>
    </row>
    <row r="89">
      <c r="A89" s="4" t="inlineStr">
        <is>
          <t>保险费</t>
        </is>
      </c>
      <c r="D89" s="7" t="n">
        <v>3099.7</v>
      </c>
      <c r="F89" s="7" t="n">
        <v>1856.5</v>
      </c>
      <c r="H89" s="7" t="n">
        <v>3324.6</v>
      </c>
      <c r="J89" s="7" t="n">
        <v>4326.6</v>
      </c>
      <c r="L89" s="7" t="n">
        <v>3926.8</v>
      </c>
      <c r="N89" s="7" t="n">
        <v>6759.3</v>
      </c>
      <c r="P89" s="7" t="n">
        <v>4239.7</v>
      </c>
      <c r="R89" s="7" t="n">
        <v>6885.2</v>
      </c>
      <c r="T89" s="7" t="n">
        <v>7234.8</v>
      </c>
      <c r="V89" s="7" t="n">
        <v>4553.1</v>
      </c>
      <c r="X89" s="7" t="n">
        <v>2638.3</v>
      </c>
      <c r="Z89" s="7" t="n">
        <v>3561</v>
      </c>
      <c r="AB89" s="7" t="n">
        <v>52405.6</v>
      </c>
    </row>
    <row r="90">
      <c r="A90" s="4" t="inlineStr">
        <is>
          <t>清洁费</t>
        </is>
      </c>
      <c r="D90" s="7" t="n">
        <v>4379.8</v>
      </c>
      <c r="F90" s="7" t="n">
        <v>4423.1</v>
      </c>
      <c r="H90" s="7" t="n">
        <v>3479.3</v>
      </c>
      <c r="J90" s="7" t="n">
        <v>7802.4</v>
      </c>
      <c r="L90" s="7" t="n">
        <v>6541.9</v>
      </c>
      <c r="N90" s="7" t="n">
        <v>9293.1</v>
      </c>
      <c r="P90" s="7" t="n">
        <v>5349.2</v>
      </c>
      <c r="R90" s="7" t="n">
        <v>6289.9</v>
      </c>
      <c r="T90" s="7" t="n">
        <v>6384.6</v>
      </c>
      <c r="V90" s="7" t="n">
        <v>6972.3</v>
      </c>
      <c r="X90" s="7" t="n">
        <v>4223.8</v>
      </c>
      <c r="Z90" s="7" t="n">
        <v>4795.1</v>
      </c>
      <c r="AB90" s="7" t="n">
        <v>69934.5</v>
      </c>
    </row>
    <row r="91">
      <c r="A91" s="4" t="inlineStr">
        <is>
          <t>低值易耗品</t>
        </is>
      </c>
      <c r="D91" s="7" t="n">
        <v>330.3</v>
      </c>
      <c r="F91" s="7" t="n">
        <v>194.4</v>
      </c>
      <c r="H91" s="7" t="n">
        <v>248.6</v>
      </c>
      <c r="J91" s="7" t="n">
        <v>520.9</v>
      </c>
      <c r="L91" s="7" t="n">
        <v>424.8</v>
      </c>
      <c r="N91" s="7" t="n">
        <v>547.1</v>
      </c>
      <c r="P91" s="7" t="n">
        <v>309.8</v>
      </c>
      <c r="R91" s="7" t="n">
        <v>503.8</v>
      </c>
      <c r="T91" s="7" t="n">
        <v>432.7</v>
      </c>
      <c r="V91" s="7" t="n">
        <v>445.4</v>
      </c>
      <c r="X91" s="7" t="n">
        <v>242.2</v>
      </c>
      <c r="Z91" s="7" t="n">
        <v>371.4</v>
      </c>
      <c r="AB91" s="7" t="n">
        <v>4571.4</v>
      </c>
    </row>
    <row r="92">
      <c r="A92" s="4" t="inlineStr">
        <is>
          <t>物料消耗</t>
        </is>
      </c>
      <c r="D92" s="7" t="n">
        <v>4450.7</v>
      </c>
      <c r="F92" s="7" t="n">
        <v>2620.8</v>
      </c>
      <c r="H92" s="7" t="n">
        <v>2913.5</v>
      </c>
      <c r="J92" s="7" t="n">
        <v>8294.9</v>
      </c>
      <c r="L92" s="7" t="n">
        <v>4366.1</v>
      </c>
      <c r="N92" s="7" t="n">
        <v>7543.5</v>
      </c>
      <c r="P92" s="7" t="n">
        <v>7220.1</v>
      </c>
      <c r="R92" s="7" t="n">
        <v>6071</v>
      </c>
      <c r="T92" s="7" t="n">
        <v>9064.9</v>
      </c>
      <c r="V92" s="7" t="n">
        <v>7341.5</v>
      </c>
      <c r="X92" s="7" t="n">
        <v>4866.3</v>
      </c>
      <c r="Z92" s="7" t="n">
        <v>4467.9</v>
      </c>
      <c r="AB92" s="7" t="n">
        <v>69221.2</v>
      </c>
    </row>
    <row r="93">
      <c r="A93" s="4" t="inlineStr">
        <is>
          <t>盘盈盘亏</t>
        </is>
      </c>
      <c r="D93" s="7" t="n">
        <v>3757.3</v>
      </c>
      <c r="F93" s="7" t="n">
        <v>2756.5</v>
      </c>
      <c r="H93" s="7" t="n">
        <v>3032.6</v>
      </c>
      <c r="J93" s="7" t="n">
        <v>7712.3</v>
      </c>
      <c r="L93" s="7" t="n">
        <v>3916.6</v>
      </c>
      <c r="N93" s="7" t="n">
        <v>5751.3</v>
      </c>
      <c r="P93" s="7" t="n">
        <v>5397.7</v>
      </c>
      <c r="R93" s="7" t="n">
        <v>6894.7</v>
      </c>
      <c r="T93" s="7" t="n">
        <v>7511.8</v>
      </c>
      <c r="V93" s="7" t="n">
        <v>4578.1</v>
      </c>
      <c r="X93" s="7" t="n">
        <v>2384.9</v>
      </c>
      <c r="Z93" s="7" t="n">
        <v>5072</v>
      </c>
      <c r="AB93" s="7" t="n">
        <v>58765.8</v>
      </c>
    </row>
    <row r="94">
      <c r="A94" s="4" t="inlineStr">
        <is>
          <t>平台服务费</t>
        </is>
      </c>
      <c r="D94" s="7" t="n">
        <v>3494.6</v>
      </c>
      <c r="F94" s="7" t="n">
        <v>3207.2</v>
      </c>
      <c r="H94" s="7" t="n">
        <v>4427.5</v>
      </c>
      <c r="J94" s="7" t="n">
        <v>6526.1</v>
      </c>
      <c r="L94" s="7" t="n">
        <v>5104.1</v>
      </c>
      <c r="N94" s="7" t="n">
        <v>6571.4</v>
      </c>
      <c r="P94" s="7" t="n">
        <v>5642.6</v>
      </c>
      <c r="R94" s="7" t="n">
        <v>8791.799999999999</v>
      </c>
      <c r="T94" s="7" t="n">
        <v>5653.4</v>
      </c>
      <c r="V94" s="7" t="n">
        <v>5332</v>
      </c>
      <c r="X94" s="7" t="n">
        <v>5067.5</v>
      </c>
      <c r="Z94" s="7" t="n">
        <v>3484.9</v>
      </c>
      <c r="AB94" s="7" t="n">
        <v>63303.1</v>
      </c>
    </row>
    <row r="95">
      <c r="A95" s="4" t="inlineStr">
        <is>
          <t>无形资产摊销</t>
        </is>
      </c>
      <c r="D95" s="7" t="n">
        <v>2302.5</v>
      </c>
      <c r="F95" s="7" t="n">
        <v>1885.9</v>
      </c>
      <c r="H95" s="7" t="n">
        <v>1590.1</v>
      </c>
      <c r="J95" s="7" t="n">
        <v>2898.9</v>
      </c>
      <c r="L95" s="7" t="n">
        <v>2406.3</v>
      </c>
      <c r="N95" s="7" t="n">
        <v>3198.8</v>
      </c>
      <c r="P95" s="7" t="n">
        <v>3282.8</v>
      </c>
      <c r="R95" s="7" t="n">
        <v>4795.4</v>
      </c>
      <c r="T95" s="7" t="n">
        <v>4541</v>
      </c>
      <c r="V95" s="7" t="n">
        <v>2687.3</v>
      </c>
      <c r="X95" s="7" t="n">
        <v>1675</v>
      </c>
      <c r="Z95" s="7" t="n">
        <v>2825.5</v>
      </c>
      <c r="AB95" s="7" t="n">
        <v>34089.5</v>
      </c>
    </row>
    <row r="96">
      <c r="A96" s="4" t="inlineStr">
        <is>
          <t>研发材料</t>
        </is>
      </c>
      <c r="D96" s="7" t="n">
        <v>2489.6</v>
      </c>
      <c r="F96" s="7" t="n">
        <v>2261</v>
      </c>
      <c r="H96" s="7" t="n">
        <v>3572.4</v>
      </c>
      <c r="J96" s="7" t="n">
        <v>6766.6</v>
      </c>
      <c r="L96" s="7" t="n">
        <v>4110.3</v>
      </c>
      <c r="N96" s="7" t="n">
        <v>4634.9</v>
      </c>
      <c r="P96" s="7" t="n">
        <v>4813.8</v>
      </c>
      <c r="R96" s="7" t="n">
        <v>5482.4</v>
      </c>
      <c r="T96" s="7" t="n">
        <v>6873.9</v>
      </c>
      <c r="V96" s="7" t="n">
        <v>5637.4</v>
      </c>
      <c r="X96" s="7" t="n">
        <v>3460</v>
      </c>
      <c r="Z96" s="7" t="n">
        <v>5432.2</v>
      </c>
      <c r="AB96" s="7" t="n">
        <v>55534.5</v>
      </c>
    </row>
    <row r="97">
      <c r="A97" s="4" t="inlineStr">
        <is>
          <t>项目名称</t>
        </is>
      </c>
      <c r="D97" s="7" t="n">
        <v>117.4</v>
      </c>
      <c r="F97" s="7" t="n">
        <v>163.7</v>
      </c>
      <c r="H97" s="7" t="n">
        <v>115.4</v>
      </c>
      <c r="J97" s="7" t="n">
        <v>248.9</v>
      </c>
      <c r="L97" s="7" t="n">
        <v>246.8</v>
      </c>
      <c r="N97" s="7" t="n">
        <v>348.2</v>
      </c>
      <c r="P97" s="7" t="n">
        <v>230.8</v>
      </c>
      <c r="R97" s="7" t="n">
        <v>345.6</v>
      </c>
      <c r="T97" s="7" t="n">
        <v>415.6</v>
      </c>
      <c r="V97" s="7" t="n">
        <v>186.7</v>
      </c>
      <c r="X97" s="7" t="n">
        <v>188.3</v>
      </c>
      <c r="Z97" s="7" t="n">
        <v>264.7</v>
      </c>
      <c r="AB97" s="7" t="n">
        <v>2872.1</v>
      </c>
    </row>
    <row r="98">
      <c r="A98" s="4" t="inlineStr">
        <is>
          <t>研发费</t>
        </is>
      </c>
      <c r="D98" s="7" t="n">
        <v>125</v>
      </c>
      <c r="F98" s="7" t="n">
        <v>151.8</v>
      </c>
      <c r="H98" s="7" t="n">
        <v>155.6</v>
      </c>
      <c r="J98" s="7" t="n">
        <v>402</v>
      </c>
      <c r="L98" s="7" t="n">
        <v>150.9</v>
      </c>
      <c r="N98" s="7" t="n">
        <v>353.1</v>
      </c>
      <c r="P98" s="7" t="n">
        <v>183.4</v>
      </c>
      <c r="R98" s="7" t="n">
        <v>249.7</v>
      </c>
      <c r="T98" s="7" t="n">
        <v>246.6</v>
      </c>
      <c r="V98" s="7" t="n">
        <v>208.3</v>
      </c>
      <c r="X98" s="7" t="n">
        <v>210.5</v>
      </c>
      <c r="Z98" s="7" t="n">
        <v>204.4</v>
      </c>
      <c r="AB98" s="7" t="n">
        <v>2641.3</v>
      </c>
    </row>
    <row r="99">
      <c r="A99" s="4" t="inlineStr">
        <is>
          <t>残保金</t>
        </is>
      </c>
      <c r="D99" s="7" t="n">
        <v>777.4</v>
      </c>
      <c r="F99" s="7" t="n">
        <v>766</v>
      </c>
      <c r="H99" s="7" t="n">
        <v>559.6</v>
      </c>
      <c r="J99" s="7" t="n">
        <v>1485.2</v>
      </c>
      <c r="L99" s="7" t="n">
        <v>1132.7</v>
      </c>
      <c r="N99" s="7" t="n">
        <v>1213.8</v>
      </c>
      <c r="P99" s="7" t="n">
        <v>1290.2</v>
      </c>
      <c r="R99" s="7" t="n">
        <v>1374.9</v>
      </c>
      <c r="T99" s="7" t="n">
        <v>1856.1</v>
      </c>
      <c r="V99" s="7" t="n">
        <v>1405.4</v>
      </c>
      <c r="X99" s="7" t="n">
        <v>917</v>
      </c>
      <c r="Z99" s="7" t="n">
        <v>869.4</v>
      </c>
      <c r="AB99" s="7" t="n">
        <v>13647.7</v>
      </c>
    </row>
    <row r="100">
      <c r="A100" s="4" t="inlineStr">
        <is>
          <t>环保费</t>
        </is>
      </c>
      <c r="D100" s="7" t="n">
        <v>4406.5</v>
      </c>
      <c r="F100" s="7" t="n">
        <v>2877.5</v>
      </c>
      <c r="H100" s="7" t="n">
        <v>5034.3</v>
      </c>
      <c r="J100" s="7" t="n">
        <v>10001.5</v>
      </c>
      <c r="L100" s="7" t="n">
        <v>6360.7</v>
      </c>
      <c r="N100" s="7" t="n">
        <v>8802.6</v>
      </c>
      <c r="P100" s="7" t="n">
        <v>5621.2</v>
      </c>
      <c r="R100" s="7" t="n">
        <v>6353</v>
      </c>
      <c r="T100" s="7" t="n">
        <v>7015.9</v>
      </c>
      <c r="V100" s="7" t="n">
        <v>5914.4</v>
      </c>
      <c r="X100" s="7" t="n">
        <v>5293.6</v>
      </c>
      <c r="Z100" s="7" t="n">
        <v>5734.2</v>
      </c>
      <c r="AB100" s="7" t="n">
        <v>73415.39999999999</v>
      </c>
    </row>
    <row r="101">
      <c r="A101" s="4" t="inlineStr">
        <is>
          <t>报废损失</t>
        </is>
      </c>
      <c r="D101" s="7" t="n">
        <v>2378.3</v>
      </c>
      <c r="F101" s="7" t="n">
        <v>1197.6</v>
      </c>
      <c r="H101" s="7" t="n">
        <v>1431</v>
      </c>
      <c r="J101" s="7" t="n">
        <v>4620.3</v>
      </c>
      <c r="L101" s="7" t="n">
        <v>2634.5</v>
      </c>
      <c r="N101" s="7" t="n">
        <v>4371.9</v>
      </c>
      <c r="P101" s="7" t="n">
        <v>1988.7</v>
      </c>
      <c r="R101" s="7" t="n">
        <v>3668.2</v>
      </c>
      <c r="T101" s="7" t="n">
        <v>2828.5</v>
      </c>
      <c r="V101" s="7" t="n">
        <v>2262.4</v>
      </c>
      <c r="X101" s="7" t="n">
        <v>1604</v>
      </c>
      <c r="Z101" s="7" t="n">
        <v>2725</v>
      </c>
      <c r="AB101" s="7" t="n">
        <v>31710.4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355682.7</v>
      </c>
      <c r="D102" s="7" t="n">
        <v>307664.1</v>
      </c>
      <c r="E102" s="7" t="n">
        <v>393441</v>
      </c>
      <c r="F102" s="7" t="n">
        <v>243710.4</v>
      </c>
      <c r="G102" s="7" t="n">
        <v>446605.8</v>
      </c>
      <c r="H102" s="7" t="n">
        <v>409886.1</v>
      </c>
      <c r="I102" s="7" t="n">
        <v>408467.5</v>
      </c>
      <c r="J102" s="7" t="n">
        <v>491185.2</v>
      </c>
      <c r="K102" s="7" t="n">
        <v>426809.3</v>
      </c>
      <c r="L102" s="7" t="n">
        <v>516226.2</v>
      </c>
      <c r="M102" s="7" t="n">
        <v>375495.5</v>
      </c>
      <c r="N102" s="7" t="n">
        <v>328467.2</v>
      </c>
      <c r="O102" s="7" t="n">
        <v>334975.6</v>
      </c>
      <c r="P102" s="7" t="n">
        <v>535810.7</v>
      </c>
      <c r="Q102" s="7" t="n">
        <v>362250.1</v>
      </c>
      <c r="R102" s="7" t="n">
        <v>411780.3</v>
      </c>
      <c r="S102" s="7" t="n">
        <v>348306.3</v>
      </c>
      <c r="T102" s="7" t="n">
        <v>327191.7</v>
      </c>
      <c r="U102" s="7" t="n">
        <v>397018.8</v>
      </c>
      <c r="V102" s="7" t="n">
        <v>626425.1</v>
      </c>
      <c r="W102" s="7" t="n">
        <v>345730.3</v>
      </c>
      <c r="X102" s="7" t="n">
        <v>372574.5</v>
      </c>
      <c r="Y102" s="7" t="n">
        <v>377153.6</v>
      </c>
      <c r="Z102" s="7" t="n">
        <v>150529.7</v>
      </c>
      <c r="AA102" s="8" t="n">
        <v>4571936.5</v>
      </c>
      <c r="AB102" s="8" t="n">
        <v>4721451.2</v>
      </c>
    </row>
    <row r="103">
      <c r="A103" s="4" t="inlineStr">
        <is>
          <t>职工薪酬</t>
        </is>
      </c>
      <c r="D103" s="7" t="n">
        <v>165943.5</v>
      </c>
      <c r="F103" s="7" t="n">
        <v>107836.4</v>
      </c>
      <c r="H103" s="7" t="n">
        <v>219418.8</v>
      </c>
      <c r="J103" s="7" t="n">
        <v>240337.6</v>
      </c>
      <c r="L103" s="7" t="n">
        <v>260459.6</v>
      </c>
      <c r="N103" s="7" t="n">
        <v>160523.3</v>
      </c>
      <c r="P103" s="7" t="n">
        <v>296769.9</v>
      </c>
      <c r="R103" s="7" t="n">
        <v>232751.2</v>
      </c>
      <c r="T103" s="7" t="n">
        <v>139377.8</v>
      </c>
      <c r="V103" s="7" t="n">
        <v>354952.2</v>
      </c>
      <c r="X103" s="7" t="n">
        <v>225332.8</v>
      </c>
      <c r="Z103" s="7" t="n">
        <v>65934.10000000001</v>
      </c>
      <c r="AB103" s="7" t="n">
        <v>2469637.2</v>
      </c>
    </row>
    <row r="104">
      <c r="A104" s="4" t="inlineStr">
        <is>
          <t>工资</t>
        </is>
      </c>
      <c r="D104" s="7" t="n">
        <v>101721.7</v>
      </c>
      <c r="F104" s="7" t="n">
        <v>53070.6</v>
      </c>
      <c r="H104" s="7" t="n">
        <v>133653.6</v>
      </c>
      <c r="J104" s="7" t="n">
        <v>128352.4</v>
      </c>
      <c r="L104" s="7" t="n">
        <v>148797.5</v>
      </c>
      <c r="N104" s="7" t="n">
        <v>88743</v>
      </c>
      <c r="P104" s="7" t="n">
        <v>190174</v>
      </c>
      <c r="R104" s="7" t="n">
        <v>142687.4</v>
      </c>
      <c r="T104" s="7" t="n">
        <v>71261.39999999999</v>
      </c>
      <c r="V104" s="7" t="n">
        <v>215036.1</v>
      </c>
      <c r="X104" s="7" t="n">
        <v>140265</v>
      </c>
      <c r="Z104" s="7" t="n">
        <v>36377</v>
      </c>
      <c r="AB104" s="7" t="n">
        <v>1450139.7</v>
      </c>
    </row>
    <row r="105">
      <c r="A105" s="4" t="inlineStr">
        <is>
          <t>奖金及提成</t>
        </is>
      </c>
      <c r="D105" s="7" t="n">
        <v>36036.5</v>
      </c>
      <c r="F105" s="7" t="n">
        <v>24152.6</v>
      </c>
      <c r="H105" s="7" t="n">
        <v>31546.4</v>
      </c>
      <c r="J105" s="7" t="n">
        <v>60761.9</v>
      </c>
      <c r="L105" s="7" t="n">
        <v>58480.3</v>
      </c>
      <c r="N105" s="7" t="n">
        <v>34673.8</v>
      </c>
      <c r="P105" s="7" t="n">
        <v>47986.3</v>
      </c>
      <c r="R105" s="7" t="n">
        <v>33735.1</v>
      </c>
      <c r="T105" s="7" t="n">
        <v>36191.1</v>
      </c>
      <c r="V105" s="7" t="n">
        <v>56090.8</v>
      </c>
      <c r="X105" s="7" t="n">
        <v>43493.8</v>
      </c>
      <c r="Z105" s="7" t="n">
        <v>13482.6</v>
      </c>
      <c r="AB105" s="7" t="n">
        <v>476631.2</v>
      </c>
    </row>
    <row r="106">
      <c r="A106" s="4" t="inlineStr">
        <is>
          <t>社保</t>
        </is>
      </c>
      <c r="D106" s="7" t="n">
        <v>18677.4</v>
      </c>
      <c r="F106" s="7" t="n">
        <v>22278</v>
      </c>
      <c r="H106" s="7" t="n">
        <v>40068.2</v>
      </c>
      <c r="J106" s="7" t="n">
        <v>36360.3</v>
      </c>
      <c r="L106" s="7" t="n">
        <v>34376.4</v>
      </c>
      <c r="N106" s="7" t="n">
        <v>25820</v>
      </c>
      <c r="P106" s="7" t="n">
        <v>42463.8</v>
      </c>
      <c r="R106" s="7" t="n">
        <v>40660.6</v>
      </c>
      <c r="T106" s="7" t="n">
        <v>20599.1</v>
      </c>
      <c r="V106" s="7" t="n">
        <v>62979.9</v>
      </c>
      <c r="X106" s="7" t="n">
        <v>29001</v>
      </c>
      <c r="Z106" s="7" t="n">
        <v>11228.3</v>
      </c>
      <c r="AB106" s="7" t="n">
        <v>384513</v>
      </c>
    </row>
    <row r="107">
      <c r="A107" s="4" t="inlineStr">
        <is>
          <t>养老</t>
        </is>
      </c>
      <c r="D107" s="7" t="n">
        <v>311.5</v>
      </c>
      <c r="F107" s="7" t="n">
        <v>235.3</v>
      </c>
      <c r="H107" s="7" t="n">
        <v>471.2</v>
      </c>
      <c r="J107" s="7" t="n">
        <v>360.8</v>
      </c>
      <c r="L107" s="7" t="n">
        <v>358.5</v>
      </c>
      <c r="N107" s="7" t="n">
        <v>327.7</v>
      </c>
      <c r="P107" s="7" t="n">
        <v>352.6</v>
      </c>
      <c r="R107" s="7" t="n">
        <v>288</v>
      </c>
      <c r="T107" s="7" t="n">
        <v>354.4</v>
      </c>
      <c r="V107" s="7" t="n">
        <v>546.4</v>
      </c>
      <c r="X107" s="7" t="n">
        <v>267.5</v>
      </c>
      <c r="Z107" s="7" t="n">
        <v>122</v>
      </c>
      <c r="AB107" s="7" t="n">
        <v>3995.9</v>
      </c>
    </row>
    <row r="108">
      <c r="A108" s="4" t="inlineStr">
        <is>
          <t>医疗</t>
        </is>
      </c>
      <c r="D108" s="7" t="n">
        <v>1899.5</v>
      </c>
      <c r="F108" s="7" t="n">
        <v>1662.7</v>
      </c>
      <c r="H108" s="7" t="n">
        <v>2579.7</v>
      </c>
      <c r="J108" s="7" t="n">
        <v>3046.1</v>
      </c>
      <c r="L108" s="7" t="n">
        <v>2406.3</v>
      </c>
      <c r="N108" s="7" t="n">
        <v>2447.8</v>
      </c>
      <c r="P108" s="7" t="n">
        <v>3777.8</v>
      </c>
      <c r="R108" s="7" t="n">
        <v>1799.6</v>
      </c>
      <c r="T108" s="7" t="n">
        <v>2309.1</v>
      </c>
      <c r="V108" s="7" t="n">
        <v>3617.5</v>
      </c>
      <c r="X108" s="7" t="n">
        <v>2809.6</v>
      </c>
      <c r="Z108" s="7" t="n">
        <v>923</v>
      </c>
      <c r="AB108" s="7" t="n">
        <v>29278.7</v>
      </c>
    </row>
    <row r="109">
      <c r="A109" s="4" t="inlineStr">
        <is>
          <t>工伤</t>
        </is>
      </c>
      <c r="D109" s="7" t="n">
        <v>1464.9</v>
      </c>
      <c r="F109" s="7" t="n">
        <v>1522.2</v>
      </c>
      <c r="H109" s="7" t="n">
        <v>2568.4</v>
      </c>
      <c r="J109" s="7" t="n">
        <v>2286.1</v>
      </c>
      <c r="L109" s="7" t="n">
        <v>2539.7</v>
      </c>
      <c r="N109" s="7" t="n">
        <v>1888.7</v>
      </c>
      <c r="P109" s="7" t="n">
        <v>3632.1</v>
      </c>
      <c r="R109" s="7" t="n">
        <v>2384.5</v>
      </c>
      <c r="T109" s="7" t="n">
        <v>1417.6</v>
      </c>
      <c r="V109" s="7" t="n">
        <v>3590.1</v>
      </c>
      <c r="X109" s="7" t="n">
        <v>1437.6</v>
      </c>
      <c r="Z109" s="7" t="n">
        <v>1064.2</v>
      </c>
      <c r="AB109" s="7" t="n">
        <v>25796.1</v>
      </c>
    </row>
    <row r="110">
      <c r="A110" s="4" t="inlineStr">
        <is>
          <t>失业</t>
        </is>
      </c>
      <c r="D110" s="7" t="n">
        <v>79.40000000000001</v>
      </c>
      <c r="F110" s="7" t="n">
        <v>74.3</v>
      </c>
      <c r="H110" s="7" t="n">
        <v>77.5</v>
      </c>
      <c r="J110" s="7" t="n">
        <v>131.4</v>
      </c>
      <c r="L110" s="7" t="n">
        <v>133.9</v>
      </c>
      <c r="N110" s="7" t="n">
        <v>101.7</v>
      </c>
      <c r="P110" s="7" t="n">
        <v>167.9</v>
      </c>
      <c r="R110" s="7" t="n">
        <v>105.1</v>
      </c>
      <c r="T110" s="7" t="n">
        <v>72.59999999999999</v>
      </c>
      <c r="V110" s="7" t="n">
        <v>170.3</v>
      </c>
      <c r="X110" s="7" t="n">
        <v>69.2</v>
      </c>
      <c r="Z110" s="7" t="n">
        <v>45</v>
      </c>
      <c r="AB110" s="7" t="n">
        <v>1228.3</v>
      </c>
    </row>
    <row r="111">
      <c r="A111" s="4" t="inlineStr">
        <is>
          <t>生育</t>
        </is>
      </c>
      <c r="D111" s="7" t="n">
        <v>1494.1</v>
      </c>
      <c r="F111" s="7" t="n">
        <v>1332.1</v>
      </c>
      <c r="H111" s="7" t="n">
        <v>2779.4</v>
      </c>
      <c r="J111" s="7" t="n">
        <v>2308.3</v>
      </c>
      <c r="L111" s="7" t="n">
        <v>3176.6</v>
      </c>
      <c r="N111" s="7" t="n">
        <v>1806.5</v>
      </c>
      <c r="P111" s="7" t="n">
        <v>3744.7</v>
      </c>
      <c r="R111" s="7" t="n">
        <v>3115.9</v>
      </c>
      <c r="T111" s="7" t="n">
        <v>2340.5</v>
      </c>
      <c r="V111" s="7" t="n">
        <v>2788.6</v>
      </c>
      <c r="X111" s="7" t="n">
        <v>2257.9</v>
      </c>
      <c r="Z111" s="7" t="n">
        <v>1090.6</v>
      </c>
      <c r="AB111" s="7" t="n">
        <v>28235.2</v>
      </c>
    </row>
    <row r="112">
      <c r="A112" s="4" t="inlineStr">
        <is>
          <t>公积金</t>
        </is>
      </c>
      <c r="D112" s="7" t="n">
        <v>1663.5</v>
      </c>
      <c r="F112" s="7" t="n">
        <v>1640</v>
      </c>
      <c r="H112" s="7" t="n">
        <v>2167</v>
      </c>
      <c r="J112" s="7" t="n">
        <v>2755.4</v>
      </c>
      <c r="L112" s="7" t="n">
        <v>3196.1</v>
      </c>
      <c r="N112" s="7" t="n">
        <v>2290.1</v>
      </c>
      <c r="P112" s="7" t="n">
        <v>2280.3</v>
      </c>
      <c r="R112" s="7" t="n">
        <v>2917.7</v>
      </c>
      <c r="T112" s="7" t="n">
        <v>1687.6</v>
      </c>
      <c r="V112" s="7" t="n">
        <v>2584.2</v>
      </c>
      <c r="X112" s="7" t="n">
        <v>2040.8</v>
      </c>
      <c r="Z112" s="7" t="n">
        <v>743.7</v>
      </c>
      <c r="AB112" s="7" t="n">
        <v>25966.4</v>
      </c>
    </row>
    <row r="113">
      <c r="A113" s="4" t="inlineStr">
        <is>
          <t>工会经费</t>
        </is>
      </c>
      <c r="D113" s="7" t="n">
        <v>1957.3</v>
      </c>
      <c r="F113" s="7" t="n">
        <v>1779.1</v>
      </c>
      <c r="H113" s="7" t="n">
        <v>2981.8</v>
      </c>
      <c r="J113" s="7" t="n">
        <v>2281.1</v>
      </c>
      <c r="L113" s="7" t="n">
        <v>3934.4</v>
      </c>
      <c r="N113" s="7" t="n">
        <v>2326</v>
      </c>
      <c r="P113" s="7" t="n">
        <v>2436.2</v>
      </c>
      <c r="R113" s="7" t="n">
        <v>3237.2</v>
      </c>
      <c r="T113" s="7" t="n">
        <v>2242.6</v>
      </c>
      <c r="V113" s="7" t="n">
        <v>4791</v>
      </c>
      <c r="X113" s="7" t="n">
        <v>1771.9</v>
      </c>
      <c r="Z113" s="7" t="n">
        <v>858.6</v>
      </c>
      <c r="AB113" s="7" t="n">
        <v>30597.2</v>
      </c>
    </row>
    <row r="114">
      <c r="A114" s="4" t="inlineStr">
        <is>
          <t>职工教育经费</t>
        </is>
      </c>
      <c r="D114" s="7" t="n">
        <v>1148.3</v>
      </c>
      <c r="F114" s="7" t="n">
        <v>796.7</v>
      </c>
      <c r="H114" s="7" t="n">
        <v>1722.8</v>
      </c>
      <c r="J114" s="7" t="n">
        <v>1476.1</v>
      </c>
      <c r="L114" s="7" t="n">
        <v>2359.1</v>
      </c>
      <c r="N114" s="7" t="n">
        <v>1097.3</v>
      </c>
      <c r="P114" s="7" t="n">
        <v>2803.5</v>
      </c>
      <c r="R114" s="7" t="n">
        <v>1409.6</v>
      </c>
      <c r="T114" s="7" t="n">
        <v>1020.4</v>
      </c>
      <c r="V114" s="7" t="n">
        <v>2510.4</v>
      </c>
      <c r="X114" s="7" t="n">
        <v>1911.2</v>
      </c>
      <c r="Z114" s="7" t="n">
        <v>640.5</v>
      </c>
      <c r="AB114" s="7" t="n">
        <v>18895.9</v>
      </c>
    </row>
    <row r="115">
      <c r="A115" s="4" t="inlineStr">
        <is>
          <t>福利费</t>
        </is>
      </c>
      <c r="D115" s="7" t="n">
        <v>4738.8</v>
      </c>
      <c r="F115" s="7" t="n">
        <v>4119.4</v>
      </c>
      <c r="H115" s="7" t="n">
        <v>7279</v>
      </c>
      <c r="J115" s="7" t="n">
        <v>8350.4</v>
      </c>
      <c r="L115" s="7" t="n">
        <v>9315.799999999999</v>
      </c>
      <c r="N115" s="7" t="n">
        <v>5573.1</v>
      </c>
      <c r="P115" s="7" t="n">
        <v>8625.799999999999</v>
      </c>
      <c r="R115" s="7" t="n">
        <v>8103.6</v>
      </c>
      <c r="T115" s="7" t="n">
        <v>6375.6</v>
      </c>
      <c r="V115" s="7" t="n">
        <v>10959.8</v>
      </c>
      <c r="X115" s="7" t="n">
        <v>6849.1</v>
      </c>
      <c r="Z115" s="7" t="n">
        <v>2603.4</v>
      </c>
      <c r="AB115" s="7" t="n">
        <v>82893.8</v>
      </c>
    </row>
    <row r="116">
      <c r="A116" s="4" t="inlineStr">
        <is>
          <t>职工房租</t>
        </is>
      </c>
      <c r="D116" s="7" t="n">
        <v>278.7</v>
      </c>
      <c r="F116" s="7" t="n">
        <v>217.1</v>
      </c>
      <c r="H116" s="7" t="n">
        <v>336.3</v>
      </c>
      <c r="J116" s="7" t="n">
        <v>346</v>
      </c>
      <c r="L116" s="7" t="n">
        <v>445.5</v>
      </c>
      <c r="N116" s="7" t="n">
        <v>311.9</v>
      </c>
      <c r="P116" s="7" t="n">
        <v>546.4</v>
      </c>
      <c r="R116" s="7" t="n">
        <v>392.7</v>
      </c>
      <c r="T116" s="7" t="n">
        <v>332.9</v>
      </c>
      <c r="V116" s="7" t="n">
        <v>372.7</v>
      </c>
      <c r="X116" s="7" t="n">
        <v>370.3</v>
      </c>
      <c r="Z116" s="7" t="n">
        <v>118.1</v>
      </c>
      <c r="AB116" s="7" t="n">
        <v>4068.6</v>
      </c>
    </row>
    <row r="117">
      <c r="A117" s="4" t="inlineStr">
        <is>
          <t>水电物业费</t>
        </is>
      </c>
      <c r="D117" s="7" t="n">
        <v>200.4</v>
      </c>
      <c r="F117" s="7" t="n">
        <v>111.9</v>
      </c>
      <c r="H117" s="7" t="n">
        <v>274.5</v>
      </c>
      <c r="J117" s="7" t="n">
        <v>197.7</v>
      </c>
      <c r="L117" s="7" t="n">
        <v>234.9</v>
      </c>
      <c r="N117" s="7" t="n">
        <v>193.1</v>
      </c>
      <c r="P117" s="7" t="n">
        <v>281.1</v>
      </c>
      <c r="R117" s="7" t="n">
        <v>265.2</v>
      </c>
      <c r="T117" s="7" t="n">
        <v>174.1</v>
      </c>
      <c r="V117" s="7" t="n">
        <v>354.5</v>
      </c>
      <c r="X117" s="7" t="n">
        <v>171.6</v>
      </c>
      <c r="Z117" s="7" t="n">
        <v>101.4</v>
      </c>
      <c r="AB117" s="7" t="n">
        <v>2560.4</v>
      </c>
    </row>
    <row r="118">
      <c r="A118" s="4" t="inlineStr">
        <is>
          <t>员工餐</t>
        </is>
      </c>
      <c r="D118" s="7" t="n">
        <v>851.2</v>
      </c>
      <c r="F118" s="7" t="n">
        <v>785.7</v>
      </c>
      <c r="H118" s="7" t="n">
        <v>1406.2</v>
      </c>
      <c r="J118" s="7" t="n">
        <v>1895.3</v>
      </c>
      <c r="L118" s="7" t="n">
        <v>1603.5</v>
      </c>
      <c r="N118" s="7" t="n">
        <v>860.4</v>
      </c>
      <c r="P118" s="7" t="n">
        <v>2326.7</v>
      </c>
      <c r="R118" s="7" t="n">
        <v>1227.2</v>
      </c>
      <c r="T118" s="7" t="n">
        <v>1473.5</v>
      </c>
      <c r="V118" s="7" t="n">
        <v>2417.1</v>
      </c>
      <c r="X118" s="7" t="n">
        <v>1252.7</v>
      </c>
      <c r="Z118" s="7" t="n">
        <v>484</v>
      </c>
      <c r="AB118" s="7" t="n">
        <v>16583.5</v>
      </c>
    </row>
    <row r="119">
      <c r="A119" s="4" t="inlineStr">
        <is>
          <t>节日礼品</t>
        </is>
      </c>
      <c r="D119" s="7" t="n">
        <v>1167.6</v>
      </c>
      <c r="F119" s="7" t="n">
        <v>1090.3</v>
      </c>
      <c r="H119" s="7" t="n">
        <v>1941.5</v>
      </c>
      <c r="J119" s="7" t="n">
        <v>2507.7</v>
      </c>
      <c r="L119" s="7" t="n">
        <v>2115.1</v>
      </c>
      <c r="N119" s="7" t="n">
        <v>1227.9</v>
      </c>
      <c r="P119" s="7" t="n">
        <v>1768.7</v>
      </c>
      <c r="R119" s="7" t="n">
        <v>2047.3</v>
      </c>
      <c r="T119" s="7" t="n">
        <v>1113.1</v>
      </c>
      <c r="V119" s="7" t="n">
        <v>2271.7</v>
      </c>
      <c r="X119" s="7" t="n">
        <v>1563.5</v>
      </c>
      <c r="Z119" s="7" t="n">
        <v>817.8</v>
      </c>
      <c r="AB119" s="7" t="n">
        <v>19632.2</v>
      </c>
    </row>
    <row r="120">
      <c r="A120" s="4" t="inlineStr">
        <is>
          <t>生日礼品</t>
        </is>
      </c>
      <c r="D120" s="7" t="n">
        <v>1131.2</v>
      </c>
      <c r="F120" s="7" t="n">
        <v>1121.7</v>
      </c>
      <c r="H120" s="7" t="n">
        <v>2014.2</v>
      </c>
      <c r="J120" s="7" t="n">
        <v>1983</v>
      </c>
      <c r="L120" s="7" t="n">
        <v>3268.8</v>
      </c>
      <c r="N120" s="7" t="n">
        <v>1868.7</v>
      </c>
      <c r="P120" s="7" t="n">
        <v>2356</v>
      </c>
      <c r="R120" s="7" t="n">
        <v>2668.6</v>
      </c>
      <c r="T120" s="7" t="n">
        <v>1987.8</v>
      </c>
      <c r="V120" s="7" t="n">
        <v>3527.8</v>
      </c>
      <c r="X120" s="7" t="n">
        <v>2068.3</v>
      </c>
      <c r="Z120" s="7" t="n">
        <v>601.8</v>
      </c>
      <c r="AB120" s="7" t="n">
        <v>24597.9</v>
      </c>
    </row>
    <row r="121">
      <c r="A121" s="4" t="inlineStr">
        <is>
          <t>体检</t>
        </is>
      </c>
      <c r="D121" s="7" t="n">
        <v>347.8</v>
      </c>
      <c r="F121" s="7" t="n">
        <v>338.4</v>
      </c>
      <c r="H121" s="7" t="n">
        <v>496.1</v>
      </c>
      <c r="J121" s="7" t="n">
        <v>656.1</v>
      </c>
      <c r="L121" s="7" t="n">
        <v>652.9</v>
      </c>
      <c r="N121" s="7" t="n">
        <v>531.6</v>
      </c>
      <c r="P121" s="7" t="n">
        <v>602.5</v>
      </c>
      <c r="R121" s="7" t="n">
        <v>571.8</v>
      </c>
      <c r="T121" s="7" t="n">
        <v>462.6</v>
      </c>
      <c r="V121" s="7" t="n">
        <v>902.7</v>
      </c>
      <c r="X121" s="7" t="n">
        <v>595.1</v>
      </c>
      <c r="Z121" s="7" t="n">
        <v>187.3</v>
      </c>
      <c r="AB121" s="7" t="n">
        <v>6344.9</v>
      </c>
    </row>
    <row r="122">
      <c r="A122" s="4" t="inlineStr">
        <is>
          <t>其他福利支出</t>
        </is>
      </c>
      <c r="D122" s="7" t="n">
        <v>761.9</v>
      </c>
      <c r="F122" s="7" t="n">
        <v>454.3</v>
      </c>
      <c r="H122" s="7" t="n">
        <v>810.2</v>
      </c>
      <c r="J122" s="7" t="n">
        <v>764.6</v>
      </c>
      <c r="L122" s="7" t="n">
        <v>995.1</v>
      </c>
      <c r="N122" s="7" t="n">
        <v>579.5</v>
      </c>
      <c r="P122" s="7" t="n">
        <v>744.4</v>
      </c>
      <c r="R122" s="7" t="n">
        <v>930.8</v>
      </c>
      <c r="T122" s="7" t="n">
        <v>831.6</v>
      </c>
      <c r="V122" s="7" t="n">
        <v>1113.3</v>
      </c>
      <c r="X122" s="7" t="n">
        <v>827.6</v>
      </c>
      <c r="Z122" s="7" t="n">
        <v>293</v>
      </c>
      <c r="AB122" s="7" t="n">
        <v>9106.299999999999</v>
      </c>
    </row>
    <row r="123">
      <c r="A123" s="4" t="inlineStr">
        <is>
          <t>招聘费</t>
        </is>
      </c>
      <c r="D123" s="7" t="n">
        <v>740.5</v>
      </c>
      <c r="F123" s="7" t="n">
        <v>596.8</v>
      </c>
      <c r="H123" s="7" t="n">
        <v>813.5</v>
      </c>
      <c r="J123" s="7" t="n">
        <v>735.8</v>
      </c>
      <c r="L123" s="7" t="n">
        <v>1019.5</v>
      </c>
      <c r="N123" s="7" t="n">
        <v>776.7</v>
      </c>
      <c r="P123" s="7" t="n">
        <v>982.9</v>
      </c>
      <c r="R123" s="7" t="n">
        <v>871.4</v>
      </c>
      <c r="T123" s="7" t="n">
        <v>708.3</v>
      </c>
      <c r="V123" s="7" t="n">
        <v>1476.4</v>
      </c>
      <c r="X123" s="7" t="n">
        <v>554.9</v>
      </c>
      <c r="Z123" s="7" t="n">
        <v>294.8</v>
      </c>
      <c r="AB123" s="7" t="n">
        <v>9571.5</v>
      </c>
    </row>
    <row r="124">
      <c r="A124" s="4" t="inlineStr">
        <is>
          <t>办公费</t>
        </is>
      </c>
      <c r="D124" s="7" t="n">
        <v>8167.1</v>
      </c>
      <c r="F124" s="7" t="n">
        <v>6879.8</v>
      </c>
      <c r="H124" s="7" t="n">
        <v>14811.6</v>
      </c>
      <c r="J124" s="7" t="n">
        <v>14257.9</v>
      </c>
      <c r="L124" s="7" t="n">
        <v>11700.1</v>
      </c>
      <c r="N124" s="7" t="n">
        <v>7223.2</v>
      </c>
      <c r="P124" s="7" t="n">
        <v>17437.2</v>
      </c>
      <c r="R124" s="7" t="n">
        <v>12971.8</v>
      </c>
      <c r="T124" s="7" t="n">
        <v>8179.3</v>
      </c>
      <c r="V124" s="7" t="n">
        <v>23705.2</v>
      </c>
      <c r="X124" s="7" t="n">
        <v>9687.9</v>
      </c>
      <c r="Z124" s="7" t="n">
        <v>3222.2</v>
      </c>
      <c r="AB124" s="7" t="n">
        <v>138243.3</v>
      </c>
    </row>
    <row r="125">
      <c r="A125" s="4" t="inlineStr">
        <is>
          <t>市内交通费</t>
        </is>
      </c>
      <c r="D125" s="7" t="n">
        <v>1050.7</v>
      </c>
      <c r="F125" s="7" t="n">
        <v>949</v>
      </c>
      <c r="H125" s="7" t="n">
        <v>1088.9</v>
      </c>
      <c r="J125" s="7" t="n">
        <v>1746.4</v>
      </c>
      <c r="L125" s="7" t="n">
        <v>1488.4</v>
      </c>
      <c r="N125" s="7" t="n">
        <v>1032.9</v>
      </c>
      <c r="P125" s="7" t="n">
        <v>2011</v>
      </c>
      <c r="R125" s="7" t="n">
        <v>1840.6</v>
      </c>
      <c r="T125" s="7" t="n">
        <v>1438.3</v>
      </c>
      <c r="V125" s="7" t="n">
        <v>2027.3</v>
      </c>
      <c r="X125" s="7" t="n">
        <v>1037.5</v>
      </c>
      <c r="Z125" s="7" t="n">
        <v>644.3</v>
      </c>
      <c r="AB125" s="7" t="n">
        <v>16355.3</v>
      </c>
    </row>
    <row r="126">
      <c r="A126" s="4" t="inlineStr">
        <is>
          <t>差旅费</t>
        </is>
      </c>
      <c r="D126" s="7" t="n">
        <v>17015.9</v>
      </c>
      <c r="F126" s="7" t="n">
        <v>13506.9</v>
      </c>
      <c r="H126" s="7" t="n">
        <v>21415.5</v>
      </c>
      <c r="J126" s="7" t="n">
        <v>26842.7</v>
      </c>
      <c r="L126" s="7" t="n">
        <v>39847.9</v>
      </c>
      <c r="N126" s="7" t="n">
        <v>24134.1</v>
      </c>
      <c r="P126" s="7" t="n">
        <v>24193.8</v>
      </c>
      <c r="R126" s="7" t="n">
        <v>28084.5</v>
      </c>
      <c r="T126" s="7" t="n">
        <v>18974.5</v>
      </c>
      <c r="V126" s="7" t="n">
        <v>48694.2</v>
      </c>
      <c r="X126" s="7" t="n">
        <v>26427.7</v>
      </c>
      <c r="Z126" s="7" t="n">
        <v>7886.4</v>
      </c>
      <c r="AB126" s="7" t="n">
        <v>297024.1</v>
      </c>
    </row>
    <row r="127">
      <c r="A127" s="4" t="inlineStr">
        <is>
          <t>交通费</t>
        </is>
      </c>
      <c r="D127" s="7" t="n">
        <v>2084.1</v>
      </c>
      <c r="F127" s="7" t="n">
        <v>1228.7</v>
      </c>
      <c r="H127" s="7" t="n">
        <v>2680.5</v>
      </c>
      <c r="J127" s="7" t="n">
        <v>2033.8</v>
      </c>
      <c r="L127" s="7" t="n">
        <v>2869.9</v>
      </c>
      <c r="N127" s="7" t="n">
        <v>1304.4</v>
      </c>
      <c r="P127" s="7" t="n">
        <v>2334.4</v>
      </c>
      <c r="R127" s="7" t="n">
        <v>2142.3</v>
      </c>
      <c r="T127" s="7" t="n">
        <v>2109.8</v>
      </c>
      <c r="V127" s="7" t="n">
        <v>4275.8</v>
      </c>
      <c r="X127" s="7" t="n">
        <v>1455.9</v>
      </c>
      <c r="Z127" s="7" t="n">
        <v>1014.8</v>
      </c>
      <c r="AB127" s="7" t="n">
        <v>25534.4</v>
      </c>
    </row>
    <row r="128">
      <c r="A128" s="4" t="inlineStr">
        <is>
          <t>住宿费</t>
        </is>
      </c>
      <c r="D128" s="7" t="n">
        <v>1148.8</v>
      </c>
      <c r="F128" s="7" t="n">
        <v>1142.7</v>
      </c>
      <c r="H128" s="7" t="n">
        <v>2537.6</v>
      </c>
      <c r="J128" s="7" t="n">
        <v>2310.4</v>
      </c>
      <c r="L128" s="7" t="n">
        <v>2645.2</v>
      </c>
      <c r="N128" s="7" t="n">
        <v>1834</v>
      </c>
      <c r="P128" s="7" t="n">
        <v>3063.5</v>
      </c>
      <c r="R128" s="7" t="n">
        <v>1596.9</v>
      </c>
      <c r="T128" s="7" t="n">
        <v>1316.6</v>
      </c>
      <c r="V128" s="7" t="n">
        <v>2885.6</v>
      </c>
      <c r="X128" s="7" t="n">
        <v>1907</v>
      </c>
      <c r="Z128" s="7" t="n">
        <v>541.4</v>
      </c>
      <c r="AB128" s="7" t="n">
        <v>22929.7</v>
      </c>
    </row>
    <row r="129">
      <c r="A129" s="4" t="inlineStr">
        <is>
          <t>餐补</t>
        </is>
      </c>
      <c r="D129" s="7" t="n">
        <v>2001.6</v>
      </c>
      <c r="F129" s="7" t="n">
        <v>1165.1</v>
      </c>
      <c r="H129" s="7" t="n">
        <v>2299.8</v>
      </c>
      <c r="J129" s="7" t="n">
        <v>2602.9</v>
      </c>
      <c r="L129" s="7" t="n">
        <v>2002.9</v>
      </c>
      <c r="N129" s="7" t="n">
        <v>1248.4</v>
      </c>
      <c r="P129" s="7" t="n">
        <v>2489.7</v>
      </c>
      <c r="R129" s="7" t="n">
        <v>2841.5</v>
      </c>
      <c r="T129" s="7" t="n">
        <v>2128.2</v>
      </c>
      <c r="V129" s="7" t="n">
        <v>3338.1</v>
      </c>
      <c r="X129" s="7" t="n">
        <v>2204.9</v>
      </c>
      <c r="Z129" s="7" t="n">
        <v>1007.7</v>
      </c>
      <c r="AB129" s="7" t="n">
        <v>25330.8</v>
      </c>
    </row>
    <row r="130">
      <c r="A130" s="4" t="inlineStr">
        <is>
          <t>交通补助</t>
        </is>
      </c>
      <c r="D130" s="7" t="n">
        <v>837.5</v>
      </c>
      <c r="F130" s="7" t="n">
        <v>741.8</v>
      </c>
      <c r="H130" s="7" t="n">
        <v>949.5</v>
      </c>
      <c r="J130" s="7" t="n">
        <v>1036.8</v>
      </c>
      <c r="L130" s="7" t="n">
        <v>1223.4</v>
      </c>
      <c r="N130" s="7" t="n">
        <v>1165</v>
      </c>
      <c r="P130" s="7" t="n">
        <v>1084.7</v>
      </c>
      <c r="R130" s="7" t="n">
        <v>1292.4</v>
      </c>
      <c r="T130" s="7" t="n">
        <v>938.6</v>
      </c>
      <c r="V130" s="7" t="n">
        <v>1781</v>
      </c>
      <c r="X130" s="7" t="n">
        <v>1244.4</v>
      </c>
      <c r="Z130" s="7" t="n">
        <v>443.4</v>
      </c>
      <c r="AB130" s="7" t="n">
        <v>12738.5</v>
      </c>
    </row>
    <row r="131">
      <c r="A131" s="4" t="inlineStr">
        <is>
          <t>通讯补助</t>
        </is>
      </c>
      <c r="D131" s="7" t="n">
        <v>1072.3</v>
      </c>
      <c r="F131" s="7" t="n">
        <v>587.1</v>
      </c>
      <c r="H131" s="7" t="n">
        <v>1289.1</v>
      </c>
      <c r="J131" s="7" t="n">
        <v>1602.5</v>
      </c>
      <c r="L131" s="7" t="n">
        <v>1945.3</v>
      </c>
      <c r="N131" s="7" t="n">
        <v>817.9</v>
      </c>
      <c r="P131" s="7" t="n">
        <v>1229.5</v>
      </c>
      <c r="R131" s="7" t="n">
        <v>1146.3</v>
      </c>
      <c r="T131" s="7" t="n">
        <v>1253.2</v>
      </c>
      <c r="V131" s="7" t="n">
        <v>1527.8</v>
      </c>
      <c r="X131" s="7" t="n">
        <v>928.1</v>
      </c>
      <c r="Z131" s="7" t="n">
        <v>405.8</v>
      </c>
      <c r="AB131" s="7" t="n">
        <v>13804.9</v>
      </c>
    </row>
    <row r="132">
      <c r="A132" s="4" t="inlineStr">
        <is>
          <t>招待费</t>
        </is>
      </c>
      <c r="D132" s="7" t="n">
        <v>11712.3</v>
      </c>
      <c r="F132" s="7" t="n">
        <v>12158.8</v>
      </c>
      <c r="H132" s="7" t="n">
        <v>14978.7</v>
      </c>
      <c r="J132" s="7" t="n">
        <v>17170.1</v>
      </c>
      <c r="L132" s="7" t="n">
        <v>21015.9</v>
      </c>
      <c r="N132" s="7" t="n">
        <v>16578.3</v>
      </c>
      <c r="P132" s="7" t="n">
        <v>21610.7</v>
      </c>
      <c r="R132" s="7" t="n">
        <v>19104.4</v>
      </c>
      <c r="T132" s="7" t="n">
        <v>10600.3</v>
      </c>
      <c r="V132" s="7" t="n">
        <v>18960.8</v>
      </c>
      <c r="X132" s="7" t="n">
        <v>17161.9</v>
      </c>
      <c r="Z132" s="7" t="n">
        <v>6179.1</v>
      </c>
      <c r="AB132" s="7" t="n">
        <v>187231.3</v>
      </c>
    </row>
    <row r="133">
      <c r="A133" s="4" t="inlineStr">
        <is>
          <t>通讯费</t>
        </is>
      </c>
      <c r="D133" s="7" t="n">
        <v>2105.3</v>
      </c>
      <c r="F133" s="7" t="n">
        <v>1549</v>
      </c>
      <c r="H133" s="7" t="n">
        <v>2065</v>
      </c>
      <c r="J133" s="7" t="n">
        <v>3122.7</v>
      </c>
      <c r="L133" s="7" t="n">
        <v>3287</v>
      </c>
      <c r="N133" s="7" t="n">
        <v>1423.4</v>
      </c>
      <c r="P133" s="7" t="n">
        <v>3212.6</v>
      </c>
      <c r="R133" s="7" t="n">
        <v>2812.8</v>
      </c>
      <c r="T133" s="7" t="n">
        <v>1324.8</v>
      </c>
      <c r="V133" s="7" t="n">
        <v>3622.8</v>
      </c>
      <c r="X133" s="7" t="n">
        <v>1969.1</v>
      </c>
      <c r="Z133" s="7" t="n">
        <v>853.4</v>
      </c>
      <c r="AB133" s="7" t="n">
        <v>27347.9</v>
      </c>
    </row>
    <row r="134">
      <c r="A134" s="4" t="inlineStr">
        <is>
          <t>网络费</t>
        </is>
      </c>
      <c r="D134" s="7" t="n">
        <v>855.8</v>
      </c>
      <c r="F134" s="7" t="n">
        <v>414.1</v>
      </c>
      <c r="H134" s="7" t="n">
        <v>725.1</v>
      </c>
      <c r="J134" s="7" t="n">
        <v>912.7</v>
      </c>
      <c r="L134" s="7" t="n">
        <v>936.6</v>
      </c>
      <c r="N134" s="7" t="n">
        <v>907.6</v>
      </c>
      <c r="P134" s="7" t="n">
        <v>1277.1</v>
      </c>
      <c r="R134" s="7" t="n">
        <v>1101.6</v>
      </c>
      <c r="T134" s="7" t="n">
        <v>741.4</v>
      </c>
      <c r="V134" s="7" t="n">
        <v>1424.8</v>
      </c>
      <c r="X134" s="7" t="n">
        <v>856.9</v>
      </c>
      <c r="Z134" s="7" t="n">
        <v>387.6</v>
      </c>
      <c r="AB134" s="7" t="n">
        <v>10541.3</v>
      </c>
    </row>
    <row r="135">
      <c r="A135" s="4" t="inlineStr">
        <is>
          <t>修理费</t>
        </is>
      </c>
      <c r="D135" s="7" t="n">
        <v>224.5</v>
      </c>
      <c r="F135" s="7" t="n">
        <v>135.8</v>
      </c>
      <c r="H135" s="7" t="n">
        <v>364.9</v>
      </c>
      <c r="J135" s="7" t="n">
        <v>460.3</v>
      </c>
      <c r="L135" s="7" t="n">
        <v>381</v>
      </c>
      <c r="N135" s="7" t="n">
        <v>217.7</v>
      </c>
      <c r="P135" s="7" t="n">
        <v>367.4</v>
      </c>
      <c r="R135" s="7" t="n">
        <v>366.3</v>
      </c>
      <c r="T135" s="7" t="n">
        <v>301.7</v>
      </c>
      <c r="V135" s="7" t="n">
        <v>495.6</v>
      </c>
      <c r="X135" s="7" t="n">
        <v>322.5</v>
      </c>
      <c r="Z135" s="7" t="n">
        <v>101.8</v>
      </c>
      <c r="AB135" s="7" t="n">
        <v>3739.5</v>
      </c>
    </row>
    <row r="136">
      <c r="A136" s="4" t="inlineStr">
        <is>
          <t>车辆费</t>
        </is>
      </c>
      <c r="D136" s="7" t="n">
        <v>1027.2</v>
      </c>
      <c r="F136" s="7" t="n">
        <v>1348.6</v>
      </c>
      <c r="H136" s="7" t="n">
        <v>1590.2</v>
      </c>
      <c r="J136" s="7" t="n">
        <v>2776</v>
      </c>
      <c r="L136" s="7" t="n">
        <v>1887.4</v>
      </c>
      <c r="N136" s="7" t="n">
        <v>1278.2</v>
      </c>
      <c r="P136" s="7" t="n">
        <v>1933.5</v>
      </c>
      <c r="R136" s="7" t="n">
        <v>1491.6</v>
      </c>
      <c r="T136" s="7" t="n">
        <v>1138</v>
      </c>
      <c r="V136" s="7" t="n">
        <v>3249.9</v>
      </c>
      <c r="X136" s="7" t="n">
        <v>2029.9</v>
      </c>
      <c r="Z136" s="7" t="n">
        <v>523.2</v>
      </c>
      <c r="AB136" s="7" t="n">
        <v>20273.7</v>
      </c>
    </row>
    <row r="137">
      <c r="A137" s="4" t="inlineStr">
        <is>
          <t>租赁费</t>
        </is>
      </c>
      <c r="D137" s="7" t="n">
        <v>17918.6</v>
      </c>
      <c r="F137" s="7" t="n">
        <v>14067</v>
      </c>
      <c r="H137" s="7" t="n">
        <v>14868.8</v>
      </c>
      <c r="J137" s="7" t="n">
        <v>18780.2</v>
      </c>
      <c r="L137" s="7" t="n">
        <v>30349.8</v>
      </c>
      <c r="N137" s="7" t="n">
        <v>16556.2</v>
      </c>
      <c r="P137" s="7" t="n">
        <v>19706</v>
      </c>
      <c r="R137" s="7" t="n">
        <v>15881.4</v>
      </c>
      <c r="T137" s="7" t="n">
        <v>13935.2</v>
      </c>
      <c r="V137" s="7" t="n">
        <v>23169.8</v>
      </c>
      <c r="X137" s="7" t="n">
        <v>20501.9</v>
      </c>
      <c r="Z137" s="7" t="n">
        <v>8676</v>
      </c>
      <c r="AB137" s="7" t="n">
        <v>214410.9</v>
      </c>
    </row>
    <row r="138">
      <c r="A138" s="4" t="inlineStr">
        <is>
          <t>能源费</t>
        </is>
      </c>
      <c r="D138" s="7" t="n">
        <v>2416.6</v>
      </c>
      <c r="F138" s="7" t="n">
        <v>1455.7</v>
      </c>
      <c r="H138" s="7" t="n">
        <v>2798.7</v>
      </c>
      <c r="J138" s="7" t="n">
        <v>2679.8</v>
      </c>
      <c r="L138" s="7" t="n">
        <v>3849.6</v>
      </c>
      <c r="N138" s="7" t="n">
        <v>1788.2</v>
      </c>
      <c r="P138" s="7" t="n">
        <v>3125.6</v>
      </c>
      <c r="R138" s="7" t="n">
        <v>2552.6</v>
      </c>
      <c r="T138" s="7" t="n">
        <v>2003.5</v>
      </c>
      <c r="V138" s="7" t="n">
        <v>4704.3</v>
      </c>
      <c r="X138" s="7" t="n">
        <v>2305.7</v>
      </c>
      <c r="Z138" s="7" t="n">
        <v>1234.3</v>
      </c>
      <c r="AB138" s="7" t="n">
        <v>30914.6</v>
      </c>
    </row>
    <row r="139">
      <c r="A139" s="4" t="inlineStr">
        <is>
          <t>水费</t>
        </is>
      </c>
      <c r="D139" s="7" t="n">
        <v>1148.5</v>
      </c>
      <c r="F139" s="7" t="n">
        <v>676.1</v>
      </c>
      <c r="H139" s="7" t="n">
        <v>1402.3</v>
      </c>
      <c r="J139" s="7" t="n">
        <v>1224.6</v>
      </c>
      <c r="L139" s="7" t="n">
        <v>1774.1</v>
      </c>
      <c r="N139" s="7" t="n">
        <v>763.9</v>
      </c>
      <c r="P139" s="7" t="n">
        <v>1460.3</v>
      </c>
      <c r="R139" s="7" t="n">
        <v>1101.6</v>
      </c>
      <c r="T139" s="7" t="n">
        <v>933.5</v>
      </c>
      <c r="V139" s="7" t="n">
        <v>2552.1</v>
      </c>
      <c r="X139" s="7" t="n">
        <v>1250.4</v>
      </c>
      <c r="Z139" s="7" t="n">
        <v>634.6</v>
      </c>
      <c r="AB139" s="7" t="n">
        <v>14922</v>
      </c>
    </row>
    <row r="140">
      <c r="A140" s="4" t="inlineStr">
        <is>
          <t>电费</t>
        </is>
      </c>
      <c r="D140" s="7" t="n">
        <v>164.9</v>
      </c>
      <c r="F140" s="7" t="n">
        <v>158.1</v>
      </c>
      <c r="H140" s="7" t="n">
        <v>298.3</v>
      </c>
      <c r="J140" s="7" t="n">
        <v>292.4</v>
      </c>
      <c r="L140" s="7" t="n">
        <v>352</v>
      </c>
      <c r="N140" s="7" t="n">
        <v>204.9</v>
      </c>
      <c r="P140" s="7" t="n">
        <v>442</v>
      </c>
      <c r="R140" s="7" t="n">
        <v>215.4</v>
      </c>
      <c r="T140" s="7" t="n">
        <v>193.3</v>
      </c>
      <c r="V140" s="7" t="n">
        <v>376.1</v>
      </c>
      <c r="X140" s="7" t="n">
        <v>199.8</v>
      </c>
      <c r="Z140" s="7" t="n">
        <v>81.5</v>
      </c>
      <c r="AB140" s="7" t="n">
        <v>2978.7</v>
      </c>
    </row>
    <row r="141">
      <c r="A141" s="4" t="inlineStr">
        <is>
          <t>燃气费</t>
        </is>
      </c>
      <c r="D141" s="7" t="n">
        <v>293.9</v>
      </c>
      <c r="F141" s="7" t="n">
        <v>139.6</v>
      </c>
      <c r="H141" s="7" t="n">
        <v>232.4</v>
      </c>
      <c r="J141" s="7" t="n">
        <v>284.1</v>
      </c>
      <c r="L141" s="7" t="n">
        <v>442.1</v>
      </c>
      <c r="N141" s="7" t="n">
        <v>272.9</v>
      </c>
      <c r="P141" s="7" t="n">
        <v>410.1</v>
      </c>
      <c r="R141" s="7" t="n">
        <v>220.7</v>
      </c>
      <c r="T141" s="7" t="n">
        <v>217.1</v>
      </c>
      <c r="V141" s="7" t="n">
        <v>356.7</v>
      </c>
      <c r="X141" s="7" t="n">
        <v>239.9</v>
      </c>
      <c r="Z141" s="7" t="n">
        <v>118.1</v>
      </c>
      <c r="AB141" s="7" t="n">
        <v>3227.6</v>
      </c>
    </row>
    <row r="142">
      <c r="A142" s="4" t="inlineStr">
        <is>
          <t>蒸汽费</t>
        </is>
      </c>
      <c r="D142" s="7" t="n">
        <v>809.3</v>
      </c>
      <c r="F142" s="7" t="n">
        <v>481.9</v>
      </c>
      <c r="H142" s="7" t="n">
        <v>865.7</v>
      </c>
      <c r="J142" s="7" t="n">
        <v>878.7</v>
      </c>
      <c r="L142" s="7" t="n">
        <v>1281.4</v>
      </c>
      <c r="N142" s="7" t="n">
        <v>546.5</v>
      </c>
      <c r="P142" s="7" t="n">
        <v>813.2</v>
      </c>
      <c r="R142" s="7" t="n">
        <v>1014.9</v>
      </c>
      <c r="T142" s="7" t="n">
        <v>659.6</v>
      </c>
      <c r="V142" s="7" t="n">
        <v>1419.4</v>
      </c>
      <c r="X142" s="7" t="n">
        <v>615.6</v>
      </c>
      <c r="Z142" s="7" t="n">
        <v>400.1</v>
      </c>
      <c r="AB142" s="7" t="n">
        <v>9786.299999999999</v>
      </c>
    </row>
    <row r="143">
      <c r="A143" s="4" t="inlineStr">
        <is>
          <t>物业费</t>
        </is>
      </c>
      <c r="D143" s="7" t="n">
        <v>756.9</v>
      </c>
      <c r="F143" s="7" t="n">
        <v>756.5</v>
      </c>
      <c r="H143" s="7" t="n">
        <v>1447.1</v>
      </c>
      <c r="J143" s="7" t="n">
        <v>1189.2</v>
      </c>
      <c r="L143" s="7" t="n">
        <v>1308.2</v>
      </c>
      <c r="N143" s="7" t="n">
        <v>995.8</v>
      </c>
      <c r="P143" s="7" t="n">
        <v>1821.3</v>
      </c>
      <c r="R143" s="7" t="n">
        <v>1010.3</v>
      </c>
      <c r="T143" s="7" t="n">
        <v>1324</v>
      </c>
      <c r="V143" s="7" t="n">
        <v>2598.6</v>
      </c>
      <c r="X143" s="7" t="n">
        <v>887.4</v>
      </c>
      <c r="Z143" s="7" t="n">
        <v>623.7</v>
      </c>
      <c r="AB143" s="7" t="n">
        <v>14719</v>
      </c>
    </row>
    <row r="144">
      <c r="A144" s="4" t="inlineStr">
        <is>
          <t>劳动保护费</t>
        </is>
      </c>
      <c r="D144" s="7" t="n">
        <v>722.1</v>
      </c>
      <c r="F144" s="7" t="n">
        <v>700.5</v>
      </c>
      <c r="H144" s="7" t="n">
        <v>704.2</v>
      </c>
      <c r="J144" s="7" t="n">
        <v>1312</v>
      </c>
      <c r="L144" s="7" t="n">
        <v>1301.2</v>
      </c>
      <c r="N144" s="7" t="n">
        <v>632.4</v>
      </c>
      <c r="P144" s="7" t="n">
        <v>1342.2</v>
      </c>
      <c r="R144" s="7" t="n">
        <v>959.3</v>
      </c>
      <c r="T144" s="7" t="n">
        <v>627.6</v>
      </c>
      <c r="V144" s="7" t="n">
        <v>1632.6</v>
      </c>
      <c r="X144" s="7" t="n">
        <v>898.7</v>
      </c>
      <c r="Z144" s="7" t="n">
        <v>314.2</v>
      </c>
      <c r="AB144" s="7" t="n">
        <v>11147</v>
      </c>
    </row>
    <row r="145">
      <c r="A145" s="4" t="inlineStr">
        <is>
          <t>顾问费</t>
        </is>
      </c>
      <c r="D145" s="7" t="n">
        <v>1019.4</v>
      </c>
      <c r="F145" s="7" t="n">
        <v>716.8</v>
      </c>
      <c r="H145" s="7" t="n">
        <v>1267</v>
      </c>
      <c r="J145" s="7" t="n">
        <v>1329.3</v>
      </c>
      <c r="L145" s="7" t="n">
        <v>1869.7</v>
      </c>
      <c r="N145" s="7" t="n">
        <v>783.8</v>
      </c>
      <c r="P145" s="7" t="n">
        <v>1421.7</v>
      </c>
      <c r="R145" s="7" t="n">
        <v>1282.7</v>
      </c>
      <c r="T145" s="7" t="n">
        <v>1099.5</v>
      </c>
      <c r="V145" s="7" t="n">
        <v>1526</v>
      </c>
      <c r="X145" s="7" t="n">
        <v>883.2</v>
      </c>
      <c r="Z145" s="7" t="n">
        <v>343.7</v>
      </c>
      <c r="AB145" s="7" t="n">
        <v>13542.8</v>
      </c>
    </row>
    <row r="146">
      <c r="A146" s="4" t="inlineStr">
        <is>
          <t>快递费</t>
        </is>
      </c>
      <c r="D146" s="7" t="n">
        <v>152.4</v>
      </c>
      <c r="F146" s="7" t="n">
        <v>139.9</v>
      </c>
      <c r="H146" s="7" t="n">
        <v>170.5</v>
      </c>
      <c r="J146" s="7" t="n">
        <v>243.4</v>
      </c>
      <c r="L146" s="7" t="n">
        <v>182.8</v>
      </c>
      <c r="N146" s="7" t="n">
        <v>157.7</v>
      </c>
      <c r="P146" s="7" t="n">
        <v>181.7</v>
      </c>
      <c r="R146" s="7" t="n">
        <v>137.4</v>
      </c>
      <c r="T146" s="7" t="n">
        <v>168.5</v>
      </c>
      <c r="V146" s="7" t="n">
        <v>325.3</v>
      </c>
      <c r="X146" s="7" t="n">
        <v>196</v>
      </c>
      <c r="Z146" s="7" t="n">
        <v>55.3</v>
      </c>
      <c r="AB146" s="7" t="n">
        <v>2110.9</v>
      </c>
    </row>
    <row r="147">
      <c r="A147" s="4" t="inlineStr">
        <is>
          <t>诉讼费</t>
        </is>
      </c>
      <c r="D147" s="7" t="n">
        <v>1327.9</v>
      </c>
      <c r="F147" s="7" t="n">
        <v>906.8</v>
      </c>
      <c r="H147" s="7" t="n">
        <v>1612.6</v>
      </c>
      <c r="J147" s="7" t="n">
        <v>2592.7</v>
      </c>
      <c r="L147" s="7" t="n">
        <v>2303.9</v>
      </c>
      <c r="N147" s="7" t="n">
        <v>1813.3</v>
      </c>
      <c r="P147" s="7" t="n">
        <v>1672.5</v>
      </c>
      <c r="R147" s="7" t="n">
        <v>1713.1</v>
      </c>
      <c r="T147" s="7" t="n">
        <v>1774.2</v>
      </c>
      <c r="V147" s="7" t="n">
        <v>2529.8</v>
      </c>
      <c r="X147" s="7" t="n">
        <v>1437.6</v>
      </c>
      <c r="Z147" s="7" t="n">
        <v>605</v>
      </c>
      <c r="AB147" s="7" t="n">
        <v>20289.4</v>
      </c>
    </row>
    <row r="148">
      <c r="A148" s="4" t="inlineStr">
        <is>
          <t>会员费</t>
        </is>
      </c>
      <c r="D148" s="7" t="n">
        <v>667.4</v>
      </c>
      <c r="F148" s="7" t="n">
        <v>759.6</v>
      </c>
      <c r="H148" s="7" t="n">
        <v>1502.6</v>
      </c>
      <c r="J148" s="7" t="n">
        <v>1305.5</v>
      </c>
      <c r="L148" s="7" t="n">
        <v>1748.4</v>
      </c>
      <c r="N148" s="7" t="n">
        <v>985</v>
      </c>
      <c r="P148" s="7" t="n">
        <v>1260.8</v>
      </c>
      <c r="R148" s="7" t="n">
        <v>1401.8</v>
      </c>
      <c r="T148" s="7" t="n">
        <v>978.8</v>
      </c>
      <c r="V148" s="7" t="n">
        <v>1445.6</v>
      </c>
      <c r="X148" s="7" t="n">
        <v>1240.9</v>
      </c>
      <c r="Z148" s="7" t="n">
        <v>497.3</v>
      </c>
      <c r="AB148" s="7" t="n">
        <v>13793.7</v>
      </c>
    </row>
    <row r="149">
      <c r="A149" s="4" t="inlineStr">
        <is>
          <t>广告宣传费</t>
        </is>
      </c>
      <c r="D149" s="7" t="n">
        <v>10256.5</v>
      </c>
      <c r="F149" s="7" t="n">
        <v>7628.1</v>
      </c>
      <c r="H149" s="7" t="n">
        <v>12118.9</v>
      </c>
      <c r="J149" s="7" t="n">
        <v>17868.5</v>
      </c>
      <c r="L149" s="7" t="n">
        <v>15548.9</v>
      </c>
      <c r="N149" s="7" t="n">
        <v>9211.799999999999</v>
      </c>
      <c r="P149" s="7" t="n">
        <v>16023.1</v>
      </c>
      <c r="R149" s="7" t="n">
        <v>15843.5</v>
      </c>
      <c r="T149" s="7" t="n">
        <v>10504.5</v>
      </c>
      <c r="V149" s="7" t="n">
        <v>17132.6</v>
      </c>
      <c r="X149" s="7" t="n">
        <v>14381.4</v>
      </c>
      <c r="Z149" s="7" t="n">
        <v>4029.5</v>
      </c>
      <c r="AB149" s="7" t="n">
        <v>150547.3</v>
      </c>
    </row>
    <row r="150">
      <c r="A150" s="4" t="inlineStr">
        <is>
          <t>会务费</t>
        </is>
      </c>
      <c r="D150" s="7" t="n">
        <v>41.3</v>
      </c>
      <c r="F150" s="7" t="n">
        <v>54.1</v>
      </c>
      <c r="H150" s="7" t="n">
        <v>68.8</v>
      </c>
      <c r="J150" s="7" t="n">
        <v>103.8</v>
      </c>
      <c r="L150" s="7" t="n">
        <v>68.2</v>
      </c>
      <c r="N150" s="7" t="n">
        <v>74.90000000000001</v>
      </c>
      <c r="P150" s="7" t="n">
        <v>89.5</v>
      </c>
      <c r="R150" s="7" t="n">
        <v>57.6</v>
      </c>
      <c r="T150" s="7" t="n">
        <v>54.8</v>
      </c>
      <c r="V150" s="7" t="n">
        <v>105.7</v>
      </c>
      <c r="X150" s="7" t="n">
        <v>62.6</v>
      </c>
      <c r="Z150" s="7" t="n">
        <v>30.5</v>
      </c>
      <c r="AB150" s="7" t="n">
        <v>811.8</v>
      </c>
    </row>
    <row r="151">
      <c r="A151" s="4" t="inlineStr">
        <is>
          <t>装修费</t>
        </is>
      </c>
      <c r="D151" s="7" t="n">
        <v>543.9</v>
      </c>
      <c r="F151" s="7" t="n">
        <v>417.7</v>
      </c>
      <c r="H151" s="7" t="n">
        <v>829.4</v>
      </c>
      <c r="J151" s="7" t="n">
        <v>589.6</v>
      </c>
      <c r="L151" s="7" t="n">
        <v>740.1</v>
      </c>
      <c r="N151" s="7" t="n">
        <v>481.4</v>
      </c>
      <c r="P151" s="7" t="n">
        <v>619.3</v>
      </c>
      <c r="R151" s="7" t="n">
        <v>598.9</v>
      </c>
      <c r="T151" s="7" t="n">
        <v>518.8</v>
      </c>
      <c r="V151" s="7" t="n">
        <v>1238.9</v>
      </c>
      <c r="X151" s="7" t="n">
        <v>629.6</v>
      </c>
      <c r="Z151" s="7" t="n">
        <v>303.3</v>
      </c>
      <c r="AB151" s="7" t="n">
        <v>7510.9</v>
      </c>
    </row>
    <row r="152">
      <c r="A152" s="4" t="inlineStr">
        <is>
          <t>推广费</t>
        </is>
      </c>
      <c r="D152" s="7" t="n">
        <v>601.1</v>
      </c>
      <c r="F152" s="7" t="n">
        <v>448.6</v>
      </c>
      <c r="H152" s="7" t="n">
        <v>925.5</v>
      </c>
      <c r="J152" s="7" t="n">
        <v>795.8</v>
      </c>
      <c r="L152" s="7" t="n">
        <v>843.1</v>
      </c>
      <c r="N152" s="7" t="n">
        <v>599.3</v>
      </c>
      <c r="P152" s="7" t="n">
        <v>1110.1</v>
      </c>
      <c r="R152" s="7" t="n">
        <v>547.2</v>
      </c>
      <c r="T152" s="7" t="n">
        <v>632.1</v>
      </c>
      <c r="V152" s="7" t="n">
        <v>987.4</v>
      </c>
      <c r="X152" s="7" t="n">
        <v>652.5</v>
      </c>
      <c r="Z152" s="7" t="n">
        <v>305</v>
      </c>
      <c r="AB152" s="7" t="n">
        <v>8447.700000000001</v>
      </c>
    </row>
    <row r="153">
      <c r="A153" s="4" t="inlineStr">
        <is>
          <t>展会费</t>
        </is>
      </c>
      <c r="D153" s="7" t="n">
        <v>732.2</v>
      </c>
      <c r="F153" s="7" t="n">
        <v>498.1</v>
      </c>
      <c r="H153" s="7" t="n">
        <v>877.6</v>
      </c>
      <c r="J153" s="7" t="n">
        <v>1091.6</v>
      </c>
      <c r="L153" s="7" t="n">
        <v>1388.9</v>
      </c>
      <c r="N153" s="7" t="n">
        <v>857.3</v>
      </c>
      <c r="P153" s="7" t="n">
        <v>1436.6</v>
      </c>
      <c r="R153" s="7" t="n">
        <v>936.5</v>
      </c>
      <c r="T153" s="7" t="n">
        <v>635.5</v>
      </c>
      <c r="V153" s="7" t="n">
        <v>1016.1</v>
      </c>
      <c r="X153" s="7" t="n">
        <v>1076.5</v>
      </c>
      <c r="Z153" s="7" t="n">
        <v>315.5</v>
      </c>
      <c r="AB153" s="7" t="n">
        <v>10862.4</v>
      </c>
    </row>
    <row r="154">
      <c r="A154" s="4" t="inlineStr">
        <is>
          <t>设计费</t>
        </is>
      </c>
      <c r="D154" s="7" t="n">
        <v>522.1</v>
      </c>
      <c r="F154" s="7" t="n">
        <v>272.6</v>
      </c>
      <c r="H154" s="7" t="n">
        <v>732.5</v>
      </c>
      <c r="J154" s="7" t="n">
        <v>550.6</v>
      </c>
      <c r="L154" s="7" t="n">
        <v>689.8</v>
      </c>
      <c r="N154" s="7" t="n">
        <v>360.2</v>
      </c>
      <c r="P154" s="7" t="n">
        <v>937.1</v>
      </c>
      <c r="R154" s="7" t="n">
        <v>600.9</v>
      </c>
      <c r="T154" s="7" t="n">
        <v>400.2</v>
      </c>
      <c r="V154" s="7" t="n">
        <v>1092.5</v>
      </c>
      <c r="X154" s="7" t="n">
        <v>602</v>
      </c>
      <c r="Z154" s="7" t="n">
        <v>196.5</v>
      </c>
      <c r="AB154" s="7" t="n">
        <v>6957</v>
      </c>
    </row>
    <row r="155">
      <c r="A155" s="4" t="inlineStr">
        <is>
          <t>折旧费</t>
        </is>
      </c>
      <c r="D155" s="7" t="n">
        <v>14552.2</v>
      </c>
      <c r="F155" s="7" t="n">
        <v>9356</v>
      </c>
      <c r="H155" s="7" t="n">
        <v>16788.4</v>
      </c>
      <c r="J155" s="7" t="n">
        <v>16111.8</v>
      </c>
      <c r="L155" s="7" t="n">
        <v>19438.6</v>
      </c>
      <c r="N155" s="7" t="n">
        <v>14123.8</v>
      </c>
      <c r="P155" s="7" t="n">
        <v>20831</v>
      </c>
      <c r="R155" s="7" t="n">
        <v>19074.7</v>
      </c>
      <c r="T155" s="7" t="n">
        <v>10579.6</v>
      </c>
      <c r="V155" s="7" t="n">
        <v>17819.6</v>
      </c>
      <c r="X155" s="7" t="n">
        <v>16721.1</v>
      </c>
      <c r="Z155" s="7" t="n">
        <v>7331.6</v>
      </c>
      <c r="AB155" s="7" t="n">
        <v>182728.4</v>
      </c>
    </row>
    <row r="156">
      <c r="A156" s="4" t="inlineStr">
        <is>
          <t>认证费</t>
        </is>
      </c>
      <c r="D156" s="7" t="n">
        <v>963.3</v>
      </c>
      <c r="F156" s="7" t="n">
        <v>1177.5</v>
      </c>
      <c r="H156" s="7" t="n">
        <v>1775.7</v>
      </c>
      <c r="J156" s="7" t="n">
        <v>1821.5</v>
      </c>
      <c r="L156" s="7" t="n">
        <v>2464.8</v>
      </c>
      <c r="N156" s="7" t="n">
        <v>1266.8</v>
      </c>
      <c r="P156" s="7" t="n">
        <v>2165.9</v>
      </c>
      <c r="R156" s="7" t="n">
        <v>1809.1</v>
      </c>
      <c r="T156" s="7" t="n">
        <v>1188.4</v>
      </c>
      <c r="V156" s="7" t="n">
        <v>2463.5</v>
      </c>
      <c r="X156" s="7" t="n">
        <v>1516.5</v>
      </c>
      <c r="Z156" s="7" t="n">
        <v>577</v>
      </c>
      <c r="AB156" s="7" t="n">
        <v>19190</v>
      </c>
    </row>
    <row r="157">
      <c r="A157" s="4" t="inlineStr">
        <is>
          <t>样品费</t>
        </is>
      </c>
      <c r="D157" s="7" t="n">
        <v>5652.2</v>
      </c>
      <c r="F157" s="7" t="n">
        <v>3844</v>
      </c>
      <c r="H157" s="7" t="n">
        <v>6478.5</v>
      </c>
      <c r="J157" s="7" t="n">
        <v>10915.9</v>
      </c>
      <c r="L157" s="7" t="n">
        <v>9087.299999999999</v>
      </c>
      <c r="N157" s="7" t="n">
        <v>6314.7</v>
      </c>
      <c r="P157" s="7" t="n">
        <v>9550.200000000001</v>
      </c>
      <c r="R157" s="7" t="n">
        <v>9867.299999999999</v>
      </c>
      <c r="T157" s="7" t="n">
        <v>4833.6</v>
      </c>
      <c r="V157" s="7" t="n">
        <v>10300.1</v>
      </c>
      <c r="X157" s="7" t="n">
        <v>7060</v>
      </c>
      <c r="Z157" s="7" t="n">
        <v>3595.3</v>
      </c>
      <c r="AB157" s="7" t="n">
        <v>87499.10000000001</v>
      </c>
    </row>
    <row r="158">
      <c r="A158" s="4" t="inlineStr">
        <is>
          <t>劳务费</t>
        </is>
      </c>
      <c r="D158" s="7" t="n">
        <v>1112.9</v>
      </c>
      <c r="F158" s="7" t="n">
        <v>1095.2</v>
      </c>
      <c r="H158" s="7" t="n">
        <v>1638.3</v>
      </c>
      <c r="J158" s="7" t="n">
        <v>1598.4</v>
      </c>
      <c r="L158" s="7" t="n">
        <v>1782.7</v>
      </c>
      <c r="N158" s="7" t="n">
        <v>1179.1</v>
      </c>
      <c r="P158" s="7" t="n">
        <v>2715.5</v>
      </c>
      <c r="R158" s="7" t="n">
        <v>1706.9</v>
      </c>
      <c r="T158" s="7" t="n">
        <v>1435.9</v>
      </c>
      <c r="V158" s="7" t="n">
        <v>2552.1</v>
      </c>
      <c r="X158" s="7" t="n">
        <v>1717.5</v>
      </c>
      <c r="Z158" s="7" t="n">
        <v>460.5</v>
      </c>
      <c r="AB158" s="7" t="n">
        <v>18995</v>
      </c>
    </row>
    <row r="159">
      <c r="A159" s="4" t="inlineStr">
        <is>
          <t>销售佣金</t>
        </is>
      </c>
      <c r="D159" s="7" t="n">
        <v>251.4</v>
      </c>
      <c r="F159" s="7" t="n">
        <v>217.8</v>
      </c>
      <c r="H159" s="7" t="n">
        <v>506.3</v>
      </c>
      <c r="J159" s="7" t="n">
        <v>562.1</v>
      </c>
      <c r="L159" s="7" t="n">
        <v>434.6</v>
      </c>
      <c r="N159" s="7" t="n">
        <v>415.8</v>
      </c>
      <c r="P159" s="7" t="n">
        <v>715.7</v>
      </c>
      <c r="R159" s="7" t="n">
        <v>426.6</v>
      </c>
      <c r="T159" s="7" t="n">
        <v>243.4</v>
      </c>
      <c r="V159" s="7" t="n">
        <v>795.8</v>
      </c>
      <c r="X159" s="7" t="n">
        <v>292.1</v>
      </c>
      <c r="Z159" s="7" t="n">
        <v>166.9</v>
      </c>
      <c r="AB159" s="7" t="n">
        <v>5028.5</v>
      </c>
    </row>
    <row r="160">
      <c r="A160" s="4" t="inlineStr">
        <is>
          <t>检测费</t>
        </is>
      </c>
      <c r="D160" s="7" t="n">
        <v>2170</v>
      </c>
      <c r="F160" s="7" t="n">
        <v>1308.5</v>
      </c>
      <c r="H160" s="7" t="n">
        <v>2139.8</v>
      </c>
      <c r="J160" s="7" t="n">
        <v>3056.9</v>
      </c>
      <c r="L160" s="7" t="n">
        <v>2213.9</v>
      </c>
      <c r="N160" s="7" t="n">
        <v>2364.4</v>
      </c>
      <c r="P160" s="7" t="n">
        <v>3456.7</v>
      </c>
      <c r="R160" s="7" t="n">
        <v>1836.6</v>
      </c>
      <c r="T160" s="7" t="n">
        <v>1427.3</v>
      </c>
      <c r="V160" s="7" t="n">
        <v>4063.2</v>
      </c>
      <c r="X160" s="7" t="n">
        <v>2668.9</v>
      </c>
      <c r="Z160" s="7" t="n">
        <v>867.2</v>
      </c>
      <c r="AB160" s="7" t="n">
        <v>27573.4</v>
      </c>
    </row>
    <row r="161">
      <c r="A161" s="4" t="inlineStr">
        <is>
          <t>质量赔偿</t>
        </is>
      </c>
      <c r="D161" s="7" t="n">
        <v>2123.7</v>
      </c>
      <c r="F161" s="7" t="n">
        <v>1667.8</v>
      </c>
      <c r="H161" s="7" t="n">
        <v>1896.3</v>
      </c>
      <c r="J161" s="7" t="n">
        <v>3286.1</v>
      </c>
      <c r="L161" s="7" t="n">
        <v>2365.2</v>
      </c>
      <c r="N161" s="7" t="n">
        <v>1380.9</v>
      </c>
      <c r="P161" s="7" t="n">
        <v>3448.6</v>
      </c>
      <c r="R161" s="7" t="n">
        <v>2009.1</v>
      </c>
      <c r="T161" s="7" t="n">
        <v>1868.6</v>
      </c>
      <c r="V161" s="7" t="n">
        <v>3180.4</v>
      </c>
      <c r="X161" s="7" t="n">
        <v>2327.1</v>
      </c>
      <c r="Z161" s="7" t="n">
        <v>688.6</v>
      </c>
      <c r="AB161" s="7" t="n">
        <v>26242.4</v>
      </c>
    </row>
    <row r="162">
      <c r="A162" s="4" t="inlineStr">
        <is>
          <t>保险费</t>
        </is>
      </c>
      <c r="D162" s="7" t="n">
        <v>671</v>
      </c>
      <c r="F162" s="7" t="n">
        <v>544.1</v>
      </c>
      <c r="H162" s="7" t="n">
        <v>1457</v>
      </c>
      <c r="J162" s="7" t="n">
        <v>1312.6</v>
      </c>
      <c r="L162" s="7" t="n">
        <v>1220.4</v>
      </c>
      <c r="N162" s="7" t="n">
        <v>959.7</v>
      </c>
      <c r="P162" s="7" t="n">
        <v>1477.2</v>
      </c>
      <c r="R162" s="7" t="n">
        <v>1056</v>
      </c>
      <c r="T162" s="7" t="n">
        <v>1151.5</v>
      </c>
      <c r="V162" s="7" t="n">
        <v>1545.8</v>
      </c>
      <c r="X162" s="7" t="n">
        <v>985.9</v>
      </c>
      <c r="Z162" s="7" t="n">
        <v>463.2</v>
      </c>
      <c r="AB162" s="7" t="n">
        <v>12844.4</v>
      </c>
    </row>
    <row r="163">
      <c r="A163" s="4" t="inlineStr">
        <is>
          <t>清洁费</t>
        </is>
      </c>
      <c r="D163" s="7" t="n">
        <v>2385.9</v>
      </c>
      <c r="F163" s="7" t="n">
        <v>1943.1</v>
      </c>
      <c r="H163" s="7" t="n">
        <v>2376.3</v>
      </c>
      <c r="J163" s="7" t="n">
        <v>3504.2</v>
      </c>
      <c r="L163" s="7" t="n">
        <v>3889.7</v>
      </c>
      <c r="N163" s="7" t="n">
        <v>1478.6</v>
      </c>
      <c r="P163" s="7" t="n">
        <v>4332.6</v>
      </c>
      <c r="R163" s="7" t="n">
        <v>2766.3</v>
      </c>
      <c r="T163" s="7" t="n">
        <v>2490.3</v>
      </c>
      <c r="V163" s="7" t="n">
        <v>4342.2</v>
      </c>
      <c r="X163" s="7" t="n">
        <v>2976</v>
      </c>
      <c r="Z163" s="7" t="n">
        <v>1059.7</v>
      </c>
      <c r="AB163" s="7" t="n">
        <v>33544.9</v>
      </c>
    </row>
    <row r="164">
      <c r="A164" s="4" t="inlineStr">
        <is>
          <t>低值易耗品</t>
        </is>
      </c>
      <c r="D164" s="7" t="n">
        <v>1342.8</v>
      </c>
      <c r="F164" s="7" t="n">
        <v>1300.5</v>
      </c>
      <c r="H164" s="7" t="n">
        <v>1877.5</v>
      </c>
      <c r="J164" s="7" t="n">
        <v>3239.6</v>
      </c>
      <c r="L164" s="7" t="n">
        <v>2450.4</v>
      </c>
      <c r="N164" s="7" t="n">
        <v>2017.3</v>
      </c>
      <c r="P164" s="7" t="n">
        <v>2143</v>
      </c>
      <c r="R164" s="7" t="n">
        <v>2598.9</v>
      </c>
      <c r="T164" s="7" t="n">
        <v>2055.6</v>
      </c>
      <c r="V164" s="7" t="n">
        <v>3023.3</v>
      </c>
      <c r="X164" s="7" t="n">
        <v>2401</v>
      </c>
      <c r="Z164" s="7" t="n">
        <v>728.6</v>
      </c>
      <c r="AB164" s="7" t="n">
        <v>25178.5</v>
      </c>
    </row>
    <row r="165">
      <c r="A165" s="4" t="inlineStr">
        <is>
          <t>物料消耗</t>
        </is>
      </c>
      <c r="D165" s="7" t="n">
        <v>1683.7</v>
      </c>
      <c r="F165" s="7" t="n">
        <v>1178.7</v>
      </c>
      <c r="H165" s="7" t="n">
        <v>3137.6</v>
      </c>
      <c r="J165" s="7" t="n">
        <v>2650</v>
      </c>
      <c r="L165" s="7" t="n">
        <v>2735.3</v>
      </c>
      <c r="N165" s="7" t="n">
        <v>2599.7</v>
      </c>
      <c r="P165" s="7" t="n">
        <v>4293.6</v>
      </c>
      <c r="R165" s="7" t="n">
        <v>2848.9</v>
      </c>
      <c r="T165" s="7" t="n">
        <v>2576</v>
      </c>
      <c r="V165" s="7" t="n">
        <v>4660.3</v>
      </c>
      <c r="X165" s="7" t="n">
        <v>2255</v>
      </c>
      <c r="Z165" s="7" t="n">
        <v>695.4</v>
      </c>
      <c r="AB165" s="7" t="n">
        <v>31314.2</v>
      </c>
    </row>
    <row r="166">
      <c r="A166" s="4" t="inlineStr">
        <is>
          <t>盘盈盘亏</t>
        </is>
      </c>
      <c r="D166" s="7" t="n">
        <v>2087</v>
      </c>
      <c r="F166" s="7" t="n">
        <v>1750.6</v>
      </c>
      <c r="H166" s="7" t="n">
        <v>2288.4</v>
      </c>
      <c r="J166" s="7" t="n">
        <v>2645</v>
      </c>
      <c r="L166" s="7" t="n">
        <v>3533.4</v>
      </c>
      <c r="N166" s="7" t="n">
        <v>2109.6</v>
      </c>
      <c r="P166" s="7" t="n">
        <v>3732.4</v>
      </c>
      <c r="R166" s="7" t="n">
        <v>2789.1</v>
      </c>
      <c r="T166" s="7" t="n">
        <v>2220.8</v>
      </c>
      <c r="V166" s="7" t="n">
        <v>3982.9</v>
      </c>
      <c r="X166" s="7" t="n">
        <v>2124.9</v>
      </c>
      <c r="Z166" s="7" t="n">
        <v>779.2</v>
      </c>
      <c r="AB166" s="7" t="n">
        <v>30043.3</v>
      </c>
    </row>
    <row r="167">
      <c r="A167" s="4" t="inlineStr">
        <is>
          <t>平台服务费</t>
        </is>
      </c>
      <c r="D167" s="7" t="n">
        <v>1443.2</v>
      </c>
      <c r="F167" s="7" t="n">
        <v>1099.5</v>
      </c>
      <c r="H167" s="7" t="n">
        <v>1573</v>
      </c>
      <c r="J167" s="7" t="n">
        <v>1389.4</v>
      </c>
      <c r="L167" s="7" t="n">
        <v>1490.5</v>
      </c>
      <c r="N167" s="7" t="n">
        <v>1407.1</v>
      </c>
      <c r="P167" s="7" t="n">
        <v>2280.8</v>
      </c>
      <c r="R167" s="7" t="n">
        <v>1909.7</v>
      </c>
      <c r="T167" s="7" t="n">
        <v>1009.8</v>
      </c>
      <c r="V167" s="7" t="n">
        <v>2325.9</v>
      </c>
      <c r="X167" s="7" t="n">
        <v>1584.3</v>
      </c>
      <c r="Z167" s="7" t="n">
        <v>527.9</v>
      </c>
      <c r="AB167" s="7" t="n">
        <v>18041.1</v>
      </c>
    </row>
    <row r="168">
      <c r="A168" s="4" t="inlineStr">
        <is>
          <t>无形资产摊销</t>
        </is>
      </c>
      <c r="D168" s="7" t="n">
        <v>131.8</v>
      </c>
      <c r="F168" s="7" t="n">
        <v>132.7</v>
      </c>
      <c r="H168" s="7" t="n">
        <v>283.3</v>
      </c>
      <c r="J168" s="7" t="n">
        <v>317.4</v>
      </c>
      <c r="L168" s="7" t="n">
        <v>322.3</v>
      </c>
      <c r="N168" s="7" t="n">
        <v>214</v>
      </c>
      <c r="P168" s="7" t="n">
        <v>321.1</v>
      </c>
      <c r="R168" s="7" t="n">
        <v>261</v>
      </c>
      <c r="T168" s="7" t="n">
        <v>157.3</v>
      </c>
      <c r="V168" s="7" t="n">
        <v>333.4</v>
      </c>
      <c r="X168" s="7" t="n">
        <v>229.3</v>
      </c>
      <c r="Z168" s="7" t="n">
        <v>69.5</v>
      </c>
      <c r="AB168" s="7" t="n">
        <v>2773.1</v>
      </c>
    </row>
    <row r="169">
      <c r="A169" s="4" t="inlineStr">
        <is>
          <t>研发材料</t>
        </is>
      </c>
      <c r="D169" s="7" t="n">
        <v>1658.9</v>
      </c>
      <c r="F169" s="7" t="n">
        <v>1296.1</v>
      </c>
      <c r="H169" s="7" t="n">
        <v>1513.7</v>
      </c>
      <c r="J169" s="7" t="n">
        <v>2100.7</v>
      </c>
      <c r="L169" s="7" t="n">
        <v>1883</v>
      </c>
      <c r="N169" s="7" t="n">
        <v>1815.1</v>
      </c>
      <c r="P169" s="7" t="n">
        <v>3060</v>
      </c>
      <c r="R169" s="7" t="n">
        <v>2284.4</v>
      </c>
      <c r="T169" s="7" t="n">
        <v>1231.1</v>
      </c>
      <c r="V169" s="7" t="n">
        <v>3583.2</v>
      </c>
      <c r="X169" s="7" t="n">
        <v>2105.9</v>
      </c>
      <c r="Z169" s="7" t="n">
        <v>738.5</v>
      </c>
      <c r="AB169" s="7" t="n">
        <v>23270.6</v>
      </c>
    </row>
    <row r="170">
      <c r="A170" s="4" t="inlineStr">
        <is>
          <t>项目名称</t>
        </is>
      </c>
      <c r="D170" s="7" t="n">
        <v>1572.8</v>
      </c>
      <c r="F170" s="7" t="n">
        <v>1286.3</v>
      </c>
      <c r="H170" s="7" t="n">
        <v>1379.3</v>
      </c>
      <c r="J170" s="7" t="n">
        <v>2262</v>
      </c>
      <c r="L170" s="7" t="n">
        <v>1699.6</v>
      </c>
      <c r="N170" s="7" t="n">
        <v>1269.5</v>
      </c>
      <c r="P170" s="7" t="n">
        <v>2107.7</v>
      </c>
      <c r="R170" s="7" t="n">
        <v>1448.5</v>
      </c>
      <c r="T170" s="7" t="n">
        <v>1013</v>
      </c>
      <c r="V170" s="7" t="n">
        <v>2370</v>
      </c>
      <c r="X170" s="7" t="n">
        <v>1941.7</v>
      </c>
      <c r="Z170" s="7" t="n">
        <v>476.5</v>
      </c>
      <c r="AB170" s="7" t="n">
        <v>18826.9</v>
      </c>
    </row>
    <row r="171">
      <c r="A171" s="4" t="inlineStr">
        <is>
          <t>研发费</t>
        </is>
      </c>
      <c r="D171" s="7" t="n">
        <v>1393.3</v>
      </c>
      <c r="F171" s="7" t="n">
        <v>1437.8</v>
      </c>
      <c r="H171" s="7" t="n">
        <v>1877.7</v>
      </c>
      <c r="J171" s="7" t="n">
        <v>2555.6</v>
      </c>
      <c r="L171" s="7" t="n">
        <v>1875.7</v>
      </c>
      <c r="N171" s="7" t="n">
        <v>1746.1</v>
      </c>
      <c r="P171" s="7" t="n">
        <v>2056</v>
      </c>
      <c r="R171" s="7" t="n">
        <v>2361.7</v>
      </c>
      <c r="T171" s="7" t="n">
        <v>1802.7</v>
      </c>
      <c r="V171" s="7" t="n">
        <v>2576.2</v>
      </c>
      <c r="X171" s="7" t="n">
        <v>1749.4</v>
      </c>
      <c r="Z171" s="7" t="n">
        <v>551.9</v>
      </c>
      <c r="AB171" s="7" t="n">
        <v>21984.1</v>
      </c>
    </row>
    <row r="172">
      <c r="A172" s="4" t="inlineStr">
        <is>
          <t>残保金</t>
        </is>
      </c>
      <c r="D172" s="7" t="n">
        <v>1831.4</v>
      </c>
      <c r="F172" s="7" t="n">
        <v>1775.1</v>
      </c>
      <c r="H172" s="7" t="n">
        <v>2001.9</v>
      </c>
      <c r="J172" s="7" t="n">
        <v>3051.4</v>
      </c>
      <c r="L172" s="7" t="n">
        <v>2756.7</v>
      </c>
      <c r="N172" s="7" t="n">
        <v>1743.2</v>
      </c>
      <c r="P172" s="7" t="n">
        <v>2369.6</v>
      </c>
      <c r="R172" s="7" t="n">
        <v>2021.2</v>
      </c>
      <c r="T172" s="7" t="n">
        <v>1574.7</v>
      </c>
      <c r="V172" s="7" t="n">
        <v>3766</v>
      </c>
      <c r="X172" s="7" t="n">
        <v>2603.4</v>
      </c>
      <c r="Z172" s="7" t="n">
        <v>779.2</v>
      </c>
      <c r="AB172" s="7" t="n">
        <v>26273.8</v>
      </c>
    </row>
    <row r="173">
      <c r="A173" s="4" t="inlineStr">
        <is>
          <t>环保费</t>
        </is>
      </c>
      <c r="D173" s="7" t="n">
        <v>1345.8</v>
      </c>
      <c r="F173" s="7" t="n">
        <v>772.2</v>
      </c>
      <c r="H173" s="7" t="n">
        <v>1434.4</v>
      </c>
      <c r="J173" s="7" t="n">
        <v>1970.2</v>
      </c>
      <c r="L173" s="7" t="n">
        <v>2584.6</v>
      </c>
      <c r="N173" s="7" t="n">
        <v>1639.1</v>
      </c>
      <c r="P173" s="7" t="n">
        <v>2711.9</v>
      </c>
      <c r="R173" s="7" t="n">
        <v>2078.7</v>
      </c>
      <c r="T173" s="7" t="n">
        <v>1676.1</v>
      </c>
      <c r="V173" s="7" t="n">
        <v>2399.7</v>
      </c>
      <c r="X173" s="7" t="n">
        <v>1265.8</v>
      </c>
      <c r="Z173" s="7" t="n">
        <v>496.6</v>
      </c>
      <c r="AB173" s="7" t="n">
        <v>20375.1</v>
      </c>
    </row>
    <row r="174">
      <c r="A174" s="4" t="inlineStr">
        <is>
          <t>报废损失</t>
        </is>
      </c>
      <c r="D174" s="7" t="n">
        <v>564.7</v>
      </c>
      <c r="F174" s="7" t="n">
        <v>662.2</v>
      </c>
      <c r="H174" s="7" t="n">
        <v>1161.3</v>
      </c>
      <c r="J174" s="7" t="n">
        <v>1354.7</v>
      </c>
      <c r="L174" s="7" t="n">
        <v>1442.6</v>
      </c>
      <c r="N174" s="7" t="n">
        <v>759.2</v>
      </c>
      <c r="P174" s="7" t="n">
        <v>1343.7</v>
      </c>
      <c r="R174" s="7" t="n">
        <v>653.7</v>
      </c>
      <c r="T174" s="7" t="n">
        <v>608.6</v>
      </c>
      <c r="V174" s="7" t="n">
        <v>1465.5</v>
      </c>
      <c r="X174" s="7" t="n">
        <v>716.9</v>
      </c>
      <c r="Z174" s="7" t="n">
        <v>307.8</v>
      </c>
      <c r="AB174" s="7" t="n">
        <v>11040.9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150755.2</v>
      </c>
      <c r="D175" s="7" t="n">
        <v>87429.8</v>
      </c>
      <c r="E175" s="7" t="n">
        <v>147041.2</v>
      </c>
      <c r="F175" s="7" t="n">
        <v>187259.7</v>
      </c>
      <c r="G175" s="7" t="n">
        <v>151318.8</v>
      </c>
      <c r="H175" s="7" t="n">
        <v>156024.6</v>
      </c>
      <c r="I175" s="7" t="n">
        <v>189327.7</v>
      </c>
      <c r="J175" s="7" t="n">
        <v>196211.8</v>
      </c>
      <c r="K175" s="7" t="n">
        <v>187443.4</v>
      </c>
      <c r="L175" s="7" t="n">
        <v>142272.3</v>
      </c>
      <c r="M175" s="7" t="n">
        <v>182998.6</v>
      </c>
      <c r="N175" s="7" t="n">
        <v>204639.2</v>
      </c>
      <c r="O175" s="7" t="n">
        <v>192115.6</v>
      </c>
      <c r="P175" s="7" t="n">
        <v>327666.7</v>
      </c>
      <c r="Q175" s="7" t="n">
        <v>159242.1</v>
      </c>
      <c r="R175" s="7" t="n">
        <v>266458.8</v>
      </c>
      <c r="S175" s="7" t="n">
        <v>189596.3</v>
      </c>
      <c r="T175" s="7" t="n">
        <v>90250.3</v>
      </c>
      <c r="U175" s="7" t="n">
        <v>176105.6</v>
      </c>
      <c r="V175" s="7" t="n">
        <v>158996.2</v>
      </c>
      <c r="W175" s="7" t="n">
        <v>183700.8</v>
      </c>
      <c r="X175" s="7" t="n">
        <v>159506.2</v>
      </c>
      <c r="Y175" s="7" t="n">
        <v>158262.7</v>
      </c>
      <c r="Z175" s="7" t="n">
        <v>67301.10000000001</v>
      </c>
      <c r="AA175" s="8" t="n">
        <v>2067908</v>
      </c>
      <c r="AB175" s="8" t="n">
        <v>2044016.7</v>
      </c>
    </row>
    <row r="176">
      <c r="A176" s="4" t="inlineStr">
        <is>
          <t>职工薪酬</t>
        </is>
      </c>
      <c r="D176" s="7" t="n">
        <v>39032.5</v>
      </c>
      <c r="F176" s="7" t="n">
        <v>83608.39999999999</v>
      </c>
      <c r="H176" s="7" t="n">
        <v>80845.39999999999</v>
      </c>
      <c r="J176" s="7" t="n">
        <v>98033.5</v>
      </c>
      <c r="L176" s="7" t="n">
        <v>83707</v>
      </c>
      <c r="N176" s="7" t="n">
        <v>116876.1</v>
      </c>
      <c r="P176" s="7" t="n">
        <v>146735.6</v>
      </c>
      <c r="R176" s="7" t="n">
        <v>118642.7</v>
      </c>
      <c r="T176" s="7" t="n">
        <v>52047.1</v>
      </c>
      <c r="V176" s="7" t="n">
        <v>82356.8</v>
      </c>
      <c r="X176" s="7" t="n">
        <v>80717.89999999999</v>
      </c>
      <c r="Z176" s="7" t="n">
        <v>40302.7</v>
      </c>
      <c r="AB176" s="7" t="n">
        <v>1022905.7</v>
      </c>
    </row>
    <row r="177">
      <c r="A177" s="4" t="inlineStr">
        <is>
          <t>工资</t>
        </is>
      </c>
      <c r="D177" s="7" t="n">
        <v>18924.6</v>
      </c>
      <c r="F177" s="7" t="n">
        <v>48095.8</v>
      </c>
      <c r="H177" s="7" t="n">
        <v>52591.7</v>
      </c>
      <c r="J177" s="7" t="n">
        <v>56618.4</v>
      </c>
      <c r="L177" s="7" t="n">
        <v>55363.3</v>
      </c>
      <c r="N177" s="7" t="n">
        <v>77127.89999999999</v>
      </c>
      <c r="P177" s="7" t="n">
        <v>71215.89999999999</v>
      </c>
      <c r="R177" s="7" t="n">
        <v>73056</v>
      </c>
      <c r="T177" s="7" t="n">
        <v>30470.8</v>
      </c>
      <c r="V177" s="7" t="n">
        <v>47275.3</v>
      </c>
      <c r="X177" s="7" t="n">
        <v>47650.6</v>
      </c>
      <c r="Z177" s="7" t="n">
        <v>24379.9</v>
      </c>
      <c r="AB177" s="7" t="n">
        <v>602770.2</v>
      </c>
    </row>
    <row r="178">
      <c r="A178" s="4" t="inlineStr">
        <is>
          <t>奖金及提成</t>
        </is>
      </c>
      <c r="D178" s="7" t="n">
        <v>10667.6</v>
      </c>
      <c r="F178" s="7" t="n">
        <v>14497.5</v>
      </c>
      <c r="H178" s="7" t="n">
        <v>11797.7</v>
      </c>
      <c r="J178" s="7" t="n">
        <v>23955.6</v>
      </c>
      <c r="L178" s="7" t="n">
        <v>11501.2</v>
      </c>
      <c r="N178" s="7" t="n">
        <v>16391.1</v>
      </c>
      <c r="P178" s="7" t="n">
        <v>32938.5</v>
      </c>
      <c r="R178" s="7" t="n">
        <v>23013.4</v>
      </c>
      <c r="T178" s="7" t="n">
        <v>11141.7</v>
      </c>
      <c r="V178" s="7" t="n">
        <v>16717</v>
      </c>
      <c r="X178" s="7" t="n">
        <v>16750.2</v>
      </c>
      <c r="Z178" s="7" t="n">
        <v>8634.6</v>
      </c>
      <c r="AB178" s="7" t="n">
        <v>198006.1</v>
      </c>
    </row>
    <row r="179">
      <c r="A179" s="4" t="inlineStr">
        <is>
          <t>社保</t>
        </is>
      </c>
      <c r="D179" s="7" t="n">
        <v>7103.6</v>
      </c>
      <c r="F179" s="7" t="n">
        <v>15617</v>
      </c>
      <c r="H179" s="7" t="n">
        <v>11856</v>
      </c>
      <c r="J179" s="7" t="n">
        <v>11711.5</v>
      </c>
      <c r="L179" s="7" t="n">
        <v>13213.7</v>
      </c>
      <c r="N179" s="7" t="n">
        <v>18108.9</v>
      </c>
      <c r="P179" s="7" t="n">
        <v>32305.9</v>
      </c>
      <c r="R179" s="7" t="n">
        <v>15253.7</v>
      </c>
      <c r="T179" s="7" t="n">
        <v>8005.5</v>
      </c>
      <c r="V179" s="7" t="n">
        <v>14098.3</v>
      </c>
      <c r="X179" s="7" t="n">
        <v>11950.2</v>
      </c>
      <c r="Z179" s="7" t="n">
        <v>5675.9</v>
      </c>
      <c r="AB179" s="7" t="n">
        <v>164900.2</v>
      </c>
    </row>
    <row r="180">
      <c r="A180" s="4" t="inlineStr">
        <is>
          <t>养老</t>
        </is>
      </c>
      <c r="D180" s="7" t="n">
        <v>655.6</v>
      </c>
      <c r="F180" s="7" t="n">
        <v>925.4</v>
      </c>
      <c r="H180" s="7" t="n">
        <v>728.6</v>
      </c>
      <c r="J180" s="7" t="n">
        <v>1466.7</v>
      </c>
      <c r="L180" s="7" t="n">
        <v>972.4</v>
      </c>
      <c r="N180" s="7" t="n">
        <v>1241.3</v>
      </c>
      <c r="P180" s="7" t="n">
        <v>2602</v>
      </c>
      <c r="R180" s="7" t="n">
        <v>1756</v>
      </c>
      <c r="T180" s="7" t="n">
        <v>396</v>
      </c>
      <c r="V180" s="7" t="n">
        <v>1271.3</v>
      </c>
      <c r="X180" s="7" t="n">
        <v>1088.1</v>
      </c>
      <c r="Z180" s="7" t="n">
        <v>533.4</v>
      </c>
      <c r="AB180" s="7" t="n">
        <v>13636.8</v>
      </c>
    </row>
    <row r="181">
      <c r="A181" s="4" t="inlineStr">
        <is>
          <t>医疗</t>
        </is>
      </c>
      <c r="D181" s="7" t="n">
        <v>212.2</v>
      </c>
      <c r="F181" s="7" t="n">
        <v>455.1</v>
      </c>
      <c r="H181" s="7" t="n">
        <v>423.7</v>
      </c>
      <c r="J181" s="7" t="n">
        <v>435.4</v>
      </c>
      <c r="L181" s="7" t="n">
        <v>250.6</v>
      </c>
      <c r="N181" s="7" t="n">
        <v>317.9</v>
      </c>
      <c r="P181" s="7" t="n">
        <v>758.3</v>
      </c>
      <c r="R181" s="7" t="n">
        <v>507.5</v>
      </c>
      <c r="T181" s="7" t="n">
        <v>141</v>
      </c>
      <c r="V181" s="7" t="n">
        <v>251.5</v>
      </c>
      <c r="X181" s="7" t="n">
        <v>432</v>
      </c>
      <c r="Z181" s="7" t="n">
        <v>133.2</v>
      </c>
      <c r="AB181" s="7" t="n">
        <v>4318.4</v>
      </c>
    </row>
    <row r="182">
      <c r="A182" s="4" t="inlineStr">
        <is>
          <t>工伤</t>
        </is>
      </c>
      <c r="D182" s="7" t="n">
        <v>184.5</v>
      </c>
      <c r="F182" s="7" t="n">
        <v>626.4</v>
      </c>
      <c r="H182" s="7" t="n">
        <v>497.6</v>
      </c>
      <c r="J182" s="7" t="n">
        <v>386.7</v>
      </c>
      <c r="L182" s="7" t="n">
        <v>450.8</v>
      </c>
      <c r="N182" s="7" t="n">
        <v>427</v>
      </c>
      <c r="P182" s="7" t="n">
        <v>1000.7</v>
      </c>
      <c r="R182" s="7" t="n">
        <v>607</v>
      </c>
      <c r="T182" s="7" t="n">
        <v>271.8</v>
      </c>
      <c r="V182" s="7" t="n">
        <v>454.3</v>
      </c>
      <c r="X182" s="7" t="n">
        <v>322.2</v>
      </c>
      <c r="Z182" s="7" t="n">
        <v>175.1</v>
      </c>
      <c r="AB182" s="7" t="n">
        <v>5404.1</v>
      </c>
    </row>
    <row r="183">
      <c r="A183" s="4" t="inlineStr">
        <is>
          <t>失业</t>
        </is>
      </c>
      <c r="D183" s="7" t="n">
        <v>293.4</v>
      </c>
      <c r="F183" s="7" t="n">
        <v>470.4</v>
      </c>
      <c r="H183" s="7" t="n">
        <v>491.4</v>
      </c>
      <c r="J183" s="7" t="n">
        <v>433.2</v>
      </c>
      <c r="L183" s="7" t="n">
        <v>443.4</v>
      </c>
      <c r="N183" s="7" t="n">
        <v>695.8</v>
      </c>
      <c r="P183" s="7" t="n">
        <v>936</v>
      </c>
      <c r="R183" s="7" t="n">
        <v>750.7</v>
      </c>
      <c r="T183" s="7" t="n">
        <v>315</v>
      </c>
      <c r="V183" s="7" t="n">
        <v>444.4</v>
      </c>
      <c r="X183" s="7" t="n">
        <v>469.3</v>
      </c>
      <c r="Z183" s="7" t="n">
        <v>182</v>
      </c>
      <c r="AB183" s="7" t="n">
        <v>5925</v>
      </c>
    </row>
    <row r="184">
      <c r="A184" s="4" t="inlineStr">
        <is>
          <t>生育</t>
        </is>
      </c>
      <c r="D184" s="7" t="n">
        <v>514.6</v>
      </c>
      <c r="F184" s="7" t="n">
        <v>992.4</v>
      </c>
      <c r="H184" s="7" t="n">
        <v>743.4</v>
      </c>
      <c r="J184" s="7" t="n">
        <v>930.1</v>
      </c>
      <c r="L184" s="7" t="n">
        <v>511.2</v>
      </c>
      <c r="N184" s="7" t="n">
        <v>918.7</v>
      </c>
      <c r="P184" s="7" t="n">
        <v>1589.8</v>
      </c>
      <c r="R184" s="7" t="n">
        <v>1103.1</v>
      </c>
      <c r="T184" s="7" t="n">
        <v>497.7</v>
      </c>
      <c r="V184" s="7" t="n">
        <v>625.5</v>
      </c>
      <c r="X184" s="7" t="n">
        <v>789</v>
      </c>
      <c r="Z184" s="7" t="n">
        <v>359.8</v>
      </c>
      <c r="AB184" s="7" t="n">
        <v>9575.299999999999</v>
      </c>
    </row>
    <row r="185">
      <c r="A185" s="4" t="inlineStr">
        <is>
          <t>公积金</t>
        </is>
      </c>
      <c r="D185" s="7" t="n">
        <v>263</v>
      </c>
      <c r="F185" s="7" t="n">
        <v>620.1</v>
      </c>
      <c r="H185" s="7" t="n">
        <v>668</v>
      </c>
      <c r="J185" s="7" t="n">
        <v>666</v>
      </c>
      <c r="L185" s="7" t="n">
        <v>386.3</v>
      </c>
      <c r="N185" s="7" t="n">
        <v>546.8</v>
      </c>
      <c r="P185" s="7" t="n">
        <v>1399.9</v>
      </c>
      <c r="R185" s="7" t="n">
        <v>1104.6</v>
      </c>
      <c r="T185" s="7" t="n">
        <v>314.8</v>
      </c>
      <c r="V185" s="7" t="n">
        <v>479.9</v>
      </c>
      <c r="X185" s="7" t="n">
        <v>399.9</v>
      </c>
      <c r="Z185" s="7" t="n">
        <v>172.7</v>
      </c>
      <c r="AB185" s="7" t="n">
        <v>7022</v>
      </c>
    </row>
    <row r="186">
      <c r="A186" s="4" t="inlineStr">
        <is>
          <t>工会经费</t>
        </is>
      </c>
      <c r="D186" s="7" t="n">
        <v>19.8</v>
      </c>
      <c r="F186" s="7" t="n">
        <v>52.9</v>
      </c>
      <c r="H186" s="7" t="n">
        <v>34.9</v>
      </c>
      <c r="J186" s="7" t="n">
        <v>63.6</v>
      </c>
      <c r="L186" s="7" t="n">
        <v>43.8</v>
      </c>
      <c r="N186" s="7" t="n">
        <v>51.6</v>
      </c>
      <c r="P186" s="7" t="n">
        <v>82.59999999999999</v>
      </c>
      <c r="R186" s="7" t="n">
        <v>59</v>
      </c>
      <c r="T186" s="7" t="n">
        <v>26.7</v>
      </c>
      <c r="V186" s="7" t="n">
        <v>36.1</v>
      </c>
      <c r="X186" s="7" t="n">
        <v>51.7</v>
      </c>
      <c r="Z186" s="7" t="n">
        <v>16.1</v>
      </c>
      <c r="AB186" s="7" t="n">
        <v>538.8</v>
      </c>
    </row>
    <row r="187">
      <c r="A187" s="4" t="inlineStr">
        <is>
          <t>职工教育经费</t>
        </is>
      </c>
      <c r="D187" s="7" t="n">
        <v>97.8</v>
      </c>
      <c r="F187" s="7" t="n">
        <v>167.8</v>
      </c>
      <c r="H187" s="7" t="n">
        <v>228.6</v>
      </c>
      <c r="J187" s="7" t="n">
        <v>206</v>
      </c>
      <c r="L187" s="7" t="n">
        <v>178.9</v>
      </c>
      <c r="N187" s="7" t="n">
        <v>237.9</v>
      </c>
      <c r="P187" s="7" t="n">
        <v>431.5</v>
      </c>
      <c r="R187" s="7" t="n">
        <v>342</v>
      </c>
      <c r="T187" s="7" t="n">
        <v>92.59999999999999</v>
      </c>
      <c r="V187" s="7" t="n">
        <v>243.2</v>
      </c>
      <c r="X187" s="7" t="n">
        <v>233</v>
      </c>
      <c r="Z187" s="7" t="n">
        <v>65.3</v>
      </c>
      <c r="AB187" s="7" t="n">
        <v>2524.6</v>
      </c>
    </row>
    <row r="188">
      <c r="A188" s="4" t="inlineStr">
        <is>
          <t>福利费</t>
        </is>
      </c>
      <c r="D188" s="7" t="n">
        <v>1956.1</v>
      </c>
      <c r="F188" s="7" t="n">
        <v>4557.3</v>
      </c>
      <c r="H188" s="7" t="n">
        <v>3668.5</v>
      </c>
      <c r="J188" s="7" t="n">
        <v>4812.4</v>
      </c>
      <c r="L188" s="7" t="n">
        <v>3019.8</v>
      </c>
      <c r="N188" s="7" t="n">
        <v>4411.9</v>
      </c>
      <c r="P188" s="7" t="n">
        <v>8361.299999999999</v>
      </c>
      <c r="R188" s="7" t="n">
        <v>5814</v>
      </c>
      <c r="T188" s="7" t="n">
        <v>1995</v>
      </c>
      <c r="V188" s="7" t="n">
        <v>3507</v>
      </c>
      <c r="X188" s="7" t="n">
        <v>3682.3</v>
      </c>
      <c r="Z188" s="7" t="n">
        <v>1358.2</v>
      </c>
      <c r="AB188" s="7" t="n">
        <v>47143.8</v>
      </c>
    </row>
    <row r="189">
      <c r="A189" s="4" t="inlineStr">
        <is>
          <t>职工房租</t>
        </is>
      </c>
      <c r="D189" s="7" t="n">
        <v>587.6</v>
      </c>
      <c r="F189" s="7" t="n">
        <v>1176.5</v>
      </c>
      <c r="H189" s="7" t="n">
        <v>1058.4</v>
      </c>
      <c r="J189" s="7" t="n">
        <v>1596</v>
      </c>
      <c r="L189" s="7" t="n">
        <v>825.7</v>
      </c>
      <c r="N189" s="7" t="n">
        <v>1431.2</v>
      </c>
      <c r="P189" s="7" t="n">
        <v>2312.1</v>
      </c>
      <c r="R189" s="7" t="n">
        <v>1581.2</v>
      </c>
      <c r="T189" s="7" t="n">
        <v>503.9</v>
      </c>
      <c r="V189" s="7" t="n">
        <v>780.4</v>
      </c>
      <c r="X189" s="7" t="n">
        <v>715.5</v>
      </c>
      <c r="Z189" s="7" t="n">
        <v>327</v>
      </c>
      <c r="AB189" s="7" t="n">
        <v>12895.5</v>
      </c>
    </row>
    <row r="190">
      <c r="A190" s="4" t="inlineStr">
        <is>
          <t>水电物业费</t>
        </is>
      </c>
      <c r="D190" s="7" t="n">
        <v>11.7</v>
      </c>
      <c r="F190" s="7" t="n">
        <v>23.7</v>
      </c>
      <c r="H190" s="7" t="n">
        <v>13.4</v>
      </c>
      <c r="J190" s="7" t="n">
        <v>22.3</v>
      </c>
      <c r="L190" s="7" t="n">
        <v>16.2</v>
      </c>
      <c r="N190" s="7" t="n">
        <v>20.5</v>
      </c>
      <c r="P190" s="7" t="n">
        <v>36.7</v>
      </c>
      <c r="R190" s="7" t="n">
        <v>32.6</v>
      </c>
      <c r="T190" s="7" t="n">
        <v>7.7</v>
      </c>
      <c r="V190" s="7" t="n">
        <v>14.6</v>
      </c>
      <c r="X190" s="7" t="n">
        <v>16.3</v>
      </c>
      <c r="Z190" s="7" t="n">
        <v>6.9</v>
      </c>
      <c r="AB190" s="7" t="n">
        <v>222.6</v>
      </c>
    </row>
    <row r="191">
      <c r="A191" s="4" t="inlineStr">
        <is>
          <t>员工餐</t>
        </is>
      </c>
      <c r="D191" s="7" t="n">
        <v>10</v>
      </c>
      <c r="F191" s="7" t="n">
        <v>21.2</v>
      </c>
      <c r="H191" s="7" t="n">
        <v>25</v>
      </c>
      <c r="J191" s="7" t="n">
        <v>35.9</v>
      </c>
      <c r="L191" s="7" t="n">
        <v>20</v>
      </c>
      <c r="N191" s="7" t="n">
        <v>35.6</v>
      </c>
      <c r="P191" s="7" t="n">
        <v>49.3</v>
      </c>
      <c r="R191" s="7" t="n">
        <v>31.3</v>
      </c>
      <c r="T191" s="7" t="n">
        <v>13.4</v>
      </c>
      <c r="V191" s="7" t="n">
        <v>27.3</v>
      </c>
      <c r="X191" s="7" t="n">
        <v>16.7</v>
      </c>
      <c r="Z191" s="7" t="n">
        <v>6.8</v>
      </c>
      <c r="AB191" s="7" t="n">
        <v>292.5</v>
      </c>
    </row>
    <row r="192">
      <c r="A192" s="4" t="inlineStr">
        <is>
          <t>节日礼品</t>
        </is>
      </c>
      <c r="D192" s="7" t="n">
        <v>407.6</v>
      </c>
      <c r="F192" s="7" t="n">
        <v>996.8</v>
      </c>
      <c r="H192" s="7" t="n">
        <v>779.9</v>
      </c>
      <c r="J192" s="7" t="n">
        <v>926.5</v>
      </c>
      <c r="L192" s="7" t="n">
        <v>621.9</v>
      </c>
      <c r="N192" s="7" t="n">
        <v>873.5</v>
      </c>
      <c r="P192" s="7" t="n">
        <v>1184.5</v>
      </c>
      <c r="R192" s="7" t="n">
        <v>1093.2</v>
      </c>
      <c r="T192" s="7" t="n">
        <v>370</v>
      </c>
      <c r="V192" s="7" t="n">
        <v>693.2</v>
      </c>
      <c r="X192" s="7" t="n">
        <v>703.5</v>
      </c>
      <c r="Z192" s="7" t="n">
        <v>308</v>
      </c>
      <c r="AB192" s="7" t="n">
        <v>8958.6</v>
      </c>
    </row>
    <row r="193">
      <c r="A193" s="4" t="inlineStr">
        <is>
          <t>生日礼品</t>
        </is>
      </c>
      <c r="D193" s="7" t="n">
        <v>464.8</v>
      </c>
      <c r="F193" s="7" t="n">
        <v>1131.8</v>
      </c>
      <c r="H193" s="7" t="n">
        <v>849.8</v>
      </c>
      <c r="J193" s="7" t="n">
        <v>1001.6</v>
      </c>
      <c r="L193" s="7" t="n">
        <v>677.7</v>
      </c>
      <c r="N193" s="7" t="n">
        <v>808.9</v>
      </c>
      <c r="P193" s="7" t="n">
        <v>2168.4</v>
      </c>
      <c r="R193" s="7" t="n">
        <v>1356</v>
      </c>
      <c r="T193" s="7" t="n">
        <v>475.6</v>
      </c>
      <c r="V193" s="7" t="n">
        <v>848.8</v>
      </c>
      <c r="X193" s="7" t="n">
        <v>1079.2</v>
      </c>
      <c r="Z193" s="7" t="n">
        <v>327.3</v>
      </c>
      <c r="AB193" s="7" t="n">
        <v>11189.9</v>
      </c>
    </row>
    <row r="194">
      <c r="A194" s="4" t="inlineStr">
        <is>
          <t>体检</t>
        </is>
      </c>
      <c r="D194" s="7" t="n">
        <v>284.9</v>
      </c>
      <c r="F194" s="7" t="n">
        <v>747.6</v>
      </c>
      <c r="H194" s="7" t="n">
        <v>581.8</v>
      </c>
      <c r="J194" s="7" t="n">
        <v>813.4</v>
      </c>
      <c r="L194" s="7" t="n">
        <v>546.1</v>
      </c>
      <c r="N194" s="7" t="n">
        <v>778.6</v>
      </c>
      <c r="P194" s="7" t="n">
        <v>1866.5</v>
      </c>
      <c r="R194" s="7" t="n">
        <v>1101.1</v>
      </c>
      <c r="T194" s="7" t="n">
        <v>438.1</v>
      </c>
      <c r="V194" s="7" t="n">
        <v>876.7</v>
      </c>
      <c r="X194" s="7" t="n">
        <v>798.3</v>
      </c>
      <c r="Z194" s="7" t="n">
        <v>239.7</v>
      </c>
      <c r="AB194" s="7" t="n">
        <v>9072.799999999999</v>
      </c>
    </row>
    <row r="195">
      <c r="A195" s="4" t="inlineStr">
        <is>
          <t>其他福利支出</t>
        </is>
      </c>
      <c r="D195" s="7" t="n">
        <v>189.5</v>
      </c>
      <c r="F195" s="7" t="n">
        <v>459.7</v>
      </c>
      <c r="H195" s="7" t="n">
        <v>360.2</v>
      </c>
      <c r="J195" s="7" t="n">
        <v>416.7</v>
      </c>
      <c r="L195" s="7" t="n">
        <v>312.2</v>
      </c>
      <c r="N195" s="7" t="n">
        <v>463.6</v>
      </c>
      <c r="P195" s="7" t="n">
        <v>743.8</v>
      </c>
      <c r="R195" s="7" t="n">
        <v>618.6</v>
      </c>
      <c r="T195" s="7" t="n">
        <v>186.3</v>
      </c>
      <c r="V195" s="7" t="n">
        <v>266</v>
      </c>
      <c r="X195" s="7" t="n">
        <v>352.8</v>
      </c>
      <c r="Z195" s="7" t="n">
        <v>142.5</v>
      </c>
      <c r="AB195" s="7" t="n">
        <v>4511.9</v>
      </c>
    </row>
    <row r="196">
      <c r="A196" s="4" t="inlineStr">
        <is>
          <t>招聘费</t>
        </is>
      </c>
      <c r="D196" s="7" t="n">
        <v>60.7</v>
      </c>
      <c r="F196" s="7" t="n">
        <v>168.6</v>
      </c>
      <c r="H196" s="7" t="n">
        <v>100.5</v>
      </c>
      <c r="J196" s="7" t="n">
        <v>157.7</v>
      </c>
      <c r="L196" s="7" t="n">
        <v>156.1</v>
      </c>
      <c r="N196" s="7" t="n">
        <v>152.8</v>
      </c>
      <c r="P196" s="7" t="n">
        <v>229</v>
      </c>
      <c r="R196" s="7" t="n">
        <v>164.3</v>
      </c>
      <c r="T196" s="7" t="n">
        <v>54.3</v>
      </c>
      <c r="V196" s="7" t="n">
        <v>165.4</v>
      </c>
      <c r="X196" s="7" t="n">
        <v>123.4</v>
      </c>
      <c r="Z196" s="7" t="n">
        <v>45.3</v>
      </c>
      <c r="AB196" s="7" t="n">
        <v>1578.1</v>
      </c>
    </row>
    <row r="197">
      <c r="A197" s="4" t="inlineStr">
        <is>
          <t>办公费</t>
        </is>
      </c>
      <c r="D197" s="7" t="n">
        <v>3139</v>
      </c>
      <c r="F197" s="7" t="n">
        <v>6947.4</v>
      </c>
      <c r="H197" s="7" t="n">
        <v>3366.3</v>
      </c>
      <c r="J197" s="7" t="n">
        <v>4345.3</v>
      </c>
      <c r="L197" s="7" t="n">
        <v>4090.5</v>
      </c>
      <c r="N197" s="7" t="n">
        <v>6572.2</v>
      </c>
      <c r="P197" s="7" t="n">
        <v>7592.8</v>
      </c>
      <c r="R197" s="7" t="n">
        <v>6670.5</v>
      </c>
      <c r="T197" s="7" t="n">
        <v>2314.1</v>
      </c>
      <c r="V197" s="7" t="n">
        <v>4312.9</v>
      </c>
      <c r="X197" s="7" t="n">
        <v>4369.6</v>
      </c>
      <c r="Z197" s="7" t="n">
        <v>1469.9</v>
      </c>
      <c r="AB197" s="7" t="n">
        <v>55190.5</v>
      </c>
    </row>
    <row r="198">
      <c r="A198" s="4" t="inlineStr">
        <is>
          <t>市内交通费</t>
        </is>
      </c>
      <c r="D198" s="7" t="n">
        <v>433</v>
      </c>
      <c r="F198" s="7" t="n">
        <v>852.2</v>
      </c>
      <c r="H198" s="7" t="n">
        <v>1000.4</v>
      </c>
      <c r="J198" s="7" t="n">
        <v>1139.7</v>
      </c>
      <c r="L198" s="7" t="n">
        <v>902.1</v>
      </c>
      <c r="N198" s="7" t="n">
        <v>1323.7</v>
      </c>
      <c r="P198" s="7" t="n">
        <v>2368.6</v>
      </c>
      <c r="R198" s="7" t="n">
        <v>1476.4</v>
      </c>
      <c r="T198" s="7" t="n">
        <v>506.1</v>
      </c>
      <c r="V198" s="7" t="n">
        <v>1102.7</v>
      </c>
      <c r="X198" s="7" t="n">
        <v>703.7</v>
      </c>
      <c r="Z198" s="7" t="n">
        <v>295.8</v>
      </c>
      <c r="AB198" s="7" t="n">
        <v>12104.4</v>
      </c>
    </row>
    <row r="199">
      <c r="A199" s="4" t="inlineStr">
        <is>
          <t>差旅费</t>
        </is>
      </c>
      <c r="D199" s="7" t="n">
        <v>5593.8</v>
      </c>
      <c r="F199" s="7" t="n">
        <v>13137.7</v>
      </c>
      <c r="H199" s="7" t="n">
        <v>11874.4</v>
      </c>
      <c r="J199" s="7" t="n">
        <v>14058.6</v>
      </c>
      <c r="L199" s="7" t="n">
        <v>6190.4</v>
      </c>
      <c r="N199" s="7" t="n">
        <v>9371.4</v>
      </c>
      <c r="P199" s="7" t="n">
        <v>21192.6</v>
      </c>
      <c r="R199" s="7" t="n">
        <v>19545.1</v>
      </c>
      <c r="T199" s="7" t="n">
        <v>6750.3</v>
      </c>
      <c r="V199" s="7" t="n">
        <v>7576.7</v>
      </c>
      <c r="X199" s="7" t="n">
        <v>8376.700000000001</v>
      </c>
      <c r="Z199" s="7" t="n">
        <v>3896.4</v>
      </c>
      <c r="AB199" s="7" t="n">
        <v>127564.1</v>
      </c>
    </row>
    <row r="200">
      <c r="A200" s="4" t="inlineStr">
        <is>
          <t>交通费</t>
        </is>
      </c>
      <c r="D200" s="7" t="n">
        <v>330.5</v>
      </c>
      <c r="F200" s="7" t="n">
        <v>471.9</v>
      </c>
      <c r="H200" s="7" t="n">
        <v>563.3</v>
      </c>
      <c r="J200" s="7" t="n">
        <v>586.3</v>
      </c>
      <c r="L200" s="7" t="n">
        <v>369.4</v>
      </c>
      <c r="N200" s="7" t="n">
        <v>820.8</v>
      </c>
      <c r="P200" s="7" t="n">
        <v>1047.3</v>
      </c>
      <c r="R200" s="7" t="n">
        <v>839.3</v>
      </c>
      <c r="T200" s="7" t="n">
        <v>347.7</v>
      </c>
      <c r="V200" s="7" t="n">
        <v>446.8</v>
      </c>
      <c r="X200" s="7" t="n">
        <v>627.3</v>
      </c>
      <c r="Z200" s="7" t="n">
        <v>202</v>
      </c>
      <c r="AB200" s="7" t="n">
        <v>6652.6</v>
      </c>
    </row>
    <row r="201">
      <c r="A201" s="4" t="inlineStr">
        <is>
          <t>住宿费</t>
        </is>
      </c>
      <c r="D201" s="7" t="n">
        <v>217.5</v>
      </c>
      <c r="F201" s="7" t="n">
        <v>572.7</v>
      </c>
      <c r="H201" s="7" t="n">
        <v>595.7</v>
      </c>
      <c r="J201" s="7" t="n">
        <v>595.4</v>
      </c>
      <c r="L201" s="7" t="n">
        <v>517.8</v>
      </c>
      <c r="N201" s="7" t="n">
        <v>536</v>
      </c>
      <c r="P201" s="7" t="n">
        <v>1250.2</v>
      </c>
      <c r="R201" s="7" t="n">
        <v>841</v>
      </c>
      <c r="T201" s="7" t="n">
        <v>250.1</v>
      </c>
      <c r="V201" s="7" t="n">
        <v>621.9</v>
      </c>
      <c r="X201" s="7" t="n">
        <v>500.8</v>
      </c>
      <c r="Z201" s="7" t="n">
        <v>210.7</v>
      </c>
      <c r="AB201" s="7" t="n">
        <v>6709.8</v>
      </c>
    </row>
    <row r="202">
      <c r="A202" s="4" t="inlineStr">
        <is>
          <t>餐补</t>
        </is>
      </c>
      <c r="D202" s="7" t="n">
        <v>318.6</v>
      </c>
      <c r="F202" s="7" t="n">
        <v>662.9</v>
      </c>
      <c r="H202" s="7" t="n">
        <v>430.4</v>
      </c>
      <c r="J202" s="7" t="n">
        <v>423.7</v>
      </c>
      <c r="L202" s="7" t="n">
        <v>337</v>
      </c>
      <c r="N202" s="7" t="n">
        <v>434.6</v>
      </c>
      <c r="P202" s="7" t="n">
        <v>1166.8</v>
      </c>
      <c r="R202" s="7" t="n">
        <v>1014.9</v>
      </c>
      <c r="T202" s="7" t="n">
        <v>203.9</v>
      </c>
      <c r="V202" s="7" t="n">
        <v>425.1</v>
      </c>
      <c r="X202" s="7" t="n">
        <v>618.6</v>
      </c>
      <c r="Z202" s="7" t="n">
        <v>161.7</v>
      </c>
      <c r="AB202" s="7" t="n">
        <v>6198.2</v>
      </c>
    </row>
    <row r="203">
      <c r="A203" s="4" t="inlineStr">
        <is>
          <t>交通补助</t>
        </is>
      </c>
      <c r="D203" s="7" t="n">
        <v>40.7</v>
      </c>
      <c r="F203" s="7" t="n">
        <v>82.7</v>
      </c>
      <c r="H203" s="7" t="n">
        <v>68.2</v>
      </c>
      <c r="J203" s="7" t="n">
        <v>98.2</v>
      </c>
      <c r="L203" s="7" t="n">
        <v>42.1</v>
      </c>
      <c r="N203" s="7" t="n">
        <v>89</v>
      </c>
      <c r="P203" s="7" t="n">
        <v>149</v>
      </c>
      <c r="R203" s="7" t="n">
        <v>117.7</v>
      </c>
      <c r="T203" s="7" t="n">
        <v>36.8</v>
      </c>
      <c r="V203" s="7" t="n">
        <v>56.2</v>
      </c>
      <c r="X203" s="7" t="n">
        <v>60.5</v>
      </c>
      <c r="Z203" s="7" t="n">
        <v>30.1</v>
      </c>
      <c r="AB203" s="7" t="n">
        <v>871.2</v>
      </c>
    </row>
    <row r="204">
      <c r="A204" s="4" t="inlineStr">
        <is>
          <t>通讯补助</t>
        </is>
      </c>
      <c r="D204" s="7" t="n">
        <v>280.1</v>
      </c>
      <c r="F204" s="7" t="n">
        <v>778.8</v>
      </c>
      <c r="H204" s="7" t="n">
        <v>705.5</v>
      </c>
      <c r="J204" s="7" t="n">
        <v>502</v>
      </c>
      <c r="L204" s="7" t="n">
        <v>448.2</v>
      </c>
      <c r="N204" s="7" t="n">
        <v>755.3</v>
      </c>
      <c r="P204" s="7" t="n">
        <v>1489.6</v>
      </c>
      <c r="R204" s="7" t="n">
        <v>1083.6</v>
      </c>
      <c r="T204" s="7" t="n">
        <v>317.1</v>
      </c>
      <c r="V204" s="7" t="n">
        <v>475.1</v>
      </c>
      <c r="X204" s="7" t="n">
        <v>594.5</v>
      </c>
      <c r="Z204" s="7" t="n">
        <v>286.6</v>
      </c>
      <c r="AB204" s="7" t="n">
        <v>7716.4</v>
      </c>
    </row>
    <row r="205">
      <c r="A205" s="4" t="inlineStr">
        <is>
          <t>招待费</t>
        </is>
      </c>
      <c r="D205" s="7" t="n">
        <v>3816.2</v>
      </c>
      <c r="F205" s="7" t="n">
        <v>8377.9</v>
      </c>
      <c r="H205" s="7" t="n">
        <v>7692.7</v>
      </c>
      <c r="J205" s="7" t="n">
        <v>9174.4</v>
      </c>
      <c r="L205" s="7" t="n">
        <v>5364.8</v>
      </c>
      <c r="N205" s="7" t="n">
        <v>6698.9</v>
      </c>
      <c r="P205" s="7" t="n">
        <v>11545.9</v>
      </c>
      <c r="R205" s="7" t="n">
        <v>7697.3</v>
      </c>
      <c r="T205" s="7" t="n">
        <v>3251.5</v>
      </c>
      <c r="V205" s="7" t="n">
        <v>7218.8</v>
      </c>
      <c r="X205" s="7" t="n">
        <v>7299.2</v>
      </c>
      <c r="Z205" s="7" t="n">
        <v>2088</v>
      </c>
      <c r="AB205" s="7" t="n">
        <v>80225.60000000001</v>
      </c>
    </row>
    <row r="206">
      <c r="A206" s="4" t="inlineStr">
        <is>
          <t>通讯费</t>
        </is>
      </c>
      <c r="D206" s="7" t="n">
        <v>495</v>
      </c>
      <c r="F206" s="7" t="n">
        <v>920.4</v>
      </c>
      <c r="H206" s="7" t="n">
        <v>1046.4</v>
      </c>
      <c r="J206" s="7" t="n">
        <v>1292.6</v>
      </c>
      <c r="L206" s="7" t="n">
        <v>1068.1</v>
      </c>
      <c r="N206" s="7" t="n">
        <v>1059.5</v>
      </c>
      <c r="P206" s="7" t="n">
        <v>1527.6</v>
      </c>
      <c r="R206" s="7" t="n">
        <v>2041.6</v>
      </c>
      <c r="T206" s="7" t="n">
        <v>619.6</v>
      </c>
      <c r="V206" s="7" t="n">
        <v>873.7</v>
      </c>
      <c r="X206" s="7" t="n">
        <v>1208.2</v>
      </c>
      <c r="Z206" s="7" t="n">
        <v>497.2</v>
      </c>
      <c r="AB206" s="7" t="n">
        <v>12649.9</v>
      </c>
    </row>
    <row r="207">
      <c r="A207" s="4" t="inlineStr">
        <is>
          <t>网络费</t>
        </is>
      </c>
      <c r="D207" s="7" t="n">
        <v>433.6</v>
      </c>
      <c r="F207" s="7" t="n">
        <v>891.9</v>
      </c>
      <c r="H207" s="7" t="n">
        <v>932.8</v>
      </c>
      <c r="J207" s="7" t="n">
        <v>1366.6</v>
      </c>
      <c r="L207" s="7" t="n">
        <v>840.4</v>
      </c>
      <c r="N207" s="7" t="n">
        <v>965</v>
      </c>
      <c r="P207" s="7" t="n">
        <v>2312.7</v>
      </c>
      <c r="R207" s="7" t="n">
        <v>1336.2</v>
      </c>
      <c r="T207" s="7" t="n">
        <v>513.3</v>
      </c>
      <c r="V207" s="7" t="n">
        <v>1175.2</v>
      </c>
      <c r="X207" s="7" t="n">
        <v>1003.3</v>
      </c>
      <c r="Z207" s="7" t="n">
        <v>561.8</v>
      </c>
      <c r="AB207" s="7" t="n">
        <v>12332.8</v>
      </c>
    </row>
    <row r="208">
      <c r="A208" s="4" t="inlineStr">
        <is>
          <t>修理费</t>
        </is>
      </c>
      <c r="D208" s="7" t="n">
        <v>597.2</v>
      </c>
      <c r="F208" s="7" t="n">
        <v>1027.9</v>
      </c>
      <c r="H208" s="7" t="n">
        <v>1019</v>
      </c>
      <c r="J208" s="7" t="n">
        <v>1115.7</v>
      </c>
      <c r="L208" s="7" t="n">
        <v>766.4</v>
      </c>
      <c r="N208" s="7" t="n">
        <v>1142.7</v>
      </c>
      <c r="P208" s="7" t="n">
        <v>1575.1</v>
      </c>
      <c r="R208" s="7" t="n">
        <v>1225.3</v>
      </c>
      <c r="T208" s="7" t="n">
        <v>558.1</v>
      </c>
      <c r="V208" s="7" t="n">
        <v>947.9</v>
      </c>
      <c r="X208" s="7" t="n">
        <v>929.5</v>
      </c>
      <c r="Z208" s="7" t="n">
        <v>401.1</v>
      </c>
      <c r="AB208" s="7" t="n">
        <v>11305.9</v>
      </c>
    </row>
    <row r="209">
      <c r="A209" s="4" t="inlineStr">
        <is>
          <t>车辆费</t>
        </is>
      </c>
      <c r="D209" s="7" t="n">
        <v>252.8</v>
      </c>
      <c r="F209" s="7" t="n">
        <v>572.2</v>
      </c>
      <c r="H209" s="7" t="n">
        <v>558</v>
      </c>
      <c r="J209" s="7" t="n">
        <v>798.1</v>
      </c>
      <c r="L209" s="7" t="n">
        <v>444.5</v>
      </c>
      <c r="N209" s="7" t="n">
        <v>529.1</v>
      </c>
      <c r="P209" s="7" t="n">
        <v>1258.4</v>
      </c>
      <c r="R209" s="7" t="n">
        <v>1086.9</v>
      </c>
      <c r="T209" s="7" t="n">
        <v>230.4</v>
      </c>
      <c r="V209" s="7" t="n">
        <v>399.5</v>
      </c>
      <c r="X209" s="7" t="n">
        <v>670.2</v>
      </c>
      <c r="Z209" s="7" t="n">
        <v>226.1</v>
      </c>
      <c r="AB209" s="7" t="n">
        <v>7026.2</v>
      </c>
    </row>
    <row r="210">
      <c r="A210" s="4" t="inlineStr">
        <is>
          <t>租赁费</t>
        </is>
      </c>
      <c r="D210" s="7" t="n">
        <v>4230.3</v>
      </c>
      <c r="F210" s="7" t="n">
        <v>8628.700000000001</v>
      </c>
      <c r="H210" s="7" t="n">
        <v>7924.1</v>
      </c>
      <c r="J210" s="7" t="n">
        <v>10330</v>
      </c>
      <c r="L210" s="7" t="n">
        <v>7194.5</v>
      </c>
      <c r="N210" s="7" t="n">
        <v>9586</v>
      </c>
      <c r="P210" s="7" t="n">
        <v>14060.4</v>
      </c>
      <c r="R210" s="7" t="n">
        <v>13313.6</v>
      </c>
      <c r="T210" s="7" t="n">
        <v>4305.2</v>
      </c>
      <c r="V210" s="7" t="n">
        <v>7664</v>
      </c>
      <c r="X210" s="7" t="n">
        <v>10037.9</v>
      </c>
      <c r="Z210" s="7" t="n">
        <v>3343.9</v>
      </c>
      <c r="AB210" s="7" t="n">
        <v>100618.6</v>
      </c>
    </row>
    <row r="211">
      <c r="A211" s="4" t="inlineStr">
        <is>
          <t>能源费</t>
        </is>
      </c>
      <c r="D211" s="7" t="n">
        <v>1416.5</v>
      </c>
      <c r="F211" s="7" t="n">
        <v>3808.8</v>
      </c>
      <c r="H211" s="7" t="n">
        <v>2615.1</v>
      </c>
      <c r="J211" s="7" t="n">
        <v>3484.7</v>
      </c>
      <c r="L211" s="7" t="n">
        <v>2480.4</v>
      </c>
      <c r="N211" s="7" t="n">
        <v>3466.8</v>
      </c>
      <c r="P211" s="7" t="n">
        <v>5810</v>
      </c>
      <c r="R211" s="7" t="n">
        <v>4385</v>
      </c>
      <c r="T211" s="7" t="n">
        <v>1428.6</v>
      </c>
      <c r="V211" s="7" t="n">
        <v>2972.6</v>
      </c>
      <c r="X211" s="7" t="n">
        <v>2878.3</v>
      </c>
      <c r="Z211" s="7" t="n">
        <v>1214.9</v>
      </c>
      <c r="AB211" s="7" t="n">
        <v>35961.7</v>
      </c>
    </row>
    <row r="212">
      <c r="A212" s="4" t="inlineStr">
        <is>
          <t>水费</t>
        </is>
      </c>
      <c r="D212" s="7" t="n">
        <v>498.8</v>
      </c>
      <c r="F212" s="7" t="n">
        <v>1473.5</v>
      </c>
      <c r="H212" s="7" t="n">
        <v>1024.8</v>
      </c>
      <c r="J212" s="7" t="n">
        <v>1148.1</v>
      </c>
      <c r="L212" s="7" t="n">
        <v>680.4</v>
      </c>
      <c r="N212" s="7" t="n">
        <v>1321.4</v>
      </c>
      <c r="P212" s="7" t="n">
        <v>1468.9</v>
      </c>
      <c r="R212" s="7" t="n">
        <v>1306.4</v>
      </c>
      <c r="T212" s="7" t="n">
        <v>515.6</v>
      </c>
      <c r="V212" s="7" t="n">
        <v>1274.3</v>
      </c>
      <c r="X212" s="7" t="n">
        <v>870.9</v>
      </c>
      <c r="Z212" s="7" t="n">
        <v>413.1</v>
      </c>
      <c r="AB212" s="7" t="n">
        <v>11996.2</v>
      </c>
    </row>
    <row r="213">
      <c r="A213" s="4" t="inlineStr">
        <is>
          <t>电费</t>
        </is>
      </c>
      <c r="D213" s="7" t="n">
        <v>356.2</v>
      </c>
      <c r="F213" s="7" t="n">
        <v>1023.8</v>
      </c>
      <c r="H213" s="7" t="n">
        <v>590.3</v>
      </c>
      <c r="J213" s="7" t="n">
        <v>1258.8</v>
      </c>
      <c r="L213" s="7" t="n">
        <v>910.4</v>
      </c>
      <c r="N213" s="7" t="n">
        <v>880.5</v>
      </c>
      <c r="P213" s="7" t="n">
        <v>2025.5</v>
      </c>
      <c r="R213" s="7" t="n">
        <v>1373.2</v>
      </c>
      <c r="T213" s="7" t="n">
        <v>362.1</v>
      </c>
      <c r="V213" s="7" t="n">
        <v>750</v>
      </c>
      <c r="X213" s="7" t="n">
        <v>1011.5</v>
      </c>
      <c r="Z213" s="7" t="n">
        <v>331.9</v>
      </c>
      <c r="AB213" s="7" t="n">
        <v>10874.2</v>
      </c>
    </row>
    <row r="214">
      <c r="A214" s="4" t="inlineStr">
        <is>
          <t>燃气费</t>
        </is>
      </c>
      <c r="D214" s="7" t="n">
        <v>341.5</v>
      </c>
      <c r="F214" s="7" t="n">
        <v>872.7</v>
      </c>
      <c r="H214" s="7" t="n">
        <v>685.3</v>
      </c>
      <c r="J214" s="7" t="n">
        <v>726.4</v>
      </c>
      <c r="L214" s="7" t="n">
        <v>605.2</v>
      </c>
      <c r="N214" s="7" t="n">
        <v>817.8</v>
      </c>
      <c r="P214" s="7" t="n">
        <v>1424.8</v>
      </c>
      <c r="R214" s="7" t="n">
        <v>1004.2</v>
      </c>
      <c r="T214" s="7" t="n">
        <v>331.2</v>
      </c>
      <c r="V214" s="7" t="n">
        <v>579.5</v>
      </c>
      <c r="X214" s="7" t="n">
        <v>581.1</v>
      </c>
      <c r="Z214" s="7" t="n">
        <v>308.5</v>
      </c>
      <c r="AB214" s="7" t="n">
        <v>8278.200000000001</v>
      </c>
    </row>
    <row r="215">
      <c r="A215" s="4" t="inlineStr">
        <is>
          <t>蒸汽费</t>
        </is>
      </c>
      <c r="D215" s="7" t="n">
        <v>220</v>
      </c>
      <c r="F215" s="7" t="n">
        <v>438.8</v>
      </c>
      <c r="H215" s="7" t="n">
        <v>314.7</v>
      </c>
      <c r="J215" s="7" t="n">
        <v>351.4</v>
      </c>
      <c r="L215" s="7" t="n">
        <v>284.4</v>
      </c>
      <c r="N215" s="7" t="n">
        <v>447.1</v>
      </c>
      <c r="P215" s="7" t="n">
        <v>890.8</v>
      </c>
      <c r="R215" s="7" t="n">
        <v>701.2</v>
      </c>
      <c r="T215" s="7" t="n">
        <v>219.7</v>
      </c>
      <c r="V215" s="7" t="n">
        <v>368.8</v>
      </c>
      <c r="X215" s="7" t="n">
        <v>414.8</v>
      </c>
      <c r="Z215" s="7" t="n">
        <v>161.4</v>
      </c>
      <c r="AB215" s="7" t="n">
        <v>4813.1</v>
      </c>
    </row>
    <row r="216">
      <c r="A216" s="4" t="inlineStr">
        <is>
          <t>物业费</t>
        </is>
      </c>
      <c r="D216" s="7" t="n">
        <v>386.2</v>
      </c>
      <c r="F216" s="7" t="n">
        <v>789.8</v>
      </c>
      <c r="H216" s="7" t="n">
        <v>606.6</v>
      </c>
      <c r="J216" s="7" t="n">
        <v>569.8</v>
      </c>
      <c r="L216" s="7" t="n">
        <v>552.6</v>
      </c>
      <c r="N216" s="7" t="n">
        <v>625.9</v>
      </c>
      <c r="P216" s="7" t="n">
        <v>1316.5</v>
      </c>
      <c r="R216" s="7" t="n">
        <v>1045.5</v>
      </c>
      <c r="T216" s="7" t="n">
        <v>247.7</v>
      </c>
      <c r="V216" s="7" t="n">
        <v>621.5</v>
      </c>
      <c r="X216" s="7" t="n">
        <v>486.8</v>
      </c>
      <c r="Z216" s="7" t="n">
        <v>248.8</v>
      </c>
      <c r="AB216" s="7" t="n">
        <v>7497.7</v>
      </c>
    </row>
    <row r="217">
      <c r="A217" s="4" t="inlineStr">
        <is>
          <t>劳动保护费</t>
        </is>
      </c>
      <c r="D217" s="7" t="n">
        <v>397</v>
      </c>
      <c r="F217" s="7" t="n">
        <v>1389.5</v>
      </c>
      <c r="H217" s="7" t="n">
        <v>741.3</v>
      </c>
      <c r="J217" s="7" t="n">
        <v>820.9</v>
      </c>
      <c r="L217" s="7" t="n">
        <v>980.7</v>
      </c>
      <c r="N217" s="7" t="n">
        <v>1019.6</v>
      </c>
      <c r="P217" s="7" t="n">
        <v>2164.8</v>
      </c>
      <c r="R217" s="7" t="n">
        <v>1931.6</v>
      </c>
      <c r="T217" s="7" t="n">
        <v>513</v>
      </c>
      <c r="V217" s="7" t="n">
        <v>1107.3</v>
      </c>
      <c r="X217" s="7" t="n">
        <v>998.2</v>
      </c>
      <c r="Z217" s="7" t="n">
        <v>372.5</v>
      </c>
      <c r="AB217" s="7" t="n">
        <v>12436.4</v>
      </c>
    </row>
    <row r="218">
      <c r="A218" s="4" t="inlineStr">
        <is>
          <t>顾问费</t>
        </is>
      </c>
      <c r="D218" s="7" t="n">
        <v>31.4</v>
      </c>
      <c r="F218" s="7" t="n">
        <v>39.4</v>
      </c>
      <c r="H218" s="7" t="n">
        <v>44.3</v>
      </c>
      <c r="J218" s="7" t="n">
        <v>54.9</v>
      </c>
      <c r="L218" s="7" t="n">
        <v>51</v>
      </c>
      <c r="N218" s="7" t="n">
        <v>53.7</v>
      </c>
      <c r="P218" s="7" t="n">
        <v>82.59999999999999</v>
      </c>
      <c r="R218" s="7" t="n">
        <v>60.4</v>
      </c>
      <c r="T218" s="7" t="n">
        <v>20.2</v>
      </c>
      <c r="V218" s="7" t="n">
        <v>37.6</v>
      </c>
      <c r="X218" s="7" t="n">
        <v>37</v>
      </c>
      <c r="Z218" s="7" t="n">
        <v>16.9</v>
      </c>
      <c r="AB218" s="7" t="n">
        <v>529.4</v>
      </c>
    </row>
    <row r="219">
      <c r="A219" s="4" t="inlineStr">
        <is>
          <t>快递费</t>
        </is>
      </c>
      <c r="D219" s="7" t="n">
        <v>45.4</v>
      </c>
      <c r="F219" s="7" t="n">
        <v>103.9</v>
      </c>
      <c r="H219" s="7" t="n">
        <v>73.5</v>
      </c>
      <c r="J219" s="7" t="n">
        <v>123.2</v>
      </c>
      <c r="L219" s="7" t="n">
        <v>74.90000000000001</v>
      </c>
      <c r="N219" s="7" t="n">
        <v>86.2</v>
      </c>
      <c r="P219" s="7" t="n">
        <v>141.6</v>
      </c>
      <c r="R219" s="7" t="n">
        <v>146.3</v>
      </c>
      <c r="T219" s="7" t="n">
        <v>47.3</v>
      </c>
      <c r="V219" s="7" t="n">
        <v>88.59999999999999</v>
      </c>
      <c r="X219" s="7" t="n">
        <v>83.90000000000001</v>
      </c>
      <c r="Z219" s="7" t="n">
        <v>36.6</v>
      </c>
      <c r="AB219" s="7" t="n">
        <v>1051.4</v>
      </c>
    </row>
    <row r="220">
      <c r="A220" s="4" t="inlineStr">
        <is>
          <t>诉讼费</t>
        </is>
      </c>
      <c r="D220" s="7" t="n">
        <v>366.6</v>
      </c>
      <c r="F220" s="7" t="n">
        <v>835</v>
      </c>
      <c r="H220" s="7" t="n">
        <v>975</v>
      </c>
      <c r="J220" s="7" t="n">
        <v>1120</v>
      </c>
      <c r="L220" s="7" t="n">
        <v>769</v>
      </c>
      <c r="N220" s="7" t="n">
        <v>1278.9</v>
      </c>
      <c r="P220" s="7" t="n">
        <v>1655.8</v>
      </c>
      <c r="R220" s="7" t="n">
        <v>1112.3</v>
      </c>
      <c r="T220" s="7" t="n">
        <v>360.7</v>
      </c>
      <c r="V220" s="7" t="n">
        <v>844.8</v>
      </c>
      <c r="X220" s="7" t="n">
        <v>817.5</v>
      </c>
      <c r="Z220" s="7" t="n">
        <v>361.8</v>
      </c>
      <c r="AB220" s="7" t="n">
        <v>10497.4</v>
      </c>
    </row>
    <row r="221">
      <c r="A221" s="4" t="inlineStr">
        <is>
          <t>会员费</t>
        </is>
      </c>
      <c r="D221" s="7" t="n">
        <v>196.3</v>
      </c>
      <c r="F221" s="7" t="n">
        <v>616.3</v>
      </c>
      <c r="H221" s="7" t="n">
        <v>359.2</v>
      </c>
      <c r="J221" s="7" t="n">
        <v>670.1</v>
      </c>
      <c r="L221" s="7" t="n">
        <v>420.1</v>
      </c>
      <c r="N221" s="7" t="n">
        <v>463.6</v>
      </c>
      <c r="P221" s="7" t="n">
        <v>904.3</v>
      </c>
      <c r="R221" s="7" t="n">
        <v>833.8</v>
      </c>
      <c r="T221" s="7" t="n">
        <v>212.9</v>
      </c>
      <c r="V221" s="7" t="n">
        <v>401.1</v>
      </c>
      <c r="X221" s="7" t="n">
        <v>319.8</v>
      </c>
      <c r="Z221" s="7" t="n">
        <v>194.5</v>
      </c>
      <c r="AB221" s="7" t="n">
        <v>5592</v>
      </c>
    </row>
    <row r="222">
      <c r="A222" s="4" t="inlineStr">
        <is>
          <t>广告宣传费</t>
        </is>
      </c>
      <c r="D222" s="7" t="n">
        <v>2156.2</v>
      </c>
      <c r="F222" s="7" t="n">
        <v>7195</v>
      </c>
      <c r="H222" s="7" t="n">
        <v>4324.9</v>
      </c>
      <c r="J222" s="7" t="n">
        <v>7600.4</v>
      </c>
      <c r="L222" s="7" t="n">
        <v>4990.4</v>
      </c>
      <c r="N222" s="7" t="n">
        <v>6277.4</v>
      </c>
      <c r="P222" s="7" t="n">
        <v>9380.299999999999</v>
      </c>
      <c r="R222" s="7" t="n">
        <v>9967.4</v>
      </c>
      <c r="T222" s="7" t="n">
        <v>2629.1</v>
      </c>
      <c r="V222" s="7" t="n">
        <v>3341.8</v>
      </c>
      <c r="X222" s="7" t="n">
        <v>4683.7</v>
      </c>
      <c r="Z222" s="7" t="n">
        <v>2418</v>
      </c>
      <c r="AB222" s="7" t="n">
        <v>64964.6</v>
      </c>
    </row>
    <row r="223">
      <c r="A223" s="4" t="inlineStr">
        <is>
          <t>会务费</t>
        </is>
      </c>
      <c r="D223" s="7" t="n">
        <v>212.8</v>
      </c>
      <c r="F223" s="7" t="n">
        <v>248.7</v>
      </c>
      <c r="H223" s="7" t="n">
        <v>372.9</v>
      </c>
      <c r="J223" s="7" t="n">
        <v>368.2</v>
      </c>
      <c r="L223" s="7" t="n">
        <v>285.7</v>
      </c>
      <c r="N223" s="7" t="n">
        <v>467.2</v>
      </c>
      <c r="P223" s="7" t="n">
        <v>576.8</v>
      </c>
      <c r="R223" s="7" t="n">
        <v>460.3</v>
      </c>
      <c r="T223" s="7" t="n">
        <v>184.8</v>
      </c>
      <c r="V223" s="7" t="n">
        <v>317</v>
      </c>
      <c r="X223" s="7" t="n">
        <v>304.4</v>
      </c>
      <c r="Z223" s="7" t="n">
        <v>92.8</v>
      </c>
      <c r="AB223" s="7" t="n">
        <v>3891.6</v>
      </c>
    </row>
    <row r="224">
      <c r="A224" s="4" t="inlineStr">
        <is>
          <t>装修费</t>
        </is>
      </c>
      <c r="D224" s="7" t="n">
        <v>439.8</v>
      </c>
      <c r="F224" s="7" t="n">
        <v>799.1</v>
      </c>
      <c r="H224" s="7" t="n">
        <v>708.8</v>
      </c>
      <c r="J224" s="7" t="n">
        <v>735.9</v>
      </c>
      <c r="L224" s="7" t="n">
        <v>540.5</v>
      </c>
      <c r="N224" s="7" t="n">
        <v>1025.5</v>
      </c>
      <c r="P224" s="7" t="n">
        <v>1378.1</v>
      </c>
      <c r="R224" s="7" t="n">
        <v>1238.8</v>
      </c>
      <c r="T224" s="7" t="n">
        <v>466.4</v>
      </c>
      <c r="V224" s="7" t="n">
        <v>982.2</v>
      </c>
      <c r="X224" s="7" t="n">
        <v>688.9</v>
      </c>
      <c r="Z224" s="7" t="n">
        <v>361.9</v>
      </c>
      <c r="AB224" s="7" t="n">
        <v>9365.9</v>
      </c>
    </row>
    <row r="225">
      <c r="A225" s="4" t="inlineStr">
        <is>
          <t>推广费</t>
        </is>
      </c>
      <c r="D225" s="7" t="n">
        <v>168.3</v>
      </c>
      <c r="F225" s="7" t="n">
        <v>484.5</v>
      </c>
      <c r="H225" s="7" t="n">
        <v>340.6</v>
      </c>
      <c r="J225" s="7" t="n">
        <v>373.6</v>
      </c>
      <c r="L225" s="7" t="n">
        <v>412.3</v>
      </c>
      <c r="N225" s="7" t="n">
        <v>416.1</v>
      </c>
      <c r="P225" s="7" t="n">
        <v>718.4</v>
      </c>
      <c r="R225" s="7" t="n">
        <v>634.4</v>
      </c>
      <c r="T225" s="7" t="n">
        <v>143.9</v>
      </c>
      <c r="V225" s="7" t="n">
        <v>398.4</v>
      </c>
      <c r="X225" s="7" t="n">
        <v>389.9</v>
      </c>
      <c r="Z225" s="7" t="n">
        <v>106</v>
      </c>
      <c r="AB225" s="7" t="n">
        <v>4586.4</v>
      </c>
    </row>
    <row r="226">
      <c r="A226" s="4" t="inlineStr">
        <is>
          <t>展会费</t>
        </is>
      </c>
      <c r="D226" s="7" t="n">
        <v>339</v>
      </c>
      <c r="F226" s="7" t="n">
        <v>645.8</v>
      </c>
      <c r="H226" s="7" t="n">
        <v>462.1</v>
      </c>
      <c r="J226" s="7" t="n">
        <v>758.5</v>
      </c>
      <c r="L226" s="7" t="n">
        <v>498.8</v>
      </c>
      <c r="N226" s="7" t="n">
        <v>740.2</v>
      </c>
      <c r="P226" s="7" t="n">
        <v>1047.3</v>
      </c>
      <c r="R226" s="7" t="n">
        <v>976.2</v>
      </c>
      <c r="T226" s="7" t="n">
        <v>307.2</v>
      </c>
      <c r="V226" s="7" t="n">
        <v>370.9</v>
      </c>
      <c r="X226" s="7" t="n">
        <v>358.2</v>
      </c>
      <c r="Z226" s="7" t="n">
        <v>252.2</v>
      </c>
      <c r="AB226" s="7" t="n">
        <v>6756.4</v>
      </c>
    </row>
    <row r="227">
      <c r="A227" s="4" t="inlineStr">
        <is>
          <t>设计费</t>
        </is>
      </c>
      <c r="D227" s="7" t="n">
        <v>424.8</v>
      </c>
      <c r="F227" s="7" t="n">
        <v>752</v>
      </c>
      <c r="H227" s="7" t="n">
        <v>816.1</v>
      </c>
      <c r="J227" s="7" t="n">
        <v>1033.9</v>
      </c>
      <c r="L227" s="7" t="n">
        <v>573.2</v>
      </c>
      <c r="N227" s="7" t="n">
        <v>726.7</v>
      </c>
      <c r="P227" s="7" t="n">
        <v>1675.1</v>
      </c>
      <c r="R227" s="7" t="n">
        <v>1312.2</v>
      </c>
      <c r="T227" s="7" t="n">
        <v>280.2</v>
      </c>
      <c r="V227" s="7" t="n">
        <v>684.5</v>
      </c>
      <c r="X227" s="7" t="n">
        <v>886.3</v>
      </c>
      <c r="Z227" s="7" t="n">
        <v>286.5</v>
      </c>
      <c r="AB227" s="7" t="n">
        <v>9451.5</v>
      </c>
    </row>
    <row r="228">
      <c r="A228" s="4" t="inlineStr">
        <is>
          <t>折旧费</t>
        </is>
      </c>
      <c r="D228" s="7" t="n">
        <v>2912.9</v>
      </c>
      <c r="F228" s="7" t="n">
        <v>5332.2</v>
      </c>
      <c r="H228" s="7" t="n">
        <v>5421.4</v>
      </c>
      <c r="J228" s="7" t="n">
        <v>9832.9</v>
      </c>
      <c r="L228" s="7" t="n">
        <v>5205.4</v>
      </c>
      <c r="N228" s="7" t="n">
        <v>6171.8</v>
      </c>
      <c r="P228" s="7" t="n">
        <v>13998.8</v>
      </c>
      <c r="R228" s="7" t="n">
        <v>9399.700000000001</v>
      </c>
      <c r="T228" s="7" t="n">
        <v>4081.8</v>
      </c>
      <c r="V228" s="7" t="n">
        <v>5345.8</v>
      </c>
      <c r="X228" s="7" t="n">
        <v>6356.5</v>
      </c>
      <c r="Z228" s="7" t="n">
        <v>2470.8</v>
      </c>
      <c r="AB228" s="7" t="n">
        <v>76530</v>
      </c>
    </row>
    <row r="229">
      <c r="A229" s="4" t="inlineStr">
        <is>
          <t>认证费</t>
        </is>
      </c>
      <c r="D229" s="7" t="n">
        <v>200</v>
      </c>
      <c r="F229" s="7" t="n">
        <v>387.6</v>
      </c>
      <c r="H229" s="7" t="n">
        <v>237.1</v>
      </c>
      <c r="J229" s="7" t="n">
        <v>295.4</v>
      </c>
      <c r="L229" s="7" t="n">
        <v>312.4</v>
      </c>
      <c r="N229" s="7" t="n">
        <v>353.3</v>
      </c>
      <c r="P229" s="7" t="n">
        <v>737.1</v>
      </c>
      <c r="R229" s="7" t="n">
        <v>510.9</v>
      </c>
      <c r="T229" s="7" t="n">
        <v>165.6</v>
      </c>
      <c r="V229" s="7" t="n">
        <v>301.8</v>
      </c>
      <c r="X229" s="7" t="n">
        <v>321.8</v>
      </c>
      <c r="Z229" s="7" t="n">
        <v>128.8</v>
      </c>
      <c r="AB229" s="7" t="n">
        <v>3951.8</v>
      </c>
    </row>
    <row r="230">
      <c r="A230" s="4" t="inlineStr">
        <is>
          <t>样品费</t>
        </is>
      </c>
      <c r="D230" s="7" t="n">
        <v>1939.9</v>
      </c>
      <c r="F230" s="7" t="n">
        <v>3891.6</v>
      </c>
      <c r="H230" s="7" t="n">
        <v>2306.7</v>
      </c>
      <c r="J230" s="7" t="n">
        <v>3048.9</v>
      </c>
      <c r="L230" s="7" t="n">
        <v>2102.9</v>
      </c>
      <c r="N230" s="7" t="n">
        <v>3502.5</v>
      </c>
      <c r="P230" s="7" t="n">
        <v>6828.2</v>
      </c>
      <c r="R230" s="7" t="n">
        <v>4459.3</v>
      </c>
      <c r="T230" s="7" t="n">
        <v>1830</v>
      </c>
      <c r="V230" s="7" t="n">
        <v>3718.4</v>
      </c>
      <c r="X230" s="7" t="n">
        <v>2600.3</v>
      </c>
      <c r="Z230" s="7" t="n">
        <v>1489.8</v>
      </c>
      <c r="AB230" s="7" t="n">
        <v>37718.5</v>
      </c>
    </row>
    <row r="231">
      <c r="A231" s="4" t="inlineStr">
        <is>
          <t>劳务费</t>
        </is>
      </c>
      <c r="D231" s="7" t="n">
        <v>634.5</v>
      </c>
      <c r="F231" s="7" t="n">
        <v>1242.1</v>
      </c>
      <c r="H231" s="7" t="n">
        <v>864.4</v>
      </c>
      <c r="J231" s="7" t="n">
        <v>1322.3</v>
      </c>
      <c r="L231" s="7" t="n">
        <v>899.8</v>
      </c>
      <c r="N231" s="7" t="n">
        <v>1680.8</v>
      </c>
      <c r="P231" s="7" t="n">
        <v>2311.6</v>
      </c>
      <c r="R231" s="7" t="n">
        <v>2194</v>
      </c>
      <c r="T231" s="7" t="n">
        <v>429.2</v>
      </c>
      <c r="V231" s="7" t="n">
        <v>1306.5</v>
      </c>
      <c r="X231" s="7" t="n">
        <v>995.5</v>
      </c>
      <c r="Z231" s="7" t="n">
        <v>567.8</v>
      </c>
      <c r="AB231" s="7" t="n">
        <v>14448.5</v>
      </c>
    </row>
    <row r="232">
      <c r="A232" s="4" t="inlineStr">
        <is>
          <t>销售佣金</t>
        </is>
      </c>
      <c r="D232" s="7" t="n">
        <v>174.1</v>
      </c>
      <c r="F232" s="7" t="n">
        <v>329.8</v>
      </c>
      <c r="H232" s="7" t="n">
        <v>257.1</v>
      </c>
      <c r="J232" s="7" t="n">
        <v>407.4</v>
      </c>
      <c r="L232" s="7" t="n">
        <v>314.5</v>
      </c>
      <c r="N232" s="7" t="n">
        <v>307</v>
      </c>
      <c r="P232" s="7" t="n">
        <v>510.4</v>
      </c>
      <c r="R232" s="7" t="n">
        <v>455.8</v>
      </c>
      <c r="T232" s="7" t="n">
        <v>157.2</v>
      </c>
      <c r="V232" s="7" t="n">
        <v>200.9</v>
      </c>
      <c r="X232" s="7" t="n">
        <v>234.1</v>
      </c>
      <c r="Z232" s="7" t="n">
        <v>90.59999999999999</v>
      </c>
      <c r="AB232" s="7" t="n">
        <v>3438.9</v>
      </c>
    </row>
    <row r="233">
      <c r="A233" s="4" t="inlineStr">
        <is>
          <t>检测费</t>
        </is>
      </c>
      <c r="D233" s="7" t="n">
        <v>234.5</v>
      </c>
      <c r="F233" s="7" t="n">
        <v>802.2</v>
      </c>
      <c r="H233" s="7" t="n">
        <v>752.9</v>
      </c>
      <c r="J233" s="7" t="n">
        <v>702.1</v>
      </c>
      <c r="L233" s="7" t="n">
        <v>397.3</v>
      </c>
      <c r="N233" s="7" t="n">
        <v>652.2</v>
      </c>
      <c r="P233" s="7" t="n">
        <v>981.3</v>
      </c>
      <c r="R233" s="7" t="n">
        <v>885.7</v>
      </c>
      <c r="T233" s="7" t="n">
        <v>364</v>
      </c>
      <c r="V233" s="7" t="n">
        <v>451.9</v>
      </c>
      <c r="X233" s="7" t="n">
        <v>590.9</v>
      </c>
      <c r="Z233" s="7" t="n">
        <v>299</v>
      </c>
      <c r="AB233" s="7" t="n">
        <v>7114</v>
      </c>
    </row>
    <row r="234">
      <c r="A234" s="4" t="inlineStr">
        <is>
          <t>质量赔偿</t>
        </is>
      </c>
      <c r="D234" s="7" t="n">
        <v>365.4</v>
      </c>
      <c r="F234" s="7" t="n">
        <v>655.3</v>
      </c>
      <c r="H234" s="7" t="n">
        <v>515.4</v>
      </c>
      <c r="J234" s="7" t="n">
        <v>583</v>
      </c>
      <c r="L234" s="7" t="n">
        <v>466</v>
      </c>
      <c r="N234" s="7" t="n">
        <v>719.2</v>
      </c>
      <c r="P234" s="7" t="n">
        <v>932.8</v>
      </c>
      <c r="R234" s="7" t="n">
        <v>931.9</v>
      </c>
      <c r="T234" s="7" t="n">
        <v>412.5</v>
      </c>
      <c r="V234" s="7" t="n">
        <v>782.2</v>
      </c>
      <c r="X234" s="7" t="n">
        <v>722.3</v>
      </c>
      <c r="Z234" s="7" t="n">
        <v>280.3</v>
      </c>
      <c r="AB234" s="7" t="n">
        <v>7366.3</v>
      </c>
    </row>
    <row r="235">
      <c r="A235" s="4" t="inlineStr">
        <is>
          <t>保险费</t>
        </is>
      </c>
      <c r="D235" s="7" t="n">
        <v>471</v>
      </c>
      <c r="F235" s="7" t="n">
        <v>982.7</v>
      </c>
      <c r="H235" s="7" t="n">
        <v>587.4</v>
      </c>
      <c r="J235" s="7" t="n">
        <v>724</v>
      </c>
      <c r="L235" s="7" t="n">
        <v>513.3</v>
      </c>
      <c r="N235" s="7" t="n">
        <v>910.5</v>
      </c>
      <c r="P235" s="7" t="n">
        <v>1984.3</v>
      </c>
      <c r="R235" s="7" t="n">
        <v>986.7</v>
      </c>
      <c r="T235" s="7" t="n">
        <v>351.1</v>
      </c>
      <c r="V235" s="7" t="n">
        <v>997</v>
      </c>
      <c r="X235" s="7" t="n">
        <v>771.4</v>
      </c>
      <c r="Z235" s="7" t="n">
        <v>297</v>
      </c>
      <c r="AB235" s="7" t="n">
        <v>9576.4</v>
      </c>
    </row>
    <row r="236">
      <c r="A236" s="4" t="inlineStr">
        <is>
          <t>清洁费</t>
        </is>
      </c>
      <c r="D236" s="7" t="n">
        <v>265.5</v>
      </c>
      <c r="F236" s="7" t="n">
        <v>850.8</v>
      </c>
      <c r="H236" s="7" t="n">
        <v>663.4</v>
      </c>
      <c r="J236" s="7" t="n">
        <v>706.5</v>
      </c>
      <c r="L236" s="7" t="n">
        <v>542.6</v>
      </c>
      <c r="N236" s="7" t="n">
        <v>636.5</v>
      </c>
      <c r="P236" s="7" t="n">
        <v>1548.8</v>
      </c>
      <c r="R236" s="7" t="n">
        <v>918.9</v>
      </c>
      <c r="T236" s="7" t="n">
        <v>392.7</v>
      </c>
      <c r="V236" s="7" t="n">
        <v>715.4</v>
      </c>
      <c r="X236" s="7" t="n">
        <v>462.6</v>
      </c>
      <c r="Z236" s="7" t="n">
        <v>257.1</v>
      </c>
      <c r="AB236" s="7" t="n">
        <v>7960.8</v>
      </c>
    </row>
    <row r="237">
      <c r="A237" s="4" t="inlineStr">
        <is>
          <t>低值易耗品</t>
        </is>
      </c>
      <c r="D237" s="7" t="n">
        <v>559.8</v>
      </c>
      <c r="F237" s="7" t="n">
        <v>1046.3</v>
      </c>
      <c r="H237" s="7" t="n">
        <v>735.3</v>
      </c>
      <c r="J237" s="7" t="n">
        <v>1291.7</v>
      </c>
      <c r="L237" s="7" t="n">
        <v>867.8</v>
      </c>
      <c r="N237" s="7" t="n">
        <v>1037.6</v>
      </c>
      <c r="P237" s="7" t="n">
        <v>1532.4</v>
      </c>
      <c r="R237" s="7" t="n">
        <v>1133</v>
      </c>
      <c r="T237" s="7" t="n">
        <v>358.4</v>
      </c>
      <c r="V237" s="7" t="n">
        <v>876.4</v>
      </c>
      <c r="X237" s="7" t="n">
        <v>615.9</v>
      </c>
      <c r="Z237" s="7" t="n">
        <v>411.9</v>
      </c>
      <c r="AB237" s="7" t="n">
        <v>10466.5</v>
      </c>
    </row>
    <row r="238">
      <c r="A238" s="4" t="inlineStr">
        <is>
          <t>物料消耗</t>
        </is>
      </c>
      <c r="D238" s="7" t="n">
        <v>115.9</v>
      </c>
      <c r="F238" s="7" t="n">
        <v>257.3</v>
      </c>
      <c r="H238" s="7" t="n">
        <v>169.1</v>
      </c>
      <c r="J238" s="7" t="n">
        <v>237.3</v>
      </c>
      <c r="L238" s="7" t="n">
        <v>205</v>
      </c>
      <c r="N238" s="7" t="n">
        <v>251.2</v>
      </c>
      <c r="P238" s="7" t="n">
        <v>351.9</v>
      </c>
      <c r="R238" s="7" t="n">
        <v>398.6</v>
      </c>
      <c r="T238" s="7" t="n">
        <v>84.40000000000001</v>
      </c>
      <c r="V238" s="7" t="n">
        <v>179.1</v>
      </c>
      <c r="X238" s="7" t="n">
        <v>194.7</v>
      </c>
      <c r="Z238" s="7" t="n">
        <v>109</v>
      </c>
      <c r="AB238" s="7" t="n">
        <v>2553.5</v>
      </c>
    </row>
    <row r="239">
      <c r="A239" s="4" t="inlineStr">
        <is>
          <t>盘盈盘亏</t>
        </is>
      </c>
      <c r="D239" s="7" t="n">
        <v>383.5</v>
      </c>
      <c r="F239" s="7" t="n">
        <v>1140.4</v>
      </c>
      <c r="H239" s="7" t="n">
        <v>899.4</v>
      </c>
      <c r="J239" s="7" t="n">
        <v>765.3</v>
      </c>
      <c r="L239" s="7" t="n">
        <v>623</v>
      </c>
      <c r="N239" s="7" t="n">
        <v>916.9</v>
      </c>
      <c r="P239" s="7" t="n">
        <v>1493.3</v>
      </c>
      <c r="R239" s="7" t="n">
        <v>929.1</v>
      </c>
      <c r="T239" s="7" t="n">
        <v>469.6</v>
      </c>
      <c r="V239" s="7" t="n">
        <v>870.6</v>
      </c>
      <c r="X239" s="7" t="n">
        <v>579.5</v>
      </c>
      <c r="Z239" s="7" t="n">
        <v>334.3</v>
      </c>
      <c r="AB239" s="7" t="n">
        <v>9404.9</v>
      </c>
    </row>
    <row r="240">
      <c r="A240" s="4" t="inlineStr">
        <is>
          <t>平台服务费</t>
        </is>
      </c>
      <c r="D240" s="7" t="n">
        <v>581.9</v>
      </c>
      <c r="F240" s="7" t="n">
        <v>977.6</v>
      </c>
      <c r="H240" s="7" t="n">
        <v>698.3</v>
      </c>
      <c r="J240" s="7" t="n">
        <v>881.4</v>
      </c>
      <c r="L240" s="7" t="n">
        <v>970.1</v>
      </c>
      <c r="N240" s="7" t="n">
        <v>1312.5</v>
      </c>
      <c r="P240" s="7" t="n">
        <v>1623.9</v>
      </c>
      <c r="R240" s="7" t="n">
        <v>1606.2</v>
      </c>
      <c r="T240" s="7" t="n">
        <v>552</v>
      </c>
      <c r="V240" s="7" t="n">
        <v>1122.5</v>
      </c>
      <c r="X240" s="7" t="n">
        <v>925.8</v>
      </c>
      <c r="Z240" s="7" t="n">
        <v>331.2</v>
      </c>
      <c r="AB240" s="7" t="n">
        <v>11583.4</v>
      </c>
    </row>
    <row r="241">
      <c r="A241" s="4" t="inlineStr">
        <is>
          <t>无形资产摊销</t>
        </is>
      </c>
      <c r="D241" s="7" t="n">
        <v>423.7</v>
      </c>
      <c r="F241" s="7" t="n">
        <v>759.7</v>
      </c>
      <c r="H241" s="7" t="n">
        <v>562.9</v>
      </c>
      <c r="J241" s="7" t="n">
        <v>593.4</v>
      </c>
      <c r="L241" s="7" t="n">
        <v>524.8</v>
      </c>
      <c r="N241" s="7" t="n">
        <v>910.8</v>
      </c>
      <c r="P241" s="7" t="n">
        <v>901.4</v>
      </c>
      <c r="R241" s="7" t="n">
        <v>840.5</v>
      </c>
      <c r="T241" s="7" t="n">
        <v>240.4</v>
      </c>
      <c r="V241" s="7" t="n">
        <v>502.8</v>
      </c>
      <c r="X241" s="7" t="n">
        <v>507.1</v>
      </c>
      <c r="Z241" s="7" t="n">
        <v>274.2</v>
      </c>
      <c r="AB241" s="7" t="n">
        <v>7041.7</v>
      </c>
    </row>
    <row r="242">
      <c r="A242" s="4" t="inlineStr">
        <is>
          <t>研发材料</t>
        </is>
      </c>
      <c r="D242" s="7" t="n">
        <v>156.3</v>
      </c>
      <c r="F242" s="7" t="n">
        <v>373.2</v>
      </c>
      <c r="H242" s="7" t="n">
        <v>219.8</v>
      </c>
      <c r="J242" s="7" t="n">
        <v>351.8</v>
      </c>
      <c r="L242" s="7" t="n">
        <v>183.6</v>
      </c>
      <c r="N242" s="7" t="n">
        <v>260</v>
      </c>
      <c r="P242" s="7" t="n">
        <v>664.5</v>
      </c>
      <c r="R242" s="7" t="n">
        <v>383.3</v>
      </c>
      <c r="T242" s="7" t="n">
        <v>105.3</v>
      </c>
      <c r="V242" s="7" t="n">
        <v>178.9</v>
      </c>
      <c r="X242" s="7" t="n">
        <v>192.3</v>
      </c>
      <c r="Z242" s="7" t="n">
        <v>92.2</v>
      </c>
      <c r="AB242" s="7" t="n">
        <v>3161.2</v>
      </c>
    </row>
    <row r="243">
      <c r="A243" s="4" t="inlineStr">
        <is>
          <t>项目名称</t>
        </is>
      </c>
      <c r="D243" s="7" t="n">
        <v>117.2</v>
      </c>
      <c r="F243" s="7" t="n">
        <v>276.7</v>
      </c>
      <c r="H243" s="7" t="n">
        <v>144.5</v>
      </c>
      <c r="J243" s="7" t="n">
        <v>179.5</v>
      </c>
      <c r="L243" s="7" t="n">
        <v>148.5</v>
      </c>
      <c r="N243" s="7" t="n">
        <v>209.9</v>
      </c>
      <c r="P243" s="7" t="n">
        <v>514.3</v>
      </c>
      <c r="R243" s="7" t="n">
        <v>384.3</v>
      </c>
      <c r="T243" s="7" t="n">
        <v>104</v>
      </c>
      <c r="V243" s="7" t="n">
        <v>209.3</v>
      </c>
      <c r="X243" s="7" t="n">
        <v>164.1</v>
      </c>
      <c r="Z243" s="7" t="n">
        <v>61.2</v>
      </c>
      <c r="AB243" s="7" t="n">
        <v>2513.5</v>
      </c>
    </row>
    <row r="244">
      <c r="A244" s="4" t="inlineStr">
        <is>
          <t>研发费</t>
        </is>
      </c>
      <c r="D244" s="7" t="n">
        <v>602.3</v>
      </c>
      <c r="F244" s="7" t="n">
        <v>737.5</v>
      </c>
      <c r="H244" s="7" t="n">
        <v>954.2</v>
      </c>
      <c r="J244" s="7" t="n">
        <v>1005.7</v>
      </c>
      <c r="L244" s="7" t="n">
        <v>922</v>
      </c>
      <c r="N244" s="7" t="n">
        <v>867</v>
      </c>
      <c r="P244" s="7" t="n">
        <v>2284.9</v>
      </c>
      <c r="R244" s="7" t="n">
        <v>1300.5</v>
      </c>
      <c r="T244" s="7" t="n">
        <v>421.1</v>
      </c>
      <c r="V244" s="7" t="n">
        <v>1042</v>
      </c>
      <c r="X244" s="7" t="n">
        <v>966.7</v>
      </c>
      <c r="Z244" s="7" t="n">
        <v>470.4</v>
      </c>
      <c r="AB244" s="7" t="n">
        <v>11574.3</v>
      </c>
    </row>
    <row r="245">
      <c r="A245" s="4" t="inlineStr">
        <is>
          <t>残保金</t>
        </is>
      </c>
      <c r="D245" s="7" t="n">
        <v>727.5</v>
      </c>
      <c r="F245" s="7" t="n">
        <v>1474.6</v>
      </c>
      <c r="H245" s="7" t="n">
        <v>1226.6</v>
      </c>
      <c r="J245" s="7" t="n">
        <v>929.3</v>
      </c>
      <c r="L245" s="7" t="n">
        <v>717.1</v>
      </c>
      <c r="N245" s="7" t="n">
        <v>1644.9</v>
      </c>
      <c r="P245" s="7" t="n">
        <v>2470.9</v>
      </c>
      <c r="R245" s="7" t="n">
        <v>1391.4</v>
      </c>
      <c r="T245" s="7" t="n">
        <v>536</v>
      </c>
      <c r="V245" s="7" t="n">
        <v>941.9</v>
      </c>
      <c r="X245" s="7" t="n">
        <v>1083</v>
      </c>
      <c r="Z245" s="7" t="n">
        <v>554.6</v>
      </c>
      <c r="AB245" s="7" t="n">
        <v>13697.8</v>
      </c>
    </row>
    <row r="246">
      <c r="A246" s="4" t="inlineStr">
        <is>
          <t>环保费</t>
        </is>
      </c>
      <c r="D246" s="7" t="n">
        <v>102</v>
      </c>
      <c r="F246" s="7" t="n">
        <v>321.2</v>
      </c>
      <c r="H246" s="7" t="n">
        <v>203.5</v>
      </c>
      <c r="J246" s="7" t="n">
        <v>321.3</v>
      </c>
      <c r="L246" s="7" t="n">
        <v>267.8</v>
      </c>
      <c r="N246" s="7" t="n">
        <v>294.2</v>
      </c>
      <c r="P246" s="7" t="n">
        <v>384.6</v>
      </c>
      <c r="R246" s="7" t="n">
        <v>503.1</v>
      </c>
      <c r="T246" s="7" t="n">
        <v>177.1</v>
      </c>
      <c r="V246" s="7" t="n">
        <v>308.7</v>
      </c>
      <c r="X246" s="7" t="n">
        <v>327.7</v>
      </c>
      <c r="Z246" s="7" t="n">
        <v>132.9</v>
      </c>
      <c r="AB246" s="7" t="n">
        <v>3344.1</v>
      </c>
    </row>
    <row r="247">
      <c r="A247" s="4" t="inlineStr">
        <is>
          <t>报废损失</t>
        </is>
      </c>
      <c r="D247" s="7" t="n">
        <v>89.8</v>
      </c>
      <c r="F247" s="7" t="n">
        <v>252.4</v>
      </c>
      <c r="H247" s="7" t="n">
        <v>235.1</v>
      </c>
      <c r="J247" s="7" t="n">
        <v>198.9</v>
      </c>
      <c r="L247" s="7" t="n">
        <v>196.2</v>
      </c>
      <c r="N247" s="7" t="n">
        <v>323.1</v>
      </c>
      <c r="P247" s="7" t="n">
        <v>488.7</v>
      </c>
      <c r="R247" s="7" t="n">
        <v>367.6</v>
      </c>
      <c r="T247" s="7" t="n">
        <v>123.7</v>
      </c>
      <c r="V247" s="7" t="n">
        <v>213.5</v>
      </c>
      <c r="X247" s="7" t="n">
        <v>195.5</v>
      </c>
      <c r="Z247" s="7" t="n">
        <v>85.40000000000001</v>
      </c>
      <c r="AB247" s="7" t="n">
        <v>2769.9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6666.4</v>
      </c>
      <c r="D248" s="7" t="n">
        <v>12362.7</v>
      </c>
      <c r="E248" s="7" t="n">
        <v>7903.8</v>
      </c>
      <c r="F248" s="7" t="n">
        <v>12891.2</v>
      </c>
      <c r="G248" s="7" t="n">
        <v>7229.9</v>
      </c>
      <c r="H248" s="7" t="n">
        <v>7369.8</v>
      </c>
      <c r="I248" s="7" t="n">
        <v>8003.1</v>
      </c>
      <c r="J248" s="7" t="n">
        <v>1708.4</v>
      </c>
      <c r="K248" s="7" t="n">
        <v>6811</v>
      </c>
      <c r="L248" s="7" t="n">
        <v>5023.7</v>
      </c>
      <c r="M248" s="7" t="n">
        <v>7185.7</v>
      </c>
      <c r="N248" s="7" t="n">
        <v>18029.6</v>
      </c>
      <c r="O248" s="7" t="n">
        <v>6301.8</v>
      </c>
      <c r="P248" s="7" t="n">
        <v>9599.6</v>
      </c>
      <c r="Q248" s="7" t="n">
        <v>6195</v>
      </c>
      <c r="R248" s="7" t="n">
        <v>-4084.9</v>
      </c>
      <c r="S248" s="7" t="n">
        <v>6960.5</v>
      </c>
      <c r="T248" s="7" t="n">
        <v>488.2</v>
      </c>
      <c r="U248" s="7" t="n">
        <v>6763.2</v>
      </c>
      <c r="V248" s="7" t="n">
        <v>75</v>
      </c>
      <c r="W248" s="7" t="n">
        <v>7256.6</v>
      </c>
      <c r="X248" s="7" t="n">
        <v>16579.2</v>
      </c>
      <c r="Y248" s="7" t="n">
        <v>7004.5</v>
      </c>
      <c r="Z248" s="7" t="n">
        <v>4897.5</v>
      </c>
      <c r="AA248" s="8" t="n">
        <v>84281.5</v>
      </c>
      <c r="AB248" s="8" t="n">
        <v>84940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1211.3</v>
      </c>
      <c r="E250" s="7" t="n">
        <v>0</v>
      </c>
      <c r="F250" s="7" t="n">
        <v>-739</v>
      </c>
      <c r="G250" s="7" t="n">
        <v>0</v>
      </c>
      <c r="H250" s="7" t="n">
        <v>-324.5</v>
      </c>
      <c r="I250" s="7" t="n">
        <v>0</v>
      </c>
      <c r="J250" s="7" t="n">
        <v>-910.5</v>
      </c>
      <c r="K250" s="7" t="n">
        <v>0</v>
      </c>
      <c r="L250" s="7" t="n">
        <v>3045</v>
      </c>
      <c r="M250" s="7" t="n">
        <v>0</v>
      </c>
      <c r="N250" s="7" t="n">
        <v>-1829.8</v>
      </c>
      <c r="O250" s="7" t="n">
        <v>0</v>
      </c>
      <c r="P250" s="7" t="n">
        <v>-1176.3</v>
      </c>
      <c r="Q250" s="7" t="n">
        <v>0</v>
      </c>
      <c r="R250" s="7" t="n">
        <v>-3204.3</v>
      </c>
      <c r="S250" s="7" t="n">
        <v>0</v>
      </c>
      <c r="T250" s="7" t="n">
        <v>-2662.1</v>
      </c>
      <c r="U250" s="7" t="n">
        <v>0</v>
      </c>
      <c r="V250" s="7" t="n">
        <v>1453.5</v>
      </c>
      <c r="W250" s="7" t="n">
        <v>0</v>
      </c>
      <c r="X250" s="7" t="n">
        <v>-1409.1</v>
      </c>
      <c r="Y250" s="7" t="n">
        <v>0</v>
      </c>
      <c r="Z250" s="7" t="n">
        <v>-4175.8</v>
      </c>
      <c r="AA250" s="7" t="n">
        <v>0</v>
      </c>
      <c r="AB250" s="7" t="n">
        <v>-10721.6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13542.4</v>
      </c>
      <c r="D255" s="7" t="n">
        <v>25278.1</v>
      </c>
      <c r="E255" s="7" t="n">
        <v>13052.4</v>
      </c>
      <c r="F255" s="7" t="n">
        <v>15383.7</v>
      </c>
      <c r="G255" s="7" t="n">
        <v>11534.1</v>
      </c>
      <c r="H255" s="7" t="n">
        <v>19309.6</v>
      </c>
      <c r="I255" s="7" t="n">
        <v>13134.4</v>
      </c>
      <c r="J255" s="7" t="n">
        <v>23576.2</v>
      </c>
      <c r="K255" s="7" t="n">
        <v>14219.4</v>
      </c>
      <c r="L255" s="7" t="n">
        <v>27798.2</v>
      </c>
      <c r="M255" s="7" t="n">
        <v>14221</v>
      </c>
      <c r="N255" s="7" t="n">
        <v>2952.3</v>
      </c>
      <c r="O255" s="7" t="n">
        <v>13307.9</v>
      </c>
      <c r="P255" s="7" t="n">
        <v>2140.5</v>
      </c>
      <c r="Q255" s="7" t="n">
        <v>13261.3</v>
      </c>
      <c r="R255" s="7" t="n">
        <v>1148.4</v>
      </c>
      <c r="S255" s="7" t="n">
        <v>13901.7</v>
      </c>
      <c r="T255" s="7" t="n">
        <v>6009.2</v>
      </c>
      <c r="U255" s="7" t="n">
        <v>10547.2</v>
      </c>
      <c r="V255" s="7" t="n">
        <v>5899.4</v>
      </c>
      <c r="W255" s="7" t="n">
        <v>11627</v>
      </c>
      <c r="X255" s="7" t="n">
        <v>9877.200000000001</v>
      </c>
      <c r="Y255" s="7" t="n">
        <v>13567.4</v>
      </c>
      <c r="Z255" s="7" t="n">
        <v>9081.5</v>
      </c>
      <c r="AA255" s="7" t="n">
        <v>155916.2</v>
      </c>
      <c r="AB255" s="7" t="n">
        <v>148454.3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708033.9</v>
      </c>
      <c r="D256" s="7" t="n">
        <v>578255.5</v>
      </c>
      <c r="E256" s="7" t="n">
        <v>716892.9</v>
      </c>
      <c r="F256" s="7" t="n">
        <v>457400.8</v>
      </c>
      <c r="G256" s="7" t="n">
        <v>774718.8</v>
      </c>
      <c r="H256" s="7" t="n">
        <v>598664.5</v>
      </c>
      <c r="I256" s="7" t="n">
        <v>768649.7</v>
      </c>
      <c r="J256" s="7" t="n">
        <v>797889.1</v>
      </c>
      <c r="K256" s="7" t="n">
        <v>761134.1</v>
      </c>
      <c r="L256" s="7" t="n">
        <v>962224.9</v>
      </c>
      <c r="M256" s="7" t="n">
        <v>705243.3</v>
      </c>
      <c r="N256" s="7" t="n">
        <v>864848.3</v>
      </c>
      <c r="O256" s="7" t="n">
        <v>775990.3</v>
      </c>
      <c r="P256" s="7" t="n">
        <v>938783.9</v>
      </c>
      <c r="Q256" s="7" t="n">
        <v>673493.8</v>
      </c>
      <c r="R256" s="7" t="n">
        <v>943955</v>
      </c>
      <c r="S256" s="7" t="n">
        <v>646688.5</v>
      </c>
      <c r="T256" s="7" t="n">
        <v>461803</v>
      </c>
      <c r="U256" s="7" t="n">
        <v>771327.4</v>
      </c>
      <c r="V256" s="7" t="n">
        <v>825958.3</v>
      </c>
      <c r="W256" s="7" t="n">
        <v>755875.1</v>
      </c>
      <c r="X256" s="7" t="n">
        <v>524166.8</v>
      </c>
      <c r="Y256" s="7" t="n">
        <v>651341.6</v>
      </c>
      <c r="Z256" s="7" t="n">
        <v>608115.1</v>
      </c>
      <c r="AA256" s="8" t="n">
        <v>8709389.4</v>
      </c>
      <c r="AB256" s="8" t="n">
        <v>8562065.199999999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2249.9</v>
      </c>
      <c r="E257" s="7" t="n">
        <v>0</v>
      </c>
      <c r="F257" s="7" t="n">
        <v>2792.2</v>
      </c>
      <c r="G257" s="7" t="n">
        <v>0</v>
      </c>
      <c r="H257" s="7" t="n">
        <v>1873.5</v>
      </c>
      <c r="I257" s="7" t="n">
        <v>0</v>
      </c>
      <c r="J257" s="7" t="n">
        <v>2887.5</v>
      </c>
      <c r="K257" s="7" t="n">
        <v>0</v>
      </c>
      <c r="L257" s="7" t="n">
        <v>641.7</v>
      </c>
      <c r="M257" s="7" t="n">
        <v>0</v>
      </c>
      <c r="N257" s="7" t="n">
        <v>4716.8</v>
      </c>
      <c r="O257" s="7" t="n">
        <v>0</v>
      </c>
      <c r="P257" s="7" t="n">
        <v>48.4</v>
      </c>
      <c r="Q257" s="7" t="n">
        <v>0</v>
      </c>
      <c r="R257" s="7" t="n">
        <v>4052</v>
      </c>
      <c r="S257" s="7" t="n">
        <v>0</v>
      </c>
      <c r="T257" s="7" t="n">
        <v>4171.5</v>
      </c>
      <c r="U257" s="7" t="n">
        <v>0</v>
      </c>
      <c r="V257" s="7" t="n">
        <v>1699.1</v>
      </c>
      <c r="W257" s="7" t="n">
        <v>0</v>
      </c>
      <c r="X257" s="7" t="n">
        <v>2095.7</v>
      </c>
      <c r="Y257" s="7" t="n">
        <v>0</v>
      </c>
      <c r="Z257" s="7" t="n">
        <v>3428.8</v>
      </c>
      <c r="AA257" s="7" t="n">
        <v>0</v>
      </c>
      <c r="AB257" s="7" t="n">
        <v>30657.1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1210.1</v>
      </c>
      <c r="E258" s="7" t="n">
        <v>0</v>
      </c>
      <c r="F258" s="7" t="n">
        <v>2335.9</v>
      </c>
      <c r="G258" s="7" t="n">
        <v>0</v>
      </c>
      <c r="H258" s="7" t="n">
        <v>1612.8</v>
      </c>
      <c r="I258" s="7" t="n">
        <v>0</v>
      </c>
      <c r="J258" s="7" t="n">
        <v>978.2</v>
      </c>
      <c r="K258" s="7" t="n">
        <v>0</v>
      </c>
      <c r="L258" s="7" t="n">
        <v>69.7</v>
      </c>
      <c r="M258" s="7" t="n">
        <v>0</v>
      </c>
      <c r="N258" s="7" t="n">
        <v>2356.1</v>
      </c>
      <c r="O258" s="7" t="n">
        <v>0</v>
      </c>
      <c r="P258" s="7" t="n">
        <v>2766.4</v>
      </c>
      <c r="Q258" s="7" t="n">
        <v>0</v>
      </c>
      <c r="R258" s="7" t="n">
        <v>461.1</v>
      </c>
      <c r="S258" s="7" t="n">
        <v>0</v>
      </c>
      <c r="T258" s="7" t="n">
        <v>2857.9</v>
      </c>
      <c r="U258" s="7" t="n">
        <v>0</v>
      </c>
      <c r="V258" s="7" t="n">
        <v>990.8</v>
      </c>
      <c r="W258" s="7" t="n">
        <v>0</v>
      </c>
      <c r="X258" s="7" t="n">
        <v>1889.5</v>
      </c>
      <c r="Y258" s="7" t="n">
        <v>0</v>
      </c>
      <c r="Z258" s="7" t="n">
        <v>1809</v>
      </c>
      <c r="AA258" s="7" t="n">
        <v>0</v>
      </c>
      <c r="AB258" s="7" t="n">
        <v>19337.5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621403.1</v>
      </c>
      <c r="D259" s="7" t="n">
        <v>590727</v>
      </c>
      <c r="E259" s="7" t="n">
        <v>716294.6</v>
      </c>
      <c r="F259" s="7" t="n">
        <v>490969</v>
      </c>
      <c r="G259" s="7" t="n">
        <v>606119.2</v>
      </c>
      <c r="H259" s="7" t="n">
        <v>656156.9</v>
      </c>
      <c r="I259" s="7" t="n">
        <v>745087.7</v>
      </c>
      <c r="J259" s="7" t="n">
        <v>750686.7</v>
      </c>
      <c r="K259" s="7" t="n">
        <v>702694.5</v>
      </c>
      <c r="L259" s="7" t="n">
        <v>941178.4</v>
      </c>
      <c r="M259" s="7" t="n">
        <v>638828.8</v>
      </c>
      <c r="N259" s="7" t="n">
        <v>870814.1</v>
      </c>
      <c r="O259" s="7" t="n">
        <v>614037.2</v>
      </c>
      <c r="P259" s="7" t="n">
        <v>880267.4</v>
      </c>
      <c r="Q259" s="7" t="n">
        <v>803040.8</v>
      </c>
      <c r="R259" s="7" t="n">
        <v>870069.4</v>
      </c>
      <c r="S259" s="7" t="n">
        <v>659373.9</v>
      </c>
      <c r="T259" s="7" t="n">
        <v>468223.4</v>
      </c>
      <c r="U259" s="7" t="n">
        <v>648632.7</v>
      </c>
      <c r="V259" s="7" t="n">
        <v>817952.3</v>
      </c>
      <c r="W259" s="7" t="n">
        <v>738857.1</v>
      </c>
      <c r="X259" s="7" t="n">
        <v>565549.1</v>
      </c>
      <c r="Y259" s="7" t="n">
        <v>614140.5</v>
      </c>
      <c r="Z259" s="7" t="n">
        <v>558643.9</v>
      </c>
      <c r="AA259" s="8" t="n">
        <v>8108510.1</v>
      </c>
      <c r="AB259" s="8" t="n">
        <v>8461237.6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152872.7</v>
      </c>
      <c r="D260" s="7" t="n">
        <v>147681.8</v>
      </c>
      <c r="E260" s="7" t="n">
        <v>177255.8</v>
      </c>
      <c r="F260" s="7" t="n">
        <v>122742.2</v>
      </c>
      <c r="G260" s="7" t="n">
        <v>158921</v>
      </c>
      <c r="H260" s="7" t="n">
        <v>164039.2</v>
      </c>
      <c r="I260" s="7" t="n">
        <v>195298.1</v>
      </c>
      <c r="J260" s="7" t="n">
        <v>187671.7</v>
      </c>
      <c r="K260" s="7" t="n">
        <v>171561.9</v>
      </c>
      <c r="L260" s="7" t="n">
        <v>235294.6</v>
      </c>
      <c r="M260" s="7" t="n">
        <v>158138.9</v>
      </c>
      <c r="N260" s="7" t="n">
        <v>217703.5</v>
      </c>
      <c r="O260" s="7" t="n">
        <v>155690.9</v>
      </c>
      <c r="P260" s="7" t="n">
        <v>220066.9</v>
      </c>
      <c r="Q260" s="7" t="n">
        <v>178203.5</v>
      </c>
      <c r="R260" s="7" t="n">
        <v>217517.4</v>
      </c>
      <c r="S260" s="7" t="n">
        <v>175125.7</v>
      </c>
      <c r="T260" s="7" t="n">
        <v>117055.9</v>
      </c>
      <c r="U260" s="7" t="n">
        <v>153470.8</v>
      </c>
      <c r="V260" s="7" t="n">
        <v>204488.1</v>
      </c>
      <c r="W260" s="7" t="n">
        <v>200342.6</v>
      </c>
      <c r="X260" s="7" t="n">
        <v>141387.3</v>
      </c>
      <c r="Y260" s="7" t="n">
        <v>195615</v>
      </c>
      <c r="Z260" s="7" t="n">
        <v>139661</v>
      </c>
      <c r="AA260" s="7" t="n">
        <v>2072496.9</v>
      </c>
      <c r="AB260" s="7" t="n">
        <v>2115309.6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526518.7</v>
      </c>
      <c r="D261" s="7" t="n">
        <v>443045.2</v>
      </c>
      <c r="E261" s="7" t="n">
        <v>378803.8</v>
      </c>
      <c r="F261" s="7" t="n">
        <v>368226.8</v>
      </c>
      <c r="G261" s="7" t="n">
        <v>503543.8</v>
      </c>
      <c r="H261" s="7" t="n">
        <v>492117.7</v>
      </c>
      <c r="I261" s="7" t="n">
        <v>375601.8</v>
      </c>
      <c r="J261" s="7" t="n">
        <v>563015</v>
      </c>
      <c r="K261" s="7" t="n">
        <v>540645.6</v>
      </c>
      <c r="L261" s="7" t="n">
        <v>705883.8</v>
      </c>
      <c r="M261" s="7" t="n">
        <v>342869.7</v>
      </c>
      <c r="N261" s="7" t="n">
        <v>653110.6</v>
      </c>
      <c r="O261" s="7" t="n">
        <v>418572.5</v>
      </c>
      <c r="P261" s="7" t="n">
        <v>660200.5</v>
      </c>
      <c r="Q261" s="7" t="n">
        <v>551371.8</v>
      </c>
      <c r="R261" s="7" t="n">
        <v>652552</v>
      </c>
      <c r="S261" s="7" t="n">
        <v>362358.6</v>
      </c>
      <c r="T261" s="7" t="n">
        <v>351167.5</v>
      </c>
      <c r="U261" s="7" t="n">
        <v>422135.6</v>
      </c>
      <c r="V261" s="7" t="n">
        <v>613464.2</v>
      </c>
      <c r="W261" s="7" t="n">
        <v>395639.8</v>
      </c>
      <c r="X261" s="7" t="n">
        <v>424161.8</v>
      </c>
      <c r="Y261" s="7" t="n">
        <v>311380.7</v>
      </c>
      <c r="Z261" s="7" t="n">
        <v>418982.9</v>
      </c>
      <c r="AA261" s="8" t="n">
        <v>5129442.4</v>
      </c>
      <c r="AB261" s="8" t="n">
        <v>6345928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17269.8</v>
      </c>
      <c r="E262" s="7" t="n">
        <v>0</v>
      </c>
      <c r="F262" s="7" t="n">
        <v>22720.7</v>
      </c>
      <c r="G262" s="7" t="n">
        <v>0</v>
      </c>
      <c r="H262" s="7" t="n">
        <v>63808.1</v>
      </c>
      <c r="I262" s="7" t="n">
        <v>0</v>
      </c>
      <c r="J262" s="7" t="n">
        <v>119866.7</v>
      </c>
      <c r="K262" s="7" t="n">
        <v>0</v>
      </c>
      <c r="L262" s="7" t="n">
        <v>100541.9</v>
      </c>
      <c r="M262" s="7" t="n">
        <v>0</v>
      </c>
      <c r="N262" s="7" t="n">
        <v>118286.7</v>
      </c>
      <c r="O262" s="7" t="n">
        <v>0</v>
      </c>
      <c r="P262" s="7" t="n">
        <v>186009</v>
      </c>
      <c r="Q262" s="7" t="n">
        <v>0</v>
      </c>
      <c r="R262" s="7" t="n">
        <v>115010.7</v>
      </c>
      <c r="S262" s="7" t="n">
        <v>0</v>
      </c>
      <c r="T262" s="7" t="n">
        <v>52935.9</v>
      </c>
      <c r="U262" s="7" t="n">
        <v>0</v>
      </c>
      <c r="V262" s="7" t="n">
        <v>126036.7</v>
      </c>
      <c r="W262" s="7" t="n">
        <v>0</v>
      </c>
      <c r="X262" s="7" t="n">
        <v>35049.5</v>
      </c>
      <c r="Y262" s="7" t="n">
        <v>0</v>
      </c>
      <c r="Z262" s="7" t="n">
        <v>935.6</v>
      </c>
      <c r="AA262" s="7" t="n">
        <v>0</v>
      </c>
      <c r="AB262" s="7" t="n">
        <v>958471.3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526518.7</v>
      </c>
      <c r="D263" s="7" t="n">
        <v>425775.4</v>
      </c>
      <c r="E263" s="7" t="n">
        <v>378803.8</v>
      </c>
      <c r="F263" s="7" t="n">
        <v>345506.1</v>
      </c>
      <c r="G263" s="7" t="n">
        <v>503543.8</v>
      </c>
      <c r="H263" s="7" t="n">
        <v>428309.6</v>
      </c>
      <c r="I263" s="7" t="n">
        <v>375601.8</v>
      </c>
      <c r="J263" s="7" t="n">
        <v>443148.3</v>
      </c>
      <c r="K263" s="7" t="n">
        <v>540645.6</v>
      </c>
      <c r="L263" s="7" t="n">
        <v>605341.9</v>
      </c>
      <c r="M263" s="7" t="n">
        <v>342869.7</v>
      </c>
      <c r="N263" s="7" t="n">
        <v>534823.9</v>
      </c>
      <c r="O263" s="7" t="n">
        <v>418572.5</v>
      </c>
      <c r="P263" s="7" t="n">
        <v>474191.5</v>
      </c>
      <c r="Q263" s="7" t="n">
        <v>551371.8</v>
      </c>
      <c r="R263" s="7" t="n">
        <v>537541.3</v>
      </c>
      <c r="S263" s="7" t="n">
        <v>362358.6</v>
      </c>
      <c r="T263" s="7" t="n">
        <v>298231.6</v>
      </c>
      <c r="U263" s="7" t="n">
        <v>422135.6</v>
      </c>
      <c r="V263" s="7" t="n">
        <v>487427.5</v>
      </c>
      <c r="W263" s="7" t="n">
        <v>395639.8</v>
      </c>
      <c r="X263" s="7" t="n">
        <v>389112.3</v>
      </c>
      <c r="Y263" s="7" t="n">
        <v>311380.7</v>
      </c>
      <c r="Z263" s="7" t="n">
        <v>418047.3</v>
      </c>
      <c r="AA263" s="8" t="n">
        <v>5129442.4</v>
      </c>
      <c r="AB263" s="8" t="n">
        <v>5387456.7</v>
      </c>
    </row>
    <row r="264">
      <c r="A264" s="4" t="inlineStr">
        <is>
          <t>净利率</t>
        </is>
      </c>
      <c r="D264" s="13" t="n">
        <v>10.7</v>
      </c>
      <c r="F264" s="13" t="n">
        <v>7.7</v>
      </c>
      <c r="H264" s="13" t="n">
        <v>8.4</v>
      </c>
      <c r="J264" s="13" t="n">
        <v>7.9</v>
      </c>
      <c r="L264" s="13" t="n">
        <v>8.800000000000001</v>
      </c>
      <c r="N264" s="13" t="n">
        <v>8</v>
      </c>
      <c r="P264" s="13" t="n">
        <v>7.6</v>
      </c>
      <c r="R264" s="13" t="n">
        <v>8.9</v>
      </c>
      <c r="T264" s="13" t="n">
        <v>5.4</v>
      </c>
      <c r="V264" s="13" t="n">
        <v>7.5</v>
      </c>
      <c r="X264" s="13" t="n">
        <v>6.9</v>
      </c>
      <c r="Z264" s="13" t="n">
        <v>8.9</v>
      </c>
    </row>
    <row r="265">
      <c r="A265" s="4" t="inlineStr">
        <is>
          <t>销售达成率</t>
        </is>
      </c>
      <c r="D265" s="13" t="n">
        <v>57.6</v>
      </c>
      <c r="F265" s="13" t="n">
        <v>72.90000000000001</v>
      </c>
      <c r="H265" s="13" t="n">
        <v>86.3</v>
      </c>
      <c r="J265" s="13" t="n">
        <v>113.6</v>
      </c>
      <c r="L265" s="13" t="n">
        <v>109.5</v>
      </c>
      <c r="N265" s="13" t="n">
        <v>123.1</v>
      </c>
      <c r="P265" s="13" t="n">
        <v>117.6</v>
      </c>
      <c r="R265" s="13" t="n">
        <v>114.3</v>
      </c>
      <c r="T265" s="13" t="n">
        <v>85.3</v>
      </c>
      <c r="V265" s="13" t="n">
        <v>106.5</v>
      </c>
      <c r="X265" s="13" t="n">
        <v>93.2</v>
      </c>
      <c r="Z265" s="13" t="n">
        <v>75.59999999999999</v>
      </c>
    </row>
    <row r="266">
      <c r="A266" s="4" t="inlineStr">
        <is>
          <t>净利达成率</t>
        </is>
      </c>
      <c r="D266" s="13" t="n">
        <v>84.09999999999999</v>
      </c>
      <c r="F266" s="13" t="n">
        <v>97.2</v>
      </c>
      <c r="H266" s="13" t="n">
        <v>97.7</v>
      </c>
      <c r="J266" s="13" t="n">
        <v>149.9</v>
      </c>
      <c r="L266" s="13" t="n">
        <v>130.6</v>
      </c>
      <c r="N266" s="13" t="n">
        <v>190.5</v>
      </c>
      <c r="P266" s="13" t="n">
        <v>157.7</v>
      </c>
      <c r="R266" s="13" t="n">
        <v>118.4</v>
      </c>
      <c r="T266" s="13" t="n">
        <v>96.90000000000001</v>
      </c>
      <c r="V266" s="13" t="n">
        <v>145.3</v>
      </c>
      <c r="X266" s="13" t="n">
        <v>107.2</v>
      </c>
      <c r="Z266" s="13" t="n">
        <v>134.6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江苏分部利润表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1621319</v>
      </c>
      <c r="D6" s="7" t="n">
        <v>1128697.9</v>
      </c>
      <c r="E6" s="7" t="n">
        <v>1789549.8</v>
      </c>
      <c r="F6" s="7" t="n">
        <v>1179873.4</v>
      </c>
      <c r="G6" s="7" t="n">
        <v>1754533.2</v>
      </c>
      <c r="H6" s="7" t="n">
        <v>1433047.6</v>
      </c>
      <c r="I6" s="7" t="n">
        <v>2043414.6</v>
      </c>
      <c r="J6" s="7" t="n">
        <v>1978059.7</v>
      </c>
      <c r="K6" s="7" t="n">
        <v>1704404</v>
      </c>
      <c r="L6" s="7" t="n">
        <v>2020153.4</v>
      </c>
      <c r="M6" s="7" t="n">
        <v>1672081.3</v>
      </c>
      <c r="N6" s="7" t="n">
        <v>2185167.7</v>
      </c>
      <c r="O6" s="7" t="n">
        <v>1814984.5</v>
      </c>
      <c r="P6" s="7" t="n">
        <v>2584800.1</v>
      </c>
      <c r="Q6" s="7" t="n">
        <v>1800201.2</v>
      </c>
      <c r="R6" s="7" t="n">
        <v>1858620.7</v>
      </c>
      <c r="S6" s="7" t="n">
        <v>1720933.1</v>
      </c>
      <c r="T6" s="7" t="n">
        <v>1830293.3</v>
      </c>
      <c r="U6" s="7" t="n">
        <v>1705040</v>
      </c>
      <c r="V6" s="7" t="n">
        <v>2424415</v>
      </c>
      <c r="W6" s="7" t="n">
        <v>2077476.8</v>
      </c>
      <c r="X6" s="7" t="n">
        <v>1848281</v>
      </c>
      <c r="Y6" s="7" t="n">
        <v>1811952.4</v>
      </c>
      <c r="Z6" s="7" t="n">
        <v>1411408.1</v>
      </c>
      <c r="AA6" s="8" t="n">
        <v>21515889.9</v>
      </c>
      <c r="AB6" s="8" t="n">
        <v>21882817.9</v>
      </c>
    </row>
    <row r="7">
      <c r="A7" s="4" t="inlineStr">
        <is>
          <t>中式汤底</t>
        </is>
      </c>
      <c r="D7" s="7" t="n">
        <v>47777.7</v>
      </c>
      <c r="F7" s="7" t="n">
        <v>80833.60000000001</v>
      </c>
      <c r="H7" s="7" t="n">
        <v>114815.5</v>
      </c>
      <c r="J7" s="7" t="n">
        <v>91040.8</v>
      </c>
      <c r="L7" s="7" t="n">
        <v>82773.5</v>
      </c>
      <c r="N7" s="7" t="n">
        <v>72390.3</v>
      </c>
      <c r="P7" s="7" t="n">
        <v>141375.1</v>
      </c>
      <c r="R7" s="7" t="n">
        <v>82927.60000000001</v>
      </c>
      <c r="T7" s="7" t="n">
        <v>121144.4</v>
      </c>
      <c r="V7" s="7" t="n">
        <v>145036.6</v>
      </c>
      <c r="X7" s="7" t="n">
        <v>76226.5</v>
      </c>
      <c r="Z7" s="7" t="n">
        <v>92837.39999999999</v>
      </c>
      <c r="AB7" s="7" t="n">
        <v>1149179</v>
      </c>
    </row>
    <row r="8">
      <c r="A8" s="4" t="inlineStr">
        <is>
          <t>酱料</t>
        </is>
      </c>
      <c r="D8" s="7" t="n">
        <v>53412.9</v>
      </c>
      <c r="F8" s="7" t="n">
        <v>99629.10000000001</v>
      </c>
      <c r="H8" s="7" t="n">
        <v>140017.7</v>
      </c>
      <c r="J8" s="7" t="n">
        <v>181163.9</v>
      </c>
      <c r="L8" s="7" t="n">
        <v>150582.5</v>
      </c>
      <c r="N8" s="7" t="n">
        <v>172659.2</v>
      </c>
      <c r="P8" s="7" t="n">
        <v>181420.7</v>
      </c>
      <c r="R8" s="7" t="n">
        <v>92038</v>
      </c>
      <c r="T8" s="7" t="n">
        <v>109278.6</v>
      </c>
      <c r="V8" s="7" t="n">
        <v>123993.7</v>
      </c>
      <c r="X8" s="7" t="n">
        <v>97270.60000000001</v>
      </c>
      <c r="Z8" s="7" t="n">
        <v>82047.39999999999</v>
      </c>
      <c r="AB8" s="7" t="n">
        <v>1483514.3</v>
      </c>
    </row>
    <row r="9">
      <c r="A9" s="4" t="inlineStr">
        <is>
          <t>川味底料</t>
        </is>
      </c>
      <c r="D9" s="7" t="n">
        <v>93028.8</v>
      </c>
      <c r="F9" s="7" t="n">
        <v>149200.8</v>
      </c>
      <c r="H9" s="7" t="n">
        <v>126392.8</v>
      </c>
      <c r="J9" s="7" t="n">
        <v>139257</v>
      </c>
      <c r="L9" s="7" t="n">
        <v>291727.8</v>
      </c>
      <c r="N9" s="7" t="n">
        <v>239108.5</v>
      </c>
      <c r="P9" s="7" t="n">
        <v>315699.3</v>
      </c>
      <c r="R9" s="7" t="n">
        <v>164191.8</v>
      </c>
      <c r="T9" s="7" t="n">
        <v>162438.6</v>
      </c>
      <c r="V9" s="7" t="n">
        <v>175813.3</v>
      </c>
      <c r="X9" s="7" t="n">
        <v>223159.8</v>
      </c>
      <c r="Z9" s="7" t="n">
        <v>149990.8</v>
      </c>
      <c r="AB9" s="7" t="n">
        <v>2230009.3</v>
      </c>
    </row>
    <row r="10">
      <c r="A10" s="4" t="inlineStr">
        <is>
          <t>调味汁</t>
        </is>
      </c>
      <c r="D10" s="7" t="n">
        <v>317835.6</v>
      </c>
      <c r="F10" s="7" t="n">
        <v>305709.6</v>
      </c>
      <c r="H10" s="7" t="n">
        <v>399410.4</v>
      </c>
      <c r="J10" s="7" t="n">
        <v>722085.6</v>
      </c>
      <c r="L10" s="7" t="n">
        <v>467238.2</v>
      </c>
      <c r="N10" s="7" t="n">
        <v>662318.1</v>
      </c>
      <c r="P10" s="7" t="n">
        <v>454091.4</v>
      </c>
      <c r="R10" s="7" t="n">
        <v>663965.4</v>
      </c>
      <c r="T10" s="7" t="n">
        <v>513647.3</v>
      </c>
      <c r="V10" s="7" t="n">
        <v>595058.6</v>
      </c>
      <c r="X10" s="7" t="n">
        <v>504463.8</v>
      </c>
      <c r="Z10" s="7" t="n">
        <v>494097.1</v>
      </c>
      <c r="AB10" s="7" t="n">
        <v>6099921.1</v>
      </c>
    </row>
    <row r="11">
      <c r="A11" s="4" t="inlineStr">
        <is>
          <t>复合调味粉</t>
        </is>
      </c>
      <c r="D11" s="7" t="n">
        <v>308948.9</v>
      </c>
      <c r="F11" s="7" t="n">
        <v>255990.9</v>
      </c>
      <c r="H11" s="7" t="n">
        <v>278871.6</v>
      </c>
      <c r="J11" s="7" t="n">
        <v>432919.3</v>
      </c>
      <c r="L11" s="7" t="n">
        <v>643212</v>
      </c>
      <c r="N11" s="7" t="n">
        <v>539728.1</v>
      </c>
      <c r="P11" s="7" t="n">
        <v>777353.5</v>
      </c>
      <c r="R11" s="7" t="n">
        <v>414780.6</v>
      </c>
      <c r="T11" s="7" t="n">
        <v>488753.8</v>
      </c>
      <c r="V11" s="7" t="n">
        <v>652769.6</v>
      </c>
      <c r="X11" s="7" t="n">
        <v>494793.6</v>
      </c>
      <c r="Z11" s="7" t="n">
        <v>188960.3</v>
      </c>
      <c r="AB11" s="7" t="n">
        <v>5477082.2</v>
      </c>
    </row>
    <row r="12">
      <c r="A12" s="4" t="inlineStr">
        <is>
          <t>团餐</t>
        </is>
      </c>
      <c r="D12" s="7" t="n">
        <v>76004.89999999999</v>
      </c>
      <c r="F12" s="7" t="n">
        <v>83527</v>
      </c>
      <c r="H12" s="7" t="n">
        <v>54856.5</v>
      </c>
      <c r="J12" s="7" t="n">
        <v>128021.5</v>
      </c>
      <c r="L12" s="7" t="n">
        <v>102570.4</v>
      </c>
      <c r="N12" s="7" t="n">
        <v>136755.7</v>
      </c>
      <c r="P12" s="7" t="n">
        <v>86148.10000000001</v>
      </c>
      <c r="R12" s="7" t="n">
        <v>107866</v>
      </c>
      <c r="T12" s="7" t="n">
        <v>122399.8</v>
      </c>
      <c r="V12" s="7" t="n">
        <v>87072.10000000001</v>
      </c>
      <c r="X12" s="7" t="n">
        <v>100484.3</v>
      </c>
      <c r="Z12" s="7" t="n">
        <v>56068.7</v>
      </c>
      <c r="AB12" s="7" t="n">
        <v>1141775</v>
      </c>
    </row>
    <row r="13">
      <c r="A13" s="4" t="inlineStr">
        <is>
          <t>预制菜</t>
        </is>
      </c>
      <c r="D13" s="7" t="n">
        <v>235912.3</v>
      </c>
      <c r="F13" s="7" t="n">
        <v>201773.7</v>
      </c>
      <c r="H13" s="7" t="n">
        <v>324079.8</v>
      </c>
      <c r="J13" s="7" t="n">
        <v>324357</v>
      </c>
      <c r="L13" s="7" t="n">
        <v>298867.4</v>
      </c>
      <c r="N13" s="7" t="n">
        <v>388762.6</v>
      </c>
      <c r="P13" s="7" t="n">
        <v>692495.9</v>
      </c>
      <c r="R13" s="7" t="n">
        <v>359664.9</v>
      </c>
      <c r="T13" s="7" t="n">
        <v>319102.4</v>
      </c>
      <c r="V13" s="7" t="n">
        <v>669360.4</v>
      </c>
      <c r="X13" s="7" t="n">
        <v>364165.2</v>
      </c>
      <c r="Z13" s="7" t="n">
        <v>360804.2</v>
      </c>
      <c r="AB13" s="7" t="n">
        <v>4539345.8</v>
      </c>
    </row>
    <row r="14">
      <c r="A14" s="4" t="inlineStr">
        <is>
          <t>返利</t>
        </is>
      </c>
      <c r="D14" s="7" t="n">
        <v>-14562.4</v>
      </c>
      <c r="F14" s="7" t="n">
        <v>-13272.1</v>
      </c>
      <c r="H14" s="7" t="n">
        <v>-25870</v>
      </c>
      <c r="J14" s="7" t="n">
        <v>-52795.5</v>
      </c>
      <c r="L14" s="7" t="n">
        <v>-41792.8</v>
      </c>
      <c r="N14" s="7" t="n">
        <v>-62384</v>
      </c>
      <c r="P14" s="7" t="n">
        <v>-73060.60000000001</v>
      </c>
      <c r="R14" s="7" t="n">
        <v>-36208.1</v>
      </c>
      <c r="T14" s="7" t="n">
        <v>-39532.1</v>
      </c>
      <c r="V14" s="7" t="n">
        <v>-60605.1</v>
      </c>
      <c r="X14" s="7" t="n">
        <v>-29319.2</v>
      </c>
      <c r="Z14" s="7" t="n">
        <v>-39353</v>
      </c>
      <c r="AB14" s="7" t="n">
        <v>-488754.9</v>
      </c>
    </row>
    <row r="15">
      <c r="A15" s="4" t="inlineStr">
        <is>
          <t>其他</t>
        </is>
      </c>
      <c r="D15" s="7" t="n">
        <v>10339.2</v>
      </c>
      <c r="F15" s="7" t="n">
        <v>16480.8</v>
      </c>
      <c r="H15" s="7" t="n">
        <v>20473.3</v>
      </c>
      <c r="J15" s="7" t="n">
        <v>12010.1</v>
      </c>
      <c r="L15" s="7" t="n">
        <v>24974.4</v>
      </c>
      <c r="N15" s="7" t="n">
        <v>35829.2</v>
      </c>
      <c r="P15" s="7" t="n">
        <v>9276.700000000001</v>
      </c>
      <c r="R15" s="7" t="n">
        <v>9394.5</v>
      </c>
      <c r="T15" s="7" t="n">
        <v>33060.5</v>
      </c>
      <c r="V15" s="7" t="n">
        <v>35915.8</v>
      </c>
      <c r="X15" s="7" t="n">
        <v>17036.4</v>
      </c>
      <c r="Z15" s="7" t="n">
        <v>25955.2</v>
      </c>
      <c r="AB15" s="7" t="n">
        <v>250746.1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1200950</v>
      </c>
      <c r="D16" s="7" t="n">
        <v>796819.8</v>
      </c>
      <c r="E16" s="7" t="n">
        <v>1309696.8</v>
      </c>
      <c r="F16" s="7" t="n">
        <v>830413.6</v>
      </c>
      <c r="G16" s="7" t="n">
        <v>1506103.7</v>
      </c>
      <c r="H16" s="7" t="n">
        <v>1011048.5</v>
      </c>
      <c r="I16" s="7" t="n">
        <v>1333056.2</v>
      </c>
      <c r="J16" s="7" t="n">
        <v>1448855.7</v>
      </c>
      <c r="K16" s="7" t="n">
        <v>1507255.9</v>
      </c>
      <c r="L16" s="7" t="n">
        <v>1425094.7</v>
      </c>
      <c r="M16" s="7" t="n">
        <v>1145551.2</v>
      </c>
      <c r="N16" s="7" t="n">
        <v>1590491.1</v>
      </c>
      <c r="O16" s="7" t="n">
        <v>1156846.2</v>
      </c>
      <c r="P16" s="7" t="n">
        <v>1880244.4</v>
      </c>
      <c r="Q16" s="7" t="n">
        <v>1417191.3</v>
      </c>
      <c r="R16" s="7" t="n">
        <v>1341495.1</v>
      </c>
      <c r="S16" s="7" t="n">
        <v>1243765.8</v>
      </c>
      <c r="T16" s="7" t="n">
        <v>1287109.2</v>
      </c>
      <c r="U16" s="7" t="n">
        <v>1292945.2</v>
      </c>
      <c r="V16" s="7" t="n">
        <v>1785951.6</v>
      </c>
      <c r="W16" s="7" t="n">
        <v>1214930.2</v>
      </c>
      <c r="X16" s="7" t="n">
        <v>1332732.7</v>
      </c>
      <c r="Y16" s="7" t="n">
        <v>1314648.1</v>
      </c>
      <c r="Z16" s="7" t="n">
        <v>1016871.2</v>
      </c>
      <c r="AA16" s="8" t="n">
        <v>15642940.6</v>
      </c>
      <c r="AB16" s="8" t="n">
        <v>15747127.6</v>
      </c>
    </row>
    <row r="17">
      <c r="A17" s="4" t="inlineStr">
        <is>
          <t>中式汤底</t>
        </is>
      </c>
      <c r="D17" s="7" t="n">
        <v>27204</v>
      </c>
      <c r="F17" s="7" t="n">
        <v>46025.5</v>
      </c>
      <c r="H17" s="7" t="n">
        <v>65374.4</v>
      </c>
      <c r="J17" s="7" t="n">
        <v>51837.4</v>
      </c>
      <c r="L17" s="7" t="n">
        <v>47130.1</v>
      </c>
      <c r="N17" s="7" t="n">
        <v>41218</v>
      </c>
      <c r="P17" s="7" t="n">
        <v>80497</v>
      </c>
      <c r="R17" s="7" t="n">
        <v>47217.8</v>
      </c>
      <c r="T17" s="7" t="n">
        <v>68977.89999999999</v>
      </c>
      <c r="V17" s="7" t="n">
        <v>82581.8</v>
      </c>
      <c r="X17" s="7" t="n">
        <v>43402.3</v>
      </c>
      <c r="Z17" s="7" t="n">
        <v>52860.3</v>
      </c>
      <c r="AB17" s="7" t="n">
        <v>654326.5</v>
      </c>
    </row>
    <row r="18">
      <c r="A18" s="4" t="inlineStr">
        <is>
          <t>酱料</t>
        </is>
      </c>
      <c r="D18" s="7" t="n">
        <v>33981.8</v>
      </c>
      <c r="F18" s="7" t="n">
        <v>63385.1</v>
      </c>
      <c r="H18" s="7" t="n">
        <v>89080.7</v>
      </c>
      <c r="J18" s="7" t="n">
        <v>115258.3</v>
      </c>
      <c r="L18" s="7" t="n">
        <v>95802.10000000001</v>
      </c>
      <c r="N18" s="7" t="n">
        <v>109847.6</v>
      </c>
      <c r="P18" s="7" t="n">
        <v>115421.7</v>
      </c>
      <c r="R18" s="7" t="n">
        <v>58555.5</v>
      </c>
      <c r="T18" s="7" t="n">
        <v>69524.2</v>
      </c>
      <c r="V18" s="7" t="n">
        <v>78886.10000000001</v>
      </c>
      <c r="X18" s="7" t="n">
        <v>61884.6</v>
      </c>
      <c r="Z18" s="7" t="n">
        <v>52199.4</v>
      </c>
      <c r="AB18" s="7" t="n">
        <v>943827.1</v>
      </c>
    </row>
    <row r="19">
      <c r="A19" s="4" t="inlineStr">
        <is>
          <t>川味底料</t>
        </is>
      </c>
      <c r="D19" s="7" t="n">
        <v>59046.8</v>
      </c>
      <c r="F19" s="7" t="n">
        <v>94700.10000000001</v>
      </c>
      <c r="H19" s="7" t="n">
        <v>80223.5</v>
      </c>
      <c r="J19" s="7" t="n">
        <v>88388.60000000001</v>
      </c>
      <c r="L19" s="7" t="n">
        <v>185164.2</v>
      </c>
      <c r="N19" s="7" t="n">
        <v>151765.9</v>
      </c>
      <c r="P19" s="7" t="n">
        <v>200379.3</v>
      </c>
      <c r="R19" s="7" t="n">
        <v>104215.1</v>
      </c>
      <c r="T19" s="7" t="n">
        <v>103102.3</v>
      </c>
      <c r="V19" s="7" t="n">
        <v>111591.5</v>
      </c>
      <c r="X19" s="7" t="n">
        <v>141643</v>
      </c>
      <c r="Z19" s="7" t="n">
        <v>95201.5</v>
      </c>
      <c r="AB19" s="7" t="n">
        <v>1415421.8</v>
      </c>
    </row>
    <row r="20">
      <c r="A20" s="4" t="inlineStr">
        <is>
          <t>调味汁</t>
        </is>
      </c>
      <c r="D20" s="7" t="n">
        <v>204497</v>
      </c>
      <c r="F20" s="7" t="n">
        <v>196695.1</v>
      </c>
      <c r="H20" s="7" t="n">
        <v>256982.6</v>
      </c>
      <c r="J20" s="7" t="n">
        <v>464593.4</v>
      </c>
      <c r="L20" s="7" t="n">
        <v>300623.4</v>
      </c>
      <c r="N20" s="7" t="n">
        <v>426138.7</v>
      </c>
      <c r="P20" s="7" t="n">
        <v>292164.6</v>
      </c>
      <c r="R20" s="7" t="n">
        <v>427198.6</v>
      </c>
      <c r="T20" s="7" t="n">
        <v>330483.2</v>
      </c>
      <c r="V20" s="7" t="n">
        <v>382863.6</v>
      </c>
      <c r="X20" s="7" t="n">
        <v>324574.5</v>
      </c>
      <c r="Z20" s="7" t="n">
        <v>317904.5</v>
      </c>
      <c r="AB20" s="7" t="n">
        <v>3924719.2</v>
      </c>
    </row>
    <row r="21">
      <c r="A21" s="4" t="inlineStr">
        <is>
          <t>复合调味粉</t>
        </is>
      </c>
      <c r="D21" s="7" t="n">
        <v>214971.3</v>
      </c>
      <c r="F21" s="7" t="n">
        <v>178122.4</v>
      </c>
      <c r="H21" s="7" t="n">
        <v>194043.1</v>
      </c>
      <c r="J21" s="7" t="n">
        <v>301231.8</v>
      </c>
      <c r="L21" s="7" t="n">
        <v>447556.7</v>
      </c>
      <c r="N21" s="7" t="n">
        <v>375551</v>
      </c>
      <c r="P21" s="7" t="n">
        <v>540894.4</v>
      </c>
      <c r="R21" s="7" t="n">
        <v>288610.6</v>
      </c>
      <c r="T21" s="7" t="n">
        <v>340082.3</v>
      </c>
      <c r="V21" s="7" t="n">
        <v>454207</v>
      </c>
      <c r="X21" s="7" t="n">
        <v>344284.9</v>
      </c>
      <c r="Z21" s="7" t="n">
        <v>131481.4</v>
      </c>
      <c r="AB21" s="7" t="n">
        <v>3811036.9</v>
      </c>
    </row>
    <row r="22">
      <c r="A22" s="4" t="inlineStr">
        <is>
          <t>团餐</t>
        </is>
      </c>
      <c r="D22" s="7" t="n">
        <v>52038.5</v>
      </c>
      <c r="F22" s="7" t="n">
        <v>57188.7</v>
      </c>
      <c r="H22" s="7" t="n">
        <v>37558.8</v>
      </c>
      <c r="J22" s="7" t="n">
        <v>87652.89999999999</v>
      </c>
      <c r="L22" s="7" t="n">
        <v>70227.2</v>
      </c>
      <c r="N22" s="7" t="n">
        <v>93632.89999999999</v>
      </c>
      <c r="P22" s="7" t="n">
        <v>58983.3</v>
      </c>
      <c r="R22" s="7" t="n">
        <v>73852.89999999999</v>
      </c>
      <c r="T22" s="7" t="n">
        <v>83803.8</v>
      </c>
      <c r="V22" s="7" t="n">
        <v>59615.9</v>
      </c>
      <c r="X22" s="7" t="n">
        <v>68798.89999999999</v>
      </c>
      <c r="Z22" s="7" t="n">
        <v>38388.7</v>
      </c>
      <c r="AB22" s="7" t="n">
        <v>781742.5</v>
      </c>
    </row>
    <row r="23">
      <c r="A23" s="4" t="inlineStr">
        <is>
          <t>预制菜</t>
        </is>
      </c>
      <c r="D23" s="7" t="n">
        <v>176187.1</v>
      </c>
      <c r="F23" s="7" t="n">
        <v>150691.3</v>
      </c>
      <c r="H23" s="7" t="n">
        <v>242033.5</v>
      </c>
      <c r="J23" s="7" t="n">
        <v>242240.5</v>
      </c>
      <c r="L23" s="7" t="n">
        <v>223204</v>
      </c>
      <c r="N23" s="7" t="n">
        <v>290340.8</v>
      </c>
      <c r="P23" s="7" t="n">
        <v>517178.8</v>
      </c>
      <c r="R23" s="7" t="n">
        <v>268609.6</v>
      </c>
      <c r="T23" s="7" t="n">
        <v>238316.2</v>
      </c>
      <c r="V23" s="7" t="n">
        <v>499900.5</v>
      </c>
      <c r="X23" s="7" t="n">
        <v>271970.6</v>
      </c>
      <c r="Z23" s="7" t="n">
        <v>269460.5</v>
      </c>
      <c r="AB23" s="7" t="n">
        <v>3390133.4</v>
      </c>
    </row>
    <row r="24">
      <c r="A24" s="4" t="inlineStr">
        <is>
          <t>其他</t>
        </is>
      </c>
      <c r="D24" s="7" t="n">
        <v>7098.2</v>
      </c>
      <c r="F24" s="7" t="n">
        <v>1151.8</v>
      </c>
      <c r="H24" s="7" t="n">
        <v>13407.7</v>
      </c>
      <c r="J24" s="7" t="n">
        <v>20260.9</v>
      </c>
      <c r="L24" s="7" t="n">
        <v>10441.4</v>
      </c>
      <c r="N24" s="7" t="n">
        <v>22207.1</v>
      </c>
      <c r="P24" s="7" t="n">
        <v>30902.3</v>
      </c>
      <c r="R24" s="7" t="n">
        <v>10061.7</v>
      </c>
      <c r="T24" s="7" t="n">
        <v>265.1</v>
      </c>
      <c r="V24" s="7" t="n">
        <v>3829.6</v>
      </c>
      <c r="X24" s="7" t="n">
        <v>23048.7</v>
      </c>
      <c r="Z24" s="7" t="n">
        <v>6264.1</v>
      </c>
      <c r="AB24" s="7" t="n">
        <v>148938.6</v>
      </c>
    </row>
    <row r="25">
      <c r="A25" s="4" t="inlineStr">
        <is>
          <t>运费</t>
        </is>
      </c>
      <c r="D25" s="7" t="n">
        <v>28893.3</v>
      </c>
      <c r="F25" s="7" t="n">
        <v>43605.4</v>
      </c>
      <c r="H25" s="7" t="n">
        <v>45751.9</v>
      </c>
      <c r="J25" s="7" t="n">
        <v>97652.8</v>
      </c>
      <c r="L25" s="7" t="n">
        <v>55387</v>
      </c>
      <c r="N25" s="7" t="n">
        <v>101996.2</v>
      </c>
      <c r="P25" s="7" t="n">
        <v>74725.3</v>
      </c>
      <c r="R25" s="7" t="n">
        <v>73235</v>
      </c>
      <c r="T25" s="7" t="n">
        <v>52819.3</v>
      </c>
      <c r="V25" s="7" t="n">
        <v>116305.2</v>
      </c>
      <c r="X25" s="7" t="n">
        <v>76173.89999999999</v>
      </c>
      <c r="Z25" s="7" t="n">
        <v>59374.9</v>
      </c>
      <c r="AB25" s="7" t="n">
        <v>825920.2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420369</v>
      </c>
      <c r="D26" s="7" t="n">
        <v>331878.1</v>
      </c>
      <c r="E26" s="7" t="n">
        <v>479853</v>
      </c>
      <c r="F26" s="7" t="n">
        <v>349459.8</v>
      </c>
      <c r="G26" s="7" t="n">
        <v>248429.5</v>
      </c>
      <c r="H26" s="7" t="n">
        <v>421999.1</v>
      </c>
      <c r="I26" s="7" t="n">
        <v>710358.4</v>
      </c>
      <c r="J26" s="7" t="n">
        <v>529204</v>
      </c>
      <c r="K26" s="7" t="n">
        <v>197148.1</v>
      </c>
      <c r="L26" s="7" t="n">
        <v>595058.7</v>
      </c>
      <c r="M26" s="7" t="n">
        <v>526530.1</v>
      </c>
      <c r="N26" s="7" t="n">
        <v>594676.6</v>
      </c>
      <c r="O26" s="7" t="n">
        <v>658138.3</v>
      </c>
      <c r="P26" s="7" t="n">
        <v>704555.7</v>
      </c>
      <c r="Q26" s="7" t="n">
        <v>383009.9</v>
      </c>
      <c r="R26" s="7" t="n">
        <v>517125.6</v>
      </c>
      <c r="S26" s="7" t="n">
        <v>477167.3</v>
      </c>
      <c r="T26" s="7" t="n">
        <v>543184.1</v>
      </c>
      <c r="U26" s="7" t="n">
        <v>412094.8</v>
      </c>
      <c r="V26" s="7" t="n">
        <v>638463.4</v>
      </c>
      <c r="W26" s="7" t="n">
        <v>862546.6</v>
      </c>
      <c r="X26" s="7" t="n">
        <v>515548.3</v>
      </c>
      <c r="Y26" s="7" t="n">
        <v>497304.3</v>
      </c>
      <c r="Z26" s="7" t="n">
        <v>394536.9</v>
      </c>
      <c r="AA26" s="8" t="n">
        <v>5872949.3</v>
      </c>
      <c r="AB26" s="8" t="n">
        <v>6135690.3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25.9</v>
      </c>
      <c r="D27" s="13" t="n">
        <v>29.4</v>
      </c>
      <c r="E27" s="13" t="n">
        <v>26.8</v>
      </c>
      <c r="F27" s="13" t="n">
        <v>29.6</v>
      </c>
      <c r="G27" s="13" t="n">
        <v>14.2</v>
      </c>
      <c r="H27" s="13" t="n">
        <v>29.4</v>
      </c>
      <c r="I27" s="13" t="n">
        <v>34.8</v>
      </c>
      <c r="J27" s="13" t="n">
        <v>26.8</v>
      </c>
      <c r="K27" s="13" t="n">
        <v>11.6</v>
      </c>
      <c r="L27" s="13" t="n">
        <v>29.5</v>
      </c>
      <c r="M27" s="13" t="n">
        <v>31.5</v>
      </c>
      <c r="N27" s="13" t="n">
        <v>27.2</v>
      </c>
      <c r="O27" s="13" t="n">
        <v>36.3</v>
      </c>
      <c r="P27" s="13" t="n">
        <v>27.3</v>
      </c>
      <c r="Q27" s="13" t="n">
        <v>21.3</v>
      </c>
      <c r="R27" s="13" t="n">
        <v>27.8</v>
      </c>
      <c r="S27" s="13" t="n">
        <v>27.7</v>
      </c>
      <c r="T27" s="13" t="n">
        <v>29.7</v>
      </c>
      <c r="U27" s="13" t="n">
        <v>24.2</v>
      </c>
      <c r="V27" s="13" t="n">
        <v>26.3</v>
      </c>
      <c r="W27" s="13" t="n">
        <v>41.5</v>
      </c>
      <c r="X27" s="13" t="n">
        <v>27.9</v>
      </c>
      <c r="Y27" s="13" t="n">
        <v>27.4</v>
      </c>
      <c r="Z27" s="13" t="n">
        <v>28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15733.5</v>
      </c>
      <c r="D28" s="7" t="n">
        <v>14093.8</v>
      </c>
      <c r="E28" s="7" t="n">
        <v>16943.5</v>
      </c>
      <c r="F28" s="7" t="n">
        <v>11618.9</v>
      </c>
      <c r="G28" s="7" t="n">
        <v>16220</v>
      </c>
      <c r="H28" s="7" t="n">
        <v>8143.1</v>
      </c>
      <c r="I28" s="7" t="n">
        <v>14644.1</v>
      </c>
      <c r="J28" s="7" t="n">
        <v>20738.5</v>
      </c>
      <c r="K28" s="7" t="n">
        <v>18095.2</v>
      </c>
      <c r="L28" s="7" t="n">
        <v>14995.5</v>
      </c>
      <c r="M28" s="7" t="n">
        <v>17661.5</v>
      </c>
      <c r="N28" s="7" t="n">
        <v>31685.3</v>
      </c>
      <c r="O28" s="7" t="n">
        <v>15026</v>
      </c>
      <c r="P28" s="7" t="n">
        <v>16549.3</v>
      </c>
      <c r="Q28" s="7" t="n">
        <v>16055.2</v>
      </c>
      <c r="R28" s="7" t="n">
        <v>24541.7</v>
      </c>
      <c r="S28" s="7" t="n">
        <v>15343.8</v>
      </c>
      <c r="T28" s="7" t="n">
        <v>24554.5</v>
      </c>
      <c r="U28" s="7" t="n">
        <v>14427</v>
      </c>
      <c r="V28" s="7" t="n">
        <v>16257.9</v>
      </c>
      <c r="W28" s="7" t="n">
        <v>17649.7</v>
      </c>
      <c r="X28" s="7" t="n">
        <v>9575.299999999999</v>
      </c>
      <c r="Y28" s="7" t="n">
        <v>15341.2</v>
      </c>
      <c r="Z28" s="7" t="n">
        <v>8475.700000000001</v>
      </c>
      <c r="AA28" s="8" t="n">
        <v>193140.7</v>
      </c>
      <c r="AB28" s="8" t="n">
        <v>201229.5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372460.4</v>
      </c>
      <c r="D29" s="7" t="n">
        <v>230831.5</v>
      </c>
      <c r="E29" s="7" t="n">
        <v>317596</v>
      </c>
      <c r="F29" s="7" t="n">
        <v>266032.2</v>
      </c>
      <c r="G29" s="7" t="n">
        <v>304121.4</v>
      </c>
      <c r="H29" s="7" t="n">
        <v>317745</v>
      </c>
      <c r="I29" s="7" t="n">
        <v>289552.9</v>
      </c>
      <c r="J29" s="7" t="n">
        <v>388000</v>
      </c>
      <c r="K29" s="7" t="n">
        <v>322252.8</v>
      </c>
      <c r="L29" s="7" t="n">
        <v>419104.2</v>
      </c>
      <c r="M29" s="7" t="n">
        <v>378447.1</v>
      </c>
      <c r="N29" s="7" t="n">
        <v>512534.3</v>
      </c>
      <c r="O29" s="7" t="n">
        <v>313880.6</v>
      </c>
      <c r="P29" s="7" t="n">
        <v>409930.6</v>
      </c>
      <c r="Q29" s="7" t="n">
        <v>299528.8</v>
      </c>
      <c r="R29" s="7" t="n">
        <v>271820.7</v>
      </c>
      <c r="S29" s="7" t="n">
        <v>346732.7</v>
      </c>
      <c r="T29" s="7" t="n">
        <v>197419.6</v>
      </c>
      <c r="U29" s="7" t="n">
        <v>302342.1</v>
      </c>
      <c r="V29" s="7" t="n">
        <v>244138.3</v>
      </c>
      <c r="W29" s="7" t="n">
        <v>367853.4</v>
      </c>
      <c r="X29" s="7" t="n">
        <v>398972.6</v>
      </c>
      <c r="Y29" s="7" t="n">
        <v>359402.4</v>
      </c>
      <c r="Z29" s="7" t="n">
        <v>303547.5</v>
      </c>
      <c r="AA29" s="8" t="n">
        <v>3974170.6</v>
      </c>
      <c r="AB29" s="8" t="n">
        <v>3960076.5</v>
      </c>
    </row>
    <row r="30">
      <c r="A30" s="4" t="inlineStr">
        <is>
          <t>职工薪酬</t>
        </is>
      </c>
      <c r="D30" s="7" t="n">
        <v>107301.1</v>
      </c>
      <c r="F30" s="7" t="n">
        <v>131386.6</v>
      </c>
      <c r="H30" s="7" t="n">
        <v>156901.2</v>
      </c>
      <c r="J30" s="7" t="n">
        <v>210842.3</v>
      </c>
      <c r="L30" s="7" t="n">
        <v>192759.4</v>
      </c>
      <c r="N30" s="7" t="n">
        <v>263201.2</v>
      </c>
      <c r="P30" s="7" t="n">
        <v>232042.2</v>
      </c>
      <c r="R30" s="7" t="n">
        <v>125133.7</v>
      </c>
      <c r="T30" s="7" t="n">
        <v>113697.7</v>
      </c>
      <c r="V30" s="7" t="n">
        <v>141603.1</v>
      </c>
      <c r="X30" s="7" t="n">
        <v>200074.6</v>
      </c>
      <c r="Z30" s="7" t="n">
        <v>146387.7</v>
      </c>
      <c r="AB30" s="7" t="n">
        <v>2021330.8</v>
      </c>
    </row>
    <row r="31">
      <c r="A31" s="4" t="inlineStr">
        <is>
          <t>工资</t>
        </is>
      </c>
      <c r="D31" s="7" t="n">
        <v>57357.1</v>
      </c>
      <c r="F31" s="7" t="n">
        <v>72941.7</v>
      </c>
      <c r="H31" s="7" t="n">
        <v>76656.60000000001</v>
      </c>
      <c r="J31" s="7" t="n">
        <v>109565.4</v>
      </c>
      <c r="L31" s="7" t="n">
        <v>111868.7</v>
      </c>
      <c r="N31" s="7" t="n">
        <v>143537.1</v>
      </c>
      <c r="P31" s="7" t="n">
        <v>119937.4</v>
      </c>
      <c r="R31" s="7" t="n">
        <v>60312.4</v>
      </c>
      <c r="T31" s="7" t="n">
        <v>70422.60000000001</v>
      </c>
      <c r="V31" s="7" t="n">
        <v>79830.8</v>
      </c>
      <c r="X31" s="7" t="n">
        <v>110282.6</v>
      </c>
      <c r="Z31" s="7" t="n">
        <v>67423.89999999999</v>
      </c>
      <c r="AB31" s="7" t="n">
        <v>1080136.3</v>
      </c>
    </row>
    <row r="32">
      <c r="A32" s="4" t="inlineStr">
        <is>
          <t>奖金及提成</t>
        </is>
      </c>
      <c r="D32" s="7" t="n">
        <v>19185.2</v>
      </c>
      <c r="F32" s="7" t="n">
        <v>23435.3</v>
      </c>
      <c r="H32" s="7" t="n">
        <v>33659.4</v>
      </c>
      <c r="J32" s="7" t="n">
        <v>50046.6</v>
      </c>
      <c r="L32" s="7" t="n">
        <v>31897.5</v>
      </c>
      <c r="N32" s="7" t="n">
        <v>52366.1</v>
      </c>
      <c r="P32" s="7" t="n">
        <v>53058.1</v>
      </c>
      <c r="R32" s="7" t="n">
        <v>32897.9</v>
      </c>
      <c r="T32" s="7" t="n">
        <v>15850.3</v>
      </c>
      <c r="V32" s="7" t="n">
        <v>31137.9</v>
      </c>
      <c r="X32" s="7" t="n">
        <v>42287.9</v>
      </c>
      <c r="Z32" s="7" t="n">
        <v>39122.7</v>
      </c>
      <c r="AB32" s="7" t="n">
        <v>424944.9</v>
      </c>
    </row>
    <row r="33">
      <c r="A33" s="4" t="inlineStr">
        <is>
          <t>社保</t>
        </is>
      </c>
      <c r="D33" s="7" t="n">
        <v>20641.7</v>
      </c>
      <c r="F33" s="7" t="n">
        <v>23554.3</v>
      </c>
      <c r="H33" s="7" t="n">
        <v>32624</v>
      </c>
      <c r="J33" s="7" t="n">
        <v>34647.9</v>
      </c>
      <c r="L33" s="7" t="n">
        <v>30149.6</v>
      </c>
      <c r="N33" s="7" t="n">
        <v>44332.7</v>
      </c>
      <c r="P33" s="7" t="n">
        <v>40349.6</v>
      </c>
      <c r="R33" s="7" t="n">
        <v>19370.6</v>
      </c>
      <c r="T33" s="7" t="n">
        <v>19124.9</v>
      </c>
      <c r="V33" s="7" t="n">
        <v>19321.7</v>
      </c>
      <c r="X33" s="7" t="n">
        <v>28760</v>
      </c>
      <c r="Z33" s="7" t="n">
        <v>25865.2</v>
      </c>
      <c r="AB33" s="7" t="n">
        <v>338742.2</v>
      </c>
    </row>
    <row r="34">
      <c r="A34" s="4" t="inlineStr">
        <is>
          <t>养老</t>
        </is>
      </c>
      <c r="D34" s="7" t="n">
        <v>823</v>
      </c>
      <c r="F34" s="7" t="n">
        <v>1106.7</v>
      </c>
      <c r="H34" s="7" t="n">
        <v>1023.3</v>
      </c>
      <c r="J34" s="7" t="n">
        <v>1566.6</v>
      </c>
      <c r="L34" s="7" t="n">
        <v>2078.9</v>
      </c>
      <c r="N34" s="7" t="n">
        <v>1650.8</v>
      </c>
      <c r="P34" s="7" t="n">
        <v>1682.4</v>
      </c>
      <c r="R34" s="7" t="n">
        <v>1291</v>
      </c>
      <c r="T34" s="7" t="n">
        <v>670.5</v>
      </c>
      <c r="V34" s="7" t="n">
        <v>1070.3</v>
      </c>
      <c r="X34" s="7" t="n">
        <v>1766.8</v>
      </c>
      <c r="Z34" s="7" t="n">
        <v>1248.2</v>
      </c>
      <c r="AB34" s="7" t="n">
        <v>15978.5</v>
      </c>
    </row>
    <row r="35">
      <c r="A35" s="4" t="inlineStr">
        <is>
          <t>医疗</t>
        </is>
      </c>
      <c r="D35" s="7" t="n">
        <v>83.90000000000001</v>
      </c>
      <c r="F35" s="7" t="n">
        <v>91.8</v>
      </c>
      <c r="H35" s="7" t="n">
        <v>98.8</v>
      </c>
      <c r="J35" s="7" t="n">
        <v>125.4</v>
      </c>
      <c r="L35" s="7" t="n">
        <v>119</v>
      </c>
      <c r="N35" s="7" t="n">
        <v>252.6</v>
      </c>
      <c r="P35" s="7" t="n">
        <v>170.6</v>
      </c>
      <c r="R35" s="7" t="n">
        <v>135.4</v>
      </c>
      <c r="T35" s="7" t="n">
        <v>88.7</v>
      </c>
      <c r="V35" s="7" t="n">
        <v>86.09999999999999</v>
      </c>
      <c r="X35" s="7" t="n">
        <v>135.9</v>
      </c>
      <c r="Z35" s="7" t="n">
        <v>129.6</v>
      </c>
      <c r="AB35" s="7" t="n">
        <v>1517.8</v>
      </c>
    </row>
    <row r="36">
      <c r="A36" s="4" t="inlineStr">
        <is>
          <t>工伤</t>
        </is>
      </c>
      <c r="D36" s="7" t="n">
        <v>1165.5</v>
      </c>
      <c r="F36" s="7" t="n">
        <v>1706.8</v>
      </c>
      <c r="H36" s="7" t="n">
        <v>1725.3</v>
      </c>
      <c r="J36" s="7" t="n">
        <v>1689.3</v>
      </c>
      <c r="L36" s="7" t="n">
        <v>1492.7</v>
      </c>
      <c r="N36" s="7" t="n">
        <v>3088</v>
      </c>
      <c r="P36" s="7" t="n">
        <v>1837.3</v>
      </c>
      <c r="R36" s="7" t="n">
        <v>1145.9</v>
      </c>
      <c r="T36" s="7" t="n">
        <v>1007.7</v>
      </c>
      <c r="V36" s="7" t="n">
        <v>1514.5</v>
      </c>
      <c r="X36" s="7" t="n">
        <v>2186.6</v>
      </c>
      <c r="Z36" s="7" t="n">
        <v>1285.2</v>
      </c>
      <c r="AB36" s="7" t="n">
        <v>19844.8</v>
      </c>
    </row>
    <row r="37">
      <c r="A37" s="4" t="inlineStr">
        <is>
          <t>失业</t>
        </is>
      </c>
      <c r="D37" s="7" t="n">
        <v>1177.4</v>
      </c>
      <c r="F37" s="7" t="n">
        <v>1276.8</v>
      </c>
      <c r="H37" s="7" t="n">
        <v>1330.3</v>
      </c>
      <c r="J37" s="7" t="n">
        <v>1561.6</v>
      </c>
      <c r="L37" s="7" t="n">
        <v>1823.7</v>
      </c>
      <c r="N37" s="7" t="n">
        <v>1625.4</v>
      </c>
      <c r="P37" s="7" t="n">
        <v>2257.7</v>
      </c>
      <c r="R37" s="7" t="n">
        <v>909.1</v>
      </c>
      <c r="T37" s="7" t="n">
        <v>725.6</v>
      </c>
      <c r="V37" s="7" t="n">
        <v>1189.1</v>
      </c>
      <c r="X37" s="7" t="n">
        <v>1411.5</v>
      </c>
      <c r="Z37" s="7" t="n">
        <v>1125.3</v>
      </c>
      <c r="AB37" s="7" t="n">
        <v>16413.5</v>
      </c>
    </row>
    <row r="38">
      <c r="A38" s="4" t="inlineStr">
        <is>
          <t>生育</t>
        </is>
      </c>
      <c r="D38" s="7" t="n">
        <v>146.6</v>
      </c>
      <c r="F38" s="7" t="n">
        <v>191.9</v>
      </c>
      <c r="H38" s="7" t="n">
        <v>240.7</v>
      </c>
      <c r="J38" s="7" t="n">
        <v>196.5</v>
      </c>
      <c r="L38" s="7" t="n">
        <v>188.3</v>
      </c>
      <c r="N38" s="7" t="n">
        <v>350</v>
      </c>
      <c r="P38" s="7" t="n">
        <v>218.8</v>
      </c>
      <c r="R38" s="7" t="n">
        <v>185.3</v>
      </c>
      <c r="T38" s="7" t="n">
        <v>100.6</v>
      </c>
      <c r="V38" s="7" t="n">
        <v>118.4</v>
      </c>
      <c r="X38" s="7" t="n">
        <v>203.9</v>
      </c>
      <c r="Z38" s="7" t="n">
        <v>159.1</v>
      </c>
      <c r="AB38" s="7" t="n">
        <v>2300.1</v>
      </c>
    </row>
    <row r="39">
      <c r="A39" s="4" t="inlineStr">
        <is>
          <t>公积金</t>
        </is>
      </c>
      <c r="D39" s="7" t="n">
        <v>733.7</v>
      </c>
      <c r="F39" s="7" t="n">
        <v>675</v>
      </c>
      <c r="H39" s="7" t="n">
        <v>1091.6</v>
      </c>
      <c r="J39" s="7" t="n">
        <v>853.1</v>
      </c>
      <c r="L39" s="7" t="n">
        <v>1581.2</v>
      </c>
      <c r="N39" s="7" t="n">
        <v>1414.6</v>
      </c>
      <c r="P39" s="7" t="n">
        <v>964.8</v>
      </c>
      <c r="R39" s="7" t="n">
        <v>770.9</v>
      </c>
      <c r="T39" s="7" t="n">
        <v>582.2</v>
      </c>
      <c r="V39" s="7" t="n">
        <v>818.8</v>
      </c>
      <c r="X39" s="7" t="n">
        <v>1356</v>
      </c>
      <c r="Z39" s="7" t="n">
        <v>1063.4</v>
      </c>
      <c r="AB39" s="7" t="n">
        <v>11905.3</v>
      </c>
    </row>
    <row r="40">
      <c r="A40" s="4" t="inlineStr">
        <is>
          <t>工会经费</t>
        </is>
      </c>
      <c r="D40" s="7" t="n">
        <v>855.1</v>
      </c>
      <c r="F40" s="7" t="n">
        <v>1285.8</v>
      </c>
      <c r="H40" s="7" t="n">
        <v>2004.7</v>
      </c>
      <c r="J40" s="7" t="n">
        <v>2332.6</v>
      </c>
      <c r="L40" s="7" t="n">
        <v>2732.5</v>
      </c>
      <c r="N40" s="7" t="n">
        <v>2819.4</v>
      </c>
      <c r="P40" s="7" t="n">
        <v>1688.8</v>
      </c>
      <c r="R40" s="7" t="n">
        <v>1606.8</v>
      </c>
      <c r="T40" s="7" t="n">
        <v>877.7</v>
      </c>
      <c r="V40" s="7" t="n">
        <v>1242.7</v>
      </c>
      <c r="X40" s="7" t="n">
        <v>2018.3</v>
      </c>
      <c r="Z40" s="7" t="n">
        <v>1461.2</v>
      </c>
      <c r="AB40" s="7" t="n">
        <v>20925.6</v>
      </c>
    </row>
    <row r="41">
      <c r="A41" s="4" t="inlineStr">
        <is>
          <t>职工教育经费</t>
        </is>
      </c>
      <c r="D41" s="7" t="n">
        <v>681.7</v>
      </c>
      <c r="F41" s="7" t="n">
        <v>826.7</v>
      </c>
      <c r="H41" s="7" t="n">
        <v>1239.4</v>
      </c>
      <c r="J41" s="7" t="n">
        <v>1222.5</v>
      </c>
      <c r="L41" s="7" t="n">
        <v>1355.3</v>
      </c>
      <c r="N41" s="7" t="n">
        <v>1441.4</v>
      </c>
      <c r="P41" s="7" t="n">
        <v>1629.7</v>
      </c>
      <c r="R41" s="7" t="n">
        <v>1226.2</v>
      </c>
      <c r="T41" s="7" t="n">
        <v>780.5</v>
      </c>
      <c r="V41" s="7" t="n">
        <v>1218</v>
      </c>
      <c r="X41" s="7" t="n">
        <v>2004.3</v>
      </c>
      <c r="Z41" s="7" t="n">
        <v>1546.8</v>
      </c>
      <c r="AB41" s="7" t="n">
        <v>15172.5</v>
      </c>
    </row>
    <row r="42">
      <c r="A42" s="4" t="inlineStr">
        <is>
          <t>福利费</t>
        </is>
      </c>
      <c r="D42" s="7" t="n">
        <v>7846.6</v>
      </c>
      <c r="F42" s="7" t="n">
        <v>8667.799999999999</v>
      </c>
      <c r="H42" s="7" t="n">
        <v>9625.5</v>
      </c>
      <c r="J42" s="7" t="n">
        <v>12174.2</v>
      </c>
      <c r="L42" s="7" t="n">
        <v>13174.6</v>
      </c>
      <c r="N42" s="7" t="n">
        <v>17289.9</v>
      </c>
      <c r="P42" s="7" t="n">
        <v>14413.8</v>
      </c>
      <c r="R42" s="7" t="n">
        <v>8948.9</v>
      </c>
      <c r="T42" s="7" t="n">
        <v>6059.5</v>
      </c>
      <c r="V42" s="7" t="n">
        <v>8033.2</v>
      </c>
      <c r="X42" s="7" t="n">
        <v>13365.5</v>
      </c>
      <c r="Z42" s="7" t="n">
        <v>9904.5</v>
      </c>
      <c r="AB42" s="7" t="n">
        <v>129504</v>
      </c>
    </row>
    <row r="43">
      <c r="A43" s="4" t="inlineStr">
        <is>
          <t>职工房租</t>
        </is>
      </c>
      <c r="D43" s="7" t="n">
        <v>1566.4</v>
      </c>
      <c r="F43" s="7" t="n">
        <v>1602</v>
      </c>
      <c r="H43" s="7" t="n">
        <v>1889.5</v>
      </c>
      <c r="J43" s="7" t="n">
        <v>2585.9</v>
      </c>
      <c r="L43" s="7" t="n">
        <v>2805.2</v>
      </c>
      <c r="N43" s="7" t="n">
        <v>3346.6</v>
      </c>
      <c r="P43" s="7" t="n">
        <v>3082.6</v>
      </c>
      <c r="R43" s="7" t="n">
        <v>1857.6</v>
      </c>
      <c r="T43" s="7" t="n">
        <v>999.3</v>
      </c>
      <c r="V43" s="7" t="n">
        <v>1053.5</v>
      </c>
      <c r="X43" s="7" t="n">
        <v>2837.6</v>
      </c>
      <c r="Z43" s="7" t="n">
        <v>1960.3</v>
      </c>
      <c r="AB43" s="7" t="n">
        <v>25586.5</v>
      </c>
    </row>
    <row r="44">
      <c r="A44" s="4" t="inlineStr">
        <is>
          <t>水电物业费</t>
        </is>
      </c>
      <c r="D44" s="7" t="n">
        <v>1145.2</v>
      </c>
      <c r="F44" s="7" t="n">
        <v>1282.9</v>
      </c>
      <c r="H44" s="7" t="n">
        <v>1207.6</v>
      </c>
      <c r="J44" s="7" t="n">
        <v>1675</v>
      </c>
      <c r="L44" s="7" t="n">
        <v>2060.9</v>
      </c>
      <c r="N44" s="7" t="n">
        <v>1938.2</v>
      </c>
      <c r="P44" s="7" t="n">
        <v>1929.7</v>
      </c>
      <c r="R44" s="7" t="n">
        <v>1532.5</v>
      </c>
      <c r="T44" s="7" t="n">
        <v>1055.1</v>
      </c>
      <c r="V44" s="7" t="n">
        <v>766</v>
      </c>
      <c r="X44" s="7" t="n">
        <v>2057.4</v>
      </c>
      <c r="Z44" s="7" t="n">
        <v>1463.1</v>
      </c>
      <c r="AB44" s="7" t="n">
        <v>18113.6</v>
      </c>
    </row>
    <row r="45">
      <c r="A45" s="4" t="inlineStr">
        <is>
          <t>员工餐</t>
        </is>
      </c>
      <c r="D45" s="7" t="n">
        <v>1302.6</v>
      </c>
      <c r="F45" s="7" t="n">
        <v>1682.2</v>
      </c>
      <c r="H45" s="7" t="n">
        <v>2370</v>
      </c>
      <c r="J45" s="7" t="n">
        <v>2358.7</v>
      </c>
      <c r="L45" s="7" t="n">
        <v>2049.3</v>
      </c>
      <c r="N45" s="7" t="n">
        <v>2939.1</v>
      </c>
      <c r="P45" s="7" t="n">
        <v>2952.3</v>
      </c>
      <c r="R45" s="7" t="n">
        <v>1392</v>
      </c>
      <c r="T45" s="7" t="n">
        <v>1046.1</v>
      </c>
      <c r="V45" s="7" t="n">
        <v>1879.7</v>
      </c>
      <c r="X45" s="7" t="n">
        <v>2626.9</v>
      </c>
      <c r="Z45" s="7" t="n">
        <v>1696.7</v>
      </c>
      <c r="AB45" s="7" t="n">
        <v>24295.6</v>
      </c>
    </row>
    <row r="46">
      <c r="A46" s="4" t="inlineStr">
        <is>
          <t>节日礼品</t>
        </is>
      </c>
      <c r="D46" s="7" t="n">
        <v>441.4</v>
      </c>
      <c r="F46" s="7" t="n">
        <v>658.6</v>
      </c>
      <c r="H46" s="7" t="n">
        <v>729.3</v>
      </c>
      <c r="J46" s="7" t="n">
        <v>590.3</v>
      </c>
      <c r="L46" s="7" t="n">
        <v>915.6</v>
      </c>
      <c r="N46" s="7" t="n">
        <v>1206.9</v>
      </c>
      <c r="P46" s="7" t="n">
        <v>750.6</v>
      </c>
      <c r="R46" s="7" t="n">
        <v>431.3</v>
      </c>
      <c r="T46" s="7" t="n">
        <v>458.2</v>
      </c>
      <c r="V46" s="7" t="n">
        <v>620.3</v>
      </c>
      <c r="X46" s="7" t="n">
        <v>756.4</v>
      </c>
      <c r="Z46" s="7" t="n">
        <v>542.4</v>
      </c>
      <c r="AB46" s="7" t="n">
        <v>8101.3</v>
      </c>
    </row>
    <row r="47">
      <c r="A47" s="4" t="inlineStr">
        <is>
          <t>生日礼品</t>
        </is>
      </c>
      <c r="D47" s="7" t="n">
        <v>1777.6</v>
      </c>
      <c r="F47" s="7" t="n">
        <v>1206.9</v>
      </c>
      <c r="H47" s="7" t="n">
        <v>1525.8</v>
      </c>
      <c r="J47" s="7" t="n">
        <v>2807.1</v>
      </c>
      <c r="L47" s="7" t="n">
        <v>2753.2</v>
      </c>
      <c r="N47" s="7" t="n">
        <v>3624.8</v>
      </c>
      <c r="P47" s="7" t="n">
        <v>3024.2</v>
      </c>
      <c r="R47" s="7" t="n">
        <v>1411.6</v>
      </c>
      <c r="T47" s="7" t="n">
        <v>1181.7</v>
      </c>
      <c r="V47" s="7" t="n">
        <v>1773.6</v>
      </c>
      <c r="X47" s="7" t="n">
        <v>2114.4</v>
      </c>
      <c r="Z47" s="7" t="n">
        <v>1589.8</v>
      </c>
      <c r="AB47" s="7" t="n">
        <v>24790.7</v>
      </c>
    </row>
    <row r="48">
      <c r="A48" s="4" t="inlineStr">
        <is>
          <t>体检</t>
        </is>
      </c>
      <c r="D48" s="7" t="n">
        <v>1393.2</v>
      </c>
      <c r="F48" s="7" t="n">
        <v>1966.7</v>
      </c>
      <c r="H48" s="7" t="n">
        <v>1603.5</v>
      </c>
      <c r="J48" s="7" t="n">
        <v>1774.6</v>
      </c>
      <c r="L48" s="7" t="n">
        <v>2110.4</v>
      </c>
      <c r="N48" s="7" t="n">
        <v>3683.4</v>
      </c>
      <c r="P48" s="7" t="n">
        <v>2181.5</v>
      </c>
      <c r="R48" s="7" t="n">
        <v>2098.7</v>
      </c>
      <c r="T48" s="7" t="n">
        <v>1160.7</v>
      </c>
      <c r="V48" s="7" t="n">
        <v>1634</v>
      </c>
      <c r="X48" s="7" t="n">
        <v>2666.7</v>
      </c>
      <c r="Z48" s="7" t="n">
        <v>2305.2</v>
      </c>
      <c r="AB48" s="7" t="n">
        <v>24578.6</v>
      </c>
    </row>
    <row r="49">
      <c r="A49" s="4" t="inlineStr">
        <is>
          <t>其他福利支出</t>
        </is>
      </c>
      <c r="D49" s="7" t="n">
        <v>220.2</v>
      </c>
      <c r="F49" s="7" t="n">
        <v>268.5</v>
      </c>
      <c r="H49" s="7" t="n">
        <v>299.8</v>
      </c>
      <c r="J49" s="7" t="n">
        <v>382.6</v>
      </c>
      <c r="L49" s="7" t="n">
        <v>480</v>
      </c>
      <c r="N49" s="7" t="n">
        <v>550.9</v>
      </c>
      <c r="P49" s="7" t="n">
        <v>492.9</v>
      </c>
      <c r="R49" s="7" t="n">
        <v>225.2</v>
      </c>
      <c r="T49" s="7" t="n">
        <v>158.4</v>
      </c>
      <c r="V49" s="7" t="n">
        <v>306.1</v>
      </c>
      <c r="X49" s="7" t="n">
        <v>306.1</v>
      </c>
      <c r="Z49" s="7" t="n">
        <v>347</v>
      </c>
      <c r="AB49" s="7" t="n">
        <v>4037.7</v>
      </c>
    </row>
    <row r="50">
      <c r="A50" s="4" t="inlineStr">
        <is>
          <t>招聘费</t>
        </is>
      </c>
      <c r="D50" s="7" t="n">
        <v>1133.3</v>
      </c>
      <c r="F50" s="7" t="n">
        <v>1746</v>
      </c>
      <c r="H50" s="7" t="n">
        <v>1449.4</v>
      </c>
      <c r="J50" s="7" t="n">
        <v>2668</v>
      </c>
      <c r="L50" s="7" t="n">
        <v>3507.1</v>
      </c>
      <c r="N50" s="7" t="n">
        <v>3839.8</v>
      </c>
      <c r="P50" s="7" t="n">
        <v>3343.1</v>
      </c>
      <c r="R50" s="7" t="n">
        <v>1732.1</v>
      </c>
      <c r="T50" s="7" t="n">
        <v>1153.5</v>
      </c>
      <c r="V50" s="7" t="n">
        <v>1514.2</v>
      </c>
      <c r="X50" s="7" t="n">
        <v>2383.5</v>
      </c>
      <c r="Z50" s="7" t="n">
        <v>2426</v>
      </c>
      <c r="AB50" s="7" t="n">
        <v>26896</v>
      </c>
    </row>
    <row r="51">
      <c r="A51" s="4" t="inlineStr">
        <is>
          <t>办公费</t>
        </is>
      </c>
      <c r="D51" s="7" t="n">
        <v>9000.1</v>
      </c>
      <c r="F51" s="7" t="n">
        <v>9498.200000000001</v>
      </c>
      <c r="H51" s="7" t="n">
        <v>12054.6</v>
      </c>
      <c r="J51" s="7" t="n">
        <v>12792.9</v>
      </c>
      <c r="L51" s="7" t="n">
        <v>11656.1</v>
      </c>
      <c r="N51" s="7" t="n">
        <v>11291.3</v>
      </c>
      <c r="P51" s="7" t="n">
        <v>11235.6</v>
      </c>
      <c r="R51" s="7" t="n">
        <v>7324.1</v>
      </c>
      <c r="T51" s="7" t="n">
        <v>4501.8</v>
      </c>
      <c r="V51" s="7" t="n">
        <v>7134.8</v>
      </c>
      <c r="X51" s="7" t="n">
        <v>13393.3</v>
      </c>
      <c r="Z51" s="7" t="n">
        <v>10337</v>
      </c>
      <c r="AB51" s="7" t="n">
        <v>120219.8</v>
      </c>
    </row>
    <row r="52">
      <c r="A52" s="4" t="inlineStr">
        <is>
          <t>市内交通费</t>
        </is>
      </c>
      <c r="D52" s="7" t="n">
        <v>1052.8</v>
      </c>
      <c r="F52" s="7" t="n">
        <v>1643.8</v>
      </c>
      <c r="H52" s="7" t="n">
        <v>2259.8</v>
      </c>
      <c r="J52" s="7" t="n">
        <v>1960.3</v>
      </c>
      <c r="L52" s="7" t="n">
        <v>2732.1</v>
      </c>
      <c r="N52" s="7" t="n">
        <v>3548.5</v>
      </c>
      <c r="P52" s="7" t="n">
        <v>2198.5</v>
      </c>
      <c r="R52" s="7" t="n">
        <v>1695.1</v>
      </c>
      <c r="T52" s="7" t="n">
        <v>1259.1</v>
      </c>
      <c r="V52" s="7" t="n">
        <v>1400.4</v>
      </c>
      <c r="X52" s="7" t="n">
        <v>2202</v>
      </c>
      <c r="Z52" s="7" t="n">
        <v>1436.5</v>
      </c>
      <c r="AB52" s="7" t="n">
        <v>23388.9</v>
      </c>
    </row>
    <row r="53">
      <c r="A53" s="4" t="inlineStr">
        <is>
          <t>差旅费</t>
        </is>
      </c>
      <c r="D53" s="7" t="n">
        <v>17890</v>
      </c>
      <c r="F53" s="7" t="n">
        <v>20343.9</v>
      </c>
      <c r="H53" s="7" t="n">
        <v>22640.7</v>
      </c>
      <c r="J53" s="7" t="n">
        <v>16528.3</v>
      </c>
      <c r="L53" s="7" t="n">
        <v>23037.1</v>
      </c>
      <c r="N53" s="7" t="n">
        <v>22370.7</v>
      </c>
      <c r="P53" s="7" t="n">
        <v>29134.6</v>
      </c>
      <c r="R53" s="7" t="n">
        <v>14601.9</v>
      </c>
      <c r="T53" s="7" t="n">
        <v>11449.4</v>
      </c>
      <c r="V53" s="7" t="n">
        <v>15586.6</v>
      </c>
      <c r="X53" s="7" t="n">
        <v>22504.4</v>
      </c>
      <c r="Z53" s="7" t="n">
        <v>19443.2</v>
      </c>
      <c r="AB53" s="7" t="n">
        <v>235530.8</v>
      </c>
    </row>
    <row r="54">
      <c r="A54" s="4" t="inlineStr">
        <is>
          <t>交通费</t>
        </is>
      </c>
      <c r="D54" s="7" t="n">
        <v>117.8</v>
      </c>
      <c r="F54" s="7" t="n">
        <v>178.7</v>
      </c>
      <c r="H54" s="7" t="n">
        <v>213.4</v>
      </c>
      <c r="J54" s="7" t="n">
        <v>267.5</v>
      </c>
      <c r="L54" s="7" t="n">
        <v>271.5</v>
      </c>
      <c r="N54" s="7" t="n">
        <v>340</v>
      </c>
      <c r="P54" s="7" t="n">
        <v>249.5</v>
      </c>
      <c r="R54" s="7" t="n">
        <v>127.1</v>
      </c>
      <c r="T54" s="7" t="n">
        <v>86.09999999999999</v>
      </c>
      <c r="V54" s="7" t="n">
        <v>102.4</v>
      </c>
      <c r="X54" s="7" t="n">
        <v>215.4</v>
      </c>
      <c r="Z54" s="7" t="n">
        <v>168.9</v>
      </c>
      <c r="AB54" s="7" t="n">
        <v>2338.3</v>
      </c>
    </row>
    <row r="55">
      <c r="A55" s="4" t="inlineStr">
        <is>
          <t>住宿费</t>
        </is>
      </c>
      <c r="D55" s="7" t="n">
        <v>1300.5</v>
      </c>
      <c r="F55" s="7" t="n">
        <v>1160.9</v>
      </c>
      <c r="H55" s="7" t="n">
        <v>2103.1</v>
      </c>
      <c r="J55" s="7" t="n">
        <v>1920.1</v>
      </c>
      <c r="L55" s="7" t="n">
        <v>2599.2</v>
      </c>
      <c r="N55" s="7" t="n">
        <v>2963.8</v>
      </c>
      <c r="P55" s="7" t="n">
        <v>2821.1</v>
      </c>
      <c r="R55" s="7" t="n">
        <v>1223</v>
      </c>
      <c r="T55" s="7" t="n">
        <v>1073.4</v>
      </c>
      <c r="V55" s="7" t="n">
        <v>1055.4</v>
      </c>
      <c r="X55" s="7" t="n">
        <v>2460.3</v>
      </c>
      <c r="Z55" s="7" t="n">
        <v>1440.3</v>
      </c>
      <c r="AB55" s="7" t="n">
        <v>22121.1</v>
      </c>
    </row>
    <row r="56">
      <c r="A56" s="4" t="inlineStr">
        <is>
          <t>餐补</t>
        </is>
      </c>
      <c r="D56" s="7" t="n">
        <v>369</v>
      </c>
      <c r="F56" s="7" t="n">
        <v>404.6</v>
      </c>
      <c r="H56" s="7" t="n">
        <v>332.3</v>
      </c>
      <c r="J56" s="7" t="n">
        <v>517.4</v>
      </c>
      <c r="L56" s="7" t="n">
        <v>656.9</v>
      </c>
      <c r="N56" s="7" t="n">
        <v>566.3</v>
      </c>
      <c r="P56" s="7" t="n">
        <v>715.3</v>
      </c>
      <c r="R56" s="7" t="n">
        <v>468.4</v>
      </c>
      <c r="T56" s="7" t="n">
        <v>317.8</v>
      </c>
      <c r="V56" s="7" t="n">
        <v>282</v>
      </c>
      <c r="X56" s="7" t="n">
        <v>473.2</v>
      </c>
      <c r="Z56" s="7" t="n">
        <v>415.3</v>
      </c>
      <c r="AB56" s="7" t="n">
        <v>5518.5</v>
      </c>
    </row>
    <row r="57">
      <c r="A57" s="4" t="inlineStr">
        <is>
          <t>交通补助</t>
        </is>
      </c>
      <c r="D57" s="7" t="n">
        <v>1051.3</v>
      </c>
      <c r="F57" s="7" t="n">
        <v>1223.5</v>
      </c>
      <c r="H57" s="7" t="n">
        <v>1908.8</v>
      </c>
      <c r="J57" s="7" t="n">
        <v>2592.3</v>
      </c>
      <c r="L57" s="7" t="n">
        <v>1860.4</v>
      </c>
      <c r="N57" s="7" t="n">
        <v>3363.5</v>
      </c>
      <c r="P57" s="7" t="n">
        <v>2951</v>
      </c>
      <c r="R57" s="7" t="n">
        <v>2014.2</v>
      </c>
      <c r="T57" s="7" t="n">
        <v>1347.5</v>
      </c>
      <c r="V57" s="7" t="n">
        <v>1523.6</v>
      </c>
      <c r="X57" s="7" t="n">
        <v>2550.9</v>
      </c>
      <c r="Z57" s="7" t="n">
        <v>1654.6</v>
      </c>
      <c r="AB57" s="7" t="n">
        <v>24041.6</v>
      </c>
    </row>
    <row r="58">
      <c r="A58" s="4" t="inlineStr">
        <is>
          <t>通讯补助</t>
        </is>
      </c>
      <c r="D58" s="7" t="n">
        <v>1239.7</v>
      </c>
      <c r="F58" s="7" t="n">
        <v>1162.7</v>
      </c>
      <c r="H58" s="7" t="n">
        <v>1622.3</v>
      </c>
      <c r="J58" s="7" t="n">
        <v>1893.2</v>
      </c>
      <c r="L58" s="7" t="n">
        <v>2393</v>
      </c>
      <c r="N58" s="7" t="n">
        <v>2857.5</v>
      </c>
      <c r="P58" s="7" t="n">
        <v>1608.7</v>
      </c>
      <c r="R58" s="7" t="n">
        <v>983.9</v>
      </c>
      <c r="T58" s="7" t="n">
        <v>699</v>
      </c>
      <c r="V58" s="7" t="n">
        <v>865.4</v>
      </c>
      <c r="X58" s="7" t="n">
        <v>2147.9</v>
      </c>
      <c r="Z58" s="7" t="n">
        <v>1802.7</v>
      </c>
      <c r="AB58" s="7" t="n">
        <v>19276</v>
      </c>
    </row>
    <row r="59">
      <c r="A59" s="4" t="inlineStr">
        <is>
          <t>招待费</t>
        </is>
      </c>
      <c r="D59" s="7" t="n">
        <v>10588.4</v>
      </c>
      <c r="F59" s="7" t="n">
        <v>8190.2</v>
      </c>
      <c r="H59" s="7" t="n">
        <v>11701.2</v>
      </c>
      <c r="J59" s="7" t="n">
        <v>18810.2</v>
      </c>
      <c r="L59" s="7" t="n">
        <v>21331.4</v>
      </c>
      <c r="N59" s="7" t="n">
        <v>21447.5</v>
      </c>
      <c r="P59" s="7" t="n">
        <v>11494.6</v>
      </c>
      <c r="R59" s="7" t="n">
        <v>8014.7</v>
      </c>
      <c r="T59" s="7" t="n">
        <v>8065.5</v>
      </c>
      <c r="V59" s="7" t="n">
        <v>11799.4</v>
      </c>
      <c r="X59" s="7" t="n">
        <v>20553.6</v>
      </c>
      <c r="Z59" s="7" t="n">
        <v>10828</v>
      </c>
      <c r="AB59" s="7" t="n">
        <v>162824.7</v>
      </c>
    </row>
    <row r="60">
      <c r="A60" s="4" t="inlineStr">
        <is>
          <t>通讯费</t>
        </is>
      </c>
      <c r="D60" s="7" t="n">
        <v>612</v>
      </c>
      <c r="F60" s="7" t="n">
        <v>750.1</v>
      </c>
      <c r="H60" s="7" t="n">
        <v>769.6</v>
      </c>
      <c r="J60" s="7" t="n">
        <v>985.3</v>
      </c>
      <c r="L60" s="7" t="n">
        <v>835.9</v>
      </c>
      <c r="N60" s="7" t="n">
        <v>1149.7</v>
      </c>
      <c r="P60" s="7" t="n">
        <v>1003.8</v>
      </c>
      <c r="R60" s="7" t="n">
        <v>635.2</v>
      </c>
      <c r="T60" s="7" t="n">
        <v>371.8</v>
      </c>
      <c r="V60" s="7" t="n">
        <v>739.7</v>
      </c>
      <c r="X60" s="7" t="n">
        <v>1148.2</v>
      </c>
      <c r="Z60" s="7" t="n">
        <v>726.5</v>
      </c>
      <c r="AB60" s="7" t="n">
        <v>9727.799999999999</v>
      </c>
    </row>
    <row r="61">
      <c r="A61" s="4" t="inlineStr">
        <is>
          <t>网络费</t>
        </is>
      </c>
      <c r="D61" s="7" t="n">
        <v>731.9</v>
      </c>
      <c r="F61" s="7" t="n">
        <v>626.2</v>
      </c>
      <c r="H61" s="7" t="n">
        <v>1043.9</v>
      </c>
      <c r="J61" s="7" t="n">
        <v>1369.3</v>
      </c>
      <c r="L61" s="7" t="n">
        <v>1405.1</v>
      </c>
      <c r="N61" s="7" t="n">
        <v>1622.7</v>
      </c>
      <c r="P61" s="7" t="n">
        <v>1084.7</v>
      </c>
      <c r="R61" s="7" t="n">
        <v>1051.4</v>
      </c>
      <c r="T61" s="7" t="n">
        <v>456.7</v>
      </c>
      <c r="V61" s="7" t="n">
        <v>947.2</v>
      </c>
      <c r="X61" s="7" t="n">
        <v>1340.2</v>
      </c>
      <c r="Z61" s="7" t="n">
        <v>895.4</v>
      </c>
      <c r="AB61" s="7" t="n">
        <v>12574.7</v>
      </c>
    </row>
    <row r="62">
      <c r="A62" s="4" t="inlineStr">
        <is>
          <t>修理费</t>
        </is>
      </c>
      <c r="D62" s="7" t="n">
        <v>1250.6</v>
      </c>
      <c r="F62" s="7" t="n">
        <v>1622.7</v>
      </c>
      <c r="H62" s="7" t="n">
        <v>1598.9</v>
      </c>
      <c r="J62" s="7" t="n">
        <v>2717.1</v>
      </c>
      <c r="L62" s="7" t="n">
        <v>2049.4</v>
      </c>
      <c r="N62" s="7" t="n">
        <v>3333</v>
      </c>
      <c r="P62" s="7" t="n">
        <v>1840.8</v>
      </c>
      <c r="R62" s="7" t="n">
        <v>1683.3</v>
      </c>
      <c r="T62" s="7" t="n">
        <v>1272.6</v>
      </c>
      <c r="V62" s="7" t="n">
        <v>1486.2</v>
      </c>
      <c r="X62" s="7" t="n">
        <v>1586</v>
      </c>
      <c r="Z62" s="7" t="n">
        <v>2011.1</v>
      </c>
      <c r="AB62" s="7" t="n">
        <v>22451.7</v>
      </c>
    </row>
    <row r="63">
      <c r="A63" s="4" t="inlineStr">
        <is>
          <t>车辆费</t>
        </is>
      </c>
      <c r="D63" s="7" t="n">
        <v>268.9</v>
      </c>
      <c r="F63" s="7" t="n">
        <v>292</v>
      </c>
      <c r="H63" s="7" t="n">
        <v>481.4</v>
      </c>
      <c r="J63" s="7" t="n">
        <v>499</v>
      </c>
      <c r="L63" s="7" t="n">
        <v>594.9</v>
      </c>
      <c r="N63" s="7" t="n">
        <v>778.9</v>
      </c>
      <c r="P63" s="7" t="n">
        <v>495.1</v>
      </c>
      <c r="R63" s="7" t="n">
        <v>288</v>
      </c>
      <c r="T63" s="7" t="n">
        <v>256.5</v>
      </c>
      <c r="V63" s="7" t="n">
        <v>370.9</v>
      </c>
      <c r="X63" s="7" t="n">
        <v>540.8</v>
      </c>
      <c r="Z63" s="7" t="n">
        <v>333</v>
      </c>
      <c r="AB63" s="7" t="n">
        <v>5199.4</v>
      </c>
    </row>
    <row r="64">
      <c r="A64" s="4" t="inlineStr">
        <is>
          <t>租赁费</t>
        </is>
      </c>
      <c r="D64" s="7" t="n">
        <v>11734.4</v>
      </c>
      <c r="F64" s="7" t="n">
        <v>11570.1</v>
      </c>
      <c r="H64" s="7" t="n">
        <v>17759.2</v>
      </c>
      <c r="J64" s="7" t="n">
        <v>15850.9</v>
      </c>
      <c r="L64" s="7" t="n">
        <v>25434.4</v>
      </c>
      <c r="N64" s="7" t="n">
        <v>23993.4</v>
      </c>
      <c r="P64" s="7" t="n">
        <v>15957.4</v>
      </c>
      <c r="R64" s="7" t="n">
        <v>15648.2</v>
      </c>
      <c r="T64" s="7" t="n">
        <v>10347.1</v>
      </c>
      <c r="V64" s="7" t="n">
        <v>14441.3</v>
      </c>
      <c r="X64" s="7" t="n">
        <v>24135.6</v>
      </c>
      <c r="Z64" s="7" t="n">
        <v>17086</v>
      </c>
      <c r="AB64" s="7" t="n">
        <v>203958</v>
      </c>
    </row>
    <row r="65">
      <c r="A65" s="4" t="inlineStr">
        <is>
          <t>能源费</t>
        </is>
      </c>
      <c r="D65" s="7" t="n">
        <v>4547</v>
      </c>
      <c r="F65" s="7" t="n">
        <v>4311.2</v>
      </c>
      <c r="H65" s="7" t="n">
        <v>5825.9</v>
      </c>
      <c r="J65" s="7" t="n">
        <v>5902.7</v>
      </c>
      <c r="L65" s="7" t="n">
        <v>6873</v>
      </c>
      <c r="N65" s="7" t="n">
        <v>8787.6</v>
      </c>
      <c r="P65" s="7" t="n">
        <v>6196.8</v>
      </c>
      <c r="R65" s="7" t="n">
        <v>4759.5</v>
      </c>
      <c r="T65" s="7" t="n">
        <v>3168.4</v>
      </c>
      <c r="V65" s="7" t="n">
        <v>3531</v>
      </c>
      <c r="X65" s="7" t="n">
        <v>6856.4</v>
      </c>
      <c r="Z65" s="7" t="n">
        <v>5218.1</v>
      </c>
      <c r="AB65" s="7" t="n">
        <v>65977.60000000001</v>
      </c>
    </row>
    <row r="66">
      <c r="A66" s="4" t="inlineStr">
        <is>
          <t>水费</t>
        </is>
      </c>
      <c r="D66" s="7" t="n">
        <v>1327.7</v>
      </c>
      <c r="F66" s="7" t="n">
        <v>933.1</v>
      </c>
      <c r="H66" s="7" t="n">
        <v>1795.3</v>
      </c>
      <c r="J66" s="7" t="n">
        <v>1650.3</v>
      </c>
      <c r="L66" s="7" t="n">
        <v>2246.3</v>
      </c>
      <c r="N66" s="7" t="n">
        <v>2862.4</v>
      </c>
      <c r="P66" s="7" t="n">
        <v>1381.4</v>
      </c>
      <c r="R66" s="7" t="n">
        <v>1553</v>
      </c>
      <c r="T66" s="7" t="n">
        <v>709.3</v>
      </c>
      <c r="V66" s="7" t="n">
        <v>794.3</v>
      </c>
      <c r="X66" s="7" t="n">
        <v>2286</v>
      </c>
      <c r="Z66" s="7" t="n">
        <v>1471.8</v>
      </c>
      <c r="AB66" s="7" t="n">
        <v>19010.9</v>
      </c>
    </row>
    <row r="67">
      <c r="A67" s="4" t="inlineStr">
        <is>
          <t>电费</t>
        </is>
      </c>
      <c r="D67" s="7" t="n">
        <v>1151.3</v>
      </c>
      <c r="F67" s="7" t="n">
        <v>1114</v>
      </c>
      <c r="H67" s="7" t="n">
        <v>1165.2</v>
      </c>
      <c r="J67" s="7" t="n">
        <v>1087.6</v>
      </c>
      <c r="L67" s="7" t="n">
        <v>1377.2</v>
      </c>
      <c r="N67" s="7" t="n">
        <v>1980.7</v>
      </c>
      <c r="P67" s="7" t="n">
        <v>1775</v>
      </c>
      <c r="R67" s="7" t="n">
        <v>1346.1</v>
      </c>
      <c r="T67" s="7" t="n">
        <v>838.6</v>
      </c>
      <c r="V67" s="7" t="n">
        <v>878.9</v>
      </c>
      <c r="X67" s="7" t="n">
        <v>1731.1</v>
      </c>
      <c r="Z67" s="7" t="n">
        <v>1390.4</v>
      </c>
      <c r="AB67" s="7" t="n">
        <v>15836.1</v>
      </c>
    </row>
    <row r="68">
      <c r="A68" s="4" t="inlineStr">
        <is>
          <t>燃气费</t>
        </is>
      </c>
      <c r="D68" s="7" t="n">
        <v>1162.9</v>
      </c>
      <c r="F68" s="7" t="n">
        <v>1400.3</v>
      </c>
      <c r="H68" s="7" t="n">
        <v>1495.8</v>
      </c>
      <c r="J68" s="7" t="n">
        <v>1449.5</v>
      </c>
      <c r="L68" s="7" t="n">
        <v>1976.1</v>
      </c>
      <c r="N68" s="7" t="n">
        <v>2037</v>
      </c>
      <c r="P68" s="7" t="n">
        <v>1366.6</v>
      </c>
      <c r="R68" s="7" t="n">
        <v>879.8</v>
      </c>
      <c r="T68" s="7" t="n">
        <v>847</v>
      </c>
      <c r="V68" s="7" t="n">
        <v>1161</v>
      </c>
      <c r="X68" s="7" t="n">
        <v>1732.9</v>
      </c>
      <c r="Z68" s="7" t="n">
        <v>935.6</v>
      </c>
      <c r="AB68" s="7" t="n">
        <v>16444.5</v>
      </c>
    </row>
    <row r="69">
      <c r="A69" s="4" t="inlineStr">
        <is>
          <t>蒸汽费</t>
        </is>
      </c>
      <c r="D69" s="7" t="n">
        <v>905.1</v>
      </c>
      <c r="F69" s="7" t="n">
        <v>863.8</v>
      </c>
      <c r="H69" s="7" t="n">
        <v>1369.6</v>
      </c>
      <c r="J69" s="7" t="n">
        <v>1715.3</v>
      </c>
      <c r="L69" s="7" t="n">
        <v>1273.4</v>
      </c>
      <c r="N69" s="7" t="n">
        <v>1907.5</v>
      </c>
      <c r="P69" s="7" t="n">
        <v>1673.8</v>
      </c>
      <c r="R69" s="7" t="n">
        <v>980.6</v>
      </c>
      <c r="T69" s="7" t="n">
        <v>773.5</v>
      </c>
      <c r="V69" s="7" t="n">
        <v>696.8</v>
      </c>
      <c r="X69" s="7" t="n">
        <v>1106.4</v>
      </c>
      <c r="Z69" s="7" t="n">
        <v>1420.3</v>
      </c>
      <c r="AB69" s="7" t="n">
        <v>14686.1</v>
      </c>
    </row>
    <row r="70">
      <c r="A70" s="4" t="inlineStr">
        <is>
          <t>物业费</t>
        </is>
      </c>
      <c r="D70" s="7" t="n">
        <v>976.1</v>
      </c>
      <c r="F70" s="7" t="n">
        <v>1647.7</v>
      </c>
      <c r="H70" s="7" t="n">
        <v>1179.5</v>
      </c>
      <c r="J70" s="7" t="n">
        <v>2091.3</v>
      </c>
      <c r="L70" s="7" t="n">
        <v>2233.2</v>
      </c>
      <c r="N70" s="7" t="n">
        <v>3173.3</v>
      </c>
      <c r="P70" s="7" t="n">
        <v>2123</v>
      </c>
      <c r="R70" s="7" t="n">
        <v>1433.5</v>
      </c>
      <c r="T70" s="7" t="n">
        <v>1081.8</v>
      </c>
      <c r="V70" s="7" t="n">
        <v>1436.4</v>
      </c>
      <c r="X70" s="7" t="n">
        <v>2442.6</v>
      </c>
      <c r="Z70" s="7" t="n">
        <v>1225.9</v>
      </c>
      <c r="AB70" s="7" t="n">
        <v>21044.3</v>
      </c>
    </row>
    <row r="71">
      <c r="A71" s="4" t="inlineStr">
        <is>
          <t>劳动保护费</t>
        </is>
      </c>
      <c r="D71" s="7" t="n">
        <v>1458.2</v>
      </c>
      <c r="F71" s="7" t="n">
        <v>1626.9</v>
      </c>
      <c r="H71" s="7" t="n">
        <v>1268.3</v>
      </c>
      <c r="J71" s="7" t="n">
        <v>2029.7</v>
      </c>
      <c r="L71" s="7" t="n">
        <v>1672</v>
      </c>
      <c r="N71" s="7" t="n">
        <v>2613.8</v>
      </c>
      <c r="P71" s="7" t="n">
        <v>2389</v>
      </c>
      <c r="R71" s="7" t="n">
        <v>1038.6</v>
      </c>
      <c r="T71" s="7" t="n">
        <v>757.7</v>
      </c>
      <c r="V71" s="7" t="n">
        <v>993</v>
      </c>
      <c r="X71" s="7" t="n">
        <v>1569.5</v>
      </c>
      <c r="Z71" s="7" t="n">
        <v>1555</v>
      </c>
      <c r="AB71" s="7" t="n">
        <v>18971.7</v>
      </c>
    </row>
    <row r="72">
      <c r="A72" s="4" t="inlineStr">
        <is>
          <t>顾问费</t>
        </is>
      </c>
      <c r="D72" s="7" t="n">
        <v>929.2</v>
      </c>
      <c r="F72" s="7" t="n">
        <v>1913</v>
      </c>
      <c r="H72" s="7" t="n">
        <v>1780.6</v>
      </c>
      <c r="J72" s="7" t="n">
        <v>1989</v>
      </c>
      <c r="L72" s="7" t="n">
        <v>2402.4</v>
      </c>
      <c r="N72" s="7" t="n">
        <v>2729.5</v>
      </c>
      <c r="P72" s="7" t="n">
        <v>2900.2</v>
      </c>
      <c r="R72" s="7" t="n">
        <v>1062.4</v>
      </c>
      <c r="T72" s="7" t="n">
        <v>970.4</v>
      </c>
      <c r="V72" s="7" t="n">
        <v>1728</v>
      </c>
      <c r="X72" s="7" t="n">
        <v>2253.6</v>
      </c>
      <c r="Z72" s="7" t="n">
        <v>1982.4</v>
      </c>
      <c r="AB72" s="7" t="n">
        <v>22640.7</v>
      </c>
    </row>
    <row r="73">
      <c r="A73" s="4" t="inlineStr">
        <is>
          <t>快递费</t>
        </is>
      </c>
      <c r="D73" s="7" t="n">
        <v>964.8</v>
      </c>
      <c r="F73" s="7" t="n">
        <v>1203.1</v>
      </c>
      <c r="H73" s="7" t="n">
        <v>1534.2</v>
      </c>
      <c r="J73" s="7" t="n">
        <v>1699.9</v>
      </c>
      <c r="L73" s="7" t="n">
        <v>2339.8</v>
      </c>
      <c r="N73" s="7" t="n">
        <v>2018.8</v>
      </c>
      <c r="P73" s="7" t="n">
        <v>1812.5</v>
      </c>
      <c r="R73" s="7" t="n">
        <v>970.4</v>
      </c>
      <c r="T73" s="7" t="n">
        <v>648</v>
      </c>
      <c r="V73" s="7" t="n">
        <v>1257.7</v>
      </c>
      <c r="X73" s="7" t="n">
        <v>1452.5</v>
      </c>
      <c r="Z73" s="7" t="n">
        <v>1066.5</v>
      </c>
      <c r="AB73" s="7" t="n">
        <v>16968.2</v>
      </c>
    </row>
    <row r="74">
      <c r="A74" s="4" t="inlineStr">
        <is>
          <t>诉讼费</t>
        </is>
      </c>
      <c r="D74" s="7" t="n">
        <v>544.2</v>
      </c>
      <c r="F74" s="7" t="n">
        <v>666.3</v>
      </c>
      <c r="H74" s="7" t="n">
        <v>662.7</v>
      </c>
      <c r="J74" s="7" t="n">
        <v>632.6</v>
      </c>
      <c r="L74" s="7" t="n">
        <v>754</v>
      </c>
      <c r="N74" s="7" t="n">
        <v>782.8</v>
      </c>
      <c r="P74" s="7" t="n">
        <v>864.8</v>
      </c>
      <c r="R74" s="7" t="n">
        <v>397.8</v>
      </c>
      <c r="T74" s="7" t="n">
        <v>330.9</v>
      </c>
      <c r="V74" s="7" t="n">
        <v>445.8</v>
      </c>
      <c r="X74" s="7" t="n">
        <v>974</v>
      </c>
      <c r="Z74" s="7" t="n">
        <v>560.8</v>
      </c>
      <c r="AB74" s="7" t="n">
        <v>7616.7</v>
      </c>
    </row>
    <row r="75">
      <c r="A75" s="4" t="inlineStr">
        <is>
          <t>会员费</t>
        </is>
      </c>
      <c r="D75" s="7" t="n">
        <v>107.4</v>
      </c>
      <c r="F75" s="7" t="n">
        <v>138.7</v>
      </c>
      <c r="H75" s="7" t="n">
        <v>193.7</v>
      </c>
      <c r="J75" s="7" t="n">
        <v>216.4</v>
      </c>
      <c r="L75" s="7" t="n">
        <v>169.8</v>
      </c>
      <c r="N75" s="7" t="n">
        <v>318.9</v>
      </c>
      <c r="P75" s="7" t="n">
        <v>290.3</v>
      </c>
      <c r="R75" s="7" t="n">
        <v>165.9</v>
      </c>
      <c r="T75" s="7" t="n">
        <v>87.90000000000001</v>
      </c>
      <c r="V75" s="7" t="n">
        <v>123.1</v>
      </c>
      <c r="X75" s="7" t="n">
        <v>238.4</v>
      </c>
      <c r="Z75" s="7" t="n">
        <v>197.6</v>
      </c>
      <c r="AB75" s="7" t="n">
        <v>2248.1</v>
      </c>
    </row>
    <row r="76">
      <c r="A76" s="4" t="inlineStr">
        <is>
          <t>广告宣传费</t>
        </is>
      </c>
      <c r="D76" s="7" t="n">
        <v>7361</v>
      </c>
      <c r="F76" s="7" t="n">
        <v>7596.4</v>
      </c>
      <c r="H76" s="7" t="n">
        <v>7550.5</v>
      </c>
      <c r="J76" s="7" t="n">
        <v>15079.3</v>
      </c>
      <c r="L76" s="7" t="n">
        <v>12072.4</v>
      </c>
      <c r="N76" s="7" t="n">
        <v>11002.3</v>
      </c>
      <c r="P76" s="7" t="n">
        <v>13062.4</v>
      </c>
      <c r="R76" s="7" t="n">
        <v>6087.5</v>
      </c>
      <c r="T76" s="7" t="n">
        <v>4588.7</v>
      </c>
      <c r="V76" s="7" t="n">
        <v>5610.3</v>
      </c>
      <c r="X76" s="7" t="n">
        <v>12316.5</v>
      </c>
      <c r="Z76" s="7" t="n">
        <v>6734.9</v>
      </c>
      <c r="AB76" s="7" t="n">
        <v>109062.2</v>
      </c>
    </row>
    <row r="77">
      <c r="A77" s="4" t="inlineStr">
        <is>
          <t>会务费</t>
        </is>
      </c>
      <c r="D77" s="7" t="n">
        <v>889.2</v>
      </c>
      <c r="F77" s="7" t="n">
        <v>1005.2</v>
      </c>
      <c r="H77" s="7" t="n">
        <v>1152.4</v>
      </c>
      <c r="J77" s="7" t="n">
        <v>1989.2</v>
      </c>
      <c r="L77" s="7" t="n">
        <v>1469.9</v>
      </c>
      <c r="N77" s="7" t="n">
        <v>1518.8</v>
      </c>
      <c r="P77" s="7" t="n">
        <v>1594</v>
      </c>
      <c r="R77" s="7" t="n">
        <v>1462</v>
      </c>
      <c r="T77" s="7" t="n">
        <v>768.4</v>
      </c>
      <c r="V77" s="7" t="n">
        <v>782</v>
      </c>
      <c r="X77" s="7" t="n">
        <v>2102.6</v>
      </c>
      <c r="Z77" s="7" t="n">
        <v>1026.3</v>
      </c>
      <c r="AB77" s="7" t="n">
        <v>15760</v>
      </c>
    </row>
    <row r="78">
      <c r="A78" s="4" t="inlineStr">
        <is>
          <t>装修费</t>
        </is>
      </c>
      <c r="D78" s="7" t="n">
        <v>974.5</v>
      </c>
      <c r="F78" s="7" t="n">
        <v>1515.5</v>
      </c>
      <c r="H78" s="7" t="n">
        <v>1508.1</v>
      </c>
      <c r="J78" s="7" t="n">
        <v>1885.3</v>
      </c>
      <c r="L78" s="7" t="n">
        <v>2242.3</v>
      </c>
      <c r="N78" s="7" t="n">
        <v>2984.5</v>
      </c>
      <c r="P78" s="7" t="n">
        <v>2018.3</v>
      </c>
      <c r="R78" s="7" t="n">
        <v>1381.9</v>
      </c>
      <c r="T78" s="7" t="n">
        <v>1167.2</v>
      </c>
      <c r="V78" s="7" t="n">
        <v>935.6</v>
      </c>
      <c r="X78" s="7" t="n">
        <v>2415.9</v>
      </c>
      <c r="Z78" s="7" t="n">
        <v>1353.7</v>
      </c>
      <c r="AB78" s="7" t="n">
        <v>20382.8</v>
      </c>
    </row>
    <row r="79">
      <c r="A79" s="4" t="inlineStr">
        <is>
          <t>推广费</t>
        </is>
      </c>
      <c r="D79" s="7" t="n">
        <v>598.1</v>
      </c>
      <c r="F79" s="7" t="n">
        <v>771.2</v>
      </c>
      <c r="H79" s="7" t="n">
        <v>732.9</v>
      </c>
      <c r="J79" s="7" t="n">
        <v>928.1</v>
      </c>
      <c r="L79" s="7" t="n">
        <v>1147.6</v>
      </c>
      <c r="N79" s="7" t="n">
        <v>1144</v>
      </c>
      <c r="P79" s="7" t="n">
        <v>720.5</v>
      </c>
      <c r="R79" s="7" t="n">
        <v>434.2</v>
      </c>
      <c r="T79" s="7" t="n">
        <v>450.5</v>
      </c>
      <c r="V79" s="7" t="n">
        <v>438.4</v>
      </c>
      <c r="X79" s="7" t="n">
        <v>700.6</v>
      </c>
      <c r="Z79" s="7" t="n">
        <v>637.1</v>
      </c>
      <c r="AB79" s="7" t="n">
        <v>8703.200000000001</v>
      </c>
    </row>
    <row r="80">
      <c r="A80" s="4" t="inlineStr">
        <is>
          <t>展会费</t>
        </is>
      </c>
      <c r="D80" s="7" t="n">
        <v>814.5</v>
      </c>
      <c r="F80" s="7" t="n">
        <v>1456.4</v>
      </c>
      <c r="H80" s="7" t="n">
        <v>1968.6</v>
      </c>
      <c r="J80" s="7" t="n">
        <v>2104.1</v>
      </c>
      <c r="L80" s="7" t="n">
        <v>1716.9</v>
      </c>
      <c r="N80" s="7" t="n">
        <v>2632.9</v>
      </c>
      <c r="P80" s="7" t="n">
        <v>2222.1</v>
      </c>
      <c r="R80" s="7" t="n">
        <v>1061.6</v>
      </c>
      <c r="T80" s="7" t="n">
        <v>1229.8</v>
      </c>
      <c r="V80" s="7" t="n">
        <v>1388.2</v>
      </c>
      <c r="X80" s="7" t="n">
        <v>1926.6</v>
      </c>
      <c r="Z80" s="7" t="n">
        <v>1266.9</v>
      </c>
      <c r="AB80" s="7" t="n">
        <v>19788.6</v>
      </c>
    </row>
    <row r="81">
      <c r="A81" s="4" t="inlineStr">
        <is>
          <t>设计费</t>
        </is>
      </c>
      <c r="D81" s="7" t="n">
        <v>819.1</v>
      </c>
      <c r="F81" s="7" t="n">
        <v>917</v>
      </c>
      <c r="H81" s="7" t="n">
        <v>1059.2</v>
      </c>
      <c r="J81" s="7" t="n">
        <v>961.1</v>
      </c>
      <c r="L81" s="7" t="n">
        <v>1428.1</v>
      </c>
      <c r="N81" s="7" t="n">
        <v>1823.6</v>
      </c>
      <c r="P81" s="7" t="n">
        <v>1085.4</v>
      </c>
      <c r="R81" s="7" t="n">
        <v>676.8</v>
      </c>
      <c r="T81" s="7" t="n">
        <v>417.6</v>
      </c>
      <c r="V81" s="7" t="n">
        <v>512</v>
      </c>
      <c r="X81" s="7" t="n">
        <v>1273.5</v>
      </c>
      <c r="Z81" s="7" t="n">
        <v>1078.7</v>
      </c>
      <c r="AB81" s="7" t="n">
        <v>12052.1</v>
      </c>
    </row>
    <row r="82">
      <c r="A82" s="4" t="inlineStr">
        <is>
          <t>折旧费</t>
        </is>
      </c>
      <c r="D82" s="7" t="n">
        <v>7378</v>
      </c>
      <c r="F82" s="7" t="n">
        <v>7815.5</v>
      </c>
      <c r="H82" s="7" t="n">
        <v>14566</v>
      </c>
      <c r="J82" s="7" t="n">
        <v>16024.3</v>
      </c>
      <c r="L82" s="7" t="n">
        <v>16692.3</v>
      </c>
      <c r="N82" s="7" t="n">
        <v>25106.2</v>
      </c>
      <c r="P82" s="7" t="n">
        <v>20944.2</v>
      </c>
      <c r="R82" s="7" t="n">
        <v>10376.9</v>
      </c>
      <c r="T82" s="7" t="n">
        <v>7937.9</v>
      </c>
      <c r="V82" s="7" t="n">
        <v>11117.8</v>
      </c>
      <c r="X82" s="7" t="n">
        <v>15764.1</v>
      </c>
      <c r="Z82" s="7" t="n">
        <v>12251.3</v>
      </c>
      <c r="AB82" s="7" t="n">
        <v>165974.5</v>
      </c>
    </row>
    <row r="83">
      <c r="A83" s="4" t="inlineStr">
        <is>
          <t>认证费</t>
        </is>
      </c>
      <c r="D83" s="7" t="n">
        <v>1862.3</v>
      </c>
      <c r="F83" s="7" t="n">
        <v>1947.6</v>
      </c>
      <c r="H83" s="7" t="n">
        <v>1961.4</v>
      </c>
      <c r="J83" s="7" t="n">
        <v>2716.2</v>
      </c>
      <c r="L83" s="7" t="n">
        <v>3418.7</v>
      </c>
      <c r="N83" s="7" t="n">
        <v>3848.9</v>
      </c>
      <c r="P83" s="7" t="n">
        <v>3027.3</v>
      </c>
      <c r="R83" s="7" t="n">
        <v>1995</v>
      </c>
      <c r="T83" s="7" t="n">
        <v>1485.4</v>
      </c>
      <c r="V83" s="7" t="n">
        <v>1352.5</v>
      </c>
      <c r="X83" s="7" t="n">
        <v>2985.2</v>
      </c>
      <c r="Z83" s="7" t="n">
        <v>2523.8</v>
      </c>
      <c r="AB83" s="7" t="n">
        <v>29124.3</v>
      </c>
    </row>
    <row r="84">
      <c r="A84" s="4" t="inlineStr">
        <is>
          <t>样品费</t>
        </is>
      </c>
      <c r="D84" s="7" t="n">
        <v>5512.3</v>
      </c>
      <c r="F84" s="7" t="n">
        <v>6534.8</v>
      </c>
      <c r="H84" s="7" t="n">
        <v>6462.1</v>
      </c>
      <c r="J84" s="7" t="n">
        <v>8268.4</v>
      </c>
      <c r="L84" s="7" t="n">
        <v>8922.1</v>
      </c>
      <c r="N84" s="7" t="n">
        <v>13108.5</v>
      </c>
      <c r="P84" s="7" t="n">
        <v>9057.1</v>
      </c>
      <c r="R84" s="7" t="n">
        <v>6682.2</v>
      </c>
      <c r="T84" s="7" t="n">
        <v>4004.1</v>
      </c>
      <c r="V84" s="7" t="n">
        <v>4077.3</v>
      </c>
      <c r="X84" s="7" t="n">
        <v>5945.3</v>
      </c>
      <c r="Z84" s="7" t="n">
        <v>7307.3</v>
      </c>
      <c r="AB84" s="7" t="n">
        <v>85881.5</v>
      </c>
    </row>
    <row r="85">
      <c r="A85" s="4" t="inlineStr">
        <is>
          <t>劳务费</t>
        </is>
      </c>
      <c r="D85" s="7" t="n">
        <v>988.6</v>
      </c>
      <c r="F85" s="7" t="n">
        <v>854.6</v>
      </c>
      <c r="H85" s="7" t="n">
        <v>992.7</v>
      </c>
      <c r="J85" s="7" t="n">
        <v>1207.6</v>
      </c>
      <c r="L85" s="7" t="n">
        <v>1084.1</v>
      </c>
      <c r="N85" s="7" t="n">
        <v>2155.3</v>
      </c>
      <c r="P85" s="7" t="n">
        <v>1173.5</v>
      </c>
      <c r="R85" s="7" t="n">
        <v>937.1</v>
      </c>
      <c r="T85" s="7" t="n">
        <v>771.3</v>
      </c>
      <c r="V85" s="7" t="n">
        <v>633.8</v>
      </c>
      <c r="X85" s="7" t="n">
        <v>1182</v>
      </c>
      <c r="Z85" s="7" t="n">
        <v>895.8</v>
      </c>
      <c r="AB85" s="7" t="n">
        <v>12876.4</v>
      </c>
    </row>
    <row r="86">
      <c r="A86" s="4" t="inlineStr">
        <is>
          <t>销售佣金</t>
        </is>
      </c>
      <c r="D86" s="7" t="n">
        <v>368.6</v>
      </c>
      <c r="F86" s="7" t="n">
        <v>387</v>
      </c>
      <c r="H86" s="7" t="n">
        <v>368.7</v>
      </c>
      <c r="J86" s="7" t="n">
        <v>478.6</v>
      </c>
      <c r="L86" s="7" t="n">
        <v>737.7</v>
      </c>
      <c r="N86" s="7" t="n">
        <v>777.5</v>
      </c>
      <c r="P86" s="7" t="n">
        <v>684.7</v>
      </c>
      <c r="R86" s="7" t="n">
        <v>273.9</v>
      </c>
      <c r="T86" s="7" t="n">
        <v>269.7</v>
      </c>
      <c r="V86" s="7" t="n">
        <v>365.2</v>
      </c>
      <c r="X86" s="7" t="n">
        <v>553.5</v>
      </c>
      <c r="Z86" s="7" t="n">
        <v>387.4</v>
      </c>
      <c r="AB86" s="7" t="n">
        <v>5652.5</v>
      </c>
    </row>
    <row r="87">
      <c r="A87" s="4" t="inlineStr">
        <is>
          <t>检测费</t>
        </is>
      </c>
      <c r="D87" s="7" t="n">
        <v>835.9</v>
      </c>
      <c r="F87" s="7" t="n">
        <v>979.6</v>
      </c>
      <c r="H87" s="7" t="n">
        <v>901.7</v>
      </c>
      <c r="J87" s="7" t="n">
        <v>1932.7</v>
      </c>
      <c r="L87" s="7" t="n">
        <v>1373.1</v>
      </c>
      <c r="N87" s="7" t="n">
        <v>1888.2</v>
      </c>
      <c r="P87" s="7" t="n">
        <v>1258.8</v>
      </c>
      <c r="R87" s="7" t="n">
        <v>1091.9</v>
      </c>
      <c r="T87" s="7" t="n">
        <v>598.3</v>
      </c>
      <c r="V87" s="7" t="n">
        <v>993.9</v>
      </c>
      <c r="X87" s="7" t="n">
        <v>1275.8</v>
      </c>
      <c r="Z87" s="7" t="n">
        <v>948.7</v>
      </c>
      <c r="AB87" s="7" t="n">
        <v>14078.6</v>
      </c>
    </row>
    <row r="88">
      <c r="A88" s="4" t="inlineStr">
        <is>
          <t>质量赔偿</t>
        </is>
      </c>
      <c r="D88" s="7" t="n">
        <v>585.3</v>
      </c>
      <c r="F88" s="7" t="n">
        <v>930.2</v>
      </c>
      <c r="H88" s="7" t="n">
        <v>848.7</v>
      </c>
      <c r="J88" s="7" t="n">
        <v>1162.2</v>
      </c>
      <c r="L88" s="7" t="n">
        <v>1178.2</v>
      </c>
      <c r="N88" s="7" t="n">
        <v>1567.7</v>
      </c>
      <c r="P88" s="7" t="n">
        <v>1060.4</v>
      </c>
      <c r="R88" s="7" t="n">
        <v>1031.2</v>
      </c>
      <c r="T88" s="7" t="n">
        <v>482.8</v>
      </c>
      <c r="V88" s="7" t="n">
        <v>751.5</v>
      </c>
      <c r="X88" s="7" t="n">
        <v>1534.8</v>
      </c>
      <c r="Z88" s="7" t="n">
        <v>773.3</v>
      </c>
      <c r="AB88" s="7" t="n">
        <v>11906.3</v>
      </c>
    </row>
    <row r="89">
      <c r="A89" s="4" t="inlineStr">
        <is>
          <t>保险费</t>
        </is>
      </c>
      <c r="D89" s="7" t="n">
        <v>514.2</v>
      </c>
      <c r="F89" s="7" t="n">
        <v>565</v>
      </c>
      <c r="H89" s="7" t="n">
        <v>900.9</v>
      </c>
      <c r="J89" s="7" t="n">
        <v>737.2</v>
      </c>
      <c r="L89" s="7" t="n">
        <v>791.1</v>
      </c>
      <c r="N89" s="7" t="n">
        <v>860.9</v>
      </c>
      <c r="P89" s="7" t="n">
        <v>890.7</v>
      </c>
      <c r="R89" s="7" t="n">
        <v>722.8</v>
      </c>
      <c r="T89" s="7" t="n">
        <v>568.1</v>
      </c>
      <c r="V89" s="7" t="n">
        <v>450.9</v>
      </c>
      <c r="X89" s="7" t="n">
        <v>758.3</v>
      </c>
      <c r="Z89" s="7" t="n">
        <v>695.4</v>
      </c>
      <c r="AB89" s="7" t="n">
        <v>8455.5</v>
      </c>
    </row>
    <row r="90">
      <c r="A90" s="4" t="inlineStr">
        <is>
          <t>清洁费</t>
        </is>
      </c>
      <c r="D90" s="7" t="n">
        <v>865.4</v>
      </c>
      <c r="F90" s="7" t="n">
        <v>1105.6</v>
      </c>
      <c r="H90" s="7" t="n">
        <v>1427.8</v>
      </c>
      <c r="J90" s="7" t="n">
        <v>1997</v>
      </c>
      <c r="L90" s="7" t="n">
        <v>2063.3</v>
      </c>
      <c r="N90" s="7" t="n">
        <v>2000.9</v>
      </c>
      <c r="P90" s="7" t="n">
        <v>2071.9</v>
      </c>
      <c r="R90" s="7" t="n">
        <v>1457.4</v>
      </c>
      <c r="T90" s="7" t="n">
        <v>862.2</v>
      </c>
      <c r="V90" s="7" t="n">
        <v>1335.6</v>
      </c>
      <c r="X90" s="7" t="n">
        <v>2098.7</v>
      </c>
      <c r="Z90" s="7" t="n">
        <v>1235.8</v>
      </c>
      <c r="AB90" s="7" t="n">
        <v>18521.6</v>
      </c>
    </row>
    <row r="91">
      <c r="A91" s="4" t="inlineStr">
        <is>
          <t>低值易耗品</t>
        </is>
      </c>
      <c r="D91" s="7" t="n">
        <v>127</v>
      </c>
      <c r="F91" s="7" t="n">
        <v>136.4</v>
      </c>
      <c r="H91" s="7" t="n">
        <v>181.4</v>
      </c>
      <c r="J91" s="7" t="n">
        <v>279.2</v>
      </c>
      <c r="L91" s="7" t="n">
        <v>350</v>
      </c>
      <c r="N91" s="7" t="n">
        <v>310.5</v>
      </c>
      <c r="P91" s="7" t="n">
        <v>326.5</v>
      </c>
      <c r="R91" s="7" t="n">
        <v>177.1</v>
      </c>
      <c r="T91" s="7" t="n">
        <v>182.7</v>
      </c>
      <c r="V91" s="7" t="n">
        <v>200.7</v>
      </c>
      <c r="X91" s="7" t="n">
        <v>275.8</v>
      </c>
      <c r="Z91" s="7" t="n">
        <v>190.8</v>
      </c>
      <c r="AB91" s="7" t="n">
        <v>2738.1</v>
      </c>
    </row>
    <row r="92">
      <c r="A92" s="4" t="inlineStr">
        <is>
          <t>物料消耗</t>
        </is>
      </c>
      <c r="D92" s="7" t="n">
        <v>850.7</v>
      </c>
      <c r="F92" s="7" t="n">
        <v>719.4</v>
      </c>
      <c r="H92" s="7" t="n">
        <v>801.4</v>
      </c>
      <c r="J92" s="7" t="n">
        <v>1244.7</v>
      </c>
      <c r="L92" s="7" t="n">
        <v>1134.7</v>
      </c>
      <c r="N92" s="7" t="n">
        <v>1894.5</v>
      </c>
      <c r="P92" s="7" t="n">
        <v>1591.6</v>
      </c>
      <c r="R92" s="7" t="n">
        <v>1123</v>
      </c>
      <c r="T92" s="7" t="n">
        <v>533.7</v>
      </c>
      <c r="V92" s="7" t="n">
        <v>927.6</v>
      </c>
      <c r="X92" s="7" t="n">
        <v>1041.3</v>
      </c>
      <c r="Z92" s="7" t="n">
        <v>1087</v>
      </c>
      <c r="AB92" s="7" t="n">
        <v>12949.6</v>
      </c>
    </row>
    <row r="93">
      <c r="A93" s="4" t="inlineStr">
        <is>
          <t>盘盈盘亏</t>
        </is>
      </c>
      <c r="D93" s="7" t="n">
        <v>1373.9</v>
      </c>
      <c r="F93" s="7" t="n">
        <v>1414.9</v>
      </c>
      <c r="H93" s="7" t="n">
        <v>1364.8</v>
      </c>
      <c r="J93" s="7" t="n">
        <v>2669.7</v>
      </c>
      <c r="L93" s="7" t="n">
        <v>2347.7</v>
      </c>
      <c r="N93" s="7" t="n">
        <v>2941.8</v>
      </c>
      <c r="P93" s="7" t="n">
        <v>1823.7</v>
      </c>
      <c r="R93" s="7" t="n">
        <v>1125.2</v>
      </c>
      <c r="T93" s="7" t="n">
        <v>758.1</v>
      </c>
      <c r="V93" s="7" t="n">
        <v>1678.2</v>
      </c>
      <c r="X93" s="7" t="n">
        <v>2664.6</v>
      </c>
      <c r="Z93" s="7" t="n">
        <v>1540.9</v>
      </c>
      <c r="AB93" s="7" t="n">
        <v>21703.5</v>
      </c>
    </row>
    <row r="94">
      <c r="A94" s="4" t="inlineStr">
        <is>
          <t>平台服务费</t>
        </is>
      </c>
      <c r="D94" s="7" t="n">
        <v>704.1</v>
      </c>
      <c r="F94" s="7" t="n">
        <v>785.7</v>
      </c>
      <c r="H94" s="7" t="n">
        <v>1213</v>
      </c>
      <c r="J94" s="7" t="n">
        <v>1386.3</v>
      </c>
      <c r="L94" s="7" t="n">
        <v>1829.7</v>
      </c>
      <c r="N94" s="7" t="n">
        <v>1738</v>
      </c>
      <c r="P94" s="7" t="n">
        <v>1494.2</v>
      </c>
      <c r="R94" s="7" t="n">
        <v>1085.1</v>
      </c>
      <c r="T94" s="7" t="n">
        <v>802.8</v>
      </c>
      <c r="V94" s="7" t="n">
        <v>1072.1</v>
      </c>
      <c r="X94" s="7" t="n">
        <v>1423.4</v>
      </c>
      <c r="Z94" s="7" t="n">
        <v>1057.2</v>
      </c>
      <c r="AB94" s="7" t="n">
        <v>14591.6</v>
      </c>
    </row>
    <row r="95">
      <c r="A95" s="4" t="inlineStr">
        <is>
          <t>无形资产摊销</t>
        </is>
      </c>
      <c r="D95" s="7" t="n">
        <v>386.7</v>
      </c>
      <c r="F95" s="7" t="n">
        <v>465.4</v>
      </c>
      <c r="H95" s="7" t="n">
        <v>521.4</v>
      </c>
      <c r="J95" s="7" t="n">
        <v>520</v>
      </c>
      <c r="L95" s="7" t="n">
        <v>558.6</v>
      </c>
      <c r="N95" s="7" t="n">
        <v>689.5</v>
      </c>
      <c r="P95" s="7" t="n">
        <v>864.9</v>
      </c>
      <c r="R95" s="7" t="n">
        <v>413.7</v>
      </c>
      <c r="T95" s="7" t="n">
        <v>357.1</v>
      </c>
      <c r="V95" s="7" t="n">
        <v>559.2</v>
      </c>
      <c r="X95" s="7" t="n">
        <v>558.2</v>
      </c>
      <c r="Z95" s="7" t="n">
        <v>452.8</v>
      </c>
      <c r="AB95" s="7" t="n">
        <v>6347.5</v>
      </c>
    </row>
    <row r="96">
      <c r="A96" s="4" t="inlineStr">
        <is>
          <t>研发材料</t>
        </is>
      </c>
      <c r="D96" s="7" t="n">
        <v>1317.9</v>
      </c>
      <c r="F96" s="7" t="n">
        <v>1460.1</v>
      </c>
      <c r="H96" s="7" t="n">
        <v>1498</v>
      </c>
      <c r="J96" s="7" t="n">
        <v>1708.7</v>
      </c>
      <c r="L96" s="7" t="n">
        <v>2687.2</v>
      </c>
      <c r="N96" s="7" t="n">
        <v>3879.4</v>
      </c>
      <c r="P96" s="7" t="n">
        <v>2291</v>
      </c>
      <c r="R96" s="7" t="n">
        <v>1935</v>
      </c>
      <c r="T96" s="7" t="n">
        <v>1125.6</v>
      </c>
      <c r="V96" s="7" t="n">
        <v>1772.2</v>
      </c>
      <c r="X96" s="7" t="n">
        <v>2524</v>
      </c>
      <c r="Z96" s="7" t="n">
        <v>1742.2</v>
      </c>
      <c r="AB96" s="7" t="n">
        <v>23941.3</v>
      </c>
    </row>
    <row r="97">
      <c r="A97" s="4" t="inlineStr">
        <is>
          <t>项目名称</t>
        </is>
      </c>
      <c r="D97" s="7" t="n">
        <v>813</v>
      </c>
      <c r="F97" s="7" t="n">
        <v>1055.4</v>
      </c>
      <c r="H97" s="7" t="n">
        <v>1669.6</v>
      </c>
      <c r="J97" s="7" t="n">
        <v>1287.6</v>
      </c>
      <c r="L97" s="7" t="n">
        <v>2047.1</v>
      </c>
      <c r="N97" s="7" t="n">
        <v>1687.6</v>
      </c>
      <c r="P97" s="7" t="n">
        <v>1838.7</v>
      </c>
      <c r="R97" s="7" t="n">
        <v>1445.7</v>
      </c>
      <c r="T97" s="7" t="n">
        <v>919.7</v>
      </c>
      <c r="V97" s="7" t="n">
        <v>847.6</v>
      </c>
      <c r="X97" s="7" t="n">
        <v>1910.1</v>
      </c>
      <c r="Z97" s="7" t="n">
        <v>1624.7</v>
      </c>
      <c r="AB97" s="7" t="n">
        <v>17146.8</v>
      </c>
    </row>
    <row r="98">
      <c r="A98" s="4" t="inlineStr">
        <is>
          <t>研发费</t>
        </is>
      </c>
      <c r="D98" s="7" t="n">
        <v>116.5</v>
      </c>
      <c r="F98" s="7" t="n">
        <v>118.3</v>
      </c>
      <c r="H98" s="7" t="n">
        <v>177.1</v>
      </c>
      <c r="J98" s="7" t="n">
        <v>246.5</v>
      </c>
      <c r="L98" s="7" t="n">
        <v>169</v>
      </c>
      <c r="N98" s="7" t="n">
        <v>285</v>
      </c>
      <c r="P98" s="7" t="n">
        <v>146.2</v>
      </c>
      <c r="R98" s="7" t="n">
        <v>108.8</v>
      </c>
      <c r="T98" s="7" t="n">
        <v>99.90000000000001</v>
      </c>
      <c r="V98" s="7" t="n">
        <v>102.1</v>
      </c>
      <c r="X98" s="7" t="n">
        <v>240.2</v>
      </c>
      <c r="Z98" s="7" t="n">
        <v>180.7</v>
      </c>
      <c r="AB98" s="7" t="n">
        <v>1990.3</v>
      </c>
    </row>
    <row r="99">
      <c r="A99" s="4" t="inlineStr">
        <is>
          <t>残保金</t>
        </is>
      </c>
      <c r="D99" s="7" t="n">
        <v>1763.9</v>
      </c>
      <c r="F99" s="7" t="n">
        <v>1956.7</v>
      </c>
      <c r="H99" s="7" t="n">
        <v>1831</v>
      </c>
      <c r="J99" s="7" t="n">
        <v>2608</v>
      </c>
      <c r="L99" s="7" t="n">
        <v>3106.5</v>
      </c>
      <c r="N99" s="7" t="n">
        <v>2257.2</v>
      </c>
      <c r="P99" s="7" t="n">
        <v>2319.1</v>
      </c>
      <c r="R99" s="7" t="n">
        <v>2034.6</v>
      </c>
      <c r="T99" s="7" t="n">
        <v>1176.6</v>
      </c>
      <c r="V99" s="7" t="n">
        <v>1035.3</v>
      </c>
      <c r="X99" s="7" t="n">
        <v>2513.6</v>
      </c>
      <c r="Z99" s="7" t="n">
        <v>2018</v>
      </c>
      <c r="AB99" s="7" t="n">
        <v>24620.5</v>
      </c>
    </row>
    <row r="100">
      <c r="A100" s="4" t="inlineStr">
        <is>
          <t>环保费</t>
        </is>
      </c>
      <c r="D100" s="7" t="n">
        <v>141.9</v>
      </c>
      <c r="F100" s="7" t="n">
        <v>233.9</v>
      </c>
      <c r="H100" s="7" t="n">
        <v>316.1</v>
      </c>
      <c r="J100" s="7" t="n">
        <v>366.2</v>
      </c>
      <c r="L100" s="7" t="n">
        <v>405.5</v>
      </c>
      <c r="N100" s="7" t="n">
        <v>406.7</v>
      </c>
      <c r="P100" s="7" t="n">
        <v>385</v>
      </c>
      <c r="R100" s="7" t="n">
        <v>280.9</v>
      </c>
      <c r="T100" s="7" t="n">
        <v>214.1</v>
      </c>
      <c r="V100" s="7" t="n">
        <v>165</v>
      </c>
      <c r="X100" s="7" t="n">
        <v>388.1</v>
      </c>
      <c r="Z100" s="7" t="n">
        <v>238.8</v>
      </c>
      <c r="AB100" s="7" t="n">
        <v>3542.2</v>
      </c>
    </row>
    <row r="101">
      <c r="A101" s="4" t="inlineStr">
        <is>
          <t>报废损失</t>
        </is>
      </c>
      <c r="D101" s="7" t="n">
        <v>1109.5</v>
      </c>
      <c r="F101" s="7" t="n">
        <v>1173.2</v>
      </c>
      <c r="H101" s="7" t="n">
        <v>1316.1</v>
      </c>
      <c r="J101" s="7" t="n">
        <v>1578.4</v>
      </c>
      <c r="L101" s="7" t="n">
        <v>1779.2</v>
      </c>
      <c r="N101" s="7" t="n">
        <v>2928.5</v>
      </c>
      <c r="P101" s="7" t="n">
        <v>2571.6</v>
      </c>
      <c r="R101" s="7" t="n">
        <v>1631.4</v>
      </c>
      <c r="T101" s="7" t="n">
        <v>982</v>
      </c>
      <c r="V101" s="7" t="n">
        <v>1403.2</v>
      </c>
      <c r="X101" s="7" t="n">
        <v>2069.7</v>
      </c>
      <c r="Z101" s="7" t="n">
        <v>1368.3</v>
      </c>
      <c r="AB101" s="7" t="n">
        <v>19911.1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94774.2</v>
      </c>
      <c r="D102" s="7" t="n">
        <v>46295.6</v>
      </c>
      <c r="E102" s="7" t="n">
        <v>84047.10000000001</v>
      </c>
      <c r="F102" s="7" t="n">
        <v>77178.7</v>
      </c>
      <c r="G102" s="7" t="n">
        <v>99709.5</v>
      </c>
      <c r="H102" s="7" t="n">
        <v>82554.39999999999</v>
      </c>
      <c r="I102" s="7" t="n">
        <v>91834.3</v>
      </c>
      <c r="J102" s="7" t="n">
        <v>76265</v>
      </c>
      <c r="K102" s="7" t="n">
        <v>77295.5</v>
      </c>
      <c r="L102" s="7" t="n">
        <v>65211.8</v>
      </c>
      <c r="M102" s="7" t="n">
        <v>86731.7</v>
      </c>
      <c r="N102" s="7" t="n">
        <v>91582.2</v>
      </c>
      <c r="O102" s="7" t="n">
        <v>93758.39999999999</v>
      </c>
      <c r="P102" s="7" t="n">
        <v>82596.10000000001</v>
      </c>
      <c r="Q102" s="7" t="n">
        <v>87322</v>
      </c>
      <c r="R102" s="7" t="n">
        <v>69525.39999999999</v>
      </c>
      <c r="S102" s="7" t="n">
        <v>79527.2</v>
      </c>
      <c r="T102" s="7" t="n">
        <v>135771.4</v>
      </c>
      <c r="U102" s="7" t="n">
        <v>96493.39999999999</v>
      </c>
      <c r="V102" s="7" t="n">
        <v>185134.1</v>
      </c>
      <c r="W102" s="7" t="n">
        <v>92234.60000000001</v>
      </c>
      <c r="X102" s="7" t="n">
        <v>80440.39999999999</v>
      </c>
      <c r="Y102" s="7" t="n">
        <v>96946.5</v>
      </c>
      <c r="Z102" s="7" t="n">
        <v>98136.7</v>
      </c>
      <c r="AA102" s="8" t="n">
        <v>1080674.4</v>
      </c>
      <c r="AB102" s="8" t="n">
        <v>1090691.8</v>
      </c>
    </row>
    <row r="103">
      <c r="A103" s="4" t="inlineStr">
        <is>
          <t>职工薪酬</t>
        </is>
      </c>
      <c r="D103" s="7" t="n">
        <v>25112.9</v>
      </c>
      <c r="F103" s="7" t="n">
        <v>44222.5</v>
      </c>
      <c r="H103" s="7" t="n">
        <v>38241.2</v>
      </c>
      <c r="J103" s="7" t="n">
        <v>40525.1</v>
      </c>
      <c r="L103" s="7" t="n">
        <v>29085.7</v>
      </c>
      <c r="N103" s="7" t="n">
        <v>48760.6</v>
      </c>
      <c r="P103" s="7" t="n">
        <v>45019.9</v>
      </c>
      <c r="R103" s="7" t="n">
        <v>37944.2</v>
      </c>
      <c r="T103" s="7" t="n">
        <v>66953.60000000001</v>
      </c>
      <c r="V103" s="7" t="n">
        <v>96655.39999999999</v>
      </c>
      <c r="X103" s="7" t="n">
        <v>33591.5</v>
      </c>
      <c r="Z103" s="7" t="n">
        <v>46535.2</v>
      </c>
      <c r="AB103" s="7" t="n">
        <v>552647.8</v>
      </c>
    </row>
    <row r="104">
      <c r="A104" s="4" t="inlineStr">
        <is>
          <t>工资</t>
        </is>
      </c>
      <c r="D104" s="7" t="n">
        <v>16206.9</v>
      </c>
      <c r="F104" s="7" t="n">
        <v>27050.5</v>
      </c>
      <c r="H104" s="7" t="n">
        <v>18918.1</v>
      </c>
      <c r="J104" s="7" t="n">
        <v>26253.4</v>
      </c>
      <c r="L104" s="7" t="n">
        <v>18178.2</v>
      </c>
      <c r="N104" s="7" t="n">
        <v>30010.4</v>
      </c>
      <c r="P104" s="7" t="n">
        <v>30280.1</v>
      </c>
      <c r="R104" s="7" t="n">
        <v>22538.4</v>
      </c>
      <c r="T104" s="7" t="n">
        <v>41974.8</v>
      </c>
      <c r="V104" s="7" t="n">
        <v>66098.89999999999</v>
      </c>
      <c r="X104" s="7" t="n">
        <v>20087.2</v>
      </c>
      <c r="Z104" s="7" t="n">
        <v>25356.8</v>
      </c>
      <c r="AB104" s="7" t="n">
        <v>342953.7</v>
      </c>
    </row>
    <row r="105">
      <c r="A105" s="4" t="inlineStr">
        <is>
          <t>奖金及提成</t>
        </is>
      </c>
      <c r="D105" s="7" t="n">
        <v>4856.4</v>
      </c>
      <c r="F105" s="7" t="n">
        <v>9142.9</v>
      </c>
      <c r="H105" s="7" t="n">
        <v>9508.1</v>
      </c>
      <c r="J105" s="7" t="n">
        <v>6050.7</v>
      </c>
      <c r="L105" s="7" t="n">
        <v>5471.5</v>
      </c>
      <c r="N105" s="7" t="n">
        <v>10401.6</v>
      </c>
      <c r="P105" s="7" t="n">
        <v>7608.6</v>
      </c>
      <c r="R105" s="7" t="n">
        <v>8630.200000000001</v>
      </c>
      <c r="T105" s="7" t="n">
        <v>10267.2</v>
      </c>
      <c r="V105" s="7" t="n">
        <v>14975.6</v>
      </c>
      <c r="X105" s="7" t="n">
        <v>6523.9</v>
      </c>
      <c r="Z105" s="7" t="n">
        <v>11947.3</v>
      </c>
      <c r="AB105" s="7" t="n">
        <v>105384</v>
      </c>
    </row>
    <row r="106">
      <c r="A106" s="4" t="inlineStr">
        <is>
          <t>社保</t>
        </is>
      </c>
      <c r="D106" s="7" t="n">
        <v>3012.2</v>
      </c>
      <c r="F106" s="7" t="n">
        <v>6139.2</v>
      </c>
      <c r="H106" s="7" t="n">
        <v>7513.7</v>
      </c>
      <c r="J106" s="7" t="n">
        <v>6641.4</v>
      </c>
      <c r="L106" s="7" t="n">
        <v>3717.7</v>
      </c>
      <c r="N106" s="7" t="n">
        <v>5844.8</v>
      </c>
      <c r="P106" s="7" t="n">
        <v>5330</v>
      </c>
      <c r="R106" s="7" t="n">
        <v>5208.9</v>
      </c>
      <c r="T106" s="7" t="n">
        <v>11564.4</v>
      </c>
      <c r="V106" s="7" t="n">
        <v>10984.7</v>
      </c>
      <c r="X106" s="7" t="n">
        <v>4782.9</v>
      </c>
      <c r="Z106" s="7" t="n">
        <v>6650.9</v>
      </c>
      <c r="AB106" s="7" t="n">
        <v>77390.8</v>
      </c>
    </row>
    <row r="107">
      <c r="A107" s="4" t="inlineStr">
        <is>
          <t>养老</t>
        </is>
      </c>
      <c r="D107" s="7" t="n">
        <v>353.9</v>
      </c>
      <c r="F107" s="7" t="n">
        <v>349.7</v>
      </c>
      <c r="H107" s="7" t="n">
        <v>500.1</v>
      </c>
      <c r="J107" s="7" t="n">
        <v>516.5</v>
      </c>
      <c r="L107" s="7" t="n">
        <v>460.6</v>
      </c>
      <c r="N107" s="7" t="n">
        <v>579.8</v>
      </c>
      <c r="P107" s="7" t="n">
        <v>456.3</v>
      </c>
      <c r="R107" s="7" t="n">
        <v>295.3</v>
      </c>
      <c r="T107" s="7" t="n">
        <v>968</v>
      </c>
      <c r="V107" s="7" t="n">
        <v>1278.1</v>
      </c>
      <c r="X107" s="7" t="n">
        <v>521.1</v>
      </c>
      <c r="Z107" s="7" t="n">
        <v>424.9</v>
      </c>
      <c r="AB107" s="7" t="n">
        <v>6704.3</v>
      </c>
    </row>
    <row r="108">
      <c r="A108" s="4" t="inlineStr">
        <is>
          <t>医疗</t>
        </is>
      </c>
      <c r="D108" s="7" t="n">
        <v>56.6</v>
      </c>
      <c r="F108" s="7" t="n">
        <v>98.7</v>
      </c>
      <c r="H108" s="7" t="n">
        <v>144.7</v>
      </c>
      <c r="J108" s="7" t="n">
        <v>87.90000000000001</v>
      </c>
      <c r="L108" s="7" t="n">
        <v>135.9</v>
      </c>
      <c r="N108" s="7" t="n">
        <v>190.1</v>
      </c>
      <c r="P108" s="7" t="n">
        <v>102.7</v>
      </c>
      <c r="R108" s="7" t="n">
        <v>129.3</v>
      </c>
      <c r="T108" s="7" t="n">
        <v>199.7</v>
      </c>
      <c r="V108" s="7" t="n">
        <v>339</v>
      </c>
      <c r="X108" s="7" t="n">
        <v>107.6</v>
      </c>
      <c r="Z108" s="7" t="n">
        <v>157.9</v>
      </c>
      <c r="AB108" s="7" t="n">
        <v>1750.1</v>
      </c>
    </row>
    <row r="109">
      <c r="A109" s="4" t="inlineStr">
        <is>
          <t>工伤</t>
        </is>
      </c>
      <c r="D109" s="7" t="n">
        <v>165.2</v>
      </c>
      <c r="F109" s="7" t="n">
        <v>227.3</v>
      </c>
      <c r="H109" s="7" t="n">
        <v>273.9</v>
      </c>
      <c r="J109" s="7" t="n">
        <v>223.1</v>
      </c>
      <c r="L109" s="7" t="n">
        <v>176.5</v>
      </c>
      <c r="N109" s="7" t="n">
        <v>377</v>
      </c>
      <c r="P109" s="7" t="n">
        <v>328.2</v>
      </c>
      <c r="R109" s="7" t="n">
        <v>198.6</v>
      </c>
      <c r="T109" s="7" t="n">
        <v>598.8</v>
      </c>
      <c r="V109" s="7" t="n">
        <v>520.5</v>
      </c>
      <c r="X109" s="7" t="n">
        <v>260.7</v>
      </c>
      <c r="Z109" s="7" t="n">
        <v>364.7</v>
      </c>
      <c r="AB109" s="7" t="n">
        <v>3714.5</v>
      </c>
    </row>
    <row r="110">
      <c r="A110" s="4" t="inlineStr">
        <is>
          <t>失业</t>
        </is>
      </c>
      <c r="D110" s="7" t="n">
        <v>199.4</v>
      </c>
      <c r="F110" s="7" t="n">
        <v>528</v>
      </c>
      <c r="H110" s="7" t="n">
        <v>323.5</v>
      </c>
      <c r="J110" s="7" t="n">
        <v>400</v>
      </c>
      <c r="L110" s="7" t="n">
        <v>282</v>
      </c>
      <c r="N110" s="7" t="n">
        <v>549.2</v>
      </c>
      <c r="P110" s="7" t="n">
        <v>378.5</v>
      </c>
      <c r="R110" s="7" t="n">
        <v>468.1</v>
      </c>
      <c r="T110" s="7" t="n">
        <v>693.2</v>
      </c>
      <c r="V110" s="7" t="n">
        <v>1249.6</v>
      </c>
      <c r="X110" s="7" t="n">
        <v>526.7</v>
      </c>
      <c r="Z110" s="7" t="n">
        <v>413.1</v>
      </c>
      <c r="AB110" s="7" t="n">
        <v>6011.3</v>
      </c>
    </row>
    <row r="111">
      <c r="A111" s="4" t="inlineStr">
        <is>
          <t>生育</t>
        </is>
      </c>
      <c r="D111" s="7" t="n">
        <v>39.4</v>
      </c>
      <c r="F111" s="7" t="n">
        <v>65.3</v>
      </c>
      <c r="H111" s="7" t="n">
        <v>116.9</v>
      </c>
      <c r="J111" s="7" t="n">
        <v>77.5</v>
      </c>
      <c r="L111" s="7" t="n">
        <v>77.5</v>
      </c>
      <c r="N111" s="7" t="n">
        <v>78.5</v>
      </c>
      <c r="P111" s="7" t="n">
        <v>115.2</v>
      </c>
      <c r="R111" s="7" t="n">
        <v>96.8</v>
      </c>
      <c r="T111" s="7" t="n">
        <v>186.8</v>
      </c>
      <c r="V111" s="7" t="n">
        <v>218.8</v>
      </c>
      <c r="X111" s="7" t="n">
        <v>72.2</v>
      </c>
      <c r="Z111" s="7" t="n">
        <v>111.1</v>
      </c>
      <c r="AB111" s="7" t="n">
        <v>1256</v>
      </c>
    </row>
    <row r="112">
      <c r="A112" s="4" t="inlineStr">
        <is>
          <t>公积金</t>
        </is>
      </c>
      <c r="D112" s="7" t="n">
        <v>201.6</v>
      </c>
      <c r="F112" s="7" t="n">
        <v>239.8</v>
      </c>
      <c r="H112" s="7" t="n">
        <v>357.2</v>
      </c>
      <c r="J112" s="7" t="n">
        <v>264.2</v>
      </c>
      <c r="L112" s="7" t="n">
        <v>305.3</v>
      </c>
      <c r="N112" s="7" t="n">
        <v>327.3</v>
      </c>
      <c r="P112" s="7" t="n">
        <v>247.6</v>
      </c>
      <c r="R112" s="7" t="n">
        <v>341.6</v>
      </c>
      <c r="T112" s="7" t="n">
        <v>585.6</v>
      </c>
      <c r="V112" s="7" t="n">
        <v>917</v>
      </c>
      <c r="X112" s="7" t="n">
        <v>375.2</v>
      </c>
      <c r="Z112" s="7" t="n">
        <v>434.8</v>
      </c>
      <c r="AB112" s="7" t="n">
        <v>4597.2</v>
      </c>
    </row>
    <row r="113">
      <c r="A113" s="4" t="inlineStr">
        <is>
          <t>工会经费</t>
        </is>
      </c>
      <c r="D113" s="7" t="n">
        <v>16.3</v>
      </c>
      <c r="F113" s="7" t="n">
        <v>48.7</v>
      </c>
      <c r="H113" s="7" t="n">
        <v>32.6</v>
      </c>
      <c r="J113" s="7" t="n">
        <v>41.8</v>
      </c>
      <c r="L113" s="7" t="n">
        <v>29.1</v>
      </c>
      <c r="N113" s="7" t="n">
        <v>42.9</v>
      </c>
      <c r="P113" s="7" t="n">
        <v>46.9</v>
      </c>
      <c r="R113" s="7" t="n">
        <v>40.8</v>
      </c>
      <c r="T113" s="7" t="n">
        <v>67.09999999999999</v>
      </c>
      <c r="V113" s="7" t="n">
        <v>68.59999999999999</v>
      </c>
      <c r="X113" s="7" t="n">
        <v>42.2</v>
      </c>
      <c r="Z113" s="7" t="n">
        <v>62.7</v>
      </c>
      <c r="AB113" s="7" t="n">
        <v>539.7</v>
      </c>
    </row>
    <row r="114">
      <c r="A114" s="4" t="inlineStr">
        <is>
          <t>职工教育经费</t>
        </is>
      </c>
      <c r="D114" s="7" t="n">
        <v>63.8</v>
      </c>
      <c r="F114" s="7" t="n">
        <v>182.8</v>
      </c>
      <c r="H114" s="7" t="n">
        <v>122</v>
      </c>
      <c r="J114" s="7" t="n">
        <v>129.7</v>
      </c>
      <c r="L114" s="7" t="n">
        <v>106.2</v>
      </c>
      <c r="N114" s="7" t="n">
        <v>159.6</v>
      </c>
      <c r="P114" s="7" t="n">
        <v>168.3</v>
      </c>
      <c r="R114" s="7" t="n">
        <v>120.4</v>
      </c>
      <c r="T114" s="7" t="n">
        <v>291.6</v>
      </c>
      <c r="V114" s="7" t="n">
        <v>304.3</v>
      </c>
      <c r="X114" s="7" t="n">
        <v>173.5</v>
      </c>
      <c r="Z114" s="7" t="n">
        <v>195.8</v>
      </c>
      <c r="AB114" s="7" t="n">
        <v>2018</v>
      </c>
    </row>
    <row r="115">
      <c r="A115" s="4" t="inlineStr">
        <is>
          <t>福利费</t>
        </is>
      </c>
      <c r="D115" s="7" t="n">
        <v>755.7</v>
      </c>
      <c r="F115" s="7" t="n">
        <v>1418.6</v>
      </c>
      <c r="H115" s="7" t="n">
        <v>1789.5</v>
      </c>
      <c r="J115" s="7" t="n">
        <v>1143.9</v>
      </c>
      <c r="L115" s="7" t="n">
        <v>1277.7</v>
      </c>
      <c r="N115" s="7" t="n">
        <v>1974</v>
      </c>
      <c r="P115" s="7" t="n">
        <v>1338.4</v>
      </c>
      <c r="R115" s="7" t="n">
        <v>1063.9</v>
      </c>
      <c r="T115" s="7" t="n">
        <v>2202.9</v>
      </c>
      <c r="V115" s="7" t="n">
        <v>3306.3</v>
      </c>
      <c r="X115" s="7" t="n">
        <v>1606.6</v>
      </c>
      <c r="Z115" s="7" t="n">
        <v>1886.9</v>
      </c>
      <c r="AB115" s="7" t="n">
        <v>19764.4</v>
      </c>
    </row>
    <row r="116">
      <c r="A116" s="4" t="inlineStr">
        <is>
          <t>职工房租</t>
        </is>
      </c>
      <c r="D116" s="7" t="n">
        <v>179.5</v>
      </c>
      <c r="F116" s="7" t="n">
        <v>249.7</v>
      </c>
      <c r="H116" s="7" t="n">
        <v>493.4</v>
      </c>
      <c r="J116" s="7" t="n">
        <v>249.8</v>
      </c>
      <c r="L116" s="7" t="n">
        <v>311.2</v>
      </c>
      <c r="N116" s="7" t="n">
        <v>538.2</v>
      </c>
      <c r="P116" s="7" t="n">
        <v>477</v>
      </c>
      <c r="R116" s="7" t="n">
        <v>235.8</v>
      </c>
      <c r="T116" s="7" t="n">
        <v>569.4</v>
      </c>
      <c r="V116" s="7" t="n">
        <v>1032.2</v>
      </c>
      <c r="X116" s="7" t="n">
        <v>452.5</v>
      </c>
      <c r="Z116" s="7" t="n">
        <v>539.1</v>
      </c>
      <c r="AB116" s="7" t="n">
        <v>5327.8</v>
      </c>
    </row>
    <row r="117">
      <c r="A117" s="4" t="inlineStr">
        <is>
          <t>水电物业费</t>
        </is>
      </c>
      <c r="D117" s="7" t="n">
        <v>70.40000000000001</v>
      </c>
      <c r="F117" s="7" t="n">
        <v>180.8</v>
      </c>
      <c r="H117" s="7" t="n">
        <v>204.7</v>
      </c>
      <c r="J117" s="7" t="n">
        <v>183.9</v>
      </c>
      <c r="L117" s="7" t="n">
        <v>106.5</v>
      </c>
      <c r="N117" s="7" t="n">
        <v>211.8</v>
      </c>
      <c r="P117" s="7" t="n">
        <v>117.1</v>
      </c>
      <c r="R117" s="7" t="n">
        <v>105.2</v>
      </c>
      <c r="T117" s="7" t="n">
        <v>335.1</v>
      </c>
      <c r="V117" s="7" t="n">
        <v>401.5</v>
      </c>
      <c r="X117" s="7" t="n">
        <v>144</v>
      </c>
      <c r="Z117" s="7" t="n">
        <v>135.7</v>
      </c>
      <c r="AB117" s="7" t="n">
        <v>2196.7</v>
      </c>
    </row>
    <row r="118">
      <c r="A118" s="4" t="inlineStr">
        <is>
          <t>员工餐</t>
        </is>
      </c>
      <c r="D118" s="7" t="n">
        <v>270.4</v>
      </c>
      <c r="F118" s="7" t="n">
        <v>547.3</v>
      </c>
      <c r="H118" s="7" t="n">
        <v>573.4</v>
      </c>
      <c r="J118" s="7" t="n">
        <v>359.1</v>
      </c>
      <c r="L118" s="7" t="n">
        <v>496.2</v>
      </c>
      <c r="N118" s="7" t="n">
        <v>708.3</v>
      </c>
      <c r="P118" s="7" t="n">
        <v>375.3</v>
      </c>
      <c r="R118" s="7" t="n">
        <v>404.3</v>
      </c>
      <c r="T118" s="7" t="n">
        <v>642.1</v>
      </c>
      <c r="V118" s="7" t="n">
        <v>874.1</v>
      </c>
      <c r="X118" s="7" t="n">
        <v>530.1</v>
      </c>
      <c r="Z118" s="7" t="n">
        <v>737.8</v>
      </c>
      <c r="AB118" s="7" t="n">
        <v>6518.4</v>
      </c>
    </row>
    <row r="119">
      <c r="A119" s="4" t="inlineStr">
        <is>
          <t>节日礼品</t>
        </is>
      </c>
      <c r="D119" s="7" t="n">
        <v>36.8</v>
      </c>
      <c r="F119" s="7" t="n">
        <v>86.8</v>
      </c>
      <c r="H119" s="7" t="n">
        <v>93.09999999999999</v>
      </c>
      <c r="J119" s="7" t="n">
        <v>83.8</v>
      </c>
      <c r="L119" s="7" t="n">
        <v>56.3</v>
      </c>
      <c r="N119" s="7" t="n">
        <v>85.09999999999999</v>
      </c>
      <c r="P119" s="7" t="n">
        <v>73.2</v>
      </c>
      <c r="R119" s="7" t="n">
        <v>79.8</v>
      </c>
      <c r="T119" s="7" t="n">
        <v>148.9</v>
      </c>
      <c r="V119" s="7" t="n">
        <v>158.5</v>
      </c>
      <c r="X119" s="7" t="n">
        <v>62.7</v>
      </c>
      <c r="Z119" s="7" t="n">
        <v>118.4</v>
      </c>
      <c r="AB119" s="7" t="n">
        <v>1083.4</v>
      </c>
    </row>
    <row r="120">
      <c r="A120" s="4" t="inlineStr">
        <is>
          <t>生日礼品</t>
        </is>
      </c>
      <c r="D120" s="7" t="n">
        <v>11.2</v>
      </c>
      <c r="F120" s="7" t="n">
        <v>16.3</v>
      </c>
      <c r="H120" s="7" t="n">
        <v>12.3</v>
      </c>
      <c r="J120" s="7" t="n">
        <v>19.3</v>
      </c>
      <c r="L120" s="7" t="n">
        <v>15.2</v>
      </c>
      <c r="N120" s="7" t="n">
        <v>23.6</v>
      </c>
      <c r="P120" s="7" t="n">
        <v>18</v>
      </c>
      <c r="R120" s="7" t="n">
        <v>17.5</v>
      </c>
      <c r="T120" s="7" t="n">
        <v>35.8</v>
      </c>
      <c r="V120" s="7" t="n">
        <v>39</v>
      </c>
      <c r="X120" s="7" t="n">
        <v>19.1</v>
      </c>
      <c r="Z120" s="7" t="n">
        <v>19.7</v>
      </c>
      <c r="AB120" s="7" t="n">
        <v>247</v>
      </c>
    </row>
    <row r="121">
      <c r="A121" s="4" t="inlineStr">
        <is>
          <t>体检</t>
        </is>
      </c>
      <c r="D121" s="7" t="n">
        <v>61.1</v>
      </c>
      <c r="F121" s="7" t="n">
        <v>80.40000000000001</v>
      </c>
      <c r="H121" s="7" t="n">
        <v>109.2</v>
      </c>
      <c r="J121" s="7" t="n">
        <v>60.8</v>
      </c>
      <c r="L121" s="7" t="n">
        <v>55.5</v>
      </c>
      <c r="N121" s="7" t="n">
        <v>100.9</v>
      </c>
      <c r="P121" s="7" t="n">
        <v>70.59999999999999</v>
      </c>
      <c r="R121" s="7" t="n">
        <v>57.9</v>
      </c>
      <c r="T121" s="7" t="n">
        <v>160.2</v>
      </c>
      <c r="V121" s="7" t="n">
        <v>197.1</v>
      </c>
      <c r="X121" s="7" t="n">
        <v>99.7</v>
      </c>
      <c r="Z121" s="7" t="n">
        <v>120.1</v>
      </c>
      <c r="AB121" s="7" t="n">
        <v>1173.5</v>
      </c>
    </row>
    <row r="122">
      <c r="A122" s="4" t="inlineStr">
        <is>
          <t>其他福利支出</t>
        </is>
      </c>
      <c r="D122" s="7" t="n">
        <v>126.3</v>
      </c>
      <c r="F122" s="7" t="n">
        <v>257.3</v>
      </c>
      <c r="H122" s="7" t="n">
        <v>303.4</v>
      </c>
      <c r="J122" s="7" t="n">
        <v>187.2</v>
      </c>
      <c r="L122" s="7" t="n">
        <v>236.8</v>
      </c>
      <c r="N122" s="7" t="n">
        <v>306.1</v>
      </c>
      <c r="P122" s="7" t="n">
        <v>207.2</v>
      </c>
      <c r="R122" s="7" t="n">
        <v>163.4</v>
      </c>
      <c r="T122" s="7" t="n">
        <v>311.4</v>
      </c>
      <c r="V122" s="7" t="n">
        <v>603.9</v>
      </c>
      <c r="X122" s="7" t="n">
        <v>298.5</v>
      </c>
      <c r="Z122" s="7" t="n">
        <v>216.1</v>
      </c>
      <c r="AB122" s="7" t="n">
        <v>3217.6</v>
      </c>
    </row>
    <row r="123">
      <c r="A123" s="4" t="inlineStr">
        <is>
          <t>招聘费</t>
        </is>
      </c>
      <c r="D123" s="7" t="n">
        <v>87.8</v>
      </c>
      <c r="F123" s="7" t="n">
        <v>105.6</v>
      </c>
      <c r="H123" s="7" t="n">
        <v>161.7</v>
      </c>
      <c r="J123" s="7" t="n">
        <v>162.9</v>
      </c>
      <c r="L123" s="7" t="n">
        <v>106.9</v>
      </c>
      <c r="N123" s="7" t="n">
        <v>174.7</v>
      </c>
      <c r="P123" s="7" t="n">
        <v>165.5</v>
      </c>
      <c r="R123" s="7" t="n">
        <v>92.59999999999999</v>
      </c>
      <c r="T123" s="7" t="n">
        <v>216.5</v>
      </c>
      <c r="V123" s="7" t="n">
        <v>440.6</v>
      </c>
      <c r="X123" s="7" t="n">
        <v>154.6</v>
      </c>
      <c r="Z123" s="7" t="n">
        <v>188.6</v>
      </c>
      <c r="AB123" s="7" t="n">
        <v>2058</v>
      </c>
    </row>
    <row r="124">
      <c r="A124" s="4" t="inlineStr">
        <is>
          <t>办公费</t>
        </is>
      </c>
      <c r="D124" s="7" t="n">
        <v>1630.7</v>
      </c>
      <c r="F124" s="7" t="n">
        <v>1684.2</v>
      </c>
      <c r="H124" s="7" t="n">
        <v>2201.1</v>
      </c>
      <c r="J124" s="7" t="n">
        <v>2896.8</v>
      </c>
      <c r="L124" s="7" t="n">
        <v>1379.4</v>
      </c>
      <c r="N124" s="7" t="n">
        <v>2511.2</v>
      </c>
      <c r="P124" s="7" t="n">
        <v>2154.4</v>
      </c>
      <c r="R124" s="7" t="n">
        <v>1958.3</v>
      </c>
      <c r="T124" s="7" t="n">
        <v>3327.5</v>
      </c>
      <c r="V124" s="7" t="n">
        <v>6393.3</v>
      </c>
      <c r="X124" s="7" t="n">
        <v>2740</v>
      </c>
      <c r="Z124" s="7" t="n">
        <v>3781.1</v>
      </c>
      <c r="AB124" s="7" t="n">
        <v>32658</v>
      </c>
    </row>
    <row r="125">
      <c r="A125" s="4" t="inlineStr">
        <is>
          <t>市内交通费</t>
        </is>
      </c>
      <c r="D125" s="7" t="n">
        <v>161.8</v>
      </c>
      <c r="F125" s="7" t="n">
        <v>335.8</v>
      </c>
      <c r="H125" s="7" t="n">
        <v>435.5</v>
      </c>
      <c r="J125" s="7" t="n">
        <v>267.3</v>
      </c>
      <c r="L125" s="7" t="n">
        <v>355.9</v>
      </c>
      <c r="N125" s="7" t="n">
        <v>333.4</v>
      </c>
      <c r="P125" s="7" t="n">
        <v>400.5</v>
      </c>
      <c r="R125" s="7" t="n">
        <v>297.7</v>
      </c>
      <c r="T125" s="7" t="n">
        <v>658</v>
      </c>
      <c r="V125" s="7" t="n">
        <v>1033.2</v>
      </c>
      <c r="X125" s="7" t="n">
        <v>324</v>
      </c>
      <c r="Z125" s="7" t="n">
        <v>357.6</v>
      </c>
      <c r="AB125" s="7" t="n">
        <v>4960.7</v>
      </c>
    </row>
    <row r="126">
      <c r="A126" s="4" t="inlineStr">
        <is>
          <t>差旅费</t>
        </is>
      </c>
      <c r="D126" s="7" t="n">
        <v>2716.2</v>
      </c>
      <c r="F126" s="7" t="n">
        <v>5701</v>
      </c>
      <c r="H126" s="7" t="n">
        <v>3744.5</v>
      </c>
      <c r="J126" s="7" t="n">
        <v>5175.7</v>
      </c>
      <c r="L126" s="7" t="n">
        <v>4815.1</v>
      </c>
      <c r="N126" s="7" t="n">
        <v>6508.7</v>
      </c>
      <c r="P126" s="7" t="n">
        <v>5414.3</v>
      </c>
      <c r="R126" s="7" t="n">
        <v>4844.4</v>
      </c>
      <c r="T126" s="7" t="n">
        <v>6489.6</v>
      </c>
      <c r="V126" s="7" t="n">
        <v>14198.3</v>
      </c>
      <c r="X126" s="7" t="n">
        <v>4873.6</v>
      </c>
      <c r="Z126" s="7" t="n">
        <v>6696.3</v>
      </c>
      <c r="AB126" s="7" t="n">
        <v>71177.7</v>
      </c>
    </row>
    <row r="127">
      <c r="A127" s="4" t="inlineStr">
        <is>
          <t>交通费</t>
        </is>
      </c>
      <c r="D127" s="7" t="n">
        <v>248.8</v>
      </c>
      <c r="F127" s="7" t="n">
        <v>298.3</v>
      </c>
      <c r="H127" s="7" t="n">
        <v>413</v>
      </c>
      <c r="J127" s="7" t="n">
        <v>294.3</v>
      </c>
      <c r="L127" s="7" t="n">
        <v>255.2</v>
      </c>
      <c r="N127" s="7" t="n">
        <v>474.7</v>
      </c>
      <c r="P127" s="7" t="n">
        <v>338.2</v>
      </c>
      <c r="R127" s="7" t="n">
        <v>366.6</v>
      </c>
      <c r="T127" s="7" t="n">
        <v>675.3</v>
      </c>
      <c r="V127" s="7" t="n">
        <v>737.5</v>
      </c>
      <c r="X127" s="7" t="n">
        <v>283.6</v>
      </c>
      <c r="Z127" s="7" t="n">
        <v>446.9</v>
      </c>
      <c r="AB127" s="7" t="n">
        <v>4832.4</v>
      </c>
    </row>
    <row r="128">
      <c r="A128" s="4" t="inlineStr">
        <is>
          <t>住宿费</t>
        </is>
      </c>
      <c r="D128" s="7" t="n">
        <v>18</v>
      </c>
      <c r="F128" s="7" t="n">
        <v>40.9</v>
      </c>
      <c r="H128" s="7" t="n">
        <v>40.5</v>
      </c>
      <c r="J128" s="7" t="n">
        <v>44.4</v>
      </c>
      <c r="L128" s="7" t="n">
        <v>25.2</v>
      </c>
      <c r="N128" s="7" t="n">
        <v>55.1</v>
      </c>
      <c r="P128" s="7" t="n">
        <v>41.8</v>
      </c>
      <c r="R128" s="7" t="n">
        <v>43.8</v>
      </c>
      <c r="T128" s="7" t="n">
        <v>78</v>
      </c>
      <c r="V128" s="7" t="n">
        <v>68.5</v>
      </c>
      <c r="X128" s="7" t="n">
        <v>29.9</v>
      </c>
      <c r="Z128" s="7" t="n">
        <v>42.9</v>
      </c>
      <c r="AB128" s="7" t="n">
        <v>529</v>
      </c>
    </row>
    <row r="129">
      <c r="A129" s="4" t="inlineStr">
        <is>
          <t>餐补</t>
        </is>
      </c>
      <c r="D129" s="7" t="n">
        <v>226</v>
      </c>
      <c r="F129" s="7" t="n">
        <v>410.4</v>
      </c>
      <c r="H129" s="7" t="n">
        <v>464.2</v>
      </c>
      <c r="J129" s="7" t="n">
        <v>352</v>
      </c>
      <c r="L129" s="7" t="n">
        <v>322.5</v>
      </c>
      <c r="N129" s="7" t="n">
        <v>652.5</v>
      </c>
      <c r="P129" s="7" t="n">
        <v>432.4</v>
      </c>
      <c r="R129" s="7" t="n">
        <v>419</v>
      </c>
      <c r="T129" s="7" t="n">
        <v>709.9</v>
      </c>
      <c r="V129" s="7" t="n">
        <v>1390.2</v>
      </c>
      <c r="X129" s="7" t="n">
        <v>537.1</v>
      </c>
      <c r="Z129" s="7" t="n">
        <v>471.4</v>
      </c>
      <c r="AB129" s="7" t="n">
        <v>6387.6</v>
      </c>
    </row>
    <row r="130">
      <c r="A130" s="4" t="inlineStr">
        <is>
          <t>交通补助</t>
        </is>
      </c>
      <c r="D130" s="7" t="n">
        <v>39.2</v>
      </c>
      <c r="F130" s="7" t="n">
        <v>45.4</v>
      </c>
      <c r="H130" s="7" t="n">
        <v>81.59999999999999</v>
      </c>
      <c r="J130" s="7" t="n">
        <v>58.3</v>
      </c>
      <c r="L130" s="7" t="n">
        <v>64.40000000000001</v>
      </c>
      <c r="N130" s="7" t="n">
        <v>93.09999999999999</v>
      </c>
      <c r="P130" s="7" t="n">
        <v>52.2</v>
      </c>
      <c r="R130" s="7" t="n">
        <v>52</v>
      </c>
      <c r="T130" s="7" t="n">
        <v>133.2</v>
      </c>
      <c r="V130" s="7" t="n">
        <v>191.3</v>
      </c>
      <c r="X130" s="7" t="n">
        <v>60.4</v>
      </c>
      <c r="Z130" s="7" t="n">
        <v>88.5</v>
      </c>
      <c r="AB130" s="7" t="n">
        <v>959.6</v>
      </c>
    </row>
    <row r="131">
      <c r="A131" s="4" t="inlineStr">
        <is>
          <t>通讯补助</t>
        </is>
      </c>
      <c r="D131" s="7" t="n">
        <v>131.7</v>
      </c>
      <c r="F131" s="7" t="n">
        <v>313.7</v>
      </c>
      <c r="H131" s="7" t="n">
        <v>303.9</v>
      </c>
      <c r="J131" s="7" t="n">
        <v>271.3</v>
      </c>
      <c r="L131" s="7" t="n">
        <v>235</v>
      </c>
      <c r="N131" s="7" t="n">
        <v>347.8</v>
      </c>
      <c r="P131" s="7" t="n">
        <v>232.1</v>
      </c>
      <c r="R131" s="7" t="n">
        <v>275.1</v>
      </c>
      <c r="T131" s="7" t="n">
        <v>317.5</v>
      </c>
      <c r="V131" s="7" t="n">
        <v>744.3</v>
      </c>
      <c r="X131" s="7" t="n">
        <v>233.4</v>
      </c>
      <c r="Z131" s="7" t="n">
        <v>258.8</v>
      </c>
      <c r="AB131" s="7" t="n">
        <v>3664.6</v>
      </c>
    </row>
    <row r="132">
      <c r="A132" s="4" t="inlineStr">
        <is>
          <t>招待费</t>
        </is>
      </c>
      <c r="D132" s="7" t="n">
        <v>1739.9</v>
      </c>
      <c r="F132" s="7" t="n">
        <v>2296.2</v>
      </c>
      <c r="H132" s="7" t="n">
        <v>3080.7</v>
      </c>
      <c r="J132" s="7" t="n">
        <v>2981.6</v>
      </c>
      <c r="L132" s="7" t="n">
        <v>1972.3</v>
      </c>
      <c r="N132" s="7" t="n">
        <v>3588.3</v>
      </c>
      <c r="P132" s="7" t="n">
        <v>3586.3</v>
      </c>
      <c r="R132" s="7" t="n">
        <v>3448.7</v>
      </c>
      <c r="T132" s="7" t="n">
        <v>5316.3</v>
      </c>
      <c r="V132" s="7" t="n">
        <v>5565.1</v>
      </c>
      <c r="X132" s="7" t="n">
        <v>3665.1</v>
      </c>
      <c r="Z132" s="7" t="n">
        <v>4908.7</v>
      </c>
      <c r="AB132" s="7" t="n">
        <v>42149.2</v>
      </c>
    </row>
    <row r="133">
      <c r="A133" s="4" t="inlineStr">
        <is>
          <t>通讯费</t>
        </is>
      </c>
      <c r="D133" s="7" t="n">
        <v>325.1</v>
      </c>
      <c r="F133" s="7" t="n">
        <v>382.7</v>
      </c>
      <c r="H133" s="7" t="n">
        <v>448.1</v>
      </c>
      <c r="J133" s="7" t="n">
        <v>410.8</v>
      </c>
      <c r="L133" s="7" t="n">
        <v>512</v>
      </c>
      <c r="N133" s="7" t="n">
        <v>549.4</v>
      </c>
      <c r="P133" s="7" t="n">
        <v>560.3</v>
      </c>
      <c r="R133" s="7" t="n">
        <v>414.6</v>
      </c>
      <c r="T133" s="7" t="n">
        <v>712.1</v>
      </c>
      <c r="V133" s="7" t="n">
        <v>809.7</v>
      </c>
      <c r="X133" s="7" t="n">
        <v>386.1</v>
      </c>
      <c r="Z133" s="7" t="n">
        <v>582.9</v>
      </c>
      <c r="AB133" s="7" t="n">
        <v>6093.8</v>
      </c>
    </row>
    <row r="134">
      <c r="A134" s="4" t="inlineStr">
        <is>
          <t>网络费</t>
        </is>
      </c>
      <c r="D134" s="7" t="n">
        <v>173.4</v>
      </c>
      <c r="F134" s="7" t="n">
        <v>232.9</v>
      </c>
      <c r="H134" s="7" t="n">
        <v>367.6</v>
      </c>
      <c r="J134" s="7" t="n">
        <v>297.2</v>
      </c>
      <c r="L134" s="7" t="n">
        <v>345.5</v>
      </c>
      <c r="N134" s="7" t="n">
        <v>352.5</v>
      </c>
      <c r="P134" s="7" t="n">
        <v>332.2</v>
      </c>
      <c r="R134" s="7" t="n">
        <v>287.2</v>
      </c>
      <c r="T134" s="7" t="n">
        <v>417.5</v>
      </c>
      <c r="V134" s="7" t="n">
        <v>948.8</v>
      </c>
      <c r="X134" s="7" t="n">
        <v>429.4</v>
      </c>
      <c r="Z134" s="7" t="n">
        <v>457.4</v>
      </c>
      <c r="AB134" s="7" t="n">
        <v>4641.6</v>
      </c>
    </row>
    <row r="135">
      <c r="A135" s="4" t="inlineStr">
        <is>
          <t>修理费</t>
        </is>
      </c>
      <c r="D135" s="7" t="n">
        <v>88.59999999999999</v>
      </c>
      <c r="F135" s="7" t="n">
        <v>102.4</v>
      </c>
      <c r="H135" s="7" t="n">
        <v>108.3</v>
      </c>
      <c r="J135" s="7" t="n">
        <v>127.3</v>
      </c>
      <c r="L135" s="7" t="n">
        <v>101.4</v>
      </c>
      <c r="N135" s="7" t="n">
        <v>182.7</v>
      </c>
      <c r="P135" s="7" t="n">
        <v>178.7</v>
      </c>
      <c r="R135" s="7" t="n">
        <v>124.9</v>
      </c>
      <c r="T135" s="7" t="n">
        <v>264.7</v>
      </c>
      <c r="V135" s="7" t="n">
        <v>280.3</v>
      </c>
      <c r="X135" s="7" t="n">
        <v>170.6</v>
      </c>
      <c r="Z135" s="7" t="n">
        <v>131.2</v>
      </c>
      <c r="AB135" s="7" t="n">
        <v>1861.1</v>
      </c>
    </row>
    <row r="136">
      <c r="A136" s="4" t="inlineStr">
        <is>
          <t>车辆费</t>
        </is>
      </c>
      <c r="D136" s="7" t="n">
        <v>247.8</v>
      </c>
      <c r="F136" s="7" t="n">
        <v>525.6</v>
      </c>
      <c r="H136" s="7" t="n">
        <v>389.9</v>
      </c>
      <c r="J136" s="7" t="n">
        <v>410.1</v>
      </c>
      <c r="L136" s="7" t="n">
        <v>366.8</v>
      </c>
      <c r="N136" s="7" t="n">
        <v>533.5</v>
      </c>
      <c r="P136" s="7" t="n">
        <v>543.7</v>
      </c>
      <c r="R136" s="7" t="n">
        <v>327.4</v>
      </c>
      <c r="T136" s="7" t="n">
        <v>897.5</v>
      </c>
      <c r="V136" s="7" t="n">
        <v>999.2</v>
      </c>
      <c r="X136" s="7" t="n">
        <v>530.6</v>
      </c>
      <c r="Z136" s="7" t="n">
        <v>541.6</v>
      </c>
      <c r="AB136" s="7" t="n">
        <v>6313.7</v>
      </c>
    </row>
    <row r="137">
      <c r="A137" s="4" t="inlineStr">
        <is>
          <t>租赁费</t>
        </is>
      </c>
      <c r="D137" s="7" t="n">
        <v>1634.1</v>
      </c>
      <c r="F137" s="7" t="n">
        <v>4514.3</v>
      </c>
      <c r="H137" s="7" t="n">
        <v>4368.3</v>
      </c>
      <c r="J137" s="7" t="n">
        <v>2847.3</v>
      </c>
      <c r="L137" s="7" t="n">
        <v>3589.2</v>
      </c>
      <c r="N137" s="7" t="n">
        <v>4899.2</v>
      </c>
      <c r="P137" s="7" t="n">
        <v>3693</v>
      </c>
      <c r="R137" s="7" t="n">
        <v>4490.7</v>
      </c>
      <c r="T137" s="7" t="n">
        <v>8576.6</v>
      </c>
      <c r="V137" s="7" t="n">
        <v>10605.4</v>
      </c>
      <c r="X137" s="7" t="n">
        <v>4593.3</v>
      </c>
      <c r="Z137" s="7" t="n">
        <v>4366.6</v>
      </c>
      <c r="AB137" s="7" t="n">
        <v>58178</v>
      </c>
    </row>
    <row r="138">
      <c r="A138" s="4" t="inlineStr">
        <is>
          <t>能源费</t>
        </is>
      </c>
      <c r="D138" s="7" t="n">
        <v>699.4</v>
      </c>
      <c r="F138" s="7" t="n">
        <v>1097</v>
      </c>
      <c r="H138" s="7" t="n">
        <v>1200.9</v>
      </c>
      <c r="J138" s="7" t="n">
        <v>957.6</v>
      </c>
      <c r="L138" s="7" t="n">
        <v>967.3</v>
      </c>
      <c r="N138" s="7" t="n">
        <v>1352.5</v>
      </c>
      <c r="P138" s="7" t="n">
        <v>1062.4</v>
      </c>
      <c r="R138" s="7" t="n">
        <v>1038.1</v>
      </c>
      <c r="T138" s="7" t="n">
        <v>2082</v>
      </c>
      <c r="V138" s="7" t="n">
        <v>3014.4</v>
      </c>
      <c r="X138" s="7" t="n">
        <v>1033.8</v>
      </c>
      <c r="Z138" s="7" t="n">
        <v>1415.2</v>
      </c>
      <c r="AB138" s="7" t="n">
        <v>15920.6</v>
      </c>
    </row>
    <row r="139">
      <c r="A139" s="4" t="inlineStr">
        <is>
          <t>水费</t>
        </is>
      </c>
      <c r="D139" s="7" t="n">
        <v>174.8</v>
      </c>
      <c r="F139" s="7" t="n">
        <v>172.5</v>
      </c>
      <c r="H139" s="7" t="n">
        <v>202.2</v>
      </c>
      <c r="J139" s="7" t="n">
        <v>289.3</v>
      </c>
      <c r="L139" s="7" t="n">
        <v>182.9</v>
      </c>
      <c r="N139" s="7" t="n">
        <v>277.3</v>
      </c>
      <c r="P139" s="7" t="n">
        <v>194.6</v>
      </c>
      <c r="R139" s="7" t="n">
        <v>189.8</v>
      </c>
      <c r="T139" s="7" t="n">
        <v>363.6</v>
      </c>
      <c r="V139" s="7" t="n">
        <v>693.5</v>
      </c>
      <c r="X139" s="7" t="n">
        <v>304.1</v>
      </c>
      <c r="Z139" s="7" t="n">
        <v>302.5</v>
      </c>
      <c r="AB139" s="7" t="n">
        <v>3347.1</v>
      </c>
    </row>
    <row r="140">
      <c r="A140" s="4" t="inlineStr">
        <is>
          <t>电费</t>
        </is>
      </c>
      <c r="D140" s="7" t="n">
        <v>5.2</v>
      </c>
      <c r="F140" s="7" t="n">
        <v>5.2</v>
      </c>
      <c r="H140" s="7" t="n">
        <v>9.6</v>
      </c>
      <c r="J140" s="7" t="n">
        <v>7.2</v>
      </c>
      <c r="L140" s="7" t="n">
        <v>7.5</v>
      </c>
      <c r="N140" s="7" t="n">
        <v>9.699999999999999</v>
      </c>
      <c r="P140" s="7" t="n">
        <v>8.5</v>
      </c>
      <c r="R140" s="7" t="n">
        <v>6.4</v>
      </c>
      <c r="T140" s="7" t="n">
        <v>12.1</v>
      </c>
      <c r="V140" s="7" t="n">
        <v>15.9</v>
      </c>
      <c r="X140" s="7" t="n">
        <v>7.8</v>
      </c>
      <c r="Z140" s="7" t="n">
        <v>9.4</v>
      </c>
      <c r="AB140" s="7" t="n">
        <v>104.5</v>
      </c>
    </row>
    <row r="141">
      <c r="A141" s="4" t="inlineStr">
        <is>
          <t>燃气费</t>
        </is>
      </c>
      <c r="D141" s="7" t="n">
        <v>178.4</v>
      </c>
      <c r="F141" s="7" t="n">
        <v>311.9</v>
      </c>
      <c r="H141" s="7" t="n">
        <v>396.4</v>
      </c>
      <c r="J141" s="7" t="n">
        <v>308.4</v>
      </c>
      <c r="L141" s="7" t="n">
        <v>345.8</v>
      </c>
      <c r="N141" s="7" t="n">
        <v>471.2</v>
      </c>
      <c r="P141" s="7" t="n">
        <v>384.9</v>
      </c>
      <c r="R141" s="7" t="n">
        <v>421</v>
      </c>
      <c r="T141" s="7" t="n">
        <v>758.2</v>
      </c>
      <c r="V141" s="7" t="n">
        <v>894</v>
      </c>
      <c r="X141" s="7" t="n">
        <v>351.1</v>
      </c>
      <c r="Z141" s="7" t="n">
        <v>527.9</v>
      </c>
      <c r="AB141" s="7" t="n">
        <v>5349.2</v>
      </c>
    </row>
    <row r="142">
      <c r="A142" s="4" t="inlineStr">
        <is>
          <t>蒸汽费</t>
        </is>
      </c>
      <c r="D142" s="7" t="n">
        <v>341</v>
      </c>
      <c r="F142" s="7" t="n">
        <v>607.4</v>
      </c>
      <c r="H142" s="7" t="n">
        <v>592.7</v>
      </c>
      <c r="J142" s="7" t="n">
        <v>352.7</v>
      </c>
      <c r="L142" s="7" t="n">
        <v>431.1</v>
      </c>
      <c r="N142" s="7" t="n">
        <v>594.3</v>
      </c>
      <c r="P142" s="7" t="n">
        <v>474.4</v>
      </c>
      <c r="R142" s="7" t="n">
        <v>420.9</v>
      </c>
      <c r="T142" s="7" t="n">
        <v>948.1</v>
      </c>
      <c r="V142" s="7" t="n">
        <v>1411</v>
      </c>
      <c r="X142" s="7" t="n">
        <v>370.8</v>
      </c>
      <c r="Z142" s="7" t="n">
        <v>575.4</v>
      </c>
      <c r="AB142" s="7" t="n">
        <v>7119.8</v>
      </c>
    </row>
    <row r="143">
      <c r="A143" s="4" t="inlineStr">
        <is>
          <t>物业费</t>
        </is>
      </c>
      <c r="D143" s="7" t="n">
        <v>127</v>
      </c>
      <c r="F143" s="7" t="n">
        <v>257.1</v>
      </c>
      <c r="H143" s="7" t="n">
        <v>299.7</v>
      </c>
      <c r="J143" s="7" t="n">
        <v>242.3</v>
      </c>
      <c r="L143" s="7" t="n">
        <v>241.8</v>
      </c>
      <c r="N143" s="7" t="n">
        <v>324.1</v>
      </c>
      <c r="P143" s="7" t="n">
        <v>257.3</v>
      </c>
      <c r="R143" s="7" t="n">
        <v>260.1</v>
      </c>
      <c r="T143" s="7" t="n">
        <v>400.9</v>
      </c>
      <c r="V143" s="7" t="n">
        <v>903.6</v>
      </c>
      <c r="X143" s="7" t="n">
        <v>382.7</v>
      </c>
      <c r="Z143" s="7" t="n">
        <v>354.5</v>
      </c>
      <c r="AB143" s="7" t="n">
        <v>4051.1</v>
      </c>
    </row>
    <row r="144">
      <c r="A144" s="4" t="inlineStr">
        <is>
          <t>劳动保护费</t>
        </is>
      </c>
      <c r="D144" s="7" t="n">
        <v>279.5</v>
      </c>
      <c r="F144" s="7" t="n">
        <v>475.3</v>
      </c>
      <c r="H144" s="7" t="n">
        <v>312.9</v>
      </c>
      <c r="J144" s="7" t="n">
        <v>379.4</v>
      </c>
      <c r="L144" s="7" t="n">
        <v>292.7</v>
      </c>
      <c r="N144" s="7" t="n">
        <v>428.7</v>
      </c>
      <c r="P144" s="7" t="n">
        <v>545.6</v>
      </c>
      <c r="R144" s="7" t="n">
        <v>321.2</v>
      </c>
      <c r="T144" s="7" t="n">
        <v>878.8</v>
      </c>
      <c r="V144" s="7" t="n">
        <v>1172.4</v>
      </c>
      <c r="X144" s="7" t="n">
        <v>410.6</v>
      </c>
      <c r="Z144" s="7" t="n">
        <v>446.1</v>
      </c>
      <c r="AB144" s="7" t="n">
        <v>5943.2</v>
      </c>
    </row>
    <row r="145">
      <c r="A145" s="4" t="inlineStr">
        <is>
          <t>顾问费</t>
        </is>
      </c>
      <c r="D145" s="7" t="n">
        <v>259.3</v>
      </c>
      <c r="F145" s="7" t="n">
        <v>323.1</v>
      </c>
      <c r="H145" s="7" t="n">
        <v>386</v>
      </c>
      <c r="J145" s="7" t="n">
        <v>416.3</v>
      </c>
      <c r="L145" s="7" t="n">
        <v>458.1</v>
      </c>
      <c r="N145" s="7" t="n">
        <v>644.4</v>
      </c>
      <c r="P145" s="7" t="n">
        <v>516.8</v>
      </c>
      <c r="R145" s="7" t="n">
        <v>369.8</v>
      </c>
      <c r="T145" s="7" t="n">
        <v>1022.2</v>
      </c>
      <c r="V145" s="7" t="n">
        <v>1416</v>
      </c>
      <c r="X145" s="7" t="n">
        <v>401.3</v>
      </c>
      <c r="Z145" s="7" t="n">
        <v>743.9</v>
      </c>
      <c r="AB145" s="7" t="n">
        <v>6957.2</v>
      </c>
    </row>
    <row r="146">
      <c r="A146" s="4" t="inlineStr">
        <is>
          <t>快递费</t>
        </is>
      </c>
      <c r="D146" s="7" t="n">
        <v>63.6</v>
      </c>
      <c r="F146" s="7" t="n">
        <v>116.7</v>
      </c>
      <c r="H146" s="7" t="n">
        <v>123.2</v>
      </c>
      <c r="J146" s="7" t="n">
        <v>100.8</v>
      </c>
      <c r="L146" s="7" t="n">
        <v>64</v>
      </c>
      <c r="N146" s="7" t="n">
        <v>125.2</v>
      </c>
      <c r="P146" s="7" t="n">
        <v>134.2</v>
      </c>
      <c r="R146" s="7" t="n">
        <v>70.59999999999999</v>
      </c>
      <c r="T146" s="7" t="n">
        <v>213.1</v>
      </c>
      <c r="V146" s="7" t="n">
        <v>236.3</v>
      </c>
      <c r="X146" s="7" t="n">
        <v>97.8</v>
      </c>
      <c r="Z146" s="7" t="n">
        <v>94.2</v>
      </c>
      <c r="AB146" s="7" t="n">
        <v>1439.7</v>
      </c>
    </row>
    <row r="147">
      <c r="A147" s="4" t="inlineStr">
        <is>
          <t>诉讼费</t>
        </is>
      </c>
      <c r="D147" s="7" t="n">
        <v>243.8</v>
      </c>
      <c r="F147" s="7" t="n">
        <v>437.4</v>
      </c>
      <c r="H147" s="7" t="n">
        <v>507.7</v>
      </c>
      <c r="J147" s="7" t="n">
        <v>483.1</v>
      </c>
      <c r="L147" s="7" t="n">
        <v>368.8</v>
      </c>
      <c r="N147" s="7" t="n">
        <v>411.9</v>
      </c>
      <c r="P147" s="7" t="n">
        <v>447.7</v>
      </c>
      <c r="R147" s="7" t="n">
        <v>463.6</v>
      </c>
      <c r="T147" s="7" t="n">
        <v>586.5</v>
      </c>
      <c r="V147" s="7" t="n">
        <v>735.3</v>
      </c>
      <c r="X147" s="7" t="n">
        <v>406.7</v>
      </c>
      <c r="Z147" s="7" t="n">
        <v>555.4</v>
      </c>
      <c r="AB147" s="7" t="n">
        <v>5647.9</v>
      </c>
    </row>
    <row r="148">
      <c r="A148" s="4" t="inlineStr">
        <is>
          <t>会员费</t>
        </is>
      </c>
      <c r="D148" s="7" t="n">
        <v>129.1</v>
      </c>
      <c r="F148" s="7" t="n">
        <v>337.7</v>
      </c>
      <c r="H148" s="7" t="n">
        <v>402.2</v>
      </c>
      <c r="J148" s="7" t="n">
        <v>221.7</v>
      </c>
      <c r="L148" s="7" t="n">
        <v>235.8</v>
      </c>
      <c r="N148" s="7" t="n">
        <v>408.1</v>
      </c>
      <c r="P148" s="7" t="n">
        <v>250.1</v>
      </c>
      <c r="R148" s="7" t="n">
        <v>263</v>
      </c>
      <c r="T148" s="7" t="n">
        <v>569.9</v>
      </c>
      <c r="V148" s="7" t="n">
        <v>658.9</v>
      </c>
      <c r="X148" s="7" t="n">
        <v>264.1</v>
      </c>
      <c r="Z148" s="7" t="n">
        <v>472.9</v>
      </c>
      <c r="AB148" s="7" t="n">
        <v>4213.5</v>
      </c>
    </row>
    <row r="149">
      <c r="A149" s="4" t="inlineStr">
        <is>
          <t>广告宣传费</t>
        </is>
      </c>
      <c r="D149" s="7" t="n">
        <v>1219.6</v>
      </c>
      <c r="F149" s="7" t="n">
        <v>2364.6</v>
      </c>
      <c r="H149" s="7" t="n">
        <v>2098.1</v>
      </c>
      <c r="J149" s="7" t="n">
        <v>2672.4</v>
      </c>
      <c r="L149" s="7" t="n">
        <v>2292.1</v>
      </c>
      <c r="N149" s="7" t="n">
        <v>3193.2</v>
      </c>
      <c r="P149" s="7" t="n">
        <v>2714.7</v>
      </c>
      <c r="R149" s="7" t="n">
        <v>1804.1</v>
      </c>
      <c r="T149" s="7" t="n">
        <v>5136.2</v>
      </c>
      <c r="V149" s="7" t="n">
        <v>5978.7</v>
      </c>
      <c r="X149" s="7" t="n">
        <v>2613.6</v>
      </c>
      <c r="Z149" s="7" t="n">
        <v>3084.3</v>
      </c>
      <c r="AB149" s="7" t="n">
        <v>35171.6</v>
      </c>
    </row>
    <row r="150">
      <c r="A150" s="4" t="inlineStr">
        <is>
          <t>会务费</t>
        </is>
      </c>
      <c r="D150" s="7" t="n">
        <v>30.6</v>
      </c>
      <c r="F150" s="7" t="n">
        <v>55.4</v>
      </c>
      <c r="H150" s="7" t="n">
        <v>42.8</v>
      </c>
      <c r="J150" s="7" t="n">
        <v>45</v>
      </c>
      <c r="L150" s="7" t="n">
        <v>54.7</v>
      </c>
      <c r="N150" s="7" t="n">
        <v>46.9</v>
      </c>
      <c r="P150" s="7" t="n">
        <v>55.8</v>
      </c>
      <c r="R150" s="7" t="n">
        <v>43.2</v>
      </c>
      <c r="T150" s="7" t="n">
        <v>110.8</v>
      </c>
      <c r="V150" s="7" t="n">
        <v>117.3</v>
      </c>
      <c r="X150" s="7" t="n">
        <v>54.3</v>
      </c>
      <c r="Z150" s="7" t="n">
        <v>47.5</v>
      </c>
      <c r="AB150" s="7" t="n">
        <v>704.3</v>
      </c>
    </row>
    <row r="151">
      <c r="A151" s="4" t="inlineStr">
        <is>
          <t>装修费</t>
        </is>
      </c>
      <c r="D151" s="7" t="n">
        <v>28.5</v>
      </c>
      <c r="F151" s="7" t="n">
        <v>27.8</v>
      </c>
      <c r="H151" s="7" t="n">
        <v>44.3</v>
      </c>
      <c r="J151" s="7" t="n">
        <v>34</v>
      </c>
      <c r="L151" s="7" t="n">
        <v>27.9</v>
      </c>
      <c r="N151" s="7" t="n">
        <v>55</v>
      </c>
      <c r="P151" s="7" t="n">
        <v>47.2</v>
      </c>
      <c r="R151" s="7" t="n">
        <v>27.1</v>
      </c>
      <c r="T151" s="7" t="n">
        <v>46.3</v>
      </c>
      <c r="V151" s="7" t="n">
        <v>72.09999999999999</v>
      </c>
      <c r="X151" s="7" t="n">
        <v>40.4</v>
      </c>
      <c r="Z151" s="7" t="n">
        <v>50.4</v>
      </c>
      <c r="AB151" s="7" t="n">
        <v>501</v>
      </c>
    </row>
    <row r="152">
      <c r="A152" s="4" t="inlineStr">
        <is>
          <t>推广费</t>
        </is>
      </c>
      <c r="D152" s="7" t="n">
        <v>12.3</v>
      </c>
      <c r="F152" s="7" t="n">
        <v>20.6</v>
      </c>
      <c r="H152" s="7" t="n">
        <v>16.9</v>
      </c>
      <c r="J152" s="7" t="n">
        <v>16.8</v>
      </c>
      <c r="L152" s="7" t="n">
        <v>13.8</v>
      </c>
      <c r="N152" s="7" t="n">
        <v>15</v>
      </c>
      <c r="P152" s="7" t="n">
        <v>19.5</v>
      </c>
      <c r="R152" s="7" t="n">
        <v>18</v>
      </c>
      <c r="T152" s="7" t="n">
        <v>22.8</v>
      </c>
      <c r="V152" s="7" t="n">
        <v>27.4</v>
      </c>
      <c r="X152" s="7" t="n">
        <v>11.8</v>
      </c>
      <c r="Z152" s="7" t="n">
        <v>20.4</v>
      </c>
      <c r="AB152" s="7" t="n">
        <v>215.3</v>
      </c>
    </row>
    <row r="153">
      <c r="A153" s="4" t="inlineStr">
        <is>
          <t>展会费</t>
        </is>
      </c>
      <c r="D153" s="7" t="n">
        <v>56.4</v>
      </c>
      <c r="F153" s="7" t="n">
        <v>59.3</v>
      </c>
      <c r="H153" s="7" t="n">
        <v>68.5</v>
      </c>
      <c r="J153" s="7" t="n">
        <v>68.3</v>
      </c>
      <c r="L153" s="7" t="n">
        <v>54.2</v>
      </c>
      <c r="N153" s="7" t="n">
        <v>104</v>
      </c>
      <c r="P153" s="7" t="n">
        <v>104.3</v>
      </c>
      <c r="R153" s="7" t="n">
        <v>59.8</v>
      </c>
      <c r="T153" s="7" t="n">
        <v>134.1</v>
      </c>
      <c r="V153" s="7" t="n">
        <v>235.2</v>
      </c>
      <c r="X153" s="7" t="n">
        <v>73.09999999999999</v>
      </c>
      <c r="Z153" s="7" t="n">
        <v>101.1</v>
      </c>
      <c r="AB153" s="7" t="n">
        <v>1118.3</v>
      </c>
    </row>
    <row r="154">
      <c r="A154" s="4" t="inlineStr">
        <is>
          <t>设计费</t>
        </is>
      </c>
      <c r="D154" s="7" t="n">
        <v>102.5</v>
      </c>
      <c r="F154" s="7" t="n">
        <v>148.6</v>
      </c>
      <c r="H154" s="7" t="n">
        <v>160.5</v>
      </c>
      <c r="J154" s="7" t="n">
        <v>138.4</v>
      </c>
      <c r="L154" s="7" t="n">
        <v>102.7</v>
      </c>
      <c r="N154" s="7" t="n">
        <v>142.1</v>
      </c>
      <c r="P154" s="7" t="n">
        <v>177.3</v>
      </c>
      <c r="R154" s="7" t="n">
        <v>165.4</v>
      </c>
      <c r="T154" s="7" t="n">
        <v>227.6</v>
      </c>
      <c r="V154" s="7" t="n">
        <v>334.3</v>
      </c>
      <c r="X154" s="7" t="n">
        <v>163</v>
      </c>
      <c r="Z154" s="7" t="n">
        <v>219.7</v>
      </c>
      <c r="AB154" s="7" t="n">
        <v>2082.1</v>
      </c>
    </row>
    <row r="155">
      <c r="A155" s="4" t="inlineStr">
        <is>
          <t>折旧费</t>
        </is>
      </c>
      <c r="D155" s="7" t="n">
        <v>1642.5</v>
      </c>
      <c r="F155" s="7" t="n">
        <v>3631.9</v>
      </c>
      <c r="H155" s="7" t="n">
        <v>4201.2</v>
      </c>
      <c r="J155" s="7" t="n">
        <v>3028.3</v>
      </c>
      <c r="L155" s="7" t="n">
        <v>3207.7</v>
      </c>
      <c r="N155" s="7" t="n">
        <v>3495.7</v>
      </c>
      <c r="P155" s="7" t="n">
        <v>3793.6</v>
      </c>
      <c r="R155" s="7" t="n">
        <v>3308.1</v>
      </c>
      <c r="T155" s="7" t="n">
        <v>5831.4</v>
      </c>
      <c r="V155" s="7" t="n">
        <v>7882.1</v>
      </c>
      <c r="X155" s="7" t="n">
        <v>3081.1</v>
      </c>
      <c r="Z155" s="7" t="n">
        <v>4083.6</v>
      </c>
      <c r="AB155" s="7" t="n">
        <v>47187.2</v>
      </c>
    </row>
    <row r="156">
      <c r="A156" s="4" t="inlineStr">
        <is>
          <t>认证费</t>
        </is>
      </c>
      <c r="D156" s="7" t="n">
        <v>122.6</v>
      </c>
      <c r="F156" s="7" t="n">
        <v>139.8</v>
      </c>
      <c r="H156" s="7" t="n">
        <v>162</v>
      </c>
      <c r="J156" s="7" t="n">
        <v>134.7</v>
      </c>
      <c r="L156" s="7" t="n">
        <v>161</v>
      </c>
      <c r="N156" s="7" t="n">
        <v>236.3</v>
      </c>
      <c r="P156" s="7" t="n">
        <v>177.4</v>
      </c>
      <c r="R156" s="7" t="n">
        <v>203.9</v>
      </c>
      <c r="T156" s="7" t="n">
        <v>361.9</v>
      </c>
      <c r="V156" s="7" t="n">
        <v>580.7</v>
      </c>
      <c r="X156" s="7" t="n">
        <v>179.8</v>
      </c>
      <c r="Z156" s="7" t="n">
        <v>172.8</v>
      </c>
      <c r="AB156" s="7" t="n">
        <v>2632.9</v>
      </c>
    </row>
    <row r="157">
      <c r="A157" s="4" t="inlineStr">
        <is>
          <t>样品费</t>
        </is>
      </c>
      <c r="D157" s="7" t="n">
        <v>748.1</v>
      </c>
      <c r="F157" s="7" t="n">
        <v>1379.4</v>
      </c>
      <c r="H157" s="7" t="n">
        <v>1939.3</v>
      </c>
      <c r="J157" s="7" t="n">
        <v>1395.1</v>
      </c>
      <c r="L157" s="7" t="n">
        <v>969.8</v>
      </c>
      <c r="N157" s="7" t="n">
        <v>2004.1</v>
      </c>
      <c r="P157" s="7" t="n">
        <v>1525</v>
      </c>
      <c r="R157" s="7" t="n">
        <v>1623.7</v>
      </c>
      <c r="T157" s="7" t="n">
        <v>2100.1</v>
      </c>
      <c r="V157" s="7" t="n">
        <v>3299.7</v>
      </c>
      <c r="X157" s="7" t="n">
        <v>1136.7</v>
      </c>
      <c r="Z157" s="7" t="n">
        <v>1761.2</v>
      </c>
      <c r="AB157" s="7" t="n">
        <v>19882.2</v>
      </c>
    </row>
    <row r="158">
      <c r="A158" s="4" t="inlineStr">
        <is>
          <t>劳务费</t>
        </is>
      </c>
      <c r="D158" s="7" t="n">
        <v>166.3</v>
      </c>
      <c r="F158" s="7" t="n">
        <v>291.9</v>
      </c>
      <c r="H158" s="7" t="n">
        <v>261.2</v>
      </c>
      <c r="J158" s="7" t="n">
        <v>216.8</v>
      </c>
      <c r="L158" s="7" t="n">
        <v>211.2</v>
      </c>
      <c r="N158" s="7" t="n">
        <v>284</v>
      </c>
      <c r="P158" s="7" t="n">
        <v>192</v>
      </c>
      <c r="R158" s="7" t="n">
        <v>183.9</v>
      </c>
      <c r="T158" s="7" t="n">
        <v>441.2</v>
      </c>
      <c r="V158" s="7" t="n">
        <v>694.9</v>
      </c>
      <c r="X158" s="7" t="n">
        <v>298.5</v>
      </c>
      <c r="Z158" s="7" t="n">
        <v>223.1</v>
      </c>
      <c r="AB158" s="7" t="n">
        <v>3465</v>
      </c>
    </row>
    <row r="159">
      <c r="A159" s="4" t="inlineStr">
        <is>
          <t>销售佣金</t>
        </is>
      </c>
      <c r="D159" s="7" t="n">
        <v>258.3</v>
      </c>
      <c r="F159" s="7" t="n">
        <v>521.2</v>
      </c>
      <c r="H159" s="7" t="n">
        <v>430.4</v>
      </c>
      <c r="J159" s="7" t="n">
        <v>398.2</v>
      </c>
      <c r="L159" s="7" t="n">
        <v>312.4</v>
      </c>
      <c r="N159" s="7" t="n">
        <v>633.5</v>
      </c>
      <c r="P159" s="7" t="n">
        <v>483.1</v>
      </c>
      <c r="R159" s="7" t="n">
        <v>526.7</v>
      </c>
      <c r="T159" s="7" t="n">
        <v>757.2</v>
      </c>
      <c r="V159" s="7" t="n">
        <v>839.3</v>
      </c>
      <c r="X159" s="7" t="n">
        <v>378</v>
      </c>
      <c r="Z159" s="7" t="n">
        <v>514.8</v>
      </c>
      <c r="AB159" s="7" t="n">
        <v>6053.1</v>
      </c>
    </row>
    <row r="160">
      <c r="A160" s="4" t="inlineStr">
        <is>
          <t>检测费</t>
        </is>
      </c>
      <c r="D160" s="7" t="n">
        <v>121.6</v>
      </c>
      <c r="F160" s="7" t="n">
        <v>168.8</v>
      </c>
      <c r="H160" s="7" t="n">
        <v>225.1</v>
      </c>
      <c r="J160" s="7" t="n">
        <v>232.4</v>
      </c>
      <c r="L160" s="7" t="n">
        <v>211.6</v>
      </c>
      <c r="N160" s="7" t="n">
        <v>286.7</v>
      </c>
      <c r="P160" s="7" t="n">
        <v>180.5</v>
      </c>
      <c r="R160" s="7" t="n">
        <v>210.3</v>
      </c>
      <c r="T160" s="7" t="n">
        <v>321</v>
      </c>
      <c r="V160" s="7" t="n">
        <v>575.2</v>
      </c>
      <c r="X160" s="7" t="n">
        <v>252.6</v>
      </c>
      <c r="Z160" s="7" t="n">
        <v>178.2</v>
      </c>
      <c r="AB160" s="7" t="n">
        <v>2964</v>
      </c>
    </row>
    <row r="161">
      <c r="A161" s="4" t="inlineStr">
        <is>
          <t>质量赔偿</t>
        </is>
      </c>
      <c r="D161" s="7" t="n">
        <v>145.2</v>
      </c>
      <c r="F161" s="7" t="n">
        <v>247</v>
      </c>
      <c r="H161" s="7" t="n">
        <v>412.4</v>
      </c>
      <c r="J161" s="7" t="n">
        <v>365.6</v>
      </c>
      <c r="L161" s="7" t="n">
        <v>238.4</v>
      </c>
      <c r="N161" s="7" t="n">
        <v>446.2</v>
      </c>
      <c r="P161" s="7" t="n">
        <v>328.3</v>
      </c>
      <c r="R161" s="7" t="n">
        <v>303.9</v>
      </c>
      <c r="T161" s="7" t="n">
        <v>509.7</v>
      </c>
      <c r="V161" s="7" t="n">
        <v>835.5</v>
      </c>
      <c r="X161" s="7" t="n">
        <v>318.3</v>
      </c>
      <c r="Z161" s="7" t="n">
        <v>463.8</v>
      </c>
      <c r="AB161" s="7" t="n">
        <v>4614.3</v>
      </c>
    </row>
    <row r="162">
      <c r="A162" s="4" t="inlineStr">
        <is>
          <t>保险费</t>
        </is>
      </c>
      <c r="D162" s="7" t="n">
        <v>166.9</v>
      </c>
      <c r="F162" s="7" t="n">
        <v>294.5</v>
      </c>
      <c r="H162" s="7" t="n">
        <v>190.2</v>
      </c>
      <c r="J162" s="7" t="n">
        <v>210.1</v>
      </c>
      <c r="L162" s="7" t="n">
        <v>208.1</v>
      </c>
      <c r="N162" s="7" t="n">
        <v>195.9</v>
      </c>
      <c r="P162" s="7" t="n">
        <v>179.4</v>
      </c>
      <c r="R162" s="7" t="n">
        <v>146.4</v>
      </c>
      <c r="T162" s="7" t="n">
        <v>308.8</v>
      </c>
      <c r="V162" s="7" t="n">
        <v>493.2</v>
      </c>
      <c r="X162" s="7" t="n">
        <v>266.8</v>
      </c>
      <c r="Z162" s="7" t="n">
        <v>281.2</v>
      </c>
      <c r="AB162" s="7" t="n">
        <v>2941.5</v>
      </c>
    </row>
    <row r="163">
      <c r="A163" s="4" t="inlineStr">
        <is>
          <t>清洁费</t>
        </is>
      </c>
      <c r="D163" s="7" t="n">
        <v>42.1</v>
      </c>
      <c r="F163" s="7" t="n">
        <v>106.9</v>
      </c>
      <c r="H163" s="7" t="n">
        <v>84.90000000000001</v>
      </c>
      <c r="J163" s="7" t="n">
        <v>105.7</v>
      </c>
      <c r="L163" s="7" t="n">
        <v>94.2</v>
      </c>
      <c r="N163" s="7" t="n">
        <v>128.8</v>
      </c>
      <c r="P163" s="7" t="n">
        <v>112.5</v>
      </c>
      <c r="R163" s="7" t="n">
        <v>66.40000000000001</v>
      </c>
      <c r="T163" s="7" t="n">
        <v>177.4</v>
      </c>
      <c r="V163" s="7" t="n">
        <v>158.4</v>
      </c>
      <c r="X163" s="7" t="n">
        <v>113.9</v>
      </c>
      <c r="Z163" s="7" t="n">
        <v>81.59999999999999</v>
      </c>
      <c r="AB163" s="7" t="n">
        <v>1272.8</v>
      </c>
    </row>
    <row r="164">
      <c r="A164" s="4" t="inlineStr">
        <is>
          <t>低值易耗品</t>
        </is>
      </c>
      <c r="D164" s="7" t="n">
        <v>106.7</v>
      </c>
      <c r="F164" s="7" t="n">
        <v>197.9</v>
      </c>
      <c r="H164" s="7" t="n">
        <v>153.7</v>
      </c>
      <c r="J164" s="7" t="n">
        <v>132.1</v>
      </c>
      <c r="L164" s="7" t="n">
        <v>110.2</v>
      </c>
      <c r="N164" s="7" t="n">
        <v>193.1</v>
      </c>
      <c r="P164" s="7" t="n">
        <v>138.4</v>
      </c>
      <c r="R164" s="7" t="n">
        <v>182.7</v>
      </c>
      <c r="T164" s="7" t="n">
        <v>337.7</v>
      </c>
      <c r="V164" s="7" t="n">
        <v>492.8</v>
      </c>
      <c r="X164" s="7" t="n">
        <v>222.3</v>
      </c>
      <c r="Z164" s="7" t="n">
        <v>200.9</v>
      </c>
      <c r="AB164" s="7" t="n">
        <v>2468.5</v>
      </c>
    </row>
    <row r="165">
      <c r="A165" s="4" t="inlineStr">
        <is>
          <t>物料消耗</t>
        </is>
      </c>
      <c r="D165" s="7" t="n">
        <v>104.9</v>
      </c>
      <c r="F165" s="7" t="n">
        <v>229.9</v>
      </c>
      <c r="H165" s="7" t="n">
        <v>253.2</v>
      </c>
      <c r="J165" s="7" t="n">
        <v>245.1</v>
      </c>
      <c r="L165" s="7" t="n">
        <v>245.7</v>
      </c>
      <c r="N165" s="7" t="n">
        <v>239.6</v>
      </c>
      <c r="P165" s="7" t="n">
        <v>275.5</v>
      </c>
      <c r="R165" s="7" t="n">
        <v>170.2</v>
      </c>
      <c r="T165" s="7" t="n">
        <v>341.4</v>
      </c>
      <c r="V165" s="7" t="n">
        <v>476.1</v>
      </c>
      <c r="X165" s="7" t="n">
        <v>176.7</v>
      </c>
      <c r="Z165" s="7" t="n">
        <v>297.6</v>
      </c>
      <c r="AB165" s="7" t="n">
        <v>3055.9</v>
      </c>
    </row>
    <row r="166">
      <c r="A166" s="4" t="inlineStr">
        <is>
          <t>盘盈盘亏</t>
        </is>
      </c>
      <c r="D166" s="7" t="n">
        <v>290.3</v>
      </c>
      <c r="F166" s="7" t="n">
        <v>504.1</v>
      </c>
      <c r="H166" s="7" t="n">
        <v>389.1</v>
      </c>
      <c r="J166" s="7" t="n">
        <v>326</v>
      </c>
      <c r="L166" s="7" t="n">
        <v>478.9</v>
      </c>
      <c r="N166" s="7" t="n">
        <v>385.9</v>
      </c>
      <c r="P166" s="7" t="n">
        <v>334.7</v>
      </c>
      <c r="R166" s="7" t="n">
        <v>330.2</v>
      </c>
      <c r="T166" s="7" t="n">
        <v>925.6</v>
      </c>
      <c r="V166" s="7" t="n">
        <v>861.2</v>
      </c>
      <c r="X166" s="7" t="n">
        <v>351.2</v>
      </c>
      <c r="Z166" s="7" t="n">
        <v>463.5</v>
      </c>
      <c r="AB166" s="7" t="n">
        <v>5640.7</v>
      </c>
    </row>
    <row r="167">
      <c r="A167" s="4" t="inlineStr">
        <is>
          <t>平台服务费</t>
        </is>
      </c>
      <c r="D167" s="7" t="n">
        <v>182.2</v>
      </c>
      <c r="F167" s="7" t="n">
        <v>363.1</v>
      </c>
      <c r="H167" s="7" t="n">
        <v>369.6</v>
      </c>
      <c r="J167" s="7" t="n">
        <v>262</v>
      </c>
      <c r="L167" s="7" t="n">
        <v>245.6</v>
      </c>
      <c r="N167" s="7" t="n">
        <v>281</v>
      </c>
      <c r="P167" s="7" t="n">
        <v>320.7</v>
      </c>
      <c r="R167" s="7" t="n">
        <v>336.1</v>
      </c>
      <c r="T167" s="7" t="n">
        <v>437</v>
      </c>
      <c r="V167" s="7" t="n">
        <v>658.2</v>
      </c>
      <c r="X167" s="7" t="n">
        <v>400.3</v>
      </c>
      <c r="Z167" s="7" t="n">
        <v>463.9</v>
      </c>
      <c r="AB167" s="7" t="n">
        <v>4319.7</v>
      </c>
    </row>
    <row r="168">
      <c r="A168" s="4" t="inlineStr">
        <is>
          <t>无形资产摊销</t>
        </is>
      </c>
      <c r="D168" s="7" t="n">
        <v>182.1</v>
      </c>
      <c r="F168" s="7" t="n">
        <v>211.2</v>
      </c>
      <c r="H168" s="7" t="n">
        <v>240.9</v>
      </c>
      <c r="J168" s="7" t="n">
        <v>205</v>
      </c>
      <c r="L168" s="7" t="n">
        <v>194.2</v>
      </c>
      <c r="N168" s="7" t="n">
        <v>376.8</v>
      </c>
      <c r="P168" s="7" t="n">
        <v>302.9</v>
      </c>
      <c r="R168" s="7" t="n">
        <v>184.6</v>
      </c>
      <c r="T168" s="7" t="n">
        <v>560.3</v>
      </c>
      <c r="V168" s="7" t="n">
        <v>715</v>
      </c>
      <c r="X168" s="7" t="n">
        <v>228.7</v>
      </c>
      <c r="Z168" s="7" t="n">
        <v>408.6</v>
      </c>
      <c r="AB168" s="7" t="n">
        <v>3810.3</v>
      </c>
    </row>
    <row r="169">
      <c r="A169" s="4" t="inlineStr">
        <is>
          <t>研发材料</t>
        </is>
      </c>
      <c r="D169" s="7" t="n">
        <v>40.7</v>
      </c>
      <c r="F169" s="7" t="n">
        <v>103.8</v>
      </c>
      <c r="H169" s="7" t="n">
        <v>98.40000000000001</v>
      </c>
      <c r="J169" s="7" t="n">
        <v>80.40000000000001</v>
      </c>
      <c r="L169" s="7" t="n">
        <v>100.5</v>
      </c>
      <c r="N169" s="7" t="n">
        <v>84.3</v>
      </c>
      <c r="P169" s="7" t="n">
        <v>97.09999999999999</v>
      </c>
      <c r="R169" s="7" t="n">
        <v>67.40000000000001</v>
      </c>
      <c r="T169" s="7" t="n">
        <v>166.7</v>
      </c>
      <c r="V169" s="7" t="n">
        <v>228.1</v>
      </c>
      <c r="X169" s="7" t="n">
        <v>72.2</v>
      </c>
      <c r="Z169" s="7" t="n">
        <v>103.9</v>
      </c>
      <c r="AB169" s="7" t="n">
        <v>1243.5</v>
      </c>
    </row>
    <row r="170">
      <c r="A170" s="4" t="inlineStr">
        <is>
          <t>项目名称</t>
        </is>
      </c>
      <c r="D170" s="7" t="n">
        <v>32.3</v>
      </c>
      <c r="F170" s="7" t="n">
        <v>56.4</v>
      </c>
      <c r="H170" s="7" t="n">
        <v>50.5</v>
      </c>
      <c r="J170" s="7" t="n">
        <v>42.9</v>
      </c>
      <c r="L170" s="7" t="n">
        <v>39.4</v>
      </c>
      <c r="N170" s="7" t="n">
        <v>62.1</v>
      </c>
      <c r="P170" s="7" t="n">
        <v>53.9</v>
      </c>
      <c r="R170" s="7" t="n">
        <v>44.4</v>
      </c>
      <c r="T170" s="7" t="n">
        <v>83.59999999999999</v>
      </c>
      <c r="V170" s="7" t="n">
        <v>131.7</v>
      </c>
      <c r="X170" s="7" t="n">
        <v>56.1</v>
      </c>
      <c r="Z170" s="7" t="n">
        <v>80.3</v>
      </c>
      <c r="AB170" s="7" t="n">
        <v>733.6</v>
      </c>
    </row>
    <row r="171">
      <c r="A171" s="4" t="inlineStr">
        <is>
          <t>研发费</t>
        </is>
      </c>
      <c r="D171" s="7" t="n">
        <v>48.8</v>
      </c>
      <c r="F171" s="7" t="n">
        <v>80.2</v>
      </c>
      <c r="H171" s="7" t="n">
        <v>102.2</v>
      </c>
      <c r="J171" s="7" t="n">
        <v>81.2</v>
      </c>
      <c r="L171" s="7" t="n">
        <v>71.40000000000001</v>
      </c>
      <c r="N171" s="7" t="n">
        <v>110.2</v>
      </c>
      <c r="P171" s="7" t="n">
        <v>127.5</v>
      </c>
      <c r="R171" s="7" t="n">
        <v>113.1</v>
      </c>
      <c r="T171" s="7" t="n">
        <v>182.8</v>
      </c>
      <c r="V171" s="7" t="n">
        <v>202.8</v>
      </c>
      <c r="X171" s="7" t="n">
        <v>132.1</v>
      </c>
      <c r="Z171" s="7" t="n">
        <v>173.5</v>
      </c>
      <c r="AB171" s="7" t="n">
        <v>1425.8</v>
      </c>
    </row>
    <row r="172">
      <c r="A172" s="4" t="inlineStr">
        <is>
          <t>残保金</t>
        </is>
      </c>
      <c r="D172" s="7" t="n">
        <v>67.09999999999999</v>
      </c>
      <c r="F172" s="7" t="n">
        <v>159</v>
      </c>
      <c r="H172" s="7" t="n">
        <v>131.9</v>
      </c>
      <c r="J172" s="7" t="n">
        <v>117.1</v>
      </c>
      <c r="L172" s="7" t="n">
        <v>121.3</v>
      </c>
      <c r="N172" s="7" t="n">
        <v>183.7</v>
      </c>
      <c r="P172" s="7" t="n">
        <v>109.9</v>
      </c>
      <c r="R172" s="7" t="n">
        <v>122.5</v>
      </c>
      <c r="T172" s="7" t="n">
        <v>267.6</v>
      </c>
      <c r="V172" s="7" t="n">
        <v>321.1</v>
      </c>
      <c r="X172" s="7" t="n">
        <v>125</v>
      </c>
      <c r="Z172" s="7" t="n">
        <v>214.8</v>
      </c>
      <c r="AB172" s="7" t="n">
        <v>1941</v>
      </c>
    </row>
    <row r="173">
      <c r="A173" s="4" t="inlineStr">
        <is>
          <t>环保费</t>
        </is>
      </c>
      <c r="D173" s="7" t="n">
        <v>64.40000000000001</v>
      </c>
      <c r="F173" s="7" t="n">
        <v>89.59999999999999</v>
      </c>
      <c r="H173" s="7" t="n">
        <v>104.9</v>
      </c>
      <c r="J173" s="7" t="n">
        <v>148</v>
      </c>
      <c r="L173" s="7" t="n">
        <v>80.09999999999999</v>
      </c>
      <c r="N173" s="7" t="n">
        <v>101.4</v>
      </c>
      <c r="P173" s="7" t="n">
        <v>127.3</v>
      </c>
      <c r="R173" s="7" t="n">
        <v>98</v>
      </c>
      <c r="T173" s="7" t="n">
        <v>171.3</v>
      </c>
      <c r="V173" s="7" t="n">
        <v>248.6</v>
      </c>
      <c r="X173" s="7" t="n">
        <v>93.90000000000001</v>
      </c>
      <c r="Z173" s="7" t="n">
        <v>170.1</v>
      </c>
      <c r="AB173" s="7" t="n">
        <v>1497.6</v>
      </c>
    </row>
    <row r="174">
      <c r="A174" s="4" t="inlineStr">
        <is>
          <t>报废损失</t>
        </is>
      </c>
      <c r="D174" s="7" t="n">
        <v>273.6</v>
      </c>
      <c r="F174" s="7" t="n">
        <v>553.4</v>
      </c>
      <c r="H174" s="7" t="n">
        <v>484.9</v>
      </c>
      <c r="J174" s="7" t="n">
        <v>423.6</v>
      </c>
      <c r="L174" s="7" t="n">
        <v>309.5</v>
      </c>
      <c r="N174" s="7" t="n">
        <v>392.2</v>
      </c>
      <c r="P174" s="7" t="n">
        <v>550.5</v>
      </c>
      <c r="R174" s="7" t="n">
        <v>404.6</v>
      </c>
      <c r="T174" s="7" t="n">
        <v>983</v>
      </c>
      <c r="V174" s="7" t="n">
        <v>1244</v>
      </c>
      <c r="X174" s="7" t="n">
        <v>456.8</v>
      </c>
      <c r="Z174" s="7" t="n">
        <v>439.4</v>
      </c>
      <c r="AB174" s="7" t="n">
        <v>6515.5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46020.4</v>
      </c>
      <c r="D175" s="7" t="n">
        <v>16250.4</v>
      </c>
      <c r="E175" s="7" t="n">
        <v>48373.9</v>
      </c>
      <c r="F175" s="7" t="n">
        <v>15122.8</v>
      </c>
      <c r="G175" s="7" t="n">
        <v>46856.3</v>
      </c>
      <c r="H175" s="7" t="n">
        <v>27425.8</v>
      </c>
      <c r="I175" s="7" t="n">
        <v>47926.9</v>
      </c>
      <c r="J175" s="7" t="n">
        <v>63467.2</v>
      </c>
      <c r="K175" s="7" t="n">
        <v>48514</v>
      </c>
      <c r="L175" s="7" t="n">
        <v>47632.2</v>
      </c>
      <c r="M175" s="7" t="n">
        <v>44534.4</v>
      </c>
      <c r="N175" s="7" t="n">
        <v>70022.5</v>
      </c>
      <c r="O175" s="7" t="n">
        <v>38261.8</v>
      </c>
      <c r="P175" s="7" t="n">
        <v>102600.5</v>
      </c>
      <c r="Q175" s="7" t="n">
        <v>45703.8</v>
      </c>
      <c r="R175" s="7" t="n">
        <v>32935.1</v>
      </c>
      <c r="S175" s="7" t="n">
        <v>46254.9</v>
      </c>
      <c r="T175" s="7" t="n">
        <v>45015.7</v>
      </c>
      <c r="U175" s="7" t="n">
        <v>37066.5</v>
      </c>
      <c r="V175" s="7" t="n">
        <v>50739.8</v>
      </c>
      <c r="W175" s="7" t="n">
        <v>49507.2</v>
      </c>
      <c r="X175" s="7" t="n">
        <v>19234.7</v>
      </c>
      <c r="Y175" s="7" t="n">
        <v>47917.9</v>
      </c>
      <c r="Z175" s="7" t="n">
        <v>29045.1</v>
      </c>
      <c r="AA175" s="8" t="n">
        <v>546938</v>
      </c>
      <c r="AB175" s="8" t="n">
        <v>519491.8</v>
      </c>
    </row>
    <row r="176">
      <c r="A176" s="4" t="inlineStr">
        <is>
          <t>职工薪酬</t>
        </is>
      </c>
      <c r="D176" s="7" t="n">
        <v>9534.1</v>
      </c>
      <c r="F176" s="7" t="n">
        <v>7957.1</v>
      </c>
      <c r="H176" s="7" t="n">
        <v>15941.9</v>
      </c>
      <c r="J176" s="7" t="n">
        <v>33587.4</v>
      </c>
      <c r="L176" s="7" t="n">
        <v>29523.4</v>
      </c>
      <c r="N176" s="7" t="n">
        <v>37103.9</v>
      </c>
      <c r="P176" s="7" t="n">
        <v>47919.3</v>
      </c>
      <c r="R176" s="7" t="n">
        <v>18937.8</v>
      </c>
      <c r="T176" s="7" t="n">
        <v>28177.1</v>
      </c>
      <c r="V176" s="7" t="n">
        <v>23655.8</v>
      </c>
      <c r="X176" s="7" t="n">
        <v>9801.9</v>
      </c>
      <c r="Z176" s="7" t="n">
        <v>17481.8</v>
      </c>
      <c r="AB176" s="7" t="n">
        <v>279621.5</v>
      </c>
    </row>
    <row r="177">
      <c r="A177" s="4" t="inlineStr">
        <is>
          <t>工资</t>
        </is>
      </c>
      <c r="D177" s="7" t="n">
        <v>5978.3</v>
      </c>
      <c r="F177" s="7" t="n">
        <v>5023.6</v>
      </c>
      <c r="H177" s="7" t="n">
        <v>10198.6</v>
      </c>
      <c r="J177" s="7" t="n">
        <v>18460.6</v>
      </c>
      <c r="L177" s="7" t="n">
        <v>18219.1</v>
      </c>
      <c r="N177" s="7" t="n">
        <v>21345.9</v>
      </c>
      <c r="P177" s="7" t="n">
        <v>26445.9</v>
      </c>
      <c r="R177" s="7" t="n">
        <v>10942.1</v>
      </c>
      <c r="T177" s="7" t="n">
        <v>16648.6</v>
      </c>
      <c r="V177" s="7" t="n">
        <v>14226.7</v>
      </c>
      <c r="X177" s="7" t="n">
        <v>5484.1</v>
      </c>
      <c r="Z177" s="7" t="n">
        <v>11295.9</v>
      </c>
      <c r="AB177" s="7" t="n">
        <v>164269.4</v>
      </c>
    </row>
    <row r="178">
      <c r="A178" s="4" t="inlineStr">
        <is>
          <t>奖金及提成</t>
        </is>
      </c>
      <c r="D178" s="7" t="n">
        <v>1439.1</v>
      </c>
      <c r="F178" s="7" t="n">
        <v>1095.9</v>
      </c>
      <c r="H178" s="7" t="n">
        <v>2775.6</v>
      </c>
      <c r="J178" s="7" t="n">
        <v>5749.9</v>
      </c>
      <c r="L178" s="7" t="n">
        <v>5084.4</v>
      </c>
      <c r="N178" s="7" t="n">
        <v>6722.7</v>
      </c>
      <c r="P178" s="7" t="n">
        <v>9983.200000000001</v>
      </c>
      <c r="R178" s="7" t="n">
        <v>4218.6</v>
      </c>
      <c r="T178" s="7" t="n">
        <v>5291.2</v>
      </c>
      <c r="V178" s="7" t="n">
        <v>4429.8</v>
      </c>
      <c r="X178" s="7" t="n">
        <v>2465.3</v>
      </c>
      <c r="Z178" s="7" t="n">
        <v>2902.6</v>
      </c>
      <c r="AB178" s="7" t="n">
        <v>52158.3</v>
      </c>
    </row>
    <row r="179">
      <c r="A179" s="4" t="inlineStr">
        <is>
          <t>社保</t>
        </is>
      </c>
      <c r="D179" s="7" t="n">
        <v>1444.7</v>
      </c>
      <c r="F179" s="7" t="n">
        <v>1185.4</v>
      </c>
      <c r="H179" s="7" t="n">
        <v>1733.6</v>
      </c>
      <c r="J179" s="7" t="n">
        <v>6499.1</v>
      </c>
      <c r="L179" s="7" t="n">
        <v>4093.6</v>
      </c>
      <c r="N179" s="7" t="n">
        <v>6154.1</v>
      </c>
      <c r="P179" s="7" t="n">
        <v>7241</v>
      </c>
      <c r="R179" s="7" t="n">
        <v>2300.1</v>
      </c>
      <c r="T179" s="7" t="n">
        <v>4249</v>
      </c>
      <c r="V179" s="7" t="n">
        <v>2879.4</v>
      </c>
      <c r="X179" s="7" t="n">
        <v>1115</v>
      </c>
      <c r="Z179" s="7" t="n">
        <v>2021.1</v>
      </c>
      <c r="AB179" s="7" t="n">
        <v>40916.1</v>
      </c>
    </row>
    <row r="180">
      <c r="A180" s="4" t="inlineStr">
        <is>
          <t>养老</t>
        </is>
      </c>
      <c r="D180" s="7" t="n">
        <v>46.3</v>
      </c>
      <c r="F180" s="7" t="n">
        <v>52</v>
      </c>
      <c r="H180" s="7" t="n">
        <v>102.2</v>
      </c>
      <c r="J180" s="7" t="n">
        <v>270.6</v>
      </c>
      <c r="L180" s="7" t="n">
        <v>129.7</v>
      </c>
      <c r="N180" s="7" t="n">
        <v>231.7</v>
      </c>
      <c r="P180" s="7" t="n">
        <v>363.2</v>
      </c>
      <c r="R180" s="7" t="n">
        <v>111.4</v>
      </c>
      <c r="T180" s="7" t="n">
        <v>212.8</v>
      </c>
      <c r="V180" s="7" t="n">
        <v>216.9</v>
      </c>
      <c r="X180" s="7" t="n">
        <v>86.90000000000001</v>
      </c>
      <c r="Z180" s="7" t="n">
        <v>89.59999999999999</v>
      </c>
      <c r="AB180" s="7" t="n">
        <v>1913.3</v>
      </c>
    </row>
    <row r="181">
      <c r="A181" s="4" t="inlineStr">
        <is>
          <t>医疗</t>
        </is>
      </c>
      <c r="D181" s="7" t="n">
        <v>7.9</v>
      </c>
      <c r="F181" s="7" t="n">
        <v>11.1</v>
      </c>
      <c r="H181" s="7" t="n">
        <v>12.7</v>
      </c>
      <c r="J181" s="7" t="n">
        <v>37.6</v>
      </c>
      <c r="L181" s="7" t="n">
        <v>20.1</v>
      </c>
      <c r="N181" s="7" t="n">
        <v>32.8</v>
      </c>
      <c r="P181" s="7" t="n">
        <v>56.9</v>
      </c>
      <c r="R181" s="7" t="n">
        <v>17</v>
      </c>
      <c r="T181" s="7" t="n">
        <v>30.1</v>
      </c>
      <c r="V181" s="7" t="n">
        <v>31</v>
      </c>
      <c r="X181" s="7" t="n">
        <v>10.3</v>
      </c>
      <c r="Z181" s="7" t="n">
        <v>21</v>
      </c>
      <c r="AB181" s="7" t="n">
        <v>288.5</v>
      </c>
    </row>
    <row r="182">
      <c r="A182" s="4" t="inlineStr">
        <is>
          <t>工伤</t>
        </is>
      </c>
      <c r="D182" s="7" t="n">
        <v>9</v>
      </c>
      <c r="F182" s="7" t="n">
        <v>8.6</v>
      </c>
      <c r="H182" s="7" t="n">
        <v>15.6</v>
      </c>
      <c r="J182" s="7" t="n">
        <v>42.4</v>
      </c>
      <c r="L182" s="7" t="n">
        <v>33.9</v>
      </c>
      <c r="N182" s="7" t="n">
        <v>40.3</v>
      </c>
      <c r="P182" s="7" t="n">
        <v>69.09999999999999</v>
      </c>
      <c r="R182" s="7" t="n">
        <v>23.5</v>
      </c>
      <c r="T182" s="7" t="n">
        <v>23.7</v>
      </c>
      <c r="V182" s="7" t="n">
        <v>25.5</v>
      </c>
      <c r="X182" s="7" t="n">
        <v>12.8</v>
      </c>
      <c r="Z182" s="7" t="n">
        <v>16.5</v>
      </c>
      <c r="AB182" s="7" t="n">
        <v>320.9</v>
      </c>
    </row>
    <row r="183">
      <c r="A183" s="4" t="inlineStr">
        <is>
          <t>失业</t>
        </is>
      </c>
      <c r="D183" s="7" t="n">
        <v>9.5</v>
      </c>
      <c r="F183" s="7" t="n">
        <v>9.1</v>
      </c>
      <c r="H183" s="7" t="n">
        <v>15.8</v>
      </c>
      <c r="J183" s="7" t="n">
        <v>33</v>
      </c>
      <c r="L183" s="7" t="n">
        <v>32.8</v>
      </c>
      <c r="N183" s="7" t="n">
        <v>37.8</v>
      </c>
      <c r="P183" s="7" t="n">
        <v>45.1</v>
      </c>
      <c r="R183" s="7" t="n">
        <v>17.8</v>
      </c>
      <c r="T183" s="7" t="n">
        <v>22.4</v>
      </c>
      <c r="V183" s="7" t="n">
        <v>35.9</v>
      </c>
      <c r="X183" s="7" t="n">
        <v>12.2</v>
      </c>
      <c r="Z183" s="7" t="n">
        <v>16</v>
      </c>
      <c r="AB183" s="7" t="n">
        <v>287.4</v>
      </c>
    </row>
    <row r="184">
      <c r="A184" s="4" t="inlineStr">
        <is>
          <t>生育</t>
        </is>
      </c>
      <c r="D184" s="7" t="n">
        <v>43.4</v>
      </c>
      <c r="F184" s="7" t="n">
        <v>40.1</v>
      </c>
      <c r="H184" s="7" t="n">
        <v>55.1</v>
      </c>
      <c r="J184" s="7" t="n">
        <v>184.3</v>
      </c>
      <c r="L184" s="7" t="n">
        <v>170.2</v>
      </c>
      <c r="N184" s="7" t="n">
        <v>187.1</v>
      </c>
      <c r="P184" s="7" t="n">
        <v>331.9</v>
      </c>
      <c r="R184" s="7" t="n">
        <v>98.7</v>
      </c>
      <c r="T184" s="7" t="n">
        <v>111.3</v>
      </c>
      <c r="V184" s="7" t="n">
        <v>120.3</v>
      </c>
      <c r="X184" s="7" t="n">
        <v>54.3</v>
      </c>
      <c r="Z184" s="7" t="n">
        <v>63.2</v>
      </c>
      <c r="AB184" s="7" t="n">
        <v>1459.9</v>
      </c>
    </row>
    <row r="185">
      <c r="A185" s="4" t="inlineStr">
        <is>
          <t>公积金</t>
        </is>
      </c>
      <c r="D185" s="7" t="n">
        <v>60.2</v>
      </c>
      <c r="F185" s="7" t="n">
        <v>47.2</v>
      </c>
      <c r="H185" s="7" t="n">
        <v>112.7</v>
      </c>
      <c r="J185" s="7" t="n">
        <v>211.5</v>
      </c>
      <c r="L185" s="7" t="n">
        <v>159.8</v>
      </c>
      <c r="N185" s="7" t="n">
        <v>175.5</v>
      </c>
      <c r="P185" s="7" t="n">
        <v>432.9</v>
      </c>
      <c r="R185" s="7" t="n">
        <v>143.7</v>
      </c>
      <c r="T185" s="7" t="n">
        <v>156.5</v>
      </c>
      <c r="V185" s="7" t="n">
        <v>132.4</v>
      </c>
      <c r="X185" s="7" t="n">
        <v>50.2</v>
      </c>
      <c r="Z185" s="7" t="n">
        <v>124</v>
      </c>
      <c r="AB185" s="7" t="n">
        <v>1806.6</v>
      </c>
    </row>
    <row r="186">
      <c r="A186" s="4" t="inlineStr">
        <is>
          <t>工会经费</t>
        </is>
      </c>
      <c r="D186" s="7" t="n">
        <v>62.3</v>
      </c>
      <c r="F186" s="7" t="n">
        <v>48.9</v>
      </c>
      <c r="H186" s="7" t="n">
        <v>102.2</v>
      </c>
      <c r="J186" s="7" t="n">
        <v>267.5</v>
      </c>
      <c r="L186" s="7" t="n">
        <v>182.4</v>
      </c>
      <c r="N186" s="7" t="n">
        <v>219.8</v>
      </c>
      <c r="P186" s="7" t="n">
        <v>500.3</v>
      </c>
      <c r="R186" s="7" t="n">
        <v>155</v>
      </c>
      <c r="T186" s="7" t="n">
        <v>219.4</v>
      </c>
      <c r="V186" s="7" t="n">
        <v>158.2</v>
      </c>
      <c r="X186" s="7" t="n">
        <v>67.5</v>
      </c>
      <c r="Z186" s="7" t="n">
        <v>97.3</v>
      </c>
      <c r="AB186" s="7" t="n">
        <v>2080.8</v>
      </c>
    </row>
    <row r="187">
      <c r="A187" s="4" t="inlineStr">
        <is>
          <t>职工教育经费</t>
        </is>
      </c>
      <c r="D187" s="7" t="n">
        <v>78.7</v>
      </c>
      <c r="F187" s="7" t="n">
        <v>61.2</v>
      </c>
      <c r="H187" s="7" t="n">
        <v>147.2</v>
      </c>
      <c r="J187" s="7" t="n">
        <v>373.3</v>
      </c>
      <c r="L187" s="7" t="n">
        <v>203.6</v>
      </c>
      <c r="N187" s="7" t="n">
        <v>301.4</v>
      </c>
      <c r="P187" s="7" t="n">
        <v>644.4</v>
      </c>
      <c r="R187" s="7" t="n">
        <v>112.6</v>
      </c>
      <c r="T187" s="7" t="n">
        <v>216.6</v>
      </c>
      <c r="V187" s="7" t="n">
        <v>274.1</v>
      </c>
      <c r="X187" s="7" t="n">
        <v>71.8</v>
      </c>
      <c r="Z187" s="7" t="n">
        <v>98.7</v>
      </c>
      <c r="AB187" s="7" t="n">
        <v>2583.6</v>
      </c>
    </row>
    <row r="188">
      <c r="A188" s="4" t="inlineStr">
        <is>
          <t>福利费</t>
        </is>
      </c>
      <c r="D188" s="7" t="n">
        <v>470.8</v>
      </c>
      <c r="F188" s="7" t="n">
        <v>494.9</v>
      </c>
      <c r="H188" s="7" t="n">
        <v>872</v>
      </c>
      <c r="J188" s="7" t="n">
        <v>2025.5</v>
      </c>
      <c r="L188" s="7" t="n">
        <v>1580.5</v>
      </c>
      <c r="N188" s="7" t="n">
        <v>2184.5</v>
      </c>
      <c r="P188" s="7" t="n">
        <v>2671.6</v>
      </c>
      <c r="R188" s="7" t="n">
        <v>1065.7</v>
      </c>
      <c r="T188" s="7" t="n">
        <v>1395.8</v>
      </c>
      <c r="V188" s="7" t="n">
        <v>1555.2</v>
      </c>
      <c r="X188" s="7" t="n">
        <v>548</v>
      </c>
      <c r="Z188" s="7" t="n">
        <v>942.2</v>
      </c>
      <c r="AB188" s="7" t="n">
        <v>15806.7</v>
      </c>
    </row>
    <row r="189">
      <c r="A189" s="4" t="inlineStr">
        <is>
          <t>职工房租</t>
        </is>
      </c>
      <c r="D189" s="7" t="n">
        <v>92.2</v>
      </c>
      <c r="F189" s="7" t="n">
        <v>99.59999999999999</v>
      </c>
      <c r="H189" s="7" t="n">
        <v>167.8</v>
      </c>
      <c r="J189" s="7" t="n">
        <v>425.8</v>
      </c>
      <c r="L189" s="7" t="n">
        <v>281.4</v>
      </c>
      <c r="N189" s="7" t="n">
        <v>370.8</v>
      </c>
      <c r="P189" s="7" t="n">
        <v>612.6</v>
      </c>
      <c r="R189" s="7" t="n">
        <v>147.4</v>
      </c>
      <c r="T189" s="7" t="n">
        <v>296</v>
      </c>
      <c r="V189" s="7" t="n">
        <v>306.5</v>
      </c>
      <c r="X189" s="7" t="n">
        <v>85.2</v>
      </c>
      <c r="Z189" s="7" t="n">
        <v>183.6</v>
      </c>
      <c r="AB189" s="7" t="n">
        <v>3068.9</v>
      </c>
    </row>
    <row r="190">
      <c r="A190" s="4" t="inlineStr">
        <is>
          <t>水电物业费</t>
        </is>
      </c>
      <c r="D190" s="7" t="n">
        <v>57.4</v>
      </c>
      <c r="F190" s="7" t="n">
        <v>47.4</v>
      </c>
      <c r="H190" s="7" t="n">
        <v>108.2</v>
      </c>
      <c r="J190" s="7" t="n">
        <v>290.2</v>
      </c>
      <c r="L190" s="7" t="n">
        <v>170</v>
      </c>
      <c r="N190" s="7" t="n">
        <v>276.3</v>
      </c>
      <c r="P190" s="7" t="n">
        <v>343.8</v>
      </c>
      <c r="R190" s="7" t="n">
        <v>132.1</v>
      </c>
      <c r="T190" s="7" t="n">
        <v>123.4</v>
      </c>
      <c r="V190" s="7" t="n">
        <v>172.8</v>
      </c>
      <c r="X190" s="7" t="n">
        <v>65.8</v>
      </c>
      <c r="Z190" s="7" t="n">
        <v>74.59999999999999</v>
      </c>
      <c r="AB190" s="7" t="n">
        <v>1862</v>
      </c>
    </row>
    <row r="191">
      <c r="A191" s="4" t="inlineStr">
        <is>
          <t>员工餐</t>
        </is>
      </c>
      <c r="D191" s="7" t="n">
        <v>50.6</v>
      </c>
      <c r="F191" s="7" t="n">
        <v>32</v>
      </c>
      <c r="H191" s="7" t="n">
        <v>72.5</v>
      </c>
      <c r="J191" s="7" t="n">
        <v>206.8</v>
      </c>
      <c r="L191" s="7" t="n">
        <v>176.4</v>
      </c>
      <c r="N191" s="7" t="n">
        <v>225</v>
      </c>
      <c r="P191" s="7" t="n">
        <v>223.1</v>
      </c>
      <c r="R191" s="7" t="n">
        <v>122.8</v>
      </c>
      <c r="T191" s="7" t="n">
        <v>172.4</v>
      </c>
      <c r="V191" s="7" t="n">
        <v>149.2</v>
      </c>
      <c r="X191" s="7" t="n">
        <v>65.40000000000001</v>
      </c>
      <c r="Z191" s="7" t="n">
        <v>75.40000000000001</v>
      </c>
      <c r="AB191" s="7" t="n">
        <v>1571.6</v>
      </c>
    </row>
    <row r="192">
      <c r="A192" s="4" t="inlineStr">
        <is>
          <t>节日礼品</t>
        </is>
      </c>
      <c r="D192" s="7" t="n">
        <v>95.7</v>
      </c>
      <c r="F192" s="7" t="n">
        <v>118.1</v>
      </c>
      <c r="H192" s="7" t="n">
        <v>176.9</v>
      </c>
      <c r="J192" s="7" t="n">
        <v>371.5</v>
      </c>
      <c r="L192" s="7" t="n">
        <v>344.6</v>
      </c>
      <c r="N192" s="7" t="n">
        <v>421.2</v>
      </c>
      <c r="P192" s="7" t="n">
        <v>487.2</v>
      </c>
      <c r="R192" s="7" t="n">
        <v>231.9</v>
      </c>
      <c r="T192" s="7" t="n">
        <v>264</v>
      </c>
      <c r="V192" s="7" t="n">
        <v>369.6</v>
      </c>
      <c r="X192" s="7" t="n">
        <v>111.9</v>
      </c>
      <c r="Z192" s="7" t="n">
        <v>211.1</v>
      </c>
      <c r="AB192" s="7" t="n">
        <v>3203.7</v>
      </c>
    </row>
    <row r="193">
      <c r="A193" s="4" t="inlineStr">
        <is>
          <t>生日礼品</t>
        </is>
      </c>
      <c r="D193" s="7" t="n">
        <v>72.7</v>
      </c>
      <c r="F193" s="7" t="n">
        <v>90.3</v>
      </c>
      <c r="H193" s="7" t="n">
        <v>124.8</v>
      </c>
      <c r="J193" s="7" t="n">
        <v>306.6</v>
      </c>
      <c r="L193" s="7" t="n">
        <v>307.1</v>
      </c>
      <c r="N193" s="7" t="n">
        <v>392.7</v>
      </c>
      <c r="P193" s="7" t="n">
        <v>490.1</v>
      </c>
      <c r="R193" s="7" t="n">
        <v>167</v>
      </c>
      <c r="T193" s="7" t="n">
        <v>254.4</v>
      </c>
      <c r="V193" s="7" t="n">
        <v>273.7</v>
      </c>
      <c r="X193" s="7" t="n">
        <v>124.7</v>
      </c>
      <c r="Z193" s="7" t="n">
        <v>174.6</v>
      </c>
      <c r="AB193" s="7" t="n">
        <v>2778.7</v>
      </c>
    </row>
    <row r="194">
      <c r="A194" s="4" t="inlineStr">
        <is>
          <t>体检</t>
        </is>
      </c>
      <c r="D194" s="7" t="n">
        <v>43.5</v>
      </c>
      <c r="F194" s="7" t="n">
        <v>46.6</v>
      </c>
      <c r="H194" s="7" t="n">
        <v>120.3</v>
      </c>
      <c r="J194" s="7" t="n">
        <v>198.7</v>
      </c>
      <c r="L194" s="7" t="n">
        <v>175.7</v>
      </c>
      <c r="N194" s="7" t="n">
        <v>227.3</v>
      </c>
      <c r="P194" s="7" t="n">
        <v>257</v>
      </c>
      <c r="R194" s="7" t="n">
        <v>137.4</v>
      </c>
      <c r="T194" s="7" t="n">
        <v>123.4</v>
      </c>
      <c r="V194" s="7" t="n">
        <v>132.5</v>
      </c>
      <c r="X194" s="7" t="n">
        <v>50.6</v>
      </c>
      <c r="Z194" s="7" t="n">
        <v>126.1</v>
      </c>
      <c r="AB194" s="7" t="n">
        <v>1639.1</v>
      </c>
    </row>
    <row r="195">
      <c r="A195" s="4" t="inlineStr">
        <is>
          <t>其他福利支出</t>
        </is>
      </c>
      <c r="D195" s="7" t="n">
        <v>58.7</v>
      </c>
      <c r="F195" s="7" t="n">
        <v>60.9</v>
      </c>
      <c r="H195" s="7" t="n">
        <v>101.5</v>
      </c>
      <c r="J195" s="7" t="n">
        <v>225.9</v>
      </c>
      <c r="L195" s="7" t="n">
        <v>125.3</v>
      </c>
      <c r="N195" s="7" t="n">
        <v>271.2</v>
      </c>
      <c r="P195" s="7" t="n">
        <v>257.8</v>
      </c>
      <c r="R195" s="7" t="n">
        <v>127.1</v>
      </c>
      <c r="T195" s="7" t="n">
        <v>162.2</v>
      </c>
      <c r="V195" s="7" t="n">
        <v>150.9</v>
      </c>
      <c r="X195" s="7" t="n">
        <v>44.4</v>
      </c>
      <c r="Z195" s="7" t="n">
        <v>96.8</v>
      </c>
      <c r="AB195" s="7" t="n">
        <v>1682.7</v>
      </c>
    </row>
    <row r="196">
      <c r="A196" s="4" t="inlineStr">
        <is>
          <t>招聘费</t>
        </is>
      </c>
      <c r="D196" s="7" t="n">
        <v>14.7</v>
      </c>
      <c r="F196" s="7" t="n">
        <v>8.4</v>
      </c>
      <c r="H196" s="7" t="n">
        <v>23.8</v>
      </c>
      <c r="J196" s="7" t="n">
        <v>50.7</v>
      </c>
      <c r="L196" s="7" t="n">
        <v>43.1</v>
      </c>
      <c r="N196" s="7" t="n">
        <v>65.90000000000001</v>
      </c>
      <c r="P196" s="7" t="n">
        <v>68.8</v>
      </c>
      <c r="R196" s="7" t="n">
        <v>27.7</v>
      </c>
      <c r="T196" s="7" t="n">
        <v>31.3</v>
      </c>
      <c r="V196" s="7" t="n">
        <v>49.3</v>
      </c>
      <c r="X196" s="7" t="n">
        <v>15.1</v>
      </c>
      <c r="Z196" s="7" t="n">
        <v>17.9</v>
      </c>
      <c r="AB196" s="7" t="n">
        <v>416.7</v>
      </c>
    </row>
    <row r="197">
      <c r="A197" s="4" t="inlineStr">
        <is>
          <t>办公费</t>
        </is>
      </c>
      <c r="D197" s="7" t="n">
        <v>415.1</v>
      </c>
      <c r="F197" s="7" t="n">
        <v>436.7</v>
      </c>
      <c r="H197" s="7" t="n">
        <v>717.2</v>
      </c>
      <c r="J197" s="7" t="n">
        <v>1562.7</v>
      </c>
      <c r="L197" s="7" t="n">
        <v>1139.2</v>
      </c>
      <c r="N197" s="7" t="n">
        <v>2496.2</v>
      </c>
      <c r="P197" s="7" t="n">
        <v>3648.1</v>
      </c>
      <c r="R197" s="7" t="n">
        <v>805.6</v>
      </c>
      <c r="T197" s="7" t="n">
        <v>1417</v>
      </c>
      <c r="V197" s="7" t="n">
        <v>1640.1</v>
      </c>
      <c r="X197" s="7" t="n">
        <v>635.4</v>
      </c>
      <c r="Z197" s="7" t="n">
        <v>716.4</v>
      </c>
      <c r="AB197" s="7" t="n">
        <v>15629.7</v>
      </c>
    </row>
    <row r="198">
      <c r="A198" s="4" t="inlineStr">
        <is>
          <t>市内交通费</t>
        </is>
      </c>
      <c r="D198" s="7" t="n">
        <v>106.7</v>
      </c>
      <c r="F198" s="7" t="n">
        <v>73.59999999999999</v>
      </c>
      <c r="H198" s="7" t="n">
        <v>137.6</v>
      </c>
      <c r="J198" s="7" t="n">
        <v>346.5</v>
      </c>
      <c r="L198" s="7" t="n">
        <v>188</v>
      </c>
      <c r="N198" s="7" t="n">
        <v>301.7</v>
      </c>
      <c r="P198" s="7" t="n">
        <v>620.2</v>
      </c>
      <c r="R198" s="7" t="n">
        <v>218.1</v>
      </c>
      <c r="T198" s="7" t="n">
        <v>259.5</v>
      </c>
      <c r="V198" s="7" t="n">
        <v>268.9</v>
      </c>
      <c r="X198" s="7" t="n">
        <v>122.5</v>
      </c>
      <c r="Z198" s="7" t="n">
        <v>160.8</v>
      </c>
      <c r="AB198" s="7" t="n">
        <v>2804.1</v>
      </c>
    </row>
    <row r="199">
      <c r="A199" s="4" t="inlineStr">
        <is>
          <t>差旅费</t>
        </is>
      </c>
      <c r="D199" s="7" t="n">
        <v>959.7</v>
      </c>
      <c r="F199" s="7" t="n">
        <v>826.9</v>
      </c>
      <c r="H199" s="7" t="n">
        <v>1762.5</v>
      </c>
      <c r="J199" s="7" t="n">
        <v>3942.1</v>
      </c>
      <c r="L199" s="7" t="n">
        <v>2237</v>
      </c>
      <c r="N199" s="7" t="n">
        <v>3110.2</v>
      </c>
      <c r="P199" s="7" t="n">
        <v>5888.3</v>
      </c>
      <c r="R199" s="7" t="n">
        <v>1829.2</v>
      </c>
      <c r="T199" s="7" t="n">
        <v>2005.5</v>
      </c>
      <c r="V199" s="7" t="n">
        <v>2273.8</v>
      </c>
      <c r="X199" s="7" t="n">
        <v>1349.6</v>
      </c>
      <c r="Z199" s="7" t="n">
        <v>1531.7</v>
      </c>
      <c r="AB199" s="7" t="n">
        <v>27716.5</v>
      </c>
    </row>
    <row r="200">
      <c r="A200" s="4" t="inlineStr">
        <is>
          <t>交通费</t>
        </is>
      </c>
      <c r="D200" s="7" t="n">
        <v>10.5</v>
      </c>
      <c r="F200" s="7" t="n">
        <v>12.4</v>
      </c>
      <c r="H200" s="7" t="n">
        <v>19.1</v>
      </c>
      <c r="J200" s="7" t="n">
        <v>41</v>
      </c>
      <c r="L200" s="7" t="n">
        <v>46.6</v>
      </c>
      <c r="N200" s="7" t="n">
        <v>67.90000000000001</v>
      </c>
      <c r="P200" s="7" t="n">
        <v>67.5</v>
      </c>
      <c r="R200" s="7" t="n">
        <v>28.6</v>
      </c>
      <c r="T200" s="7" t="n">
        <v>25.8</v>
      </c>
      <c r="V200" s="7" t="n">
        <v>48</v>
      </c>
      <c r="X200" s="7" t="n">
        <v>19.1</v>
      </c>
      <c r="Z200" s="7" t="n">
        <v>16.7</v>
      </c>
      <c r="AB200" s="7" t="n">
        <v>403.2</v>
      </c>
    </row>
    <row r="201">
      <c r="A201" s="4" t="inlineStr">
        <is>
          <t>住宿费</t>
        </is>
      </c>
      <c r="D201" s="7" t="n">
        <v>74.3</v>
      </c>
      <c r="F201" s="7" t="n">
        <v>71.8</v>
      </c>
      <c r="H201" s="7" t="n">
        <v>103.5</v>
      </c>
      <c r="J201" s="7" t="n">
        <v>225</v>
      </c>
      <c r="L201" s="7" t="n">
        <v>131.9</v>
      </c>
      <c r="N201" s="7" t="n">
        <v>295.5</v>
      </c>
      <c r="P201" s="7" t="n">
        <v>296.7</v>
      </c>
      <c r="R201" s="7" t="n">
        <v>122.1</v>
      </c>
      <c r="T201" s="7" t="n">
        <v>212.4</v>
      </c>
      <c r="V201" s="7" t="n">
        <v>164.2</v>
      </c>
      <c r="X201" s="7" t="n">
        <v>52.1</v>
      </c>
      <c r="Z201" s="7" t="n">
        <v>98.90000000000001</v>
      </c>
      <c r="AB201" s="7" t="n">
        <v>1848.4</v>
      </c>
    </row>
    <row r="202">
      <c r="A202" s="4" t="inlineStr">
        <is>
          <t>餐补</t>
        </is>
      </c>
      <c r="D202" s="7" t="n">
        <v>25</v>
      </c>
      <c r="F202" s="7" t="n">
        <v>30</v>
      </c>
      <c r="H202" s="7" t="n">
        <v>36.8</v>
      </c>
      <c r="J202" s="7" t="n">
        <v>111.6</v>
      </c>
      <c r="L202" s="7" t="n">
        <v>92.90000000000001</v>
      </c>
      <c r="N202" s="7" t="n">
        <v>150.3</v>
      </c>
      <c r="P202" s="7" t="n">
        <v>192.7</v>
      </c>
      <c r="R202" s="7" t="n">
        <v>69.09999999999999</v>
      </c>
      <c r="T202" s="7" t="n">
        <v>64.8</v>
      </c>
      <c r="V202" s="7" t="n">
        <v>64.59999999999999</v>
      </c>
      <c r="X202" s="7" t="n">
        <v>41.7</v>
      </c>
      <c r="Z202" s="7" t="n">
        <v>61.7</v>
      </c>
      <c r="AB202" s="7" t="n">
        <v>941.2</v>
      </c>
    </row>
    <row r="203">
      <c r="A203" s="4" t="inlineStr">
        <is>
          <t>交通补助</t>
        </is>
      </c>
      <c r="D203" s="7" t="n">
        <v>86.90000000000001</v>
      </c>
      <c r="F203" s="7" t="n">
        <v>50.3</v>
      </c>
      <c r="H203" s="7" t="n">
        <v>162.9</v>
      </c>
      <c r="J203" s="7" t="n">
        <v>371.6</v>
      </c>
      <c r="L203" s="7" t="n">
        <v>232.5</v>
      </c>
      <c r="N203" s="7" t="n">
        <v>344.6</v>
      </c>
      <c r="P203" s="7" t="n">
        <v>354</v>
      </c>
      <c r="R203" s="7" t="n">
        <v>156.5</v>
      </c>
      <c r="T203" s="7" t="n">
        <v>263.2</v>
      </c>
      <c r="V203" s="7" t="n">
        <v>201.7</v>
      </c>
      <c r="X203" s="7" t="n">
        <v>64.3</v>
      </c>
      <c r="Z203" s="7" t="n">
        <v>96.59999999999999</v>
      </c>
      <c r="AB203" s="7" t="n">
        <v>2385.1</v>
      </c>
    </row>
    <row r="204">
      <c r="A204" s="4" t="inlineStr">
        <is>
          <t>通讯补助</t>
        </is>
      </c>
      <c r="D204" s="7" t="n">
        <v>59</v>
      </c>
      <c r="F204" s="7" t="n">
        <v>48.3</v>
      </c>
      <c r="H204" s="7" t="n">
        <v>80.5</v>
      </c>
      <c r="J204" s="7" t="n">
        <v>255.6</v>
      </c>
      <c r="L204" s="7" t="n">
        <v>203.4</v>
      </c>
      <c r="N204" s="7" t="n">
        <v>166.2</v>
      </c>
      <c r="P204" s="7" t="n">
        <v>250.4</v>
      </c>
      <c r="R204" s="7" t="n">
        <v>127.6</v>
      </c>
      <c r="T204" s="7" t="n">
        <v>177.8</v>
      </c>
      <c r="V204" s="7" t="n">
        <v>172.4</v>
      </c>
      <c r="X204" s="7" t="n">
        <v>77.90000000000001</v>
      </c>
      <c r="Z204" s="7" t="n">
        <v>107.2</v>
      </c>
      <c r="AB204" s="7" t="n">
        <v>1726.3</v>
      </c>
    </row>
    <row r="205">
      <c r="A205" s="4" t="inlineStr">
        <is>
          <t>招待费</t>
        </is>
      </c>
      <c r="D205" s="7" t="n">
        <v>742.8</v>
      </c>
      <c r="F205" s="7" t="n">
        <v>624</v>
      </c>
      <c r="H205" s="7" t="n">
        <v>802.2</v>
      </c>
      <c r="J205" s="7" t="n">
        <v>2943.4</v>
      </c>
      <c r="L205" s="7" t="n">
        <v>2128.7</v>
      </c>
      <c r="N205" s="7" t="n">
        <v>2682.8</v>
      </c>
      <c r="P205" s="7" t="n">
        <v>3923.9</v>
      </c>
      <c r="R205" s="7" t="n">
        <v>1031.1</v>
      </c>
      <c r="T205" s="7" t="n">
        <v>1733.6</v>
      </c>
      <c r="V205" s="7" t="n">
        <v>2513.2</v>
      </c>
      <c r="X205" s="7" t="n">
        <v>992.1</v>
      </c>
      <c r="Z205" s="7" t="n">
        <v>1069.6</v>
      </c>
      <c r="AB205" s="7" t="n">
        <v>21187.4</v>
      </c>
    </row>
    <row r="206">
      <c r="A206" s="4" t="inlineStr">
        <is>
          <t>通讯费</t>
        </is>
      </c>
      <c r="D206" s="7" t="n">
        <v>19.8</v>
      </c>
      <c r="F206" s="7" t="n">
        <v>14.1</v>
      </c>
      <c r="H206" s="7" t="n">
        <v>29.2</v>
      </c>
      <c r="J206" s="7" t="n">
        <v>84.90000000000001</v>
      </c>
      <c r="L206" s="7" t="n">
        <v>50.6</v>
      </c>
      <c r="N206" s="7" t="n">
        <v>102.1</v>
      </c>
      <c r="P206" s="7" t="n">
        <v>160.6</v>
      </c>
      <c r="R206" s="7" t="n">
        <v>49.2</v>
      </c>
      <c r="T206" s="7" t="n">
        <v>59.5</v>
      </c>
      <c r="V206" s="7" t="n">
        <v>83.40000000000001</v>
      </c>
      <c r="X206" s="7" t="n">
        <v>17.3</v>
      </c>
      <c r="Z206" s="7" t="n">
        <v>41.7</v>
      </c>
      <c r="AB206" s="7" t="n">
        <v>712.4</v>
      </c>
    </row>
    <row r="207">
      <c r="A207" s="4" t="inlineStr">
        <is>
          <t>网络费</t>
        </is>
      </c>
      <c r="D207" s="7" t="n">
        <v>64.59999999999999</v>
      </c>
      <c r="F207" s="7" t="n">
        <v>62.5</v>
      </c>
      <c r="H207" s="7" t="n">
        <v>118.1</v>
      </c>
      <c r="J207" s="7" t="n">
        <v>245.6</v>
      </c>
      <c r="L207" s="7" t="n">
        <v>230.9</v>
      </c>
      <c r="N207" s="7" t="n">
        <v>407.9</v>
      </c>
      <c r="P207" s="7" t="n">
        <v>462.8</v>
      </c>
      <c r="R207" s="7" t="n">
        <v>153.6</v>
      </c>
      <c r="T207" s="7" t="n">
        <v>255.1</v>
      </c>
      <c r="V207" s="7" t="n">
        <v>266.9</v>
      </c>
      <c r="X207" s="7" t="n">
        <v>79.3</v>
      </c>
      <c r="Z207" s="7" t="n">
        <v>115.5</v>
      </c>
      <c r="AB207" s="7" t="n">
        <v>2462.8</v>
      </c>
    </row>
    <row r="208">
      <c r="A208" s="4" t="inlineStr">
        <is>
          <t>修理费</t>
        </is>
      </c>
      <c r="D208" s="7" t="n">
        <v>27.4</v>
      </c>
      <c r="F208" s="7" t="n">
        <v>24.7</v>
      </c>
      <c r="H208" s="7" t="n">
        <v>51.3</v>
      </c>
      <c r="J208" s="7" t="n">
        <v>95.2</v>
      </c>
      <c r="L208" s="7" t="n">
        <v>97.59999999999999</v>
      </c>
      <c r="N208" s="7" t="n">
        <v>95.59999999999999</v>
      </c>
      <c r="P208" s="7" t="n">
        <v>189.9</v>
      </c>
      <c r="R208" s="7" t="n">
        <v>68.3</v>
      </c>
      <c r="T208" s="7" t="n">
        <v>86.3</v>
      </c>
      <c r="V208" s="7" t="n">
        <v>72.90000000000001</v>
      </c>
      <c r="X208" s="7" t="n">
        <v>34.5</v>
      </c>
      <c r="Z208" s="7" t="n">
        <v>48.4</v>
      </c>
      <c r="AB208" s="7" t="n">
        <v>892.1</v>
      </c>
    </row>
    <row r="209">
      <c r="A209" s="4" t="inlineStr">
        <is>
          <t>车辆费</t>
        </is>
      </c>
      <c r="D209" s="7" t="n">
        <v>31.9</v>
      </c>
      <c r="F209" s="7" t="n">
        <v>26.6</v>
      </c>
      <c r="H209" s="7" t="n">
        <v>35.2</v>
      </c>
      <c r="J209" s="7" t="n">
        <v>138.1</v>
      </c>
      <c r="L209" s="7" t="n">
        <v>93.90000000000001</v>
      </c>
      <c r="N209" s="7" t="n">
        <v>131.8</v>
      </c>
      <c r="P209" s="7" t="n">
        <v>156.2</v>
      </c>
      <c r="R209" s="7" t="n">
        <v>47.5</v>
      </c>
      <c r="T209" s="7" t="n">
        <v>61.8</v>
      </c>
      <c r="V209" s="7" t="n">
        <v>114.4</v>
      </c>
      <c r="X209" s="7" t="n">
        <v>28.3</v>
      </c>
      <c r="Z209" s="7" t="n">
        <v>58.4</v>
      </c>
      <c r="AB209" s="7" t="n">
        <v>924.1</v>
      </c>
    </row>
    <row r="210">
      <c r="A210" s="4" t="inlineStr">
        <is>
          <t>租赁费</t>
        </is>
      </c>
      <c r="D210" s="7" t="n">
        <v>671.5</v>
      </c>
      <c r="F210" s="7" t="n">
        <v>698.2</v>
      </c>
      <c r="H210" s="7" t="n">
        <v>1631.6</v>
      </c>
      <c r="J210" s="7" t="n">
        <v>2491.6</v>
      </c>
      <c r="L210" s="7" t="n">
        <v>3064.5</v>
      </c>
      <c r="N210" s="7" t="n">
        <v>3917.8</v>
      </c>
      <c r="P210" s="7" t="n">
        <v>5591.4</v>
      </c>
      <c r="R210" s="7" t="n">
        <v>1601.1</v>
      </c>
      <c r="T210" s="7" t="n">
        <v>1729.8</v>
      </c>
      <c r="V210" s="7" t="n">
        <v>2535.3</v>
      </c>
      <c r="X210" s="7" t="n">
        <v>692.7</v>
      </c>
      <c r="Z210" s="7" t="n">
        <v>1258.8</v>
      </c>
      <c r="AB210" s="7" t="n">
        <v>25884.3</v>
      </c>
    </row>
    <row r="211">
      <c r="A211" s="4" t="inlineStr">
        <is>
          <t>能源费</t>
        </is>
      </c>
      <c r="D211" s="7" t="n">
        <v>205.5</v>
      </c>
      <c r="F211" s="7" t="n">
        <v>191.8</v>
      </c>
      <c r="H211" s="7" t="n">
        <v>364.6</v>
      </c>
      <c r="J211" s="7" t="n">
        <v>838</v>
      </c>
      <c r="L211" s="7" t="n">
        <v>598.5</v>
      </c>
      <c r="N211" s="7" t="n">
        <v>942.6</v>
      </c>
      <c r="P211" s="7" t="n">
        <v>1298</v>
      </c>
      <c r="R211" s="7" t="n">
        <v>429.4</v>
      </c>
      <c r="T211" s="7" t="n">
        <v>612.7</v>
      </c>
      <c r="V211" s="7" t="n">
        <v>783.7</v>
      </c>
      <c r="X211" s="7" t="n">
        <v>255.1</v>
      </c>
      <c r="Z211" s="7" t="n">
        <v>345</v>
      </c>
      <c r="AB211" s="7" t="n">
        <v>6864.9</v>
      </c>
    </row>
    <row r="212">
      <c r="A212" s="4" t="inlineStr">
        <is>
          <t>水费</t>
        </is>
      </c>
      <c r="D212" s="7" t="n">
        <v>4.9</v>
      </c>
      <c r="F212" s="7" t="n">
        <v>5.3</v>
      </c>
      <c r="H212" s="7" t="n">
        <v>8.5</v>
      </c>
      <c r="J212" s="7" t="n">
        <v>15.6</v>
      </c>
      <c r="L212" s="7" t="n">
        <v>17.4</v>
      </c>
      <c r="N212" s="7" t="n">
        <v>29.7</v>
      </c>
      <c r="P212" s="7" t="n">
        <v>44.1</v>
      </c>
      <c r="R212" s="7" t="n">
        <v>14</v>
      </c>
      <c r="T212" s="7" t="n">
        <v>18.3</v>
      </c>
      <c r="V212" s="7" t="n">
        <v>18.3</v>
      </c>
      <c r="X212" s="7" t="n">
        <v>7.6</v>
      </c>
      <c r="Z212" s="7" t="n">
        <v>9</v>
      </c>
      <c r="AB212" s="7" t="n">
        <v>192.7</v>
      </c>
    </row>
    <row r="213">
      <c r="A213" s="4" t="inlineStr">
        <is>
          <t>电费</t>
        </is>
      </c>
      <c r="D213" s="7" t="n">
        <v>84.90000000000001</v>
      </c>
      <c r="F213" s="7" t="n">
        <v>78.7</v>
      </c>
      <c r="H213" s="7" t="n">
        <v>169.6</v>
      </c>
      <c r="J213" s="7" t="n">
        <v>393.9</v>
      </c>
      <c r="L213" s="7" t="n">
        <v>190.2</v>
      </c>
      <c r="N213" s="7" t="n">
        <v>291.5</v>
      </c>
      <c r="P213" s="7" t="n">
        <v>520.5</v>
      </c>
      <c r="R213" s="7" t="n">
        <v>202.9</v>
      </c>
      <c r="T213" s="7" t="n">
        <v>270.9</v>
      </c>
      <c r="V213" s="7" t="n">
        <v>335.3</v>
      </c>
      <c r="X213" s="7" t="n">
        <v>132.1</v>
      </c>
      <c r="Z213" s="7" t="n">
        <v>154.5</v>
      </c>
      <c r="AB213" s="7" t="n">
        <v>2825</v>
      </c>
    </row>
    <row r="214">
      <c r="A214" s="4" t="inlineStr">
        <is>
          <t>燃气费</t>
        </is>
      </c>
      <c r="D214" s="7" t="n">
        <v>63.5</v>
      </c>
      <c r="F214" s="7" t="n">
        <v>57.4</v>
      </c>
      <c r="H214" s="7" t="n">
        <v>82.09999999999999</v>
      </c>
      <c r="J214" s="7" t="n">
        <v>221.3</v>
      </c>
      <c r="L214" s="7" t="n">
        <v>205.2</v>
      </c>
      <c r="N214" s="7" t="n">
        <v>329.9</v>
      </c>
      <c r="P214" s="7" t="n">
        <v>300.2</v>
      </c>
      <c r="R214" s="7" t="n">
        <v>87.7</v>
      </c>
      <c r="T214" s="7" t="n">
        <v>199.4</v>
      </c>
      <c r="V214" s="7" t="n">
        <v>242.1</v>
      </c>
      <c r="X214" s="7" t="n">
        <v>54.3</v>
      </c>
      <c r="Z214" s="7" t="n">
        <v>92.7</v>
      </c>
      <c r="AB214" s="7" t="n">
        <v>1935.8</v>
      </c>
    </row>
    <row r="215">
      <c r="A215" s="4" t="inlineStr">
        <is>
          <t>蒸汽费</t>
        </is>
      </c>
      <c r="D215" s="7" t="n">
        <v>52.2</v>
      </c>
      <c r="F215" s="7" t="n">
        <v>50.4</v>
      </c>
      <c r="H215" s="7" t="n">
        <v>104.4</v>
      </c>
      <c r="J215" s="7" t="n">
        <v>207.2</v>
      </c>
      <c r="L215" s="7" t="n">
        <v>185.7</v>
      </c>
      <c r="N215" s="7" t="n">
        <v>291.5</v>
      </c>
      <c r="P215" s="7" t="n">
        <v>433.2</v>
      </c>
      <c r="R215" s="7" t="n">
        <v>124.8</v>
      </c>
      <c r="T215" s="7" t="n">
        <v>124.1</v>
      </c>
      <c r="V215" s="7" t="n">
        <v>188</v>
      </c>
      <c r="X215" s="7" t="n">
        <v>61.1</v>
      </c>
      <c r="Z215" s="7" t="n">
        <v>88.8</v>
      </c>
      <c r="AB215" s="7" t="n">
        <v>1911.4</v>
      </c>
    </row>
    <row r="216">
      <c r="A216" s="4" t="inlineStr">
        <is>
          <t>物业费</t>
        </is>
      </c>
      <c r="D216" s="7" t="n">
        <v>18.6</v>
      </c>
      <c r="F216" s="7" t="n">
        <v>17.1</v>
      </c>
      <c r="H216" s="7" t="n">
        <v>31.5</v>
      </c>
      <c r="J216" s="7" t="n">
        <v>95.2</v>
      </c>
      <c r="L216" s="7" t="n">
        <v>55.2</v>
      </c>
      <c r="N216" s="7" t="n">
        <v>99.09999999999999</v>
      </c>
      <c r="P216" s="7" t="n">
        <v>99.90000000000001</v>
      </c>
      <c r="R216" s="7" t="n">
        <v>28.4</v>
      </c>
      <c r="T216" s="7" t="n">
        <v>66.7</v>
      </c>
      <c r="V216" s="7" t="n">
        <v>51.5</v>
      </c>
      <c r="X216" s="7" t="n">
        <v>24</v>
      </c>
      <c r="Z216" s="7" t="n">
        <v>30.3</v>
      </c>
      <c r="AB216" s="7" t="n">
        <v>617.5</v>
      </c>
    </row>
    <row r="217">
      <c r="A217" s="4" t="inlineStr">
        <is>
          <t>劳动保护费</t>
        </is>
      </c>
      <c r="D217" s="7" t="n">
        <v>5.5</v>
      </c>
      <c r="F217" s="7" t="n">
        <v>7.4</v>
      </c>
      <c r="H217" s="7" t="n">
        <v>10</v>
      </c>
      <c r="J217" s="7" t="n">
        <v>32.6</v>
      </c>
      <c r="L217" s="7" t="n">
        <v>15.5</v>
      </c>
      <c r="N217" s="7" t="n">
        <v>31.7</v>
      </c>
      <c r="P217" s="7" t="n">
        <v>34</v>
      </c>
      <c r="R217" s="7" t="n">
        <v>14.8</v>
      </c>
      <c r="T217" s="7" t="n">
        <v>13.8</v>
      </c>
      <c r="V217" s="7" t="n">
        <v>16.4</v>
      </c>
      <c r="X217" s="7" t="n">
        <v>5.8</v>
      </c>
      <c r="Z217" s="7" t="n">
        <v>13.5</v>
      </c>
      <c r="AB217" s="7" t="n">
        <v>201</v>
      </c>
    </row>
    <row r="218">
      <c r="A218" s="4" t="inlineStr">
        <is>
          <t>顾问费</t>
        </is>
      </c>
      <c r="D218" s="7" t="n">
        <v>96.09999999999999</v>
      </c>
      <c r="F218" s="7" t="n">
        <v>61.9</v>
      </c>
      <c r="H218" s="7" t="n">
        <v>174.9</v>
      </c>
      <c r="J218" s="7" t="n">
        <v>263.8</v>
      </c>
      <c r="L218" s="7" t="n">
        <v>303.4</v>
      </c>
      <c r="N218" s="7" t="n">
        <v>338</v>
      </c>
      <c r="P218" s="7" t="n">
        <v>494.7</v>
      </c>
      <c r="R218" s="7" t="n">
        <v>205.7</v>
      </c>
      <c r="T218" s="7" t="n">
        <v>308.5</v>
      </c>
      <c r="V218" s="7" t="n">
        <v>261.1</v>
      </c>
      <c r="X218" s="7" t="n">
        <v>122.8</v>
      </c>
      <c r="Z218" s="7" t="n">
        <v>173.8</v>
      </c>
      <c r="AB218" s="7" t="n">
        <v>2804.7</v>
      </c>
    </row>
    <row r="219">
      <c r="A219" s="4" t="inlineStr">
        <is>
          <t>快递费</t>
        </is>
      </c>
      <c r="D219" s="7" t="n">
        <v>27.8</v>
      </c>
      <c r="F219" s="7" t="n">
        <v>33.5</v>
      </c>
      <c r="H219" s="7" t="n">
        <v>63.3</v>
      </c>
      <c r="J219" s="7" t="n">
        <v>122.6</v>
      </c>
      <c r="L219" s="7" t="n">
        <v>97.8</v>
      </c>
      <c r="N219" s="7" t="n">
        <v>148.2</v>
      </c>
      <c r="P219" s="7" t="n">
        <v>280.9</v>
      </c>
      <c r="R219" s="7" t="n">
        <v>71.7</v>
      </c>
      <c r="T219" s="7" t="n">
        <v>112</v>
      </c>
      <c r="V219" s="7" t="n">
        <v>142.6</v>
      </c>
      <c r="X219" s="7" t="n">
        <v>34.7</v>
      </c>
      <c r="Z219" s="7" t="n">
        <v>59.7</v>
      </c>
      <c r="AB219" s="7" t="n">
        <v>1194.8</v>
      </c>
    </row>
    <row r="220">
      <c r="A220" s="4" t="inlineStr">
        <is>
          <t>诉讼费</t>
        </is>
      </c>
      <c r="D220" s="7" t="n">
        <v>75.7</v>
      </c>
      <c r="F220" s="7" t="n">
        <v>73.90000000000001</v>
      </c>
      <c r="H220" s="7" t="n">
        <v>154.7</v>
      </c>
      <c r="J220" s="7" t="n">
        <v>322.2</v>
      </c>
      <c r="L220" s="7" t="n">
        <v>316.1</v>
      </c>
      <c r="N220" s="7" t="n">
        <v>388.4</v>
      </c>
      <c r="P220" s="7" t="n">
        <v>422.2</v>
      </c>
      <c r="R220" s="7" t="n">
        <v>123.7</v>
      </c>
      <c r="T220" s="7" t="n">
        <v>292.7</v>
      </c>
      <c r="V220" s="7" t="n">
        <v>327</v>
      </c>
      <c r="X220" s="7" t="n">
        <v>71.09999999999999</v>
      </c>
      <c r="Z220" s="7" t="n">
        <v>159.9</v>
      </c>
      <c r="AB220" s="7" t="n">
        <v>2727.6</v>
      </c>
    </row>
    <row r="221">
      <c r="A221" s="4" t="inlineStr">
        <is>
          <t>会员费</t>
        </is>
      </c>
      <c r="D221" s="7" t="n">
        <v>86.7</v>
      </c>
      <c r="F221" s="7" t="n">
        <v>93.59999999999999</v>
      </c>
      <c r="H221" s="7" t="n">
        <v>146</v>
      </c>
      <c r="J221" s="7" t="n">
        <v>352.7</v>
      </c>
      <c r="L221" s="7" t="n">
        <v>228.8</v>
      </c>
      <c r="N221" s="7" t="n">
        <v>307.5</v>
      </c>
      <c r="P221" s="7" t="n">
        <v>651.5</v>
      </c>
      <c r="R221" s="7" t="n">
        <v>125.6</v>
      </c>
      <c r="T221" s="7" t="n">
        <v>270.9</v>
      </c>
      <c r="V221" s="7" t="n">
        <v>249.7</v>
      </c>
      <c r="X221" s="7" t="n">
        <v>132.4</v>
      </c>
      <c r="Z221" s="7" t="n">
        <v>115</v>
      </c>
      <c r="AB221" s="7" t="n">
        <v>2760.4</v>
      </c>
    </row>
    <row r="222">
      <c r="A222" s="4" t="inlineStr">
        <is>
          <t>广告宣传费</t>
        </is>
      </c>
      <c r="D222" s="7" t="n">
        <v>363.9</v>
      </c>
      <c r="F222" s="7" t="n">
        <v>572.2</v>
      </c>
      <c r="H222" s="7" t="n">
        <v>686.8</v>
      </c>
      <c r="J222" s="7" t="n">
        <v>1908</v>
      </c>
      <c r="L222" s="7" t="n">
        <v>1492.8</v>
      </c>
      <c r="N222" s="7" t="n">
        <v>2161.5</v>
      </c>
      <c r="P222" s="7" t="n">
        <v>2926.7</v>
      </c>
      <c r="R222" s="7" t="n">
        <v>1126.2</v>
      </c>
      <c r="T222" s="7" t="n">
        <v>1632.1</v>
      </c>
      <c r="V222" s="7" t="n">
        <v>1547.5</v>
      </c>
      <c r="X222" s="7" t="n">
        <v>421.7</v>
      </c>
      <c r="Z222" s="7" t="n">
        <v>856.9</v>
      </c>
      <c r="AB222" s="7" t="n">
        <v>15696.3</v>
      </c>
    </row>
    <row r="223">
      <c r="A223" s="4" t="inlineStr">
        <is>
          <t>会务费</t>
        </is>
      </c>
      <c r="D223" s="7" t="n">
        <v>53.9</v>
      </c>
      <c r="F223" s="7" t="n">
        <v>44.8</v>
      </c>
      <c r="H223" s="7" t="n">
        <v>113.3</v>
      </c>
      <c r="J223" s="7" t="n">
        <v>191.2</v>
      </c>
      <c r="L223" s="7" t="n">
        <v>138.6</v>
      </c>
      <c r="N223" s="7" t="n">
        <v>203.7</v>
      </c>
      <c r="P223" s="7" t="n">
        <v>409.5</v>
      </c>
      <c r="R223" s="7" t="n">
        <v>103.9</v>
      </c>
      <c r="T223" s="7" t="n">
        <v>150.7</v>
      </c>
      <c r="V223" s="7" t="n">
        <v>200.5</v>
      </c>
      <c r="X223" s="7" t="n">
        <v>50.9</v>
      </c>
      <c r="Z223" s="7" t="n">
        <v>84.40000000000001</v>
      </c>
      <c r="AB223" s="7" t="n">
        <v>1745.4</v>
      </c>
    </row>
    <row r="224">
      <c r="A224" s="4" t="inlineStr">
        <is>
          <t>装修费</t>
        </is>
      </c>
      <c r="D224" s="7" t="n">
        <v>95.90000000000001</v>
      </c>
      <c r="F224" s="7" t="n">
        <v>66.59999999999999</v>
      </c>
      <c r="H224" s="7" t="n">
        <v>120.1</v>
      </c>
      <c r="J224" s="7" t="n">
        <v>306</v>
      </c>
      <c r="L224" s="7" t="n">
        <v>285.8</v>
      </c>
      <c r="N224" s="7" t="n">
        <v>367.4</v>
      </c>
      <c r="P224" s="7" t="n">
        <v>524.1</v>
      </c>
      <c r="R224" s="7" t="n">
        <v>153.4</v>
      </c>
      <c r="T224" s="7" t="n">
        <v>205.8</v>
      </c>
      <c r="V224" s="7" t="n">
        <v>254</v>
      </c>
      <c r="X224" s="7" t="n">
        <v>110.5</v>
      </c>
      <c r="Z224" s="7" t="n">
        <v>108.2</v>
      </c>
      <c r="AB224" s="7" t="n">
        <v>2597.8</v>
      </c>
    </row>
    <row r="225">
      <c r="A225" s="4" t="inlineStr">
        <is>
          <t>推广费</t>
        </is>
      </c>
      <c r="D225" s="7" t="n">
        <v>66.8</v>
      </c>
      <c r="F225" s="7" t="n">
        <v>50.4</v>
      </c>
      <c r="H225" s="7" t="n">
        <v>101.6</v>
      </c>
      <c r="J225" s="7" t="n">
        <v>175.2</v>
      </c>
      <c r="L225" s="7" t="n">
        <v>143.8</v>
      </c>
      <c r="N225" s="7" t="n">
        <v>215.3</v>
      </c>
      <c r="P225" s="7" t="n">
        <v>321.3</v>
      </c>
      <c r="R225" s="7" t="n">
        <v>87</v>
      </c>
      <c r="T225" s="7" t="n">
        <v>151.2</v>
      </c>
      <c r="V225" s="7" t="n">
        <v>230.7</v>
      </c>
      <c r="X225" s="7" t="n">
        <v>70.90000000000001</v>
      </c>
      <c r="Z225" s="7" t="n">
        <v>110.5</v>
      </c>
      <c r="AB225" s="7" t="n">
        <v>1724.7</v>
      </c>
    </row>
    <row r="226">
      <c r="A226" s="4" t="inlineStr">
        <is>
          <t>展会费</t>
        </is>
      </c>
      <c r="D226" s="7" t="n">
        <v>102.1</v>
      </c>
      <c r="F226" s="7" t="n">
        <v>93.90000000000001</v>
      </c>
      <c r="H226" s="7" t="n">
        <v>98.59999999999999</v>
      </c>
      <c r="J226" s="7" t="n">
        <v>248.4</v>
      </c>
      <c r="L226" s="7" t="n">
        <v>207.1</v>
      </c>
      <c r="N226" s="7" t="n">
        <v>366.4</v>
      </c>
      <c r="P226" s="7" t="n">
        <v>654</v>
      </c>
      <c r="R226" s="7" t="n">
        <v>191.2</v>
      </c>
      <c r="T226" s="7" t="n">
        <v>176.9</v>
      </c>
      <c r="V226" s="7" t="n">
        <v>185.2</v>
      </c>
      <c r="X226" s="7" t="n">
        <v>93.40000000000001</v>
      </c>
      <c r="Z226" s="7" t="n">
        <v>163.9</v>
      </c>
      <c r="AB226" s="7" t="n">
        <v>2581.1</v>
      </c>
    </row>
    <row r="227">
      <c r="A227" s="4" t="inlineStr">
        <is>
          <t>设计费</t>
        </is>
      </c>
      <c r="D227" s="7" t="n">
        <v>82.2</v>
      </c>
      <c r="F227" s="7" t="n">
        <v>119.8</v>
      </c>
      <c r="H227" s="7" t="n">
        <v>222.7</v>
      </c>
      <c r="J227" s="7" t="n">
        <v>511.9</v>
      </c>
      <c r="L227" s="7" t="n">
        <v>282.2</v>
      </c>
      <c r="N227" s="7" t="n">
        <v>427.9</v>
      </c>
      <c r="P227" s="7" t="n">
        <v>688.8</v>
      </c>
      <c r="R227" s="7" t="n">
        <v>241</v>
      </c>
      <c r="T227" s="7" t="n">
        <v>225.4</v>
      </c>
      <c r="V227" s="7" t="n">
        <v>407.9</v>
      </c>
      <c r="X227" s="7" t="n">
        <v>154.7</v>
      </c>
      <c r="Z227" s="7" t="n">
        <v>198.9</v>
      </c>
      <c r="AB227" s="7" t="n">
        <v>3563.4</v>
      </c>
    </row>
    <row r="228">
      <c r="A228" s="4" t="inlineStr">
        <is>
          <t>折旧费</t>
        </is>
      </c>
      <c r="D228" s="7" t="n">
        <v>695.5</v>
      </c>
      <c r="F228" s="7" t="n">
        <v>784.3</v>
      </c>
      <c r="H228" s="7" t="n">
        <v>797.7</v>
      </c>
      <c r="J228" s="7" t="n">
        <v>2902.4</v>
      </c>
      <c r="L228" s="7" t="n">
        <v>1739.5</v>
      </c>
      <c r="N228" s="7" t="n">
        <v>2715</v>
      </c>
      <c r="P228" s="7" t="n">
        <v>3879.6</v>
      </c>
      <c r="R228" s="7" t="n">
        <v>1277.7</v>
      </c>
      <c r="T228" s="7" t="n">
        <v>2162.3</v>
      </c>
      <c r="V228" s="7" t="n">
        <v>1773</v>
      </c>
      <c r="X228" s="7" t="n">
        <v>758.8</v>
      </c>
      <c r="Z228" s="7" t="n">
        <v>907.1</v>
      </c>
      <c r="AB228" s="7" t="n">
        <v>20392.9</v>
      </c>
    </row>
    <row r="229">
      <c r="A229" s="4" t="inlineStr">
        <is>
          <t>认证费</t>
        </is>
      </c>
      <c r="D229" s="7" t="n">
        <v>22.7</v>
      </c>
      <c r="F229" s="7" t="n">
        <v>22.7</v>
      </c>
      <c r="H229" s="7" t="n">
        <v>41.6</v>
      </c>
      <c r="J229" s="7" t="n">
        <v>57.3</v>
      </c>
      <c r="L229" s="7" t="n">
        <v>70.90000000000001</v>
      </c>
      <c r="N229" s="7" t="n">
        <v>89</v>
      </c>
      <c r="P229" s="7" t="n">
        <v>113.8</v>
      </c>
      <c r="R229" s="7" t="n">
        <v>43.2</v>
      </c>
      <c r="T229" s="7" t="n">
        <v>50.2</v>
      </c>
      <c r="V229" s="7" t="n">
        <v>58.8</v>
      </c>
      <c r="X229" s="7" t="n">
        <v>23.3</v>
      </c>
      <c r="Z229" s="7" t="n">
        <v>36.8</v>
      </c>
      <c r="AB229" s="7" t="n">
        <v>630.3</v>
      </c>
    </row>
    <row r="230">
      <c r="A230" s="4" t="inlineStr">
        <is>
          <t>样品费</t>
        </is>
      </c>
      <c r="D230" s="7" t="n">
        <v>411.7</v>
      </c>
      <c r="F230" s="7" t="n">
        <v>229.3</v>
      </c>
      <c r="H230" s="7" t="n">
        <v>481.8</v>
      </c>
      <c r="J230" s="7" t="n">
        <v>1148.3</v>
      </c>
      <c r="L230" s="7" t="n">
        <v>989.3</v>
      </c>
      <c r="N230" s="7" t="n">
        <v>1734.3</v>
      </c>
      <c r="P230" s="7" t="n">
        <v>2150.3</v>
      </c>
      <c r="R230" s="7" t="n">
        <v>794.7</v>
      </c>
      <c r="T230" s="7" t="n">
        <v>860.7</v>
      </c>
      <c r="V230" s="7" t="n">
        <v>906.9</v>
      </c>
      <c r="X230" s="7" t="n">
        <v>342.8</v>
      </c>
      <c r="Z230" s="7" t="n">
        <v>468.8</v>
      </c>
      <c r="AB230" s="7" t="n">
        <v>10518.9</v>
      </c>
    </row>
    <row r="231">
      <c r="A231" s="4" t="inlineStr">
        <is>
          <t>劳务费</t>
        </is>
      </c>
      <c r="D231" s="7" t="n">
        <v>18.1</v>
      </c>
      <c r="F231" s="7" t="n">
        <v>16.2</v>
      </c>
      <c r="H231" s="7" t="n">
        <v>33.3</v>
      </c>
      <c r="J231" s="7" t="n">
        <v>49.3</v>
      </c>
      <c r="L231" s="7" t="n">
        <v>45.2</v>
      </c>
      <c r="N231" s="7" t="n">
        <v>68.7</v>
      </c>
      <c r="P231" s="7" t="n">
        <v>103</v>
      </c>
      <c r="R231" s="7" t="n">
        <v>23.5</v>
      </c>
      <c r="T231" s="7" t="n">
        <v>36.8</v>
      </c>
      <c r="V231" s="7" t="n">
        <v>36.7</v>
      </c>
      <c r="X231" s="7" t="n">
        <v>15.6</v>
      </c>
      <c r="Z231" s="7" t="n">
        <v>26.3</v>
      </c>
      <c r="AB231" s="7" t="n">
        <v>472.7</v>
      </c>
    </row>
    <row r="232">
      <c r="A232" s="4" t="inlineStr">
        <is>
          <t>销售佣金</t>
        </is>
      </c>
      <c r="D232" s="7" t="n">
        <v>82.40000000000001</v>
      </c>
      <c r="F232" s="7" t="n">
        <v>109.8</v>
      </c>
      <c r="H232" s="7" t="n">
        <v>205.9</v>
      </c>
      <c r="J232" s="7" t="n">
        <v>424.5</v>
      </c>
      <c r="L232" s="7" t="n">
        <v>347</v>
      </c>
      <c r="N232" s="7" t="n">
        <v>447.1</v>
      </c>
      <c r="P232" s="7" t="n">
        <v>467.4</v>
      </c>
      <c r="R232" s="7" t="n">
        <v>157.6</v>
      </c>
      <c r="T232" s="7" t="n">
        <v>314.5</v>
      </c>
      <c r="V232" s="7" t="n">
        <v>339.6</v>
      </c>
      <c r="X232" s="7" t="n">
        <v>80</v>
      </c>
      <c r="Z232" s="7" t="n">
        <v>209.4</v>
      </c>
      <c r="AB232" s="7" t="n">
        <v>3185.2</v>
      </c>
    </row>
    <row r="233">
      <c r="A233" s="4" t="inlineStr">
        <is>
          <t>检测费</t>
        </is>
      </c>
      <c r="D233" s="7" t="n">
        <v>104.7</v>
      </c>
      <c r="F233" s="7" t="n">
        <v>112.3</v>
      </c>
      <c r="H233" s="7" t="n">
        <v>121.5</v>
      </c>
      <c r="J233" s="7" t="n">
        <v>479.2</v>
      </c>
      <c r="L233" s="7" t="n">
        <v>214.5</v>
      </c>
      <c r="N233" s="7" t="n">
        <v>362.2</v>
      </c>
      <c r="P233" s="7" t="n">
        <v>817</v>
      </c>
      <c r="R233" s="7" t="n">
        <v>216.1</v>
      </c>
      <c r="T233" s="7" t="n">
        <v>322.8</v>
      </c>
      <c r="V233" s="7" t="n">
        <v>323.4</v>
      </c>
      <c r="X233" s="7" t="n">
        <v>145.1</v>
      </c>
      <c r="Z233" s="7" t="n">
        <v>160.3</v>
      </c>
      <c r="AB233" s="7" t="n">
        <v>3379.1</v>
      </c>
    </row>
    <row r="234">
      <c r="A234" s="4" t="inlineStr">
        <is>
          <t>质量赔偿</t>
        </is>
      </c>
      <c r="D234" s="7" t="n">
        <v>13.1</v>
      </c>
      <c r="F234" s="7" t="n">
        <v>13.1</v>
      </c>
      <c r="H234" s="7" t="n">
        <v>19.1</v>
      </c>
      <c r="J234" s="7" t="n">
        <v>43.8</v>
      </c>
      <c r="L234" s="7" t="n">
        <v>29.4</v>
      </c>
      <c r="N234" s="7" t="n">
        <v>61.3</v>
      </c>
      <c r="P234" s="7" t="n">
        <v>95.59999999999999</v>
      </c>
      <c r="R234" s="7" t="n">
        <v>27</v>
      </c>
      <c r="T234" s="7" t="n">
        <v>24.9</v>
      </c>
      <c r="V234" s="7" t="n">
        <v>33.3</v>
      </c>
      <c r="X234" s="7" t="n">
        <v>10.3</v>
      </c>
      <c r="Z234" s="7" t="n">
        <v>24.6</v>
      </c>
      <c r="AB234" s="7" t="n">
        <v>395.5</v>
      </c>
    </row>
    <row r="235">
      <c r="A235" s="4" t="inlineStr">
        <is>
          <t>保险费</t>
        </is>
      </c>
      <c r="D235" s="7" t="n">
        <v>69.5</v>
      </c>
      <c r="F235" s="7" t="n">
        <v>72.40000000000001</v>
      </c>
      <c r="H235" s="7" t="n">
        <v>113.2</v>
      </c>
      <c r="J235" s="7" t="n">
        <v>326.4</v>
      </c>
      <c r="L235" s="7" t="n">
        <v>228.9</v>
      </c>
      <c r="N235" s="7" t="n">
        <v>389.5</v>
      </c>
      <c r="P235" s="7" t="n">
        <v>550.1</v>
      </c>
      <c r="R235" s="7" t="n">
        <v>139.6</v>
      </c>
      <c r="T235" s="7" t="n">
        <v>269.4</v>
      </c>
      <c r="V235" s="7" t="n">
        <v>232.3</v>
      </c>
      <c r="X235" s="7" t="n">
        <v>115.5</v>
      </c>
      <c r="Z235" s="7" t="n">
        <v>163</v>
      </c>
      <c r="AB235" s="7" t="n">
        <v>2669.8</v>
      </c>
    </row>
    <row r="236">
      <c r="A236" s="4" t="inlineStr">
        <is>
          <t>清洁费</t>
        </is>
      </c>
      <c r="D236" s="7" t="n">
        <v>40.8</v>
      </c>
      <c r="F236" s="7" t="n">
        <v>34.5</v>
      </c>
      <c r="H236" s="7" t="n">
        <v>70</v>
      </c>
      <c r="J236" s="7" t="n">
        <v>95.3</v>
      </c>
      <c r="L236" s="7" t="n">
        <v>107.2</v>
      </c>
      <c r="N236" s="7" t="n">
        <v>102.8</v>
      </c>
      <c r="P236" s="7" t="n">
        <v>167.1</v>
      </c>
      <c r="R236" s="7" t="n">
        <v>63.5</v>
      </c>
      <c r="T236" s="7" t="n">
        <v>118.7</v>
      </c>
      <c r="V236" s="7" t="n">
        <v>116.6</v>
      </c>
      <c r="X236" s="7" t="n">
        <v>34.4</v>
      </c>
      <c r="Z236" s="7" t="n">
        <v>47.8</v>
      </c>
      <c r="AB236" s="7" t="n">
        <v>998.7</v>
      </c>
    </row>
    <row r="237">
      <c r="A237" s="4" t="inlineStr">
        <is>
          <t>低值易耗品</t>
        </is>
      </c>
      <c r="D237" s="7" t="n">
        <v>98.90000000000001</v>
      </c>
      <c r="F237" s="7" t="n">
        <v>70.2</v>
      </c>
      <c r="H237" s="7" t="n">
        <v>119.9</v>
      </c>
      <c r="J237" s="7" t="n">
        <v>415.1</v>
      </c>
      <c r="L237" s="7" t="n">
        <v>323</v>
      </c>
      <c r="N237" s="7" t="n">
        <v>453.8</v>
      </c>
      <c r="P237" s="7" t="n">
        <v>629.5</v>
      </c>
      <c r="R237" s="7" t="n">
        <v>123.4</v>
      </c>
      <c r="T237" s="7" t="n">
        <v>177.9</v>
      </c>
      <c r="V237" s="7" t="n">
        <v>280.2</v>
      </c>
      <c r="X237" s="7" t="n">
        <v>84.7</v>
      </c>
      <c r="Z237" s="7" t="n">
        <v>125.1</v>
      </c>
      <c r="AB237" s="7" t="n">
        <v>2901.7</v>
      </c>
    </row>
    <row r="238">
      <c r="A238" s="4" t="inlineStr">
        <is>
          <t>物料消耗</t>
        </is>
      </c>
      <c r="D238" s="7" t="n">
        <v>38.2</v>
      </c>
      <c r="F238" s="7" t="n">
        <v>38.5</v>
      </c>
      <c r="H238" s="7" t="n">
        <v>79</v>
      </c>
      <c r="J238" s="7" t="n">
        <v>188.4</v>
      </c>
      <c r="L238" s="7" t="n">
        <v>129.4</v>
      </c>
      <c r="N238" s="7" t="n">
        <v>210.1</v>
      </c>
      <c r="P238" s="7" t="n">
        <v>227.3</v>
      </c>
      <c r="R238" s="7" t="n">
        <v>79.5</v>
      </c>
      <c r="T238" s="7" t="n">
        <v>103.6</v>
      </c>
      <c r="V238" s="7" t="n">
        <v>121.8</v>
      </c>
      <c r="X238" s="7" t="n">
        <v>52.3</v>
      </c>
      <c r="Z238" s="7" t="n">
        <v>93.8</v>
      </c>
      <c r="AB238" s="7" t="n">
        <v>1361.9</v>
      </c>
    </row>
    <row r="239">
      <c r="A239" s="4" t="inlineStr">
        <is>
          <t>盘盈盘亏</t>
        </is>
      </c>
      <c r="D239" s="7" t="n">
        <v>38.2</v>
      </c>
      <c r="F239" s="7" t="n">
        <v>38.4</v>
      </c>
      <c r="H239" s="7" t="n">
        <v>53.5</v>
      </c>
      <c r="J239" s="7" t="n">
        <v>125.3</v>
      </c>
      <c r="L239" s="7" t="n">
        <v>150.5</v>
      </c>
      <c r="N239" s="7" t="n">
        <v>207.6</v>
      </c>
      <c r="P239" s="7" t="n">
        <v>230.2</v>
      </c>
      <c r="R239" s="7" t="n">
        <v>108.6</v>
      </c>
      <c r="T239" s="7" t="n">
        <v>103.6</v>
      </c>
      <c r="V239" s="7" t="n">
        <v>143.2</v>
      </c>
      <c r="X239" s="7" t="n">
        <v>38.1</v>
      </c>
      <c r="Z239" s="7" t="n">
        <v>73.09999999999999</v>
      </c>
      <c r="AB239" s="7" t="n">
        <v>1310.3</v>
      </c>
    </row>
    <row r="240">
      <c r="A240" s="4" t="inlineStr">
        <is>
          <t>平台服务费</t>
        </is>
      </c>
      <c r="D240" s="7" t="n">
        <v>26.1</v>
      </c>
      <c r="F240" s="7" t="n">
        <v>35.4</v>
      </c>
      <c r="H240" s="7" t="n">
        <v>64.40000000000001</v>
      </c>
      <c r="J240" s="7" t="n">
        <v>154.5</v>
      </c>
      <c r="L240" s="7" t="n">
        <v>98.59999999999999</v>
      </c>
      <c r="N240" s="7" t="n">
        <v>173.2</v>
      </c>
      <c r="P240" s="7" t="n">
        <v>213.2</v>
      </c>
      <c r="R240" s="7" t="n">
        <v>65.2</v>
      </c>
      <c r="T240" s="7" t="n">
        <v>79.2</v>
      </c>
      <c r="V240" s="7" t="n">
        <v>92.8</v>
      </c>
      <c r="X240" s="7" t="n">
        <v>40.4</v>
      </c>
      <c r="Z240" s="7" t="n">
        <v>74.90000000000001</v>
      </c>
      <c r="AB240" s="7" t="n">
        <v>1117.9</v>
      </c>
    </row>
    <row r="241">
      <c r="A241" s="4" t="inlineStr">
        <is>
          <t>无形资产摊销</t>
        </is>
      </c>
      <c r="D241" s="7" t="n">
        <v>61.4</v>
      </c>
      <c r="F241" s="7" t="n">
        <v>90.3</v>
      </c>
      <c r="H241" s="7" t="n">
        <v>120.6</v>
      </c>
      <c r="J241" s="7" t="n">
        <v>290.1</v>
      </c>
      <c r="L241" s="7" t="n">
        <v>228.6</v>
      </c>
      <c r="N241" s="7" t="n">
        <v>346.9</v>
      </c>
      <c r="P241" s="7" t="n">
        <v>494.7</v>
      </c>
      <c r="R241" s="7" t="n">
        <v>210.9</v>
      </c>
      <c r="T241" s="7" t="n">
        <v>199</v>
      </c>
      <c r="V241" s="7" t="n">
        <v>296.1</v>
      </c>
      <c r="X241" s="7" t="n">
        <v>89.2</v>
      </c>
      <c r="Z241" s="7" t="n">
        <v>177.6</v>
      </c>
      <c r="AB241" s="7" t="n">
        <v>2605.4</v>
      </c>
    </row>
    <row r="242">
      <c r="A242" s="4" t="inlineStr">
        <is>
          <t>研发材料</t>
        </is>
      </c>
      <c r="D242" s="7" t="n">
        <v>31.1</v>
      </c>
      <c r="F242" s="7" t="n">
        <v>31.9</v>
      </c>
      <c r="H242" s="7" t="n">
        <v>44.4</v>
      </c>
      <c r="J242" s="7" t="n">
        <v>105.8</v>
      </c>
      <c r="L242" s="7" t="n">
        <v>103.6</v>
      </c>
      <c r="N242" s="7" t="n">
        <v>179.7</v>
      </c>
      <c r="P242" s="7" t="n">
        <v>221.7</v>
      </c>
      <c r="R242" s="7" t="n">
        <v>59.8</v>
      </c>
      <c r="T242" s="7" t="n">
        <v>96.8</v>
      </c>
      <c r="V242" s="7" t="n">
        <v>73.09999999999999</v>
      </c>
      <c r="X242" s="7" t="n">
        <v>44.1</v>
      </c>
      <c r="Z242" s="7" t="n">
        <v>69.40000000000001</v>
      </c>
      <c r="AB242" s="7" t="n">
        <v>1061.4</v>
      </c>
    </row>
    <row r="243">
      <c r="A243" s="4" t="inlineStr">
        <is>
          <t>项目名称</t>
        </is>
      </c>
      <c r="D243" s="7" t="n">
        <v>10.8</v>
      </c>
      <c r="F243" s="7" t="n">
        <v>11.2</v>
      </c>
      <c r="H243" s="7" t="n">
        <v>18.8</v>
      </c>
      <c r="J243" s="7" t="n">
        <v>38.8</v>
      </c>
      <c r="L243" s="7" t="n">
        <v>30.8</v>
      </c>
      <c r="N243" s="7" t="n">
        <v>41.9</v>
      </c>
      <c r="P243" s="7" t="n">
        <v>55.7</v>
      </c>
      <c r="R243" s="7" t="n">
        <v>16</v>
      </c>
      <c r="T243" s="7" t="n">
        <v>21.2</v>
      </c>
      <c r="V243" s="7" t="n">
        <v>30.7</v>
      </c>
      <c r="X243" s="7" t="n">
        <v>13.8</v>
      </c>
      <c r="Z243" s="7" t="n">
        <v>14.4</v>
      </c>
      <c r="AB243" s="7" t="n">
        <v>304.1</v>
      </c>
    </row>
    <row r="244">
      <c r="A244" s="4" t="inlineStr">
        <is>
          <t>研发费</t>
        </is>
      </c>
      <c r="D244" s="7" t="n">
        <v>106.4</v>
      </c>
      <c r="F244" s="7" t="n">
        <v>71.40000000000001</v>
      </c>
      <c r="H244" s="7" t="n">
        <v>119.5</v>
      </c>
      <c r="J244" s="7" t="n">
        <v>380.2</v>
      </c>
      <c r="L244" s="7" t="n">
        <v>316.4</v>
      </c>
      <c r="N244" s="7" t="n">
        <v>265.5</v>
      </c>
      <c r="P244" s="7" t="n">
        <v>383.8</v>
      </c>
      <c r="R244" s="7" t="n">
        <v>218.8</v>
      </c>
      <c r="T244" s="7" t="n">
        <v>180.1</v>
      </c>
      <c r="V244" s="7" t="n">
        <v>250.3</v>
      </c>
      <c r="X244" s="7" t="n">
        <v>100.1</v>
      </c>
      <c r="Z244" s="7" t="n">
        <v>121.2</v>
      </c>
      <c r="AB244" s="7" t="n">
        <v>2513.7</v>
      </c>
    </row>
    <row r="245">
      <c r="A245" s="4" t="inlineStr">
        <is>
          <t>残保金</t>
        </is>
      </c>
      <c r="D245" s="7" t="n">
        <v>26.9</v>
      </c>
      <c r="F245" s="7" t="n">
        <v>34.8</v>
      </c>
      <c r="H245" s="7" t="n">
        <v>46</v>
      </c>
      <c r="J245" s="7" t="n">
        <v>108.3</v>
      </c>
      <c r="L245" s="7" t="n">
        <v>72.90000000000001</v>
      </c>
      <c r="N245" s="7" t="n">
        <v>162</v>
      </c>
      <c r="P245" s="7" t="n">
        <v>221.7</v>
      </c>
      <c r="R245" s="7" t="n">
        <v>50.7</v>
      </c>
      <c r="T245" s="7" t="n">
        <v>101.8</v>
      </c>
      <c r="V245" s="7" t="n">
        <v>86.5</v>
      </c>
      <c r="X245" s="7" t="n">
        <v>28.6</v>
      </c>
      <c r="Z245" s="7" t="n">
        <v>42.7</v>
      </c>
      <c r="AB245" s="7" t="n">
        <v>982.9</v>
      </c>
    </row>
    <row r="246">
      <c r="A246" s="4" t="inlineStr">
        <is>
          <t>环保费</t>
        </is>
      </c>
      <c r="D246" s="7" t="n">
        <v>89.09999999999999</v>
      </c>
      <c r="F246" s="7" t="n">
        <v>68</v>
      </c>
      <c r="H246" s="7" t="n">
        <v>92.09999999999999</v>
      </c>
      <c r="J246" s="7" t="n">
        <v>360.1</v>
      </c>
      <c r="L246" s="7" t="n">
        <v>239.7</v>
      </c>
      <c r="N246" s="7" t="n">
        <v>262.3</v>
      </c>
      <c r="P246" s="7" t="n">
        <v>554.6</v>
      </c>
      <c r="R246" s="7" t="n">
        <v>183.3</v>
      </c>
      <c r="T246" s="7" t="n">
        <v>174.1</v>
      </c>
      <c r="V246" s="7" t="n">
        <v>255.5</v>
      </c>
      <c r="X246" s="7" t="n">
        <v>80.8</v>
      </c>
      <c r="Z246" s="7" t="n">
        <v>123</v>
      </c>
      <c r="AB246" s="7" t="n">
        <v>2482.6</v>
      </c>
    </row>
    <row r="247">
      <c r="A247" s="4" t="inlineStr">
        <is>
          <t>报废损失</t>
        </is>
      </c>
      <c r="D247" s="7" t="n">
        <v>39</v>
      </c>
      <c r="F247" s="7" t="n">
        <v>43.9</v>
      </c>
      <c r="H247" s="7" t="n">
        <v>75.7</v>
      </c>
      <c r="J247" s="7" t="n">
        <v>183.1</v>
      </c>
      <c r="L247" s="7" t="n">
        <v>175</v>
      </c>
      <c r="N247" s="7" t="n">
        <v>231.2</v>
      </c>
      <c r="P247" s="7" t="n">
        <v>301.5</v>
      </c>
      <c r="R247" s="7" t="n">
        <v>83.59999999999999</v>
      </c>
      <c r="T247" s="7" t="n">
        <v>193.6</v>
      </c>
      <c r="V247" s="7" t="n">
        <v>176.7</v>
      </c>
      <c r="X247" s="7" t="n">
        <v>64</v>
      </c>
      <c r="Z247" s="7" t="n">
        <v>121.5</v>
      </c>
      <c r="AB247" s="7" t="n">
        <v>1688.8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4288.3</v>
      </c>
      <c r="D248" s="7" t="n">
        <v>8330.1</v>
      </c>
      <c r="E248" s="7" t="n">
        <v>4547.1</v>
      </c>
      <c r="F248" s="7" t="n">
        <v>1115.4</v>
      </c>
      <c r="G248" s="7" t="n">
        <v>4653.8</v>
      </c>
      <c r="H248" s="7" t="n">
        <v>-4569.7</v>
      </c>
      <c r="I248" s="7" t="n">
        <v>4238.3</v>
      </c>
      <c r="J248" s="7" t="n">
        <v>7425.9</v>
      </c>
      <c r="K248" s="7" t="n">
        <v>4877.2</v>
      </c>
      <c r="L248" s="7" t="n">
        <v>4841.1</v>
      </c>
      <c r="M248" s="7" t="n">
        <v>5099.6</v>
      </c>
      <c r="N248" s="7" t="n">
        <v>4318.4</v>
      </c>
      <c r="O248" s="7" t="n">
        <v>3920.9</v>
      </c>
      <c r="P248" s="7" t="n">
        <v>8664.5</v>
      </c>
      <c r="Q248" s="7" t="n">
        <v>4019.8</v>
      </c>
      <c r="R248" s="7" t="n">
        <v>-2292.4</v>
      </c>
      <c r="S248" s="7" t="n">
        <v>4951</v>
      </c>
      <c r="T248" s="7" t="n">
        <v>601.5</v>
      </c>
      <c r="U248" s="7" t="n">
        <v>4449</v>
      </c>
      <c r="V248" s="7" t="n">
        <v>19379.8</v>
      </c>
      <c r="W248" s="7" t="n">
        <v>4127.9</v>
      </c>
      <c r="X248" s="7" t="n">
        <v>4933.7</v>
      </c>
      <c r="Y248" s="7" t="n">
        <v>3982.4</v>
      </c>
      <c r="Z248" s="7" t="n">
        <v>802.9</v>
      </c>
      <c r="AA248" s="8" t="n">
        <v>53155.3</v>
      </c>
      <c r="AB248" s="8" t="n">
        <v>53551.2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1164.9</v>
      </c>
      <c r="E250" s="7" t="n">
        <v>0</v>
      </c>
      <c r="F250" s="7" t="n">
        <v>-264.9</v>
      </c>
      <c r="G250" s="7" t="n">
        <v>0</v>
      </c>
      <c r="H250" s="7" t="n">
        <v>2230.3</v>
      </c>
      <c r="I250" s="7" t="n">
        <v>0</v>
      </c>
      <c r="J250" s="7" t="n">
        <v>666.4</v>
      </c>
      <c r="K250" s="7" t="n">
        <v>0</v>
      </c>
      <c r="L250" s="7" t="n">
        <v>-2675.7</v>
      </c>
      <c r="M250" s="7" t="n">
        <v>0</v>
      </c>
      <c r="N250" s="7" t="n">
        <v>2674.1</v>
      </c>
      <c r="O250" s="7" t="n">
        <v>0</v>
      </c>
      <c r="P250" s="7" t="n">
        <v>-2479.8</v>
      </c>
      <c r="Q250" s="7" t="n">
        <v>0</v>
      </c>
      <c r="R250" s="7" t="n">
        <v>-1885.5</v>
      </c>
      <c r="S250" s="7" t="n">
        <v>0</v>
      </c>
      <c r="T250" s="7" t="n">
        <v>-1621.3</v>
      </c>
      <c r="U250" s="7" t="n">
        <v>0</v>
      </c>
      <c r="V250" s="7" t="n">
        <v>-3493.9</v>
      </c>
      <c r="W250" s="7" t="n">
        <v>0</v>
      </c>
      <c r="X250" s="7" t="n">
        <v>-1785.6</v>
      </c>
      <c r="Y250" s="7" t="n">
        <v>0</v>
      </c>
      <c r="Z250" s="7" t="n">
        <v>653.1</v>
      </c>
      <c r="AA250" s="7" t="n">
        <v>0</v>
      </c>
      <c r="AB250" s="7" t="n">
        <v>-6817.9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18843.4</v>
      </c>
      <c r="D255" s="7" t="n">
        <v>12196</v>
      </c>
      <c r="E255" s="7" t="n">
        <v>14355.2</v>
      </c>
      <c r="F255" s="7" t="n">
        <v>167.2</v>
      </c>
      <c r="G255" s="7" t="n">
        <v>14471.4</v>
      </c>
      <c r="H255" s="7" t="n">
        <v>20711.9</v>
      </c>
      <c r="I255" s="7" t="n">
        <v>17397.9</v>
      </c>
      <c r="J255" s="7" t="n">
        <v>22651.1</v>
      </c>
      <c r="K255" s="7" t="n">
        <v>15804.4</v>
      </c>
      <c r="L255" s="7" t="n">
        <v>23840.9</v>
      </c>
      <c r="M255" s="7" t="n">
        <v>17681.8</v>
      </c>
      <c r="N255" s="7" t="n">
        <v>16367.7</v>
      </c>
      <c r="O255" s="7" t="n">
        <v>14752.4</v>
      </c>
      <c r="P255" s="7" t="n">
        <v>9390.5</v>
      </c>
      <c r="Q255" s="7" t="n">
        <v>17638.7</v>
      </c>
      <c r="R255" s="7" t="n">
        <v>19560.3</v>
      </c>
      <c r="S255" s="7" t="n">
        <v>14772.6</v>
      </c>
      <c r="T255" s="7" t="n">
        <v>9655.1</v>
      </c>
      <c r="U255" s="7" t="n">
        <v>16109.3</v>
      </c>
      <c r="V255" s="7" t="n">
        <v>21266</v>
      </c>
      <c r="W255" s="7" t="n">
        <v>18740.8</v>
      </c>
      <c r="X255" s="7" t="n">
        <v>15432.9</v>
      </c>
      <c r="Y255" s="7" t="n">
        <v>14146.5</v>
      </c>
      <c r="Z255" s="7" t="n">
        <v>25759.6</v>
      </c>
      <c r="AA255" s="7" t="n">
        <v>194714.4</v>
      </c>
      <c r="AB255" s="7" t="n">
        <v>196999.2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182730.1</v>
      </c>
      <c r="D256" s="7" t="n">
        <v>108608.7</v>
      </c>
      <c r="E256" s="7" t="n">
        <v>187773.4</v>
      </c>
      <c r="F256" s="7" t="n">
        <v>87790.10000000001</v>
      </c>
      <c r="G256" s="7" t="n">
        <v>174516.1</v>
      </c>
      <c r="H256" s="7" t="n">
        <v>186078.9</v>
      </c>
      <c r="I256" s="7" t="n">
        <v>189685.8</v>
      </c>
      <c r="J256" s="7" t="n">
        <v>183188.2</v>
      </c>
      <c r="K256" s="7" t="n">
        <v>161986</v>
      </c>
      <c r="L256" s="7" t="n">
        <v>252720.3</v>
      </c>
      <c r="M256" s="7" t="n">
        <v>182772.1</v>
      </c>
      <c r="N256" s="7" t="n">
        <v>216536.9</v>
      </c>
      <c r="O256" s="7" t="n">
        <v>165413.4</v>
      </c>
      <c r="P256" s="7" t="n">
        <v>225332.2</v>
      </c>
      <c r="Q256" s="7" t="n">
        <v>187713.5</v>
      </c>
      <c r="R256" s="7" t="n">
        <v>149462.4</v>
      </c>
      <c r="S256" s="7" t="n">
        <v>193184.6</v>
      </c>
      <c r="T256" s="7" t="n">
        <v>179600.5</v>
      </c>
      <c r="U256" s="7" t="n">
        <v>182561.3</v>
      </c>
      <c r="V256" s="7" t="n">
        <v>184048</v>
      </c>
      <c r="W256" s="7" t="n">
        <v>167960.6</v>
      </c>
      <c r="X256" s="7" t="n">
        <v>245705.7</v>
      </c>
      <c r="Y256" s="7" t="n">
        <v>179484.8</v>
      </c>
      <c r="Z256" s="7" t="n">
        <v>159000.3</v>
      </c>
      <c r="AA256" s="8" t="n">
        <v>2155781.7</v>
      </c>
      <c r="AB256" s="8" t="n">
        <v>2178072.2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4681</v>
      </c>
      <c r="E257" s="7" t="n">
        <v>0</v>
      </c>
      <c r="F257" s="7" t="n">
        <v>4635.4</v>
      </c>
      <c r="G257" s="7" t="n">
        <v>0</v>
      </c>
      <c r="H257" s="7" t="n">
        <v>3600.7</v>
      </c>
      <c r="I257" s="7" t="n">
        <v>0</v>
      </c>
      <c r="J257" s="7" t="n">
        <v>4262</v>
      </c>
      <c r="K257" s="7" t="n">
        <v>0</v>
      </c>
      <c r="L257" s="7" t="n">
        <v>676.7</v>
      </c>
      <c r="M257" s="7" t="n">
        <v>0</v>
      </c>
      <c r="N257" s="7" t="n">
        <v>2621.9</v>
      </c>
      <c r="O257" s="7" t="n">
        <v>0</v>
      </c>
      <c r="P257" s="7" t="n">
        <v>4147</v>
      </c>
      <c r="Q257" s="7" t="n">
        <v>0</v>
      </c>
      <c r="R257" s="7" t="n">
        <v>49.1</v>
      </c>
      <c r="S257" s="7" t="n">
        <v>0</v>
      </c>
      <c r="T257" s="7" t="n">
        <v>2081.5</v>
      </c>
      <c r="U257" s="7" t="n">
        <v>0</v>
      </c>
      <c r="V257" s="7" t="n">
        <v>751.7</v>
      </c>
      <c r="W257" s="7" t="n">
        <v>0</v>
      </c>
      <c r="X257" s="7" t="n">
        <v>335.2</v>
      </c>
      <c r="Y257" s="7" t="n">
        <v>0</v>
      </c>
      <c r="Z257" s="7" t="n">
        <v>4884.9</v>
      </c>
      <c r="AA257" s="7" t="n">
        <v>0</v>
      </c>
      <c r="AB257" s="7" t="n">
        <v>32727.1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935.5</v>
      </c>
      <c r="E258" s="7" t="n">
        <v>0</v>
      </c>
      <c r="F258" s="7" t="n">
        <v>563</v>
      </c>
      <c r="G258" s="7" t="n">
        <v>0</v>
      </c>
      <c r="H258" s="7" t="n">
        <v>2082.1</v>
      </c>
      <c r="I258" s="7" t="n">
        <v>0</v>
      </c>
      <c r="J258" s="7" t="n">
        <v>1613.2</v>
      </c>
      <c r="K258" s="7" t="n">
        <v>0</v>
      </c>
      <c r="L258" s="7" t="n">
        <v>993.1</v>
      </c>
      <c r="M258" s="7" t="n">
        <v>0</v>
      </c>
      <c r="N258" s="7" t="n">
        <v>183.3</v>
      </c>
      <c r="O258" s="7" t="n">
        <v>0</v>
      </c>
      <c r="P258" s="7" t="n">
        <v>1406.1</v>
      </c>
      <c r="Q258" s="7" t="n">
        <v>0</v>
      </c>
      <c r="R258" s="7" t="n">
        <v>469.4</v>
      </c>
      <c r="S258" s="7" t="n">
        <v>0</v>
      </c>
      <c r="T258" s="7" t="n">
        <v>1051.4</v>
      </c>
      <c r="U258" s="7" t="n">
        <v>0</v>
      </c>
      <c r="V258" s="7" t="n">
        <v>1677.5</v>
      </c>
      <c r="W258" s="7" t="n">
        <v>0</v>
      </c>
      <c r="X258" s="7" t="n">
        <v>678.1</v>
      </c>
      <c r="Y258" s="7" t="n">
        <v>0</v>
      </c>
      <c r="Z258" s="7" t="n">
        <v>1886.5</v>
      </c>
      <c r="AA258" s="7" t="n">
        <v>0</v>
      </c>
      <c r="AB258" s="7" t="n">
        <v>13539.2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163806.3</v>
      </c>
      <c r="D259" s="7" t="n">
        <v>117903</v>
      </c>
      <c r="E259" s="7" t="n">
        <v>195529.8</v>
      </c>
      <c r="F259" s="7" t="n">
        <v>83832.2</v>
      </c>
      <c r="G259" s="7" t="n">
        <v>170804.7</v>
      </c>
      <c r="H259" s="7" t="n">
        <v>198016</v>
      </c>
      <c r="I259" s="7" t="n">
        <v>169869.5</v>
      </c>
      <c r="J259" s="7" t="n">
        <v>196674.3</v>
      </c>
      <c r="K259" s="7" t="n">
        <v>161057.7</v>
      </c>
      <c r="L259" s="7" t="n">
        <v>256989.7</v>
      </c>
      <c r="M259" s="7" t="n">
        <v>199163.2</v>
      </c>
      <c r="N259" s="7" t="n">
        <v>208124.5</v>
      </c>
      <c r="O259" s="7" t="n">
        <v>187665.7</v>
      </c>
      <c r="P259" s="7" t="n">
        <v>230943</v>
      </c>
      <c r="Q259" s="7" t="n">
        <v>197471.7</v>
      </c>
      <c r="R259" s="7" t="n">
        <v>146570.9</v>
      </c>
      <c r="S259" s="7" t="n">
        <v>173557.5</v>
      </c>
      <c r="T259" s="7" t="n">
        <v>170791.1</v>
      </c>
      <c r="U259" s="7" t="n">
        <v>197796.8</v>
      </c>
      <c r="V259" s="7" t="n">
        <v>185557.8</v>
      </c>
      <c r="W259" s="7" t="n">
        <v>187932</v>
      </c>
      <c r="X259" s="7" t="n">
        <v>253537.2</v>
      </c>
      <c r="Y259" s="7" t="n">
        <v>170654</v>
      </c>
      <c r="Z259" s="7" t="n">
        <v>145564</v>
      </c>
      <c r="AA259" s="8" t="n">
        <v>2175308.9</v>
      </c>
      <c r="AB259" s="8" t="n">
        <v>2194503.7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49933.6</v>
      </c>
      <c r="D260" s="7" t="n">
        <v>29475.8</v>
      </c>
      <c r="E260" s="7" t="n">
        <v>50811.9</v>
      </c>
      <c r="F260" s="7" t="n">
        <v>20958</v>
      </c>
      <c r="G260" s="7" t="n">
        <v>48029.9</v>
      </c>
      <c r="H260" s="7" t="n">
        <v>49504</v>
      </c>
      <c r="I260" s="7" t="n">
        <v>45354.1</v>
      </c>
      <c r="J260" s="7" t="n">
        <v>49168.6</v>
      </c>
      <c r="K260" s="7" t="n">
        <v>41166.6</v>
      </c>
      <c r="L260" s="7" t="n">
        <v>64247.4</v>
      </c>
      <c r="M260" s="7" t="n">
        <v>49605.4</v>
      </c>
      <c r="N260" s="7" t="n">
        <v>52031.1</v>
      </c>
      <c r="O260" s="7" t="n">
        <v>52427</v>
      </c>
      <c r="P260" s="7" t="n">
        <v>57735.8</v>
      </c>
      <c r="Q260" s="7" t="n">
        <v>40113.8</v>
      </c>
      <c r="R260" s="7" t="n">
        <v>36642.7</v>
      </c>
      <c r="S260" s="7" t="n">
        <v>49879.5</v>
      </c>
      <c r="T260" s="7" t="n">
        <v>42697.8</v>
      </c>
      <c r="U260" s="7" t="n">
        <v>40870.2</v>
      </c>
      <c r="V260" s="7" t="n">
        <v>46389.4</v>
      </c>
      <c r="W260" s="7" t="n">
        <v>41121.6</v>
      </c>
      <c r="X260" s="7" t="n">
        <v>63384.3</v>
      </c>
      <c r="Y260" s="7" t="n">
        <v>50856.9</v>
      </c>
      <c r="Z260" s="7" t="n">
        <v>36391</v>
      </c>
      <c r="AA260" s="7" t="n">
        <v>560170.5</v>
      </c>
      <c r="AB260" s="7" t="n">
        <v>548625.9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113349.7</v>
      </c>
      <c r="D261" s="7" t="n">
        <v>88427.2</v>
      </c>
      <c r="E261" s="7" t="n">
        <v>142983.4</v>
      </c>
      <c r="F261" s="7" t="n">
        <v>62874.2</v>
      </c>
      <c r="G261" s="7" t="n">
        <v>199074</v>
      </c>
      <c r="H261" s="7" t="n">
        <v>148512</v>
      </c>
      <c r="I261" s="7" t="n">
        <v>132458.8</v>
      </c>
      <c r="J261" s="7" t="n">
        <v>147505.7</v>
      </c>
      <c r="K261" s="7" t="n">
        <v>180457.9</v>
      </c>
      <c r="L261" s="7" t="n">
        <v>192742.3</v>
      </c>
      <c r="M261" s="7" t="n">
        <v>150017.2</v>
      </c>
      <c r="N261" s="7" t="n">
        <v>156093.4</v>
      </c>
      <c r="O261" s="7" t="n">
        <v>147056.9</v>
      </c>
      <c r="P261" s="7" t="n">
        <v>173207.2</v>
      </c>
      <c r="Q261" s="7" t="n">
        <v>196484.6</v>
      </c>
      <c r="R261" s="7" t="n">
        <v>109928.2</v>
      </c>
      <c r="S261" s="7" t="n">
        <v>200009.6</v>
      </c>
      <c r="T261" s="7" t="n">
        <v>128093.3</v>
      </c>
      <c r="U261" s="7" t="n">
        <v>159338.2</v>
      </c>
      <c r="V261" s="7" t="n">
        <v>139168.4</v>
      </c>
      <c r="W261" s="7" t="n">
        <v>174383.7</v>
      </c>
      <c r="X261" s="7" t="n">
        <v>190152.9</v>
      </c>
      <c r="Y261" s="7" t="n">
        <v>122245.4</v>
      </c>
      <c r="Z261" s="7" t="n">
        <v>109173</v>
      </c>
      <c r="AA261" s="8" t="n">
        <v>1917859.4</v>
      </c>
      <c r="AB261" s="8" t="n">
        <v>1645877.8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8577.6</v>
      </c>
      <c r="E262" s="7" t="n">
        <v>0</v>
      </c>
      <c r="F262" s="7" t="n">
        <v>16899.7</v>
      </c>
      <c r="G262" s="7" t="n">
        <v>0</v>
      </c>
      <c r="H262" s="7" t="n">
        <v>2325.2</v>
      </c>
      <c r="I262" s="7" t="n">
        <v>0</v>
      </c>
      <c r="J262" s="7" t="n">
        <v>22643.8</v>
      </c>
      <c r="K262" s="7" t="n">
        <v>0</v>
      </c>
      <c r="L262" s="7" t="n">
        <v>25424</v>
      </c>
      <c r="M262" s="7" t="n">
        <v>0</v>
      </c>
      <c r="N262" s="7" t="n">
        <v>31133.2</v>
      </c>
      <c r="O262" s="7" t="n">
        <v>0</v>
      </c>
      <c r="P262" s="7" t="n">
        <v>16996.3</v>
      </c>
      <c r="Q262" s="7" t="n">
        <v>0</v>
      </c>
      <c r="R262" s="7" t="n">
        <v>16501.6</v>
      </c>
      <c r="S262" s="7" t="n">
        <v>0</v>
      </c>
      <c r="T262" s="7" t="n">
        <v>4507.5</v>
      </c>
      <c r="U262" s="7" t="n">
        <v>0</v>
      </c>
      <c r="V262" s="7" t="n">
        <v>23386.4</v>
      </c>
      <c r="W262" s="7" t="n">
        <v>0</v>
      </c>
      <c r="X262" s="7" t="n">
        <v>21524</v>
      </c>
      <c r="Y262" s="7" t="n">
        <v>0</v>
      </c>
      <c r="Z262" s="7" t="n">
        <v>12626.8</v>
      </c>
      <c r="AA262" s="7" t="n">
        <v>0</v>
      </c>
      <c r="AB262" s="7" t="n">
        <v>202546.1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113349.7</v>
      </c>
      <c r="D263" s="7" t="n">
        <v>79849.60000000001</v>
      </c>
      <c r="E263" s="7" t="n">
        <v>142983.4</v>
      </c>
      <c r="F263" s="7" t="n">
        <v>45974.5</v>
      </c>
      <c r="G263" s="7" t="n">
        <v>199074</v>
      </c>
      <c r="H263" s="7" t="n">
        <v>146186.8</v>
      </c>
      <c r="I263" s="7" t="n">
        <v>132458.8</v>
      </c>
      <c r="J263" s="7" t="n">
        <v>124861.9</v>
      </c>
      <c r="K263" s="7" t="n">
        <v>180457.9</v>
      </c>
      <c r="L263" s="7" t="n">
        <v>167318.3</v>
      </c>
      <c r="M263" s="7" t="n">
        <v>150017.2</v>
      </c>
      <c r="N263" s="7" t="n">
        <v>124960.2</v>
      </c>
      <c r="O263" s="7" t="n">
        <v>147056.9</v>
      </c>
      <c r="P263" s="7" t="n">
        <v>156210.9</v>
      </c>
      <c r="Q263" s="7" t="n">
        <v>196484.6</v>
      </c>
      <c r="R263" s="7" t="n">
        <v>93426.60000000001</v>
      </c>
      <c r="S263" s="7" t="n">
        <v>200009.6</v>
      </c>
      <c r="T263" s="7" t="n">
        <v>123585.8</v>
      </c>
      <c r="U263" s="7" t="n">
        <v>159338.2</v>
      </c>
      <c r="V263" s="7" t="n">
        <v>115782</v>
      </c>
      <c r="W263" s="7" t="n">
        <v>174383.7</v>
      </c>
      <c r="X263" s="7" t="n">
        <v>168628.9</v>
      </c>
      <c r="Y263" s="7" t="n">
        <v>122245.4</v>
      </c>
      <c r="Z263" s="7" t="n">
        <v>96546.2</v>
      </c>
      <c r="AA263" s="8" t="n">
        <v>1917859.4</v>
      </c>
      <c r="AB263" s="8" t="n">
        <v>1443331.7</v>
      </c>
    </row>
    <row r="264">
      <c r="A264" s="4" t="inlineStr">
        <is>
          <t>净利率</t>
        </is>
      </c>
      <c r="D264" s="13" t="n">
        <v>7.8</v>
      </c>
      <c r="F264" s="13" t="n">
        <v>5.3</v>
      </c>
      <c r="H264" s="13" t="n">
        <v>10.4</v>
      </c>
      <c r="J264" s="13" t="n">
        <v>7.5</v>
      </c>
      <c r="L264" s="13" t="n">
        <v>9.5</v>
      </c>
      <c r="N264" s="13" t="n">
        <v>7.1</v>
      </c>
      <c r="P264" s="13" t="n">
        <v>6.7</v>
      </c>
      <c r="R264" s="13" t="n">
        <v>5.9</v>
      </c>
      <c r="T264" s="13" t="n">
        <v>7</v>
      </c>
      <c r="V264" s="13" t="n">
        <v>5.7</v>
      </c>
      <c r="X264" s="13" t="n">
        <v>10.3</v>
      </c>
      <c r="Z264" s="13" t="n">
        <v>7.7</v>
      </c>
    </row>
    <row r="265">
      <c r="A265" s="4" t="inlineStr">
        <is>
          <t>销售达成率</t>
        </is>
      </c>
      <c r="D265" s="13" t="n">
        <v>69.59999999999999</v>
      </c>
      <c r="F265" s="13" t="n">
        <v>65.90000000000001</v>
      </c>
      <c r="H265" s="13" t="n">
        <v>81.7</v>
      </c>
      <c r="J265" s="13" t="n">
        <v>96.8</v>
      </c>
      <c r="L265" s="13" t="n">
        <v>118.5</v>
      </c>
      <c r="N265" s="13" t="n">
        <v>130.7</v>
      </c>
      <c r="P265" s="13" t="n">
        <v>142.4</v>
      </c>
      <c r="R265" s="13" t="n">
        <v>103.2</v>
      </c>
      <c r="T265" s="13" t="n">
        <v>106.4</v>
      </c>
      <c r="V265" s="13" t="n">
        <v>142.2</v>
      </c>
      <c r="X265" s="13" t="n">
        <v>89</v>
      </c>
      <c r="Z265" s="13" t="n">
        <v>77.90000000000001</v>
      </c>
    </row>
    <row r="266">
      <c r="A266" s="4" t="inlineStr">
        <is>
          <t>净利达成率</t>
        </is>
      </c>
      <c r="D266" s="13" t="n">
        <v>78</v>
      </c>
      <c r="F266" s="13" t="n">
        <v>44</v>
      </c>
      <c r="H266" s="13" t="n">
        <v>74.59999999999999</v>
      </c>
      <c r="J266" s="13" t="n">
        <v>111.4</v>
      </c>
      <c r="L266" s="13" t="n">
        <v>106.8</v>
      </c>
      <c r="N266" s="13" t="n">
        <v>104.1</v>
      </c>
      <c r="P266" s="13" t="n">
        <v>117.8</v>
      </c>
      <c r="R266" s="13" t="n">
        <v>55.9</v>
      </c>
      <c r="T266" s="13" t="n">
        <v>64</v>
      </c>
      <c r="V266" s="13" t="n">
        <v>87.3</v>
      </c>
      <c r="X266" s="13" t="n">
        <v>109</v>
      </c>
      <c r="Z266" s="13" t="n">
        <v>89.3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浙江分部利润表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1774761.5</v>
      </c>
      <c r="D6" s="7" t="n">
        <v>1157630.4</v>
      </c>
      <c r="E6" s="7" t="n">
        <v>2004486</v>
      </c>
      <c r="F6" s="7" t="n">
        <v>1437467.5</v>
      </c>
      <c r="G6" s="7" t="n">
        <v>1948043.9</v>
      </c>
      <c r="H6" s="7" t="n">
        <v>1652024.8</v>
      </c>
      <c r="I6" s="7" t="n">
        <v>1611861.9</v>
      </c>
      <c r="J6" s="7" t="n">
        <v>2007525.4</v>
      </c>
      <c r="K6" s="7" t="n">
        <v>1566294.3</v>
      </c>
      <c r="L6" s="7" t="n">
        <v>2383436.1</v>
      </c>
      <c r="M6" s="7" t="n">
        <v>1797447.5</v>
      </c>
      <c r="N6" s="7" t="n">
        <v>1824103.2</v>
      </c>
      <c r="O6" s="7" t="n">
        <v>1860509.2</v>
      </c>
      <c r="P6" s="7" t="n">
        <v>2004932</v>
      </c>
      <c r="Q6" s="7" t="n">
        <v>1700691.7</v>
      </c>
      <c r="R6" s="7" t="n">
        <v>2171289.6</v>
      </c>
      <c r="S6" s="7" t="n">
        <v>1960066.3</v>
      </c>
      <c r="T6" s="7" t="n">
        <v>1624147.5</v>
      </c>
      <c r="U6" s="7" t="n">
        <v>1923951.2</v>
      </c>
      <c r="V6" s="7" t="n">
        <v>2176773.1</v>
      </c>
      <c r="W6" s="7" t="n">
        <v>1881901.1</v>
      </c>
      <c r="X6" s="7" t="n">
        <v>1576080.2</v>
      </c>
      <c r="Y6" s="7" t="n">
        <v>1641355.7</v>
      </c>
      <c r="Z6" s="7" t="n">
        <v>1130592</v>
      </c>
      <c r="AA6" s="8" t="n">
        <v>21671370.3</v>
      </c>
      <c r="AB6" s="8" t="n">
        <v>21146001.8</v>
      </c>
    </row>
    <row r="7">
      <c r="A7" s="4" t="inlineStr">
        <is>
          <t>中式汤底</t>
        </is>
      </c>
      <c r="D7" s="7" t="n">
        <v>199405</v>
      </c>
      <c r="F7" s="7" t="n">
        <v>262182.5</v>
      </c>
      <c r="H7" s="7" t="n">
        <v>300232</v>
      </c>
      <c r="J7" s="7" t="n">
        <v>400736.1</v>
      </c>
      <c r="L7" s="7" t="n">
        <v>470530.1</v>
      </c>
      <c r="N7" s="7" t="n">
        <v>280786.8</v>
      </c>
      <c r="P7" s="7" t="n">
        <v>463259</v>
      </c>
      <c r="R7" s="7" t="n">
        <v>239252.3</v>
      </c>
      <c r="T7" s="7" t="n">
        <v>249088.7</v>
      </c>
      <c r="V7" s="7" t="n">
        <v>410872</v>
      </c>
      <c r="X7" s="7" t="n">
        <v>300118.3</v>
      </c>
      <c r="Z7" s="7" t="n">
        <v>294864.9</v>
      </c>
      <c r="AB7" s="7" t="n">
        <v>3871327.7</v>
      </c>
    </row>
    <row r="8">
      <c r="A8" s="4" t="inlineStr">
        <is>
          <t>酱料</t>
        </is>
      </c>
      <c r="D8" s="7" t="n">
        <v>115335.2</v>
      </c>
      <c r="F8" s="7" t="n">
        <v>193488.5</v>
      </c>
      <c r="H8" s="7" t="n">
        <v>186562.4</v>
      </c>
      <c r="J8" s="7" t="n">
        <v>159923</v>
      </c>
      <c r="L8" s="7" t="n">
        <v>373937.7</v>
      </c>
      <c r="N8" s="7" t="n">
        <v>192075</v>
      </c>
      <c r="P8" s="7" t="n">
        <v>256594.5</v>
      </c>
      <c r="R8" s="7" t="n">
        <v>348788.9</v>
      </c>
      <c r="T8" s="7" t="n">
        <v>217664.1</v>
      </c>
      <c r="V8" s="7" t="n">
        <v>369503.6</v>
      </c>
      <c r="X8" s="7" t="n">
        <v>238269.8</v>
      </c>
      <c r="Z8" s="7" t="n">
        <v>191077.7</v>
      </c>
      <c r="AB8" s="7" t="n">
        <v>2843220.4</v>
      </c>
    </row>
    <row r="9">
      <c r="A9" s="4" t="inlineStr">
        <is>
          <t>川味底料</t>
        </is>
      </c>
      <c r="D9" s="7" t="n">
        <v>136407.6</v>
      </c>
      <c r="F9" s="7" t="n">
        <v>256132.5</v>
      </c>
      <c r="H9" s="7" t="n">
        <v>168744.2</v>
      </c>
      <c r="J9" s="7" t="n">
        <v>282341.1</v>
      </c>
      <c r="L9" s="7" t="n">
        <v>322873.6</v>
      </c>
      <c r="N9" s="7" t="n">
        <v>247914.2</v>
      </c>
      <c r="P9" s="7" t="n">
        <v>285581.1</v>
      </c>
      <c r="R9" s="7" t="n">
        <v>394488.2</v>
      </c>
      <c r="T9" s="7" t="n">
        <v>182482.4</v>
      </c>
      <c r="V9" s="7" t="n">
        <v>266914.1</v>
      </c>
      <c r="X9" s="7" t="n">
        <v>296593</v>
      </c>
      <c r="Z9" s="7" t="n">
        <v>153466.8</v>
      </c>
      <c r="AB9" s="7" t="n">
        <v>2993938.8</v>
      </c>
    </row>
    <row r="10">
      <c r="A10" s="4" t="inlineStr">
        <is>
          <t>调味汁</t>
        </is>
      </c>
      <c r="D10" s="7" t="n">
        <v>111783.2</v>
      </c>
      <c r="F10" s="7" t="n">
        <v>91385.2</v>
      </c>
      <c r="H10" s="7" t="n">
        <v>235480.4</v>
      </c>
      <c r="J10" s="7" t="n">
        <v>250676.6</v>
      </c>
      <c r="L10" s="7" t="n">
        <v>156282.3</v>
      </c>
      <c r="N10" s="7" t="n">
        <v>200894.7</v>
      </c>
      <c r="P10" s="7" t="n">
        <v>317967.5</v>
      </c>
      <c r="R10" s="7" t="n">
        <v>286938.6</v>
      </c>
      <c r="T10" s="7" t="n">
        <v>158121.6</v>
      </c>
      <c r="V10" s="7" t="n">
        <v>290469.9</v>
      </c>
      <c r="X10" s="7" t="n">
        <v>164640.8</v>
      </c>
      <c r="Z10" s="7" t="n">
        <v>100167.7</v>
      </c>
      <c r="AB10" s="7" t="n">
        <v>2364808.5</v>
      </c>
    </row>
    <row r="11">
      <c r="A11" s="4" t="inlineStr">
        <is>
          <t>复合调味粉</t>
        </is>
      </c>
      <c r="D11" s="7" t="n">
        <v>235222.3</v>
      </c>
      <c r="F11" s="7" t="n">
        <v>259356.6</v>
      </c>
      <c r="H11" s="7" t="n">
        <v>303851.1</v>
      </c>
      <c r="J11" s="7" t="n">
        <v>381728.6</v>
      </c>
      <c r="L11" s="7" t="n">
        <v>403225.5</v>
      </c>
      <c r="N11" s="7" t="n">
        <v>277111</v>
      </c>
      <c r="P11" s="7" t="n">
        <v>253345.7</v>
      </c>
      <c r="R11" s="7" t="n">
        <v>401858.8</v>
      </c>
      <c r="T11" s="7" t="n">
        <v>355786.1</v>
      </c>
      <c r="V11" s="7" t="n">
        <v>287572.1</v>
      </c>
      <c r="X11" s="7" t="n">
        <v>199818.7</v>
      </c>
      <c r="Z11" s="7" t="n">
        <v>149935.3</v>
      </c>
      <c r="AB11" s="7" t="n">
        <v>3508811.8</v>
      </c>
    </row>
    <row r="12">
      <c r="A12" s="4" t="inlineStr">
        <is>
          <t>团餐</t>
        </is>
      </c>
      <c r="D12" s="7" t="n">
        <v>233895.3</v>
      </c>
      <c r="F12" s="7" t="n">
        <v>221158.5</v>
      </c>
      <c r="H12" s="7" t="n">
        <v>353757.1</v>
      </c>
      <c r="J12" s="7" t="n">
        <v>383547.1</v>
      </c>
      <c r="L12" s="7" t="n">
        <v>429685.2</v>
      </c>
      <c r="N12" s="7" t="n">
        <v>466604.2</v>
      </c>
      <c r="P12" s="7" t="n">
        <v>253374.2</v>
      </c>
      <c r="R12" s="7" t="n">
        <v>369279.6</v>
      </c>
      <c r="T12" s="7" t="n">
        <v>307931.9</v>
      </c>
      <c r="V12" s="7" t="n">
        <v>309300</v>
      </c>
      <c r="X12" s="7" t="n">
        <v>205313.1</v>
      </c>
      <c r="Z12" s="7" t="n">
        <v>119471.9</v>
      </c>
      <c r="AB12" s="7" t="n">
        <v>3653318.1</v>
      </c>
    </row>
    <row r="13">
      <c r="A13" s="4" t="inlineStr">
        <is>
          <t>预制菜</t>
        </is>
      </c>
      <c r="D13" s="7" t="n">
        <v>136906.3</v>
      </c>
      <c r="F13" s="7" t="n">
        <v>154419.4</v>
      </c>
      <c r="H13" s="7" t="n">
        <v>114595</v>
      </c>
      <c r="J13" s="7" t="n">
        <v>167736.5</v>
      </c>
      <c r="L13" s="7" t="n">
        <v>272958.7</v>
      </c>
      <c r="N13" s="7" t="n">
        <v>195716.4</v>
      </c>
      <c r="P13" s="7" t="n">
        <v>233842</v>
      </c>
      <c r="R13" s="7" t="n">
        <v>178609.5</v>
      </c>
      <c r="T13" s="7" t="n">
        <v>181750.2</v>
      </c>
      <c r="V13" s="7" t="n">
        <v>265965.5</v>
      </c>
      <c r="X13" s="7" t="n">
        <v>190836.9</v>
      </c>
      <c r="Z13" s="7" t="n">
        <v>141083.1</v>
      </c>
      <c r="AB13" s="7" t="n">
        <v>2234419.5</v>
      </c>
    </row>
    <row r="14">
      <c r="A14" s="4" t="inlineStr">
        <is>
          <t>返利</t>
        </is>
      </c>
      <c r="D14" s="7" t="n">
        <v>-22782.4</v>
      </c>
      <c r="F14" s="7" t="n">
        <v>-23348.3</v>
      </c>
      <c r="H14" s="7" t="n">
        <v>-33995.8</v>
      </c>
      <c r="J14" s="7" t="n">
        <v>-41777.6</v>
      </c>
      <c r="L14" s="7" t="n">
        <v>-67213.7</v>
      </c>
      <c r="N14" s="7" t="n">
        <v>-49959.1</v>
      </c>
      <c r="P14" s="7" t="n">
        <v>-60076.2</v>
      </c>
      <c r="R14" s="7" t="n">
        <v>-64157.1</v>
      </c>
      <c r="T14" s="7" t="n">
        <v>-44084.3</v>
      </c>
      <c r="V14" s="7" t="n">
        <v>-53313.8</v>
      </c>
      <c r="X14" s="7" t="n">
        <v>-42757.9</v>
      </c>
      <c r="Z14" s="7" t="n">
        <v>-24392.6</v>
      </c>
      <c r="AB14" s="7" t="n">
        <v>-527858.8</v>
      </c>
    </row>
    <row r="15">
      <c r="A15" s="4" t="inlineStr">
        <is>
          <t>其他</t>
        </is>
      </c>
      <c r="D15" s="7" t="n">
        <v>11457.9</v>
      </c>
      <c r="F15" s="7" t="n">
        <v>22692.6</v>
      </c>
      <c r="H15" s="7" t="n">
        <v>22798.4</v>
      </c>
      <c r="J15" s="7" t="n">
        <v>22614</v>
      </c>
      <c r="L15" s="7" t="n">
        <v>21156.7</v>
      </c>
      <c r="N15" s="7" t="n">
        <v>12960</v>
      </c>
      <c r="P15" s="7" t="n">
        <v>1044.2</v>
      </c>
      <c r="R15" s="7" t="n">
        <v>16230.8</v>
      </c>
      <c r="T15" s="7" t="n">
        <v>15406.8</v>
      </c>
      <c r="V15" s="7" t="n">
        <v>29489.7</v>
      </c>
      <c r="X15" s="7" t="n">
        <v>23247.5</v>
      </c>
      <c r="Z15" s="7" t="n">
        <v>4917.2</v>
      </c>
      <c r="AB15" s="7" t="n">
        <v>204015.8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1150269.1</v>
      </c>
      <c r="D16" s="7" t="n">
        <v>786164.4</v>
      </c>
      <c r="E16" s="7" t="n">
        <v>1108921.2</v>
      </c>
      <c r="F16" s="7" t="n">
        <v>986417.5</v>
      </c>
      <c r="G16" s="7" t="n">
        <v>1348804.4</v>
      </c>
      <c r="H16" s="7" t="n">
        <v>1143024.7</v>
      </c>
      <c r="I16" s="7" t="n">
        <v>1235728.2</v>
      </c>
      <c r="J16" s="7" t="n">
        <v>1357372.9</v>
      </c>
      <c r="K16" s="7" t="n">
        <v>1029811.2</v>
      </c>
      <c r="L16" s="7" t="n">
        <v>1602087.7</v>
      </c>
      <c r="M16" s="7" t="n">
        <v>1116533.3</v>
      </c>
      <c r="N16" s="7" t="n">
        <v>1265658.2</v>
      </c>
      <c r="O16" s="7" t="n">
        <v>1189734.8</v>
      </c>
      <c r="P16" s="7" t="n">
        <v>1356487.7</v>
      </c>
      <c r="Q16" s="7" t="n">
        <v>1033543.1</v>
      </c>
      <c r="R16" s="7" t="n">
        <v>1499095.5</v>
      </c>
      <c r="S16" s="7" t="n">
        <v>1267599.1</v>
      </c>
      <c r="T16" s="7" t="n">
        <v>1111158</v>
      </c>
      <c r="U16" s="7" t="n">
        <v>1108661.8</v>
      </c>
      <c r="V16" s="7" t="n">
        <v>1444515.8</v>
      </c>
      <c r="W16" s="7" t="n">
        <v>1242372.1</v>
      </c>
      <c r="X16" s="7" t="n">
        <v>1062909.3</v>
      </c>
      <c r="Y16" s="7" t="n">
        <v>1366612.9</v>
      </c>
      <c r="Z16" s="7" t="n">
        <v>753590.3</v>
      </c>
      <c r="AA16" s="8" t="n">
        <v>14198591.2</v>
      </c>
      <c r="AB16" s="8" t="n">
        <v>14368482</v>
      </c>
    </row>
    <row r="17">
      <c r="A17" s="4" t="inlineStr">
        <is>
          <t>中式汤底</t>
        </is>
      </c>
      <c r="D17" s="7" t="n">
        <v>121115.2</v>
      </c>
      <c r="F17" s="7" t="n">
        <v>159245.1</v>
      </c>
      <c r="H17" s="7" t="n">
        <v>182355.7</v>
      </c>
      <c r="J17" s="7" t="n">
        <v>243400.2</v>
      </c>
      <c r="L17" s="7" t="n">
        <v>285791.9</v>
      </c>
      <c r="N17" s="7" t="n">
        <v>170545.1</v>
      </c>
      <c r="P17" s="7" t="n">
        <v>281375.5</v>
      </c>
      <c r="R17" s="7" t="n">
        <v>145317.7</v>
      </c>
      <c r="T17" s="7" t="n">
        <v>151292.2</v>
      </c>
      <c r="V17" s="7" t="n">
        <v>249556.6</v>
      </c>
      <c r="X17" s="7" t="n">
        <v>182286.7</v>
      </c>
      <c r="Z17" s="7" t="n">
        <v>179095.9</v>
      </c>
      <c r="AB17" s="7" t="n">
        <v>2351377.8</v>
      </c>
    </row>
    <row r="18">
      <c r="A18" s="4" t="inlineStr">
        <is>
          <t>酱料</t>
        </is>
      </c>
      <c r="D18" s="7" t="n">
        <v>73350.60000000001</v>
      </c>
      <c r="F18" s="7" t="n">
        <v>123054.4</v>
      </c>
      <c r="H18" s="7" t="n">
        <v>118649.5</v>
      </c>
      <c r="J18" s="7" t="n">
        <v>101707.5</v>
      </c>
      <c r="L18" s="7" t="n">
        <v>237816</v>
      </c>
      <c r="N18" s="7" t="n">
        <v>122155.4</v>
      </c>
      <c r="P18" s="7" t="n">
        <v>163188.4</v>
      </c>
      <c r="R18" s="7" t="n">
        <v>221821.9</v>
      </c>
      <c r="T18" s="7" t="n">
        <v>138429.5</v>
      </c>
      <c r="V18" s="7" t="n">
        <v>234996</v>
      </c>
      <c r="X18" s="7" t="n">
        <v>151534.3</v>
      </c>
      <c r="Z18" s="7" t="n">
        <v>121521.1</v>
      </c>
      <c r="AB18" s="7" t="n">
        <v>1808224.6</v>
      </c>
    </row>
    <row r="19">
      <c r="A19" s="4" t="inlineStr">
        <is>
          <t>川味底料</t>
        </is>
      </c>
      <c r="D19" s="7" t="n">
        <v>90847</v>
      </c>
      <c r="F19" s="7" t="n">
        <v>170583.5</v>
      </c>
      <c r="H19" s="7" t="n">
        <v>112383.1</v>
      </c>
      <c r="J19" s="7" t="n">
        <v>188038.3</v>
      </c>
      <c r="L19" s="7" t="n">
        <v>215032.8</v>
      </c>
      <c r="N19" s="7" t="n">
        <v>165110.1</v>
      </c>
      <c r="P19" s="7" t="n">
        <v>190196.1</v>
      </c>
      <c r="R19" s="7" t="n">
        <v>262727.9</v>
      </c>
      <c r="T19" s="7" t="n">
        <v>121532.7</v>
      </c>
      <c r="V19" s="7" t="n">
        <v>177764</v>
      </c>
      <c r="X19" s="7" t="n">
        <v>197530</v>
      </c>
      <c r="Z19" s="7" t="n">
        <v>102208.4</v>
      </c>
      <c r="AB19" s="7" t="n">
        <v>1993953.9</v>
      </c>
    </row>
    <row r="20">
      <c r="A20" s="4" t="inlineStr">
        <is>
          <t>调味汁</t>
        </is>
      </c>
      <c r="D20" s="7" t="n">
        <v>76117.8</v>
      </c>
      <c r="F20" s="7" t="n">
        <v>62227.9</v>
      </c>
      <c r="H20" s="7" t="n">
        <v>160348.3</v>
      </c>
      <c r="J20" s="7" t="n">
        <v>170696</v>
      </c>
      <c r="L20" s="7" t="n">
        <v>106419</v>
      </c>
      <c r="N20" s="7" t="n">
        <v>136797.5</v>
      </c>
      <c r="P20" s="7" t="n">
        <v>216517.1</v>
      </c>
      <c r="R20" s="7" t="n">
        <v>195388.3</v>
      </c>
      <c r="T20" s="7" t="n">
        <v>107671.5</v>
      </c>
      <c r="V20" s="7" t="n">
        <v>197792.9</v>
      </c>
      <c r="X20" s="7" t="n">
        <v>112110.7</v>
      </c>
      <c r="Z20" s="7" t="n">
        <v>68208.3</v>
      </c>
      <c r="AB20" s="7" t="n">
        <v>1610295.3</v>
      </c>
    </row>
    <row r="21">
      <c r="A21" s="4" t="inlineStr">
        <is>
          <t>复合调味粉</t>
        </is>
      </c>
      <c r="D21" s="7" t="n">
        <v>151247.4</v>
      </c>
      <c r="F21" s="7" t="n">
        <v>166765.7</v>
      </c>
      <c r="H21" s="7" t="n">
        <v>195375.5</v>
      </c>
      <c r="J21" s="7" t="n">
        <v>245450.6</v>
      </c>
      <c r="L21" s="7" t="n">
        <v>259273</v>
      </c>
      <c r="N21" s="7" t="n">
        <v>178181.7</v>
      </c>
      <c r="P21" s="7" t="n">
        <v>162900.7</v>
      </c>
      <c r="R21" s="7" t="n">
        <v>258394.3</v>
      </c>
      <c r="T21" s="7" t="n">
        <v>228769.6</v>
      </c>
      <c r="V21" s="7" t="n">
        <v>184908.2</v>
      </c>
      <c r="X21" s="7" t="n">
        <v>128483</v>
      </c>
      <c r="Z21" s="7" t="n">
        <v>96408</v>
      </c>
      <c r="AB21" s="7" t="n">
        <v>2256157.7</v>
      </c>
    </row>
    <row r="22">
      <c r="A22" s="4" t="inlineStr">
        <is>
          <t>团餐</t>
        </is>
      </c>
      <c r="D22" s="7" t="n">
        <v>149326.2</v>
      </c>
      <c r="F22" s="7" t="n">
        <v>141194.7</v>
      </c>
      <c r="H22" s="7" t="n">
        <v>225849.8</v>
      </c>
      <c r="J22" s="7" t="n">
        <v>244868.7</v>
      </c>
      <c r="L22" s="7" t="n">
        <v>274324.8</v>
      </c>
      <c r="N22" s="7" t="n">
        <v>297895</v>
      </c>
      <c r="P22" s="7" t="n">
        <v>161762.2</v>
      </c>
      <c r="R22" s="7" t="n">
        <v>235759.9</v>
      </c>
      <c r="T22" s="7" t="n">
        <v>196593.6</v>
      </c>
      <c r="V22" s="7" t="n">
        <v>197467</v>
      </c>
      <c r="X22" s="7" t="n">
        <v>131078.4</v>
      </c>
      <c r="Z22" s="7" t="n">
        <v>76274.7</v>
      </c>
      <c r="AB22" s="7" t="n">
        <v>2332395</v>
      </c>
    </row>
    <row r="23">
      <c r="A23" s="4" t="inlineStr">
        <is>
          <t>预制菜</t>
        </is>
      </c>
      <c r="D23" s="7" t="n">
        <v>81149.89999999999</v>
      </c>
      <c r="F23" s="7" t="n">
        <v>91530.60000000001</v>
      </c>
      <c r="H23" s="7" t="n">
        <v>67925.10000000001</v>
      </c>
      <c r="J23" s="7" t="n">
        <v>99424.2</v>
      </c>
      <c r="L23" s="7" t="n">
        <v>161793.6</v>
      </c>
      <c r="N23" s="7" t="n">
        <v>116009</v>
      </c>
      <c r="P23" s="7" t="n">
        <v>138607.6</v>
      </c>
      <c r="R23" s="7" t="n">
        <v>105869</v>
      </c>
      <c r="T23" s="7" t="n">
        <v>107730.7</v>
      </c>
      <c r="V23" s="7" t="n">
        <v>157648.5</v>
      </c>
      <c r="X23" s="7" t="n">
        <v>113116.7</v>
      </c>
      <c r="Z23" s="7" t="n">
        <v>83625.60000000001</v>
      </c>
      <c r="AB23" s="7" t="n">
        <v>1324430.5</v>
      </c>
    </row>
    <row r="24">
      <c r="A24" s="4" t="inlineStr">
        <is>
          <t>其他</t>
        </is>
      </c>
      <c r="D24" s="7" t="n">
        <v>12237.2</v>
      </c>
      <c r="F24" s="7" t="n">
        <v>15789.4</v>
      </c>
      <c r="H24" s="7" t="n">
        <v>19718.1</v>
      </c>
      <c r="J24" s="7" t="n">
        <v>25800.1</v>
      </c>
      <c r="L24" s="7" t="n">
        <v>19478.7</v>
      </c>
      <c r="N24" s="7" t="n">
        <v>11636.7</v>
      </c>
      <c r="P24" s="7" t="n">
        <v>12447.4</v>
      </c>
      <c r="R24" s="7" t="n">
        <v>24940.6</v>
      </c>
      <c r="T24" s="7" t="n">
        <v>15792.6</v>
      </c>
      <c r="V24" s="7" t="n">
        <v>22610.2</v>
      </c>
      <c r="X24" s="7" t="n">
        <v>776.2</v>
      </c>
      <c r="Z24" s="7" t="n">
        <v>419.5</v>
      </c>
      <c r="AB24" s="7" t="n">
        <v>181646.7</v>
      </c>
    </row>
    <row r="25">
      <c r="A25" s="4" t="inlineStr">
        <is>
          <t>运费</t>
        </is>
      </c>
      <c r="D25" s="7" t="n">
        <v>43010.3</v>
      </c>
      <c r="F25" s="7" t="n">
        <v>71815.60000000001</v>
      </c>
      <c r="H25" s="7" t="n">
        <v>80137.7</v>
      </c>
      <c r="J25" s="7" t="n">
        <v>63787.4</v>
      </c>
      <c r="L25" s="7" t="n">
        <v>61636.6</v>
      </c>
      <c r="N25" s="7" t="n">
        <v>78964.39999999999</v>
      </c>
      <c r="P25" s="7" t="n">
        <v>41940.1</v>
      </c>
      <c r="R25" s="7" t="n">
        <v>73816.5</v>
      </c>
      <c r="T25" s="7" t="n">
        <v>59138.2</v>
      </c>
      <c r="V25" s="7" t="n">
        <v>44382.6</v>
      </c>
      <c r="X25" s="7" t="n">
        <v>46769.5</v>
      </c>
      <c r="Z25" s="7" t="n">
        <v>26248.3</v>
      </c>
      <c r="AB25" s="7" t="n">
        <v>691647.2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624492.4</v>
      </c>
      <c r="D26" s="7" t="n">
        <v>371466</v>
      </c>
      <c r="E26" s="7" t="n">
        <v>895564.8</v>
      </c>
      <c r="F26" s="7" t="n">
        <v>451050</v>
      </c>
      <c r="G26" s="7" t="n">
        <v>599239.5</v>
      </c>
      <c r="H26" s="7" t="n">
        <v>509000.1</v>
      </c>
      <c r="I26" s="7" t="n">
        <v>376133.7</v>
      </c>
      <c r="J26" s="7" t="n">
        <v>650152.5</v>
      </c>
      <c r="K26" s="7" t="n">
        <v>536483.1</v>
      </c>
      <c r="L26" s="7" t="n">
        <v>781348.4</v>
      </c>
      <c r="M26" s="7" t="n">
        <v>680914.2</v>
      </c>
      <c r="N26" s="7" t="n">
        <v>558445</v>
      </c>
      <c r="O26" s="7" t="n">
        <v>670774.4</v>
      </c>
      <c r="P26" s="7" t="n">
        <v>648444.3</v>
      </c>
      <c r="Q26" s="7" t="n">
        <v>667148.6</v>
      </c>
      <c r="R26" s="7" t="n">
        <v>672194.1</v>
      </c>
      <c r="S26" s="7" t="n">
        <v>692467.2</v>
      </c>
      <c r="T26" s="7" t="n">
        <v>512989.5</v>
      </c>
      <c r="U26" s="7" t="n">
        <v>815289.4</v>
      </c>
      <c r="V26" s="7" t="n">
        <v>732257.3</v>
      </c>
      <c r="W26" s="7" t="n">
        <v>639529</v>
      </c>
      <c r="X26" s="7" t="n">
        <v>513170.9</v>
      </c>
      <c r="Y26" s="7" t="n">
        <v>274742.8</v>
      </c>
      <c r="Z26" s="7" t="n">
        <v>377001.7</v>
      </c>
      <c r="AA26" s="8" t="n">
        <v>7472779.1</v>
      </c>
      <c r="AB26" s="8" t="n">
        <v>6777519.8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35.2</v>
      </c>
      <c r="D27" s="13" t="n">
        <v>32.1</v>
      </c>
      <c r="E27" s="13" t="n">
        <v>44.7</v>
      </c>
      <c r="F27" s="13" t="n">
        <v>31.4</v>
      </c>
      <c r="G27" s="13" t="n">
        <v>30.8</v>
      </c>
      <c r="H27" s="13" t="n">
        <v>30.8</v>
      </c>
      <c r="I27" s="13" t="n">
        <v>23.3</v>
      </c>
      <c r="J27" s="13" t="n">
        <v>32.4</v>
      </c>
      <c r="K27" s="13" t="n">
        <v>34.3</v>
      </c>
      <c r="L27" s="13" t="n">
        <v>32.8</v>
      </c>
      <c r="M27" s="13" t="n">
        <v>37.9</v>
      </c>
      <c r="N27" s="13" t="n">
        <v>30.6</v>
      </c>
      <c r="O27" s="13" t="n">
        <v>36.1</v>
      </c>
      <c r="P27" s="13" t="n">
        <v>32.3</v>
      </c>
      <c r="Q27" s="13" t="n">
        <v>39.2</v>
      </c>
      <c r="R27" s="13" t="n">
        <v>31</v>
      </c>
      <c r="S27" s="13" t="n">
        <v>35.3</v>
      </c>
      <c r="T27" s="13" t="n">
        <v>31.6</v>
      </c>
      <c r="U27" s="13" t="n">
        <v>42.4</v>
      </c>
      <c r="V27" s="13" t="n">
        <v>33.6</v>
      </c>
      <c r="W27" s="13" t="n">
        <v>34</v>
      </c>
      <c r="X27" s="13" t="n">
        <v>32.6</v>
      </c>
      <c r="Y27" s="13" t="n">
        <v>16.7</v>
      </c>
      <c r="Z27" s="13" t="n">
        <v>33.3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18730.1</v>
      </c>
      <c r="D28" s="7" t="n">
        <v>16140.4</v>
      </c>
      <c r="E28" s="7" t="n">
        <v>14857.1</v>
      </c>
      <c r="F28" s="7" t="n">
        <v>9389.4</v>
      </c>
      <c r="G28" s="7" t="n">
        <v>16917.3</v>
      </c>
      <c r="H28" s="7" t="n">
        <v>20422.3</v>
      </c>
      <c r="I28" s="7" t="n">
        <v>13986</v>
      </c>
      <c r="J28" s="7" t="n">
        <v>27521.4</v>
      </c>
      <c r="K28" s="7" t="n">
        <v>18013</v>
      </c>
      <c r="L28" s="7" t="n">
        <v>15054.9</v>
      </c>
      <c r="M28" s="7" t="n">
        <v>18066.7</v>
      </c>
      <c r="N28" s="7" t="n">
        <v>16774</v>
      </c>
      <c r="O28" s="7" t="n">
        <v>15457.2</v>
      </c>
      <c r="P28" s="7" t="n">
        <v>26982.4</v>
      </c>
      <c r="Q28" s="7" t="n">
        <v>17385</v>
      </c>
      <c r="R28" s="7" t="n">
        <v>12073.4</v>
      </c>
      <c r="S28" s="7" t="n">
        <v>18348.9</v>
      </c>
      <c r="T28" s="7" t="n">
        <v>18474.3</v>
      </c>
      <c r="U28" s="7" t="n">
        <v>16784</v>
      </c>
      <c r="V28" s="7" t="n">
        <v>12240.5</v>
      </c>
      <c r="W28" s="7" t="n">
        <v>18538.2</v>
      </c>
      <c r="X28" s="7" t="n">
        <v>9416.700000000001</v>
      </c>
      <c r="Y28" s="7" t="n">
        <v>16438</v>
      </c>
      <c r="Z28" s="7" t="n">
        <v>11804.3</v>
      </c>
      <c r="AA28" s="8" t="n">
        <v>203521.5</v>
      </c>
      <c r="AB28" s="8" t="n">
        <v>196294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306783</v>
      </c>
      <c r="D29" s="7" t="n">
        <v>279083.6</v>
      </c>
      <c r="E29" s="7" t="n">
        <v>276231.7</v>
      </c>
      <c r="F29" s="7" t="n">
        <v>230679</v>
      </c>
      <c r="G29" s="7" t="n">
        <v>328960.4</v>
      </c>
      <c r="H29" s="7" t="n">
        <v>372791.8</v>
      </c>
      <c r="I29" s="7" t="n">
        <v>337324.8</v>
      </c>
      <c r="J29" s="7" t="n">
        <v>402400.8</v>
      </c>
      <c r="K29" s="7" t="n">
        <v>260634.9</v>
      </c>
      <c r="L29" s="7" t="n">
        <v>261566</v>
      </c>
      <c r="M29" s="7" t="n">
        <v>285493.2</v>
      </c>
      <c r="N29" s="7" t="n">
        <v>408156.1</v>
      </c>
      <c r="O29" s="7" t="n">
        <v>292561.1</v>
      </c>
      <c r="P29" s="7" t="n">
        <v>351321.9</v>
      </c>
      <c r="Q29" s="7" t="n">
        <v>291712.8</v>
      </c>
      <c r="R29" s="7" t="n">
        <v>454545.5</v>
      </c>
      <c r="S29" s="7" t="n">
        <v>312544.8</v>
      </c>
      <c r="T29" s="7" t="n">
        <v>182871.4</v>
      </c>
      <c r="U29" s="7" t="n">
        <v>324316.9</v>
      </c>
      <c r="V29" s="7" t="n">
        <v>362454.1</v>
      </c>
      <c r="W29" s="7" t="n">
        <v>312362.5</v>
      </c>
      <c r="X29" s="7" t="n">
        <v>222745.6</v>
      </c>
      <c r="Y29" s="7" t="n">
        <v>302881.6</v>
      </c>
      <c r="Z29" s="7" t="n">
        <v>146753.7</v>
      </c>
      <c r="AA29" s="8" t="n">
        <v>3631807.7</v>
      </c>
      <c r="AB29" s="8" t="n">
        <v>3675369.5</v>
      </c>
    </row>
    <row r="30">
      <c r="A30" s="4" t="inlineStr">
        <is>
          <t>职工薪酬</t>
        </is>
      </c>
      <c r="D30" s="7" t="n">
        <v>129059.9</v>
      </c>
      <c r="F30" s="7" t="n">
        <v>131875.5</v>
      </c>
      <c r="H30" s="7" t="n">
        <v>200867.3</v>
      </c>
      <c r="J30" s="7" t="n">
        <v>234589.3</v>
      </c>
      <c r="L30" s="7" t="n">
        <v>115147</v>
      </c>
      <c r="N30" s="7" t="n">
        <v>235780.7</v>
      </c>
      <c r="P30" s="7" t="n">
        <v>148775.5</v>
      </c>
      <c r="R30" s="7" t="n">
        <v>201737.6</v>
      </c>
      <c r="T30" s="7" t="n">
        <v>100607.1</v>
      </c>
      <c r="V30" s="7" t="n">
        <v>167788.6</v>
      </c>
      <c r="X30" s="7" t="n">
        <v>104760.8</v>
      </c>
      <c r="Z30" s="7" t="n">
        <v>68125.10000000001</v>
      </c>
      <c r="AB30" s="7" t="n">
        <v>1839114.4</v>
      </c>
    </row>
    <row r="31">
      <c r="A31" s="4" t="inlineStr">
        <is>
          <t>工资</t>
        </is>
      </c>
      <c r="D31" s="7" t="n">
        <v>71002.2</v>
      </c>
      <c r="F31" s="7" t="n">
        <v>83209.5</v>
      </c>
      <c r="H31" s="7" t="n">
        <v>121387.4</v>
      </c>
      <c r="J31" s="7" t="n">
        <v>149800.2</v>
      </c>
      <c r="L31" s="7" t="n">
        <v>63925.6</v>
      </c>
      <c r="N31" s="7" t="n">
        <v>141242.4</v>
      </c>
      <c r="P31" s="7" t="n">
        <v>82171.5</v>
      </c>
      <c r="R31" s="7" t="n">
        <v>99818.39999999999</v>
      </c>
      <c r="T31" s="7" t="n">
        <v>61639.5</v>
      </c>
      <c r="V31" s="7" t="n">
        <v>87728.7</v>
      </c>
      <c r="X31" s="7" t="n">
        <v>52406.8</v>
      </c>
      <c r="Z31" s="7" t="n">
        <v>39153.5</v>
      </c>
      <c r="AB31" s="7" t="n">
        <v>1053485.7</v>
      </c>
    </row>
    <row r="32">
      <c r="A32" s="4" t="inlineStr">
        <is>
          <t>奖金及提成</t>
        </is>
      </c>
      <c r="D32" s="7" t="n">
        <v>23319.6</v>
      </c>
      <c r="F32" s="7" t="n">
        <v>18753</v>
      </c>
      <c r="H32" s="7" t="n">
        <v>45858.7</v>
      </c>
      <c r="J32" s="7" t="n">
        <v>32444.3</v>
      </c>
      <c r="L32" s="7" t="n">
        <v>22938.3</v>
      </c>
      <c r="N32" s="7" t="n">
        <v>45653.7</v>
      </c>
      <c r="P32" s="7" t="n">
        <v>30169</v>
      </c>
      <c r="R32" s="7" t="n">
        <v>45178.7</v>
      </c>
      <c r="T32" s="7" t="n">
        <v>19150.6</v>
      </c>
      <c r="V32" s="7" t="n">
        <v>32958.5</v>
      </c>
      <c r="X32" s="7" t="n">
        <v>24170</v>
      </c>
      <c r="Z32" s="7" t="n">
        <v>14232.2</v>
      </c>
      <c r="AB32" s="7" t="n">
        <v>354826.6</v>
      </c>
    </row>
    <row r="33">
      <c r="A33" s="4" t="inlineStr">
        <is>
          <t>社保</t>
        </is>
      </c>
      <c r="D33" s="7" t="n">
        <v>24081.9</v>
      </c>
      <c r="F33" s="7" t="n">
        <v>22127.4</v>
      </c>
      <c r="H33" s="7" t="n">
        <v>21533.6</v>
      </c>
      <c r="J33" s="7" t="n">
        <v>38657.3</v>
      </c>
      <c r="L33" s="7" t="n">
        <v>19490</v>
      </c>
      <c r="N33" s="7" t="n">
        <v>33396</v>
      </c>
      <c r="P33" s="7" t="n">
        <v>23226.5</v>
      </c>
      <c r="R33" s="7" t="n">
        <v>40775</v>
      </c>
      <c r="T33" s="7" t="n">
        <v>13286</v>
      </c>
      <c r="V33" s="7" t="n">
        <v>34405.4</v>
      </c>
      <c r="X33" s="7" t="n">
        <v>20987.3</v>
      </c>
      <c r="Z33" s="7" t="n">
        <v>9679.5</v>
      </c>
      <c r="AB33" s="7" t="n">
        <v>301645.9</v>
      </c>
    </row>
    <row r="34">
      <c r="A34" s="4" t="inlineStr">
        <is>
          <t>养老</t>
        </is>
      </c>
      <c r="D34" s="7" t="n">
        <v>1283.3</v>
      </c>
      <c r="F34" s="7" t="n">
        <v>1267.8</v>
      </c>
      <c r="H34" s="7" t="n">
        <v>2012.3</v>
      </c>
      <c r="J34" s="7" t="n">
        <v>1392.9</v>
      </c>
      <c r="L34" s="7" t="n">
        <v>1396.9</v>
      </c>
      <c r="N34" s="7" t="n">
        <v>1600.9</v>
      </c>
      <c r="P34" s="7" t="n">
        <v>1580.6</v>
      </c>
      <c r="R34" s="7" t="n">
        <v>1499.1</v>
      </c>
      <c r="T34" s="7" t="n">
        <v>645.3</v>
      </c>
      <c r="V34" s="7" t="n">
        <v>1820.9</v>
      </c>
      <c r="X34" s="7" t="n">
        <v>829.7</v>
      </c>
      <c r="Z34" s="7" t="n">
        <v>527.8</v>
      </c>
      <c r="AB34" s="7" t="n">
        <v>15857.5</v>
      </c>
    </row>
    <row r="35">
      <c r="A35" s="4" t="inlineStr">
        <is>
          <t>医疗</t>
        </is>
      </c>
      <c r="D35" s="7" t="n">
        <v>991.6</v>
      </c>
      <c r="F35" s="7" t="n">
        <v>822.6</v>
      </c>
      <c r="H35" s="7" t="n">
        <v>1510.6</v>
      </c>
      <c r="J35" s="7" t="n">
        <v>1115.4</v>
      </c>
      <c r="L35" s="7" t="n">
        <v>1128.1</v>
      </c>
      <c r="N35" s="7" t="n">
        <v>1692.6</v>
      </c>
      <c r="P35" s="7" t="n">
        <v>1651.5</v>
      </c>
      <c r="R35" s="7" t="n">
        <v>1232.7</v>
      </c>
      <c r="T35" s="7" t="n">
        <v>670.5</v>
      </c>
      <c r="V35" s="7" t="n">
        <v>1256.4</v>
      </c>
      <c r="X35" s="7" t="n">
        <v>933.2</v>
      </c>
      <c r="Z35" s="7" t="n">
        <v>429.2</v>
      </c>
      <c r="AB35" s="7" t="n">
        <v>13434.4</v>
      </c>
    </row>
    <row r="36">
      <c r="A36" s="4" t="inlineStr">
        <is>
          <t>工伤</t>
        </is>
      </c>
      <c r="D36" s="7" t="n">
        <v>1476.9</v>
      </c>
      <c r="F36" s="7" t="n">
        <v>1353.8</v>
      </c>
      <c r="H36" s="7" t="n">
        <v>1811.9</v>
      </c>
      <c r="J36" s="7" t="n">
        <v>1718.1</v>
      </c>
      <c r="L36" s="7" t="n">
        <v>1856.8</v>
      </c>
      <c r="N36" s="7" t="n">
        <v>2380.1</v>
      </c>
      <c r="P36" s="7" t="n">
        <v>2199.6</v>
      </c>
      <c r="R36" s="7" t="n">
        <v>2615.6</v>
      </c>
      <c r="T36" s="7" t="n">
        <v>1028.9</v>
      </c>
      <c r="V36" s="7" t="n">
        <v>2605.4</v>
      </c>
      <c r="X36" s="7" t="n">
        <v>1135.8</v>
      </c>
      <c r="Z36" s="7" t="n">
        <v>811.9</v>
      </c>
      <c r="AB36" s="7" t="n">
        <v>20994.8</v>
      </c>
    </row>
    <row r="37">
      <c r="A37" s="4" t="inlineStr">
        <is>
          <t>失业</t>
        </is>
      </c>
      <c r="D37" s="7" t="n">
        <v>684.6</v>
      </c>
      <c r="F37" s="7" t="n">
        <v>449.8</v>
      </c>
      <c r="H37" s="7" t="n">
        <v>1059.3</v>
      </c>
      <c r="J37" s="7" t="n">
        <v>1093.5</v>
      </c>
      <c r="L37" s="7" t="n">
        <v>671</v>
      </c>
      <c r="N37" s="7" t="n">
        <v>1121.8</v>
      </c>
      <c r="P37" s="7" t="n">
        <v>781.6</v>
      </c>
      <c r="R37" s="7" t="n">
        <v>959.3</v>
      </c>
      <c r="T37" s="7" t="n">
        <v>471.8</v>
      </c>
      <c r="V37" s="7" t="n">
        <v>1021.8</v>
      </c>
      <c r="X37" s="7" t="n">
        <v>464.1</v>
      </c>
      <c r="Z37" s="7" t="n">
        <v>233.2</v>
      </c>
      <c r="AB37" s="7" t="n">
        <v>9011.799999999999</v>
      </c>
    </row>
    <row r="38">
      <c r="A38" s="4" t="inlineStr">
        <is>
          <t>生育</t>
        </is>
      </c>
      <c r="D38" s="7" t="n">
        <v>1174.9</v>
      </c>
      <c r="F38" s="7" t="n">
        <v>954.5</v>
      </c>
      <c r="H38" s="7" t="n">
        <v>1601.6</v>
      </c>
      <c r="J38" s="7" t="n">
        <v>1710.7</v>
      </c>
      <c r="L38" s="7" t="n">
        <v>719.6</v>
      </c>
      <c r="N38" s="7" t="n">
        <v>1759.5</v>
      </c>
      <c r="P38" s="7" t="n">
        <v>1358.3</v>
      </c>
      <c r="R38" s="7" t="n">
        <v>1187.7</v>
      </c>
      <c r="T38" s="7" t="n">
        <v>552.7</v>
      </c>
      <c r="V38" s="7" t="n">
        <v>1553.3</v>
      </c>
      <c r="X38" s="7" t="n">
        <v>959.3</v>
      </c>
      <c r="Z38" s="7" t="n">
        <v>436.5</v>
      </c>
      <c r="AB38" s="7" t="n">
        <v>13968.6</v>
      </c>
    </row>
    <row r="39">
      <c r="A39" s="4" t="inlineStr">
        <is>
          <t>公积金</t>
        </is>
      </c>
      <c r="D39" s="7" t="n">
        <v>1655</v>
      </c>
      <c r="F39" s="7" t="n">
        <v>1129.7</v>
      </c>
      <c r="H39" s="7" t="n">
        <v>1496.2</v>
      </c>
      <c r="J39" s="7" t="n">
        <v>1415.6</v>
      </c>
      <c r="L39" s="7" t="n">
        <v>1035.7</v>
      </c>
      <c r="N39" s="7" t="n">
        <v>2520.6</v>
      </c>
      <c r="P39" s="7" t="n">
        <v>1553.9</v>
      </c>
      <c r="R39" s="7" t="n">
        <v>1707.9</v>
      </c>
      <c r="T39" s="7" t="n">
        <v>773</v>
      </c>
      <c r="V39" s="7" t="n">
        <v>1496.2</v>
      </c>
      <c r="X39" s="7" t="n">
        <v>843.5</v>
      </c>
      <c r="Z39" s="7" t="n">
        <v>624.1</v>
      </c>
      <c r="AB39" s="7" t="n">
        <v>16251.4</v>
      </c>
    </row>
    <row r="40">
      <c r="A40" s="4" t="inlineStr">
        <is>
          <t>工会经费</t>
        </is>
      </c>
      <c r="D40" s="7" t="n">
        <v>1513</v>
      </c>
      <c r="F40" s="7" t="n">
        <v>957.6</v>
      </c>
      <c r="H40" s="7" t="n">
        <v>1651.1</v>
      </c>
      <c r="J40" s="7" t="n">
        <v>1638.4</v>
      </c>
      <c r="L40" s="7" t="n">
        <v>1153.8</v>
      </c>
      <c r="N40" s="7" t="n">
        <v>2038</v>
      </c>
      <c r="P40" s="7" t="n">
        <v>1765.5</v>
      </c>
      <c r="R40" s="7" t="n">
        <v>2546.4</v>
      </c>
      <c r="T40" s="7" t="n">
        <v>904.1</v>
      </c>
      <c r="V40" s="7" t="n">
        <v>1950.9</v>
      </c>
      <c r="X40" s="7" t="n">
        <v>1123.9</v>
      </c>
      <c r="Z40" s="7" t="n">
        <v>762.9</v>
      </c>
      <c r="AB40" s="7" t="n">
        <v>18005.6</v>
      </c>
    </row>
    <row r="41">
      <c r="A41" s="4" t="inlineStr">
        <is>
          <t>职工教育经费</t>
        </is>
      </c>
      <c r="D41" s="7" t="n">
        <v>136.3</v>
      </c>
      <c r="F41" s="7" t="n">
        <v>167.8</v>
      </c>
      <c r="H41" s="7" t="n">
        <v>182.7</v>
      </c>
      <c r="J41" s="7" t="n">
        <v>294.3</v>
      </c>
      <c r="L41" s="7" t="n">
        <v>203.6</v>
      </c>
      <c r="N41" s="7" t="n">
        <v>305.7</v>
      </c>
      <c r="P41" s="7" t="n">
        <v>251.3</v>
      </c>
      <c r="R41" s="7" t="n">
        <v>272.7</v>
      </c>
      <c r="T41" s="7" t="n">
        <v>107.6</v>
      </c>
      <c r="V41" s="7" t="n">
        <v>169.2</v>
      </c>
      <c r="X41" s="7" t="n">
        <v>139</v>
      </c>
      <c r="Z41" s="7" t="n">
        <v>105.5</v>
      </c>
      <c r="AB41" s="7" t="n">
        <v>2335.7</v>
      </c>
    </row>
    <row r="42">
      <c r="A42" s="4" t="inlineStr">
        <is>
          <t>福利费</t>
        </is>
      </c>
      <c r="D42" s="7" t="n">
        <v>7351.9</v>
      </c>
      <c r="F42" s="7" t="n">
        <v>5530.5</v>
      </c>
      <c r="H42" s="7" t="n">
        <v>8757.6</v>
      </c>
      <c r="J42" s="7" t="n">
        <v>10339.2</v>
      </c>
      <c r="L42" s="7" t="n">
        <v>6400</v>
      </c>
      <c r="N42" s="7" t="n">
        <v>10624.3</v>
      </c>
      <c r="P42" s="7" t="n">
        <v>9637.799999999999</v>
      </c>
      <c r="R42" s="7" t="n">
        <v>11438.5</v>
      </c>
      <c r="T42" s="7" t="n">
        <v>4746.3</v>
      </c>
      <c r="V42" s="7" t="n">
        <v>9079.700000000001</v>
      </c>
      <c r="X42" s="7" t="n">
        <v>5090.3</v>
      </c>
      <c r="Z42" s="7" t="n">
        <v>3567.4</v>
      </c>
      <c r="AB42" s="7" t="n">
        <v>92563.5</v>
      </c>
    </row>
    <row r="43">
      <c r="A43" s="4" t="inlineStr">
        <is>
          <t>职工房租</t>
        </is>
      </c>
      <c r="D43" s="7" t="n">
        <v>284.4</v>
      </c>
      <c r="F43" s="7" t="n">
        <v>273.3</v>
      </c>
      <c r="H43" s="7" t="n">
        <v>415.3</v>
      </c>
      <c r="J43" s="7" t="n">
        <v>541.8</v>
      </c>
      <c r="L43" s="7" t="n">
        <v>308</v>
      </c>
      <c r="N43" s="7" t="n">
        <v>438.2</v>
      </c>
      <c r="P43" s="7" t="n">
        <v>403.6</v>
      </c>
      <c r="R43" s="7" t="n">
        <v>668.3</v>
      </c>
      <c r="T43" s="7" t="n">
        <v>162.5</v>
      </c>
      <c r="V43" s="7" t="n">
        <v>569.7</v>
      </c>
      <c r="X43" s="7" t="n">
        <v>261.7</v>
      </c>
      <c r="Z43" s="7" t="n">
        <v>144.4</v>
      </c>
      <c r="AB43" s="7" t="n">
        <v>4471.2</v>
      </c>
    </row>
    <row r="44">
      <c r="A44" s="4" t="inlineStr">
        <is>
          <t>水电物业费</t>
        </is>
      </c>
      <c r="D44" s="7" t="n">
        <v>1499.1</v>
      </c>
      <c r="F44" s="7" t="n">
        <v>1010.4</v>
      </c>
      <c r="H44" s="7" t="n">
        <v>1250.3</v>
      </c>
      <c r="J44" s="7" t="n">
        <v>2001.5</v>
      </c>
      <c r="L44" s="7" t="n">
        <v>890.4</v>
      </c>
      <c r="N44" s="7" t="n">
        <v>2223.4</v>
      </c>
      <c r="P44" s="7" t="n">
        <v>1858.2</v>
      </c>
      <c r="R44" s="7" t="n">
        <v>1438.6</v>
      </c>
      <c r="T44" s="7" t="n">
        <v>729.4</v>
      </c>
      <c r="V44" s="7" t="n">
        <v>1694.4</v>
      </c>
      <c r="X44" s="7" t="n">
        <v>927.3</v>
      </c>
      <c r="Z44" s="7" t="n">
        <v>638.8</v>
      </c>
      <c r="AB44" s="7" t="n">
        <v>16161.8</v>
      </c>
    </row>
    <row r="45">
      <c r="A45" s="4" t="inlineStr">
        <is>
          <t>员工餐</t>
        </is>
      </c>
      <c r="D45" s="7" t="n">
        <v>1135.2</v>
      </c>
      <c r="F45" s="7" t="n">
        <v>692</v>
      </c>
      <c r="H45" s="7" t="n">
        <v>1381.9</v>
      </c>
      <c r="J45" s="7" t="n">
        <v>1131.1</v>
      </c>
      <c r="L45" s="7" t="n">
        <v>713.1</v>
      </c>
      <c r="N45" s="7" t="n">
        <v>1405.8</v>
      </c>
      <c r="P45" s="7" t="n">
        <v>1189.6</v>
      </c>
      <c r="R45" s="7" t="n">
        <v>1711.9</v>
      </c>
      <c r="T45" s="7" t="n">
        <v>565.6</v>
      </c>
      <c r="V45" s="7" t="n">
        <v>1067.3</v>
      </c>
      <c r="X45" s="7" t="n">
        <v>698.8</v>
      </c>
      <c r="Z45" s="7" t="n">
        <v>421.5</v>
      </c>
      <c r="AB45" s="7" t="n">
        <v>12113.8</v>
      </c>
    </row>
    <row r="46">
      <c r="A46" s="4" t="inlineStr">
        <is>
          <t>节日礼品</t>
        </is>
      </c>
      <c r="D46" s="7" t="n">
        <v>899.7</v>
      </c>
      <c r="F46" s="7" t="n">
        <v>947.9</v>
      </c>
      <c r="H46" s="7" t="n">
        <v>1685.1</v>
      </c>
      <c r="J46" s="7" t="n">
        <v>1438.6</v>
      </c>
      <c r="L46" s="7" t="n">
        <v>853.5</v>
      </c>
      <c r="N46" s="7" t="n">
        <v>1582.1</v>
      </c>
      <c r="P46" s="7" t="n">
        <v>974</v>
      </c>
      <c r="R46" s="7" t="n">
        <v>1438.9</v>
      </c>
      <c r="T46" s="7" t="n">
        <v>808.7</v>
      </c>
      <c r="V46" s="7" t="n">
        <v>1340.4</v>
      </c>
      <c r="X46" s="7" t="n">
        <v>639.7</v>
      </c>
      <c r="Z46" s="7" t="n">
        <v>611.5</v>
      </c>
      <c r="AB46" s="7" t="n">
        <v>13220.1</v>
      </c>
    </row>
    <row r="47">
      <c r="A47" s="4" t="inlineStr">
        <is>
          <t>生日礼品</t>
        </is>
      </c>
      <c r="D47" s="7" t="n">
        <v>1295.6</v>
      </c>
      <c r="F47" s="7" t="n">
        <v>802.5</v>
      </c>
      <c r="H47" s="7" t="n">
        <v>1545.8</v>
      </c>
      <c r="J47" s="7" t="n">
        <v>1484</v>
      </c>
      <c r="L47" s="7" t="n">
        <v>1240.2</v>
      </c>
      <c r="N47" s="7" t="n">
        <v>1792.2</v>
      </c>
      <c r="P47" s="7" t="n">
        <v>2067.7</v>
      </c>
      <c r="R47" s="7" t="n">
        <v>2411.3</v>
      </c>
      <c r="T47" s="7" t="n">
        <v>742.9</v>
      </c>
      <c r="V47" s="7" t="n">
        <v>1560.7</v>
      </c>
      <c r="X47" s="7" t="n">
        <v>932.8</v>
      </c>
      <c r="Z47" s="7" t="n">
        <v>834.3</v>
      </c>
      <c r="AB47" s="7" t="n">
        <v>16710</v>
      </c>
    </row>
    <row r="48">
      <c r="A48" s="4" t="inlineStr">
        <is>
          <t>体检</t>
        </is>
      </c>
      <c r="D48" s="7" t="n">
        <v>801.8</v>
      </c>
      <c r="F48" s="7" t="n">
        <v>750.5</v>
      </c>
      <c r="H48" s="7" t="n">
        <v>942.7</v>
      </c>
      <c r="J48" s="7" t="n">
        <v>1281.5</v>
      </c>
      <c r="L48" s="7" t="n">
        <v>1006.9</v>
      </c>
      <c r="N48" s="7" t="n">
        <v>1536.1</v>
      </c>
      <c r="P48" s="7" t="n">
        <v>1143.3</v>
      </c>
      <c r="R48" s="7" t="n">
        <v>1167.9</v>
      </c>
      <c r="T48" s="7" t="n">
        <v>744</v>
      </c>
      <c r="V48" s="7" t="n">
        <v>1095.4</v>
      </c>
      <c r="X48" s="7" t="n">
        <v>594.9</v>
      </c>
      <c r="Z48" s="7" t="n">
        <v>395.2</v>
      </c>
      <c r="AB48" s="7" t="n">
        <v>11460.2</v>
      </c>
    </row>
    <row r="49">
      <c r="A49" s="4" t="inlineStr">
        <is>
          <t>其他福利支出</t>
        </is>
      </c>
      <c r="D49" s="7" t="n">
        <v>1436.1</v>
      </c>
      <c r="F49" s="7" t="n">
        <v>1053.9</v>
      </c>
      <c r="H49" s="7" t="n">
        <v>1536.5</v>
      </c>
      <c r="J49" s="7" t="n">
        <v>2460.7</v>
      </c>
      <c r="L49" s="7" t="n">
        <v>1387.9</v>
      </c>
      <c r="N49" s="7" t="n">
        <v>1646.5</v>
      </c>
      <c r="P49" s="7" t="n">
        <v>2001.4</v>
      </c>
      <c r="R49" s="7" t="n">
        <v>2601.6</v>
      </c>
      <c r="T49" s="7" t="n">
        <v>993.2</v>
      </c>
      <c r="V49" s="7" t="n">
        <v>1751.8</v>
      </c>
      <c r="X49" s="7" t="n">
        <v>1035.1</v>
      </c>
      <c r="Z49" s="7" t="n">
        <v>521.7</v>
      </c>
      <c r="AB49" s="7" t="n">
        <v>18426.4</v>
      </c>
    </row>
    <row r="50">
      <c r="A50" s="4" t="inlineStr">
        <is>
          <t>招聘费</t>
        </is>
      </c>
      <c r="D50" s="7" t="n">
        <v>537.6</v>
      </c>
      <c r="F50" s="7" t="n">
        <v>725.2</v>
      </c>
      <c r="H50" s="7" t="n">
        <v>986.7</v>
      </c>
      <c r="J50" s="7" t="n">
        <v>1209.2</v>
      </c>
      <c r="L50" s="7" t="n">
        <v>594.1</v>
      </c>
      <c r="N50" s="7" t="n">
        <v>1285.3</v>
      </c>
      <c r="P50" s="7" t="n">
        <v>641.8</v>
      </c>
      <c r="R50" s="7" t="n">
        <v>1396.1</v>
      </c>
      <c r="T50" s="7" t="n">
        <v>513.9</v>
      </c>
      <c r="V50" s="7" t="n">
        <v>844.9</v>
      </c>
      <c r="X50" s="7" t="n">
        <v>388.5</v>
      </c>
      <c r="Z50" s="7" t="n">
        <v>455.7</v>
      </c>
      <c r="AB50" s="7" t="n">
        <v>9579</v>
      </c>
    </row>
    <row r="51">
      <c r="A51" s="4" t="inlineStr">
        <is>
          <t>办公费</t>
        </is>
      </c>
      <c r="D51" s="7" t="n">
        <v>7151.1</v>
      </c>
      <c r="F51" s="7" t="n">
        <v>7555.2</v>
      </c>
      <c r="H51" s="7" t="n">
        <v>13753.3</v>
      </c>
      <c r="J51" s="7" t="n">
        <v>14511.9</v>
      </c>
      <c r="L51" s="7" t="n">
        <v>7533.6</v>
      </c>
      <c r="N51" s="7" t="n">
        <v>9426.6</v>
      </c>
      <c r="P51" s="7" t="n">
        <v>8589.700000000001</v>
      </c>
      <c r="R51" s="7" t="n">
        <v>11680.7</v>
      </c>
      <c r="T51" s="7" t="n">
        <v>4838.3</v>
      </c>
      <c r="V51" s="7" t="n">
        <v>10965.2</v>
      </c>
      <c r="X51" s="7" t="n">
        <v>8102.7</v>
      </c>
      <c r="Z51" s="7" t="n">
        <v>3725.7</v>
      </c>
      <c r="AB51" s="7" t="n">
        <v>107834</v>
      </c>
    </row>
    <row r="52">
      <c r="A52" s="4" t="inlineStr">
        <is>
          <t>市内交通费</t>
        </is>
      </c>
      <c r="D52" s="7" t="n">
        <v>1351.8</v>
      </c>
      <c r="F52" s="7" t="n">
        <v>1188.9</v>
      </c>
      <c r="H52" s="7" t="n">
        <v>2258.6</v>
      </c>
      <c r="J52" s="7" t="n">
        <v>2028.4</v>
      </c>
      <c r="L52" s="7" t="n">
        <v>1573.3</v>
      </c>
      <c r="N52" s="7" t="n">
        <v>2495.4</v>
      </c>
      <c r="P52" s="7" t="n">
        <v>1594.2</v>
      </c>
      <c r="R52" s="7" t="n">
        <v>2626.3</v>
      </c>
      <c r="T52" s="7" t="n">
        <v>1018.2</v>
      </c>
      <c r="V52" s="7" t="n">
        <v>2365.8</v>
      </c>
      <c r="X52" s="7" t="n">
        <v>1291.8</v>
      </c>
      <c r="Z52" s="7" t="n">
        <v>664</v>
      </c>
      <c r="AB52" s="7" t="n">
        <v>20456.7</v>
      </c>
    </row>
    <row r="53">
      <c r="A53" s="4" t="inlineStr">
        <is>
          <t>差旅费</t>
        </is>
      </c>
      <c r="D53" s="7" t="n">
        <v>15812.5</v>
      </c>
      <c r="F53" s="7" t="n">
        <v>9844</v>
      </c>
      <c r="H53" s="7" t="n">
        <v>21217.7</v>
      </c>
      <c r="J53" s="7" t="n">
        <v>18780.7</v>
      </c>
      <c r="L53" s="7" t="n">
        <v>13500.4</v>
      </c>
      <c r="N53" s="7" t="n">
        <v>25945.2</v>
      </c>
      <c r="P53" s="7" t="n">
        <v>27098.3</v>
      </c>
      <c r="R53" s="7" t="n">
        <v>24297.2</v>
      </c>
      <c r="T53" s="7" t="n">
        <v>9137.700000000001</v>
      </c>
      <c r="V53" s="7" t="n">
        <v>15458.9</v>
      </c>
      <c r="X53" s="7" t="n">
        <v>11958.3</v>
      </c>
      <c r="Z53" s="7" t="n">
        <v>6500.3</v>
      </c>
      <c r="AB53" s="7" t="n">
        <v>199551.2</v>
      </c>
    </row>
    <row r="54">
      <c r="A54" s="4" t="inlineStr">
        <is>
          <t>交通费</t>
        </is>
      </c>
      <c r="D54" s="7" t="n">
        <v>593.8</v>
      </c>
      <c r="F54" s="7" t="n">
        <v>520.8</v>
      </c>
      <c r="H54" s="7" t="n">
        <v>740.7</v>
      </c>
      <c r="J54" s="7" t="n">
        <v>820.9</v>
      </c>
      <c r="L54" s="7" t="n">
        <v>443</v>
      </c>
      <c r="N54" s="7" t="n">
        <v>719.1</v>
      </c>
      <c r="P54" s="7" t="n">
        <v>834.1</v>
      </c>
      <c r="R54" s="7" t="n">
        <v>607</v>
      </c>
      <c r="T54" s="7" t="n">
        <v>312.1</v>
      </c>
      <c r="V54" s="7" t="n">
        <v>621</v>
      </c>
      <c r="X54" s="7" t="n">
        <v>406.4</v>
      </c>
      <c r="Z54" s="7" t="n">
        <v>270.7</v>
      </c>
      <c r="AB54" s="7" t="n">
        <v>6889.6</v>
      </c>
    </row>
    <row r="55">
      <c r="A55" s="4" t="inlineStr">
        <is>
          <t>住宿费</t>
        </is>
      </c>
      <c r="D55" s="7" t="n">
        <v>1123</v>
      </c>
      <c r="F55" s="7" t="n">
        <v>1256.5</v>
      </c>
      <c r="H55" s="7" t="n">
        <v>2003.6</v>
      </c>
      <c r="J55" s="7" t="n">
        <v>1672.2</v>
      </c>
      <c r="L55" s="7" t="n">
        <v>916.2</v>
      </c>
      <c r="N55" s="7" t="n">
        <v>2407.5</v>
      </c>
      <c r="P55" s="7" t="n">
        <v>2190.8</v>
      </c>
      <c r="R55" s="7" t="n">
        <v>2387.8</v>
      </c>
      <c r="T55" s="7" t="n">
        <v>923.2</v>
      </c>
      <c r="V55" s="7" t="n">
        <v>1601.1</v>
      </c>
      <c r="X55" s="7" t="n">
        <v>894.3</v>
      </c>
      <c r="Z55" s="7" t="n">
        <v>922.5</v>
      </c>
      <c r="AB55" s="7" t="n">
        <v>18298.7</v>
      </c>
    </row>
    <row r="56">
      <c r="A56" s="4" t="inlineStr">
        <is>
          <t>餐补</t>
        </is>
      </c>
      <c r="D56" s="7" t="n">
        <v>591.2</v>
      </c>
      <c r="F56" s="7" t="n">
        <v>496.6</v>
      </c>
      <c r="H56" s="7" t="n">
        <v>997</v>
      </c>
      <c r="J56" s="7" t="n">
        <v>699.2</v>
      </c>
      <c r="L56" s="7" t="n">
        <v>680.7</v>
      </c>
      <c r="N56" s="7" t="n">
        <v>790.5</v>
      </c>
      <c r="P56" s="7" t="n">
        <v>774.8</v>
      </c>
      <c r="R56" s="7" t="n">
        <v>1055.2</v>
      </c>
      <c r="T56" s="7" t="n">
        <v>574.4</v>
      </c>
      <c r="V56" s="7" t="n">
        <v>626.6</v>
      </c>
      <c r="X56" s="7" t="n">
        <v>692.4</v>
      </c>
      <c r="Z56" s="7" t="n">
        <v>367.3</v>
      </c>
      <c r="AB56" s="7" t="n">
        <v>8345.9</v>
      </c>
    </row>
    <row r="57">
      <c r="A57" s="4" t="inlineStr">
        <is>
          <t>交通补助</t>
        </is>
      </c>
      <c r="D57" s="7" t="n">
        <v>755.2</v>
      </c>
      <c r="F57" s="7" t="n">
        <v>929.9</v>
      </c>
      <c r="H57" s="7" t="n">
        <v>934.6</v>
      </c>
      <c r="J57" s="7" t="n">
        <v>1378.2</v>
      </c>
      <c r="L57" s="7" t="n">
        <v>1018.3</v>
      </c>
      <c r="N57" s="7" t="n">
        <v>995.9</v>
      </c>
      <c r="P57" s="7" t="n">
        <v>939.5</v>
      </c>
      <c r="R57" s="7" t="n">
        <v>1894.7</v>
      </c>
      <c r="T57" s="7" t="n">
        <v>613.5</v>
      </c>
      <c r="V57" s="7" t="n">
        <v>941.5</v>
      </c>
      <c r="X57" s="7" t="n">
        <v>570.2</v>
      </c>
      <c r="Z57" s="7" t="n">
        <v>550.9</v>
      </c>
      <c r="AB57" s="7" t="n">
        <v>11522.4</v>
      </c>
    </row>
    <row r="58">
      <c r="A58" s="4" t="inlineStr">
        <is>
          <t>通讯补助</t>
        </is>
      </c>
      <c r="D58" s="7" t="n">
        <v>1264.4</v>
      </c>
      <c r="F58" s="7" t="n">
        <v>1050</v>
      </c>
      <c r="H58" s="7" t="n">
        <v>2066.1</v>
      </c>
      <c r="J58" s="7" t="n">
        <v>1842.9</v>
      </c>
      <c r="L58" s="7" t="n">
        <v>1334.8</v>
      </c>
      <c r="N58" s="7" t="n">
        <v>1752.7</v>
      </c>
      <c r="P58" s="7" t="n">
        <v>1553.1</v>
      </c>
      <c r="R58" s="7" t="n">
        <v>1671.2</v>
      </c>
      <c r="T58" s="7" t="n">
        <v>1084.1</v>
      </c>
      <c r="V58" s="7" t="n">
        <v>2227.7</v>
      </c>
      <c r="X58" s="7" t="n">
        <v>1241.3</v>
      </c>
      <c r="Z58" s="7" t="n">
        <v>629.5</v>
      </c>
      <c r="AB58" s="7" t="n">
        <v>17717.8</v>
      </c>
    </row>
    <row r="59">
      <c r="A59" s="4" t="inlineStr">
        <is>
          <t>招待费</t>
        </is>
      </c>
      <c r="D59" s="7" t="n">
        <v>11402</v>
      </c>
      <c r="F59" s="7" t="n">
        <v>8630.200000000001</v>
      </c>
      <c r="H59" s="7" t="n">
        <v>18124.2</v>
      </c>
      <c r="J59" s="7" t="n">
        <v>16046.1</v>
      </c>
      <c r="L59" s="7" t="n">
        <v>10236.1</v>
      </c>
      <c r="N59" s="7" t="n">
        <v>19521</v>
      </c>
      <c r="P59" s="7" t="n">
        <v>13626.7</v>
      </c>
      <c r="R59" s="7" t="n">
        <v>22806.3</v>
      </c>
      <c r="T59" s="7" t="n">
        <v>5900</v>
      </c>
      <c r="V59" s="7" t="n">
        <v>12657.5</v>
      </c>
      <c r="X59" s="7" t="n">
        <v>9084.5</v>
      </c>
      <c r="Z59" s="7" t="n">
        <v>5285.7</v>
      </c>
      <c r="AB59" s="7" t="n">
        <v>153320.3</v>
      </c>
    </row>
    <row r="60">
      <c r="A60" s="4" t="inlineStr">
        <is>
          <t>通讯费</t>
        </is>
      </c>
      <c r="D60" s="7" t="n">
        <v>682.2</v>
      </c>
      <c r="F60" s="7" t="n">
        <v>873.4</v>
      </c>
      <c r="H60" s="7" t="n">
        <v>1054.9</v>
      </c>
      <c r="J60" s="7" t="n">
        <v>1336.9</v>
      </c>
      <c r="L60" s="7" t="n">
        <v>1022.4</v>
      </c>
      <c r="N60" s="7" t="n">
        <v>1175.1</v>
      </c>
      <c r="P60" s="7" t="n">
        <v>1156.5</v>
      </c>
      <c r="R60" s="7" t="n">
        <v>1481.7</v>
      </c>
      <c r="T60" s="7" t="n">
        <v>435.8</v>
      </c>
      <c r="V60" s="7" t="n">
        <v>1182.2</v>
      </c>
      <c r="X60" s="7" t="n">
        <v>880.6</v>
      </c>
      <c r="Z60" s="7" t="n">
        <v>473.2</v>
      </c>
      <c r="AB60" s="7" t="n">
        <v>11754.9</v>
      </c>
    </row>
    <row r="61">
      <c r="A61" s="4" t="inlineStr">
        <is>
          <t>网络费</t>
        </is>
      </c>
      <c r="D61" s="7" t="n">
        <v>1698</v>
      </c>
      <c r="F61" s="7" t="n">
        <v>991.2</v>
      </c>
      <c r="H61" s="7" t="n">
        <v>1521.2</v>
      </c>
      <c r="J61" s="7" t="n">
        <v>2012.3</v>
      </c>
      <c r="L61" s="7" t="n">
        <v>1234.6</v>
      </c>
      <c r="N61" s="7" t="n">
        <v>1478.6</v>
      </c>
      <c r="P61" s="7" t="n">
        <v>1555.4</v>
      </c>
      <c r="R61" s="7" t="n">
        <v>2500.4</v>
      </c>
      <c r="T61" s="7" t="n">
        <v>1080</v>
      </c>
      <c r="V61" s="7" t="n">
        <v>1901</v>
      </c>
      <c r="X61" s="7" t="n">
        <v>1102.8</v>
      </c>
      <c r="Z61" s="7" t="n">
        <v>858.2</v>
      </c>
      <c r="AB61" s="7" t="n">
        <v>17933.7</v>
      </c>
    </row>
    <row r="62">
      <c r="A62" s="4" t="inlineStr">
        <is>
          <t>修理费</t>
        </is>
      </c>
      <c r="D62" s="7" t="n">
        <v>1240</v>
      </c>
      <c r="F62" s="7" t="n">
        <v>1185.2</v>
      </c>
      <c r="H62" s="7" t="n">
        <v>2545.9</v>
      </c>
      <c r="J62" s="7" t="n">
        <v>1806.5</v>
      </c>
      <c r="L62" s="7" t="n">
        <v>1841</v>
      </c>
      <c r="N62" s="7" t="n">
        <v>2851.2</v>
      </c>
      <c r="P62" s="7" t="n">
        <v>1750.5</v>
      </c>
      <c r="R62" s="7" t="n">
        <v>2219.6</v>
      </c>
      <c r="T62" s="7" t="n">
        <v>1261</v>
      </c>
      <c r="V62" s="7" t="n">
        <v>1665.7</v>
      </c>
      <c r="X62" s="7" t="n">
        <v>1213.1</v>
      </c>
      <c r="Z62" s="7" t="n">
        <v>693.1</v>
      </c>
      <c r="AB62" s="7" t="n">
        <v>20272.8</v>
      </c>
    </row>
    <row r="63">
      <c r="A63" s="4" t="inlineStr">
        <is>
          <t>车辆费</t>
        </is>
      </c>
      <c r="D63" s="7" t="n">
        <v>1428.4</v>
      </c>
      <c r="F63" s="7" t="n">
        <v>1075</v>
      </c>
      <c r="H63" s="7" t="n">
        <v>1893</v>
      </c>
      <c r="J63" s="7" t="n">
        <v>1592</v>
      </c>
      <c r="L63" s="7" t="n">
        <v>793.3</v>
      </c>
      <c r="N63" s="7" t="n">
        <v>1715.3</v>
      </c>
      <c r="P63" s="7" t="n">
        <v>1249</v>
      </c>
      <c r="R63" s="7" t="n">
        <v>2251.3</v>
      </c>
      <c r="T63" s="7" t="n">
        <v>575.5</v>
      </c>
      <c r="V63" s="7" t="n">
        <v>1401.3</v>
      </c>
      <c r="X63" s="7" t="n">
        <v>1125.6</v>
      </c>
      <c r="Z63" s="7" t="n">
        <v>408.8</v>
      </c>
      <c r="AB63" s="7" t="n">
        <v>15508.5</v>
      </c>
    </row>
    <row r="64">
      <c r="A64" s="4" t="inlineStr">
        <is>
          <t>租赁费</t>
        </is>
      </c>
      <c r="D64" s="7" t="n">
        <v>10038.5</v>
      </c>
      <c r="F64" s="7" t="n">
        <v>12758</v>
      </c>
      <c r="H64" s="7" t="n">
        <v>22744.7</v>
      </c>
      <c r="J64" s="7" t="n">
        <v>26102.1</v>
      </c>
      <c r="L64" s="7" t="n">
        <v>15920.2</v>
      </c>
      <c r="N64" s="7" t="n">
        <v>15147.1</v>
      </c>
      <c r="P64" s="7" t="n">
        <v>16692.2</v>
      </c>
      <c r="R64" s="7" t="n">
        <v>19454.9</v>
      </c>
      <c r="T64" s="7" t="n">
        <v>10328.4</v>
      </c>
      <c r="V64" s="7" t="n">
        <v>14001.4</v>
      </c>
      <c r="X64" s="7" t="n">
        <v>12985.6</v>
      </c>
      <c r="Z64" s="7" t="n">
        <v>7985.3</v>
      </c>
      <c r="AB64" s="7" t="n">
        <v>184158.4</v>
      </c>
    </row>
    <row r="65">
      <c r="A65" s="4" t="inlineStr">
        <is>
          <t>能源费</t>
        </is>
      </c>
      <c r="D65" s="7" t="n">
        <v>3419.7</v>
      </c>
      <c r="F65" s="7" t="n">
        <v>2511.8</v>
      </c>
      <c r="H65" s="7" t="n">
        <v>4333.8</v>
      </c>
      <c r="J65" s="7" t="n">
        <v>5286</v>
      </c>
      <c r="L65" s="7" t="n">
        <v>3566.7</v>
      </c>
      <c r="N65" s="7" t="n">
        <v>4311.6</v>
      </c>
      <c r="P65" s="7" t="n">
        <v>4626.5</v>
      </c>
      <c r="R65" s="7" t="n">
        <v>5249.3</v>
      </c>
      <c r="T65" s="7" t="n">
        <v>2524.4</v>
      </c>
      <c r="V65" s="7" t="n">
        <v>4824.7</v>
      </c>
      <c r="X65" s="7" t="n">
        <v>3187.1</v>
      </c>
      <c r="Z65" s="7" t="n">
        <v>1903.1</v>
      </c>
      <c r="AB65" s="7" t="n">
        <v>45744.7</v>
      </c>
    </row>
    <row r="66">
      <c r="A66" s="4" t="inlineStr">
        <is>
          <t>水费</t>
        </is>
      </c>
      <c r="D66" s="7" t="n">
        <v>607.4</v>
      </c>
      <c r="F66" s="7" t="n">
        <v>510.6</v>
      </c>
      <c r="H66" s="7" t="n">
        <v>898.4</v>
      </c>
      <c r="J66" s="7" t="n">
        <v>1351.6</v>
      </c>
      <c r="L66" s="7" t="n">
        <v>847</v>
      </c>
      <c r="N66" s="7" t="n">
        <v>879.9</v>
      </c>
      <c r="P66" s="7" t="n">
        <v>791.2</v>
      </c>
      <c r="R66" s="7" t="n">
        <v>1210.7</v>
      </c>
      <c r="T66" s="7" t="n">
        <v>464.6</v>
      </c>
      <c r="V66" s="7" t="n">
        <v>1271.1</v>
      </c>
      <c r="X66" s="7" t="n">
        <v>737</v>
      </c>
      <c r="Z66" s="7" t="n">
        <v>340.7</v>
      </c>
      <c r="AB66" s="7" t="n">
        <v>9910.200000000001</v>
      </c>
    </row>
    <row r="67">
      <c r="A67" s="4" t="inlineStr">
        <is>
          <t>电费</t>
        </is>
      </c>
      <c r="D67" s="7" t="n">
        <v>192.9</v>
      </c>
      <c r="F67" s="7" t="n">
        <v>109.4</v>
      </c>
      <c r="H67" s="7" t="n">
        <v>294.3</v>
      </c>
      <c r="J67" s="7" t="n">
        <v>255</v>
      </c>
      <c r="L67" s="7" t="n">
        <v>141.1</v>
      </c>
      <c r="N67" s="7" t="n">
        <v>222.5</v>
      </c>
      <c r="P67" s="7" t="n">
        <v>196.3</v>
      </c>
      <c r="R67" s="7" t="n">
        <v>279.9</v>
      </c>
      <c r="T67" s="7" t="n">
        <v>136.6</v>
      </c>
      <c r="V67" s="7" t="n">
        <v>258.5</v>
      </c>
      <c r="X67" s="7" t="n">
        <v>147.7</v>
      </c>
      <c r="Z67" s="7" t="n">
        <v>98.8</v>
      </c>
      <c r="AB67" s="7" t="n">
        <v>2333</v>
      </c>
    </row>
    <row r="68">
      <c r="A68" s="4" t="inlineStr">
        <is>
          <t>燃气费</t>
        </is>
      </c>
      <c r="D68" s="7" t="n">
        <v>1099</v>
      </c>
      <c r="F68" s="7" t="n">
        <v>1005.4</v>
      </c>
      <c r="H68" s="7" t="n">
        <v>1549.6</v>
      </c>
      <c r="J68" s="7" t="n">
        <v>1853.2</v>
      </c>
      <c r="L68" s="7" t="n">
        <v>1198.3</v>
      </c>
      <c r="N68" s="7" t="n">
        <v>1782.4</v>
      </c>
      <c r="P68" s="7" t="n">
        <v>2222</v>
      </c>
      <c r="R68" s="7" t="n">
        <v>1804</v>
      </c>
      <c r="T68" s="7" t="n">
        <v>986.3</v>
      </c>
      <c r="V68" s="7" t="n">
        <v>1782.6</v>
      </c>
      <c r="X68" s="7" t="n">
        <v>1071.9</v>
      </c>
      <c r="Z68" s="7" t="n">
        <v>642.5</v>
      </c>
      <c r="AB68" s="7" t="n">
        <v>16997.2</v>
      </c>
    </row>
    <row r="69">
      <c r="A69" s="4" t="inlineStr">
        <is>
          <t>蒸汽费</t>
        </is>
      </c>
      <c r="D69" s="7" t="n">
        <v>1520.4</v>
      </c>
      <c r="F69" s="7" t="n">
        <v>886.4</v>
      </c>
      <c r="H69" s="7" t="n">
        <v>1591.5</v>
      </c>
      <c r="J69" s="7" t="n">
        <v>1826.2</v>
      </c>
      <c r="L69" s="7" t="n">
        <v>1380.3</v>
      </c>
      <c r="N69" s="7" t="n">
        <v>1426.8</v>
      </c>
      <c r="P69" s="7" t="n">
        <v>1417</v>
      </c>
      <c r="R69" s="7" t="n">
        <v>1954.7</v>
      </c>
      <c r="T69" s="7" t="n">
        <v>936.9</v>
      </c>
      <c r="V69" s="7" t="n">
        <v>1512.5</v>
      </c>
      <c r="X69" s="7" t="n">
        <v>1230.5</v>
      </c>
      <c r="Z69" s="7" t="n">
        <v>821.1</v>
      </c>
      <c r="AB69" s="7" t="n">
        <v>16504.3</v>
      </c>
    </row>
    <row r="70">
      <c r="A70" s="4" t="inlineStr">
        <is>
          <t>物业费</t>
        </is>
      </c>
      <c r="D70" s="7" t="n">
        <v>1720</v>
      </c>
      <c r="F70" s="7" t="n">
        <v>1613.9</v>
      </c>
      <c r="H70" s="7" t="n">
        <v>1953.5</v>
      </c>
      <c r="J70" s="7" t="n">
        <v>2382.8</v>
      </c>
      <c r="L70" s="7" t="n">
        <v>1355.8</v>
      </c>
      <c r="N70" s="7" t="n">
        <v>3230.1</v>
      </c>
      <c r="P70" s="7" t="n">
        <v>2039.1</v>
      </c>
      <c r="R70" s="7" t="n">
        <v>2745.2</v>
      </c>
      <c r="T70" s="7" t="n">
        <v>1456.4</v>
      </c>
      <c r="V70" s="7" t="n">
        <v>2346.6</v>
      </c>
      <c r="X70" s="7" t="n">
        <v>1166.1</v>
      </c>
      <c r="Z70" s="7" t="n">
        <v>973.1</v>
      </c>
      <c r="AB70" s="7" t="n">
        <v>22982.6</v>
      </c>
    </row>
    <row r="71">
      <c r="A71" s="4" t="inlineStr">
        <is>
          <t>劳动保护费</t>
        </is>
      </c>
      <c r="D71" s="7" t="n">
        <v>397.4</v>
      </c>
      <c r="F71" s="7" t="n">
        <v>188</v>
      </c>
      <c r="H71" s="7" t="n">
        <v>543.7</v>
      </c>
      <c r="J71" s="7" t="n">
        <v>419</v>
      </c>
      <c r="L71" s="7" t="n">
        <v>266.4</v>
      </c>
      <c r="N71" s="7" t="n">
        <v>391.8</v>
      </c>
      <c r="P71" s="7" t="n">
        <v>350.3</v>
      </c>
      <c r="R71" s="7" t="n">
        <v>610</v>
      </c>
      <c r="T71" s="7" t="n">
        <v>246.8</v>
      </c>
      <c r="V71" s="7" t="n">
        <v>454.4</v>
      </c>
      <c r="X71" s="7" t="n">
        <v>234.1</v>
      </c>
      <c r="Z71" s="7" t="n">
        <v>164.7</v>
      </c>
      <c r="AB71" s="7" t="n">
        <v>4266.6</v>
      </c>
    </row>
    <row r="72">
      <c r="A72" s="4" t="inlineStr">
        <is>
          <t>顾问费</t>
        </is>
      </c>
      <c r="D72" s="7" t="n">
        <v>2077.5</v>
      </c>
      <c r="F72" s="7" t="n">
        <v>1662.2</v>
      </c>
      <c r="H72" s="7" t="n">
        <v>2694</v>
      </c>
      <c r="J72" s="7" t="n">
        <v>2817.4</v>
      </c>
      <c r="L72" s="7" t="n">
        <v>1588.1</v>
      </c>
      <c r="N72" s="7" t="n">
        <v>2044.7</v>
      </c>
      <c r="P72" s="7" t="n">
        <v>1727.4</v>
      </c>
      <c r="R72" s="7" t="n">
        <v>2988.5</v>
      </c>
      <c r="T72" s="7" t="n">
        <v>1027.8</v>
      </c>
      <c r="V72" s="7" t="n">
        <v>1647.1</v>
      </c>
      <c r="X72" s="7" t="n">
        <v>1196.8</v>
      </c>
      <c r="Z72" s="7" t="n">
        <v>650.2</v>
      </c>
      <c r="AB72" s="7" t="n">
        <v>22121.7</v>
      </c>
    </row>
    <row r="73">
      <c r="A73" s="4" t="inlineStr">
        <is>
          <t>快递费</t>
        </is>
      </c>
      <c r="D73" s="7" t="n">
        <v>1033.7</v>
      </c>
      <c r="F73" s="7" t="n">
        <v>958.1</v>
      </c>
      <c r="H73" s="7" t="n">
        <v>1654.9</v>
      </c>
      <c r="J73" s="7" t="n">
        <v>1872</v>
      </c>
      <c r="L73" s="7" t="n">
        <v>696.2</v>
      </c>
      <c r="N73" s="7" t="n">
        <v>1540.1</v>
      </c>
      <c r="P73" s="7" t="n">
        <v>1081.9</v>
      </c>
      <c r="R73" s="7" t="n">
        <v>1407.8</v>
      </c>
      <c r="T73" s="7" t="n">
        <v>758.8</v>
      </c>
      <c r="V73" s="7" t="n">
        <v>1464.7</v>
      </c>
      <c r="X73" s="7" t="n">
        <v>881.3</v>
      </c>
      <c r="Z73" s="7" t="n">
        <v>451</v>
      </c>
      <c r="AB73" s="7" t="n">
        <v>13800.5</v>
      </c>
    </row>
    <row r="74">
      <c r="A74" s="4" t="inlineStr">
        <is>
          <t>诉讼费</t>
        </is>
      </c>
      <c r="D74" s="7" t="n">
        <v>1228.8</v>
      </c>
      <c r="F74" s="7" t="n">
        <v>755.4</v>
      </c>
      <c r="H74" s="7" t="n">
        <v>1796.2</v>
      </c>
      <c r="J74" s="7" t="n">
        <v>1876.5</v>
      </c>
      <c r="L74" s="7" t="n">
        <v>892.8</v>
      </c>
      <c r="N74" s="7" t="n">
        <v>1502.5</v>
      </c>
      <c r="P74" s="7" t="n">
        <v>1904</v>
      </c>
      <c r="R74" s="7" t="n">
        <v>1517.4</v>
      </c>
      <c r="T74" s="7" t="n">
        <v>1027</v>
      </c>
      <c r="V74" s="7" t="n">
        <v>1661.3</v>
      </c>
      <c r="X74" s="7" t="n">
        <v>741.9</v>
      </c>
      <c r="Z74" s="7" t="n">
        <v>555.2</v>
      </c>
      <c r="AB74" s="7" t="n">
        <v>15459</v>
      </c>
    </row>
    <row r="75">
      <c r="A75" s="4" t="inlineStr">
        <is>
          <t>会员费</t>
        </is>
      </c>
      <c r="D75" s="7" t="n">
        <v>1124.1</v>
      </c>
      <c r="F75" s="7" t="n">
        <v>866.9</v>
      </c>
      <c r="H75" s="7" t="n">
        <v>1463.4</v>
      </c>
      <c r="J75" s="7" t="n">
        <v>1806.4</v>
      </c>
      <c r="L75" s="7" t="n">
        <v>895.4</v>
      </c>
      <c r="N75" s="7" t="n">
        <v>1693.5</v>
      </c>
      <c r="P75" s="7" t="n">
        <v>1103.5</v>
      </c>
      <c r="R75" s="7" t="n">
        <v>1343.9</v>
      </c>
      <c r="T75" s="7" t="n">
        <v>526.8</v>
      </c>
      <c r="V75" s="7" t="n">
        <v>1139.3</v>
      </c>
      <c r="X75" s="7" t="n">
        <v>877.2</v>
      </c>
      <c r="Z75" s="7" t="n">
        <v>467.2</v>
      </c>
      <c r="AB75" s="7" t="n">
        <v>13307.6</v>
      </c>
    </row>
    <row r="76">
      <c r="A76" s="4" t="inlineStr">
        <is>
          <t>广告宣传费</t>
        </is>
      </c>
      <c r="D76" s="7" t="n">
        <v>8308.4</v>
      </c>
      <c r="F76" s="7" t="n">
        <v>7208.2</v>
      </c>
      <c r="H76" s="7" t="n">
        <v>11732.1</v>
      </c>
      <c r="J76" s="7" t="n">
        <v>14687.8</v>
      </c>
      <c r="L76" s="7" t="n">
        <v>6018</v>
      </c>
      <c r="N76" s="7" t="n">
        <v>15084.4</v>
      </c>
      <c r="P76" s="7" t="n">
        <v>12293.9</v>
      </c>
      <c r="R76" s="7" t="n">
        <v>11139.3</v>
      </c>
      <c r="T76" s="7" t="n">
        <v>6492.6</v>
      </c>
      <c r="V76" s="7" t="n">
        <v>11620.1</v>
      </c>
      <c r="X76" s="7" t="n">
        <v>6507</v>
      </c>
      <c r="Z76" s="7" t="n">
        <v>3083.1</v>
      </c>
      <c r="AB76" s="7" t="n">
        <v>114174.9</v>
      </c>
    </row>
    <row r="77">
      <c r="A77" s="4" t="inlineStr">
        <is>
          <t>会务费</t>
        </is>
      </c>
      <c r="D77" s="7" t="n">
        <v>1464.9</v>
      </c>
      <c r="F77" s="7" t="n">
        <v>1136.3</v>
      </c>
      <c r="H77" s="7" t="n">
        <v>1486.6</v>
      </c>
      <c r="J77" s="7" t="n">
        <v>1999.8</v>
      </c>
      <c r="L77" s="7" t="n">
        <v>1305.2</v>
      </c>
      <c r="N77" s="7" t="n">
        <v>2566.5</v>
      </c>
      <c r="P77" s="7" t="n">
        <v>1529.3</v>
      </c>
      <c r="R77" s="7" t="n">
        <v>2744.7</v>
      </c>
      <c r="T77" s="7" t="n">
        <v>768.6</v>
      </c>
      <c r="V77" s="7" t="n">
        <v>1551.6</v>
      </c>
      <c r="X77" s="7" t="n">
        <v>1142.6</v>
      </c>
      <c r="Z77" s="7" t="n">
        <v>642.8</v>
      </c>
      <c r="AB77" s="7" t="n">
        <v>18338.9</v>
      </c>
    </row>
    <row r="78">
      <c r="A78" s="4" t="inlineStr">
        <is>
          <t>装修费</t>
        </is>
      </c>
      <c r="D78" s="7" t="n">
        <v>1035.9</v>
      </c>
      <c r="F78" s="7" t="n">
        <v>843.6</v>
      </c>
      <c r="H78" s="7" t="n">
        <v>1067.7</v>
      </c>
      <c r="J78" s="7" t="n">
        <v>1035.2</v>
      </c>
      <c r="L78" s="7" t="n">
        <v>969.6</v>
      </c>
      <c r="N78" s="7" t="n">
        <v>1156.9</v>
      </c>
      <c r="P78" s="7" t="n">
        <v>808.9</v>
      </c>
      <c r="R78" s="7" t="n">
        <v>969.7</v>
      </c>
      <c r="T78" s="7" t="n">
        <v>506.2</v>
      </c>
      <c r="V78" s="7" t="n">
        <v>923.3</v>
      </c>
      <c r="X78" s="7" t="n">
        <v>806.8</v>
      </c>
      <c r="Z78" s="7" t="n">
        <v>409</v>
      </c>
      <c r="AB78" s="7" t="n">
        <v>10532.8</v>
      </c>
    </row>
    <row r="79">
      <c r="A79" s="4" t="inlineStr">
        <is>
          <t>推广费</t>
        </is>
      </c>
      <c r="D79" s="7" t="n">
        <v>1194.4</v>
      </c>
      <c r="F79" s="7" t="n">
        <v>781.2</v>
      </c>
      <c r="H79" s="7" t="n">
        <v>1820.2</v>
      </c>
      <c r="J79" s="7" t="n">
        <v>1948.6</v>
      </c>
      <c r="L79" s="7" t="n">
        <v>905.8</v>
      </c>
      <c r="N79" s="7" t="n">
        <v>1709.1</v>
      </c>
      <c r="P79" s="7" t="n">
        <v>1310.8</v>
      </c>
      <c r="R79" s="7" t="n">
        <v>1936</v>
      </c>
      <c r="T79" s="7" t="n">
        <v>582.7</v>
      </c>
      <c r="V79" s="7" t="n">
        <v>1334.2</v>
      </c>
      <c r="X79" s="7" t="n">
        <v>992.9</v>
      </c>
      <c r="Z79" s="7" t="n">
        <v>640</v>
      </c>
      <c r="AB79" s="7" t="n">
        <v>15155.9</v>
      </c>
    </row>
    <row r="80">
      <c r="A80" s="4" t="inlineStr">
        <is>
          <t>展会费</t>
        </is>
      </c>
      <c r="D80" s="7" t="n">
        <v>224.6</v>
      </c>
      <c r="F80" s="7" t="n">
        <v>271.2</v>
      </c>
      <c r="H80" s="7" t="n">
        <v>442.7</v>
      </c>
      <c r="J80" s="7" t="n">
        <v>494.2</v>
      </c>
      <c r="L80" s="7" t="n">
        <v>282.7</v>
      </c>
      <c r="N80" s="7" t="n">
        <v>328.6</v>
      </c>
      <c r="P80" s="7" t="n">
        <v>453.7</v>
      </c>
      <c r="R80" s="7" t="n">
        <v>593.8</v>
      </c>
      <c r="T80" s="7" t="n">
        <v>202.5</v>
      </c>
      <c r="V80" s="7" t="n">
        <v>431.1</v>
      </c>
      <c r="X80" s="7" t="n">
        <v>263.7</v>
      </c>
      <c r="Z80" s="7" t="n">
        <v>128.2</v>
      </c>
      <c r="AB80" s="7" t="n">
        <v>4117</v>
      </c>
    </row>
    <row r="81">
      <c r="A81" s="4" t="inlineStr">
        <is>
          <t>设计费</t>
        </is>
      </c>
      <c r="D81" s="7" t="n">
        <v>1678.5</v>
      </c>
      <c r="F81" s="7" t="n">
        <v>1712.7</v>
      </c>
      <c r="H81" s="7" t="n">
        <v>2011.7</v>
      </c>
      <c r="J81" s="7" t="n">
        <v>1937.2</v>
      </c>
      <c r="L81" s="7" t="n">
        <v>1440.4</v>
      </c>
      <c r="N81" s="7" t="n">
        <v>2277.9</v>
      </c>
      <c r="P81" s="7" t="n">
        <v>2465.2</v>
      </c>
      <c r="R81" s="7" t="n">
        <v>2696.6</v>
      </c>
      <c r="T81" s="7" t="n">
        <v>1068.5</v>
      </c>
      <c r="V81" s="7" t="n">
        <v>2075.5</v>
      </c>
      <c r="X81" s="7" t="n">
        <v>1294.8</v>
      </c>
      <c r="Z81" s="7" t="n">
        <v>1038.9</v>
      </c>
      <c r="AB81" s="7" t="n">
        <v>21697.9</v>
      </c>
    </row>
    <row r="82">
      <c r="A82" s="4" t="inlineStr">
        <is>
          <t>折旧费</t>
        </is>
      </c>
      <c r="D82" s="7" t="n">
        <v>10520.9</v>
      </c>
      <c r="F82" s="7" t="n">
        <v>11821.9</v>
      </c>
      <c r="H82" s="7" t="n">
        <v>13601.9</v>
      </c>
      <c r="J82" s="7" t="n">
        <v>19045.2</v>
      </c>
      <c r="L82" s="7" t="n">
        <v>13444.4</v>
      </c>
      <c r="N82" s="7" t="n">
        <v>18942.2</v>
      </c>
      <c r="P82" s="7" t="n">
        <v>10001.3</v>
      </c>
      <c r="R82" s="7" t="n">
        <v>20411</v>
      </c>
      <c r="T82" s="7" t="n">
        <v>6036</v>
      </c>
      <c r="V82" s="7" t="n">
        <v>16383</v>
      </c>
      <c r="X82" s="7" t="n">
        <v>7812.8</v>
      </c>
      <c r="Z82" s="7" t="n">
        <v>5424.5</v>
      </c>
      <c r="AB82" s="7" t="n">
        <v>153445.1</v>
      </c>
    </row>
    <row r="83">
      <c r="A83" s="4" t="inlineStr">
        <is>
          <t>认证费</t>
        </is>
      </c>
      <c r="D83" s="7" t="n">
        <v>691.8</v>
      </c>
      <c r="F83" s="7" t="n">
        <v>435.9</v>
      </c>
      <c r="H83" s="7" t="n">
        <v>815.1</v>
      </c>
      <c r="J83" s="7" t="n">
        <v>696.1</v>
      </c>
      <c r="L83" s="7" t="n">
        <v>457.6</v>
      </c>
      <c r="N83" s="7" t="n">
        <v>862.9</v>
      </c>
      <c r="P83" s="7" t="n">
        <v>900</v>
      </c>
      <c r="R83" s="7" t="n">
        <v>733</v>
      </c>
      <c r="T83" s="7" t="n">
        <v>326.5</v>
      </c>
      <c r="V83" s="7" t="n">
        <v>684.8</v>
      </c>
      <c r="X83" s="7" t="n">
        <v>464.4</v>
      </c>
      <c r="Z83" s="7" t="n">
        <v>350.8</v>
      </c>
      <c r="AB83" s="7" t="n">
        <v>7418.9</v>
      </c>
    </row>
    <row r="84">
      <c r="A84" s="4" t="inlineStr">
        <is>
          <t>样品费</t>
        </is>
      </c>
      <c r="D84" s="7" t="n">
        <v>5480.8</v>
      </c>
      <c r="F84" s="7" t="n">
        <v>5917.7</v>
      </c>
      <c r="H84" s="7" t="n">
        <v>5424.9</v>
      </c>
      <c r="J84" s="7" t="n">
        <v>8817.799999999999</v>
      </c>
      <c r="L84" s="7" t="n">
        <v>5820.8</v>
      </c>
      <c r="N84" s="7" t="n">
        <v>10165.8</v>
      </c>
      <c r="P84" s="7" t="n">
        <v>6971.8</v>
      </c>
      <c r="R84" s="7" t="n">
        <v>7891.7</v>
      </c>
      <c r="T84" s="7" t="n">
        <v>3891.6</v>
      </c>
      <c r="V84" s="7" t="n">
        <v>6705.5</v>
      </c>
      <c r="X84" s="7" t="n">
        <v>3389.6</v>
      </c>
      <c r="Z84" s="7" t="n">
        <v>3181</v>
      </c>
      <c r="AB84" s="7" t="n">
        <v>73659</v>
      </c>
    </row>
    <row r="85">
      <c r="A85" s="4" t="inlineStr">
        <is>
          <t>劳务费</t>
        </is>
      </c>
      <c r="D85" s="7" t="n">
        <v>465.6</v>
      </c>
      <c r="F85" s="7" t="n">
        <v>523.7</v>
      </c>
      <c r="H85" s="7" t="n">
        <v>517.3</v>
      </c>
      <c r="J85" s="7" t="n">
        <v>568.6</v>
      </c>
      <c r="L85" s="7" t="n">
        <v>544.4</v>
      </c>
      <c r="N85" s="7" t="n">
        <v>661</v>
      </c>
      <c r="P85" s="7" t="n">
        <v>741</v>
      </c>
      <c r="R85" s="7" t="n">
        <v>780.2</v>
      </c>
      <c r="T85" s="7" t="n">
        <v>261.9</v>
      </c>
      <c r="V85" s="7" t="n">
        <v>518.5</v>
      </c>
      <c r="X85" s="7" t="n">
        <v>354.5</v>
      </c>
      <c r="Z85" s="7" t="n">
        <v>217.8</v>
      </c>
      <c r="AB85" s="7" t="n">
        <v>6154.5</v>
      </c>
    </row>
    <row r="86">
      <c r="A86" s="4" t="inlineStr">
        <is>
          <t>销售佣金</t>
        </is>
      </c>
      <c r="D86" s="7" t="n">
        <v>136.4</v>
      </c>
      <c r="F86" s="7" t="n">
        <v>138.9</v>
      </c>
      <c r="H86" s="7" t="n">
        <v>249.1</v>
      </c>
      <c r="J86" s="7" t="n">
        <v>198.9</v>
      </c>
      <c r="L86" s="7" t="n">
        <v>153.8</v>
      </c>
      <c r="N86" s="7" t="n">
        <v>206.1</v>
      </c>
      <c r="P86" s="7" t="n">
        <v>144.6</v>
      </c>
      <c r="R86" s="7" t="n">
        <v>305.1</v>
      </c>
      <c r="T86" s="7" t="n">
        <v>78.2</v>
      </c>
      <c r="V86" s="7" t="n">
        <v>245</v>
      </c>
      <c r="X86" s="7" t="n">
        <v>144.8</v>
      </c>
      <c r="Z86" s="7" t="n">
        <v>75.2</v>
      </c>
      <c r="AB86" s="7" t="n">
        <v>2076.1</v>
      </c>
    </row>
    <row r="87">
      <c r="A87" s="4" t="inlineStr">
        <is>
          <t>检测费</t>
        </is>
      </c>
      <c r="D87" s="7" t="n">
        <v>1941.5</v>
      </c>
      <c r="F87" s="7" t="n">
        <v>1249</v>
      </c>
      <c r="H87" s="7" t="n">
        <v>2567.7</v>
      </c>
      <c r="J87" s="7" t="n">
        <v>1825.2</v>
      </c>
      <c r="L87" s="7" t="n">
        <v>1436</v>
      </c>
      <c r="N87" s="7" t="n">
        <v>2230.4</v>
      </c>
      <c r="P87" s="7" t="n">
        <v>1769.1</v>
      </c>
      <c r="R87" s="7" t="n">
        <v>2814.9</v>
      </c>
      <c r="T87" s="7" t="n">
        <v>1148.7</v>
      </c>
      <c r="V87" s="7" t="n">
        <v>1730.7</v>
      </c>
      <c r="X87" s="7" t="n">
        <v>1431.8</v>
      </c>
      <c r="Z87" s="7" t="n">
        <v>586.3</v>
      </c>
      <c r="AB87" s="7" t="n">
        <v>20731.3</v>
      </c>
    </row>
    <row r="88">
      <c r="A88" s="4" t="inlineStr">
        <is>
          <t>质量赔偿</t>
        </is>
      </c>
      <c r="D88" s="7" t="n">
        <v>206.4</v>
      </c>
      <c r="F88" s="7" t="n">
        <v>169.1</v>
      </c>
      <c r="H88" s="7" t="n">
        <v>289</v>
      </c>
      <c r="J88" s="7" t="n">
        <v>229.2</v>
      </c>
      <c r="L88" s="7" t="n">
        <v>207.9</v>
      </c>
      <c r="N88" s="7" t="n">
        <v>398.1</v>
      </c>
      <c r="P88" s="7" t="n">
        <v>276.6</v>
      </c>
      <c r="R88" s="7" t="n">
        <v>252.1</v>
      </c>
      <c r="T88" s="7" t="n">
        <v>137.5</v>
      </c>
      <c r="V88" s="7" t="n">
        <v>203.8</v>
      </c>
      <c r="X88" s="7" t="n">
        <v>174.5</v>
      </c>
      <c r="Z88" s="7" t="n">
        <v>135.2</v>
      </c>
      <c r="AB88" s="7" t="n">
        <v>2679.4</v>
      </c>
    </row>
    <row r="89">
      <c r="A89" s="4" t="inlineStr">
        <is>
          <t>保险费</t>
        </is>
      </c>
      <c r="D89" s="7" t="n">
        <v>1439.1</v>
      </c>
      <c r="F89" s="7" t="n">
        <v>1248.9</v>
      </c>
      <c r="H89" s="7" t="n">
        <v>2087.2</v>
      </c>
      <c r="J89" s="7" t="n">
        <v>2378.2</v>
      </c>
      <c r="L89" s="7" t="n">
        <v>1408.3</v>
      </c>
      <c r="N89" s="7" t="n">
        <v>2716.5</v>
      </c>
      <c r="P89" s="7" t="n">
        <v>2126.7</v>
      </c>
      <c r="R89" s="7" t="n">
        <v>2400</v>
      </c>
      <c r="T89" s="7" t="n">
        <v>1117.2</v>
      </c>
      <c r="V89" s="7" t="n">
        <v>2268.2</v>
      </c>
      <c r="X89" s="7" t="n">
        <v>868.6</v>
      </c>
      <c r="Z89" s="7" t="n">
        <v>953.1</v>
      </c>
      <c r="AB89" s="7" t="n">
        <v>21012</v>
      </c>
    </row>
    <row r="90">
      <c r="A90" s="4" t="inlineStr">
        <is>
          <t>清洁费</t>
        </is>
      </c>
      <c r="D90" s="7" t="n">
        <v>1446.6</v>
      </c>
      <c r="F90" s="7" t="n">
        <v>1062.2</v>
      </c>
      <c r="H90" s="7" t="n">
        <v>1730.2</v>
      </c>
      <c r="J90" s="7" t="n">
        <v>1543</v>
      </c>
      <c r="L90" s="7" t="n">
        <v>906.2</v>
      </c>
      <c r="N90" s="7" t="n">
        <v>1585</v>
      </c>
      <c r="P90" s="7" t="n">
        <v>1726.2</v>
      </c>
      <c r="R90" s="7" t="n">
        <v>2078.9</v>
      </c>
      <c r="T90" s="7" t="n">
        <v>797.6</v>
      </c>
      <c r="V90" s="7" t="n">
        <v>1078.5</v>
      </c>
      <c r="X90" s="7" t="n">
        <v>970.1</v>
      </c>
      <c r="Z90" s="7" t="n">
        <v>530.6</v>
      </c>
      <c r="AB90" s="7" t="n">
        <v>15455.1</v>
      </c>
    </row>
    <row r="91">
      <c r="A91" s="4" t="inlineStr">
        <is>
          <t>低值易耗品</t>
        </is>
      </c>
      <c r="D91" s="7" t="n">
        <v>1077.3</v>
      </c>
      <c r="F91" s="7" t="n">
        <v>951.6</v>
      </c>
      <c r="H91" s="7" t="n">
        <v>1237.7</v>
      </c>
      <c r="J91" s="7" t="n">
        <v>992.7</v>
      </c>
      <c r="L91" s="7" t="n">
        <v>945.7</v>
      </c>
      <c r="N91" s="7" t="n">
        <v>994.1</v>
      </c>
      <c r="P91" s="7" t="n">
        <v>1455.1</v>
      </c>
      <c r="R91" s="7" t="n">
        <v>1118.9</v>
      </c>
      <c r="T91" s="7" t="n">
        <v>528.5</v>
      </c>
      <c r="V91" s="7" t="n">
        <v>1199.4</v>
      </c>
      <c r="X91" s="7" t="n">
        <v>659.3</v>
      </c>
      <c r="Z91" s="7" t="n">
        <v>423.4</v>
      </c>
      <c r="AB91" s="7" t="n">
        <v>11583.7</v>
      </c>
    </row>
    <row r="92">
      <c r="A92" s="4" t="inlineStr">
        <is>
          <t>物料消耗</t>
        </is>
      </c>
      <c r="D92" s="7" t="n">
        <v>1106</v>
      </c>
      <c r="F92" s="7" t="n">
        <v>994.5</v>
      </c>
      <c r="H92" s="7" t="n">
        <v>1812.6</v>
      </c>
      <c r="J92" s="7" t="n">
        <v>2068.2</v>
      </c>
      <c r="L92" s="7" t="n">
        <v>1208.6</v>
      </c>
      <c r="N92" s="7" t="n">
        <v>1647.9</v>
      </c>
      <c r="P92" s="7" t="n">
        <v>1908.6</v>
      </c>
      <c r="R92" s="7" t="n">
        <v>2453.6</v>
      </c>
      <c r="T92" s="7" t="n">
        <v>640.3</v>
      </c>
      <c r="V92" s="7" t="n">
        <v>1865.8</v>
      </c>
      <c r="X92" s="7" t="n">
        <v>811.5</v>
      </c>
      <c r="Z92" s="7" t="n">
        <v>525.1</v>
      </c>
      <c r="AB92" s="7" t="n">
        <v>17042.7</v>
      </c>
    </row>
    <row r="93">
      <c r="A93" s="4" t="inlineStr">
        <is>
          <t>盘盈盘亏</t>
        </is>
      </c>
      <c r="D93" s="7" t="n">
        <v>50.9</v>
      </c>
      <c r="F93" s="7" t="n">
        <v>47.9</v>
      </c>
      <c r="H93" s="7" t="n">
        <v>74.90000000000001</v>
      </c>
      <c r="J93" s="7" t="n">
        <v>70.90000000000001</v>
      </c>
      <c r="L93" s="7" t="n">
        <v>57.3</v>
      </c>
      <c r="N93" s="7" t="n">
        <v>62.9</v>
      </c>
      <c r="P93" s="7" t="n">
        <v>53.7</v>
      </c>
      <c r="R93" s="7" t="n">
        <v>65.5</v>
      </c>
      <c r="T93" s="7" t="n">
        <v>26</v>
      </c>
      <c r="V93" s="7" t="n">
        <v>55</v>
      </c>
      <c r="X93" s="7" t="n">
        <v>36.6</v>
      </c>
      <c r="Z93" s="7" t="n">
        <v>21.8</v>
      </c>
      <c r="AB93" s="7" t="n">
        <v>623.4</v>
      </c>
    </row>
    <row r="94">
      <c r="A94" s="4" t="inlineStr">
        <is>
          <t>平台服务费</t>
        </is>
      </c>
      <c r="D94" s="7" t="n">
        <v>1422.8</v>
      </c>
      <c r="F94" s="7" t="n">
        <v>1293.4</v>
      </c>
      <c r="H94" s="7" t="n">
        <v>1790.7</v>
      </c>
      <c r="J94" s="7" t="n">
        <v>3061.9</v>
      </c>
      <c r="L94" s="7" t="n">
        <v>1547.8</v>
      </c>
      <c r="N94" s="7" t="n">
        <v>3008.4</v>
      </c>
      <c r="P94" s="7" t="n">
        <v>1995.4</v>
      </c>
      <c r="R94" s="7" t="n">
        <v>2696.9</v>
      </c>
      <c r="T94" s="7" t="n">
        <v>1287.1</v>
      </c>
      <c r="V94" s="7" t="n">
        <v>2545.7</v>
      </c>
      <c r="X94" s="7" t="n">
        <v>1269.5</v>
      </c>
      <c r="Z94" s="7" t="n">
        <v>872.3</v>
      </c>
      <c r="AB94" s="7" t="n">
        <v>22791.9</v>
      </c>
    </row>
    <row r="95">
      <c r="A95" s="4" t="inlineStr">
        <is>
          <t>无形资产摊销</t>
        </is>
      </c>
      <c r="D95" s="7" t="n">
        <v>601.5</v>
      </c>
      <c r="F95" s="7" t="n">
        <v>560.5</v>
      </c>
      <c r="H95" s="7" t="n">
        <v>1159.9</v>
      </c>
      <c r="J95" s="7" t="n">
        <v>796</v>
      </c>
      <c r="L95" s="7" t="n">
        <v>551.2</v>
      </c>
      <c r="N95" s="7" t="n">
        <v>1333.3</v>
      </c>
      <c r="P95" s="7" t="n">
        <v>1043.5</v>
      </c>
      <c r="R95" s="7" t="n">
        <v>919.7</v>
      </c>
      <c r="T95" s="7" t="n">
        <v>552.4</v>
      </c>
      <c r="V95" s="7" t="n">
        <v>732.6</v>
      </c>
      <c r="X95" s="7" t="n">
        <v>579.2</v>
      </c>
      <c r="Z95" s="7" t="n">
        <v>408.3</v>
      </c>
      <c r="AB95" s="7" t="n">
        <v>9238.1</v>
      </c>
    </row>
    <row r="96">
      <c r="A96" s="4" t="inlineStr">
        <is>
          <t>研发材料</t>
        </is>
      </c>
      <c r="D96" s="7" t="n">
        <v>1221.2</v>
      </c>
      <c r="F96" s="7" t="n">
        <v>923.7</v>
      </c>
      <c r="H96" s="7" t="n">
        <v>2366.1</v>
      </c>
      <c r="J96" s="7" t="n">
        <v>2334</v>
      </c>
      <c r="L96" s="7" t="n">
        <v>1177.7</v>
      </c>
      <c r="N96" s="7" t="n">
        <v>1711.9</v>
      </c>
      <c r="P96" s="7" t="n">
        <v>1325</v>
      </c>
      <c r="R96" s="7" t="n">
        <v>2176.8</v>
      </c>
      <c r="T96" s="7" t="n">
        <v>633.2</v>
      </c>
      <c r="V96" s="7" t="n">
        <v>2106.2</v>
      </c>
      <c r="X96" s="7" t="n">
        <v>1029.5</v>
      </c>
      <c r="Z96" s="7" t="n">
        <v>876.2</v>
      </c>
      <c r="AB96" s="7" t="n">
        <v>17881.5</v>
      </c>
    </row>
    <row r="97">
      <c r="A97" s="4" t="inlineStr">
        <is>
          <t>项目名称</t>
        </is>
      </c>
      <c r="D97" s="7" t="n">
        <v>822.7</v>
      </c>
      <c r="F97" s="7" t="n">
        <v>644.8</v>
      </c>
      <c r="H97" s="7" t="n">
        <v>832.8</v>
      </c>
      <c r="J97" s="7" t="n">
        <v>1131.2</v>
      </c>
      <c r="L97" s="7" t="n">
        <v>535.6</v>
      </c>
      <c r="N97" s="7" t="n">
        <v>1233.9</v>
      </c>
      <c r="P97" s="7" t="n">
        <v>613.4</v>
      </c>
      <c r="R97" s="7" t="n">
        <v>1148.2</v>
      </c>
      <c r="T97" s="7" t="n">
        <v>397.2</v>
      </c>
      <c r="V97" s="7" t="n">
        <v>828.5</v>
      </c>
      <c r="X97" s="7" t="n">
        <v>658.3</v>
      </c>
      <c r="Z97" s="7" t="n">
        <v>295.2</v>
      </c>
      <c r="AB97" s="7" t="n">
        <v>9141.799999999999</v>
      </c>
    </row>
    <row r="98">
      <c r="A98" s="4" t="inlineStr">
        <is>
          <t>研发费</t>
        </is>
      </c>
      <c r="D98" s="7" t="n">
        <v>1059.1</v>
      </c>
      <c r="F98" s="7" t="n">
        <v>768.1</v>
      </c>
      <c r="H98" s="7" t="n">
        <v>1344.2</v>
      </c>
      <c r="J98" s="7" t="n">
        <v>1774.4</v>
      </c>
      <c r="L98" s="7" t="n">
        <v>862.5</v>
      </c>
      <c r="N98" s="7" t="n">
        <v>1374.8</v>
      </c>
      <c r="P98" s="7" t="n">
        <v>1665.9</v>
      </c>
      <c r="R98" s="7" t="n">
        <v>2233.2</v>
      </c>
      <c r="T98" s="7" t="n">
        <v>571.9</v>
      </c>
      <c r="V98" s="7" t="n">
        <v>1817.8</v>
      </c>
      <c r="X98" s="7" t="n">
        <v>1153.4</v>
      </c>
      <c r="Z98" s="7" t="n">
        <v>683.1</v>
      </c>
      <c r="AB98" s="7" t="n">
        <v>15308.4</v>
      </c>
    </row>
    <row r="99">
      <c r="A99" s="4" t="inlineStr">
        <is>
          <t>残保金</t>
        </is>
      </c>
      <c r="D99" s="7" t="n">
        <v>645.5</v>
      </c>
      <c r="F99" s="7" t="n">
        <v>446.7</v>
      </c>
      <c r="H99" s="7" t="n">
        <v>730.1</v>
      </c>
      <c r="J99" s="7" t="n">
        <v>1237.6</v>
      </c>
      <c r="L99" s="7" t="n">
        <v>815.5</v>
      </c>
      <c r="N99" s="7" t="n">
        <v>1139.3</v>
      </c>
      <c r="P99" s="7" t="n">
        <v>1015.8</v>
      </c>
      <c r="R99" s="7" t="n">
        <v>896.3</v>
      </c>
      <c r="T99" s="7" t="n">
        <v>547.1</v>
      </c>
      <c r="V99" s="7" t="n">
        <v>676.4</v>
      </c>
      <c r="X99" s="7" t="n">
        <v>432.9</v>
      </c>
      <c r="Z99" s="7" t="n">
        <v>357.2</v>
      </c>
      <c r="AB99" s="7" t="n">
        <v>8940.4</v>
      </c>
    </row>
    <row r="100">
      <c r="A100" s="4" t="inlineStr">
        <is>
          <t>环保费</t>
        </is>
      </c>
      <c r="D100" s="7" t="n">
        <v>602.2</v>
      </c>
      <c r="F100" s="7" t="n">
        <v>576.6</v>
      </c>
      <c r="H100" s="7" t="n">
        <v>642.8</v>
      </c>
      <c r="J100" s="7" t="n">
        <v>720.9</v>
      </c>
      <c r="L100" s="7" t="n">
        <v>614.2</v>
      </c>
      <c r="N100" s="7" t="n">
        <v>736.4</v>
      </c>
      <c r="P100" s="7" t="n">
        <v>869.6</v>
      </c>
      <c r="R100" s="7" t="n">
        <v>657.3</v>
      </c>
      <c r="T100" s="7" t="n">
        <v>448.9</v>
      </c>
      <c r="V100" s="7" t="n">
        <v>908</v>
      </c>
      <c r="X100" s="7" t="n">
        <v>325.4</v>
      </c>
      <c r="Z100" s="7" t="n">
        <v>272.8</v>
      </c>
      <c r="AB100" s="7" t="n">
        <v>7375.1</v>
      </c>
    </row>
    <row r="101">
      <c r="A101" s="4" t="inlineStr">
        <is>
          <t>报废损失</t>
        </is>
      </c>
      <c r="D101" s="7" t="n">
        <v>1111.9</v>
      </c>
      <c r="F101" s="7" t="n">
        <v>719.7</v>
      </c>
      <c r="H101" s="7" t="n">
        <v>1037.3</v>
      </c>
      <c r="J101" s="7" t="n">
        <v>1955.6</v>
      </c>
      <c r="L101" s="7" t="n">
        <v>775.3</v>
      </c>
      <c r="N101" s="7" t="n">
        <v>2071.1</v>
      </c>
      <c r="P101" s="7" t="n">
        <v>1058.2</v>
      </c>
      <c r="R101" s="7" t="n">
        <v>1757.9</v>
      </c>
      <c r="T101" s="7" t="n">
        <v>925.9</v>
      </c>
      <c r="V101" s="7" t="n">
        <v>1726.5</v>
      </c>
      <c r="X101" s="7" t="n">
        <v>893.5</v>
      </c>
      <c r="Z101" s="7" t="n">
        <v>449.6</v>
      </c>
      <c r="AB101" s="7" t="n">
        <v>14482.5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112444.9</v>
      </c>
      <c r="D102" s="7" t="n">
        <v>69647.2</v>
      </c>
      <c r="E102" s="7" t="n">
        <v>92439</v>
      </c>
      <c r="F102" s="7" t="n">
        <v>88897</v>
      </c>
      <c r="G102" s="7" t="n">
        <v>93141.5</v>
      </c>
      <c r="H102" s="7" t="n">
        <v>75285.3</v>
      </c>
      <c r="I102" s="7" t="n">
        <v>90410.60000000001</v>
      </c>
      <c r="J102" s="7" t="n">
        <v>107351.1</v>
      </c>
      <c r="K102" s="7" t="n">
        <v>115200.8</v>
      </c>
      <c r="L102" s="7" t="n">
        <v>179101.3</v>
      </c>
      <c r="M102" s="7" t="n">
        <v>93331.89999999999</v>
      </c>
      <c r="N102" s="7" t="n">
        <v>66415.5</v>
      </c>
      <c r="O102" s="7" t="n">
        <v>88957.60000000001</v>
      </c>
      <c r="P102" s="7" t="n">
        <v>125947.2</v>
      </c>
      <c r="Q102" s="7" t="n">
        <v>89342.10000000001</v>
      </c>
      <c r="R102" s="7" t="n">
        <v>104828</v>
      </c>
      <c r="S102" s="7" t="n">
        <v>98771.7</v>
      </c>
      <c r="T102" s="7" t="n">
        <v>98554</v>
      </c>
      <c r="U102" s="7" t="n">
        <v>113511.3</v>
      </c>
      <c r="V102" s="7" t="n">
        <v>143266</v>
      </c>
      <c r="W102" s="7" t="n">
        <v>89660.60000000001</v>
      </c>
      <c r="X102" s="7" t="n">
        <v>84934.2</v>
      </c>
      <c r="Y102" s="7" t="n">
        <v>93352.39999999999</v>
      </c>
      <c r="Z102" s="7" t="n">
        <v>76242.5</v>
      </c>
      <c r="AA102" s="8" t="n">
        <v>1170564.4</v>
      </c>
      <c r="AB102" s="8" t="n">
        <v>1220469.3</v>
      </c>
    </row>
    <row r="103">
      <c r="A103" s="4" t="inlineStr">
        <is>
          <t>职工薪酬</t>
        </is>
      </c>
      <c r="D103" s="7" t="n">
        <v>35190.1</v>
      </c>
      <c r="F103" s="7" t="n">
        <v>54277.8</v>
      </c>
      <c r="H103" s="7" t="n">
        <v>33636.3</v>
      </c>
      <c r="J103" s="7" t="n">
        <v>61371</v>
      </c>
      <c r="L103" s="7" t="n">
        <v>93816.3</v>
      </c>
      <c r="N103" s="7" t="n">
        <v>28931.2</v>
      </c>
      <c r="P103" s="7" t="n">
        <v>60312.7</v>
      </c>
      <c r="R103" s="7" t="n">
        <v>47239.9</v>
      </c>
      <c r="T103" s="7" t="n">
        <v>42837.7</v>
      </c>
      <c r="V103" s="7" t="n">
        <v>63601.2</v>
      </c>
      <c r="X103" s="7" t="n">
        <v>48880.1</v>
      </c>
      <c r="Z103" s="7" t="n">
        <v>32201.8</v>
      </c>
      <c r="AB103" s="7" t="n">
        <v>602296.1</v>
      </c>
    </row>
    <row r="104">
      <c r="A104" s="4" t="inlineStr">
        <is>
          <t>工资</t>
        </is>
      </c>
      <c r="D104" s="7" t="n">
        <v>21889.2</v>
      </c>
      <c r="F104" s="7" t="n">
        <v>33623.7</v>
      </c>
      <c r="H104" s="7" t="n">
        <v>16273.7</v>
      </c>
      <c r="J104" s="7" t="n">
        <v>40050.8</v>
      </c>
      <c r="L104" s="7" t="n">
        <v>50024</v>
      </c>
      <c r="N104" s="7" t="n">
        <v>14521.3</v>
      </c>
      <c r="P104" s="7" t="n">
        <v>30935.3</v>
      </c>
      <c r="R104" s="7" t="n">
        <v>25451.3</v>
      </c>
      <c r="T104" s="7" t="n">
        <v>23232.3</v>
      </c>
      <c r="V104" s="7" t="n">
        <v>30965.6</v>
      </c>
      <c r="X104" s="7" t="n">
        <v>29986.8</v>
      </c>
      <c r="Z104" s="7" t="n">
        <v>18232.6</v>
      </c>
      <c r="AB104" s="7" t="n">
        <v>335186.6</v>
      </c>
    </row>
    <row r="105">
      <c r="A105" s="4" t="inlineStr">
        <is>
          <t>奖金及提成</t>
        </is>
      </c>
      <c r="D105" s="7" t="n">
        <v>6223.1</v>
      </c>
      <c r="F105" s="7" t="n">
        <v>9274.200000000001</v>
      </c>
      <c r="H105" s="7" t="n">
        <v>7455.6</v>
      </c>
      <c r="J105" s="7" t="n">
        <v>9729.700000000001</v>
      </c>
      <c r="L105" s="7" t="n">
        <v>19293.3</v>
      </c>
      <c r="N105" s="7" t="n">
        <v>7904.7</v>
      </c>
      <c r="P105" s="7" t="n">
        <v>13178.1</v>
      </c>
      <c r="R105" s="7" t="n">
        <v>10181.6</v>
      </c>
      <c r="T105" s="7" t="n">
        <v>8169.2</v>
      </c>
      <c r="V105" s="7" t="n">
        <v>15369.4</v>
      </c>
      <c r="X105" s="7" t="n">
        <v>8727.200000000001</v>
      </c>
      <c r="Z105" s="7" t="n">
        <v>5875.9</v>
      </c>
      <c r="AB105" s="7" t="n">
        <v>121382</v>
      </c>
    </row>
    <row r="106">
      <c r="A106" s="4" t="inlineStr">
        <is>
          <t>社保</t>
        </is>
      </c>
      <c r="D106" s="7" t="n">
        <v>4834</v>
      </c>
      <c r="F106" s="7" t="n">
        <v>8257.5</v>
      </c>
      <c r="H106" s="7" t="n">
        <v>7554.6</v>
      </c>
      <c r="J106" s="7" t="n">
        <v>7749.5</v>
      </c>
      <c r="L106" s="7" t="n">
        <v>17702.6</v>
      </c>
      <c r="N106" s="7" t="n">
        <v>4533.1</v>
      </c>
      <c r="P106" s="7" t="n">
        <v>11931.7</v>
      </c>
      <c r="R106" s="7" t="n">
        <v>8322.6</v>
      </c>
      <c r="T106" s="7" t="n">
        <v>8115.6</v>
      </c>
      <c r="V106" s="7" t="n">
        <v>12583.9</v>
      </c>
      <c r="X106" s="7" t="n">
        <v>7479.7</v>
      </c>
      <c r="Z106" s="7" t="n">
        <v>5522.5</v>
      </c>
      <c r="AB106" s="7" t="n">
        <v>104587.3</v>
      </c>
    </row>
    <row r="107">
      <c r="A107" s="4" t="inlineStr">
        <is>
          <t>养老</t>
        </is>
      </c>
      <c r="D107" s="7" t="n">
        <v>174.9</v>
      </c>
      <c r="F107" s="7" t="n">
        <v>278.2</v>
      </c>
      <c r="H107" s="7" t="n">
        <v>278.1</v>
      </c>
      <c r="J107" s="7" t="n">
        <v>467.3</v>
      </c>
      <c r="L107" s="7" t="n">
        <v>472.9</v>
      </c>
      <c r="N107" s="7" t="n">
        <v>189.1</v>
      </c>
      <c r="P107" s="7" t="n">
        <v>417.7</v>
      </c>
      <c r="R107" s="7" t="n">
        <v>273.6</v>
      </c>
      <c r="T107" s="7" t="n">
        <v>345.6</v>
      </c>
      <c r="V107" s="7" t="n">
        <v>427.9</v>
      </c>
      <c r="X107" s="7" t="n">
        <v>353.8</v>
      </c>
      <c r="Z107" s="7" t="n">
        <v>229.5</v>
      </c>
      <c r="AB107" s="7" t="n">
        <v>3908.6</v>
      </c>
    </row>
    <row r="108">
      <c r="A108" s="4" t="inlineStr">
        <is>
          <t>医疗</t>
        </is>
      </c>
      <c r="D108" s="7" t="n">
        <v>257.1</v>
      </c>
      <c r="F108" s="7" t="n">
        <v>190.6</v>
      </c>
      <c r="H108" s="7" t="n">
        <v>262.7</v>
      </c>
      <c r="J108" s="7" t="n">
        <v>307.9</v>
      </c>
      <c r="L108" s="7" t="n">
        <v>480.8</v>
      </c>
      <c r="N108" s="7" t="n">
        <v>240.2</v>
      </c>
      <c r="P108" s="7" t="n">
        <v>468</v>
      </c>
      <c r="R108" s="7" t="n">
        <v>244.9</v>
      </c>
      <c r="T108" s="7" t="n">
        <v>339.4</v>
      </c>
      <c r="V108" s="7" t="n">
        <v>341.4</v>
      </c>
      <c r="X108" s="7" t="n">
        <v>172.5</v>
      </c>
      <c r="Z108" s="7" t="n">
        <v>248.6</v>
      </c>
      <c r="AB108" s="7" t="n">
        <v>3554.1</v>
      </c>
    </row>
    <row r="109">
      <c r="A109" s="4" t="inlineStr">
        <is>
          <t>工伤</t>
        </is>
      </c>
      <c r="D109" s="7" t="n">
        <v>171.4</v>
      </c>
      <c r="F109" s="7" t="n">
        <v>163.2</v>
      </c>
      <c r="H109" s="7" t="n">
        <v>212.5</v>
      </c>
      <c r="J109" s="7" t="n">
        <v>252.9</v>
      </c>
      <c r="L109" s="7" t="n">
        <v>490.6</v>
      </c>
      <c r="N109" s="7" t="n">
        <v>141.4</v>
      </c>
      <c r="P109" s="7" t="n">
        <v>245</v>
      </c>
      <c r="R109" s="7" t="n">
        <v>308.6</v>
      </c>
      <c r="T109" s="7" t="n">
        <v>233</v>
      </c>
      <c r="V109" s="7" t="n">
        <v>307.5</v>
      </c>
      <c r="X109" s="7" t="n">
        <v>149.8</v>
      </c>
      <c r="Z109" s="7" t="n">
        <v>141.5</v>
      </c>
      <c r="AB109" s="7" t="n">
        <v>2817.4</v>
      </c>
    </row>
    <row r="110">
      <c r="A110" s="4" t="inlineStr">
        <is>
          <t>失业</t>
        </is>
      </c>
      <c r="D110" s="7" t="n">
        <v>310.2</v>
      </c>
      <c r="F110" s="7" t="n">
        <v>445.9</v>
      </c>
      <c r="H110" s="7" t="n">
        <v>360.3</v>
      </c>
      <c r="J110" s="7" t="n">
        <v>353.3</v>
      </c>
      <c r="L110" s="7" t="n">
        <v>942.6</v>
      </c>
      <c r="N110" s="7" t="n">
        <v>294.4</v>
      </c>
      <c r="P110" s="7" t="n">
        <v>636.5</v>
      </c>
      <c r="R110" s="7" t="n">
        <v>378.1</v>
      </c>
      <c r="T110" s="7" t="n">
        <v>522.8</v>
      </c>
      <c r="V110" s="7" t="n">
        <v>756.4</v>
      </c>
      <c r="X110" s="7" t="n">
        <v>310.1</v>
      </c>
      <c r="Z110" s="7" t="n">
        <v>393.4</v>
      </c>
      <c r="AB110" s="7" t="n">
        <v>5704</v>
      </c>
    </row>
    <row r="111">
      <c r="A111" s="4" t="inlineStr">
        <is>
          <t>生育</t>
        </is>
      </c>
      <c r="D111" s="7" t="n">
        <v>548.8</v>
      </c>
      <c r="F111" s="7" t="n">
        <v>555.7</v>
      </c>
      <c r="H111" s="7" t="n">
        <v>375.1</v>
      </c>
      <c r="J111" s="7" t="n">
        <v>864.1</v>
      </c>
      <c r="L111" s="7" t="n">
        <v>799.3</v>
      </c>
      <c r="N111" s="7" t="n">
        <v>360.2</v>
      </c>
      <c r="P111" s="7" t="n">
        <v>829.6</v>
      </c>
      <c r="R111" s="7" t="n">
        <v>592.6</v>
      </c>
      <c r="T111" s="7" t="n">
        <v>787.6</v>
      </c>
      <c r="V111" s="7" t="n">
        <v>975.1</v>
      </c>
      <c r="X111" s="7" t="n">
        <v>690.5</v>
      </c>
      <c r="Z111" s="7" t="n">
        <v>357.4</v>
      </c>
      <c r="AB111" s="7" t="n">
        <v>7736</v>
      </c>
    </row>
    <row r="112">
      <c r="A112" s="4" t="inlineStr">
        <is>
          <t>公积金</t>
        </is>
      </c>
      <c r="D112" s="7" t="n">
        <v>147.4</v>
      </c>
      <c r="F112" s="7" t="n">
        <v>285.5</v>
      </c>
      <c r="H112" s="7" t="n">
        <v>234.8</v>
      </c>
      <c r="J112" s="7" t="n">
        <v>342.1</v>
      </c>
      <c r="L112" s="7" t="n">
        <v>612.4</v>
      </c>
      <c r="N112" s="7" t="n">
        <v>151.1</v>
      </c>
      <c r="P112" s="7" t="n">
        <v>397.1</v>
      </c>
      <c r="R112" s="7" t="n">
        <v>306.8</v>
      </c>
      <c r="T112" s="7" t="n">
        <v>247.9</v>
      </c>
      <c r="V112" s="7" t="n">
        <v>314.6</v>
      </c>
      <c r="X112" s="7" t="n">
        <v>274.4</v>
      </c>
      <c r="Z112" s="7" t="n">
        <v>152.3</v>
      </c>
      <c r="AB112" s="7" t="n">
        <v>3466.4</v>
      </c>
    </row>
    <row r="113">
      <c r="A113" s="4" t="inlineStr">
        <is>
          <t>工会经费</t>
        </is>
      </c>
      <c r="D113" s="7" t="n">
        <v>380.9</v>
      </c>
      <c r="F113" s="7" t="n">
        <v>693.9</v>
      </c>
      <c r="H113" s="7" t="n">
        <v>368.1</v>
      </c>
      <c r="J113" s="7" t="n">
        <v>775.7</v>
      </c>
      <c r="L113" s="7" t="n">
        <v>1433</v>
      </c>
      <c r="N113" s="7" t="n">
        <v>331.9</v>
      </c>
      <c r="P113" s="7" t="n">
        <v>768.6</v>
      </c>
      <c r="R113" s="7" t="n">
        <v>730.6</v>
      </c>
      <c r="T113" s="7" t="n">
        <v>719.9</v>
      </c>
      <c r="V113" s="7" t="n">
        <v>639.4</v>
      </c>
      <c r="X113" s="7" t="n">
        <v>413.3</v>
      </c>
      <c r="Z113" s="7" t="n">
        <v>427.1</v>
      </c>
      <c r="AB113" s="7" t="n">
        <v>7682.4</v>
      </c>
    </row>
    <row r="114">
      <c r="A114" s="4" t="inlineStr">
        <is>
          <t>职工教育经费</t>
        </is>
      </c>
      <c r="D114" s="7" t="n">
        <v>50.5</v>
      </c>
      <c r="F114" s="7" t="n">
        <v>58.8</v>
      </c>
      <c r="H114" s="7" t="n">
        <v>55.5</v>
      </c>
      <c r="J114" s="7" t="n">
        <v>63.5</v>
      </c>
      <c r="L114" s="7" t="n">
        <v>93.40000000000001</v>
      </c>
      <c r="N114" s="7" t="n">
        <v>51.2</v>
      </c>
      <c r="P114" s="7" t="n">
        <v>82.40000000000001</v>
      </c>
      <c r="R114" s="7" t="n">
        <v>52.4</v>
      </c>
      <c r="T114" s="7" t="n">
        <v>85.40000000000001</v>
      </c>
      <c r="V114" s="7" t="n">
        <v>120.1</v>
      </c>
      <c r="X114" s="7" t="n">
        <v>51.7</v>
      </c>
      <c r="Z114" s="7" t="n">
        <v>44.3</v>
      </c>
      <c r="AB114" s="7" t="n">
        <v>809.2</v>
      </c>
    </row>
    <row r="115">
      <c r="A115" s="4" t="inlineStr">
        <is>
          <t>福利费</t>
        </is>
      </c>
      <c r="D115" s="7" t="n">
        <v>1665</v>
      </c>
      <c r="F115" s="7" t="n">
        <v>2084.2</v>
      </c>
      <c r="H115" s="7" t="n">
        <v>1694</v>
      </c>
      <c r="J115" s="7" t="n">
        <v>2659.7</v>
      </c>
      <c r="L115" s="7" t="n">
        <v>4657.6</v>
      </c>
      <c r="N115" s="7" t="n">
        <v>1437.9</v>
      </c>
      <c r="P115" s="7" t="n">
        <v>3019.5</v>
      </c>
      <c r="R115" s="7" t="n">
        <v>2194.6</v>
      </c>
      <c r="T115" s="7" t="n">
        <v>2267.4</v>
      </c>
      <c r="V115" s="7" t="n">
        <v>3608.2</v>
      </c>
      <c r="X115" s="7" t="n">
        <v>1947</v>
      </c>
      <c r="Z115" s="7" t="n">
        <v>1947.1</v>
      </c>
      <c r="AB115" s="7" t="n">
        <v>29182.2</v>
      </c>
    </row>
    <row r="116">
      <c r="A116" s="4" t="inlineStr">
        <is>
          <t>职工房租</t>
        </is>
      </c>
      <c r="D116" s="7" t="n">
        <v>483.9</v>
      </c>
      <c r="F116" s="7" t="n">
        <v>616.1</v>
      </c>
      <c r="H116" s="7" t="n">
        <v>451.9</v>
      </c>
      <c r="J116" s="7" t="n">
        <v>857.9</v>
      </c>
      <c r="L116" s="7" t="n">
        <v>1287.6</v>
      </c>
      <c r="N116" s="7" t="n">
        <v>522.2</v>
      </c>
      <c r="P116" s="7" t="n">
        <v>1052.9</v>
      </c>
      <c r="R116" s="7" t="n">
        <v>653.5</v>
      </c>
      <c r="T116" s="7" t="n">
        <v>698.1</v>
      </c>
      <c r="V116" s="7" t="n">
        <v>1142.5</v>
      </c>
      <c r="X116" s="7" t="n">
        <v>482.3</v>
      </c>
      <c r="Z116" s="7" t="n">
        <v>565.8</v>
      </c>
      <c r="AB116" s="7" t="n">
        <v>8814.700000000001</v>
      </c>
    </row>
    <row r="117">
      <c r="A117" s="4" t="inlineStr">
        <is>
          <t>水电物业费</t>
        </is>
      </c>
      <c r="D117" s="7" t="n">
        <v>107.2</v>
      </c>
      <c r="F117" s="7" t="n">
        <v>161.6</v>
      </c>
      <c r="H117" s="7" t="n">
        <v>129.6</v>
      </c>
      <c r="J117" s="7" t="n">
        <v>233.4</v>
      </c>
      <c r="L117" s="7" t="n">
        <v>417.9</v>
      </c>
      <c r="N117" s="7" t="n">
        <v>90.09999999999999</v>
      </c>
      <c r="P117" s="7" t="n">
        <v>173.3</v>
      </c>
      <c r="R117" s="7" t="n">
        <v>224.4</v>
      </c>
      <c r="T117" s="7" t="n">
        <v>150.8</v>
      </c>
      <c r="V117" s="7" t="n">
        <v>258.4</v>
      </c>
      <c r="X117" s="7" t="n">
        <v>162</v>
      </c>
      <c r="Z117" s="7" t="n">
        <v>151.6</v>
      </c>
      <c r="AB117" s="7" t="n">
        <v>2260.3</v>
      </c>
    </row>
    <row r="118">
      <c r="A118" s="4" t="inlineStr">
        <is>
          <t>员工餐</t>
        </is>
      </c>
      <c r="D118" s="7" t="n">
        <v>55.5</v>
      </c>
      <c r="F118" s="7" t="n">
        <v>68.2</v>
      </c>
      <c r="H118" s="7" t="n">
        <v>53.2</v>
      </c>
      <c r="J118" s="7" t="n">
        <v>88</v>
      </c>
      <c r="L118" s="7" t="n">
        <v>113</v>
      </c>
      <c r="N118" s="7" t="n">
        <v>45.8</v>
      </c>
      <c r="P118" s="7" t="n">
        <v>107.8</v>
      </c>
      <c r="R118" s="7" t="n">
        <v>66.40000000000001</v>
      </c>
      <c r="T118" s="7" t="n">
        <v>71.3</v>
      </c>
      <c r="V118" s="7" t="n">
        <v>103</v>
      </c>
      <c r="X118" s="7" t="n">
        <v>68.09999999999999</v>
      </c>
      <c r="Z118" s="7" t="n">
        <v>66.09999999999999</v>
      </c>
      <c r="AB118" s="7" t="n">
        <v>906.4</v>
      </c>
    </row>
    <row r="119">
      <c r="A119" s="4" t="inlineStr">
        <is>
          <t>节日礼品</t>
        </is>
      </c>
      <c r="D119" s="7" t="n">
        <v>202.6</v>
      </c>
      <c r="F119" s="7" t="n">
        <v>388.7</v>
      </c>
      <c r="H119" s="7" t="n">
        <v>260.4</v>
      </c>
      <c r="J119" s="7" t="n">
        <v>447.2</v>
      </c>
      <c r="L119" s="7" t="n">
        <v>839.8</v>
      </c>
      <c r="N119" s="7" t="n">
        <v>238.9</v>
      </c>
      <c r="P119" s="7" t="n">
        <v>445.1</v>
      </c>
      <c r="R119" s="7" t="n">
        <v>453.7</v>
      </c>
      <c r="T119" s="7" t="n">
        <v>337.9</v>
      </c>
      <c r="V119" s="7" t="n">
        <v>634.3</v>
      </c>
      <c r="X119" s="7" t="n">
        <v>388.3</v>
      </c>
      <c r="Z119" s="7" t="n">
        <v>300.4</v>
      </c>
      <c r="AB119" s="7" t="n">
        <v>4937.3</v>
      </c>
    </row>
    <row r="120">
      <c r="A120" s="4" t="inlineStr">
        <is>
          <t>生日礼品</t>
        </is>
      </c>
      <c r="D120" s="7" t="n">
        <v>301.8</v>
      </c>
      <c r="F120" s="7" t="n">
        <v>362</v>
      </c>
      <c r="H120" s="7" t="n">
        <v>277.9</v>
      </c>
      <c r="J120" s="7" t="n">
        <v>429.3</v>
      </c>
      <c r="L120" s="7" t="n">
        <v>676.2</v>
      </c>
      <c r="N120" s="7" t="n">
        <v>162.9</v>
      </c>
      <c r="P120" s="7" t="n">
        <v>449.1</v>
      </c>
      <c r="R120" s="7" t="n">
        <v>256.7</v>
      </c>
      <c r="T120" s="7" t="n">
        <v>428.2</v>
      </c>
      <c r="V120" s="7" t="n">
        <v>372.9</v>
      </c>
      <c r="X120" s="7" t="n">
        <v>364.6</v>
      </c>
      <c r="Z120" s="7" t="n">
        <v>308.7</v>
      </c>
      <c r="AB120" s="7" t="n">
        <v>4390.3</v>
      </c>
    </row>
    <row r="121">
      <c r="A121" s="4" t="inlineStr">
        <is>
          <t>体检</t>
        </is>
      </c>
      <c r="D121" s="7" t="n">
        <v>402.8</v>
      </c>
      <c r="F121" s="7" t="n">
        <v>362.1</v>
      </c>
      <c r="H121" s="7" t="n">
        <v>428.7</v>
      </c>
      <c r="J121" s="7" t="n">
        <v>465.2</v>
      </c>
      <c r="L121" s="7" t="n">
        <v>1099.5</v>
      </c>
      <c r="N121" s="7" t="n">
        <v>269.6</v>
      </c>
      <c r="P121" s="7" t="n">
        <v>582.6</v>
      </c>
      <c r="R121" s="7" t="n">
        <v>365.2</v>
      </c>
      <c r="T121" s="7" t="n">
        <v>459.3</v>
      </c>
      <c r="V121" s="7" t="n">
        <v>886.7</v>
      </c>
      <c r="X121" s="7" t="n">
        <v>348.3</v>
      </c>
      <c r="Z121" s="7" t="n">
        <v>428.7</v>
      </c>
      <c r="AB121" s="7" t="n">
        <v>6098.7</v>
      </c>
    </row>
    <row r="122">
      <c r="A122" s="4" t="inlineStr">
        <is>
          <t>其他福利支出</t>
        </is>
      </c>
      <c r="D122" s="7" t="n">
        <v>111.2</v>
      </c>
      <c r="F122" s="7" t="n">
        <v>125.5</v>
      </c>
      <c r="H122" s="7" t="n">
        <v>92.3</v>
      </c>
      <c r="J122" s="7" t="n">
        <v>138.7</v>
      </c>
      <c r="L122" s="7" t="n">
        <v>223.6</v>
      </c>
      <c r="N122" s="7" t="n">
        <v>108.4</v>
      </c>
      <c r="P122" s="7" t="n">
        <v>208.7</v>
      </c>
      <c r="R122" s="7" t="n">
        <v>174.7</v>
      </c>
      <c r="T122" s="7" t="n">
        <v>121.8</v>
      </c>
      <c r="V122" s="7" t="n">
        <v>210.4</v>
      </c>
      <c r="X122" s="7" t="n">
        <v>133.4</v>
      </c>
      <c r="Z122" s="7" t="n">
        <v>125.8</v>
      </c>
      <c r="AB122" s="7" t="n">
        <v>1774.5</v>
      </c>
    </row>
    <row r="123">
      <c r="A123" s="4" t="inlineStr">
        <is>
          <t>招聘费</t>
        </is>
      </c>
      <c r="D123" s="7" t="n">
        <v>124.4</v>
      </c>
      <c r="F123" s="7" t="n">
        <v>100.9</v>
      </c>
      <c r="H123" s="7" t="n">
        <v>127.3</v>
      </c>
      <c r="J123" s="7" t="n">
        <v>173.6</v>
      </c>
      <c r="L123" s="7" t="n">
        <v>237.3</v>
      </c>
      <c r="N123" s="7" t="n">
        <v>98.90000000000001</v>
      </c>
      <c r="P123" s="7" t="n">
        <v>152.6</v>
      </c>
      <c r="R123" s="7" t="n">
        <v>145.4</v>
      </c>
      <c r="T123" s="7" t="n">
        <v>126.3</v>
      </c>
      <c r="V123" s="7" t="n">
        <v>240.4</v>
      </c>
      <c r="X123" s="7" t="n">
        <v>115.4</v>
      </c>
      <c r="Z123" s="7" t="n">
        <v>134.7</v>
      </c>
      <c r="AB123" s="7" t="n">
        <v>1777.2</v>
      </c>
    </row>
    <row r="124">
      <c r="A124" s="4" t="inlineStr">
        <is>
          <t>办公费</t>
        </is>
      </c>
      <c r="D124" s="7" t="n">
        <v>2585.6</v>
      </c>
      <c r="F124" s="7" t="n">
        <v>3074.6</v>
      </c>
      <c r="H124" s="7" t="n">
        <v>2881</v>
      </c>
      <c r="J124" s="7" t="n">
        <v>2878</v>
      </c>
      <c r="L124" s="7" t="n">
        <v>4120.5</v>
      </c>
      <c r="N124" s="7" t="n">
        <v>2090.3</v>
      </c>
      <c r="P124" s="7" t="n">
        <v>4705.3</v>
      </c>
      <c r="R124" s="7" t="n">
        <v>3522.7</v>
      </c>
      <c r="T124" s="7" t="n">
        <v>3063.9</v>
      </c>
      <c r="V124" s="7" t="n">
        <v>4960.1</v>
      </c>
      <c r="X124" s="7" t="n">
        <v>2606.5</v>
      </c>
      <c r="Z124" s="7" t="n">
        <v>2147.3</v>
      </c>
      <c r="AB124" s="7" t="n">
        <v>38635.8</v>
      </c>
    </row>
    <row r="125">
      <c r="A125" s="4" t="inlineStr">
        <is>
          <t>市内交通费</t>
        </is>
      </c>
      <c r="D125" s="7" t="n">
        <v>260.3</v>
      </c>
      <c r="F125" s="7" t="n">
        <v>305.9</v>
      </c>
      <c r="H125" s="7" t="n">
        <v>363.6</v>
      </c>
      <c r="J125" s="7" t="n">
        <v>600.4</v>
      </c>
      <c r="L125" s="7" t="n">
        <v>770.2</v>
      </c>
      <c r="N125" s="7" t="n">
        <v>259.9</v>
      </c>
      <c r="P125" s="7" t="n">
        <v>648.9</v>
      </c>
      <c r="R125" s="7" t="n">
        <v>487.6</v>
      </c>
      <c r="T125" s="7" t="n">
        <v>421.7</v>
      </c>
      <c r="V125" s="7" t="n">
        <v>818.7</v>
      </c>
      <c r="X125" s="7" t="n">
        <v>295.3</v>
      </c>
      <c r="Z125" s="7" t="n">
        <v>443</v>
      </c>
      <c r="AB125" s="7" t="n">
        <v>5675.5</v>
      </c>
    </row>
    <row r="126">
      <c r="A126" s="4" t="inlineStr">
        <is>
          <t>差旅费</t>
        </is>
      </c>
      <c r="D126" s="7" t="n">
        <v>4967.6</v>
      </c>
      <c r="F126" s="7" t="n">
        <v>6573.8</v>
      </c>
      <c r="H126" s="7" t="n">
        <v>3958.6</v>
      </c>
      <c r="J126" s="7" t="n">
        <v>6712</v>
      </c>
      <c r="L126" s="7" t="n">
        <v>8052.3</v>
      </c>
      <c r="N126" s="7" t="n">
        <v>5179.1</v>
      </c>
      <c r="P126" s="7" t="n">
        <v>7296.3</v>
      </c>
      <c r="R126" s="7" t="n">
        <v>4556.6</v>
      </c>
      <c r="T126" s="7" t="n">
        <v>6083.5</v>
      </c>
      <c r="V126" s="7" t="n">
        <v>9460</v>
      </c>
      <c r="X126" s="7" t="n">
        <v>4404.4</v>
      </c>
      <c r="Z126" s="7" t="n">
        <v>4559.4</v>
      </c>
      <c r="AB126" s="7" t="n">
        <v>71803.60000000001</v>
      </c>
    </row>
    <row r="127">
      <c r="A127" s="4" t="inlineStr">
        <is>
          <t>交通费</t>
        </is>
      </c>
      <c r="D127" s="7" t="n">
        <v>490.9</v>
      </c>
      <c r="F127" s="7" t="n">
        <v>411.5</v>
      </c>
      <c r="H127" s="7" t="n">
        <v>343.7</v>
      </c>
      <c r="J127" s="7" t="n">
        <v>638.6</v>
      </c>
      <c r="L127" s="7" t="n">
        <v>811.8</v>
      </c>
      <c r="N127" s="7" t="n">
        <v>256.7</v>
      </c>
      <c r="P127" s="7" t="n">
        <v>582.3</v>
      </c>
      <c r="R127" s="7" t="n">
        <v>408.1</v>
      </c>
      <c r="T127" s="7" t="n">
        <v>574.7</v>
      </c>
      <c r="V127" s="7" t="n">
        <v>941.5</v>
      </c>
      <c r="X127" s="7" t="n">
        <v>440.3</v>
      </c>
      <c r="Z127" s="7" t="n">
        <v>429.4</v>
      </c>
      <c r="AB127" s="7" t="n">
        <v>6329.5</v>
      </c>
    </row>
    <row r="128">
      <c r="A128" s="4" t="inlineStr">
        <is>
          <t>住宿费</t>
        </is>
      </c>
      <c r="D128" s="7" t="n">
        <v>245.8</v>
      </c>
      <c r="F128" s="7" t="n">
        <v>400.3</v>
      </c>
      <c r="H128" s="7" t="n">
        <v>294.1</v>
      </c>
      <c r="J128" s="7" t="n">
        <v>430.4</v>
      </c>
      <c r="L128" s="7" t="n">
        <v>822.7</v>
      </c>
      <c r="N128" s="7" t="n">
        <v>318.5</v>
      </c>
      <c r="P128" s="7" t="n">
        <v>538.6</v>
      </c>
      <c r="R128" s="7" t="n">
        <v>438.9</v>
      </c>
      <c r="T128" s="7" t="n">
        <v>473.3</v>
      </c>
      <c r="V128" s="7" t="n">
        <v>630.8</v>
      </c>
      <c r="X128" s="7" t="n">
        <v>271.5</v>
      </c>
      <c r="Z128" s="7" t="n">
        <v>261.9</v>
      </c>
      <c r="AB128" s="7" t="n">
        <v>5126.8</v>
      </c>
    </row>
    <row r="129">
      <c r="A129" s="4" t="inlineStr">
        <is>
          <t>餐补</t>
        </is>
      </c>
      <c r="D129" s="7" t="n">
        <v>518.8</v>
      </c>
      <c r="F129" s="7" t="n">
        <v>468.1</v>
      </c>
      <c r="H129" s="7" t="n">
        <v>406.2</v>
      </c>
      <c r="J129" s="7" t="n">
        <v>807.7</v>
      </c>
      <c r="L129" s="7" t="n">
        <v>825.2</v>
      </c>
      <c r="N129" s="7" t="n">
        <v>476.6</v>
      </c>
      <c r="P129" s="7" t="n">
        <v>960.2</v>
      </c>
      <c r="R129" s="7" t="n">
        <v>524.7</v>
      </c>
      <c r="T129" s="7" t="n">
        <v>595</v>
      </c>
      <c r="V129" s="7" t="n">
        <v>657.2</v>
      </c>
      <c r="X129" s="7" t="n">
        <v>646</v>
      </c>
      <c r="Z129" s="7" t="n">
        <v>526.7</v>
      </c>
      <c r="AB129" s="7" t="n">
        <v>7412.4</v>
      </c>
    </row>
    <row r="130">
      <c r="A130" s="4" t="inlineStr">
        <is>
          <t>交通补助</t>
        </is>
      </c>
      <c r="D130" s="7" t="n">
        <v>228.4</v>
      </c>
      <c r="F130" s="7" t="n">
        <v>262.7</v>
      </c>
      <c r="H130" s="7" t="n">
        <v>296.7</v>
      </c>
      <c r="J130" s="7" t="n">
        <v>379.5</v>
      </c>
      <c r="L130" s="7" t="n">
        <v>674.7</v>
      </c>
      <c r="N130" s="7" t="n">
        <v>249.9</v>
      </c>
      <c r="P130" s="7" t="n">
        <v>455.6</v>
      </c>
      <c r="R130" s="7" t="n">
        <v>360.1</v>
      </c>
      <c r="T130" s="7" t="n">
        <v>423.4</v>
      </c>
      <c r="V130" s="7" t="n">
        <v>466.8</v>
      </c>
      <c r="X130" s="7" t="n">
        <v>295.2</v>
      </c>
      <c r="Z130" s="7" t="n">
        <v>185.7</v>
      </c>
      <c r="AB130" s="7" t="n">
        <v>4278.7</v>
      </c>
    </row>
    <row r="131">
      <c r="A131" s="4" t="inlineStr">
        <is>
          <t>通讯补助</t>
        </is>
      </c>
      <c r="D131" s="7" t="n">
        <v>282.1</v>
      </c>
      <c r="F131" s="7" t="n">
        <v>346.9</v>
      </c>
      <c r="H131" s="7" t="n">
        <v>388.6</v>
      </c>
      <c r="J131" s="7" t="n">
        <v>349.7</v>
      </c>
      <c r="L131" s="7" t="n">
        <v>752.9</v>
      </c>
      <c r="N131" s="7" t="n">
        <v>279</v>
      </c>
      <c r="P131" s="7" t="n">
        <v>375.4</v>
      </c>
      <c r="R131" s="7" t="n">
        <v>386.5</v>
      </c>
      <c r="T131" s="7" t="n">
        <v>488.1</v>
      </c>
      <c r="V131" s="7" t="n">
        <v>458.5</v>
      </c>
      <c r="X131" s="7" t="n">
        <v>382.3</v>
      </c>
      <c r="Z131" s="7" t="n">
        <v>228.7</v>
      </c>
      <c r="AB131" s="7" t="n">
        <v>4718.7</v>
      </c>
    </row>
    <row r="132">
      <c r="A132" s="4" t="inlineStr">
        <is>
          <t>招待费</t>
        </is>
      </c>
      <c r="D132" s="7" t="n">
        <v>3151.7</v>
      </c>
      <c r="F132" s="7" t="n">
        <v>3704.7</v>
      </c>
      <c r="H132" s="7" t="n">
        <v>3819.7</v>
      </c>
      <c r="J132" s="7" t="n">
        <v>4880.9</v>
      </c>
      <c r="L132" s="7" t="n">
        <v>8082.2</v>
      </c>
      <c r="N132" s="7" t="n">
        <v>2642</v>
      </c>
      <c r="P132" s="7" t="n">
        <v>5655.2</v>
      </c>
      <c r="R132" s="7" t="n">
        <v>5307</v>
      </c>
      <c r="T132" s="7" t="n">
        <v>5092.2</v>
      </c>
      <c r="V132" s="7" t="n">
        <v>4751.4</v>
      </c>
      <c r="X132" s="7" t="n">
        <v>3299.8</v>
      </c>
      <c r="Z132" s="7" t="n">
        <v>3120</v>
      </c>
      <c r="AB132" s="7" t="n">
        <v>53506.8</v>
      </c>
    </row>
    <row r="133">
      <c r="A133" s="4" t="inlineStr">
        <is>
          <t>通讯费</t>
        </is>
      </c>
      <c r="D133" s="7" t="n">
        <v>276.8</v>
      </c>
      <c r="F133" s="7" t="n">
        <v>409.8</v>
      </c>
      <c r="H133" s="7" t="n">
        <v>408.2</v>
      </c>
      <c r="J133" s="7" t="n">
        <v>602.1</v>
      </c>
      <c r="L133" s="7" t="n">
        <v>623.2</v>
      </c>
      <c r="N133" s="7" t="n">
        <v>300.8</v>
      </c>
      <c r="P133" s="7" t="n">
        <v>617.8</v>
      </c>
      <c r="R133" s="7" t="n">
        <v>412.1</v>
      </c>
      <c r="T133" s="7" t="n">
        <v>307</v>
      </c>
      <c r="V133" s="7" t="n">
        <v>675.5</v>
      </c>
      <c r="X133" s="7" t="n">
        <v>423.6</v>
      </c>
      <c r="Z133" s="7" t="n">
        <v>308.6</v>
      </c>
      <c r="AB133" s="7" t="n">
        <v>5365.5</v>
      </c>
    </row>
    <row r="134">
      <c r="A134" s="4" t="inlineStr">
        <is>
          <t>网络费</t>
        </is>
      </c>
      <c r="D134" s="7" t="n">
        <v>70.3</v>
      </c>
      <c r="F134" s="7" t="n">
        <v>74.5</v>
      </c>
      <c r="H134" s="7" t="n">
        <v>60.1</v>
      </c>
      <c r="J134" s="7" t="n">
        <v>95.90000000000001</v>
      </c>
      <c r="L134" s="7" t="n">
        <v>160.2</v>
      </c>
      <c r="N134" s="7" t="n">
        <v>44.3</v>
      </c>
      <c r="P134" s="7" t="n">
        <v>104.9</v>
      </c>
      <c r="R134" s="7" t="n">
        <v>95</v>
      </c>
      <c r="T134" s="7" t="n">
        <v>62.5</v>
      </c>
      <c r="V134" s="7" t="n">
        <v>90.90000000000001</v>
      </c>
      <c r="X134" s="7" t="n">
        <v>72.59999999999999</v>
      </c>
      <c r="Z134" s="7" t="n">
        <v>59.7</v>
      </c>
      <c r="AB134" s="7" t="n">
        <v>990.9</v>
      </c>
    </row>
    <row r="135">
      <c r="A135" s="4" t="inlineStr">
        <is>
          <t>修理费</t>
        </is>
      </c>
      <c r="D135" s="7" t="n">
        <v>41.1</v>
      </c>
      <c r="F135" s="7" t="n">
        <v>88.3</v>
      </c>
      <c r="H135" s="7" t="n">
        <v>61.6</v>
      </c>
      <c r="J135" s="7" t="n">
        <v>106.8</v>
      </c>
      <c r="L135" s="7" t="n">
        <v>130.9</v>
      </c>
      <c r="N135" s="7" t="n">
        <v>49.2</v>
      </c>
      <c r="P135" s="7" t="n">
        <v>110.3</v>
      </c>
      <c r="R135" s="7" t="n">
        <v>64.3</v>
      </c>
      <c r="T135" s="7" t="n">
        <v>70</v>
      </c>
      <c r="V135" s="7" t="n">
        <v>85</v>
      </c>
      <c r="X135" s="7" t="n">
        <v>60.8</v>
      </c>
      <c r="Z135" s="7" t="n">
        <v>67.2</v>
      </c>
      <c r="AB135" s="7" t="n">
        <v>935.5</v>
      </c>
    </row>
    <row r="136">
      <c r="A136" s="4" t="inlineStr">
        <is>
          <t>车辆费</t>
        </is>
      </c>
      <c r="D136" s="7" t="n">
        <v>401.4</v>
      </c>
      <c r="F136" s="7" t="n">
        <v>415.5</v>
      </c>
      <c r="H136" s="7" t="n">
        <v>408.3</v>
      </c>
      <c r="J136" s="7" t="n">
        <v>517.3</v>
      </c>
      <c r="L136" s="7" t="n">
        <v>1333.2</v>
      </c>
      <c r="N136" s="7" t="n">
        <v>413.4</v>
      </c>
      <c r="P136" s="7" t="n">
        <v>656.2</v>
      </c>
      <c r="R136" s="7" t="n">
        <v>695.6</v>
      </c>
      <c r="T136" s="7" t="n">
        <v>576.2</v>
      </c>
      <c r="V136" s="7" t="n">
        <v>588.2</v>
      </c>
      <c r="X136" s="7" t="n">
        <v>520.8</v>
      </c>
      <c r="Z136" s="7" t="n">
        <v>566.6</v>
      </c>
      <c r="AB136" s="7" t="n">
        <v>7092.7</v>
      </c>
    </row>
    <row r="137">
      <c r="A137" s="4" t="inlineStr">
        <is>
          <t>租赁费</t>
        </is>
      </c>
      <c r="D137" s="7" t="n">
        <v>2561.2</v>
      </c>
      <c r="F137" s="7" t="n">
        <v>4106.5</v>
      </c>
      <c r="H137" s="7" t="n">
        <v>3015.6</v>
      </c>
      <c r="J137" s="7" t="n">
        <v>6860.6</v>
      </c>
      <c r="L137" s="7" t="n">
        <v>9111.5</v>
      </c>
      <c r="N137" s="7" t="n">
        <v>2333.8</v>
      </c>
      <c r="P137" s="7" t="n">
        <v>5861.9</v>
      </c>
      <c r="R137" s="7" t="n">
        <v>3755.9</v>
      </c>
      <c r="T137" s="7" t="n">
        <v>6125.6</v>
      </c>
      <c r="V137" s="7" t="n">
        <v>7435.6</v>
      </c>
      <c r="X137" s="7" t="n">
        <v>5162.4</v>
      </c>
      <c r="Z137" s="7" t="n">
        <v>4854.5</v>
      </c>
      <c r="AB137" s="7" t="n">
        <v>61185.1</v>
      </c>
    </row>
    <row r="138">
      <c r="A138" s="4" t="inlineStr">
        <is>
          <t>能源费</t>
        </is>
      </c>
      <c r="D138" s="7" t="n">
        <v>545.5</v>
      </c>
      <c r="F138" s="7" t="n">
        <v>654.7</v>
      </c>
      <c r="H138" s="7" t="n">
        <v>577.2</v>
      </c>
      <c r="J138" s="7" t="n">
        <v>828.6</v>
      </c>
      <c r="L138" s="7" t="n">
        <v>1471.3</v>
      </c>
      <c r="N138" s="7" t="n">
        <v>562.2</v>
      </c>
      <c r="P138" s="7" t="n">
        <v>1149.3</v>
      </c>
      <c r="R138" s="7" t="n">
        <v>872.3</v>
      </c>
      <c r="T138" s="7" t="n">
        <v>726.2</v>
      </c>
      <c r="V138" s="7" t="n">
        <v>1096.6</v>
      </c>
      <c r="X138" s="7" t="n">
        <v>577.4</v>
      </c>
      <c r="Z138" s="7" t="n">
        <v>583.4</v>
      </c>
      <c r="AB138" s="7" t="n">
        <v>9644.700000000001</v>
      </c>
    </row>
    <row r="139">
      <c r="A139" s="4" t="inlineStr">
        <is>
          <t>水费</t>
        </is>
      </c>
      <c r="D139" s="7" t="n">
        <v>64</v>
      </c>
      <c r="F139" s="7" t="n">
        <v>123.3</v>
      </c>
      <c r="H139" s="7" t="n">
        <v>62.9</v>
      </c>
      <c r="J139" s="7" t="n">
        <v>90.40000000000001</v>
      </c>
      <c r="L139" s="7" t="n">
        <v>213.2</v>
      </c>
      <c r="N139" s="7" t="n">
        <v>98.5</v>
      </c>
      <c r="P139" s="7" t="n">
        <v>185.3</v>
      </c>
      <c r="R139" s="7" t="n">
        <v>144.5</v>
      </c>
      <c r="T139" s="7" t="n">
        <v>101.7</v>
      </c>
      <c r="V139" s="7" t="n">
        <v>145.9</v>
      </c>
      <c r="X139" s="7" t="n">
        <v>89.90000000000001</v>
      </c>
      <c r="Z139" s="7" t="n">
        <v>71.7</v>
      </c>
      <c r="AB139" s="7" t="n">
        <v>1391.3</v>
      </c>
    </row>
    <row r="140">
      <c r="A140" s="4" t="inlineStr">
        <is>
          <t>电费</t>
        </is>
      </c>
      <c r="D140" s="7" t="n">
        <v>293.7</v>
      </c>
      <c r="F140" s="7" t="n">
        <v>301.8</v>
      </c>
      <c r="H140" s="7" t="n">
        <v>271.9</v>
      </c>
      <c r="J140" s="7" t="n">
        <v>473.9</v>
      </c>
      <c r="L140" s="7" t="n">
        <v>762.4</v>
      </c>
      <c r="N140" s="7" t="n">
        <v>285.1</v>
      </c>
      <c r="P140" s="7" t="n">
        <v>538.3</v>
      </c>
      <c r="R140" s="7" t="n">
        <v>366.7</v>
      </c>
      <c r="T140" s="7" t="n">
        <v>312.7</v>
      </c>
      <c r="V140" s="7" t="n">
        <v>471.9</v>
      </c>
      <c r="X140" s="7" t="n">
        <v>222.3</v>
      </c>
      <c r="Z140" s="7" t="n">
        <v>267.7</v>
      </c>
      <c r="AB140" s="7" t="n">
        <v>4568.4</v>
      </c>
    </row>
    <row r="141">
      <c r="A141" s="4" t="inlineStr">
        <is>
          <t>燃气费</t>
        </is>
      </c>
      <c r="D141" s="7" t="n">
        <v>142.1</v>
      </c>
      <c r="F141" s="7" t="n">
        <v>166.4</v>
      </c>
      <c r="H141" s="7" t="n">
        <v>198.9</v>
      </c>
      <c r="J141" s="7" t="n">
        <v>193.6</v>
      </c>
      <c r="L141" s="7" t="n">
        <v>374.5</v>
      </c>
      <c r="N141" s="7" t="n">
        <v>134.8</v>
      </c>
      <c r="P141" s="7" t="n">
        <v>349.3</v>
      </c>
      <c r="R141" s="7" t="n">
        <v>291.3</v>
      </c>
      <c r="T141" s="7" t="n">
        <v>259.4</v>
      </c>
      <c r="V141" s="7" t="n">
        <v>396</v>
      </c>
      <c r="X141" s="7" t="n">
        <v>211.9</v>
      </c>
      <c r="Z141" s="7" t="n">
        <v>203.6</v>
      </c>
      <c r="AB141" s="7" t="n">
        <v>2921.8</v>
      </c>
    </row>
    <row r="142">
      <c r="A142" s="4" t="inlineStr">
        <is>
          <t>蒸汽费</t>
        </is>
      </c>
      <c r="D142" s="7" t="n">
        <v>45.7</v>
      </c>
      <c r="F142" s="7" t="n">
        <v>63.2</v>
      </c>
      <c r="H142" s="7" t="n">
        <v>43.5</v>
      </c>
      <c r="J142" s="7" t="n">
        <v>70.7</v>
      </c>
      <c r="L142" s="7" t="n">
        <v>121.2</v>
      </c>
      <c r="N142" s="7" t="n">
        <v>43.8</v>
      </c>
      <c r="P142" s="7" t="n">
        <v>76.40000000000001</v>
      </c>
      <c r="R142" s="7" t="n">
        <v>69.8</v>
      </c>
      <c r="T142" s="7" t="n">
        <v>52.4</v>
      </c>
      <c r="V142" s="7" t="n">
        <v>82.8</v>
      </c>
      <c r="X142" s="7" t="n">
        <v>53.3</v>
      </c>
      <c r="Z142" s="7" t="n">
        <v>40.4</v>
      </c>
      <c r="AB142" s="7" t="n">
        <v>763.2</v>
      </c>
    </row>
    <row r="143">
      <c r="A143" s="4" t="inlineStr">
        <is>
          <t>物业费</t>
        </is>
      </c>
      <c r="D143" s="7" t="n">
        <v>412.2</v>
      </c>
      <c r="F143" s="7" t="n">
        <v>529</v>
      </c>
      <c r="H143" s="7" t="n">
        <v>349.3</v>
      </c>
      <c r="J143" s="7" t="n">
        <v>474.8</v>
      </c>
      <c r="L143" s="7" t="n">
        <v>845.7</v>
      </c>
      <c r="N143" s="7" t="n">
        <v>426.3</v>
      </c>
      <c r="P143" s="7" t="n">
        <v>831.1</v>
      </c>
      <c r="R143" s="7" t="n">
        <v>573.5</v>
      </c>
      <c r="T143" s="7" t="n">
        <v>790.5</v>
      </c>
      <c r="V143" s="7" t="n">
        <v>1031.2</v>
      </c>
      <c r="X143" s="7" t="n">
        <v>611.4</v>
      </c>
      <c r="Z143" s="7" t="n">
        <v>528.4</v>
      </c>
      <c r="AB143" s="7" t="n">
        <v>7403.4</v>
      </c>
    </row>
    <row r="144">
      <c r="A144" s="4" t="inlineStr">
        <is>
          <t>劳动保护费</t>
        </is>
      </c>
      <c r="D144" s="7" t="n">
        <v>174.7</v>
      </c>
      <c r="F144" s="7" t="n">
        <v>390</v>
      </c>
      <c r="H144" s="7" t="n">
        <v>230.3</v>
      </c>
      <c r="J144" s="7" t="n">
        <v>390.9</v>
      </c>
      <c r="L144" s="7" t="n">
        <v>768.4</v>
      </c>
      <c r="N144" s="7" t="n">
        <v>235.7</v>
      </c>
      <c r="P144" s="7" t="n">
        <v>472.5</v>
      </c>
      <c r="R144" s="7" t="n">
        <v>414.7</v>
      </c>
      <c r="T144" s="7" t="n">
        <v>347.9</v>
      </c>
      <c r="V144" s="7" t="n">
        <v>361</v>
      </c>
      <c r="X144" s="7" t="n">
        <v>259.1</v>
      </c>
      <c r="Z144" s="7" t="n">
        <v>214.4</v>
      </c>
      <c r="AB144" s="7" t="n">
        <v>4259.6</v>
      </c>
    </row>
    <row r="145">
      <c r="A145" s="4" t="inlineStr">
        <is>
          <t>顾问费</t>
        </is>
      </c>
      <c r="D145" s="7" t="n">
        <v>322.1</v>
      </c>
      <c r="F145" s="7" t="n">
        <v>671.8</v>
      </c>
      <c r="H145" s="7" t="n">
        <v>582.7</v>
      </c>
      <c r="J145" s="7" t="n">
        <v>775.9</v>
      </c>
      <c r="L145" s="7" t="n">
        <v>1148.7</v>
      </c>
      <c r="N145" s="7" t="n">
        <v>338.9</v>
      </c>
      <c r="P145" s="7" t="n">
        <v>734.6</v>
      </c>
      <c r="R145" s="7" t="n">
        <v>742</v>
      </c>
      <c r="T145" s="7" t="n">
        <v>776.6</v>
      </c>
      <c r="V145" s="7" t="n">
        <v>687.7</v>
      </c>
      <c r="X145" s="7" t="n">
        <v>682</v>
      </c>
      <c r="Z145" s="7" t="n">
        <v>595.5</v>
      </c>
      <c r="AB145" s="7" t="n">
        <v>8058.5</v>
      </c>
    </row>
    <row r="146">
      <c r="A146" s="4" t="inlineStr">
        <is>
          <t>快递费</t>
        </is>
      </c>
      <c r="D146" s="7" t="n">
        <v>242</v>
      </c>
      <c r="F146" s="7" t="n">
        <v>341.4</v>
      </c>
      <c r="H146" s="7" t="n">
        <v>289.8</v>
      </c>
      <c r="J146" s="7" t="n">
        <v>543.7</v>
      </c>
      <c r="L146" s="7" t="n">
        <v>593.5</v>
      </c>
      <c r="N146" s="7" t="n">
        <v>388.8</v>
      </c>
      <c r="P146" s="7" t="n">
        <v>484.6</v>
      </c>
      <c r="R146" s="7" t="n">
        <v>545.4</v>
      </c>
      <c r="T146" s="7" t="n">
        <v>577.6</v>
      </c>
      <c r="V146" s="7" t="n">
        <v>470.4</v>
      </c>
      <c r="X146" s="7" t="n">
        <v>335</v>
      </c>
      <c r="Z146" s="7" t="n">
        <v>423.2</v>
      </c>
      <c r="AB146" s="7" t="n">
        <v>5235.4</v>
      </c>
    </row>
    <row r="147">
      <c r="A147" s="4" t="inlineStr">
        <is>
          <t>诉讼费</t>
        </is>
      </c>
      <c r="D147" s="7" t="n">
        <v>490</v>
      </c>
      <c r="F147" s="7" t="n">
        <v>626.2</v>
      </c>
      <c r="H147" s="7" t="n">
        <v>490.8</v>
      </c>
      <c r="J147" s="7" t="n">
        <v>540.2</v>
      </c>
      <c r="L147" s="7" t="n">
        <v>1174.2</v>
      </c>
      <c r="N147" s="7" t="n">
        <v>263.2</v>
      </c>
      <c r="P147" s="7" t="n">
        <v>539</v>
      </c>
      <c r="R147" s="7" t="n">
        <v>484.4</v>
      </c>
      <c r="T147" s="7" t="n">
        <v>591.6</v>
      </c>
      <c r="V147" s="7" t="n">
        <v>959.9</v>
      </c>
      <c r="X147" s="7" t="n">
        <v>441.6</v>
      </c>
      <c r="Z147" s="7" t="n">
        <v>433.2</v>
      </c>
      <c r="AB147" s="7" t="n">
        <v>7034.3</v>
      </c>
    </row>
    <row r="148">
      <c r="A148" s="4" t="inlineStr">
        <is>
          <t>会员费</t>
        </is>
      </c>
      <c r="D148" s="7" t="n">
        <v>424.3</v>
      </c>
      <c r="F148" s="7" t="n">
        <v>414.3</v>
      </c>
      <c r="H148" s="7" t="n">
        <v>523.3</v>
      </c>
      <c r="J148" s="7" t="n">
        <v>694.4</v>
      </c>
      <c r="L148" s="7" t="n">
        <v>876</v>
      </c>
      <c r="N148" s="7" t="n">
        <v>419.1</v>
      </c>
      <c r="P148" s="7" t="n">
        <v>677.4</v>
      </c>
      <c r="R148" s="7" t="n">
        <v>563</v>
      </c>
      <c r="T148" s="7" t="n">
        <v>483.9</v>
      </c>
      <c r="V148" s="7" t="n">
        <v>1006.7</v>
      </c>
      <c r="X148" s="7" t="n">
        <v>572.5</v>
      </c>
      <c r="Z148" s="7" t="n">
        <v>428.8</v>
      </c>
      <c r="AB148" s="7" t="n">
        <v>7083.7</v>
      </c>
    </row>
    <row r="149">
      <c r="A149" s="4" t="inlineStr">
        <is>
          <t>广告宣传费</t>
        </is>
      </c>
      <c r="D149" s="7" t="n">
        <v>2214.9</v>
      </c>
      <c r="F149" s="7" t="n">
        <v>2869.4</v>
      </c>
      <c r="H149" s="7" t="n">
        <v>2116.9</v>
      </c>
      <c r="J149" s="7" t="n">
        <v>3599.3</v>
      </c>
      <c r="L149" s="7" t="n">
        <v>5209</v>
      </c>
      <c r="N149" s="7" t="n">
        <v>2187.3</v>
      </c>
      <c r="P149" s="7" t="n">
        <v>3150.4</v>
      </c>
      <c r="R149" s="7" t="n">
        <v>3404.5</v>
      </c>
      <c r="T149" s="7" t="n">
        <v>2274.1</v>
      </c>
      <c r="V149" s="7" t="n">
        <v>5335.2</v>
      </c>
      <c r="X149" s="7" t="n">
        <v>2530.5</v>
      </c>
      <c r="Z149" s="7" t="n">
        <v>1852.7</v>
      </c>
      <c r="AB149" s="7" t="n">
        <v>36744.2</v>
      </c>
    </row>
    <row r="150">
      <c r="A150" s="4" t="inlineStr">
        <is>
          <t>会务费</t>
        </is>
      </c>
      <c r="D150" s="7" t="n">
        <v>189.3</v>
      </c>
      <c r="F150" s="7" t="n">
        <v>163</v>
      </c>
      <c r="H150" s="7" t="n">
        <v>179.2</v>
      </c>
      <c r="J150" s="7" t="n">
        <v>290</v>
      </c>
      <c r="L150" s="7" t="n">
        <v>361</v>
      </c>
      <c r="N150" s="7" t="n">
        <v>145.7</v>
      </c>
      <c r="P150" s="7" t="n">
        <v>235.5</v>
      </c>
      <c r="R150" s="7" t="n">
        <v>234.5</v>
      </c>
      <c r="T150" s="7" t="n">
        <v>161.9</v>
      </c>
      <c r="V150" s="7" t="n">
        <v>237.3</v>
      </c>
      <c r="X150" s="7" t="n">
        <v>217.7</v>
      </c>
      <c r="Z150" s="7" t="n">
        <v>201.4</v>
      </c>
      <c r="AB150" s="7" t="n">
        <v>2616.5</v>
      </c>
    </row>
    <row r="151">
      <c r="A151" s="4" t="inlineStr">
        <is>
          <t>装修费</t>
        </is>
      </c>
      <c r="D151" s="7" t="n">
        <v>448.2</v>
      </c>
      <c r="F151" s="7" t="n">
        <v>553.2</v>
      </c>
      <c r="H151" s="7" t="n">
        <v>364.1</v>
      </c>
      <c r="J151" s="7" t="n">
        <v>867.8</v>
      </c>
      <c r="L151" s="7" t="n">
        <v>1095.2</v>
      </c>
      <c r="N151" s="7" t="n">
        <v>316.8</v>
      </c>
      <c r="P151" s="7" t="n">
        <v>657</v>
      </c>
      <c r="R151" s="7" t="n">
        <v>783.7</v>
      </c>
      <c r="T151" s="7" t="n">
        <v>497.8</v>
      </c>
      <c r="V151" s="7" t="n">
        <v>1033.3</v>
      </c>
      <c r="X151" s="7" t="n">
        <v>626.5</v>
      </c>
      <c r="Z151" s="7" t="n">
        <v>401.4</v>
      </c>
      <c r="AB151" s="7" t="n">
        <v>7645</v>
      </c>
    </row>
    <row r="152">
      <c r="A152" s="4" t="inlineStr">
        <is>
          <t>推广费</t>
        </is>
      </c>
      <c r="D152" s="7" t="n">
        <v>270.6</v>
      </c>
      <c r="F152" s="7" t="n">
        <v>281.8</v>
      </c>
      <c r="H152" s="7" t="n">
        <v>321.4</v>
      </c>
      <c r="J152" s="7" t="n">
        <v>313.9</v>
      </c>
      <c r="L152" s="7" t="n">
        <v>910.7</v>
      </c>
      <c r="N152" s="7" t="n">
        <v>310.9</v>
      </c>
      <c r="P152" s="7" t="n">
        <v>413.3</v>
      </c>
      <c r="R152" s="7" t="n">
        <v>349.5</v>
      </c>
      <c r="T152" s="7" t="n">
        <v>354.2</v>
      </c>
      <c r="V152" s="7" t="n">
        <v>601.9</v>
      </c>
      <c r="X152" s="7" t="n">
        <v>434.9</v>
      </c>
      <c r="Z152" s="7" t="n">
        <v>278.3</v>
      </c>
      <c r="AB152" s="7" t="n">
        <v>4841.4</v>
      </c>
    </row>
    <row r="153">
      <c r="A153" s="4" t="inlineStr">
        <is>
          <t>展会费</t>
        </is>
      </c>
      <c r="D153" s="7" t="n">
        <v>543.9</v>
      </c>
      <c r="F153" s="7" t="n">
        <v>504.2</v>
      </c>
      <c r="H153" s="7" t="n">
        <v>384.9</v>
      </c>
      <c r="J153" s="7" t="n">
        <v>726.9</v>
      </c>
      <c r="L153" s="7" t="n">
        <v>1043.4</v>
      </c>
      <c r="N153" s="7" t="n">
        <v>327.8</v>
      </c>
      <c r="P153" s="7" t="n">
        <v>686.9</v>
      </c>
      <c r="R153" s="7" t="n">
        <v>482.3</v>
      </c>
      <c r="T153" s="7" t="n">
        <v>497.7</v>
      </c>
      <c r="V153" s="7" t="n">
        <v>729.1</v>
      </c>
      <c r="X153" s="7" t="n">
        <v>579.5</v>
      </c>
      <c r="Z153" s="7" t="n">
        <v>457.7</v>
      </c>
      <c r="AB153" s="7" t="n">
        <v>6964.3</v>
      </c>
    </row>
    <row r="154">
      <c r="A154" s="4" t="inlineStr">
        <is>
          <t>设计费</t>
        </is>
      </c>
      <c r="D154" s="7" t="n">
        <v>295.1</v>
      </c>
      <c r="F154" s="7" t="n">
        <v>430.5</v>
      </c>
      <c r="H154" s="7" t="n">
        <v>437.5</v>
      </c>
      <c r="J154" s="7" t="n">
        <v>634.3</v>
      </c>
      <c r="L154" s="7" t="n">
        <v>804.4</v>
      </c>
      <c r="N154" s="7" t="n">
        <v>485.2</v>
      </c>
      <c r="P154" s="7" t="n">
        <v>528.2</v>
      </c>
      <c r="R154" s="7" t="n">
        <v>665.4</v>
      </c>
      <c r="T154" s="7" t="n">
        <v>532.7</v>
      </c>
      <c r="V154" s="7" t="n">
        <v>835.4</v>
      </c>
      <c r="X154" s="7" t="n">
        <v>519.8</v>
      </c>
      <c r="Z154" s="7" t="n">
        <v>349.3</v>
      </c>
      <c r="AB154" s="7" t="n">
        <v>6517.8</v>
      </c>
    </row>
    <row r="155">
      <c r="A155" s="4" t="inlineStr">
        <is>
          <t>折旧费</t>
        </is>
      </c>
      <c r="D155" s="7" t="n">
        <v>3509.3</v>
      </c>
      <c r="F155" s="7" t="n">
        <v>3279.3</v>
      </c>
      <c r="H155" s="7" t="n">
        <v>2367.2</v>
      </c>
      <c r="J155" s="7" t="n">
        <v>3273.2</v>
      </c>
      <c r="L155" s="7" t="n">
        <v>6019.2</v>
      </c>
      <c r="N155" s="7" t="n">
        <v>2467.3</v>
      </c>
      <c r="P155" s="7" t="n">
        <v>5227.4</v>
      </c>
      <c r="R155" s="7" t="n">
        <v>4982.4</v>
      </c>
      <c r="T155" s="7" t="n">
        <v>4577.7</v>
      </c>
      <c r="V155" s="7" t="n">
        <v>4422.8</v>
      </c>
      <c r="X155" s="7" t="n">
        <v>2835.8</v>
      </c>
      <c r="Z155" s="7" t="n">
        <v>3284.4</v>
      </c>
      <c r="AB155" s="7" t="n">
        <v>46246</v>
      </c>
    </row>
    <row r="156">
      <c r="A156" s="4" t="inlineStr">
        <is>
          <t>认证费</t>
        </is>
      </c>
      <c r="D156" s="7" t="n">
        <v>191.6</v>
      </c>
      <c r="F156" s="7" t="n">
        <v>357.9</v>
      </c>
      <c r="H156" s="7" t="n">
        <v>346.8</v>
      </c>
      <c r="J156" s="7" t="n">
        <v>500.9</v>
      </c>
      <c r="L156" s="7" t="n">
        <v>719.5</v>
      </c>
      <c r="N156" s="7" t="n">
        <v>213.4</v>
      </c>
      <c r="P156" s="7" t="n">
        <v>497.9</v>
      </c>
      <c r="R156" s="7" t="n">
        <v>375.7</v>
      </c>
      <c r="T156" s="7" t="n">
        <v>418.5</v>
      </c>
      <c r="V156" s="7" t="n">
        <v>587.6</v>
      </c>
      <c r="X156" s="7" t="n">
        <v>335.1</v>
      </c>
      <c r="Z156" s="7" t="n">
        <v>255.6</v>
      </c>
      <c r="AB156" s="7" t="n">
        <v>4800.5</v>
      </c>
    </row>
    <row r="157">
      <c r="A157" s="4" t="inlineStr">
        <is>
          <t>样品费</t>
        </is>
      </c>
      <c r="D157" s="7" t="n">
        <v>1800.8</v>
      </c>
      <c r="F157" s="7" t="n">
        <v>1729.9</v>
      </c>
      <c r="H157" s="7" t="n">
        <v>1884.6</v>
      </c>
      <c r="J157" s="7" t="n">
        <v>1700.2</v>
      </c>
      <c r="L157" s="7" t="n">
        <v>3660.4</v>
      </c>
      <c r="N157" s="7" t="n">
        <v>1216.8</v>
      </c>
      <c r="P157" s="7" t="n">
        <v>1981.5</v>
      </c>
      <c r="R157" s="7" t="n">
        <v>2269</v>
      </c>
      <c r="T157" s="7" t="n">
        <v>1586</v>
      </c>
      <c r="V157" s="7" t="n">
        <v>3668.8</v>
      </c>
      <c r="X157" s="7" t="n">
        <v>2207.4</v>
      </c>
      <c r="Z157" s="7" t="n">
        <v>1874.3</v>
      </c>
      <c r="AB157" s="7" t="n">
        <v>25579.7</v>
      </c>
    </row>
    <row r="158">
      <c r="A158" s="4" t="inlineStr">
        <is>
          <t>劳务费</t>
        </is>
      </c>
      <c r="D158" s="7" t="n">
        <v>119.8</v>
      </c>
      <c r="F158" s="7" t="n">
        <v>253.9</v>
      </c>
      <c r="H158" s="7" t="n">
        <v>142.9</v>
      </c>
      <c r="J158" s="7" t="n">
        <v>252.9</v>
      </c>
      <c r="L158" s="7" t="n">
        <v>486.9</v>
      </c>
      <c r="N158" s="7" t="n">
        <v>164.3</v>
      </c>
      <c r="P158" s="7" t="n">
        <v>254.2</v>
      </c>
      <c r="R158" s="7" t="n">
        <v>238.2</v>
      </c>
      <c r="T158" s="7" t="n">
        <v>286.4</v>
      </c>
      <c r="V158" s="7" t="n">
        <v>315.3</v>
      </c>
      <c r="X158" s="7" t="n">
        <v>259.4</v>
      </c>
      <c r="Z158" s="7" t="n">
        <v>175.3</v>
      </c>
      <c r="AB158" s="7" t="n">
        <v>2949.5</v>
      </c>
    </row>
    <row r="159">
      <c r="A159" s="4" t="inlineStr">
        <is>
          <t>销售佣金</t>
        </is>
      </c>
      <c r="D159" s="7" t="n">
        <v>217.5</v>
      </c>
      <c r="F159" s="7" t="n">
        <v>235.3</v>
      </c>
      <c r="H159" s="7" t="n">
        <v>192.4</v>
      </c>
      <c r="J159" s="7" t="n">
        <v>270</v>
      </c>
      <c r="L159" s="7" t="n">
        <v>439.4</v>
      </c>
      <c r="N159" s="7" t="n">
        <v>170.9</v>
      </c>
      <c r="P159" s="7" t="n">
        <v>391.2</v>
      </c>
      <c r="R159" s="7" t="n">
        <v>236.5</v>
      </c>
      <c r="T159" s="7" t="n">
        <v>224.1</v>
      </c>
      <c r="V159" s="7" t="n">
        <v>319.7</v>
      </c>
      <c r="X159" s="7" t="n">
        <v>190</v>
      </c>
      <c r="Z159" s="7" t="n">
        <v>255.7</v>
      </c>
      <c r="AB159" s="7" t="n">
        <v>3142.7</v>
      </c>
    </row>
    <row r="160">
      <c r="A160" s="4" t="inlineStr">
        <is>
          <t>检测费</t>
        </is>
      </c>
      <c r="D160" s="7" t="n">
        <v>322.6</v>
      </c>
      <c r="F160" s="7" t="n">
        <v>476.7</v>
      </c>
      <c r="H160" s="7" t="n">
        <v>334.9</v>
      </c>
      <c r="J160" s="7" t="n">
        <v>537.6</v>
      </c>
      <c r="L160" s="7" t="n">
        <v>731.7</v>
      </c>
      <c r="N160" s="7" t="n">
        <v>312</v>
      </c>
      <c r="P160" s="7" t="n">
        <v>450.9</v>
      </c>
      <c r="R160" s="7" t="n">
        <v>355.7</v>
      </c>
      <c r="T160" s="7" t="n">
        <v>326</v>
      </c>
      <c r="V160" s="7" t="n">
        <v>676</v>
      </c>
      <c r="X160" s="7" t="n">
        <v>323.2</v>
      </c>
      <c r="Z160" s="7" t="n">
        <v>395.5</v>
      </c>
      <c r="AB160" s="7" t="n">
        <v>5242.8</v>
      </c>
    </row>
    <row r="161">
      <c r="A161" s="4" t="inlineStr">
        <is>
          <t>质量赔偿</t>
        </is>
      </c>
      <c r="D161" s="7" t="n">
        <v>380</v>
      </c>
      <c r="F161" s="7" t="n">
        <v>329.9</v>
      </c>
      <c r="H161" s="7" t="n">
        <v>317.5</v>
      </c>
      <c r="J161" s="7" t="n">
        <v>562.2</v>
      </c>
      <c r="L161" s="7" t="n">
        <v>722.3</v>
      </c>
      <c r="N161" s="7" t="n">
        <v>313.9</v>
      </c>
      <c r="P161" s="7" t="n">
        <v>646.4</v>
      </c>
      <c r="R161" s="7" t="n">
        <v>430.3</v>
      </c>
      <c r="T161" s="7" t="n">
        <v>483.4</v>
      </c>
      <c r="V161" s="7" t="n">
        <v>812.4</v>
      </c>
      <c r="X161" s="7" t="n">
        <v>401.9</v>
      </c>
      <c r="Z161" s="7" t="n">
        <v>426.1</v>
      </c>
      <c r="AB161" s="7" t="n">
        <v>5826.3</v>
      </c>
    </row>
    <row r="162">
      <c r="A162" s="4" t="inlineStr">
        <is>
          <t>保险费</t>
        </is>
      </c>
      <c r="D162" s="7" t="n">
        <v>143.2</v>
      </c>
      <c r="F162" s="7" t="n">
        <v>165.4</v>
      </c>
      <c r="H162" s="7" t="n">
        <v>107.1</v>
      </c>
      <c r="J162" s="7" t="n">
        <v>181.1</v>
      </c>
      <c r="L162" s="7" t="n">
        <v>375.3</v>
      </c>
      <c r="N162" s="7" t="n">
        <v>97.5</v>
      </c>
      <c r="P162" s="7" t="n">
        <v>213.7</v>
      </c>
      <c r="R162" s="7" t="n">
        <v>184.3</v>
      </c>
      <c r="T162" s="7" t="n">
        <v>215.6</v>
      </c>
      <c r="V162" s="7" t="n">
        <v>199.9</v>
      </c>
      <c r="X162" s="7" t="n">
        <v>191.6</v>
      </c>
      <c r="Z162" s="7" t="n">
        <v>121.6</v>
      </c>
      <c r="AB162" s="7" t="n">
        <v>2196.3</v>
      </c>
    </row>
    <row r="163">
      <c r="A163" s="4" t="inlineStr">
        <is>
          <t>清洁费</t>
        </is>
      </c>
      <c r="D163" s="7" t="n">
        <v>454.8</v>
      </c>
      <c r="F163" s="7" t="n">
        <v>620.7</v>
      </c>
      <c r="H163" s="7" t="n">
        <v>564.5</v>
      </c>
      <c r="J163" s="7" t="n">
        <v>726.2</v>
      </c>
      <c r="L163" s="7" t="n">
        <v>1284.4</v>
      </c>
      <c r="N163" s="7" t="n">
        <v>305.3</v>
      </c>
      <c r="P163" s="7" t="n">
        <v>543.4</v>
      </c>
      <c r="R163" s="7" t="n">
        <v>780.8</v>
      </c>
      <c r="T163" s="7" t="n">
        <v>441.2</v>
      </c>
      <c r="V163" s="7" t="n">
        <v>1062</v>
      </c>
      <c r="X163" s="7" t="n">
        <v>461.4</v>
      </c>
      <c r="Z163" s="7" t="n">
        <v>578.9</v>
      </c>
      <c r="AB163" s="7" t="n">
        <v>7823.6</v>
      </c>
    </row>
    <row r="164">
      <c r="A164" s="4" t="inlineStr">
        <is>
          <t>低值易耗品</t>
        </is>
      </c>
      <c r="D164" s="7" t="n">
        <v>73.3</v>
      </c>
      <c r="F164" s="7" t="n">
        <v>98</v>
      </c>
      <c r="H164" s="7" t="n">
        <v>120.7</v>
      </c>
      <c r="J164" s="7" t="n">
        <v>131.2</v>
      </c>
      <c r="L164" s="7" t="n">
        <v>297</v>
      </c>
      <c r="N164" s="7" t="n">
        <v>92.8</v>
      </c>
      <c r="P164" s="7" t="n">
        <v>200.7</v>
      </c>
      <c r="R164" s="7" t="n">
        <v>137.5</v>
      </c>
      <c r="T164" s="7" t="n">
        <v>147.2</v>
      </c>
      <c r="V164" s="7" t="n">
        <v>166.7</v>
      </c>
      <c r="X164" s="7" t="n">
        <v>86</v>
      </c>
      <c r="Z164" s="7" t="n">
        <v>105.3</v>
      </c>
      <c r="AB164" s="7" t="n">
        <v>1656.4</v>
      </c>
    </row>
    <row r="165">
      <c r="A165" s="4" t="inlineStr">
        <is>
          <t>物料消耗</t>
        </is>
      </c>
      <c r="D165" s="7" t="n">
        <v>325.5</v>
      </c>
      <c r="F165" s="7" t="n">
        <v>498.4</v>
      </c>
      <c r="H165" s="7" t="n">
        <v>453.3</v>
      </c>
      <c r="J165" s="7" t="n">
        <v>679.1</v>
      </c>
      <c r="L165" s="7" t="n">
        <v>841</v>
      </c>
      <c r="N165" s="7" t="n">
        <v>404.6</v>
      </c>
      <c r="P165" s="7" t="n">
        <v>730.4</v>
      </c>
      <c r="R165" s="7" t="n">
        <v>798.8</v>
      </c>
      <c r="T165" s="7" t="n">
        <v>648.5</v>
      </c>
      <c r="V165" s="7" t="n">
        <v>1051.2</v>
      </c>
      <c r="X165" s="7" t="n">
        <v>645</v>
      </c>
      <c r="Z165" s="7" t="n">
        <v>494.6</v>
      </c>
      <c r="AB165" s="7" t="n">
        <v>7570.4</v>
      </c>
    </row>
    <row r="166">
      <c r="A166" s="4" t="inlineStr">
        <is>
          <t>盘盈盘亏</t>
        </is>
      </c>
      <c r="D166" s="7" t="n">
        <v>64.8</v>
      </c>
      <c r="F166" s="7" t="n">
        <v>98.59999999999999</v>
      </c>
      <c r="H166" s="7" t="n">
        <v>56.6</v>
      </c>
      <c r="J166" s="7" t="n">
        <v>95.90000000000001</v>
      </c>
      <c r="L166" s="7" t="n">
        <v>159.8</v>
      </c>
      <c r="N166" s="7" t="n">
        <v>51.2</v>
      </c>
      <c r="P166" s="7" t="n">
        <v>86.2</v>
      </c>
      <c r="R166" s="7" t="n">
        <v>112.2</v>
      </c>
      <c r="T166" s="7" t="n">
        <v>112.9</v>
      </c>
      <c r="V166" s="7" t="n">
        <v>173.4</v>
      </c>
      <c r="X166" s="7" t="n">
        <v>85.8</v>
      </c>
      <c r="Z166" s="7" t="n">
        <v>59.3</v>
      </c>
      <c r="AB166" s="7" t="n">
        <v>1156.7</v>
      </c>
    </row>
    <row r="167">
      <c r="A167" s="4" t="inlineStr">
        <is>
          <t>平台服务费</t>
        </is>
      </c>
      <c r="D167" s="7" t="n">
        <v>523.5</v>
      </c>
      <c r="F167" s="7" t="n">
        <v>660.8</v>
      </c>
      <c r="H167" s="7" t="n">
        <v>459</v>
      </c>
      <c r="J167" s="7" t="n">
        <v>774.9</v>
      </c>
      <c r="L167" s="7" t="n">
        <v>1357.2</v>
      </c>
      <c r="N167" s="7" t="n">
        <v>479.6</v>
      </c>
      <c r="P167" s="7" t="n">
        <v>547.3</v>
      </c>
      <c r="R167" s="7" t="n">
        <v>479.9</v>
      </c>
      <c r="T167" s="7" t="n">
        <v>508.5</v>
      </c>
      <c r="V167" s="7" t="n">
        <v>786.2</v>
      </c>
      <c r="X167" s="7" t="n">
        <v>393.2</v>
      </c>
      <c r="Z167" s="7" t="n">
        <v>579.1</v>
      </c>
      <c r="AB167" s="7" t="n">
        <v>7549.2</v>
      </c>
    </row>
    <row r="168">
      <c r="A168" s="4" t="inlineStr">
        <is>
          <t>无形资产摊销</t>
        </is>
      </c>
      <c r="D168" s="7" t="n">
        <v>397.8</v>
      </c>
      <c r="F168" s="7" t="n">
        <v>588.8</v>
      </c>
      <c r="H168" s="7" t="n">
        <v>348.5</v>
      </c>
      <c r="J168" s="7" t="n">
        <v>627.4</v>
      </c>
      <c r="L168" s="7" t="n">
        <v>1179.1</v>
      </c>
      <c r="N168" s="7" t="n">
        <v>258.3</v>
      </c>
      <c r="P168" s="7" t="n">
        <v>693.5</v>
      </c>
      <c r="R168" s="7" t="n">
        <v>641.4</v>
      </c>
      <c r="T168" s="7" t="n">
        <v>362.7</v>
      </c>
      <c r="V168" s="7" t="n">
        <v>917.4</v>
      </c>
      <c r="X168" s="7" t="n">
        <v>418.8</v>
      </c>
      <c r="Z168" s="7" t="n">
        <v>316.9</v>
      </c>
      <c r="AB168" s="7" t="n">
        <v>6750.6</v>
      </c>
    </row>
    <row r="169">
      <c r="A169" s="4" t="inlineStr">
        <is>
          <t>研发材料</t>
        </is>
      </c>
      <c r="D169" s="7" t="n">
        <v>316.9</v>
      </c>
      <c r="F169" s="7" t="n">
        <v>430.8</v>
      </c>
      <c r="H169" s="7" t="n">
        <v>425.4</v>
      </c>
      <c r="J169" s="7" t="n">
        <v>748.8</v>
      </c>
      <c r="L169" s="7" t="n">
        <v>993.5</v>
      </c>
      <c r="N169" s="7" t="n">
        <v>461</v>
      </c>
      <c r="P169" s="7" t="n">
        <v>514.1</v>
      </c>
      <c r="R169" s="7" t="n">
        <v>493.4</v>
      </c>
      <c r="T169" s="7" t="n">
        <v>486.3</v>
      </c>
      <c r="V169" s="7" t="n">
        <v>775.2</v>
      </c>
      <c r="X169" s="7" t="n">
        <v>455</v>
      </c>
      <c r="Z169" s="7" t="n">
        <v>308.2</v>
      </c>
      <c r="AB169" s="7" t="n">
        <v>6408.6</v>
      </c>
    </row>
    <row r="170">
      <c r="A170" s="4" t="inlineStr">
        <is>
          <t>项目名称</t>
        </is>
      </c>
      <c r="D170" s="7" t="n">
        <v>395.9</v>
      </c>
      <c r="F170" s="7" t="n">
        <v>426.2</v>
      </c>
      <c r="H170" s="7" t="n">
        <v>277</v>
      </c>
      <c r="J170" s="7" t="n">
        <v>544.2</v>
      </c>
      <c r="L170" s="7" t="n">
        <v>685.6</v>
      </c>
      <c r="N170" s="7" t="n">
        <v>420.4</v>
      </c>
      <c r="P170" s="7" t="n">
        <v>665.6</v>
      </c>
      <c r="R170" s="7" t="n">
        <v>588.1</v>
      </c>
      <c r="T170" s="7" t="n">
        <v>344.9</v>
      </c>
      <c r="V170" s="7" t="n">
        <v>654.1</v>
      </c>
      <c r="X170" s="7" t="n">
        <v>519.1</v>
      </c>
      <c r="Z170" s="7" t="n">
        <v>348</v>
      </c>
      <c r="AB170" s="7" t="n">
        <v>5869.1</v>
      </c>
    </row>
    <row r="171">
      <c r="A171" s="4" t="inlineStr">
        <is>
          <t>研发费</t>
        </is>
      </c>
      <c r="D171" s="7" t="n">
        <v>18.1</v>
      </c>
      <c r="F171" s="7" t="n">
        <v>23.5</v>
      </c>
      <c r="H171" s="7" t="n">
        <v>16</v>
      </c>
      <c r="J171" s="7" t="n">
        <v>29.9</v>
      </c>
      <c r="L171" s="7" t="n">
        <v>51.2</v>
      </c>
      <c r="N171" s="7" t="n">
        <v>18.3</v>
      </c>
      <c r="P171" s="7" t="n">
        <v>28.1</v>
      </c>
      <c r="R171" s="7" t="n">
        <v>22.4</v>
      </c>
      <c r="T171" s="7" t="n">
        <v>29.4</v>
      </c>
      <c r="V171" s="7" t="n">
        <v>38.2</v>
      </c>
      <c r="X171" s="7" t="n">
        <v>20.7</v>
      </c>
      <c r="Z171" s="7" t="n">
        <v>17.9</v>
      </c>
      <c r="AB171" s="7" t="n">
        <v>313.7</v>
      </c>
    </row>
    <row r="172">
      <c r="A172" s="4" t="inlineStr">
        <is>
          <t>残保金</t>
        </is>
      </c>
      <c r="D172" s="7" t="n">
        <v>152</v>
      </c>
      <c r="F172" s="7" t="n">
        <v>194.5</v>
      </c>
      <c r="H172" s="7" t="n">
        <v>98.90000000000001</v>
      </c>
      <c r="J172" s="7" t="n">
        <v>206.4</v>
      </c>
      <c r="L172" s="7" t="n">
        <v>279.1</v>
      </c>
      <c r="N172" s="7" t="n">
        <v>116.8</v>
      </c>
      <c r="P172" s="7" t="n">
        <v>169.2</v>
      </c>
      <c r="R172" s="7" t="n">
        <v>217.5</v>
      </c>
      <c r="T172" s="7" t="n">
        <v>204</v>
      </c>
      <c r="V172" s="7" t="n">
        <v>191.5</v>
      </c>
      <c r="X172" s="7" t="n">
        <v>110.6</v>
      </c>
      <c r="Z172" s="7" t="n">
        <v>123.2</v>
      </c>
      <c r="AB172" s="7" t="n">
        <v>2063.7</v>
      </c>
    </row>
    <row r="173">
      <c r="A173" s="4" t="inlineStr">
        <is>
          <t>环保费</t>
        </is>
      </c>
      <c r="D173" s="7" t="n">
        <v>83.09999999999999</v>
      </c>
      <c r="F173" s="7" t="n">
        <v>104.8</v>
      </c>
      <c r="H173" s="7" t="n">
        <v>92.59999999999999</v>
      </c>
      <c r="J173" s="7" t="n">
        <v>76.5</v>
      </c>
      <c r="L173" s="7" t="n">
        <v>128.1</v>
      </c>
      <c r="N173" s="7" t="n">
        <v>79.40000000000001</v>
      </c>
      <c r="P173" s="7" t="n">
        <v>155.4</v>
      </c>
      <c r="R173" s="7" t="n">
        <v>113.3</v>
      </c>
      <c r="T173" s="7" t="n">
        <v>79</v>
      </c>
      <c r="V173" s="7" t="n">
        <v>155.6</v>
      </c>
      <c r="X173" s="7" t="n">
        <v>104.9</v>
      </c>
      <c r="Z173" s="7" t="n">
        <v>75.2</v>
      </c>
      <c r="AB173" s="7" t="n">
        <v>1247.9</v>
      </c>
    </row>
    <row r="174">
      <c r="A174" s="4" t="inlineStr">
        <is>
          <t>报废损失</t>
        </is>
      </c>
      <c r="D174" s="7" t="n">
        <v>467.4</v>
      </c>
      <c r="F174" s="7" t="n">
        <v>388.7</v>
      </c>
      <c r="H174" s="7" t="n">
        <v>333.4</v>
      </c>
      <c r="J174" s="7" t="n">
        <v>690.1</v>
      </c>
      <c r="L174" s="7" t="n">
        <v>840.8</v>
      </c>
      <c r="N174" s="7" t="n">
        <v>436.5</v>
      </c>
      <c r="P174" s="7" t="n">
        <v>540.1</v>
      </c>
      <c r="R174" s="7" t="n">
        <v>453.3</v>
      </c>
      <c r="T174" s="7" t="n">
        <v>717.3</v>
      </c>
      <c r="V174" s="7" t="n">
        <v>576.3</v>
      </c>
      <c r="X174" s="7" t="n">
        <v>571.5</v>
      </c>
      <c r="Z174" s="7" t="n">
        <v>366.7</v>
      </c>
      <c r="AB174" s="7" t="n">
        <v>6382.1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35984.4</v>
      </c>
      <c r="D175" s="7" t="n">
        <v>13312.7</v>
      </c>
      <c r="E175" s="7" t="n">
        <v>37521.8</v>
      </c>
      <c r="F175" s="7" t="n">
        <v>17799.2</v>
      </c>
      <c r="G175" s="7" t="n">
        <v>35301.3</v>
      </c>
      <c r="H175" s="7" t="n">
        <v>32399.8</v>
      </c>
      <c r="I175" s="7" t="n">
        <v>37408.9</v>
      </c>
      <c r="J175" s="7" t="n">
        <v>51954.8</v>
      </c>
      <c r="K175" s="7" t="n">
        <v>37680.8</v>
      </c>
      <c r="L175" s="7" t="n">
        <v>57873</v>
      </c>
      <c r="M175" s="7" t="n">
        <v>37011.6</v>
      </c>
      <c r="N175" s="7" t="n">
        <v>29037.9</v>
      </c>
      <c r="O175" s="7" t="n">
        <v>41960.7</v>
      </c>
      <c r="P175" s="7" t="n">
        <v>79471.3</v>
      </c>
      <c r="Q175" s="7" t="n">
        <v>47315.3</v>
      </c>
      <c r="R175" s="7" t="n">
        <v>61151.6</v>
      </c>
      <c r="S175" s="7" t="n">
        <v>43924.5</v>
      </c>
      <c r="T175" s="7" t="n">
        <v>25307.4</v>
      </c>
      <c r="U175" s="7" t="n">
        <v>43960.6</v>
      </c>
      <c r="V175" s="7" t="n">
        <v>40579.2</v>
      </c>
      <c r="W175" s="7" t="n">
        <v>36164.9</v>
      </c>
      <c r="X175" s="7" t="n">
        <v>47731.2</v>
      </c>
      <c r="Y175" s="7" t="n">
        <v>37548.1</v>
      </c>
      <c r="Z175" s="7" t="n">
        <v>40645.1</v>
      </c>
      <c r="AA175" s="8" t="n">
        <v>471782.9</v>
      </c>
      <c r="AB175" s="8" t="n">
        <v>497263.2</v>
      </c>
    </row>
    <row r="176">
      <c r="A176" s="4" t="inlineStr">
        <is>
          <t>职工薪酬</t>
        </is>
      </c>
      <c r="D176" s="7" t="n">
        <v>7244.1</v>
      </c>
      <c r="F176" s="7" t="n">
        <v>10232.4</v>
      </c>
      <c r="H176" s="7" t="n">
        <v>15407</v>
      </c>
      <c r="J176" s="7" t="n">
        <v>27491.6</v>
      </c>
      <c r="L176" s="7" t="n">
        <v>25898.8</v>
      </c>
      <c r="N176" s="7" t="n">
        <v>12851.6</v>
      </c>
      <c r="P176" s="7" t="n">
        <v>39239.5</v>
      </c>
      <c r="R176" s="7" t="n">
        <v>33508</v>
      </c>
      <c r="T176" s="7" t="n">
        <v>13692.3</v>
      </c>
      <c r="V176" s="7" t="n">
        <v>20975.6</v>
      </c>
      <c r="X176" s="7" t="n">
        <v>19548.8</v>
      </c>
      <c r="Z176" s="7" t="n">
        <v>23344</v>
      </c>
      <c r="AB176" s="7" t="n">
        <v>249433.7</v>
      </c>
    </row>
    <row r="177">
      <c r="A177" s="4" t="inlineStr">
        <is>
          <t>工资</t>
        </is>
      </c>
      <c r="D177" s="7" t="n">
        <v>4364.9</v>
      </c>
      <c r="F177" s="7" t="n">
        <v>6839.6</v>
      </c>
      <c r="H177" s="7" t="n">
        <v>8271.700000000001</v>
      </c>
      <c r="J177" s="7" t="n">
        <v>17964.6</v>
      </c>
      <c r="L177" s="7" t="n">
        <v>12826.8</v>
      </c>
      <c r="N177" s="7" t="n">
        <v>6426.1</v>
      </c>
      <c r="P177" s="7" t="n">
        <v>21613</v>
      </c>
      <c r="R177" s="7" t="n">
        <v>20909.2</v>
      </c>
      <c r="T177" s="7" t="n">
        <v>8138.2</v>
      </c>
      <c r="V177" s="7" t="n">
        <v>14494.3</v>
      </c>
      <c r="X177" s="7" t="n">
        <v>10710.5</v>
      </c>
      <c r="Z177" s="7" t="n">
        <v>14128.2</v>
      </c>
      <c r="AB177" s="7" t="n">
        <v>146687.1</v>
      </c>
    </row>
    <row r="178">
      <c r="A178" s="4" t="inlineStr">
        <is>
          <t>奖金及提成</t>
        </is>
      </c>
      <c r="D178" s="7" t="n">
        <v>1503.9</v>
      </c>
      <c r="F178" s="7" t="n">
        <v>1258.8</v>
      </c>
      <c r="H178" s="7" t="n">
        <v>3714.8</v>
      </c>
      <c r="J178" s="7" t="n">
        <v>3911.9</v>
      </c>
      <c r="L178" s="7" t="n">
        <v>6093.4</v>
      </c>
      <c r="N178" s="7" t="n">
        <v>3629.2</v>
      </c>
      <c r="P178" s="7" t="n">
        <v>7286.6</v>
      </c>
      <c r="R178" s="7" t="n">
        <v>6779.6</v>
      </c>
      <c r="T178" s="7" t="n">
        <v>2801.3</v>
      </c>
      <c r="V178" s="7" t="n">
        <v>3000.9</v>
      </c>
      <c r="X178" s="7" t="n">
        <v>4092.8</v>
      </c>
      <c r="Z178" s="7" t="n">
        <v>4893</v>
      </c>
      <c r="AB178" s="7" t="n">
        <v>48966.2</v>
      </c>
    </row>
    <row r="179">
      <c r="A179" s="4" t="inlineStr">
        <is>
          <t>社保</t>
        </is>
      </c>
      <c r="D179" s="7" t="n">
        <v>1033.6</v>
      </c>
      <c r="F179" s="7" t="n">
        <v>1630.9</v>
      </c>
      <c r="H179" s="7" t="n">
        <v>2561.6</v>
      </c>
      <c r="J179" s="7" t="n">
        <v>4155.6</v>
      </c>
      <c r="L179" s="7" t="n">
        <v>5361.6</v>
      </c>
      <c r="N179" s="7" t="n">
        <v>2063</v>
      </c>
      <c r="P179" s="7" t="n">
        <v>8261.6</v>
      </c>
      <c r="R179" s="7" t="n">
        <v>3983</v>
      </c>
      <c r="T179" s="7" t="n">
        <v>2130.6</v>
      </c>
      <c r="V179" s="7" t="n">
        <v>2355.6</v>
      </c>
      <c r="X179" s="7" t="n">
        <v>3481.5</v>
      </c>
      <c r="Z179" s="7" t="n">
        <v>3183.2</v>
      </c>
      <c r="AB179" s="7" t="n">
        <v>40201.8</v>
      </c>
    </row>
    <row r="180">
      <c r="A180" s="4" t="inlineStr">
        <is>
          <t>养老</t>
        </is>
      </c>
      <c r="D180" s="7" t="n">
        <v>50.5</v>
      </c>
      <c r="F180" s="7" t="n">
        <v>65.09999999999999</v>
      </c>
      <c r="H180" s="7" t="n">
        <v>125.9</v>
      </c>
      <c r="J180" s="7" t="n">
        <v>153.8</v>
      </c>
      <c r="L180" s="7" t="n">
        <v>217.1</v>
      </c>
      <c r="N180" s="7" t="n">
        <v>85.40000000000001</v>
      </c>
      <c r="P180" s="7" t="n">
        <v>188.9</v>
      </c>
      <c r="R180" s="7" t="n">
        <v>212.9</v>
      </c>
      <c r="T180" s="7" t="n">
        <v>72.90000000000001</v>
      </c>
      <c r="V180" s="7" t="n">
        <v>87.8</v>
      </c>
      <c r="X180" s="7" t="n">
        <v>113.2</v>
      </c>
      <c r="Z180" s="7" t="n">
        <v>109.5</v>
      </c>
      <c r="AB180" s="7" t="n">
        <v>1483</v>
      </c>
    </row>
    <row r="181">
      <c r="A181" s="4" t="inlineStr">
        <is>
          <t>医疗</t>
        </is>
      </c>
      <c r="D181" s="7" t="n">
        <v>93.3</v>
      </c>
      <c r="F181" s="7" t="n">
        <v>108.5</v>
      </c>
      <c r="H181" s="7" t="n">
        <v>149</v>
      </c>
      <c r="J181" s="7" t="n">
        <v>396.2</v>
      </c>
      <c r="L181" s="7" t="n">
        <v>412.1</v>
      </c>
      <c r="N181" s="7" t="n">
        <v>151.5</v>
      </c>
      <c r="P181" s="7" t="n">
        <v>544.5</v>
      </c>
      <c r="R181" s="7" t="n">
        <v>321.6</v>
      </c>
      <c r="T181" s="7" t="n">
        <v>124.3</v>
      </c>
      <c r="V181" s="7" t="n">
        <v>246.2</v>
      </c>
      <c r="X181" s="7" t="n">
        <v>244.7</v>
      </c>
      <c r="Z181" s="7" t="n">
        <v>238</v>
      </c>
      <c r="AB181" s="7" t="n">
        <v>3029.9</v>
      </c>
    </row>
    <row r="182">
      <c r="A182" s="4" t="inlineStr">
        <is>
          <t>工伤</t>
        </is>
      </c>
      <c r="D182" s="7" t="n">
        <v>1.8</v>
      </c>
      <c r="F182" s="7" t="n">
        <v>2.2</v>
      </c>
      <c r="H182" s="7" t="n">
        <v>5.9</v>
      </c>
      <c r="J182" s="7" t="n">
        <v>7.6</v>
      </c>
      <c r="L182" s="7" t="n">
        <v>6.9</v>
      </c>
      <c r="N182" s="7" t="n">
        <v>4.1</v>
      </c>
      <c r="P182" s="7" t="n">
        <v>12.8</v>
      </c>
      <c r="R182" s="7" t="n">
        <v>8.300000000000001</v>
      </c>
      <c r="T182" s="7" t="n">
        <v>4.6</v>
      </c>
      <c r="V182" s="7" t="n">
        <v>4.6</v>
      </c>
      <c r="X182" s="7" t="n">
        <v>8.699999999999999</v>
      </c>
      <c r="Z182" s="7" t="n">
        <v>4.3</v>
      </c>
      <c r="AB182" s="7" t="n">
        <v>71.8</v>
      </c>
    </row>
    <row r="183">
      <c r="A183" s="4" t="inlineStr">
        <is>
          <t>失业</t>
        </is>
      </c>
      <c r="D183" s="7" t="n">
        <v>62.1</v>
      </c>
      <c r="F183" s="7" t="n">
        <v>100.3</v>
      </c>
      <c r="H183" s="7" t="n">
        <v>201.4</v>
      </c>
      <c r="J183" s="7" t="n">
        <v>286.1</v>
      </c>
      <c r="L183" s="7" t="n">
        <v>306.9</v>
      </c>
      <c r="N183" s="7" t="n">
        <v>231.8</v>
      </c>
      <c r="P183" s="7" t="n">
        <v>592.3</v>
      </c>
      <c r="R183" s="7" t="n">
        <v>366.2</v>
      </c>
      <c r="T183" s="7" t="n">
        <v>112.9</v>
      </c>
      <c r="V183" s="7" t="n">
        <v>226.4</v>
      </c>
      <c r="X183" s="7" t="n">
        <v>239.3</v>
      </c>
      <c r="Z183" s="7" t="n">
        <v>276.3</v>
      </c>
      <c r="AB183" s="7" t="n">
        <v>3002</v>
      </c>
    </row>
    <row r="184">
      <c r="A184" s="4" t="inlineStr">
        <is>
          <t>生育</t>
        </is>
      </c>
      <c r="D184" s="7" t="n">
        <v>57.2</v>
      </c>
      <c r="F184" s="7" t="n">
        <v>61.7</v>
      </c>
      <c r="H184" s="7" t="n">
        <v>113</v>
      </c>
      <c r="J184" s="7" t="n">
        <v>202.6</v>
      </c>
      <c r="L184" s="7" t="n">
        <v>294.6</v>
      </c>
      <c r="N184" s="7" t="n">
        <v>154.3</v>
      </c>
      <c r="P184" s="7" t="n">
        <v>434.4</v>
      </c>
      <c r="R184" s="7" t="n">
        <v>252.8</v>
      </c>
      <c r="T184" s="7" t="n">
        <v>145.6</v>
      </c>
      <c r="V184" s="7" t="n">
        <v>134.3</v>
      </c>
      <c r="X184" s="7" t="n">
        <v>207.3</v>
      </c>
      <c r="Z184" s="7" t="n">
        <v>173.2</v>
      </c>
      <c r="AB184" s="7" t="n">
        <v>2231</v>
      </c>
    </row>
    <row r="185">
      <c r="A185" s="4" t="inlineStr">
        <is>
          <t>公积金</t>
        </is>
      </c>
      <c r="D185" s="7" t="n">
        <v>16.4</v>
      </c>
      <c r="F185" s="7" t="n">
        <v>20.5</v>
      </c>
      <c r="H185" s="7" t="n">
        <v>54.4</v>
      </c>
      <c r="J185" s="7" t="n">
        <v>63.3</v>
      </c>
      <c r="L185" s="7" t="n">
        <v>99.3</v>
      </c>
      <c r="N185" s="7" t="n">
        <v>51.2</v>
      </c>
      <c r="P185" s="7" t="n">
        <v>127.9</v>
      </c>
      <c r="R185" s="7" t="n">
        <v>86.8</v>
      </c>
      <c r="T185" s="7" t="n">
        <v>36.4</v>
      </c>
      <c r="V185" s="7" t="n">
        <v>50.1</v>
      </c>
      <c r="X185" s="7" t="n">
        <v>53.5</v>
      </c>
      <c r="Z185" s="7" t="n">
        <v>43.3</v>
      </c>
      <c r="AB185" s="7" t="n">
        <v>703.1</v>
      </c>
    </row>
    <row r="186">
      <c r="A186" s="4" t="inlineStr">
        <is>
          <t>工会经费</t>
        </is>
      </c>
      <c r="D186" s="7" t="n">
        <v>30.3</v>
      </c>
      <c r="F186" s="7" t="n">
        <v>48.2</v>
      </c>
      <c r="H186" s="7" t="n">
        <v>57.3</v>
      </c>
      <c r="J186" s="7" t="n">
        <v>115.8</v>
      </c>
      <c r="L186" s="7" t="n">
        <v>102.9</v>
      </c>
      <c r="N186" s="7" t="n">
        <v>73</v>
      </c>
      <c r="P186" s="7" t="n">
        <v>166.6</v>
      </c>
      <c r="R186" s="7" t="n">
        <v>126.7</v>
      </c>
      <c r="T186" s="7" t="n">
        <v>38</v>
      </c>
      <c r="V186" s="7" t="n">
        <v>86.2</v>
      </c>
      <c r="X186" s="7" t="n">
        <v>76.3</v>
      </c>
      <c r="Z186" s="7" t="n">
        <v>98.7</v>
      </c>
      <c r="AB186" s="7" t="n">
        <v>1020</v>
      </c>
    </row>
    <row r="187">
      <c r="A187" s="4" t="inlineStr">
        <is>
          <t>职工教育经费</t>
        </is>
      </c>
      <c r="D187" s="7" t="n">
        <v>40.8</v>
      </c>
      <c r="F187" s="7" t="n">
        <v>72.40000000000001</v>
      </c>
      <c r="H187" s="7" t="n">
        <v>140.6</v>
      </c>
      <c r="J187" s="7" t="n">
        <v>262.3</v>
      </c>
      <c r="L187" s="7" t="n">
        <v>301.7</v>
      </c>
      <c r="N187" s="7" t="n">
        <v>102.1</v>
      </c>
      <c r="P187" s="7" t="n">
        <v>315.1</v>
      </c>
      <c r="R187" s="7" t="n">
        <v>291.7</v>
      </c>
      <c r="T187" s="7" t="n">
        <v>121.6</v>
      </c>
      <c r="V187" s="7" t="n">
        <v>143.7</v>
      </c>
      <c r="X187" s="7" t="n">
        <v>153.4</v>
      </c>
      <c r="Z187" s="7" t="n">
        <v>200.9</v>
      </c>
      <c r="AB187" s="7" t="n">
        <v>2146.3</v>
      </c>
    </row>
    <row r="188">
      <c r="A188" s="4" t="inlineStr">
        <is>
          <t>福利费</t>
        </is>
      </c>
      <c r="D188" s="7" t="n">
        <v>254.2</v>
      </c>
      <c r="F188" s="7" t="n">
        <v>362</v>
      </c>
      <c r="H188" s="7" t="n">
        <v>606.6</v>
      </c>
      <c r="J188" s="7" t="n">
        <v>1018.1</v>
      </c>
      <c r="L188" s="7" t="n">
        <v>1113.1</v>
      </c>
      <c r="N188" s="7" t="n">
        <v>507</v>
      </c>
      <c r="P188" s="7" t="n">
        <v>1468.7</v>
      </c>
      <c r="R188" s="7" t="n">
        <v>1331</v>
      </c>
      <c r="T188" s="7" t="n">
        <v>426.2</v>
      </c>
      <c r="V188" s="7" t="n">
        <v>844.8</v>
      </c>
      <c r="X188" s="7" t="n">
        <v>980.8</v>
      </c>
      <c r="Z188" s="7" t="n">
        <v>796.7</v>
      </c>
      <c r="AB188" s="7" t="n">
        <v>9709.200000000001</v>
      </c>
    </row>
    <row r="189">
      <c r="A189" s="4" t="inlineStr">
        <is>
          <t>职工房租</t>
        </is>
      </c>
      <c r="D189" s="7" t="n">
        <v>78.2</v>
      </c>
      <c r="F189" s="7" t="n">
        <v>122.6</v>
      </c>
      <c r="H189" s="7" t="n">
        <v>185.3</v>
      </c>
      <c r="J189" s="7" t="n">
        <v>216.8</v>
      </c>
      <c r="L189" s="7" t="n">
        <v>356.6</v>
      </c>
      <c r="N189" s="7" t="n">
        <v>179.1</v>
      </c>
      <c r="P189" s="7" t="n">
        <v>350.9</v>
      </c>
      <c r="R189" s="7" t="n">
        <v>389.7</v>
      </c>
      <c r="T189" s="7" t="n">
        <v>118.9</v>
      </c>
      <c r="V189" s="7" t="n">
        <v>257.5</v>
      </c>
      <c r="X189" s="7" t="n">
        <v>246</v>
      </c>
      <c r="Z189" s="7" t="n">
        <v>261.6</v>
      </c>
      <c r="AB189" s="7" t="n">
        <v>2763.2</v>
      </c>
    </row>
    <row r="190">
      <c r="A190" s="4" t="inlineStr">
        <is>
          <t>水电物业费</t>
        </is>
      </c>
      <c r="D190" s="7" t="n">
        <v>0.8</v>
      </c>
      <c r="F190" s="7" t="n">
        <v>1</v>
      </c>
      <c r="H190" s="7" t="n">
        <v>1.7</v>
      </c>
      <c r="J190" s="7" t="n">
        <v>4.1</v>
      </c>
      <c r="L190" s="7" t="n">
        <v>4.8</v>
      </c>
      <c r="N190" s="7" t="n">
        <v>1.6</v>
      </c>
      <c r="P190" s="7" t="n">
        <v>5.6</v>
      </c>
      <c r="R190" s="7" t="n">
        <v>5.5</v>
      </c>
      <c r="T190" s="7" t="n">
        <v>1.4</v>
      </c>
      <c r="V190" s="7" t="n">
        <v>3.1</v>
      </c>
      <c r="X190" s="7" t="n">
        <v>3.5</v>
      </c>
      <c r="Z190" s="7" t="n">
        <v>3.1</v>
      </c>
      <c r="AB190" s="7" t="n">
        <v>36.2</v>
      </c>
    </row>
    <row r="191">
      <c r="A191" s="4" t="inlineStr">
        <is>
          <t>员工餐</t>
        </is>
      </c>
      <c r="D191" s="7" t="n">
        <v>50.6</v>
      </c>
      <c r="F191" s="7" t="n">
        <v>76.5</v>
      </c>
      <c r="H191" s="7" t="n">
        <v>139.5</v>
      </c>
      <c r="J191" s="7" t="n">
        <v>290.4</v>
      </c>
      <c r="L191" s="7" t="n">
        <v>279.8</v>
      </c>
      <c r="N191" s="7" t="n">
        <v>115.2</v>
      </c>
      <c r="P191" s="7" t="n">
        <v>307.2</v>
      </c>
      <c r="R191" s="7" t="n">
        <v>387.4</v>
      </c>
      <c r="T191" s="7" t="n">
        <v>97.5</v>
      </c>
      <c r="V191" s="7" t="n">
        <v>246.4</v>
      </c>
      <c r="X191" s="7" t="n">
        <v>244.9</v>
      </c>
      <c r="Z191" s="7" t="n">
        <v>186.2</v>
      </c>
      <c r="AB191" s="7" t="n">
        <v>2421.6</v>
      </c>
    </row>
    <row r="192">
      <c r="A192" s="4" t="inlineStr">
        <is>
          <t>节日礼品</t>
        </is>
      </c>
      <c r="D192" s="7" t="n">
        <v>31.2</v>
      </c>
      <c r="F192" s="7" t="n">
        <v>37.9</v>
      </c>
      <c r="H192" s="7" t="n">
        <v>72.2</v>
      </c>
      <c r="J192" s="7" t="n">
        <v>116.8</v>
      </c>
      <c r="L192" s="7" t="n">
        <v>112.1</v>
      </c>
      <c r="N192" s="7" t="n">
        <v>53.8</v>
      </c>
      <c r="P192" s="7" t="n">
        <v>197.4</v>
      </c>
      <c r="R192" s="7" t="n">
        <v>91.09999999999999</v>
      </c>
      <c r="T192" s="7" t="n">
        <v>45.5</v>
      </c>
      <c r="V192" s="7" t="n">
        <v>87.2</v>
      </c>
      <c r="X192" s="7" t="n">
        <v>102.7</v>
      </c>
      <c r="Z192" s="7" t="n">
        <v>103.3</v>
      </c>
      <c r="AB192" s="7" t="n">
        <v>1051.2</v>
      </c>
    </row>
    <row r="193">
      <c r="A193" s="4" t="inlineStr">
        <is>
          <t>生日礼品</t>
        </is>
      </c>
      <c r="D193" s="7" t="n">
        <v>5.5</v>
      </c>
      <c r="F193" s="7" t="n">
        <v>5.1</v>
      </c>
      <c r="H193" s="7" t="n">
        <v>8.800000000000001</v>
      </c>
      <c r="J193" s="7" t="n">
        <v>14.1</v>
      </c>
      <c r="L193" s="7" t="n">
        <v>16.8</v>
      </c>
      <c r="N193" s="7" t="n">
        <v>10.8</v>
      </c>
      <c r="P193" s="7" t="n">
        <v>36.8</v>
      </c>
      <c r="R193" s="7" t="n">
        <v>18.8</v>
      </c>
      <c r="T193" s="7" t="n">
        <v>10.7</v>
      </c>
      <c r="V193" s="7" t="n">
        <v>19.1</v>
      </c>
      <c r="X193" s="7" t="n">
        <v>15.8</v>
      </c>
      <c r="Z193" s="7" t="n">
        <v>14.1</v>
      </c>
      <c r="AB193" s="7" t="n">
        <v>176.4</v>
      </c>
    </row>
    <row r="194">
      <c r="A194" s="4" t="inlineStr">
        <is>
          <t>体检</t>
        </is>
      </c>
      <c r="D194" s="7" t="n">
        <v>65.2</v>
      </c>
      <c r="F194" s="7" t="n">
        <v>90</v>
      </c>
      <c r="H194" s="7" t="n">
        <v>161.9</v>
      </c>
      <c r="J194" s="7" t="n">
        <v>277.6</v>
      </c>
      <c r="L194" s="7" t="n">
        <v>267.2</v>
      </c>
      <c r="N194" s="7" t="n">
        <v>113.4</v>
      </c>
      <c r="P194" s="7" t="n">
        <v>467.1</v>
      </c>
      <c r="R194" s="7" t="n">
        <v>357.9</v>
      </c>
      <c r="T194" s="7" t="n">
        <v>120.8</v>
      </c>
      <c r="V194" s="7" t="n">
        <v>153.7</v>
      </c>
      <c r="X194" s="7" t="n">
        <v>293</v>
      </c>
      <c r="Z194" s="7" t="n">
        <v>171.4</v>
      </c>
      <c r="AB194" s="7" t="n">
        <v>2539.2</v>
      </c>
    </row>
    <row r="195">
      <c r="A195" s="4" t="inlineStr">
        <is>
          <t>其他福利支出</t>
        </is>
      </c>
      <c r="D195" s="7" t="n">
        <v>22.7</v>
      </c>
      <c r="F195" s="7" t="n">
        <v>28.9</v>
      </c>
      <c r="H195" s="7" t="n">
        <v>37.2</v>
      </c>
      <c r="J195" s="7" t="n">
        <v>98.3</v>
      </c>
      <c r="L195" s="7" t="n">
        <v>75.8</v>
      </c>
      <c r="N195" s="7" t="n">
        <v>33.1</v>
      </c>
      <c r="P195" s="7" t="n">
        <v>103.7</v>
      </c>
      <c r="R195" s="7" t="n">
        <v>80.59999999999999</v>
      </c>
      <c r="T195" s="7" t="n">
        <v>31.4</v>
      </c>
      <c r="V195" s="7" t="n">
        <v>77.8</v>
      </c>
      <c r="X195" s="7" t="n">
        <v>74.90000000000001</v>
      </c>
      <c r="Z195" s="7" t="n">
        <v>57</v>
      </c>
      <c r="AB195" s="7" t="n">
        <v>721.4</v>
      </c>
    </row>
    <row r="196">
      <c r="A196" s="4" t="inlineStr">
        <is>
          <t>招聘费</t>
        </is>
      </c>
      <c r="D196" s="7" t="n">
        <v>72.7</v>
      </c>
      <c r="F196" s="7" t="n">
        <v>62.8</v>
      </c>
      <c r="H196" s="7" t="n">
        <v>186.2</v>
      </c>
      <c r="J196" s="7" t="n">
        <v>256.3</v>
      </c>
      <c r="L196" s="7" t="n">
        <v>316.1</v>
      </c>
      <c r="N196" s="7" t="n">
        <v>161</v>
      </c>
      <c r="P196" s="7" t="n">
        <v>405.8</v>
      </c>
      <c r="R196" s="7" t="n">
        <v>219.5</v>
      </c>
      <c r="T196" s="7" t="n">
        <v>132.2</v>
      </c>
      <c r="V196" s="7" t="n">
        <v>166</v>
      </c>
      <c r="X196" s="7" t="n">
        <v>248.4</v>
      </c>
      <c r="Z196" s="7" t="n">
        <v>141.9</v>
      </c>
      <c r="AB196" s="7" t="n">
        <v>2368.9</v>
      </c>
    </row>
    <row r="197">
      <c r="A197" s="4" t="inlineStr">
        <is>
          <t>办公费</t>
        </is>
      </c>
      <c r="D197" s="7" t="n">
        <v>447.7</v>
      </c>
      <c r="F197" s="7" t="n">
        <v>560.1</v>
      </c>
      <c r="H197" s="7" t="n">
        <v>895.1</v>
      </c>
      <c r="J197" s="7" t="n">
        <v>1931.4</v>
      </c>
      <c r="L197" s="7" t="n">
        <v>1386.4</v>
      </c>
      <c r="N197" s="7" t="n">
        <v>721</v>
      </c>
      <c r="P197" s="7" t="n">
        <v>2436</v>
      </c>
      <c r="R197" s="7" t="n">
        <v>2291.6</v>
      </c>
      <c r="T197" s="7" t="n">
        <v>870.5</v>
      </c>
      <c r="V197" s="7" t="n">
        <v>1057.7</v>
      </c>
      <c r="X197" s="7" t="n">
        <v>1480.3</v>
      </c>
      <c r="Z197" s="7" t="n">
        <v>1227.3</v>
      </c>
      <c r="AB197" s="7" t="n">
        <v>15305.1</v>
      </c>
    </row>
    <row r="198">
      <c r="A198" s="4" t="inlineStr">
        <is>
          <t>市内交通费</t>
        </is>
      </c>
      <c r="D198" s="7" t="n">
        <v>11.5</v>
      </c>
      <c r="F198" s="7" t="n">
        <v>19.9</v>
      </c>
      <c r="H198" s="7" t="n">
        <v>30.6</v>
      </c>
      <c r="J198" s="7" t="n">
        <v>48.8</v>
      </c>
      <c r="L198" s="7" t="n">
        <v>51.9</v>
      </c>
      <c r="N198" s="7" t="n">
        <v>23.5</v>
      </c>
      <c r="P198" s="7" t="n">
        <v>72.59999999999999</v>
      </c>
      <c r="R198" s="7" t="n">
        <v>46</v>
      </c>
      <c r="T198" s="7" t="n">
        <v>28.2</v>
      </c>
      <c r="V198" s="7" t="n">
        <v>46.4</v>
      </c>
      <c r="X198" s="7" t="n">
        <v>50.4</v>
      </c>
      <c r="Z198" s="7" t="n">
        <v>40.2</v>
      </c>
      <c r="AB198" s="7" t="n">
        <v>470</v>
      </c>
    </row>
    <row r="199">
      <c r="A199" s="4" t="inlineStr">
        <is>
          <t>差旅费</t>
        </is>
      </c>
      <c r="D199" s="7" t="n">
        <v>647.7</v>
      </c>
      <c r="F199" s="7" t="n">
        <v>774.3</v>
      </c>
      <c r="H199" s="7" t="n">
        <v>2299.3</v>
      </c>
      <c r="J199" s="7" t="n">
        <v>3571.4</v>
      </c>
      <c r="L199" s="7" t="n">
        <v>4252.1</v>
      </c>
      <c r="N199" s="7" t="n">
        <v>1428.8</v>
      </c>
      <c r="P199" s="7" t="n">
        <v>4969.1</v>
      </c>
      <c r="R199" s="7" t="n">
        <v>4213.5</v>
      </c>
      <c r="T199" s="7" t="n">
        <v>1821.8</v>
      </c>
      <c r="V199" s="7" t="n">
        <v>2689.2</v>
      </c>
      <c r="X199" s="7" t="n">
        <v>3528.3</v>
      </c>
      <c r="Z199" s="7" t="n">
        <v>2903.8</v>
      </c>
      <c r="AB199" s="7" t="n">
        <v>33099.3</v>
      </c>
    </row>
    <row r="200">
      <c r="A200" s="4" t="inlineStr">
        <is>
          <t>交通费</t>
        </is>
      </c>
      <c r="D200" s="7" t="n">
        <v>23.1</v>
      </c>
      <c r="F200" s="7" t="n">
        <v>45.3</v>
      </c>
      <c r="H200" s="7" t="n">
        <v>79.8</v>
      </c>
      <c r="J200" s="7" t="n">
        <v>151.3</v>
      </c>
      <c r="L200" s="7" t="n">
        <v>116.6</v>
      </c>
      <c r="N200" s="7" t="n">
        <v>69.2</v>
      </c>
      <c r="P200" s="7" t="n">
        <v>166.6</v>
      </c>
      <c r="R200" s="7" t="n">
        <v>120.1</v>
      </c>
      <c r="T200" s="7" t="n">
        <v>48.4</v>
      </c>
      <c r="V200" s="7" t="n">
        <v>86.5</v>
      </c>
      <c r="X200" s="7" t="n">
        <v>112.9</v>
      </c>
      <c r="Z200" s="7" t="n">
        <v>108.9</v>
      </c>
      <c r="AB200" s="7" t="n">
        <v>1128.7</v>
      </c>
    </row>
    <row r="201">
      <c r="A201" s="4" t="inlineStr">
        <is>
          <t>住宿费</t>
        </is>
      </c>
      <c r="D201" s="7" t="n">
        <v>61.3</v>
      </c>
      <c r="F201" s="7" t="n">
        <v>78.5</v>
      </c>
      <c r="H201" s="7" t="n">
        <v>176.3</v>
      </c>
      <c r="J201" s="7" t="n">
        <v>307.2</v>
      </c>
      <c r="L201" s="7" t="n">
        <v>270</v>
      </c>
      <c r="N201" s="7" t="n">
        <v>145</v>
      </c>
      <c r="P201" s="7" t="n">
        <v>441.6</v>
      </c>
      <c r="R201" s="7" t="n">
        <v>317.6</v>
      </c>
      <c r="T201" s="7" t="n">
        <v>150.9</v>
      </c>
      <c r="V201" s="7" t="n">
        <v>143</v>
      </c>
      <c r="X201" s="7" t="n">
        <v>172.2</v>
      </c>
      <c r="Z201" s="7" t="n">
        <v>134.4</v>
      </c>
      <c r="AB201" s="7" t="n">
        <v>2398</v>
      </c>
    </row>
    <row r="202">
      <c r="A202" s="4" t="inlineStr">
        <is>
          <t>餐补</t>
        </is>
      </c>
      <c r="D202" s="7" t="n">
        <v>2</v>
      </c>
      <c r="F202" s="7" t="n">
        <v>2.6</v>
      </c>
      <c r="H202" s="7" t="n">
        <v>5.7</v>
      </c>
      <c r="J202" s="7" t="n">
        <v>7.4</v>
      </c>
      <c r="L202" s="7" t="n">
        <v>11.4</v>
      </c>
      <c r="N202" s="7" t="n">
        <v>6.8</v>
      </c>
      <c r="P202" s="7" t="n">
        <v>20.8</v>
      </c>
      <c r="R202" s="7" t="n">
        <v>9.5</v>
      </c>
      <c r="T202" s="7" t="n">
        <v>4.8</v>
      </c>
      <c r="V202" s="7" t="n">
        <v>9</v>
      </c>
      <c r="X202" s="7" t="n">
        <v>12.5</v>
      </c>
      <c r="Z202" s="7" t="n">
        <v>9.5</v>
      </c>
      <c r="AB202" s="7" t="n">
        <v>102</v>
      </c>
    </row>
    <row r="203">
      <c r="A203" s="4" t="inlineStr">
        <is>
          <t>交通补助</t>
        </is>
      </c>
      <c r="D203" s="7" t="n">
        <v>28.2</v>
      </c>
      <c r="F203" s="7" t="n">
        <v>47.5</v>
      </c>
      <c r="H203" s="7" t="n">
        <v>69.59999999999999</v>
      </c>
      <c r="J203" s="7" t="n">
        <v>91.59999999999999</v>
      </c>
      <c r="L203" s="7" t="n">
        <v>109.2</v>
      </c>
      <c r="N203" s="7" t="n">
        <v>55.7</v>
      </c>
      <c r="P203" s="7" t="n">
        <v>189.3</v>
      </c>
      <c r="R203" s="7" t="n">
        <v>188.3</v>
      </c>
      <c r="T203" s="7" t="n">
        <v>79.8</v>
      </c>
      <c r="V203" s="7" t="n">
        <v>123.9</v>
      </c>
      <c r="X203" s="7" t="n">
        <v>90.09999999999999</v>
      </c>
      <c r="Z203" s="7" t="n">
        <v>107.5</v>
      </c>
      <c r="AB203" s="7" t="n">
        <v>1180.7</v>
      </c>
    </row>
    <row r="204">
      <c r="A204" s="4" t="inlineStr">
        <is>
          <t>通讯补助</t>
        </is>
      </c>
      <c r="D204" s="7" t="n">
        <v>97.7</v>
      </c>
      <c r="F204" s="7" t="n">
        <v>136.5</v>
      </c>
      <c r="H204" s="7" t="n">
        <v>254.8</v>
      </c>
      <c r="J204" s="7" t="n">
        <v>261.1</v>
      </c>
      <c r="L204" s="7" t="n">
        <v>277.4</v>
      </c>
      <c r="N204" s="7" t="n">
        <v>205.8</v>
      </c>
      <c r="P204" s="7" t="n">
        <v>483</v>
      </c>
      <c r="R204" s="7" t="n">
        <v>470.5</v>
      </c>
      <c r="T204" s="7" t="n">
        <v>176.5</v>
      </c>
      <c r="V204" s="7" t="n">
        <v>218.9</v>
      </c>
      <c r="X204" s="7" t="n">
        <v>212.7</v>
      </c>
      <c r="Z204" s="7" t="n">
        <v>263.5</v>
      </c>
      <c r="AB204" s="7" t="n">
        <v>3058.4</v>
      </c>
    </row>
    <row r="205">
      <c r="A205" s="4" t="inlineStr">
        <is>
          <t>招待费</t>
        </is>
      </c>
      <c r="D205" s="7" t="n">
        <v>393</v>
      </c>
      <c r="F205" s="7" t="n">
        <v>793.9</v>
      </c>
      <c r="H205" s="7" t="n">
        <v>1074.7</v>
      </c>
      <c r="J205" s="7" t="n">
        <v>1950.4</v>
      </c>
      <c r="L205" s="7" t="n">
        <v>2144.7</v>
      </c>
      <c r="N205" s="7" t="n">
        <v>839</v>
      </c>
      <c r="P205" s="7" t="n">
        <v>3050.1</v>
      </c>
      <c r="R205" s="7" t="n">
        <v>2395.7</v>
      </c>
      <c r="T205" s="7" t="n">
        <v>814.9</v>
      </c>
      <c r="V205" s="7" t="n">
        <v>1149.1</v>
      </c>
      <c r="X205" s="7" t="n">
        <v>2364.5</v>
      </c>
      <c r="Z205" s="7" t="n">
        <v>1778.6</v>
      </c>
      <c r="AB205" s="7" t="n">
        <v>18748.6</v>
      </c>
    </row>
    <row r="206">
      <c r="A206" s="4" t="inlineStr">
        <is>
          <t>通讯费</t>
        </is>
      </c>
      <c r="D206" s="7" t="n">
        <v>102.7</v>
      </c>
      <c r="F206" s="7" t="n">
        <v>126.1</v>
      </c>
      <c r="H206" s="7" t="n">
        <v>230.6</v>
      </c>
      <c r="J206" s="7" t="n">
        <v>268.6</v>
      </c>
      <c r="L206" s="7" t="n">
        <v>313.3</v>
      </c>
      <c r="N206" s="7" t="n">
        <v>201.5</v>
      </c>
      <c r="P206" s="7" t="n">
        <v>638.9</v>
      </c>
      <c r="R206" s="7" t="n">
        <v>312.7</v>
      </c>
      <c r="T206" s="7" t="n">
        <v>177.3</v>
      </c>
      <c r="V206" s="7" t="n">
        <v>302.8</v>
      </c>
      <c r="X206" s="7" t="n">
        <v>389.6</v>
      </c>
      <c r="Z206" s="7" t="n">
        <v>185.8</v>
      </c>
      <c r="AB206" s="7" t="n">
        <v>3249.9</v>
      </c>
    </row>
    <row r="207">
      <c r="A207" s="4" t="inlineStr">
        <is>
          <t>网络费</t>
        </is>
      </c>
      <c r="D207" s="7" t="n">
        <v>59.7</v>
      </c>
      <c r="F207" s="7" t="n">
        <v>68.09999999999999</v>
      </c>
      <c r="H207" s="7" t="n">
        <v>134.2</v>
      </c>
      <c r="J207" s="7" t="n">
        <v>225.5</v>
      </c>
      <c r="L207" s="7" t="n">
        <v>241.4</v>
      </c>
      <c r="N207" s="7" t="n">
        <v>122.8</v>
      </c>
      <c r="P207" s="7" t="n">
        <v>255.9</v>
      </c>
      <c r="R207" s="7" t="n">
        <v>170.1</v>
      </c>
      <c r="T207" s="7" t="n">
        <v>86</v>
      </c>
      <c r="V207" s="7" t="n">
        <v>178.7</v>
      </c>
      <c r="X207" s="7" t="n">
        <v>181</v>
      </c>
      <c r="Z207" s="7" t="n">
        <v>138.7</v>
      </c>
      <c r="AB207" s="7" t="n">
        <v>1862.1</v>
      </c>
    </row>
    <row r="208">
      <c r="A208" s="4" t="inlineStr">
        <is>
          <t>修理费</t>
        </is>
      </c>
      <c r="D208" s="7" t="n">
        <v>89.40000000000001</v>
      </c>
      <c r="F208" s="7" t="n">
        <v>107.8</v>
      </c>
      <c r="H208" s="7" t="n">
        <v>171</v>
      </c>
      <c r="J208" s="7" t="n">
        <v>332.9</v>
      </c>
      <c r="L208" s="7" t="n">
        <v>323.1</v>
      </c>
      <c r="N208" s="7" t="n">
        <v>180</v>
      </c>
      <c r="P208" s="7" t="n">
        <v>433.9</v>
      </c>
      <c r="R208" s="7" t="n">
        <v>466.5</v>
      </c>
      <c r="T208" s="7" t="n">
        <v>173.7</v>
      </c>
      <c r="V208" s="7" t="n">
        <v>189.2</v>
      </c>
      <c r="X208" s="7" t="n">
        <v>311.5</v>
      </c>
      <c r="Z208" s="7" t="n">
        <v>296.5</v>
      </c>
      <c r="AB208" s="7" t="n">
        <v>3075.5</v>
      </c>
    </row>
    <row r="209">
      <c r="A209" s="4" t="inlineStr">
        <is>
          <t>车辆费</t>
        </is>
      </c>
      <c r="D209" s="7" t="n">
        <v>55.7</v>
      </c>
      <c r="F209" s="7" t="n">
        <v>100.7</v>
      </c>
      <c r="H209" s="7" t="n">
        <v>107.9</v>
      </c>
      <c r="J209" s="7" t="n">
        <v>196.1</v>
      </c>
      <c r="L209" s="7" t="n">
        <v>200.7</v>
      </c>
      <c r="N209" s="7" t="n">
        <v>161.5</v>
      </c>
      <c r="P209" s="7" t="n">
        <v>382.9</v>
      </c>
      <c r="R209" s="7" t="n">
        <v>263</v>
      </c>
      <c r="T209" s="7" t="n">
        <v>114.8</v>
      </c>
      <c r="V209" s="7" t="n">
        <v>199.3</v>
      </c>
      <c r="X209" s="7" t="n">
        <v>260.9</v>
      </c>
      <c r="Z209" s="7" t="n">
        <v>163.2</v>
      </c>
      <c r="AB209" s="7" t="n">
        <v>2206.7</v>
      </c>
    </row>
    <row r="210">
      <c r="A210" s="4" t="inlineStr">
        <is>
          <t>租赁费</t>
        </is>
      </c>
      <c r="D210" s="7" t="n">
        <v>832.7</v>
      </c>
      <c r="F210" s="7" t="n">
        <v>1147.7</v>
      </c>
      <c r="H210" s="7" t="n">
        <v>1275</v>
      </c>
      <c r="J210" s="7" t="n">
        <v>2350.9</v>
      </c>
      <c r="L210" s="7" t="n">
        <v>3124</v>
      </c>
      <c r="N210" s="7" t="n">
        <v>1665.1</v>
      </c>
      <c r="P210" s="7" t="n">
        <v>4810.6</v>
      </c>
      <c r="R210" s="7" t="n">
        <v>3192.8</v>
      </c>
      <c r="T210" s="7" t="n">
        <v>1627.7</v>
      </c>
      <c r="V210" s="7" t="n">
        <v>2384.8</v>
      </c>
      <c r="X210" s="7" t="n">
        <v>2851.5</v>
      </c>
      <c r="Z210" s="7" t="n">
        <v>1905.9</v>
      </c>
      <c r="AB210" s="7" t="n">
        <v>27168.7</v>
      </c>
    </row>
    <row r="211">
      <c r="A211" s="4" t="inlineStr">
        <is>
          <t>能源费</t>
        </is>
      </c>
      <c r="D211" s="7" t="n">
        <v>189</v>
      </c>
      <c r="F211" s="7" t="n">
        <v>253.8</v>
      </c>
      <c r="H211" s="7" t="n">
        <v>449.7</v>
      </c>
      <c r="J211" s="7" t="n">
        <v>632.9</v>
      </c>
      <c r="L211" s="7" t="n">
        <v>727.7</v>
      </c>
      <c r="N211" s="7" t="n">
        <v>384.2</v>
      </c>
      <c r="P211" s="7" t="n">
        <v>938.1</v>
      </c>
      <c r="R211" s="7" t="n">
        <v>848.9</v>
      </c>
      <c r="T211" s="7" t="n">
        <v>297.8</v>
      </c>
      <c r="V211" s="7" t="n">
        <v>559.2</v>
      </c>
      <c r="X211" s="7" t="n">
        <v>676.5</v>
      </c>
      <c r="Z211" s="7" t="n">
        <v>533.6</v>
      </c>
      <c r="AB211" s="7" t="n">
        <v>6491.4</v>
      </c>
    </row>
    <row r="212">
      <c r="A212" s="4" t="inlineStr">
        <is>
          <t>水费</t>
        </is>
      </c>
      <c r="D212" s="7" t="n">
        <v>38.2</v>
      </c>
      <c r="F212" s="7" t="n">
        <v>68.59999999999999</v>
      </c>
      <c r="H212" s="7" t="n">
        <v>96</v>
      </c>
      <c r="J212" s="7" t="n">
        <v>210.3</v>
      </c>
      <c r="L212" s="7" t="n">
        <v>188.2</v>
      </c>
      <c r="N212" s="7" t="n">
        <v>111</v>
      </c>
      <c r="P212" s="7" t="n">
        <v>212</v>
      </c>
      <c r="R212" s="7" t="n">
        <v>178.6</v>
      </c>
      <c r="T212" s="7" t="n">
        <v>76.7</v>
      </c>
      <c r="V212" s="7" t="n">
        <v>149.8</v>
      </c>
      <c r="X212" s="7" t="n">
        <v>117</v>
      </c>
      <c r="Z212" s="7" t="n">
        <v>141.4</v>
      </c>
      <c r="AB212" s="7" t="n">
        <v>1587.8</v>
      </c>
    </row>
    <row r="213">
      <c r="A213" s="4" t="inlineStr">
        <is>
          <t>电费</t>
        </is>
      </c>
      <c r="D213" s="7" t="n">
        <v>47.5</v>
      </c>
      <c r="F213" s="7" t="n">
        <v>65.5</v>
      </c>
      <c r="H213" s="7" t="n">
        <v>78.40000000000001</v>
      </c>
      <c r="J213" s="7" t="n">
        <v>108.2</v>
      </c>
      <c r="L213" s="7" t="n">
        <v>202.5</v>
      </c>
      <c r="N213" s="7" t="n">
        <v>86.59999999999999</v>
      </c>
      <c r="P213" s="7" t="n">
        <v>180.8</v>
      </c>
      <c r="R213" s="7" t="n">
        <v>143.1</v>
      </c>
      <c r="T213" s="7" t="n">
        <v>56</v>
      </c>
      <c r="V213" s="7" t="n">
        <v>153.3</v>
      </c>
      <c r="X213" s="7" t="n">
        <v>120</v>
      </c>
      <c r="Z213" s="7" t="n">
        <v>114.1</v>
      </c>
      <c r="AB213" s="7" t="n">
        <v>1356</v>
      </c>
    </row>
    <row r="214">
      <c r="A214" s="4" t="inlineStr">
        <is>
          <t>燃气费</t>
        </is>
      </c>
      <c r="D214" s="7" t="n">
        <v>73.90000000000001</v>
      </c>
      <c r="F214" s="7" t="n">
        <v>73</v>
      </c>
      <c r="H214" s="7" t="n">
        <v>208.4</v>
      </c>
      <c r="J214" s="7" t="n">
        <v>200.8</v>
      </c>
      <c r="L214" s="7" t="n">
        <v>225.1</v>
      </c>
      <c r="N214" s="7" t="n">
        <v>121.4</v>
      </c>
      <c r="P214" s="7" t="n">
        <v>349</v>
      </c>
      <c r="R214" s="7" t="n">
        <v>385.7</v>
      </c>
      <c r="T214" s="7" t="n">
        <v>101.7</v>
      </c>
      <c r="V214" s="7" t="n">
        <v>187.1</v>
      </c>
      <c r="X214" s="7" t="n">
        <v>328.2</v>
      </c>
      <c r="Z214" s="7" t="n">
        <v>209.6</v>
      </c>
      <c r="AB214" s="7" t="n">
        <v>2463.9</v>
      </c>
    </row>
    <row r="215">
      <c r="A215" s="4" t="inlineStr">
        <is>
          <t>蒸汽费</t>
        </is>
      </c>
      <c r="D215" s="7" t="n">
        <v>29.4</v>
      </c>
      <c r="F215" s="7" t="n">
        <v>46.7</v>
      </c>
      <c r="H215" s="7" t="n">
        <v>66.90000000000001</v>
      </c>
      <c r="J215" s="7" t="n">
        <v>113.6</v>
      </c>
      <c r="L215" s="7" t="n">
        <v>111.9</v>
      </c>
      <c r="N215" s="7" t="n">
        <v>65.2</v>
      </c>
      <c r="P215" s="7" t="n">
        <v>196.3</v>
      </c>
      <c r="R215" s="7" t="n">
        <v>141.5</v>
      </c>
      <c r="T215" s="7" t="n">
        <v>63.4</v>
      </c>
      <c r="V215" s="7" t="n">
        <v>69</v>
      </c>
      <c r="X215" s="7" t="n">
        <v>111.3</v>
      </c>
      <c r="Z215" s="7" t="n">
        <v>68.5</v>
      </c>
      <c r="AB215" s="7" t="n">
        <v>1083.7</v>
      </c>
    </row>
    <row r="216">
      <c r="A216" s="4" t="inlineStr">
        <is>
          <t>物业费</t>
        </is>
      </c>
      <c r="D216" s="7" t="n">
        <v>20.1</v>
      </c>
      <c r="F216" s="7" t="n">
        <v>41.8</v>
      </c>
      <c r="H216" s="7" t="n">
        <v>82.59999999999999</v>
      </c>
      <c r="J216" s="7" t="n">
        <v>101.3</v>
      </c>
      <c r="L216" s="7" t="n">
        <v>124.1</v>
      </c>
      <c r="N216" s="7" t="n">
        <v>46.2</v>
      </c>
      <c r="P216" s="7" t="n">
        <v>185.4</v>
      </c>
      <c r="R216" s="7" t="n">
        <v>137.4</v>
      </c>
      <c r="T216" s="7" t="n">
        <v>48.3</v>
      </c>
      <c r="V216" s="7" t="n">
        <v>109.1</v>
      </c>
      <c r="X216" s="7" t="n">
        <v>99.5</v>
      </c>
      <c r="Z216" s="7" t="n">
        <v>61</v>
      </c>
      <c r="AB216" s="7" t="n">
        <v>1056.8</v>
      </c>
    </row>
    <row r="217">
      <c r="A217" s="4" t="inlineStr">
        <is>
          <t>劳动保护费</t>
        </is>
      </c>
      <c r="D217" s="7" t="n">
        <v>3.4</v>
      </c>
      <c r="F217" s="7" t="n">
        <v>5.6</v>
      </c>
      <c r="H217" s="7" t="n">
        <v>8.1</v>
      </c>
      <c r="J217" s="7" t="n">
        <v>13.5</v>
      </c>
      <c r="L217" s="7" t="n">
        <v>11</v>
      </c>
      <c r="N217" s="7" t="n">
        <v>8.4</v>
      </c>
      <c r="P217" s="7" t="n">
        <v>22.8</v>
      </c>
      <c r="R217" s="7" t="n">
        <v>19.4</v>
      </c>
      <c r="T217" s="7" t="n">
        <v>6.2</v>
      </c>
      <c r="V217" s="7" t="n">
        <v>11.8</v>
      </c>
      <c r="X217" s="7" t="n">
        <v>10.2</v>
      </c>
      <c r="Z217" s="7" t="n">
        <v>13.3</v>
      </c>
      <c r="AB217" s="7" t="n">
        <v>133.7</v>
      </c>
    </row>
    <row r="218">
      <c r="A218" s="4" t="inlineStr">
        <is>
          <t>顾问费</t>
        </is>
      </c>
      <c r="D218" s="7" t="n">
        <v>2.7</v>
      </c>
      <c r="F218" s="7" t="n">
        <v>4.7</v>
      </c>
      <c r="H218" s="7" t="n">
        <v>8.800000000000001</v>
      </c>
      <c r="J218" s="7" t="n">
        <v>9.699999999999999</v>
      </c>
      <c r="L218" s="7" t="n">
        <v>12.3</v>
      </c>
      <c r="N218" s="7" t="n">
        <v>4.6</v>
      </c>
      <c r="P218" s="7" t="n">
        <v>13.9</v>
      </c>
      <c r="R218" s="7" t="n">
        <v>16.8</v>
      </c>
      <c r="T218" s="7" t="n">
        <v>6.7</v>
      </c>
      <c r="V218" s="7" t="n">
        <v>11.5</v>
      </c>
      <c r="X218" s="7" t="n">
        <v>10.4</v>
      </c>
      <c r="Z218" s="7" t="n">
        <v>9.199999999999999</v>
      </c>
      <c r="AB218" s="7" t="n">
        <v>111.3</v>
      </c>
    </row>
    <row r="219">
      <c r="A219" s="4" t="inlineStr">
        <is>
          <t>快递费</t>
        </is>
      </c>
      <c r="D219" s="7" t="n">
        <v>45.2</v>
      </c>
      <c r="F219" s="7" t="n">
        <v>50.4</v>
      </c>
      <c r="H219" s="7" t="n">
        <v>123.5</v>
      </c>
      <c r="J219" s="7" t="n">
        <v>172.4</v>
      </c>
      <c r="L219" s="7" t="n">
        <v>128.2</v>
      </c>
      <c r="N219" s="7" t="n">
        <v>92.7</v>
      </c>
      <c r="P219" s="7" t="n">
        <v>270.1</v>
      </c>
      <c r="R219" s="7" t="n">
        <v>184.7</v>
      </c>
      <c r="T219" s="7" t="n">
        <v>95.40000000000001</v>
      </c>
      <c r="V219" s="7" t="n">
        <v>108</v>
      </c>
      <c r="X219" s="7" t="n">
        <v>115.6</v>
      </c>
      <c r="Z219" s="7" t="n">
        <v>107.9</v>
      </c>
      <c r="AB219" s="7" t="n">
        <v>1494.1</v>
      </c>
    </row>
    <row r="220">
      <c r="A220" s="4" t="inlineStr">
        <is>
          <t>诉讼费</t>
        </is>
      </c>
      <c r="D220" s="7" t="n">
        <v>22.2</v>
      </c>
      <c r="F220" s="7" t="n">
        <v>30.7</v>
      </c>
      <c r="H220" s="7" t="n">
        <v>84.7</v>
      </c>
      <c r="J220" s="7" t="n">
        <v>92.5</v>
      </c>
      <c r="L220" s="7" t="n">
        <v>124.7</v>
      </c>
      <c r="N220" s="7" t="n">
        <v>44.4</v>
      </c>
      <c r="P220" s="7" t="n">
        <v>201.3</v>
      </c>
      <c r="R220" s="7" t="n">
        <v>157.4</v>
      </c>
      <c r="T220" s="7" t="n">
        <v>68.40000000000001</v>
      </c>
      <c r="V220" s="7" t="n">
        <v>102.6</v>
      </c>
      <c r="X220" s="7" t="n">
        <v>75.3</v>
      </c>
      <c r="Z220" s="7" t="n">
        <v>71.5</v>
      </c>
      <c r="AB220" s="7" t="n">
        <v>1075.7</v>
      </c>
    </row>
    <row r="221">
      <c r="A221" s="4" t="inlineStr">
        <is>
          <t>会员费</t>
        </is>
      </c>
      <c r="D221" s="7" t="n">
        <v>32.9</v>
      </c>
      <c r="F221" s="7" t="n">
        <v>47.9</v>
      </c>
      <c r="H221" s="7" t="n">
        <v>60.5</v>
      </c>
      <c r="J221" s="7" t="n">
        <v>112</v>
      </c>
      <c r="L221" s="7" t="n">
        <v>144.6</v>
      </c>
      <c r="N221" s="7" t="n">
        <v>80.7</v>
      </c>
      <c r="P221" s="7" t="n">
        <v>134.8</v>
      </c>
      <c r="R221" s="7" t="n">
        <v>106.8</v>
      </c>
      <c r="T221" s="7" t="n">
        <v>64.59999999999999</v>
      </c>
      <c r="V221" s="7" t="n">
        <v>114.7</v>
      </c>
      <c r="X221" s="7" t="n">
        <v>110.4</v>
      </c>
      <c r="Z221" s="7" t="n">
        <v>87.3</v>
      </c>
      <c r="AB221" s="7" t="n">
        <v>1097.2</v>
      </c>
    </row>
    <row r="222">
      <c r="A222" s="4" t="inlineStr">
        <is>
          <t>广告宣传费</t>
        </is>
      </c>
      <c r="D222" s="7" t="n">
        <v>367.4</v>
      </c>
      <c r="F222" s="7" t="n">
        <v>597.7</v>
      </c>
      <c r="H222" s="7" t="n">
        <v>692.4</v>
      </c>
      <c r="J222" s="7" t="n">
        <v>1582.2</v>
      </c>
      <c r="L222" s="7" t="n">
        <v>1938.1</v>
      </c>
      <c r="N222" s="7" t="n">
        <v>941.6</v>
      </c>
      <c r="P222" s="7" t="n">
        <v>1821</v>
      </c>
      <c r="R222" s="7" t="n">
        <v>1805.6</v>
      </c>
      <c r="T222" s="7" t="n">
        <v>658.5</v>
      </c>
      <c r="V222" s="7" t="n">
        <v>1259.2</v>
      </c>
      <c r="X222" s="7" t="n">
        <v>1365.1</v>
      </c>
      <c r="Z222" s="7" t="n">
        <v>901.2</v>
      </c>
      <c r="AB222" s="7" t="n">
        <v>13930</v>
      </c>
    </row>
    <row r="223">
      <c r="A223" s="4" t="inlineStr">
        <is>
          <t>会务费</t>
        </is>
      </c>
      <c r="D223" s="7" t="n">
        <v>29.1</v>
      </c>
      <c r="F223" s="7" t="n">
        <v>28.1</v>
      </c>
      <c r="H223" s="7" t="n">
        <v>52.5</v>
      </c>
      <c r="J223" s="7" t="n">
        <v>112</v>
      </c>
      <c r="L223" s="7" t="n">
        <v>124.1</v>
      </c>
      <c r="N223" s="7" t="n">
        <v>61.3</v>
      </c>
      <c r="P223" s="7" t="n">
        <v>105.8</v>
      </c>
      <c r="R223" s="7" t="n">
        <v>84</v>
      </c>
      <c r="T223" s="7" t="n">
        <v>45.5</v>
      </c>
      <c r="V223" s="7" t="n">
        <v>76.8</v>
      </c>
      <c r="X223" s="7" t="n">
        <v>79.59999999999999</v>
      </c>
      <c r="Z223" s="7" t="n">
        <v>90.90000000000001</v>
      </c>
      <c r="AB223" s="7" t="n">
        <v>889.7</v>
      </c>
    </row>
    <row r="224">
      <c r="A224" s="4" t="inlineStr">
        <is>
          <t>装修费</t>
        </is>
      </c>
      <c r="D224" s="7" t="n">
        <v>28</v>
      </c>
      <c r="F224" s="7" t="n">
        <v>32.2</v>
      </c>
      <c r="H224" s="7" t="n">
        <v>93.09999999999999</v>
      </c>
      <c r="J224" s="7" t="n">
        <v>103.2</v>
      </c>
      <c r="L224" s="7" t="n">
        <v>134.3</v>
      </c>
      <c r="N224" s="7" t="n">
        <v>73.59999999999999</v>
      </c>
      <c r="P224" s="7" t="n">
        <v>163.3</v>
      </c>
      <c r="R224" s="7" t="n">
        <v>118</v>
      </c>
      <c r="T224" s="7" t="n">
        <v>48.3</v>
      </c>
      <c r="V224" s="7" t="n">
        <v>111.3</v>
      </c>
      <c r="X224" s="7" t="n">
        <v>82.59999999999999</v>
      </c>
      <c r="Z224" s="7" t="n">
        <v>73.2</v>
      </c>
      <c r="AB224" s="7" t="n">
        <v>1061.1</v>
      </c>
    </row>
    <row r="225">
      <c r="A225" s="4" t="inlineStr">
        <is>
          <t>推广费</t>
        </is>
      </c>
      <c r="D225" s="7" t="n">
        <v>52.8</v>
      </c>
      <c r="F225" s="7" t="n">
        <v>101.1</v>
      </c>
      <c r="H225" s="7" t="n">
        <v>176</v>
      </c>
      <c r="J225" s="7" t="n">
        <v>189.4</v>
      </c>
      <c r="L225" s="7" t="n">
        <v>367.3</v>
      </c>
      <c r="N225" s="7" t="n">
        <v>117.4</v>
      </c>
      <c r="P225" s="7" t="n">
        <v>514.4</v>
      </c>
      <c r="R225" s="7" t="n">
        <v>384.4</v>
      </c>
      <c r="T225" s="7" t="n">
        <v>154.4</v>
      </c>
      <c r="V225" s="7" t="n">
        <v>170.5</v>
      </c>
      <c r="X225" s="7" t="n">
        <v>242.9</v>
      </c>
      <c r="Z225" s="7" t="n">
        <v>207.4</v>
      </c>
      <c r="AB225" s="7" t="n">
        <v>2678</v>
      </c>
    </row>
    <row r="226">
      <c r="A226" s="4" t="inlineStr">
        <is>
          <t>展会费</t>
        </is>
      </c>
      <c r="D226" s="7" t="n">
        <v>8.1</v>
      </c>
      <c r="F226" s="7" t="n">
        <v>12.5</v>
      </c>
      <c r="H226" s="7" t="n">
        <v>21.6</v>
      </c>
      <c r="J226" s="7" t="n">
        <v>39.9</v>
      </c>
      <c r="L226" s="7" t="n">
        <v>29.6</v>
      </c>
      <c r="N226" s="7" t="n">
        <v>14.6</v>
      </c>
      <c r="P226" s="7" t="n">
        <v>51.9</v>
      </c>
      <c r="R226" s="7" t="n">
        <v>48.3</v>
      </c>
      <c r="T226" s="7" t="n">
        <v>12.2</v>
      </c>
      <c r="V226" s="7" t="n">
        <v>26.6</v>
      </c>
      <c r="X226" s="7" t="n">
        <v>40.1</v>
      </c>
      <c r="Z226" s="7" t="n">
        <v>27.4</v>
      </c>
      <c r="AB226" s="7" t="n">
        <v>332.8</v>
      </c>
    </row>
    <row r="227">
      <c r="A227" s="4" t="inlineStr">
        <is>
          <t>设计费</t>
        </is>
      </c>
      <c r="D227" s="7" t="n">
        <v>24.8</v>
      </c>
      <c r="F227" s="7" t="n">
        <v>34.7</v>
      </c>
      <c r="H227" s="7" t="n">
        <v>48.1</v>
      </c>
      <c r="J227" s="7" t="n">
        <v>70.3</v>
      </c>
      <c r="L227" s="7" t="n">
        <v>80.40000000000001</v>
      </c>
      <c r="N227" s="7" t="n">
        <v>34.6</v>
      </c>
      <c r="P227" s="7" t="n">
        <v>123.5</v>
      </c>
      <c r="R227" s="7" t="n">
        <v>121.1</v>
      </c>
      <c r="T227" s="7" t="n">
        <v>47.9</v>
      </c>
      <c r="V227" s="7" t="n">
        <v>47.1</v>
      </c>
      <c r="X227" s="7" t="n">
        <v>85.3</v>
      </c>
      <c r="Z227" s="7" t="n">
        <v>82.90000000000001</v>
      </c>
      <c r="AB227" s="7" t="n">
        <v>800.7</v>
      </c>
    </row>
    <row r="228">
      <c r="A228" s="4" t="inlineStr">
        <is>
          <t>折旧费</t>
        </is>
      </c>
      <c r="D228" s="7" t="n">
        <v>497.6</v>
      </c>
      <c r="F228" s="7" t="n">
        <v>757.4</v>
      </c>
      <c r="H228" s="7" t="n">
        <v>1581.3</v>
      </c>
      <c r="J228" s="7" t="n">
        <v>2388.2</v>
      </c>
      <c r="L228" s="7" t="n">
        <v>1797.3</v>
      </c>
      <c r="N228" s="7" t="n">
        <v>1241.6</v>
      </c>
      <c r="P228" s="7" t="n">
        <v>3732.9</v>
      </c>
      <c r="R228" s="7" t="n">
        <v>3016.6</v>
      </c>
      <c r="T228" s="7" t="n">
        <v>1101</v>
      </c>
      <c r="V228" s="7" t="n">
        <v>1871.9</v>
      </c>
      <c r="X228" s="7" t="n">
        <v>1516.7</v>
      </c>
      <c r="Z228" s="7" t="n">
        <v>1722.4</v>
      </c>
      <c r="AB228" s="7" t="n">
        <v>21224.9</v>
      </c>
    </row>
    <row r="229">
      <c r="A229" s="4" t="inlineStr">
        <is>
          <t>认证费</t>
        </is>
      </c>
      <c r="D229" s="7" t="n">
        <v>29.2</v>
      </c>
      <c r="F229" s="7" t="n">
        <v>32.2</v>
      </c>
      <c r="H229" s="7" t="n">
        <v>43.9</v>
      </c>
      <c r="J229" s="7" t="n">
        <v>72.5</v>
      </c>
      <c r="L229" s="7" t="n">
        <v>82</v>
      </c>
      <c r="N229" s="7" t="n">
        <v>67.59999999999999</v>
      </c>
      <c r="P229" s="7" t="n">
        <v>118</v>
      </c>
      <c r="R229" s="7" t="n">
        <v>125.1</v>
      </c>
      <c r="T229" s="7" t="n">
        <v>44</v>
      </c>
      <c r="V229" s="7" t="n">
        <v>71.59999999999999</v>
      </c>
      <c r="X229" s="7" t="n">
        <v>88.09999999999999</v>
      </c>
      <c r="Z229" s="7" t="n">
        <v>90.8</v>
      </c>
      <c r="AB229" s="7" t="n">
        <v>865</v>
      </c>
    </row>
    <row r="230">
      <c r="A230" s="4" t="inlineStr">
        <is>
          <t>样品费</t>
        </is>
      </c>
      <c r="D230" s="7" t="n">
        <v>332.9</v>
      </c>
      <c r="F230" s="7" t="n">
        <v>314</v>
      </c>
      <c r="H230" s="7" t="n">
        <v>661.7</v>
      </c>
      <c r="J230" s="7" t="n">
        <v>931.3</v>
      </c>
      <c r="L230" s="7" t="n">
        <v>1024.2</v>
      </c>
      <c r="N230" s="7" t="n">
        <v>737</v>
      </c>
      <c r="P230" s="7" t="n">
        <v>1600.3</v>
      </c>
      <c r="R230" s="7" t="n">
        <v>1139.4</v>
      </c>
      <c r="T230" s="7" t="n">
        <v>618.9</v>
      </c>
      <c r="V230" s="7" t="n">
        <v>903.4</v>
      </c>
      <c r="X230" s="7" t="n">
        <v>1066.5</v>
      </c>
      <c r="Z230" s="7" t="n">
        <v>1019.4</v>
      </c>
      <c r="AB230" s="7" t="n">
        <v>10349</v>
      </c>
    </row>
    <row r="231">
      <c r="A231" s="4" t="inlineStr">
        <is>
          <t>劳务费</t>
        </is>
      </c>
      <c r="D231" s="7" t="n">
        <v>57.9</v>
      </c>
      <c r="F231" s="7" t="n">
        <v>73.8</v>
      </c>
      <c r="H231" s="7" t="n">
        <v>126.2</v>
      </c>
      <c r="J231" s="7" t="n">
        <v>155.6</v>
      </c>
      <c r="L231" s="7" t="n">
        <v>228.2</v>
      </c>
      <c r="N231" s="7" t="n">
        <v>104.3</v>
      </c>
      <c r="P231" s="7" t="n">
        <v>318.6</v>
      </c>
      <c r="R231" s="7" t="n">
        <v>261.8</v>
      </c>
      <c r="T231" s="7" t="n">
        <v>85.5</v>
      </c>
      <c r="V231" s="7" t="n">
        <v>138.6</v>
      </c>
      <c r="X231" s="7" t="n">
        <v>163.4</v>
      </c>
      <c r="Z231" s="7" t="n">
        <v>140.9</v>
      </c>
      <c r="AB231" s="7" t="n">
        <v>1854.8</v>
      </c>
    </row>
    <row r="232">
      <c r="A232" s="4" t="inlineStr">
        <is>
          <t>销售佣金</t>
        </is>
      </c>
      <c r="D232" s="7" t="n">
        <v>39.8</v>
      </c>
      <c r="F232" s="7" t="n">
        <v>74.5</v>
      </c>
      <c r="H232" s="7" t="n">
        <v>135.8</v>
      </c>
      <c r="J232" s="7" t="n">
        <v>181.9</v>
      </c>
      <c r="L232" s="7" t="n">
        <v>177.2</v>
      </c>
      <c r="N232" s="7" t="n">
        <v>86.40000000000001</v>
      </c>
      <c r="P232" s="7" t="n">
        <v>319.9</v>
      </c>
      <c r="R232" s="7" t="n">
        <v>208.1</v>
      </c>
      <c r="T232" s="7" t="n">
        <v>80.7</v>
      </c>
      <c r="V232" s="7" t="n">
        <v>117.3</v>
      </c>
      <c r="X232" s="7" t="n">
        <v>153.4</v>
      </c>
      <c r="Z232" s="7" t="n">
        <v>149.9</v>
      </c>
      <c r="AB232" s="7" t="n">
        <v>1724.9</v>
      </c>
    </row>
    <row r="233">
      <c r="A233" s="4" t="inlineStr">
        <is>
          <t>检测费</t>
        </is>
      </c>
      <c r="D233" s="7" t="n">
        <v>82.8</v>
      </c>
      <c r="F233" s="7" t="n">
        <v>70.3</v>
      </c>
      <c r="H233" s="7" t="n">
        <v>189.7</v>
      </c>
      <c r="J233" s="7" t="n">
        <v>229.6</v>
      </c>
      <c r="L233" s="7" t="n">
        <v>324.3</v>
      </c>
      <c r="N233" s="7" t="n">
        <v>134.1</v>
      </c>
      <c r="P233" s="7" t="n">
        <v>410.7</v>
      </c>
      <c r="R233" s="7" t="n">
        <v>275</v>
      </c>
      <c r="T233" s="7" t="n">
        <v>150.3</v>
      </c>
      <c r="V233" s="7" t="n">
        <v>214.5</v>
      </c>
      <c r="X233" s="7" t="n">
        <v>193.4</v>
      </c>
      <c r="Z233" s="7" t="n">
        <v>232.4</v>
      </c>
      <c r="AB233" s="7" t="n">
        <v>2507.1</v>
      </c>
    </row>
    <row r="234">
      <c r="A234" s="4" t="inlineStr">
        <is>
          <t>质量赔偿</t>
        </is>
      </c>
      <c r="D234" s="7" t="n">
        <v>82.8</v>
      </c>
      <c r="F234" s="7" t="n">
        <v>84.2</v>
      </c>
      <c r="H234" s="7" t="n">
        <v>218.5</v>
      </c>
      <c r="J234" s="7" t="n">
        <v>357.7</v>
      </c>
      <c r="L234" s="7" t="n">
        <v>269.3</v>
      </c>
      <c r="N234" s="7" t="n">
        <v>181.6</v>
      </c>
      <c r="P234" s="7" t="n">
        <v>455.7</v>
      </c>
      <c r="R234" s="7" t="n">
        <v>297.7</v>
      </c>
      <c r="T234" s="7" t="n">
        <v>144</v>
      </c>
      <c r="V234" s="7" t="n">
        <v>201.1</v>
      </c>
      <c r="X234" s="7" t="n">
        <v>285.4</v>
      </c>
      <c r="Z234" s="7" t="n">
        <v>238.8</v>
      </c>
      <c r="AB234" s="7" t="n">
        <v>2816.8</v>
      </c>
    </row>
    <row r="235">
      <c r="A235" s="4" t="inlineStr">
        <is>
          <t>保险费</t>
        </is>
      </c>
      <c r="D235" s="7" t="n">
        <v>13.6</v>
      </c>
      <c r="F235" s="7" t="n">
        <v>14.5</v>
      </c>
      <c r="H235" s="7" t="n">
        <v>39.8</v>
      </c>
      <c r="J235" s="7" t="n">
        <v>59.2</v>
      </c>
      <c r="L235" s="7" t="n">
        <v>71.7</v>
      </c>
      <c r="N235" s="7" t="n">
        <v>19.6</v>
      </c>
      <c r="P235" s="7" t="n">
        <v>62</v>
      </c>
      <c r="R235" s="7" t="n">
        <v>74</v>
      </c>
      <c r="T235" s="7" t="n">
        <v>30.5</v>
      </c>
      <c r="V235" s="7" t="n">
        <v>37.9</v>
      </c>
      <c r="X235" s="7" t="n">
        <v>59.3</v>
      </c>
      <c r="Z235" s="7" t="n">
        <v>41</v>
      </c>
      <c r="AB235" s="7" t="n">
        <v>523.1</v>
      </c>
    </row>
    <row r="236">
      <c r="A236" s="4" t="inlineStr">
        <is>
          <t>清洁费</t>
        </is>
      </c>
      <c r="D236" s="7" t="n">
        <v>25.2</v>
      </c>
      <c r="F236" s="7" t="n">
        <v>26.5</v>
      </c>
      <c r="H236" s="7" t="n">
        <v>43</v>
      </c>
      <c r="J236" s="7" t="n">
        <v>90.3</v>
      </c>
      <c r="L236" s="7" t="n">
        <v>135.5</v>
      </c>
      <c r="N236" s="7" t="n">
        <v>55.8</v>
      </c>
      <c r="P236" s="7" t="n">
        <v>142.4</v>
      </c>
      <c r="R236" s="7" t="n">
        <v>103.6</v>
      </c>
      <c r="T236" s="7" t="n">
        <v>35.5</v>
      </c>
      <c r="V236" s="7" t="n">
        <v>59.6</v>
      </c>
      <c r="X236" s="7" t="n">
        <v>79.5</v>
      </c>
      <c r="Z236" s="7" t="n">
        <v>87.2</v>
      </c>
      <c r="AB236" s="7" t="n">
        <v>884.1</v>
      </c>
    </row>
    <row r="237">
      <c r="A237" s="4" t="inlineStr">
        <is>
          <t>低值易耗品</t>
        </is>
      </c>
      <c r="D237" s="7" t="n">
        <v>5.7</v>
      </c>
      <c r="F237" s="7" t="n">
        <v>5.5</v>
      </c>
      <c r="H237" s="7" t="n">
        <v>11.9</v>
      </c>
      <c r="J237" s="7" t="n">
        <v>16</v>
      </c>
      <c r="L237" s="7" t="n">
        <v>24.2</v>
      </c>
      <c r="N237" s="7" t="n">
        <v>13</v>
      </c>
      <c r="P237" s="7" t="n">
        <v>31.6</v>
      </c>
      <c r="R237" s="7" t="n">
        <v>18</v>
      </c>
      <c r="T237" s="7" t="n">
        <v>11.2</v>
      </c>
      <c r="V237" s="7" t="n">
        <v>15.1</v>
      </c>
      <c r="X237" s="7" t="n">
        <v>12</v>
      </c>
      <c r="Z237" s="7" t="n">
        <v>13.1</v>
      </c>
      <c r="AB237" s="7" t="n">
        <v>177.3</v>
      </c>
    </row>
    <row r="238">
      <c r="A238" s="4" t="inlineStr">
        <is>
          <t>物料消耗</t>
        </is>
      </c>
      <c r="D238" s="7" t="n">
        <v>47.2</v>
      </c>
      <c r="F238" s="7" t="n">
        <v>69.8</v>
      </c>
      <c r="H238" s="7" t="n">
        <v>111.2</v>
      </c>
      <c r="J238" s="7" t="n">
        <v>227.8</v>
      </c>
      <c r="L238" s="7" t="n">
        <v>247</v>
      </c>
      <c r="N238" s="7" t="n">
        <v>102.2</v>
      </c>
      <c r="P238" s="7" t="n">
        <v>335.6</v>
      </c>
      <c r="R238" s="7" t="n">
        <v>301.6</v>
      </c>
      <c r="T238" s="7" t="n">
        <v>82</v>
      </c>
      <c r="V238" s="7" t="n">
        <v>171.5</v>
      </c>
      <c r="X238" s="7" t="n">
        <v>173.9</v>
      </c>
      <c r="Z238" s="7" t="n">
        <v>138.4</v>
      </c>
      <c r="AB238" s="7" t="n">
        <v>2008.2</v>
      </c>
    </row>
    <row r="239">
      <c r="A239" s="4" t="inlineStr">
        <is>
          <t>盘盈盘亏</t>
        </is>
      </c>
      <c r="D239" s="7" t="n">
        <v>84.09999999999999</v>
      </c>
      <c r="F239" s="7" t="n">
        <v>77.3</v>
      </c>
      <c r="H239" s="7" t="n">
        <v>183.1</v>
      </c>
      <c r="J239" s="7" t="n">
        <v>349.3</v>
      </c>
      <c r="L239" s="7" t="n">
        <v>230.8</v>
      </c>
      <c r="N239" s="7" t="n">
        <v>175.6</v>
      </c>
      <c r="P239" s="7" t="n">
        <v>540.5</v>
      </c>
      <c r="R239" s="7" t="n">
        <v>278.4</v>
      </c>
      <c r="T239" s="7" t="n">
        <v>132.6</v>
      </c>
      <c r="V239" s="7" t="n">
        <v>162.4</v>
      </c>
      <c r="X239" s="7" t="n">
        <v>304.4</v>
      </c>
      <c r="Z239" s="7" t="n">
        <v>178.8</v>
      </c>
      <c r="AB239" s="7" t="n">
        <v>2697.3</v>
      </c>
    </row>
    <row r="240">
      <c r="A240" s="4" t="inlineStr">
        <is>
          <t>平台服务费</t>
        </is>
      </c>
      <c r="D240" s="7" t="n">
        <v>32.1</v>
      </c>
      <c r="F240" s="7" t="n">
        <v>43.1</v>
      </c>
      <c r="H240" s="7" t="n">
        <v>81.2</v>
      </c>
      <c r="J240" s="7" t="n">
        <v>119.7</v>
      </c>
      <c r="L240" s="7" t="n">
        <v>147</v>
      </c>
      <c r="N240" s="7" t="n">
        <v>77.40000000000001</v>
      </c>
      <c r="P240" s="7" t="n">
        <v>250.9</v>
      </c>
      <c r="R240" s="7" t="n">
        <v>195.3</v>
      </c>
      <c r="T240" s="7" t="n">
        <v>71.09999999999999</v>
      </c>
      <c r="V240" s="7" t="n">
        <v>101.2</v>
      </c>
      <c r="X240" s="7" t="n">
        <v>109.3</v>
      </c>
      <c r="Z240" s="7" t="n">
        <v>91.8</v>
      </c>
      <c r="AB240" s="7" t="n">
        <v>1320.1</v>
      </c>
    </row>
    <row r="241">
      <c r="A241" s="4" t="inlineStr">
        <is>
          <t>无形资产摊销</t>
        </is>
      </c>
      <c r="D241" s="7" t="n">
        <v>60</v>
      </c>
      <c r="F241" s="7" t="n">
        <v>95.09999999999999</v>
      </c>
      <c r="H241" s="7" t="n">
        <v>140.9</v>
      </c>
      <c r="J241" s="7" t="n">
        <v>259.5</v>
      </c>
      <c r="L241" s="7" t="n">
        <v>250.9</v>
      </c>
      <c r="N241" s="7" t="n">
        <v>139</v>
      </c>
      <c r="P241" s="7" t="n">
        <v>320.4</v>
      </c>
      <c r="R241" s="7" t="n">
        <v>351.1</v>
      </c>
      <c r="T241" s="7" t="n">
        <v>117.6</v>
      </c>
      <c r="V241" s="7" t="n">
        <v>222.5</v>
      </c>
      <c r="X241" s="7" t="n">
        <v>226.2</v>
      </c>
      <c r="Z241" s="7" t="n">
        <v>169.6</v>
      </c>
      <c r="AB241" s="7" t="n">
        <v>2352.8</v>
      </c>
    </row>
    <row r="242">
      <c r="A242" s="4" t="inlineStr">
        <is>
          <t>研发材料</t>
        </is>
      </c>
      <c r="D242" s="7" t="n">
        <v>46.6</v>
      </c>
      <c r="F242" s="7" t="n">
        <v>70.09999999999999</v>
      </c>
      <c r="H242" s="7" t="n">
        <v>112.8</v>
      </c>
      <c r="J242" s="7" t="n">
        <v>157.1</v>
      </c>
      <c r="L242" s="7" t="n">
        <v>212.5</v>
      </c>
      <c r="N242" s="7" t="n">
        <v>100.8</v>
      </c>
      <c r="P242" s="7" t="n">
        <v>291.1</v>
      </c>
      <c r="R242" s="7" t="n">
        <v>185.4</v>
      </c>
      <c r="T242" s="7" t="n">
        <v>97.09999999999999</v>
      </c>
      <c r="V242" s="7" t="n">
        <v>109.5</v>
      </c>
      <c r="X242" s="7" t="n">
        <v>138.8</v>
      </c>
      <c r="Z242" s="7" t="n">
        <v>125.4</v>
      </c>
      <c r="AB242" s="7" t="n">
        <v>1647.2</v>
      </c>
    </row>
    <row r="243">
      <c r="A243" s="4" t="inlineStr">
        <is>
          <t>项目名称</t>
        </is>
      </c>
      <c r="D243" s="7" t="n">
        <v>19</v>
      </c>
      <c r="F243" s="7" t="n">
        <v>24.3</v>
      </c>
      <c r="H243" s="7" t="n">
        <v>56</v>
      </c>
      <c r="J243" s="7" t="n">
        <v>83.2</v>
      </c>
      <c r="L243" s="7" t="n">
        <v>67.5</v>
      </c>
      <c r="N243" s="7" t="n">
        <v>59.7</v>
      </c>
      <c r="P243" s="7" t="n">
        <v>109.7</v>
      </c>
      <c r="R243" s="7" t="n">
        <v>111.6</v>
      </c>
      <c r="T243" s="7" t="n">
        <v>40.1</v>
      </c>
      <c r="V243" s="7" t="n">
        <v>78.09999999999999</v>
      </c>
      <c r="X243" s="7" t="n">
        <v>72.7</v>
      </c>
      <c r="Z243" s="7" t="n">
        <v>60.1</v>
      </c>
      <c r="AB243" s="7" t="n">
        <v>782</v>
      </c>
    </row>
    <row r="244">
      <c r="A244" s="4" t="inlineStr">
        <is>
          <t>研发费</t>
        </is>
      </c>
      <c r="D244" s="7" t="n">
        <v>33.1</v>
      </c>
      <c r="F244" s="7" t="n">
        <v>50.4</v>
      </c>
      <c r="H244" s="7" t="n">
        <v>100.8</v>
      </c>
      <c r="J244" s="7" t="n">
        <v>97.8</v>
      </c>
      <c r="L244" s="7" t="n">
        <v>123.3</v>
      </c>
      <c r="N244" s="7" t="n">
        <v>60.7</v>
      </c>
      <c r="P244" s="7" t="n">
        <v>182.6</v>
      </c>
      <c r="R244" s="7" t="n">
        <v>198.3</v>
      </c>
      <c r="T244" s="7" t="n">
        <v>62.4</v>
      </c>
      <c r="V244" s="7" t="n">
        <v>81.2</v>
      </c>
      <c r="X244" s="7" t="n">
        <v>144.5</v>
      </c>
      <c r="Z244" s="7" t="n">
        <v>110.4</v>
      </c>
      <c r="AB244" s="7" t="n">
        <v>1245.5</v>
      </c>
    </row>
    <row r="245">
      <c r="A245" s="4" t="inlineStr">
        <is>
          <t>残保金</t>
        </is>
      </c>
      <c r="D245" s="7" t="n">
        <v>62</v>
      </c>
      <c r="F245" s="7" t="n">
        <v>84.40000000000001</v>
      </c>
      <c r="H245" s="7" t="n">
        <v>163.9</v>
      </c>
      <c r="J245" s="7" t="n">
        <v>187.5</v>
      </c>
      <c r="L245" s="7" t="n">
        <v>262.9</v>
      </c>
      <c r="N245" s="7" t="n">
        <v>86</v>
      </c>
      <c r="P245" s="7" t="n">
        <v>390.1</v>
      </c>
      <c r="R245" s="7" t="n">
        <v>181.5</v>
      </c>
      <c r="T245" s="7" t="n">
        <v>111.1</v>
      </c>
      <c r="V245" s="7" t="n">
        <v>116.4</v>
      </c>
      <c r="X245" s="7" t="n">
        <v>140.2</v>
      </c>
      <c r="Z245" s="7" t="n">
        <v>201.1</v>
      </c>
      <c r="AB245" s="7" t="n">
        <v>1987.1</v>
      </c>
    </row>
    <row r="246">
      <c r="A246" s="4" t="inlineStr">
        <is>
          <t>环保费</t>
        </is>
      </c>
      <c r="D246" s="7" t="n">
        <v>34.6</v>
      </c>
      <c r="F246" s="7" t="n">
        <v>64.3</v>
      </c>
      <c r="H246" s="7" t="n">
        <v>83.5</v>
      </c>
      <c r="J246" s="7" t="n">
        <v>192.9</v>
      </c>
      <c r="L246" s="7" t="n">
        <v>144</v>
      </c>
      <c r="N246" s="7" t="n">
        <v>76.5</v>
      </c>
      <c r="P246" s="7" t="n">
        <v>239</v>
      </c>
      <c r="R246" s="7" t="n">
        <v>152.5</v>
      </c>
      <c r="T246" s="7" t="n">
        <v>56.8</v>
      </c>
      <c r="V246" s="7" t="n">
        <v>88.2</v>
      </c>
      <c r="X246" s="7" t="n">
        <v>155</v>
      </c>
      <c r="Z246" s="7" t="n">
        <v>141.4</v>
      </c>
      <c r="AB246" s="7" t="n">
        <v>1428.7</v>
      </c>
    </row>
    <row r="247">
      <c r="A247" s="4" t="inlineStr">
        <is>
          <t>报废损失</t>
        </is>
      </c>
      <c r="D247" s="7" t="n">
        <v>105.3</v>
      </c>
      <c r="F247" s="7" t="n">
        <v>89.7</v>
      </c>
      <c r="H247" s="7" t="n">
        <v>208.5</v>
      </c>
      <c r="J247" s="7" t="n">
        <v>411.1</v>
      </c>
      <c r="L247" s="7" t="n">
        <v>447.7</v>
      </c>
      <c r="N247" s="7" t="n">
        <v>152.9</v>
      </c>
      <c r="P247" s="7" t="n">
        <v>588.8</v>
      </c>
      <c r="R247" s="7" t="n">
        <v>312.6</v>
      </c>
      <c r="T247" s="7" t="n">
        <v>178.5</v>
      </c>
      <c r="V247" s="7" t="n">
        <v>187.9</v>
      </c>
      <c r="X247" s="7" t="n">
        <v>227.2</v>
      </c>
      <c r="Z247" s="7" t="n">
        <v>302.6</v>
      </c>
      <c r="AB247" s="7" t="n">
        <v>3212.8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5928.8</v>
      </c>
      <c r="D248" s="7" t="n">
        <v>-531.7</v>
      </c>
      <c r="E248" s="7" t="n">
        <v>6933.8</v>
      </c>
      <c r="F248" s="7" t="n">
        <v>-1896.6</v>
      </c>
      <c r="G248" s="7" t="n">
        <v>6003.9</v>
      </c>
      <c r="H248" s="7" t="n">
        <v>6563.4</v>
      </c>
      <c r="I248" s="7" t="n">
        <v>6166.1</v>
      </c>
      <c r="J248" s="7" t="n">
        <v>14021.5</v>
      </c>
      <c r="K248" s="7" t="n">
        <v>5986.2</v>
      </c>
      <c r="L248" s="7" t="n">
        <v>13080.2</v>
      </c>
      <c r="M248" s="7" t="n">
        <v>6209.7</v>
      </c>
      <c r="N248" s="7" t="n">
        <v>-1182</v>
      </c>
      <c r="O248" s="7" t="n">
        <v>6160.6</v>
      </c>
      <c r="P248" s="7" t="n">
        <v>18303.8</v>
      </c>
      <c r="Q248" s="7" t="n">
        <v>7675.8</v>
      </c>
      <c r="R248" s="7" t="n">
        <v>1141.2</v>
      </c>
      <c r="S248" s="7" t="n">
        <v>7618.9</v>
      </c>
      <c r="T248" s="7" t="n">
        <v>-4781.3</v>
      </c>
      <c r="U248" s="7" t="n">
        <v>7077.9</v>
      </c>
      <c r="V248" s="7" t="n">
        <v>16385.2</v>
      </c>
      <c r="W248" s="7" t="n">
        <v>6465.9</v>
      </c>
      <c r="X248" s="7" t="n">
        <v>14158.7</v>
      </c>
      <c r="Y248" s="7" t="n">
        <v>6396.4</v>
      </c>
      <c r="Z248" s="7" t="n">
        <v>7831.1</v>
      </c>
      <c r="AA248" s="8" t="n">
        <v>78624</v>
      </c>
      <c r="AB248" s="8" t="n">
        <v>83093.5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-3248.5</v>
      </c>
      <c r="E250" s="7" t="n">
        <v>0</v>
      </c>
      <c r="F250" s="7" t="n">
        <v>-3901.2</v>
      </c>
      <c r="G250" s="7" t="n">
        <v>0</v>
      </c>
      <c r="H250" s="7" t="n">
        <v>-2517.9</v>
      </c>
      <c r="I250" s="7" t="n">
        <v>0</v>
      </c>
      <c r="J250" s="7" t="n">
        <v>1401.4</v>
      </c>
      <c r="K250" s="7" t="n">
        <v>0</v>
      </c>
      <c r="L250" s="7" t="n">
        <v>2545.1</v>
      </c>
      <c r="M250" s="7" t="n">
        <v>0</v>
      </c>
      <c r="N250" s="7" t="n">
        <v>-4329.3</v>
      </c>
      <c r="O250" s="7" t="n">
        <v>0</v>
      </c>
      <c r="P250" s="7" t="n">
        <v>-1225.7</v>
      </c>
      <c r="Q250" s="7" t="n">
        <v>0</v>
      </c>
      <c r="R250" s="7" t="n">
        <v>-4994.3</v>
      </c>
      <c r="S250" s="7" t="n">
        <v>0</v>
      </c>
      <c r="T250" s="7" t="n">
        <v>-392.3</v>
      </c>
      <c r="U250" s="7" t="n">
        <v>0</v>
      </c>
      <c r="V250" s="7" t="n">
        <v>2988.4</v>
      </c>
      <c r="W250" s="7" t="n">
        <v>0</v>
      </c>
      <c r="X250" s="7" t="n">
        <v>1775.3</v>
      </c>
      <c r="Y250" s="7" t="n">
        <v>0</v>
      </c>
      <c r="Z250" s="7" t="n">
        <v>-1049.8</v>
      </c>
      <c r="AA250" s="7" t="n">
        <v>0</v>
      </c>
      <c r="AB250" s="7" t="n">
        <v>-12948.8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18732</v>
      </c>
      <c r="D255" s="7" t="n">
        <v>16244.1</v>
      </c>
      <c r="E255" s="7" t="n">
        <v>18712.8</v>
      </c>
      <c r="F255" s="7" t="n">
        <v>12117</v>
      </c>
      <c r="G255" s="7" t="n">
        <v>20425.8</v>
      </c>
      <c r="H255" s="7" t="n">
        <v>15751.5</v>
      </c>
      <c r="I255" s="7" t="n">
        <v>17068.8</v>
      </c>
      <c r="J255" s="7" t="n">
        <v>28863.1</v>
      </c>
      <c r="K255" s="7" t="n">
        <v>19274.6</v>
      </c>
      <c r="L255" s="7" t="n">
        <v>28298.6</v>
      </c>
      <c r="M255" s="7" t="n">
        <v>17970.5</v>
      </c>
      <c r="N255" s="7" t="n">
        <v>10618.1</v>
      </c>
      <c r="O255" s="7" t="n">
        <v>17582.7</v>
      </c>
      <c r="P255" s="7" t="n">
        <v>18165.5</v>
      </c>
      <c r="Q255" s="7" t="n">
        <v>19300.5</v>
      </c>
      <c r="R255" s="7" t="n">
        <v>21550.7</v>
      </c>
      <c r="S255" s="7" t="n">
        <v>18222.6</v>
      </c>
      <c r="T255" s="7" t="n">
        <v>22480.3</v>
      </c>
      <c r="U255" s="7" t="n">
        <v>18017.9</v>
      </c>
      <c r="V255" s="7" t="n">
        <v>22548.9</v>
      </c>
      <c r="W255" s="7" t="n">
        <v>18004.8</v>
      </c>
      <c r="X255" s="7" t="n">
        <v>15704.1</v>
      </c>
      <c r="Y255" s="7" t="n">
        <v>17673.2</v>
      </c>
      <c r="Z255" s="7" t="n">
        <v>12230.3</v>
      </c>
      <c r="AA255" s="7" t="n">
        <v>220986.2</v>
      </c>
      <c r="AB255" s="7" t="n">
        <v>224572.2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172980.9</v>
      </c>
      <c r="D256" s="7" t="n">
        <v>96436.60000000001</v>
      </c>
      <c r="E256" s="7" t="n">
        <v>184961</v>
      </c>
      <c r="F256" s="7" t="n">
        <v>92380.7</v>
      </c>
      <c r="G256" s="7" t="n">
        <v>187659.9</v>
      </c>
      <c r="H256" s="7" t="n">
        <v>168306.6</v>
      </c>
      <c r="I256" s="7" t="n">
        <v>186505.4</v>
      </c>
      <c r="J256" s="7" t="n">
        <v>254558.2</v>
      </c>
      <c r="K256" s="7" t="n">
        <v>186440.7</v>
      </c>
      <c r="L256" s="7" t="n">
        <v>190767</v>
      </c>
      <c r="M256" s="7" t="n">
        <v>210020.5</v>
      </c>
      <c r="N256" s="7" t="n">
        <v>256638.5</v>
      </c>
      <c r="O256" s="7" t="n">
        <v>186333</v>
      </c>
      <c r="P256" s="7" t="n">
        <v>283472.2</v>
      </c>
      <c r="Q256" s="7" t="n">
        <v>183648.2</v>
      </c>
      <c r="R256" s="7" t="n">
        <v>285526.3</v>
      </c>
      <c r="S256" s="7" t="n">
        <v>163048.5</v>
      </c>
      <c r="T256" s="7" t="n">
        <v>202487.9</v>
      </c>
      <c r="U256" s="7" t="n">
        <v>213713.8</v>
      </c>
      <c r="V256" s="7" t="n">
        <v>212787.9</v>
      </c>
      <c r="W256" s="7" t="n">
        <v>210848.9</v>
      </c>
      <c r="X256" s="7" t="n">
        <v>140274</v>
      </c>
      <c r="Y256" s="7" t="n">
        <v>212302</v>
      </c>
      <c r="Z256" s="7" t="n">
        <v>77252.7</v>
      </c>
      <c r="AA256" s="8" t="n">
        <v>2298462.8</v>
      </c>
      <c r="AB256" s="8" t="n">
        <v>2260888.6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1477.1</v>
      </c>
      <c r="E257" s="7" t="n">
        <v>0</v>
      </c>
      <c r="F257" s="7" t="n">
        <v>265.6</v>
      </c>
      <c r="G257" s="7" t="n">
        <v>0</v>
      </c>
      <c r="H257" s="7" t="n">
        <v>2325.4</v>
      </c>
      <c r="I257" s="7" t="n">
        <v>0</v>
      </c>
      <c r="J257" s="7" t="n">
        <v>1932.8</v>
      </c>
      <c r="K257" s="7" t="n">
        <v>0</v>
      </c>
      <c r="L257" s="7" t="n">
        <v>3267.2</v>
      </c>
      <c r="M257" s="7" t="n">
        <v>0</v>
      </c>
      <c r="N257" s="7" t="n">
        <v>2166.9</v>
      </c>
      <c r="O257" s="7" t="n">
        <v>0</v>
      </c>
      <c r="P257" s="7" t="n">
        <v>2991.2</v>
      </c>
      <c r="Q257" s="7" t="n">
        <v>0</v>
      </c>
      <c r="R257" s="7" t="n">
        <v>1773.9</v>
      </c>
      <c r="S257" s="7" t="n">
        <v>0</v>
      </c>
      <c r="T257" s="7" t="n">
        <v>2562.8</v>
      </c>
      <c r="U257" s="7" t="n">
        <v>0</v>
      </c>
      <c r="V257" s="7" t="n">
        <v>2385.5</v>
      </c>
      <c r="W257" s="7" t="n">
        <v>0</v>
      </c>
      <c r="X257" s="7" t="n">
        <v>4669.9</v>
      </c>
      <c r="Y257" s="7" t="n">
        <v>0</v>
      </c>
      <c r="Z257" s="7" t="n">
        <v>4343.1</v>
      </c>
      <c r="AA257" s="7" t="n">
        <v>0</v>
      </c>
      <c r="AB257" s="7" t="n">
        <v>30161.4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1438.4</v>
      </c>
      <c r="E258" s="7" t="n">
        <v>0</v>
      </c>
      <c r="F258" s="7" t="n">
        <v>1057.4</v>
      </c>
      <c r="G258" s="7" t="n">
        <v>0</v>
      </c>
      <c r="H258" s="7" t="n">
        <v>580.4</v>
      </c>
      <c r="I258" s="7" t="n">
        <v>0</v>
      </c>
      <c r="J258" s="7" t="n">
        <v>2766</v>
      </c>
      <c r="K258" s="7" t="n">
        <v>0</v>
      </c>
      <c r="L258" s="7" t="n">
        <v>497.8</v>
      </c>
      <c r="M258" s="7" t="n">
        <v>0</v>
      </c>
      <c r="N258" s="7" t="n">
        <v>2976.3</v>
      </c>
      <c r="O258" s="7" t="n">
        <v>0</v>
      </c>
      <c r="P258" s="7" t="n">
        <v>437.8</v>
      </c>
      <c r="Q258" s="7" t="n">
        <v>0</v>
      </c>
      <c r="R258" s="7" t="n">
        <v>2133.3</v>
      </c>
      <c r="S258" s="7" t="n">
        <v>0</v>
      </c>
      <c r="T258" s="7" t="n">
        <v>808.8</v>
      </c>
      <c r="U258" s="7" t="n">
        <v>0</v>
      </c>
      <c r="V258" s="7" t="n">
        <v>74.09999999999999</v>
      </c>
      <c r="W258" s="7" t="n">
        <v>0</v>
      </c>
      <c r="X258" s="7" t="n">
        <v>656.1</v>
      </c>
      <c r="Y258" s="7" t="n">
        <v>0</v>
      </c>
      <c r="Z258" s="7" t="n">
        <v>1563.3</v>
      </c>
      <c r="AA258" s="7" t="n">
        <v>0</v>
      </c>
      <c r="AB258" s="7" t="n">
        <v>14989.7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158748.4</v>
      </c>
      <c r="D259" s="7" t="n">
        <v>87258.5</v>
      </c>
      <c r="E259" s="7" t="n">
        <v>199861.7</v>
      </c>
      <c r="F259" s="7" t="n">
        <v>90596.10000000001</v>
      </c>
      <c r="G259" s="7" t="n">
        <v>197060</v>
      </c>
      <c r="H259" s="7" t="n">
        <v>178354.9</v>
      </c>
      <c r="I259" s="7" t="n">
        <v>188080.3</v>
      </c>
      <c r="J259" s="7" t="n">
        <v>252536.5</v>
      </c>
      <c r="K259" s="7" t="n">
        <v>160470.8</v>
      </c>
      <c r="L259" s="7" t="n">
        <v>195413</v>
      </c>
      <c r="M259" s="7" t="n">
        <v>210307.9</v>
      </c>
      <c r="N259" s="7" t="n">
        <v>245599.3</v>
      </c>
      <c r="O259" s="7" t="n">
        <v>208361.5</v>
      </c>
      <c r="P259" s="7" t="n">
        <v>258011.7</v>
      </c>
      <c r="Q259" s="7" t="n">
        <v>177656.1</v>
      </c>
      <c r="R259" s="7" t="n">
        <v>286496.9</v>
      </c>
      <c r="S259" s="7" t="n">
        <v>193295.4</v>
      </c>
      <c r="T259" s="7" t="n">
        <v>187232.4</v>
      </c>
      <c r="U259" s="7" t="n">
        <v>181082.6</v>
      </c>
      <c r="V259" s="7" t="n">
        <v>210166.3</v>
      </c>
      <c r="W259" s="7" t="n">
        <v>196721.4</v>
      </c>
      <c r="X259" s="7" t="n">
        <v>139923.8</v>
      </c>
      <c r="Y259" s="7" t="n">
        <v>171525.2</v>
      </c>
      <c r="Z259" s="7" t="n">
        <v>81326.10000000001</v>
      </c>
      <c r="AA259" s="8" t="n">
        <v>2243171.3</v>
      </c>
      <c r="AB259" s="8" t="n">
        <v>2212915.5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41153.9</v>
      </c>
      <c r="D260" s="7" t="n">
        <v>21814.6</v>
      </c>
      <c r="E260" s="7" t="n">
        <v>51842.1</v>
      </c>
      <c r="F260" s="7" t="n">
        <v>22649</v>
      </c>
      <c r="G260" s="7" t="n">
        <v>40475.9</v>
      </c>
      <c r="H260" s="7" t="n">
        <v>44588.7</v>
      </c>
      <c r="I260" s="7" t="n">
        <v>44496.5</v>
      </c>
      <c r="J260" s="7" t="n">
        <v>63134.1</v>
      </c>
      <c r="K260" s="7" t="n">
        <v>44641.9</v>
      </c>
      <c r="L260" s="7" t="n">
        <v>48853.2</v>
      </c>
      <c r="M260" s="7" t="n">
        <v>39766.4</v>
      </c>
      <c r="N260" s="7" t="n">
        <v>61399.8</v>
      </c>
      <c r="O260" s="7" t="n">
        <v>43376.5</v>
      </c>
      <c r="P260" s="7" t="n">
        <v>64502.9</v>
      </c>
      <c r="Q260" s="7" t="n">
        <v>52375.4</v>
      </c>
      <c r="R260" s="7" t="n">
        <v>71624.2</v>
      </c>
      <c r="S260" s="7" t="n">
        <v>41877</v>
      </c>
      <c r="T260" s="7" t="n">
        <v>46808.1</v>
      </c>
      <c r="U260" s="7" t="n">
        <v>47060.8</v>
      </c>
      <c r="V260" s="7" t="n">
        <v>52541.6</v>
      </c>
      <c r="W260" s="7" t="n">
        <v>44962.6</v>
      </c>
      <c r="X260" s="7" t="n">
        <v>34980.9</v>
      </c>
      <c r="Y260" s="7" t="n">
        <v>50610.1</v>
      </c>
      <c r="Z260" s="7" t="n">
        <v>20331.5</v>
      </c>
      <c r="AA260" s="7" t="n">
        <v>542639.1</v>
      </c>
      <c r="AB260" s="7" t="n">
        <v>553228.6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121285.8</v>
      </c>
      <c r="D261" s="7" t="n">
        <v>65443.9</v>
      </c>
      <c r="E261" s="7" t="n">
        <v>78000</v>
      </c>
      <c r="F261" s="7" t="n">
        <v>67947.10000000001</v>
      </c>
      <c r="G261" s="7" t="n">
        <v>127600.9</v>
      </c>
      <c r="H261" s="7" t="n">
        <v>133766.2</v>
      </c>
      <c r="I261" s="7" t="n">
        <v>128870.7</v>
      </c>
      <c r="J261" s="7" t="n">
        <v>189402.4</v>
      </c>
      <c r="K261" s="7" t="n">
        <v>84723.5</v>
      </c>
      <c r="L261" s="7" t="n">
        <v>146559.8</v>
      </c>
      <c r="M261" s="7" t="n">
        <v>105920.7</v>
      </c>
      <c r="N261" s="7" t="n">
        <v>184199.5</v>
      </c>
      <c r="O261" s="7" t="n">
        <v>89334.7</v>
      </c>
      <c r="P261" s="7" t="n">
        <v>193508.8</v>
      </c>
      <c r="Q261" s="7" t="n">
        <v>141375</v>
      </c>
      <c r="R261" s="7" t="n">
        <v>214872.7</v>
      </c>
      <c r="S261" s="7" t="n">
        <v>112096.5</v>
      </c>
      <c r="T261" s="7" t="n">
        <v>140424.3</v>
      </c>
      <c r="U261" s="7" t="n">
        <v>80972.7</v>
      </c>
      <c r="V261" s="7" t="n">
        <v>157624.7</v>
      </c>
      <c r="W261" s="7" t="n">
        <v>94213</v>
      </c>
      <c r="X261" s="7" t="n">
        <v>104942.9</v>
      </c>
      <c r="Y261" s="7" t="n">
        <v>134080.2</v>
      </c>
      <c r="Z261" s="7" t="n">
        <v>60994.6</v>
      </c>
      <c r="AA261" s="8" t="n">
        <v>1298473.7</v>
      </c>
      <c r="AB261" s="8" t="n">
        <v>1659686.9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2977.3</v>
      </c>
      <c r="E262" s="7" t="n">
        <v>0</v>
      </c>
      <c r="F262" s="7" t="n">
        <v>11151.3</v>
      </c>
      <c r="G262" s="7" t="n">
        <v>0</v>
      </c>
      <c r="H262" s="7" t="n">
        <v>10239</v>
      </c>
      <c r="I262" s="7" t="n">
        <v>0</v>
      </c>
      <c r="J262" s="7" t="n">
        <v>52051.8</v>
      </c>
      <c r="K262" s="7" t="n">
        <v>0</v>
      </c>
      <c r="L262" s="7" t="n">
        <v>24.9</v>
      </c>
      <c r="M262" s="7" t="n">
        <v>0</v>
      </c>
      <c r="N262" s="7" t="n">
        <v>3659.8</v>
      </c>
      <c r="O262" s="7" t="n">
        <v>0</v>
      </c>
      <c r="P262" s="7" t="n">
        <v>49858</v>
      </c>
      <c r="Q262" s="7" t="n">
        <v>0</v>
      </c>
      <c r="R262" s="7" t="n">
        <v>17115.1</v>
      </c>
      <c r="S262" s="7" t="n">
        <v>0</v>
      </c>
      <c r="T262" s="7" t="n">
        <v>20333.4</v>
      </c>
      <c r="U262" s="7" t="n">
        <v>0</v>
      </c>
      <c r="V262" s="7" t="n">
        <v>3125.2</v>
      </c>
      <c r="W262" s="7" t="n">
        <v>0</v>
      </c>
      <c r="X262" s="7" t="n">
        <v>14743.6</v>
      </c>
      <c r="Y262" s="7" t="n">
        <v>0</v>
      </c>
      <c r="Z262" s="7" t="n">
        <v>17954.3</v>
      </c>
      <c r="AA262" s="7" t="n">
        <v>0</v>
      </c>
      <c r="AB262" s="7" t="n">
        <v>203233.7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121285.8</v>
      </c>
      <c r="D263" s="7" t="n">
        <v>62466.6</v>
      </c>
      <c r="E263" s="7" t="n">
        <v>78000</v>
      </c>
      <c r="F263" s="7" t="n">
        <v>56795.8</v>
      </c>
      <c r="G263" s="7" t="n">
        <v>127600.9</v>
      </c>
      <c r="H263" s="7" t="n">
        <v>123527.2</v>
      </c>
      <c r="I263" s="7" t="n">
        <v>128870.7</v>
      </c>
      <c r="J263" s="7" t="n">
        <v>137350.6</v>
      </c>
      <c r="K263" s="7" t="n">
        <v>84723.5</v>
      </c>
      <c r="L263" s="7" t="n">
        <v>146534.9</v>
      </c>
      <c r="M263" s="7" t="n">
        <v>105920.7</v>
      </c>
      <c r="N263" s="7" t="n">
        <v>180539.7</v>
      </c>
      <c r="O263" s="7" t="n">
        <v>89334.7</v>
      </c>
      <c r="P263" s="7" t="n">
        <v>143650.8</v>
      </c>
      <c r="Q263" s="7" t="n">
        <v>141375</v>
      </c>
      <c r="R263" s="7" t="n">
        <v>197757.6</v>
      </c>
      <c r="S263" s="7" t="n">
        <v>112096.5</v>
      </c>
      <c r="T263" s="7" t="n">
        <v>120090.9</v>
      </c>
      <c r="U263" s="7" t="n">
        <v>80972.7</v>
      </c>
      <c r="V263" s="7" t="n">
        <v>154499.5</v>
      </c>
      <c r="W263" s="7" t="n">
        <v>94213</v>
      </c>
      <c r="X263" s="7" t="n">
        <v>90199.3</v>
      </c>
      <c r="Y263" s="7" t="n">
        <v>134080.2</v>
      </c>
      <c r="Z263" s="7" t="n">
        <v>43040.3</v>
      </c>
      <c r="AA263" s="8" t="n">
        <v>1298473.7</v>
      </c>
      <c r="AB263" s="8" t="n">
        <v>1456453.2</v>
      </c>
    </row>
    <row r="264">
      <c r="A264" s="4" t="inlineStr">
        <is>
          <t>净利率</t>
        </is>
      </c>
      <c r="D264" s="13" t="n">
        <v>5.7</v>
      </c>
      <c r="F264" s="13" t="n">
        <v>4.7</v>
      </c>
      <c r="H264" s="13" t="n">
        <v>8.1</v>
      </c>
      <c r="J264" s="13" t="n">
        <v>9.4</v>
      </c>
      <c r="L264" s="13" t="n">
        <v>6.1</v>
      </c>
      <c r="N264" s="13" t="n">
        <v>10.1</v>
      </c>
      <c r="P264" s="13" t="n">
        <v>9.699999999999999</v>
      </c>
      <c r="R264" s="13" t="n">
        <v>9.9</v>
      </c>
      <c r="T264" s="13" t="n">
        <v>8.6</v>
      </c>
      <c r="V264" s="13" t="n">
        <v>7.2</v>
      </c>
      <c r="X264" s="13" t="n">
        <v>6.7</v>
      </c>
      <c r="Z264" s="13" t="n">
        <v>5.4</v>
      </c>
    </row>
    <row r="265">
      <c r="A265" s="4" t="inlineStr">
        <is>
          <t>销售达成率</t>
        </is>
      </c>
      <c r="D265" s="13" t="n">
        <v>65.2</v>
      </c>
      <c r="F265" s="13" t="n">
        <v>71.7</v>
      </c>
      <c r="H265" s="13" t="n">
        <v>84.8</v>
      </c>
      <c r="J265" s="13" t="n">
        <v>124.5</v>
      </c>
      <c r="L265" s="13" t="n">
        <v>152.2</v>
      </c>
      <c r="N265" s="13" t="n">
        <v>101.5</v>
      </c>
      <c r="P265" s="13" t="n">
        <v>107.8</v>
      </c>
      <c r="R265" s="13" t="n">
        <v>127.7</v>
      </c>
      <c r="T265" s="13" t="n">
        <v>82.90000000000001</v>
      </c>
      <c r="V265" s="13" t="n">
        <v>113.1</v>
      </c>
      <c r="X265" s="13" t="n">
        <v>83.7</v>
      </c>
      <c r="Z265" s="13" t="n">
        <v>68.90000000000001</v>
      </c>
    </row>
    <row r="266">
      <c r="A266" s="4" t="inlineStr">
        <is>
          <t>净利达成率</t>
        </is>
      </c>
      <c r="D266" s="13" t="n">
        <v>54</v>
      </c>
      <c r="F266" s="13" t="n">
        <v>87.09999999999999</v>
      </c>
      <c r="H266" s="13" t="n">
        <v>104.8</v>
      </c>
      <c r="J266" s="13" t="n">
        <v>147</v>
      </c>
      <c r="L266" s="13" t="n">
        <v>173</v>
      </c>
      <c r="N266" s="13" t="n">
        <v>173.9</v>
      </c>
      <c r="P266" s="13" t="n">
        <v>216.6</v>
      </c>
      <c r="R266" s="13" t="n">
        <v>152</v>
      </c>
      <c r="T266" s="13" t="n">
        <v>125.3</v>
      </c>
      <c r="V266" s="13" t="n">
        <v>194.7</v>
      </c>
      <c r="X266" s="13" t="n">
        <v>111.4</v>
      </c>
      <c r="Z266" s="13" t="n">
        <v>45.5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上海分部利润表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1638406.6</v>
      </c>
      <c r="D6" s="7" t="n">
        <v>1190287.1</v>
      </c>
      <c r="E6" s="7" t="n">
        <v>1678301.2</v>
      </c>
      <c r="F6" s="7" t="n">
        <v>1305798.9</v>
      </c>
      <c r="G6" s="7" t="n">
        <v>1637795.9</v>
      </c>
      <c r="H6" s="7" t="n">
        <v>1741114.9</v>
      </c>
      <c r="I6" s="7" t="n">
        <v>1868698.5</v>
      </c>
      <c r="J6" s="7" t="n">
        <v>1884952.6</v>
      </c>
      <c r="K6" s="7" t="n">
        <v>1994228.2</v>
      </c>
      <c r="L6" s="7" t="n">
        <v>2277011.8</v>
      </c>
      <c r="M6" s="7" t="n">
        <v>1674177.7</v>
      </c>
      <c r="N6" s="7" t="n">
        <v>2689701.1</v>
      </c>
      <c r="O6" s="7" t="n">
        <v>1691501.8</v>
      </c>
      <c r="P6" s="7" t="n">
        <v>2228848.8</v>
      </c>
      <c r="Q6" s="7" t="n">
        <v>1840042.7</v>
      </c>
      <c r="R6" s="7" t="n">
        <v>1896179.7</v>
      </c>
      <c r="S6" s="7" t="n">
        <v>1973371.1</v>
      </c>
      <c r="T6" s="7" t="n">
        <v>1846129.1</v>
      </c>
      <c r="U6" s="7" t="n">
        <v>2113153.1</v>
      </c>
      <c r="V6" s="7" t="n">
        <v>1967289.4</v>
      </c>
      <c r="W6" s="7" t="n">
        <v>1862471.5</v>
      </c>
      <c r="X6" s="7" t="n">
        <v>1563559.9</v>
      </c>
      <c r="Y6" s="7" t="n">
        <v>1728448.8</v>
      </c>
      <c r="Z6" s="7" t="n">
        <v>1368695.4</v>
      </c>
      <c r="AA6" s="8" t="n">
        <v>21700597.1</v>
      </c>
      <c r="AB6" s="8" t="n">
        <v>21959568.7</v>
      </c>
    </row>
    <row r="7">
      <c r="A7" s="4" t="inlineStr">
        <is>
          <t>中式汤底</t>
        </is>
      </c>
      <c r="D7" s="7" t="n">
        <v>252363.4</v>
      </c>
      <c r="F7" s="7" t="n">
        <v>279443.8</v>
      </c>
      <c r="H7" s="7" t="n">
        <v>438320.7</v>
      </c>
      <c r="J7" s="7" t="n">
        <v>435944.2</v>
      </c>
      <c r="L7" s="7" t="n">
        <v>515863</v>
      </c>
      <c r="N7" s="7" t="n">
        <v>586486.3</v>
      </c>
      <c r="P7" s="7" t="n">
        <v>472380.7</v>
      </c>
      <c r="R7" s="7" t="n">
        <v>325477.1</v>
      </c>
      <c r="T7" s="7" t="n">
        <v>449752.9</v>
      </c>
      <c r="V7" s="7" t="n">
        <v>490189.5</v>
      </c>
      <c r="X7" s="7" t="n">
        <v>220968.3</v>
      </c>
      <c r="Z7" s="7" t="n">
        <v>212205.2</v>
      </c>
      <c r="AB7" s="7" t="n">
        <v>4679395.1</v>
      </c>
    </row>
    <row r="8">
      <c r="A8" s="4" t="inlineStr">
        <is>
          <t>酱料</t>
        </is>
      </c>
      <c r="D8" s="7" t="n">
        <v>115470.4</v>
      </c>
      <c r="F8" s="7" t="n">
        <v>218964.5</v>
      </c>
      <c r="H8" s="7" t="n">
        <v>158749.6</v>
      </c>
      <c r="J8" s="7" t="n">
        <v>280021.6</v>
      </c>
      <c r="L8" s="7" t="n">
        <v>228009.6</v>
      </c>
      <c r="N8" s="7" t="n">
        <v>430190.1</v>
      </c>
      <c r="P8" s="7" t="n">
        <v>407091.4</v>
      </c>
      <c r="R8" s="7" t="n">
        <v>361159.7</v>
      </c>
      <c r="T8" s="7" t="n">
        <v>163751.6</v>
      </c>
      <c r="V8" s="7" t="n">
        <v>390841.9</v>
      </c>
      <c r="X8" s="7" t="n">
        <v>332116.5</v>
      </c>
      <c r="Z8" s="7" t="n">
        <v>227087.4</v>
      </c>
      <c r="AB8" s="7" t="n">
        <v>3313454.3</v>
      </c>
    </row>
    <row r="9">
      <c r="A9" s="4" t="inlineStr">
        <is>
          <t>川味底料</t>
        </is>
      </c>
      <c r="D9" s="7" t="n">
        <v>137412</v>
      </c>
      <c r="F9" s="7" t="n">
        <v>195876.9</v>
      </c>
      <c r="H9" s="7" t="n">
        <v>230666.6</v>
      </c>
      <c r="J9" s="7" t="n">
        <v>272386.5</v>
      </c>
      <c r="L9" s="7" t="n">
        <v>315997.1</v>
      </c>
      <c r="N9" s="7" t="n">
        <v>388577.2</v>
      </c>
      <c r="P9" s="7" t="n">
        <v>350943.9</v>
      </c>
      <c r="R9" s="7" t="n">
        <v>201711.8</v>
      </c>
      <c r="T9" s="7" t="n">
        <v>209000.4</v>
      </c>
      <c r="V9" s="7" t="n">
        <v>226613.8</v>
      </c>
      <c r="X9" s="7" t="n">
        <v>204232.5</v>
      </c>
      <c r="Z9" s="7" t="n">
        <v>249625.6</v>
      </c>
      <c r="AB9" s="7" t="n">
        <v>2983044.3</v>
      </c>
    </row>
    <row r="10">
      <c r="A10" s="4" t="inlineStr">
        <is>
          <t>调味汁</t>
        </is>
      </c>
      <c r="D10" s="7" t="n">
        <v>267248.3</v>
      </c>
      <c r="F10" s="7" t="n">
        <v>163964.7</v>
      </c>
      <c r="H10" s="7" t="n">
        <v>326749.3</v>
      </c>
      <c r="J10" s="7" t="n">
        <v>309709.9</v>
      </c>
      <c r="L10" s="7" t="n">
        <v>474255.1</v>
      </c>
      <c r="N10" s="7" t="n">
        <v>508246.6</v>
      </c>
      <c r="P10" s="7" t="n">
        <v>347498.3</v>
      </c>
      <c r="R10" s="7" t="n">
        <v>279486.8</v>
      </c>
      <c r="T10" s="7" t="n">
        <v>399669.4</v>
      </c>
      <c r="V10" s="7" t="n">
        <v>327053.5</v>
      </c>
      <c r="X10" s="7" t="n">
        <v>384394.3</v>
      </c>
      <c r="Z10" s="7" t="n">
        <v>267507</v>
      </c>
      <c r="AB10" s="7" t="n">
        <v>4055783.2</v>
      </c>
    </row>
    <row r="11">
      <c r="A11" s="4" t="inlineStr">
        <is>
          <t>复合调味粉</t>
        </is>
      </c>
      <c r="D11" s="7" t="n">
        <v>81149.8</v>
      </c>
      <c r="F11" s="7" t="n">
        <v>51768.5</v>
      </c>
      <c r="H11" s="7" t="n">
        <v>82372</v>
      </c>
      <c r="J11" s="7" t="n">
        <v>147218.3</v>
      </c>
      <c r="L11" s="7" t="n">
        <v>138888</v>
      </c>
      <c r="N11" s="7" t="n">
        <v>148990.7</v>
      </c>
      <c r="P11" s="7" t="n">
        <v>95447.10000000001</v>
      </c>
      <c r="R11" s="7" t="n">
        <v>151712.8</v>
      </c>
      <c r="T11" s="7" t="n">
        <v>75071.60000000001</v>
      </c>
      <c r="V11" s="7" t="n">
        <v>158507.6</v>
      </c>
      <c r="X11" s="7" t="n">
        <v>91402.3</v>
      </c>
      <c r="Z11" s="7" t="n">
        <v>75771.2</v>
      </c>
      <c r="AB11" s="7" t="n">
        <v>1298299.9</v>
      </c>
    </row>
    <row r="12">
      <c r="A12" s="4" t="inlineStr">
        <is>
          <t>团餐</t>
        </is>
      </c>
      <c r="D12" s="7" t="n">
        <v>293838</v>
      </c>
      <c r="F12" s="7" t="n">
        <v>372998.3</v>
      </c>
      <c r="H12" s="7" t="n">
        <v>442544.4</v>
      </c>
      <c r="J12" s="7" t="n">
        <v>369240.7</v>
      </c>
      <c r="L12" s="7" t="n">
        <v>587745.7</v>
      </c>
      <c r="N12" s="7" t="n">
        <v>582394.1</v>
      </c>
      <c r="P12" s="7" t="n">
        <v>499452.7</v>
      </c>
      <c r="R12" s="7" t="n">
        <v>507420.6</v>
      </c>
      <c r="T12" s="7" t="n">
        <v>498881.6</v>
      </c>
      <c r="V12" s="7" t="n">
        <v>312711.9</v>
      </c>
      <c r="X12" s="7" t="n">
        <v>278600.5</v>
      </c>
      <c r="Z12" s="7" t="n">
        <v>296589.4</v>
      </c>
      <c r="AB12" s="7" t="n">
        <v>5042417.9</v>
      </c>
    </row>
    <row r="13">
      <c r="A13" s="4" t="inlineStr">
        <is>
          <t>预制菜</t>
        </is>
      </c>
      <c r="D13" s="7" t="n">
        <v>57516.9</v>
      </c>
      <c r="F13" s="7" t="n">
        <v>40326.7</v>
      </c>
      <c r="H13" s="7" t="n">
        <v>58758.4</v>
      </c>
      <c r="J13" s="7" t="n">
        <v>86893.7</v>
      </c>
      <c r="L13" s="7" t="n">
        <v>50067.8</v>
      </c>
      <c r="N13" s="7" t="n">
        <v>60041.6</v>
      </c>
      <c r="P13" s="7" t="n">
        <v>96412.3</v>
      </c>
      <c r="R13" s="7" t="n">
        <v>94886.60000000001</v>
      </c>
      <c r="T13" s="7" t="n">
        <v>74297.7</v>
      </c>
      <c r="V13" s="7" t="n">
        <v>60576.2</v>
      </c>
      <c r="X13" s="7" t="n">
        <v>77698</v>
      </c>
      <c r="Z13" s="7" t="n">
        <v>55811.4</v>
      </c>
      <c r="AB13" s="7" t="n">
        <v>813287.3</v>
      </c>
    </row>
    <row r="14">
      <c r="A14" s="4" t="inlineStr">
        <is>
          <t>返利</t>
        </is>
      </c>
      <c r="D14" s="7" t="n">
        <v>-34338.2</v>
      </c>
      <c r="F14" s="7" t="n">
        <v>-26294.4</v>
      </c>
      <c r="H14" s="7" t="n">
        <v>-20161.6</v>
      </c>
      <c r="J14" s="7" t="n">
        <v>-36492.2</v>
      </c>
      <c r="L14" s="7" t="n">
        <v>-64675.7</v>
      </c>
      <c r="N14" s="7" t="n">
        <v>-60417.2</v>
      </c>
      <c r="P14" s="7" t="n">
        <v>-67144.5</v>
      </c>
      <c r="R14" s="7" t="n">
        <v>-51912.9</v>
      </c>
      <c r="T14" s="7" t="n">
        <v>-54454.4</v>
      </c>
      <c r="V14" s="7" t="n">
        <v>-29815.3</v>
      </c>
      <c r="X14" s="7" t="n">
        <v>-33650</v>
      </c>
      <c r="Z14" s="7" t="n">
        <v>-38468.8</v>
      </c>
      <c r="AB14" s="7" t="n">
        <v>-517825.2</v>
      </c>
    </row>
    <row r="15">
      <c r="A15" s="4" t="inlineStr">
        <is>
          <t>其他</t>
        </is>
      </c>
      <c r="D15" s="7" t="n">
        <v>19626.5</v>
      </c>
      <c r="F15" s="7" t="n">
        <v>8749.9</v>
      </c>
      <c r="H15" s="7" t="n">
        <v>23115.5</v>
      </c>
      <c r="J15" s="7" t="n">
        <v>20029.9</v>
      </c>
      <c r="L15" s="7" t="n">
        <v>30861.2</v>
      </c>
      <c r="N15" s="7" t="n">
        <v>45191.7</v>
      </c>
      <c r="P15" s="7" t="n">
        <v>26766.9</v>
      </c>
      <c r="R15" s="7" t="n">
        <v>26237.2</v>
      </c>
      <c r="T15" s="7" t="n">
        <v>30158.3</v>
      </c>
      <c r="V15" s="7" t="n">
        <v>30610.3</v>
      </c>
      <c r="X15" s="7" t="n">
        <v>7797.5</v>
      </c>
      <c r="Z15" s="7" t="n">
        <v>22567</v>
      </c>
      <c r="AB15" s="7" t="n">
        <v>291711.9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1382431.1</v>
      </c>
      <c r="D16" s="7" t="n">
        <v>807558.6</v>
      </c>
      <c r="E16" s="7" t="n">
        <v>1147302.8</v>
      </c>
      <c r="F16" s="7" t="n">
        <v>883003.2</v>
      </c>
      <c r="G16" s="7" t="n">
        <v>1424413</v>
      </c>
      <c r="H16" s="7" t="n">
        <v>1194358.9</v>
      </c>
      <c r="I16" s="7" t="n">
        <v>1239542.7</v>
      </c>
      <c r="J16" s="7" t="n">
        <v>1277269</v>
      </c>
      <c r="K16" s="7" t="n">
        <v>1122609.4</v>
      </c>
      <c r="L16" s="7" t="n">
        <v>1591193.4</v>
      </c>
      <c r="M16" s="7" t="n">
        <v>1102063.3</v>
      </c>
      <c r="N16" s="7" t="n">
        <v>1868250.5</v>
      </c>
      <c r="O16" s="7" t="n">
        <v>1268809.6</v>
      </c>
      <c r="P16" s="7" t="n">
        <v>1502426.6</v>
      </c>
      <c r="Q16" s="7" t="n">
        <v>1201445.2</v>
      </c>
      <c r="R16" s="7" t="n">
        <v>1297041.9</v>
      </c>
      <c r="S16" s="7" t="n">
        <v>1344104.3</v>
      </c>
      <c r="T16" s="7" t="n">
        <v>1271759.9</v>
      </c>
      <c r="U16" s="7" t="n">
        <v>1222606.9</v>
      </c>
      <c r="V16" s="7" t="n">
        <v>1319129.1</v>
      </c>
      <c r="W16" s="7" t="n">
        <v>1189499.7</v>
      </c>
      <c r="X16" s="7" t="n">
        <v>1084735.7</v>
      </c>
      <c r="Y16" s="7" t="n">
        <v>1095497.4</v>
      </c>
      <c r="Z16" s="7" t="n">
        <v>938599.1</v>
      </c>
      <c r="AA16" s="8" t="n">
        <v>14740325.4</v>
      </c>
      <c r="AB16" s="8" t="n">
        <v>15035325.9</v>
      </c>
    </row>
    <row r="17">
      <c r="A17" s="4" t="inlineStr">
        <is>
          <t>中式汤底</t>
        </is>
      </c>
      <c r="D17" s="7" t="n">
        <v>165596.9</v>
      </c>
      <c r="F17" s="7" t="n">
        <v>183366.7</v>
      </c>
      <c r="H17" s="7" t="n">
        <v>287619.2</v>
      </c>
      <c r="J17" s="7" t="n">
        <v>286059.8</v>
      </c>
      <c r="L17" s="7" t="n">
        <v>338501.2</v>
      </c>
      <c r="N17" s="7" t="n">
        <v>384843.2</v>
      </c>
      <c r="P17" s="7" t="n">
        <v>309968.8</v>
      </c>
      <c r="R17" s="7" t="n">
        <v>213573</v>
      </c>
      <c r="T17" s="7" t="n">
        <v>295120.8</v>
      </c>
      <c r="V17" s="7" t="n">
        <v>321654.7</v>
      </c>
      <c r="X17" s="7" t="n">
        <v>144995.9</v>
      </c>
      <c r="Z17" s="7" t="n">
        <v>139245.7</v>
      </c>
      <c r="AB17" s="7" t="n">
        <v>3070545.9</v>
      </c>
    </row>
    <row r="18">
      <c r="A18" s="4" t="inlineStr">
        <is>
          <t>酱料</t>
        </is>
      </c>
      <c r="D18" s="7" t="n">
        <v>73335.3</v>
      </c>
      <c r="F18" s="7" t="n">
        <v>139064.5</v>
      </c>
      <c r="H18" s="7" t="n">
        <v>100822</v>
      </c>
      <c r="J18" s="7" t="n">
        <v>177841.9</v>
      </c>
      <c r="L18" s="7" t="n">
        <v>144809.1</v>
      </c>
      <c r="N18" s="7" t="n">
        <v>273214.1</v>
      </c>
      <c r="P18" s="7" t="n">
        <v>258544.1</v>
      </c>
      <c r="R18" s="7" t="n">
        <v>229372.8</v>
      </c>
      <c r="T18" s="7" t="n">
        <v>103998.8</v>
      </c>
      <c r="V18" s="7" t="n">
        <v>248224</v>
      </c>
      <c r="X18" s="7" t="n">
        <v>210927.4</v>
      </c>
      <c r="Z18" s="7" t="n">
        <v>144223.4</v>
      </c>
      <c r="AB18" s="7" t="n">
        <v>2104377.4</v>
      </c>
    </row>
    <row r="19">
      <c r="A19" s="4" t="inlineStr">
        <is>
          <t>川味底料</t>
        </is>
      </c>
      <c r="D19" s="7" t="n">
        <v>96076.7</v>
      </c>
      <c r="F19" s="7" t="n">
        <v>136954.6</v>
      </c>
      <c r="H19" s="7" t="n">
        <v>161279.1</v>
      </c>
      <c r="J19" s="7" t="n">
        <v>190449.1</v>
      </c>
      <c r="L19" s="7" t="n">
        <v>220941.1</v>
      </c>
      <c r="N19" s="7" t="n">
        <v>271688.2</v>
      </c>
      <c r="P19" s="7" t="n">
        <v>245375.4</v>
      </c>
      <c r="R19" s="7" t="n">
        <v>141034.3</v>
      </c>
      <c r="T19" s="7" t="n">
        <v>146130.4</v>
      </c>
      <c r="V19" s="7" t="n">
        <v>158445.4</v>
      </c>
      <c r="X19" s="7" t="n">
        <v>142796.7</v>
      </c>
      <c r="Z19" s="7" t="n">
        <v>174535</v>
      </c>
      <c r="AB19" s="7" t="n">
        <v>2085706</v>
      </c>
    </row>
    <row r="20">
      <c r="A20" s="4" t="inlineStr">
        <is>
          <t>调味汁</t>
        </is>
      </c>
      <c r="D20" s="7" t="n">
        <v>164667.2</v>
      </c>
      <c r="F20" s="7" t="n">
        <v>101028.2</v>
      </c>
      <c r="H20" s="7" t="n">
        <v>201329.3</v>
      </c>
      <c r="J20" s="7" t="n">
        <v>190830.3</v>
      </c>
      <c r="L20" s="7" t="n">
        <v>292216.2</v>
      </c>
      <c r="N20" s="7" t="n">
        <v>313160.3</v>
      </c>
      <c r="P20" s="7" t="n">
        <v>214113.9</v>
      </c>
      <c r="R20" s="7" t="n">
        <v>172208.1</v>
      </c>
      <c r="T20" s="7" t="n">
        <v>246259.6</v>
      </c>
      <c r="V20" s="7" t="n">
        <v>201516.7</v>
      </c>
      <c r="X20" s="7" t="n">
        <v>236847.7</v>
      </c>
      <c r="Z20" s="7" t="n">
        <v>164826.6</v>
      </c>
      <c r="AB20" s="7" t="n">
        <v>2499004.1</v>
      </c>
    </row>
    <row r="21">
      <c r="A21" s="4" t="inlineStr">
        <is>
          <t>复合调味粉</t>
        </is>
      </c>
      <c r="D21" s="7" t="n">
        <v>56039.7</v>
      </c>
      <c r="F21" s="7" t="n">
        <v>35749.8</v>
      </c>
      <c r="H21" s="7" t="n">
        <v>56883.7</v>
      </c>
      <c r="J21" s="7" t="n">
        <v>101664.7</v>
      </c>
      <c r="L21" s="7" t="n">
        <v>95912</v>
      </c>
      <c r="N21" s="7" t="n">
        <v>102888.7</v>
      </c>
      <c r="P21" s="7" t="n">
        <v>65913</v>
      </c>
      <c r="R21" s="7" t="n">
        <v>104768.5</v>
      </c>
      <c r="T21" s="7" t="n">
        <v>51842.3</v>
      </c>
      <c r="V21" s="7" t="n">
        <v>109460.8</v>
      </c>
      <c r="X21" s="7" t="n">
        <v>63119.8</v>
      </c>
      <c r="Z21" s="7" t="n">
        <v>52325.4</v>
      </c>
      <c r="AB21" s="7" t="n">
        <v>896568.4</v>
      </c>
    </row>
    <row r="22">
      <c r="A22" s="4" t="inlineStr">
        <is>
          <t>团餐</t>
        </is>
      </c>
      <c r="D22" s="7" t="n">
        <v>177532</v>
      </c>
      <c r="F22" s="7" t="n">
        <v>225359.3</v>
      </c>
      <c r="H22" s="7" t="n">
        <v>267377.9</v>
      </c>
      <c r="J22" s="7" t="n">
        <v>223089.1</v>
      </c>
      <c r="L22" s="7" t="n">
        <v>355106.1</v>
      </c>
      <c r="N22" s="7" t="n">
        <v>351872.8</v>
      </c>
      <c r="P22" s="7" t="n">
        <v>301761</v>
      </c>
      <c r="R22" s="7" t="n">
        <v>306575</v>
      </c>
      <c r="T22" s="7" t="n">
        <v>301415.9</v>
      </c>
      <c r="V22" s="7" t="n">
        <v>188935.3</v>
      </c>
      <c r="X22" s="7" t="n">
        <v>168325.8</v>
      </c>
      <c r="Z22" s="7" t="n">
        <v>179194.4</v>
      </c>
      <c r="AB22" s="7" t="n">
        <v>3046544.6</v>
      </c>
    </row>
    <row r="23">
      <c r="A23" s="4" t="inlineStr">
        <is>
          <t>预制菜</t>
        </is>
      </c>
      <c r="D23" s="7" t="n">
        <v>34526.3</v>
      </c>
      <c r="F23" s="7" t="n">
        <v>24207.3</v>
      </c>
      <c r="H23" s="7" t="n">
        <v>35271.5</v>
      </c>
      <c r="J23" s="7" t="n">
        <v>52160.6</v>
      </c>
      <c r="L23" s="7" t="n">
        <v>30054.7</v>
      </c>
      <c r="N23" s="7" t="n">
        <v>36041.8</v>
      </c>
      <c r="P23" s="7" t="n">
        <v>57874.4</v>
      </c>
      <c r="R23" s="7" t="n">
        <v>56958.6</v>
      </c>
      <c r="T23" s="7" t="n">
        <v>44599.5</v>
      </c>
      <c r="V23" s="7" t="n">
        <v>36362.7</v>
      </c>
      <c r="X23" s="7" t="n">
        <v>46640.6</v>
      </c>
      <c r="Z23" s="7" t="n">
        <v>33502.5</v>
      </c>
      <c r="AB23" s="7" t="n">
        <v>488200.5</v>
      </c>
    </row>
    <row r="24">
      <c r="A24" s="4" t="inlineStr">
        <is>
          <t>其他</t>
        </is>
      </c>
      <c r="D24" s="7" t="n">
        <v>2494.4</v>
      </c>
      <c r="F24" s="7" t="n">
        <v>8138.9</v>
      </c>
      <c r="H24" s="7" t="n">
        <v>20621.5</v>
      </c>
      <c r="J24" s="7" t="n">
        <v>1621</v>
      </c>
      <c r="L24" s="7" t="n">
        <v>9277.700000000001</v>
      </c>
      <c r="N24" s="7" t="n">
        <v>30836</v>
      </c>
      <c r="P24" s="7" t="n">
        <v>12664</v>
      </c>
      <c r="R24" s="7" t="n">
        <v>19960.7</v>
      </c>
      <c r="T24" s="7" t="n">
        <v>3664.3</v>
      </c>
      <c r="V24" s="7" t="n">
        <v>11967.5</v>
      </c>
      <c r="X24" s="7" t="n">
        <v>620.3</v>
      </c>
      <c r="Z24" s="7" t="n">
        <v>16648.9</v>
      </c>
      <c r="AB24" s="7" t="n">
        <v>138515.2</v>
      </c>
    </row>
    <row r="25">
      <c r="A25" s="4" t="inlineStr">
        <is>
          <t>运费</t>
        </is>
      </c>
      <c r="D25" s="7" t="n">
        <v>39784.5</v>
      </c>
      <c r="F25" s="7" t="n">
        <v>37272.8</v>
      </c>
      <c r="H25" s="7" t="n">
        <v>83776.2</v>
      </c>
      <c r="J25" s="7" t="n">
        <v>55173.5</v>
      </c>
      <c r="L25" s="7" t="n">
        <v>113653</v>
      </c>
      <c r="N25" s="7" t="n">
        <v>134541.4</v>
      </c>
      <c r="P25" s="7" t="n">
        <v>48876</v>
      </c>
      <c r="R25" s="7" t="n">
        <v>72551.60000000001</v>
      </c>
      <c r="T25" s="7" t="n">
        <v>82392.60000000001</v>
      </c>
      <c r="V25" s="7" t="n">
        <v>54529.5</v>
      </c>
      <c r="X25" s="7" t="n">
        <v>71081.8</v>
      </c>
      <c r="Z25" s="7" t="n">
        <v>50746.1</v>
      </c>
      <c r="AB25" s="7" t="n">
        <v>844379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255975.5</v>
      </c>
      <c r="D26" s="7" t="n">
        <v>382728.5</v>
      </c>
      <c r="E26" s="7" t="n">
        <v>530998.4</v>
      </c>
      <c r="F26" s="7" t="n">
        <v>422795.7</v>
      </c>
      <c r="G26" s="7" t="n">
        <v>213382.9</v>
      </c>
      <c r="H26" s="7" t="n">
        <v>546756</v>
      </c>
      <c r="I26" s="7" t="n">
        <v>629155.8</v>
      </c>
      <c r="J26" s="7" t="n">
        <v>607683.6</v>
      </c>
      <c r="K26" s="7" t="n">
        <v>871618.8</v>
      </c>
      <c r="L26" s="7" t="n">
        <v>685818.4</v>
      </c>
      <c r="M26" s="7" t="n">
        <v>572114.4</v>
      </c>
      <c r="N26" s="7" t="n">
        <v>821450.6</v>
      </c>
      <c r="O26" s="7" t="n">
        <v>422692.2</v>
      </c>
      <c r="P26" s="7" t="n">
        <v>726422.2</v>
      </c>
      <c r="Q26" s="7" t="n">
        <v>638597.5</v>
      </c>
      <c r="R26" s="7" t="n">
        <v>599137.8</v>
      </c>
      <c r="S26" s="7" t="n">
        <v>629266.8</v>
      </c>
      <c r="T26" s="7" t="n">
        <v>574369.2</v>
      </c>
      <c r="U26" s="7" t="n">
        <v>890546.2</v>
      </c>
      <c r="V26" s="7" t="n">
        <v>648160.3</v>
      </c>
      <c r="W26" s="7" t="n">
        <v>672971.8</v>
      </c>
      <c r="X26" s="7" t="n">
        <v>478824.2</v>
      </c>
      <c r="Y26" s="7" t="n">
        <v>632951.4</v>
      </c>
      <c r="Z26" s="7" t="n">
        <v>430096.3</v>
      </c>
      <c r="AA26" s="8" t="n">
        <v>6960271.7</v>
      </c>
      <c r="AB26" s="8" t="n">
        <v>6924242.8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15.6</v>
      </c>
      <c r="D27" s="13" t="n">
        <v>32.2</v>
      </c>
      <c r="E27" s="13" t="n">
        <v>31.6</v>
      </c>
      <c r="F27" s="13" t="n">
        <v>32.4</v>
      </c>
      <c r="G27" s="13" t="n">
        <v>13</v>
      </c>
      <c r="H27" s="13" t="n">
        <v>31.4</v>
      </c>
      <c r="I27" s="13" t="n">
        <v>33.7</v>
      </c>
      <c r="J27" s="13" t="n">
        <v>32.2</v>
      </c>
      <c r="K27" s="13" t="n">
        <v>43.7</v>
      </c>
      <c r="L27" s="13" t="n">
        <v>30.1</v>
      </c>
      <c r="M27" s="13" t="n">
        <v>34.2</v>
      </c>
      <c r="N27" s="13" t="n">
        <v>30.5</v>
      </c>
      <c r="O27" s="13" t="n">
        <v>25</v>
      </c>
      <c r="P27" s="13" t="n">
        <v>32.6</v>
      </c>
      <c r="Q27" s="13" t="n">
        <v>34.7</v>
      </c>
      <c r="R27" s="13" t="n">
        <v>31.6</v>
      </c>
      <c r="S27" s="13" t="n">
        <v>31.9</v>
      </c>
      <c r="T27" s="13" t="n">
        <v>31.1</v>
      </c>
      <c r="U27" s="13" t="n">
        <v>42.1</v>
      </c>
      <c r="V27" s="13" t="n">
        <v>32.9</v>
      </c>
      <c r="W27" s="13" t="n">
        <v>36.1</v>
      </c>
      <c r="X27" s="13" t="n">
        <v>30.6</v>
      </c>
      <c r="Y27" s="13" t="n">
        <v>36.6</v>
      </c>
      <c r="Z27" s="13" t="n">
        <v>31.4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17675.4</v>
      </c>
      <c r="D28" s="7" t="n">
        <v>7358.7</v>
      </c>
      <c r="E28" s="7" t="n">
        <v>17953.4</v>
      </c>
      <c r="F28" s="7" t="n">
        <v>9606.5</v>
      </c>
      <c r="G28" s="7" t="n">
        <v>16309.3</v>
      </c>
      <c r="H28" s="7" t="n">
        <v>24011.8</v>
      </c>
      <c r="I28" s="7" t="n">
        <v>16304.9</v>
      </c>
      <c r="J28" s="7" t="n">
        <v>18696.1</v>
      </c>
      <c r="K28" s="7" t="n">
        <v>20298.6</v>
      </c>
      <c r="L28" s="7" t="n">
        <v>33205.1</v>
      </c>
      <c r="M28" s="7" t="n">
        <v>15893.3</v>
      </c>
      <c r="N28" s="7" t="n">
        <v>29275.3</v>
      </c>
      <c r="O28" s="7" t="n">
        <v>18867.9</v>
      </c>
      <c r="P28" s="7" t="n">
        <v>20178.2</v>
      </c>
      <c r="Q28" s="7" t="n">
        <v>18601</v>
      </c>
      <c r="R28" s="7" t="n">
        <v>25588</v>
      </c>
      <c r="S28" s="7" t="n">
        <v>16362.1</v>
      </c>
      <c r="T28" s="7" t="n">
        <v>14519.2</v>
      </c>
      <c r="U28" s="7" t="n">
        <v>21271</v>
      </c>
      <c r="V28" s="7" t="n">
        <v>21848.2</v>
      </c>
      <c r="W28" s="7" t="n">
        <v>20365.2</v>
      </c>
      <c r="X28" s="7" t="n">
        <v>10396</v>
      </c>
      <c r="Y28" s="7" t="n">
        <v>19469.7</v>
      </c>
      <c r="Z28" s="7" t="n">
        <v>9022.299999999999</v>
      </c>
      <c r="AA28" s="8" t="n">
        <v>219371.8</v>
      </c>
      <c r="AB28" s="8" t="n">
        <v>223705.4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305784</v>
      </c>
      <c r="D29" s="7" t="n">
        <v>296114.4</v>
      </c>
      <c r="E29" s="7" t="n">
        <v>277636.5</v>
      </c>
      <c r="F29" s="7" t="n">
        <v>130988.7</v>
      </c>
      <c r="G29" s="7" t="n">
        <v>330212.3</v>
      </c>
      <c r="H29" s="7" t="n">
        <v>220487.8</v>
      </c>
      <c r="I29" s="7" t="n">
        <v>369391</v>
      </c>
      <c r="J29" s="7" t="n">
        <v>226236.7</v>
      </c>
      <c r="K29" s="7" t="n">
        <v>333257.1</v>
      </c>
      <c r="L29" s="7" t="n">
        <v>563686</v>
      </c>
      <c r="M29" s="7" t="n">
        <v>353272.3</v>
      </c>
      <c r="N29" s="7" t="n">
        <v>416944.1</v>
      </c>
      <c r="O29" s="7" t="n">
        <v>292455.1</v>
      </c>
      <c r="P29" s="7" t="n">
        <v>452120.3</v>
      </c>
      <c r="Q29" s="7" t="n">
        <v>290298.3</v>
      </c>
      <c r="R29" s="7" t="n">
        <v>424770.1</v>
      </c>
      <c r="S29" s="7" t="n">
        <v>311653.5</v>
      </c>
      <c r="T29" s="7" t="n">
        <v>283542.5</v>
      </c>
      <c r="U29" s="7" t="n">
        <v>369902.9</v>
      </c>
      <c r="V29" s="7" t="n">
        <v>365521.6</v>
      </c>
      <c r="W29" s="7" t="n">
        <v>284267</v>
      </c>
      <c r="X29" s="7" t="n">
        <v>165838.2</v>
      </c>
      <c r="Y29" s="7" t="n">
        <v>331227.9</v>
      </c>
      <c r="Z29" s="7" t="n">
        <v>320181.6</v>
      </c>
      <c r="AA29" s="8" t="n">
        <v>3849357.9</v>
      </c>
      <c r="AB29" s="8" t="n">
        <v>3866432</v>
      </c>
    </row>
    <row r="30">
      <c r="A30" s="4" t="inlineStr">
        <is>
          <t>职工薪酬</t>
        </is>
      </c>
      <c r="D30" s="7" t="n">
        <v>129189.7</v>
      </c>
      <c r="F30" s="7" t="n">
        <v>75036.7</v>
      </c>
      <c r="H30" s="7" t="n">
        <v>118740.2</v>
      </c>
      <c r="J30" s="7" t="n">
        <v>120529.4</v>
      </c>
      <c r="L30" s="7" t="n">
        <v>312657.7</v>
      </c>
      <c r="N30" s="7" t="n">
        <v>192458.7</v>
      </c>
      <c r="P30" s="7" t="n">
        <v>213425.6</v>
      </c>
      <c r="R30" s="7" t="n">
        <v>205148.2</v>
      </c>
      <c r="T30" s="7" t="n">
        <v>155098</v>
      </c>
      <c r="V30" s="7" t="n">
        <v>171271.7</v>
      </c>
      <c r="X30" s="7" t="n">
        <v>93468.5</v>
      </c>
      <c r="Z30" s="7" t="n">
        <v>146993.9</v>
      </c>
      <c r="AB30" s="7" t="n">
        <v>1934018.3</v>
      </c>
    </row>
    <row r="31">
      <c r="A31" s="4" t="inlineStr">
        <is>
          <t>工资</t>
        </is>
      </c>
      <c r="D31" s="7" t="n">
        <v>63891.4</v>
      </c>
      <c r="F31" s="7" t="n">
        <v>47599.7</v>
      </c>
      <c r="H31" s="7" t="n">
        <v>72695.2</v>
      </c>
      <c r="J31" s="7" t="n">
        <v>75808.2</v>
      </c>
      <c r="L31" s="7" t="n">
        <v>200587</v>
      </c>
      <c r="N31" s="7" t="n">
        <v>114482.6</v>
      </c>
      <c r="P31" s="7" t="n">
        <v>136358.4</v>
      </c>
      <c r="R31" s="7" t="n">
        <v>111654</v>
      </c>
      <c r="T31" s="7" t="n">
        <v>95559</v>
      </c>
      <c r="V31" s="7" t="n">
        <v>103149.1</v>
      </c>
      <c r="X31" s="7" t="n">
        <v>58914.7</v>
      </c>
      <c r="Z31" s="7" t="n">
        <v>80789</v>
      </c>
      <c r="AB31" s="7" t="n">
        <v>1161488.3</v>
      </c>
    </row>
    <row r="32">
      <c r="A32" s="4" t="inlineStr">
        <is>
          <t>奖金及提成</t>
        </is>
      </c>
      <c r="D32" s="7" t="n">
        <v>38221.2</v>
      </c>
      <c r="F32" s="7" t="n">
        <v>11600.3</v>
      </c>
      <c r="H32" s="7" t="n">
        <v>19755</v>
      </c>
      <c r="J32" s="7" t="n">
        <v>19103.6</v>
      </c>
      <c r="L32" s="7" t="n">
        <v>44487.9</v>
      </c>
      <c r="N32" s="7" t="n">
        <v>33069.1</v>
      </c>
      <c r="P32" s="7" t="n">
        <v>33803.8</v>
      </c>
      <c r="R32" s="7" t="n">
        <v>44711.7</v>
      </c>
      <c r="T32" s="7" t="n">
        <v>21850.7</v>
      </c>
      <c r="V32" s="7" t="n">
        <v>27948</v>
      </c>
      <c r="X32" s="7" t="n">
        <v>16075.6</v>
      </c>
      <c r="Z32" s="7" t="n">
        <v>25281.4</v>
      </c>
      <c r="AB32" s="7" t="n">
        <v>335908.3</v>
      </c>
    </row>
    <row r="33">
      <c r="A33" s="4" t="inlineStr">
        <is>
          <t>社保</t>
        </is>
      </c>
      <c r="D33" s="7" t="n">
        <v>17626.3</v>
      </c>
      <c r="F33" s="7" t="n">
        <v>12179</v>
      </c>
      <c r="H33" s="7" t="n">
        <v>19625.8</v>
      </c>
      <c r="J33" s="7" t="n">
        <v>18959.8</v>
      </c>
      <c r="L33" s="7" t="n">
        <v>51010.6</v>
      </c>
      <c r="N33" s="7" t="n">
        <v>32061.4</v>
      </c>
      <c r="P33" s="7" t="n">
        <v>27979.8</v>
      </c>
      <c r="R33" s="7" t="n">
        <v>36924</v>
      </c>
      <c r="T33" s="7" t="n">
        <v>28706.9</v>
      </c>
      <c r="V33" s="7" t="n">
        <v>30156.2</v>
      </c>
      <c r="X33" s="7" t="n">
        <v>13964.9</v>
      </c>
      <c r="Z33" s="7" t="n">
        <v>32337.4</v>
      </c>
      <c r="AB33" s="7" t="n">
        <v>321532.1</v>
      </c>
    </row>
    <row r="34">
      <c r="A34" s="4" t="inlineStr">
        <is>
          <t>养老</t>
        </is>
      </c>
      <c r="D34" s="7" t="n">
        <v>400.8</v>
      </c>
      <c r="F34" s="7" t="n">
        <v>129.8</v>
      </c>
      <c r="H34" s="7" t="n">
        <v>240.8</v>
      </c>
      <c r="J34" s="7" t="n">
        <v>253.6</v>
      </c>
      <c r="L34" s="7" t="n">
        <v>573.5</v>
      </c>
      <c r="N34" s="7" t="n">
        <v>412.3</v>
      </c>
      <c r="P34" s="7" t="n">
        <v>753.7</v>
      </c>
      <c r="R34" s="7" t="n">
        <v>497.4</v>
      </c>
      <c r="T34" s="7" t="n">
        <v>316.7</v>
      </c>
      <c r="V34" s="7" t="n">
        <v>502.1</v>
      </c>
      <c r="X34" s="7" t="n">
        <v>249.8</v>
      </c>
      <c r="Z34" s="7" t="n">
        <v>413.3</v>
      </c>
      <c r="AB34" s="7" t="n">
        <v>4743.8</v>
      </c>
    </row>
    <row r="35">
      <c r="A35" s="4" t="inlineStr">
        <is>
          <t>医疗</t>
        </is>
      </c>
      <c r="D35" s="7" t="n">
        <v>1231.2</v>
      </c>
      <c r="F35" s="7" t="n">
        <v>475</v>
      </c>
      <c r="H35" s="7" t="n">
        <v>918.8</v>
      </c>
      <c r="J35" s="7" t="n">
        <v>1346.6</v>
      </c>
      <c r="L35" s="7" t="n">
        <v>2499.1</v>
      </c>
      <c r="N35" s="7" t="n">
        <v>1723.4</v>
      </c>
      <c r="P35" s="7" t="n">
        <v>2626.5</v>
      </c>
      <c r="R35" s="7" t="n">
        <v>2054.1</v>
      </c>
      <c r="T35" s="7" t="n">
        <v>1476.6</v>
      </c>
      <c r="V35" s="7" t="n">
        <v>1197.4</v>
      </c>
      <c r="X35" s="7" t="n">
        <v>902.2</v>
      </c>
      <c r="Z35" s="7" t="n">
        <v>1894.7</v>
      </c>
      <c r="AB35" s="7" t="n">
        <v>18345.6</v>
      </c>
    </row>
    <row r="36">
      <c r="A36" s="4" t="inlineStr">
        <is>
          <t>工伤</t>
        </is>
      </c>
      <c r="D36" s="7" t="n">
        <v>801</v>
      </c>
      <c r="F36" s="7" t="n">
        <v>461.8</v>
      </c>
      <c r="H36" s="7" t="n">
        <v>474.3</v>
      </c>
      <c r="J36" s="7" t="n">
        <v>759.1</v>
      </c>
      <c r="L36" s="7" t="n">
        <v>1297.2</v>
      </c>
      <c r="N36" s="7" t="n">
        <v>1207.7</v>
      </c>
      <c r="P36" s="7" t="n">
        <v>1570.8</v>
      </c>
      <c r="R36" s="7" t="n">
        <v>1441.2</v>
      </c>
      <c r="T36" s="7" t="n">
        <v>875.5</v>
      </c>
      <c r="V36" s="7" t="n">
        <v>947.5</v>
      </c>
      <c r="X36" s="7" t="n">
        <v>525.7</v>
      </c>
      <c r="Z36" s="7" t="n">
        <v>941.9</v>
      </c>
      <c r="AB36" s="7" t="n">
        <v>11303.7</v>
      </c>
    </row>
    <row r="37">
      <c r="A37" s="4" t="inlineStr">
        <is>
          <t>失业</t>
        </is>
      </c>
      <c r="D37" s="7" t="n">
        <v>1630.1</v>
      </c>
      <c r="F37" s="7" t="n">
        <v>564.5</v>
      </c>
      <c r="H37" s="7" t="n">
        <v>721.6</v>
      </c>
      <c r="J37" s="7" t="n">
        <v>1044.4</v>
      </c>
      <c r="L37" s="7" t="n">
        <v>3141.1</v>
      </c>
      <c r="N37" s="7" t="n">
        <v>1946.2</v>
      </c>
      <c r="P37" s="7" t="n">
        <v>1743.4</v>
      </c>
      <c r="R37" s="7" t="n">
        <v>1782.3</v>
      </c>
      <c r="T37" s="7" t="n">
        <v>1448.6</v>
      </c>
      <c r="V37" s="7" t="n">
        <v>1947</v>
      </c>
      <c r="X37" s="7" t="n">
        <v>775.9</v>
      </c>
      <c r="Z37" s="7" t="n">
        <v>1521.2</v>
      </c>
      <c r="AB37" s="7" t="n">
        <v>18266.3</v>
      </c>
    </row>
    <row r="38">
      <c r="A38" s="4" t="inlineStr">
        <is>
          <t>生育</t>
        </is>
      </c>
      <c r="D38" s="7" t="n">
        <v>2238.9</v>
      </c>
      <c r="F38" s="7" t="n">
        <v>815.7</v>
      </c>
      <c r="H38" s="7" t="n">
        <v>1372.8</v>
      </c>
      <c r="J38" s="7" t="n">
        <v>1268.2</v>
      </c>
      <c r="L38" s="7" t="n">
        <v>4175.6</v>
      </c>
      <c r="N38" s="7" t="n">
        <v>2870.4</v>
      </c>
      <c r="P38" s="7" t="n">
        <v>2566.1</v>
      </c>
      <c r="R38" s="7" t="n">
        <v>2803.6</v>
      </c>
      <c r="T38" s="7" t="n">
        <v>1700.8</v>
      </c>
      <c r="V38" s="7" t="n">
        <v>2181.8</v>
      </c>
      <c r="X38" s="7" t="n">
        <v>1115.9</v>
      </c>
      <c r="Z38" s="7" t="n">
        <v>1357.3</v>
      </c>
      <c r="AB38" s="7" t="n">
        <v>24467.1</v>
      </c>
    </row>
    <row r="39">
      <c r="A39" s="4" t="inlineStr">
        <is>
          <t>公积金</t>
        </is>
      </c>
      <c r="D39" s="7" t="n">
        <v>609.9</v>
      </c>
      <c r="F39" s="7" t="n">
        <v>307.5</v>
      </c>
      <c r="H39" s="7" t="n">
        <v>565.1</v>
      </c>
      <c r="J39" s="7" t="n">
        <v>485.9</v>
      </c>
      <c r="L39" s="7" t="n">
        <v>1508.4</v>
      </c>
      <c r="N39" s="7" t="n">
        <v>1143.5</v>
      </c>
      <c r="P39" s="7" t="n">
        <v>1231.1</v>
      </c>
      <c r="R39" s="7" t="n">
        <v>986.9</v>
      </c>
      <c r="T39" s="7" t="n">
        <v>518.6</v>
      </c>
      <c r="V39" s="7" t="n">
        <v>708.8</v>
      </c>
      <c r="X39" s="7" t="n">
        <v>381.4</v>
      </c>
      <c r="Z39" s="7" t="n">
        <v>677.1</v>
      </c>
      <c r="AB39" s="7" t="n">
        <v>9124.200000000001</v>
      </c>
    </row>
    <row r="40">
      <c r="A40" s="4" t="inlineStr">
        <is>
          <t>工会经费</t>
        </is>
      </c>
      <c r="D40" s="7" t="n">
        <v>636.3</v>
      </c>
      <c r="F40" s="7" t="n">
        <v>186.5</v>
      </c>
      <c r="H40" s="7" t="n">
        <v>363.7</v>
      </c>
      <c r="J40" s="7" t="n">
        <v>553.6</v>
      </c>
      <c r="L40" s="7" t="n">
        <v>946.2</v>
      </c>
      <c r="N40" s="7" t="n">
        <v>705.4</v>
      </c>
      <c r="P40" s="7" t="n">
        <v>906.7</v>
      </c>
      <c r="R40" s="7" t="n">
        <v>605.8</v>
      </c>
      <c r="T40" s="7" t="n">
        <v>709.7</v>
      </c>
      <c r="V40" s="7" t="n">
        <v>697.8</v>
      </c>
      <c r="X40" s="7" t="n">
        <v>306.4</v>
      </c>
      <c r="Z40" s="7" t="n">
        <v>604</v>
      </c>
      <c r="AB40" s="7" t="n">
        <v>7222.1</v>
      </c>
    </row>
    <row r="41">
      <c r="A41" s="4" t="inlineStr">
        <is>
          <t>职工教育经费</t>
        </is>
      </c>
      <c r="D41" s="7" t="n">
        <v>2199.1</v>
      </c>
      <c r="F41" s="7" t="n">
        <v>711.6</v>
      </c>
      <c r="H41" s="7" t="n">
        <v>1647.5</v>
      </c>
      <c r="J41" s="7" t="n">
        <v>1461.9</v>
      </c>
      <c r="L41" s="7" t="n">
        <v>3366.4</v>
      </c>
      <c r="N41" s="7" t="n">
        <v>2623.7</v>
      </c>
      <c r="P41" s="7" t="n">
        <v>3613.9</v>
      </c>
      <c r="R41" s="7" t="n">
        <v>3142.2</v>
      </c>
      <c r="T41" s="7" t="n">
        <v>1932.1</v>
      </c>
      <c r="V41" s="7" t="n">
        <v>2030.5</v>
      </c>
      <c r="X41" s="7" t="n">
        <v>1105.2</v>
      </c>
      <c r="Z41" s="7" t="n">
        <v>1470.7</v>
      </c>
      <c r="AB41" s="7" t="n">
        <v>25304.8</v>
      </c>
    </row>
    <row r="42">
      <c r="A42" s="4" t="inlineStr">
        <is>
          <t>福利费</t>
        </is>
      </c>
      <c r="D42" s="7" t="n">
        <v>6005.5</v>
      </c>
      <c r="F42" s="7" t="n">
        <v>2452.1</v>
      </c>
      <c r="H42" s="7" t="n">
        <v>4087.9</v>
      </c>
      <c r="J42" s="7" t="n">
        <v>4156.4</v>
      </c>
      <c r="L42" s="7" t="n">
        <v>10751.2</v>
      </c>
      <c r="N42" s="7" t="n">
        <v>8373</v>
      </c>
      <c r="P42" s="7" t="n">
        <v>9531.9</v>
      </c>
      <c r="R42" s="7" t="n">
        <v>7123.6</v>
      </c>
      <c r="T42" s="7" t="n">
        <v>5821</v>
      </c>
      <c r="V42" s="7" t="n">
        <v>6581.3</v>
      </c>
      <c r="X42" s="7" t="n">
        <v>2720.3</v>
      </c>
      <c r="Z42" s="7" t="n">
        <v>5834.3</v>
      </c>
      <c r="AB42" s="7" t="n">
        <v>73438.5</v>
      </c>
    </row>
    <row r="43">
      <c r="A43" s="4" t="inlineStr">
        <is>
          <t>职工房租</t>
        </is>
      </c>
      <c r="D43" s="7" t="n">
        <v>168.3</v>
      </c>
      <c r="F43" s="7" t="n">
        <v>86.8</v>
      </c>
      <c r="H43" s="7" t="n">
        <v>82.09999999999999</v>
      </c>
      <c r="J43" s="7" t="n">
        <v>92</v>
      </c>
      <c r="L43" s="7" t="n">
        <v>338.6</v>
      </c>
      <c r="N43" s="7" t="n">
        <v>186.2</v>
      </c>
      <c r="P43" s="7" t="n">
        <v>258.5</v>
      </c>
      <c r="R43" s="7" t="n">
        <v>244.8</v>
      </c>
      <c r="T43" s="7" t="n">
        <v>140.6</v>
      </c>
      <c r="V43" s="7" t="n">
        <v>237.5</v>
      </c>
      <c r="X43" s="7" t="n">
        <v>71.3</v>
      </c>
      <c r="Z43" s="7" t="n">
        <v>133.6</v>
      </c>
      <c r="AB43" s="7" t="n">
        <v>2040.3</v>
      </c>
    </row>
    <row r="44">
      <c r="A44" s="4" t="inlineStr">
        <is>
          <t>水电物业费</t>
        </is>
      </c>
      <c r="D44" s="7" t="n">
        <v>238.6</v>
      </c>
      <c r="F44" s="7" t="n">
        <v>74.3</v>
      </c>
      <c r="H44" s="7" t="n">
        <v>144.7</v>
      </c>
      <c r="J44" s="7" t="n">
        <v>149</v>
      </c>
      <c r="L44" s="7" t="n">
        <v>267.4</v>
      </c>
      <c r="N44" s="7" t="n">
        <v>344.2</v>
      </c>
      <c r="P44" s="7" t="n">
        <v>354.2</v>
      </c>
      <c r="R44" s="7" t="n">
        <v>329.5</v>
      </c>
      <c r="T44" s="7" t="n">
        <v>127.4</v>
      </c>
      <c r="V44" s="7" t="n">
        <v>197.4</v>
      </c>
      <c r="X44" s="7" t="n">
        <v>123.9</v>
      </c>
      <c r="Z44" s="7" t="n">
        <v>241.1</v>
      </c>
      <c r="AB44" s="7" t="n">
        <v>2591.7</v>
      </c>
    </row>
    <row r="45">
      <c r="A45" s="4" t="inlineStr">
        <is>
          <t>员工餐</t>
        </is>
      </c>
      <c r="D45" s="7" t="n">
        <v>2345.5</v>
      </c>
      <c r="F45" s="7" t="n">
        <v>623</v>
      </c>
      <c r="H45" s="7" t="n">
        <v>1325.5</v>
      </c>
      <c r="J45" s="7" t="n">
        <v>1082.8</v>
      </c>
      <c r="L45" s="7" t="n">
        <v>4047.8</v>
      </c>
      <c r="N45" s="7" t="n">
        <v>3015</v>
      </c>
      <c r="P45" s="7" t="n">
        <v>2741.5</v>
      </c>
      <c r="R45" s="7" t="n">
        <v>2034</v>
      </c>
      <c r="T45" s="7" t="n">
        <v>1932.8</v>
      </c>
      <c r="V45" s="7" t="n">
        <v>1962.4</v>
      </c>
      <c r="X45" s="7" t="n">
        <v>770.2</v>
      </c>
      <c r="Z45" s="7" t="n">
        <v>2326.5</v>
      </c>
      <c r="AB45" s="7" t="n">
        <v>24207</v>
      </c>
    </row>
    <row r="46">
      <c r="A46" s="4" t="inlineStr">
        <is>
          <t>节日礼品</t>
        </is>
      </c>
      <c r="D46" s="7" t="n">
        <v>639.8</v>
      </c>
      <c r="F46" s="7" t="n">
        <v>246.9</v>
      </c>
      <c r="H46" s="7" t="n">
        <v>647.1</v>
      </c>
      <c r="J46" s="7" t="n">
        <v>594.9</v>
      </c>
      <c r="L46" s="7" t="n">
        <v>1627.6</v>
      </c>
      <c r="N46" s="7" t="n">
        <v>1035.5</v>
      </c>
      <c r="P46" s="7" t="n">
        <v>1342.2</v>
      </c>
      <c r="R46" s="7" t="n">
        <v>1141.2</v>
      </c>
      <c r="T46" s="7" t="n">
        <v>850.7</v>
      </c>
      <c r="V46" s="7" t="n">
        <v>675.1</v>
      </c>
      <c r="X46" s="7" t="n">
        <v>347.7</v>
      </c>
      <c r="Z46" s="7" t="n">
        <v>751.5</v>
      </c>
      <c r="AB46" s="7" t="n">
        <v>9900.200000000001</v>
      </c>
    </row>
    <row r="47">
      <c r="A47" s="4" t="inlineStr">
        <is>
          <t>生日礼品</t>
        </is>
      </c>
      <c r="D47" s="7" t="n">
        <v>1093.2</v>
      </c>
      <c r="F47" s="7" t="n">
        <v>766.8</v>
      </c>
      <c r="H47" s="7" t="n">
        <v>1150.9</v>
      </c>
      <c r="J47" s="7" t="n">
        <v>931.7</v>
      </c>
      <c r="L47" s="7" t="n">
        <v>2304.3</v>
      </c>
      <c r="N47" s="7" t="n">
        <v>1760</v>
      </c>
      <c r="P47" s="7" t="n">
        <v>2359.2</v>
      </c>
      <c r="R47" s="7" t="n">
        <v>1463.8</v>
      </c>
      <c r="T47" s="7" t="n">
        <v>1291.6</v>
      </c>
      <c r="V47" s="7" t="n">
        <v>1961.9</v>
      </c>
      <c r="X47" s="7" t="n">
        <v>620.4</v>
      </c>
      <c r="Z47" s="7" t="n">
        <v>1178.6</v>
      </c>
      <c r="AB47" s="7" t="n">
        <v>16882.4</v>
      </c>
    </row>
    <row r="48">
      <c r="A48" s="4" t="inlineStr">
        <is>
          <t>体检</t>
        </is>
      </c>
      <c r="D48" s="7" t="n">
        <v>1440.9</v>
      </c>
      <c r="F48" s="7" t="n">
        <v>629</v>
      </c>
      <c r="H48" s="7" t="n">
        <v>682.2</v>
      </c>
      <c r="J48" s="7" t="n">
        <v>1225.5</v>
      </c>
      <c r="L48" s="7" t="n">
        <v>1970</v>
      </c>
      <c r="N48" s="7" t="n">
        <v>1907.1</v>
      </c>
      <c r="P48" s="7" t="n">
        <v>2358.2</v>
      </c>
      <c r="R48" s="7" t="n">
        <v>1769.7</v>
      </c>
      <c r="T48" s="7" t="n">
        <v>1377.9</v>
      </c>
      <c r="V48" s="7" t="n">
        <v>1424.6</v>
      </c>
      <c r="X48" s="7" t="n">
        <v>752.5</v>
      </c>
      <c r="Z48" s="7" t="n">
        <v>1096.8</v>
      </c>
      <c r="AB48" s="7" t="n">
        <v>16634.4</v>
      </c>
    </row>
    <row r="49">
      <c r="A49" s="4" t="inlineStr">
        <is>
          <t>其他福利支出</t>
        </is>
      </c>
      <c r="D49" s="7" t="n">
        <v>79.2</v>
      </c>
      <c r="F49" s="7" t="n">
        <v>25.3</v>
      </c>
      <c r="H49" s="7" t="n">
        <v>55.4</v>
      </c>
      <c r="J49" s="7" t="n">
        <v>80.5</v>
      </c>
      <c r="L49" s="7" t="n">
        <v>195.5</v>
      </c>
      <c r="N49" s="7" t="n">
        <v>125</v>
      </c>
      <c r="P49" s="7" t="n">
        <v>118.1</v>
      </c>
      <c r="R49" s="7" t="n">
        <v>140.6</v>
      </c>
      <c r="T49" s="7" t="n">
        <v>100</v>
      </c>
      <c r="V49" s="7" t="n">
        <v>122.4</v>
      </c>
      <c r="X49" s="7" t="n">
        <v>34.3</v>
      </c>
      <c r="Z49" s="7" t="n">
        <v>106.2</v>
      </c>
      <c r="AB49" s="7" t="n">
        <v>1182.5</v>
      </c>
    </row>
    <row r="50">
      <c r="A50" s="4" t="inlineStr">
        <is>
          <t>招聘费</t>
        </is>
      </c>
      <c r="D50" s="7" t="n">
        <v>1197.2</v>
      </c>
      <c r="F50" s="7" t="n">
        <v>393.2</v>
      </c>
      <c r="H50" s="7" t="n">
        <v>671.9</v>
      </c>
      <c r="J50" s="7" t="n">
        <v>879.2</v>
      </c>
      <c r="L50" s="7" t="n">
        <v>2852.3</v>
      </c>
      <c r="N50" s="7" t="n">
        <v>1846.2</v>
      </c>
      <c r="P50" s="7" t="n">
        <v>1594.5</v>
      </c>
      <c r="R50" s="7" t="n">
        <v>1780.5</v>
      </c>
      <c r="T50" s="7" t="n">
        <v>795.5</v>
      </c>
      <c r="V50" s="7" t="n">
        <v>1712</v>
      </c>
      <c r="X50" s="7" t="n">
        <v>575.7</v>
      </c>
      <c r="Z50" s="7" t="n">
        <v>1107.7</v>
      </c>
      <c r="AB50" s="7" t="n">
        <v>15405.9</v>
      </c>
    </row>
    <row r="51">
      <c r="A51" s="4" t="inlineStr">
        <is>
          <t>办公费</t>
        </is>
      </c>
      <c r="D51" s="7" t="n">
        <v>10600.6</v>
      </c>
      <c r="F51" s="7" t="n">
        <v>3442.7</v>
      </c>
      <c r="H51" s="7" t="n">
        <v>8038.1</v>
      </c>
      <c r="J51" s="7" t="n">
        <v>4974.6</v>
      </c>
      <c r="L51" s="7" t="n">
        <v>14883.4</v>
      </c>
      <c r="N51" s="7" t="n">
        <v>15991.2</v>
      </c>
      <c r="P51" s="7" t="n">
        <v>10608.8</v>
      </c>
      <c r="R51" s="7" t="n">
        <v>10895</v>
      </c>
      <c r="T51" s="7" t="n">
        <v>7891.7</v>
      </c>
      <c r="V51" s="7" t="n">
        <v>8682.799999999999</v>
      </c>
      <c r="X51" s="7" t="n">
        <v>4497.4</v>
      </c>
      <c r="Z51" s="7" t="n">
        <v>9098.5</v>
      </c>
      <c r="AB51" s="7" t="n">
        <v>109604.8</v>
      </c>
    </row>
    <row r="52">
      <c r="A52" s="4" t="inlineStr">
        <is>
          <t>市内交通费</t>
        </is>
      </c>
      <c r="D52" s="7" t="n">
        <v>147.1</v>
      </c>
      <c r="F52" s="7" t="n">
        <v>47.6</v>
      </c>
      <c r="H52" s="7" t="n">
        <v>95.2</v>
      </c>
      <c r="J52" s="7" t="n">
        <v>97.09999999999999</v>
      </c>
      <c r="L52" s="7" t="n">
        <v>196.2</v>
      </c>
      <c r="N52" s="7" t="n">
        <v>262.1</v>
      </c>
      <c r="P52" s="7" t="n">
        <v>197.8</v>
      </c>
      <c r="R52" s="7" t="n">
        <v>233.6</v>
      </c>
      <c r="T52" s="7" t="n">
        <v>169</v>
      </c>
      <c r="V52" s="7" t="n">
        <v>224.5</v>
      </c>
      <c r="X52" s="7" t="n">
        <v>85.90000000000001</v>
      </c>
      <c r="Z52" s="7" t="n">
        <v>189.2</v>
      </c>
      <c r="AB52" s="7" t="n">
        <v>1945.3</v>
      </c>
    </row>
    <row r="53">
      <c r="A53" s="4" t="inlineStr">
        <is>
          <t>差旅费</t>
        </is>
      </c>
      <c r="D53" s="7" t="n">
        <v>16301.4</v>
      </c>
      <c r="F53" s="7" t="n">
        <v>5950.2</v>
      </c>
      <c r="H53" s="7" t="n">
        <v>11357.6</v>
      </c>
      <c r="J53" s="7" t="n">
        <v>12220.5</v>
      </c>
      <c r="L53" s="7" t="n">
        <v>41703</v>
      </c>
      <c r="N53" s="7" t="n">
        <v>20252.8</v>
      </c>
      <c r="P53" s="7" t="n">
        <v>22444.7</v>
      </c>
      <c r="R53" s="7" t="n">
        <v>30079.4</v>
      </c>
      <c r="T53" s="7" t="n">
        <v>14272</v>
      </c>
      <c r="V53" s="7" t="n">
        <v>18990.5</v>
      </c>
      <c r="X53" s="7" t="n">
        <v>11988.9</v>
      </c>
      <c r="Z53" s="7" t="n">
        <v>19789.6</v>
      </c>
      <c r="AB53" s="7" t="n">
        <v>225350.6</v>
      </c>
    </row>
    <row r="54">
      <c r="A54" s="4" t="inlineStr">
        <is>
          <t>交通费</t>
        </is>
      </c>
      <c r="D54" s="7" t="n">
        <v>1277.6</v>
      </c>
      <c r="F54" s="7" t="n">
        <v>551.9</v>
      </c>
      <c r="H54" s="7" t="n">
        <v>805.6</v>
      </c>
      <c r="J54" s="7" t="n">
        <v>840.3</v>
      </c>
      <c r="L54" s="7" t="n">
        <v>2229.5</v>
      </c>
      <c r="N54" s="7" t="n">
        <v>1299.9</v>
      </c>
      <c r="P54" s="7" t="n">
        <v>1655.2</v>
      </c>
      <c r="R54" s="7" t="n">
        <v>1324.6</v>
      </c>
      <c r="T54" s="7" t="n">
        <v>1245.2</v>
      </c>
      <c r="V54" s="7" t="n">
        <v>1493.8</v>
      </c>
      <c r="X54" s="7" t="n">
        <v>426.4</v>
      </c>
      <c r="Z54" s="7" t="n">
        <v>1422.1</v>
      </c>
      <c r="AB54" s="7" t="n">
        <v>14572.1</v>
      </c>
    </row>
    <row r="55">
      <c r="A55" s="4" t="inlineStr">
        <is>
          <t>住宿费</t>
        </is>
      </c>
      <c r="D55" s="7" t="n">
        <v>893.2</v>
      </c>
      <c r="F55" s="7" t="n">
        <v>310.9</v>
      </c>
      <c r="H55" s="7" t="n">
        <v>444.2</v>
      </c>
      <c r="J55" s="7" t="n">
        <v>462</v>
      </c>
      <c r="L55" s="7" t="n">
        <v>1971.5</v>
      </c>
      <c r="N55" s="7" t="n">
        <v>1209.6</v>
      </c>
      <c r="P55" s="7" t="n">
        <v>951.8</v>
      </c>
      <c r="R55" s="7" t="n">
        <v>1154.2</v>
      </c>
      <c r="T55" s="7" t="n">
        <v>766.8</v>
      </c>
      <c r="V55" s="7" t="n">
        <v>923.2</v>
      </c>
      <c r="X55" s="7" t="n">
        <v>468.4</v>
      </c>
      <c r="Z55" s="7" t="n">
        <v>757.4</v>
      </c>
      <c r="AB55" s="7" t="n">
        <v>10313.2</v>
      </c>
    </row>
    <row r="56">
      <c r="A56" s="4" t="inlineStr">
        <is>
          <t>餐补</t>
        </is>
      </c>
      <c r="D56" s="7" t="n">
        <v>1189.4</v>
      </c>
      <c r="F56" s="7" t="n">
        <v>597.1</v>
      </c>
      <c r="H56" s="7" t="n">
        <v>640</v>
      </c>
      <c r="J56" s="7" t="n">
        <v>702.1</v>
      </c>
      <c r="L56" s="7" t="n">
        <v>2378.5</v>
      </c>
      <c r="N56" s="7" t="n">
        <v>1682.3</v>
      </c>
      <c r="P56" s="7" t="n">
        <v>2137.1</v>
      </c>
      <c r="R56" s="7" t="n">
        <v>1774.9</v>
      </c>
      <c r="T56" s="7" t="n">
        <v>780.1</v>
      </c>
      <c r="V56" s="7" t="n">
        <v>1176.9</v>
      </c>
      <c r="X56" s="7" t="n">
        <v>722.8</v>
      </c>
      <c r="Z56" s="7" t="n">
        <v>994.4</v>
      </c>
      <c r="AB56" s="7" t="n">
        <v>14775.6</v>
      </c>
    </row>
    <row r="57">
      <c r="A57" s="4" t="inlineStr">
        <is>
          <t>交通补助</t>
        </is>
      </c>
      <c r="D57" s="7" t="n">
        <v>2264.6</v>
      </c>
      <c r="F57" s="7" t="n">
        <v>827</v>
      </c>
      <c r="H57" s="7" t="n">
        <v>1790.7</v>
      </c>
      <c r="J57" s="7" t="n">
        <v>998.6</v>
      </c>
      <c r="L57" s="7" t="n">
        <v>3587.2</v>
      </c>
      <c r="N57" s="7" t="n">
        <v>2261.3</v>
      </c>
      <c r="P57" s="7" t="n">
        <v>3339.9</v>
      </c>
      <c r="R57" s="7" t="n">
        <v>3108.4</v>
      </c>
      <c r="T57" s="7" t="n">
        <v>1446.2</v>
      </c>
      <c r="V57" s="7" t="n">
        <v>2360</v>
      </c>
      <c r="X57" s="7" t="n">
        <v>765.8</v>
      </c>
      <c r="Z57" s="7" t="n">
        <v>1661.4</v>
      </c>
      <c r="AB57" s="7" t="n">
        <v>24411.1</v>
      </c>
    </row>
    <row r="58">
      <c r="A58" s="4" t="inlineStr">
        <is>
          <t>通讯补助</t>
        </is>
      </c>
      <c r="D58" s="7" t="n">
        <v>1056</v>
      </c>
      <c r="F58" s="7" t="n">
        <v>582.4</v>
      </c>
      <c r="H58" s="7" t="n">
        <v>874.1</v>
      </c>
      <c r="J58" s="7" t="n">
        <v>932.7</v>
      </c>
      <c r="L58" s="7" t="n">
        <v>2599.2</v>
      </c>
      <c r="N58" s="7" t="n">
        <v>2272.6</v>
      </c>
      <c r="P58" s="7" t="n">
        <v>1725.2</v>
      </c>
      <c r="R58" s="7" t="n">
        <v>1577.8</v>
      </c>
      <c r="T58" s="7" t="n">
        <v>1504.9</v>
      </c>
      <c r="V58" s="7" t="n">
        <v>1238.4</v>
      </c>
      <c r="X58" s="7" t="n">
        <v>690.5</v>
      </c>
      <c r="Z58" s="7" t="n">
        <v>1524.8</v>
      </c>
      <c r="AB58" s="7" t="n">
        <v>16578.6</v>
      </c>
    </row>
    <row r="59">
      <c r="A59" s="4" t="inlineStr">
        <is>
          <t>招待费</t>
        </is>
      </c>
      <c r="D59" s="7" t="n">
        <v>11828.1</v>
      </c>
      <c r="F59" s="7" t="n">
        <v>6741.7</v>
      </c>
      <c r="H59" s="7" t="n">
        <v>8319.700000000001</v>
      </c>
      <c r="J59" s="7" t="n">
        <v>7372.6</v>
      </c>
      <c r="L59" s="7" t="n">
        <v>19205</v>
      </c>
      <c r="N59" s="7" t="n">
        <v>12957.2</v>
      </c>
      <c r="P59" s="7" t="n">
        <v>14659.8</v>
      </c>
      <c r="R59" s="7" t="n">
        <v>18426.4</v>
      </c>
      <c r="T59" s="7" t="n">
        <v>8755.6</v>
      </c>
      <c r="V59" s="7" t="n">
        <v>16121.2</v>
      </c>
      <c r="X59" s="7" t="n">
        <v>5170.6</v>
      </c>
      <c r="Z59" s="7" t="n">
        <v>9274</v>
      </c>
      <c r="AB59" s="7" t="n">
        <v>138831.9</v>
      </c>
    </row>
    <row r="60">
      <c r="A60" s="4" t="inlineStr">
        <is>
          <t>通讯费</t>
        </is>
      </c>
      <c r="D60" s="7" t="n">
        <v>2222.9</v>
      </c>
      <c r="F60" s="7" t="n">
        <v>976.3</v>
      </c>
      <c r="H60" s="7" t="n">
        <v>1602.5</v>
      </c>
      <c r="J60" s="7" t="n">
        <v>1154.7</v>
      </c>
      <c r="L60" s="7" t="n">
        <v>3065.5</v>
      </c>
      <c r="N60" s="7" t="n">
        <v>3481.2</v>
      </c>
      <c r="P60" s="7" t="n">
        <v>3091.6</v>
      </c>
      <c r="R60" s="7" t="n">
        <v>3033.5</v>
      </c>
      <c r="T60" s="7" t="n">
        <v>2097.7</v>
      </c>
      <c r="V60" s="7" t="n">
        <v>2866.1</v>
      </c>
      <c r="X60" s="7" t="n">
        <v>768.8</v>
      </c>
      <c r="Z60" s="7" t="n">
        <v>1601.4</v>
      </c>
      <c r="AB60" s="7" t="n">
        <v>25962.2</v>
      </c>
    </row>
    <row r="61">
      <c r="A61" s="4" t="inlineStr">
        <is>
          <t>网络费</t>
        </is>
      </c>
      <c r="D61" s="7" t="n">
        <v>315.2</v>
      </c>
      <c r="F61" s="7" t="n">
        <v>201.1</v>
      </c>
      <c r="H61" s="7" t="n">
        <v>349.4</v>
      </c>
      <c r="J61" s="7" t="n">
        <v>373.8</v>
      </c>
      <c r="L61" s="7" t="n">
        <v>682.6</v>
      </c>
      <c r="N61" s="7" t="n">
        <v>534</v>
      </c>
      <c r="P61" s="7" t="n">
        <v>670.3</v>
      </c>
      <c r="R61" s="7" t="n">
        <v>636.9</v>
      </c>
      <c r="T61" s="7" t="n">
        <v>370.6</v>
      </c>
      <c r="V61" s="7" t="n">
        <v>406</v>
      </c>
      <c r="X61" s="7" t="n">
        <v>242.6</v>
      </c>
      <c r="Z61" s="7" t="n">
        <v>357</v>
      </c>
      <c r="AB61" s="7" t="n">
        <v>5139.5</v>
      </c>
    </row>
    <row r="62">
      <c r="A62" s="4" t="inlineStr">
        <is>
          <t>修理费</t>
        </is>
      </c>
      <c r="D62" s="7" t="n">
        <v>838</v>
      </c>
      <c r="F62" s="7" t="n">
        <v>368.5</v>
      </c>
      <c r="H62" s="7" t="n">
        <v>560.4</v>
      </c>
      <c r="J62" s="7" t="n">
        <v>520.8</v>
      </c>
      <c r="L62" s="7" t="n">
        <v>1657.3</v>
      </c>
      <c r="N62" s="7" t="n">
        <v>929.4</v>
      </c>
      <c r="P62" s="7" t="n">
        <v>891.3</v>
      </c>
      <c r="R62" s="7" t="n">
        <v>944.4</v>
      </c>
      <c r="T62" s="7" t="n">
        <v>522.2</v>
      </c>
      <c r="V62" s="7" t="n">
        <v>989.4</v>
      </c>
      <c r="X62" s="7" t="n">
        <v>461</v>
      </c>
      <c r="Z62" s="7" t="n">
        <v>852</v>
      </c>
      <c r="AB62" s="7" t="n">
        <v>9534.700000000001</v>
      </c>
    </row>
    <row r="63">
      <c r="A63" s="4" t="inlineStr">
        <is>
          <t>车辆费</t>
        </is>
      </c>
      <c r="D63" s="7" t="n">
        <v>837.1</v>
      </c>
      <c r="F63" s="7" t="n">
        <v>345.1</v>
      </c>
      <c r="H63" s="7" t="n">
        <v>661.2</v>
      </c>
      <c r="J63" s="7" t="n">
        <v>676.7</v>
      </c>
      <c r="L63" s="7" t="n">
        <v>1562.4</v>
      </c>
      <c r="N63" s="7" t="n">
        <v>1664.8</v>
      </c>
      <c r="P63" s="7" t="n">
        <v>1529.4</v>
      </c>
      <c r="R63" s="7" t="n">
        <v>1690.4</v>
      </c>
      <c r="T63" s="7" t="n">
        <v>720.5</v>
      </c>
      <c r="V63" s="7" t="n">
        <v>1222.3</v>
      </c>
      <c r="X63" s="7" t="n">
        <v>502.8</v>
      </c>
      <c r="Z63" s="7" t="n">
        <v>918.7</v>
      </c>
      <c r="AB63" s="7" t="n">
        <v>12331.4</v>
      </c>
    </row>
    <row r="64">
      <c r="A64" s="4" t="inlineStr">
        <is>
          <t>租赁费</t>
        </is>
      </c>
      <c r="D64" s="7" t="n">
        <v>12148.9</v>
      </c>
      <c r="F64" s="7" t="n">
        <v>7979.2</v>
      </c>
      <c r="H64" s="7" t="n">
        <v>13269.8</v>
      </c>
      <c r="J64" s="7" t="n">
        <v>14457.7</v>
      </c>
      <c r="L64" s="7" t="n">
        <v>24288.8</v>
      </c>
      <c r="N64" s="7" t="n">
        <v>20601.4</v>
      </c>
      <c r="P64" s="7" t="n">
        <v>21766.8</v>
      </c>
      <c r="R64" s="7" t="n">
        <v>16568</v>
      </c>
      <c r="T64" s="7" t="n">
        <v>16567.5</v>
      </c>
      <c r="V64" s="7" t="n">
        <v>19868.5</v>
      </c>
      <c r="X64" s="7" t="n">
        <v>7717.7</v>
      </c>
      <c r="Z64" s="7" t="n">
        <v>20682.1</v>
      </c>
      <c r="AB64" s="7" t="n">
        <v>195916.4</v>
      </c>
    </row>
    <row r="65">
      <c r="A65" s="4" t="inlineStr">
        <is>
          <t>能源费</t>
        </is>
      </c>
      <c r="D65" s="7" t="n">
        <v>3684.6</v>
      </c>
      <c r="F65" s="7" t="n">
        <v>2014.6</v>
      </c>
      <c r="H65" s="7" t="n">
        <v>3063.9</v>
      </c>
      <c r="J65" s="7" t="n">
        <v>2990.9</v>
      </c>
      <c r="L65" s="7" t="n">
        <v>8002.8</v>
      </c>
      <c r="N65" s="7" t="n">
        <v>6589.6</v>
      </c>
      <c r="P65" s="7" t="n">
        <v>6643.8</v>
      </c>
      <c r="R65" s="7" t="n">
        <v>6616.8</v>
      </c>
      <c r="T65" s="7" t="n">
        <v>4028.4</v>
      </c>
      <c r="V65" s="7" t="n">
        <v>5800.1</v>
      </c>
      <c r="X65" s="7" t="n">
        <v>2457.7</v>
      </c>
      <c r="Z65" s="7" t="n">
        <v>4846.9</v>
      </c>
      <c r="AB65" s="7" t="n">
        <v>56740.1</v>
      </c>
    </row>
    <row r="66">
      <c r="A66" s="4" t="inlineStr">
        <is>
          <t>水费</t>
        </is>
      </c>
      <c r="D66" s="7" t="n">
        <v>1420.4</v>
      </c>
      <c r="F66" s="7" t="n">
        <v>1018.8</v>
      </c>
      <c r="H66" s="7" t="n">
        <v>1178</v>
      </c>
      <c r="J66" s="7" t="n">
        <v>1202.1</v>
      </c>
      <c r="L66" s="7" t="n">
        <v>4509.5</v>
      </c>
      <c r="N66" s="7" t="n">
        <v>3294.2</v>
      </c>
      <c r="P66" s="7" t="n">
        <v>3443.6</v>
      </c>
      <c r="R66" s="7" t="n">
        <v>2785.1</v>
      </c>
      <c r="T66" s="7" t="n">
        <v>2232.8</v>
      </c>
      <c r="V66" s="7" t="n">
        <v>2874.8</v>
      </c>
      <c r="X66" s="7" t="n">
        <v>1120.5</v>
      </c>
      <c r="Z66" s="7" t="n">
        <v>2585.3</v>
      </c>
      <c r="AB66" s="7" t="n">
        <v>27665.1</v>
      </c>
    </row>
    <row r="67">
      <c r="A67" s="4" t="inlineStr">
        <is>
          <t>电费</t>
        </is>
      </c>
      <c r="D67" s="7" t="n">
        <v>8.300000000000001</v>
      </c>
      <c r="F67" s="7" t="n">
        <v>2.6</v>
      </c>
      <c r="H67" s="7" t="n">
        <v>5.4</v>
      </c>
      <c r="J67" s="7" t="n">
        <v>5.2</v>
      </c>
      <c r="L67" s="7" t="n">
        <v>13</v>
      </c>
      <c r="N67" s="7" t="n">
        <v>6.5</v>
      </c>
      <c r="P67" s="7" t="n">
        <v>8.199999999999999</v>
      </c>
      <c r="R67" s="7" t="n">
        <v>7.2</v>
      </c>
      <c r="T67" s="7" t="n">
        <v>5.5</v>
      </c>
      <c r="V67" s="7" t="n">
        <v>9.4</v>
      </c>
      <c r="X67" s="7" t="n">
        <v>3.1</v>
      </c>
      <c r="Z67" s="7" t="n">
        <v>8.4</v>
      </c>
      <c r="AB67" s="7" t="n">
        <v>82.8</v>
      </c>
    </row>
    <row r="68">
      <c r="A68" s="4" t="inlineStr">
        <is>
          <t>燃气费</t>
        </is>
      </c>
      <c r="D68" s="7" t="n">
        <v>1226.2</v>
      </c>
      <c r="F68" s="7" t="n">
        <v>554.8</v>
      </c>
      <c r="H68" s="7" t="n">
        <v>1081.8</v>
      </c>
      <c r="J68" s="7" t="n">
        <v>903.7</v>
      </c>
      <c r="L68" s="7" t="n">
        <v>1980.7</v>
      </c>
      <c r="N68" s="7" t="n">
        <v>1487.2</v>
      </c>
      <c r="P68" s="7" t="n">
        <v>1867.8</v>
      </c>
      <c r="R68" s="7" t="n">
        <v>2015.1</v>
      </c>
      <c r="T68" s="7" t="n">
        <v>975.3</v>
      </c>
      <c r="V68" s="7" t="n">
        <v>1706.7</v>
      </c>
      <c r="X68" s="7" t="n">
        <v>582.7</v>
      </c>
      <c r="Z68" s="7" t="n">
        <v>1421.9</v>
      </c>
      <c r="AB68" s="7" t="n">
        <v>15803.9</v>
      </c>
    </row>
    <row r="69">
      <c r="A69" s="4" t="inlineStr">
        <is>
          <t>蒸汽费</t>
        </is>
      </c>
      <c r="D69" s="7" t="n">
        <v>1029.7</v>
      </c>
      <c r="F69" s="7" t="n">
        <v>438.4</v>
      </c>
      <c r="H69" s="7" t="n">
        <v>798.7</v>
      </c>
      <c r="J69" s="7" t="n">
        <v>879.9</v>
      </c>
      <c r="L69" s="7" t="n">
        <v>1499.6</v>
      </c>
      <c r="N69" s="7" t="n">
        <v>1801.7</v>
      </c>
      <c r="P69" s="7" t="n">
        <v>1324.2</v>
      </c>
      <c r="R69" s="7" t="n">
        <v>1809.4</v>
      </c>
      <c r="T69" s="7" t="n">
        <v>814.8</v>
      </c>
      <c r="V69" s="7" t="n">
        <v>1209.2</v>
      </c>
      <c r="X69" s="7" t="n">
        <v>751.4</v>
      </c>
      <c r="Z69" s="7" t="n">
        <v>831.3</v>
      </c>
      <c r="AB69" s="7" t="n">
        <v>13188.3</v>
      </c>
    </row>
    <row r="70">
      <c r="A70" s="4" t="inlineStr">
        <is>
          <t>物业费</t>
        </is>
      </c>
      <c r="D70" s="7" t="n">
        <v>1699.8</v>
      </c>
      <c r="F70" s="7" t="n">
        <v>564.3</v>
      </c>
      <c r="H70" s="7" t="n">
        <v>769.4</v>
      </c>
      <c r="J70" s="7" t="n">
        <v>1154.5</v>
      </c>
      <c r="L70" s="7" t="n">
        <v>2091.9</v>
      </c>
      <c r="N70" s="7" t="n">
        <v>1411.4</v>
      </c>
      <c r="P70" s="7" t="n">
        <v>1723.9</v>
      </c>
      <c r="R70" s="7" t="n">
        <v>2372.7</v>
      </c>
      <c r="T70" s="7" t="n">
        <v>1197.1</v>
      </c>
      <c r="V70" s="7" t="n">
        <v>2113.3</v>
      </c>
      <c r="X70" s="7" t="n">
        <v>804.1</v>
      </c>
      <c r="Z70" s="7" t="n">
        <v>1764.1</v>
      </c>
      <c r="AB70" s="7" t="n">
        <v>17666.5</v>
      </c>
    </row>
    <row r="71">
      <c r="A71" s="4" t="inlineStr">
        <is>
          <t>劳动保护费</t>
        </is>
      </c>
      <c r="D71" s="7" t="n">
        <v>1311.2</v>
      </c>
      <c r="F71" s="7" t="n">
        <v>962.1</v>
      </c>
      <c r="H71" s="7" t="n">
        <v>1377.9</v>
      </c>
      <c r="J71" s="7" t="n">
        <v>1001.8</v>
      </c>
      <c r="L71" s="7" t="n">
        <v>2806.6</v>
      </c>
      <c r="N71" s="7" t="n">
        <v>2585.8</v>
      </c>
      <c r="P71" s="7" t="n">
        <v>3039.3</v>
      </c>
      <c r="R71" s="7" t="n">
        <v>3141.8</v>
      </c>
      <c r="T71" s="7" t="n">
        <v>1402.7</v>
      </c>
      <c r="V71" s="7" t="n">
        <v>2109.8</v>
      </c>
      <c r="X71" s="7" t="n">
        <v>841.3</v>
      </c>
      <c r="Z71" s="7" t="n">
        <v>1500.5</v>
      </c>
      <c r="AB71" s="7" t="n">
        <v>22080.8</v>
      </c>
    </row>
    <row r="72">
      <c r="A72" s="4" t="inlineStr">
        <is>
          <t>顾问费</t>
        </is>
      </c>
      <c r="D72" s="7" t="n">
        <v>1672.3</v>
      </c>
      <c r="F72" s="7" t="n">
        <v>816.9</v>
      </c>
      <c r="H72" s="7" t="n">
        <v>1088.1</v>
      </c>
      <c r="J72" s="7" t="n">
        <v>1455.3</v>
      </c>
      <c r="L72" s="7" t="n">
        <v>3296</v>
      </c>
      <c r="N72" s="7" t="n">
        <v>2551.9</v>
      </c>
      <c r="P72" s="7" t="n">
        <v>1706.5</v>
      </c>
      <c r="R72" s="7" t="n">
        <v>2114.1</v>
      </c>
      <c r="T72" s="7" t="n">
        <v>1179.4</v>
      </c>
      <c r="V72" s="7" t="n">
        <v>1897.6</v>
      </c>
      <c r="X72" s="7" t="n">
        <v>576.5</v>
      </c>
      <c r="Z72" s="7" t="n">
        <v>1777.4</v>
      </c>
      <c r="AB72" s="7" t="n">
        <v>20132</v>
      </c>
    </row>
    <row r="73">
      <c r="A73" s="4" t="inlineStr">
        <is>
          <t>快递费</t>
        </is>
      </c>
      <c r="D73" s="7" t="n">
        <v>2090.7</v>
      </c>
      <c r="F73" s="7" t="n">
        <v>829.9</v>
      </c>
      <c r="H73" s="7" t="n">
        <v>1079.2</v>
      </c>
      <c r="J73" s="7" t="n">
        <v>1585.3</v>
      </c>
      <c r="L73" s="7" t="n">
        <v>4451.2</v>
      </c>
      <c r="N73" s="7" t="n">
        <v>2665.3</v>
      </c>
      <c r="P73" s="7" t="n">
        <v>3049.1</v>
      </c>
      <c r="R73" s="7" t="n">
        <v>2123.1</v>
      </c>
      <c r="T73" s="7" t="n">
        <v>2073.9</v>
      </c>
      <c r="V73" s="7" t="n">
        <v>1883</v>
      </c>
      <c r="X73" s="7" t="n">
        <v>739</v>
      </c>
      <c r="Z73" s="7" t="n">
        <v>1584.9</v>
      </c>
      <c r="AB73" s="7" t="n">
        <v>24154.6</v>
      </c>
    </row>
    <row r="74">
      <c r="A74" s="4" t="inlineStr">
        <is>
          <t>诉讼费</t>
        </is>
      </c>
      <c r="D74" s="7" t="n">
        <v>1314.9</v>
      </c>
      <c r="F74" s="7" t="n">
        <v>623.2</v>
      </c>
      <c r="H74" s="7" t="n">
        <v>881.2</v>
      </c>
      <c r="J74" s="7" t="n">
        <v>1190.1</v>
      </c>
      <c r="L74" s="7" t="n">
        <v>3275.5</v>
      </c>
      <c r="N74" s="7" t="n">
        <v>1626</v>
      </c>
      <c r="P74" s="7" t="n">
        <v>2784.9</v>
      </c>
      <c r="R74" s="7" t="n">
        <v>2614.1</v>
      </c>
      <c r="T74" s="7" t="n">
        <v>1415.1</v>
      </c>
      <c r="V74" s="7" t="n">
        <v>2288.1</v>
      </c>
      <c r="X74" s="7" t="n">
        <v>1040.6</v>
      </c>
      <c r="Z74" s="7" t="n">
        <v>2085.8</v>
      </c>
      <c r="AB74" s="7" t="n">
        <v>21139.5</v>
      </c>
    </row>
    <row r="75">
      <c r="A75" s="4" t="inlineStr">
        <is>
          <t>会员费</t>
        </is>
      </c>
      <c r="D75" s="7" t="n">
        <v>933</v>
      </c>
      <c r="F75" s="7" t="n">
        <v>445.2</v>
      </c>
      <c r="H75" s="7" t="n">
        <v>496.6</v>
      </c>
      <c r="J75" s="7" t="n">
        <v>593.8</v>
      </c>
      <c r="L75" s="7" t="n">
        <v>1281.4</v>
      </c>
      <c r="N75" s="7" t="n">
        <v>851.3</v>
      </c>
      <c r="P75" s="7" t="n">
        <v>1030.7</v>
      </c>
      <c r="R75" s="7" t="n">
        <v>1450.3</v>
      </c>
      <c r="T75" s="7" t="n">
        <v>764.5</v>
      </c>
      <c r="V75" s="7" t="n">
        <v>777.2</v>
      </c>
      <c r="X75" s="7" t="n">
        <v>373.1</v>
      </c>
      <c r="Z75" s="7" t="n">
        <v>674.5</v>
      </c>
      <c r="AB75" s="7" t="n">
        <v>9671.6</v>
      </c>
    </row>
    <row r="76">
      <c r="A76" s="4" t="inlineStr">
        <is>
          <t>广告宣传费</t>
        </is>
      </c>
      <c r="D76" s="7" t="n">
        <v>8430.700000000001</v>
      </c>
      <c r="F76" s="7" t="n">
        <v>3775.5</v>
      </c>
      <c r="H76" s="7" t="n">
        <v>7407.1</v>
      </c>
      <c r="J76" s="7" t="n">
        <v>5427.7</v>
      </c>
      <c r="L76" s="7" t="n">
        <v>19078.8</v>
      </c>
      <c r="N76" s="7" t="n">
        <v>14112.3</v>
      </c>
      <c r="P76" s="7" t="n">
        <v>16687.3</v>
      </c>
      <c r="R76" s="7" t="n">
        <v>12979.1</v>
      </c>
      <c r="T76" s="7" t="n">
        <v>10552.4</v>
      </c>
      <c r="V76" s="7" t="n">
        <v>11568.9</v>
      </c>
      <c r="X76" s="7" t="n">
        <v>6353.9</v>
      </c>
      <c r="Z76" s="7" t="n">
        <v>10098.9</v>
      </c>
      <c r="AB76" s="7" t="n">
        <v>126472.6</v>
      </c>
    </row>
    <row r="77">
      <c r="A77" s="4" t="inlineStr">
        <is>
          <t>会务费</t>
        </is>
      </c>
      <c r="D77" s="7" t="n">
        <v>622.8</v>
      </c>
      <c r="F77" s="7" t="n">
        <v>339.4</v>
      </c>
      <c r="H77" s="7" t="n">
        <v>504.2</v>
      </c>
      <c r="J77" s="7" t="n">
        <v>536.8</v>
      </c>
      <c r="L77" s="7" t="n">
        <v>1011.8</v>
      </c>
      <c r="N77" s="7" t="n">
        <v>874.8</v>
      </c>
      <c r="P77" s="7" t="n">
        <v>786</v>
      </c>
      <c r="R77" s="7" t="n">
        <v>1105</v>
      </c>
      <c r="T77" s="7" t="n">
        <v>593.4</v>
      </c>
      <c r="V77" s="7" t="n">
        <v>703.6</v>
      </c>
      <c r="X77" s="7" t="n">
        <v>381.8</v>
      </c>
      <c r="Z77" s="7" t="n">
        <v>870.2</v>
      </c>
      <c r="AB77" s="7" t="n">
        <v>8329.799999999999</v>
      </c>
    </row>
    <row r="78">
      <c r="A78" s="4" t="inlineStr">
        <is>
          <t>装修费</t>
        </is>
      </c>
      <c r="D78" s="7" t="n">
        <v>1862.2</v>
      </c>
      <c r="F78" s="7" t="n">
        <v>560.7</v>
      </c>
      <c r="H78" s="7" t="n">
        <v>1012.6</v>
      </c>
      <c r="J78" s="7" t="n">
        <v>1378</v>
      </c>
      <c r="L78" s="7" t="n">
        <v>2888.6</v>
      </c>
      <c r="N78" s="7" t="n">
        <v>1647</v>
      </c>
      <c r="P78" s="7" t="n">
        <v>2482.3</v>
      </c>
      <c r="R78" s="7" t="n">
        <v>2619.3</v>
      </c>
      <c r="T78" s="7" t="n">
        <v>1151.9</v>
      </c>
      <c r="V78" s="7" t="n">
        <v>1401.2</v>
      </c>
      <c r="X78" s="7" t="n">
        <v>991.6</v>
      </c>
      <c r="Z78" s="7" t="n">
        <v>1709.8</v>
      </c>
      <c r="AB78" s="7" t="n">
        <v>19705.2</v>
      </c>
    </row>
    <row r="79">
      <c r="A79" s="4" t="inlineStr">
        <is>
          <t>推广费</t>
        </is>
      </c>
      <c r="D79" s="7" t="n">
        <v>1724.4</v>
      </c>
      <c r="F79" s="7" t="n">
        <v>689.7</v>
      </c>
      <c r="H79" s="7" t="n">
        <v>1350.6</v>
      </c>
      <c r="J79" s="7" t="n">
        <v>1433.7</v>
      </c>
      <c r="L79" s="7" t="n">
        <v>3770.4</v>
      </c>
      <c r="N79" s="7" t="n">
        <v>1714.8</v>
      </c>
      <c r="P79" s="7" t="n">
        <v>2053</v>
      </c>
      <c r="R79" s="7" t="n">
        <v>2925.9</v>
      </c>
      <c r="T79" s="7" t="n">
        <v>1879.6</v>
      </c>
      <c r="V79" s="7" t="n">
        <v>1734.6</v>
      </c>
      <c r="X79" s="7" t="n">
        <v>680.9</v>
      </c>
      <c r="Z79" s="7" t="n">
        <v>2186.6</v>
      </c>
      <c r="AB79" s="7" t="n">
        <v>22144.2</v>
      </c>
    </row>
    <row r="80">
      <c r="A80" s="4" t="inlineStr">
        <is>
          <t>展会费</t>
        </is>
      </c>
      <c r="D80" s="7" t="n">
        <v>785.9</v>
      </c>
      <c r="F80" s="7" t="n">
        <v>477.9</v>
      </c>
      <c r="H80" s="7" t="n">
        <v>589.6</v>
      </c>
      <c r="J80" s="7" t="n">
        <v>818.7</v>
      </c>
      <c r="L80" s="7" t="n">
        <v>1519.5</v>
      </c>
      <c r="N80" s="7" t="n">
        <v>1273.4</v>
      </c>
      <c r="P80" s="7" t="n">
        <v>1659.1</v>
      </c>
      <c r="R80" s="7" t="n">
        <v>1812.4</v>
      </c>
      <c r="T80" s="7" t="n">
        <v>734.3</v>
      </c>
      <c r="V80" s="7" t="n">
        <v>1295.7</v>
      </c>
      <c r="X80" s="7" t="n">
        <v>711.1</v>
      </c>
      <c r="Z80" s="7" t="n">
        <v>894.7</v>
      </c>
      <c r="AB80" s="7" t="n">
        <v>12572.3</v>
      </c>
    </row>
    <row r="81">
      <c r="A81" s="4" t="inlineStr">
        <is>
          <t>设计费</t>
        </is>
      </c>
      <c r="D81" s="7" t="n">
        <v>1717</v>
      </c>
      <c r="F81" s="7" t="n">
        <v>511.4</v>
      </c>
      <c r="H81" s="7" t="n">
        <v>900.9</v>
      </c>
      <c r="J81" s="7" t="n">
        <v>1131.5</v>
      </c>
      <c r="L81" s="7" t="n">
        <v>2783.7</v>
      </c>
      <c r="N81" s="7" t="n">
        <v>2333.5</v>
      </c>
      <c r="P81" s="7" t="n">
        <v>1752.2</v>
      </c>
      <c r="R81" s="7" t="n">
        <v>2544</v>
      </c>
      <c r="T81" s="7" t="n">
        <v>1434.4</v>
      </c>
      <c r="V81" s="7" t="n">
        <v>2099.6</v>
      </c>
      <c r="X81" s="7" t="n">
        <v>1113.1</v>
      </c>
      <c r="Z81" s="7" t="n">
        <v>1497.2</v>
      </c>
      <c r="AB81" s="7" t="n">
        <v>19818.5</v>
      </c>
    </row>
    <row r="82">
      <c r="A82" s="4" t="inlineStr">
        <is>
          <t>折旧费</t>
        </is>
      </c>
      <c r="D82" s="7" t="n">
        <v>8526.5</v>
      </c>
      <c r="F82" s="7" t="n">
        <v>3703.9</v>
      </c>
      <c r="H82" s="7" t="n">
        <v>6318.2</v>
      </c>
      <c r="J82" s="7" t="n">
        <v>9944.700000000001</v>
      </c>
      <c r="L82" s="7" t="n">
        <v>16110.7</v>
      </c>
      <c r="N82" s="7" t="n">
        <v>19775.8</v>
      </c>
      <c r="P82" s="7" t="n">
        <v>12988.7</v>
      </c>
      <c r="R82" s="7" t="n">
        <v>15181.2</v>
      </c>
      <c r="T82" s="7" t="n">
        <v>13094.4</v>
      </c>
      <c r="V82" s="7" t="n">
        <v>17322.6</v>
      </c>
      <c r="X82" s="7" t="n">
        <v>6975.2</v>
      </c>
      <c r="Z82" s="7" t="n">
        <v>9600.1</v>
      </c>
      <c r="AB82" s="7" t="n">
        <v>139542</v>
      </c>
    </row>
    <row r="83">
      <c r="A83" s="4" t="inlineStr">
        <is>
          <t>认证费</t>
        </is>
      </c>
      <c r="D83" s="7" t="n">
        <v>470.3</v>
      </c>
      <c r="F83" s="7" t="n">
        <v>124.1</v>
      </c>
      <c r="H83" s="7" t="n">
        <v>322.2</v>
      </c>
      <c r="J83" s="7" t="n">
        <v>289.1</v>
      </c>
      <c r="L83" s="7" t="n">
        <v>649.6</v>
      </c>
      <c r="N83" s="7" t="n">
        <v>610.4</v>
      </c>
      <c r="P83" s="7" t="n">
        <v>648.7</v>
      </c>
      <c r="R83" s="7" t="n">
        <v>563.8</v>
      </c>
      <c r="T83" s="7" t="n">
        <v>400.6</v>
      </c>
      <c r="V83" s="7" t="n">
        <v>590.2</v>
      </c>
      <c r="X83" s="7" t="n">
        <v>183.8</v>
      </c>
      <c r="Z83" s="7" t="n">
        <v>441.1</v>
      </c>
      <c r="AB83" s="7" t="n">
        <v>5293.9</v>
      </c>
    </row>
    <row r="84">
      <c r="A84" s="4" t="inlineStr">
        <is>
          <t>样品费</t>
        </is>
      </c>
      <c r="D84" s="7" t="n">
        <v>6969.4</v>
      </c>
      <c r="F84" s="7" t="n">
        <v>2626.1</v>
      </c>
      <c r="H84" s="7" t="n">
        <v>3853.8</v>
      </c>
      <c r="J84" s="7" t="n">
        <v>3960.4</v>
      </c>
      <c r="L84" s="7" t="n">
        <v>8969</v>
      </c>
      <c r="N84" s="7" t="n">
        <v>8567.9</v>
      </c>
      <c r="P84" s="7" t="n">
        <v>7132.3</v>
      </c>
      <c r="R84" s="7" t="n">
        <v>9352.5</v>
      </c>
      <c r="T84" s="7" t="n">
        <v>5807</v>
      </c>
      <c r="V84" s="7" t="n">
        <v>6377</v>
      </c>
      <c r="X84" s="7" t="n">
        <v>3361</v>
      </c>
      <c r="Z84" s="7" t="n">
        <v>7433.3</v>
      </c>
      <c r="AB84" s="7" t="n">
        <v>74409.7</v>
      </c>
    </row>
    <row r="85">
      <c r="A85" s="4" t="inlineStr">
        <is>
          <t>劳务费</t>
        </is>
      </c>
      <c r="D85" s="7" t="n">
        <v>349.3</v>
      </c>
      <c r="F85" s="7" t="n">
        <v>113</v>
      </c>
      <c r="H85" s="7" t="n">
        <v>233.6</v>
      </c>
      <c r="J85" s="7" t="n">
        <v>162.1</v>
      </c>
      <c r="L85" s="7" t="n">
        <v>516.3</v>
      </c>
      <c r="N85" s="7" t="n">
        <v>298.2</v>
      </c>
      <c r="P85" s="7" t="n">
        <v>428.9</v>
      </c>
      <c r="R85" s="7" t="n">
        <v>300.2</v>
      </c>
      <c r="T85" s="7" t="n">
        <v>296.6</v>
      </c>
      <c r="V85" s="7" t="n">
        <v>253.2</v>
      </c>
      <c r="X85" s="7" t="n">
        <v>140.3</v>
      </c>
      <c r="Z85" s="7" t="n">
        <v>267.9</v>
      </c>
      <c r="AB85" s="7" t="n">
        <v>3359.6</v>
      </c>
    </row>
    <row r="86">
      <c r="A86" s="4" t="inlineStr">
        <is>
          <t>销售佣金</t>
        </is>
      </c>
      <c r="D86" s="7" t="n">
        <v>606.8</v>
      </c>
      <c r="F86" s="7" t="n">
        <v>272</v>
      </c>
      <c r="H86" s="7" t="n">
        <v>504.1</v>
      </c>
      <c r="J86" s="7" t="n">
        <v>521.6</v>
      </c>
      <c r="L86" s="7" t="n">
        <v>1203.9</v>
      </c>
      <c r="N86" s="7" t="n">
        <v>979.9</v>
      </c>
      <c r="P86" s="7" t="n">
        <v>861.6</v>
      </c>
      <c r="R86" s="7" t="n">
        <v>759.5</v>
      </c>
      <c r="T86" s="7" t="n">
        <v>553.3</v>
      </c>
      <c r="V86" s="7" t="n">
        <v>692.6</v>
      </c>
      <c r="X86" s="7" t="n">
        <v>335.4</v>
      </c>
      <c r="Z86" s="7" t="n">
        <v>795.3</v>
      </c>
      <c r="AB86" s="7" t="n">
        <v>8086</v>
      </c>
    </row>
    <row r="87">
      <c r="A87" s="4" t="inlineStr">
        <is>
          <t>检测费</t>
        </is>
      </c>
      <c r="D87" s="7" t="n">
        <v>848.3</v>
      </c>
      <c r="F87" s="7" t="n">
        <v>368.4</v>
      </c>
      <c r="H87" s="7" t="n">
        <v>489.9</v>
      </c>
      <c r="J87" s="7" t="n">
        <v>393.9</v>
      </c>
      <c r="L87" s="7" t="n">
        <v>1527.7</v>
      </c>
      <c r="N87" s="7" t="n">
        <v>1076.3</v>
      </c>
      <c r="P87" s="7" t="n">
        <v>794.5</v>
      </c>
      <c r="R87" s="7" t="n">
        <v>841.3</v>
      </c>
      <c r="T87" s="7" t="n">
        <v>644.2</v>
      </c>
      <c r="V87" s="7" t="n">
        <v>1065.3</v>
      </c>
      <c r="X87" s="7" t="n">
        <v>412.2</v>
      </c>
      <c r="Z87" s="7" t="n">
        <v>823.4</v>
      </c>
      <c r="AB87" s="7" t="n">
        <v>9285.4</v>
      </c>
    </row>
    <row r="88">
      <c r="A88" s="4" t="inlineStr">
        <is>
          <t>质量赔偿</t>
        </is>
      </c>
      <c r="D88" s="7" t="n">
        <v>1084.6</v>
      </c>
      <c r="F88" s="7" t="n">
        <v>726</v>
      </c>
      <c r="H88" s="7" t="n">
        <v>1230.1</v>
      </c>
      <c r="J88" s="7" t="n">
        <v>1473.9</v>
      </c>
      <c r="L88" s="7" t="n">
        <v>3647.9</v>
      </c>
      <c r="N88" s="7" t="n">
        <v>1743.7</v>
      </c>
      <c r="P88" s="7" t="n">
        <v>1722.5</v>
      </c>
      <c r="R88" s="7" t="n">
        <v>1885.6</v>
      </c>
      <c r="T88" s="7" t="n">
        <v>1064.9</v>
      </c>
      <c r="V88" s="7" t="n">
        <v>1458.1</v>
      </c>
      <c r="X88" s="7" t="n">
        <v>799.7</v>
      </c>
      <c r="Z88" s="7" t="n">
        <v>1983.2</v>
      </c>
      <c r="AB88" s="7" t="n">
        <v>18820.2</v>
      </c>
    </row>
    <row r="89">
      <c r="A89" s="4" t="inlineStr">
        <is>
          <t>保险费</t>
        </is>
      </c>
      <c r="D89" s="7" t="n">
        <v>249.4</v>
      </c>
      <c r="F89" s="7" t="n">
        <v>108.6</v>
      </c>
      <c r="H89" s="7" t="n">
        <v>126.3</v>
      </c>
      <c r="J89" s="7" t="n">
        <v>198.2</v>
      </c>
      <c r="L89" s="7" t="n">
        <v>392.8</v>
      </c>
      <c r="N89" s="7" t="n">
        <v>412.5</v>
      </c>
      <c r="P89" s="7" t="n">
        <v>297.1</v>
      </c>
      <c r="R89" s="7" t="n">
        <v>439.3</v>
      </c>
      <c r="T89" s="7" t="n">
        <v>230.8</v>
      </c>
      <c r="V89" s="7" t="n">
        <v>374.8</v>
      </c>
      <c r="X89" s="7" t="n">
        <v>136.4</v>
      </c>
      <c r="Z89" s="7" t="n">
        <v>241.8</v>
      </c>
      <c r="AB89" s="7" t="n">
        <v>3208</v>
      </c>
    </row>
    <row r="90">
      <c r="A90" s="4" t="inlineStr">
        <is>
          <t>清洁费</t>
        </is>
      </c>
      <c r="D90" s="7" t="n">
        <v>1508.4</v>
      </c>
      <c r="F90" s="7" t="n">
        <v>484.5</v>
      </c>
      <c r="H90" s="7" t="n">
        <v>950.5</v>
      </c>
      <c r="J90" s="7" t="n">
        <v>898.5</v>
      </c>
      <c r="L90" s="7" t="n">
        <v>2087.4</v>
      </c>
      <c r="N90" s="7" t="n">
        <v>2334.8</v>
      </c>
      <c r="P90" s="7" t="n">
        <v>2426.4</v>
      </c>
      <c r="R90" s="7" t="n">
        <v>1866.1</v>
      </c>
      <c r="T90" s="7" t="n">
        <v>1139.8</v>
      </c>
      <c r="V90" s="7" t="n">
        <v>1909.3</v>
      </c>
      <c r="X90" s="7" t="n">
        <v>915.1</v>
      </c>
      <c r="Z90" s="7" t="n">
        <v>1825.6</v>
      </c>
      <c r="AB90" s="7" t="n">
        <v>18346.4</v>
      </c>
    </row>
    <row r="91">
      <c r="A91" s="4" t="inlineStr">
        <is>
          <t>低值易耗品</t>
        </is>
      </c>
      <c r="D91" s="7" t="n">
        <v>629.4</v>
      </c>
      <c r="F91" s="7" t="n">
        <v>296.1</v>
      </c>
      <c r="H91" s="7" t="n">
        <v>561</v>
      </c>
      <c r="J91" s="7" t="n">
        <v>683.5</v>
      </c>
      <c r="L91" s="7" t="n">
        <v>1387.7</v>
      </c>
      <c r="N91" s="7" t="n">
        <v>1265.1</v>
      </c>
      <c r="P91" s="7" t="n">
        <v>1229.1</v>
      </c>
      <c r="R91" s="7" t="n">
        <v>940.5</v>
      </c>
      <c r="T91" s="7" t="n">
        <v>671.3</v>
      </c>
      <c r="V91" s="7" t="n">
        <v>1140.2</v>
      </c>
      <c r="X91" s="7" t="n">
        <v>332.2</v>
      </c>
      <c r="Z91" s="7" t="n">
        <v>1047.6</v>
      </c>
      <c r="AB91" s="7" t="n">
        <v>10183.7</v>
      </c>
    </row>
    <row r="92">
      <c r="A92" s="4" t="inlineStr">
        <is>
          <t>物料消耗</t>
        </is>
      </c>
      <c r="D92" s="7" t="n">
        <v>1396.6</v>
      </c>
      <c r="F92" s="7" t="n">
        <v>910.4</v>
      </c>
      <c r="H92" s="7" t="n">
        <v>1110</v>
      </c>
      <c r="J92" s="7" t="n">
        <v>1113.2</v>
      </c>
      <c r="L92" s="7" t="n">
        <v>3494.8</v>
      </c>
      <c r="N92" s="7" t="n">
        <v>2594.9</v>
      </c>
      <c r="P92" s="7" t="n">
        <v>2972.7</v>
      </c>
      <c r="R92" s="7" t="n">
        <v>1660.9</v>
      </c>
      <c r="T92" s="7" t="n">
        <v>1439.7</v>
      </c>
      <c r="V92" s="7" t="n">
        <v>1650</v>
      </c>
      <c r="X92" s="7" t="n">
        <v>988.2</v>
      </c>
      <c r="Z92" s="7" t="n">
        <v>1560.1</v>
      </c>
      <c r="AB92" s="7" t="n">
        <v>20891.5</v>
      </c>
    </row>
    <row r="93">
      <c r="A93" s="4" t="inlineStr">
        <is>
          <t>盘盈盘亏</t>
        </is>
      </c>
      <c r="D93" s="7" t="n">
        <v>1162.5</v>
      </c>
      <c r="F93" s="7" t="n">
        <v>748.5</v>
      </c>
      <c r="H93" s="7" t="n">
        <v>1231.6</v>
      </c>
      <c r="J93" s="7" t="n">
        <v>723.6</v>
      </c>
      <c r="L93" s="7" t="n">
        <v>1895.9</v>
      </c>
      <c r="N93" s="7" t="n">
        <v>1730.3</v>
      </c>
      <c r="P93" s="7" t="n">
        <v>1917.5</v>
      </c>
      <c r="R93" s="7" t="n">
        <v>1651.5</v>
      </c>
      <c r="T93" s="7" t="n">
        <v>1110.6</v>
      </c>
      <c r="V93" s="7" t="n">
        <v>1711.9</v>
      </c>
      <c r="X93" s="7" t="n">
        <v>883.2</v>
      </c>
      <c r="Z93" s="7" t="n">
        <v>1438.9</v>
      </c>
      <c r="AB93" s="7" t="n">
        <v>16206</v>
      </c>
    </row>
    <row r="94">
      <c r="A94" s="4" t="inlineStr">
        <is>
          <t>平台服务费</t>
        </is>
      </c>
      <c r="D94" s="7" t="n">
        <v>2073.6</v>
      </c>
      <c r="F94" s="7" t="n">
        <v>897.7</v>
      </c>
      <c r="H94" s="7" t="n">
        <v>1222.5</v>
      </c>
      <c r="J94" s="7" t="n">
        <v>1407.8</v>
      </c>
      <c r="L94" s="7" t="n">
        <v>3395.4</v>
      </c>
      <c r="N94" s="7" t="n">
        <v>2025.8</v>
      </c>
      <c r="P94" s="7" t="n">
        <v>3509.4</v>
      </c>
      <c r="R94" s="7" t="n">
        <v>2298.7</v>
      </c>
      <c r="T94" s="7" t="n">
        <v>2190.8</v>
      </c>
      <c r="V94" s="7" t="n">
        <v>2155.1</v>
      </c>
      <c r="X94" s="7" t="n">
        <v>1197.1</v>
      </c>
      <c r="Z94" s="7" t="n">
        <v>1420.4</v>
      </c>
      <c r="AB94" s="7" t="n">
        <v>23794.3</v>
      </c>
    </row>
    <row r="95">
      <c r="A95" s="4" t="inlineStr">
        <is>
          <t>无形资产摊销</t>
        </is>
      </c>
      <c r="D95" s="7" t="n">
        <v>965.6</v>
      </c>
      <c r="F95" s="7" t="n">
        <v>657.4</v>
      </c>
      <c r="H95" s="7" t="n">
        <v>730.9</v>
      </c>
      <c r="J95" s="7" t="n">
        <v>1237.3</v>
      </c>
      <c r="L95" s="7" t="n">
        <v>2145.3</v>
      </c>
      <c r="N95" s="7" t="n">
        <v>2352</v>
      </c>
      <c r="P95" s="7" t="n">
        <v>1684.1</v>
      </c>
      <c r="R95" s="7" t="n">
        <v>2221.9</v>
      </c>
      <c r="T95" s="7" t="n">
        <v>1168.4</v>
      </c>
      <c r="V95" s="7" t="n">
        <v>1974.8</v>
      </c>
      <c r="X95" s="7" t="n">
        <v>639.7</v>
      </c>
      <c r="Z95" s="7" t="n">
        <v>1284.7</v>
      </c>
      <c r="AB95" s="7" t="n">
        <v>17062.1</v>
      </c>
    </row>
    <row r="96">
      <c r="A96" s="4" t="inlineStr">
        <is>
          <t>研发材料</t>
        </is>
      </c>
      <c r="D96" s="7" t="n">
        <v>1289.5</v>
      </c>
      <c r="F96" s="7" t="n">
        <v>507.3</v>
      </c>
      <c r="H96" s="7" t="n">
        <v>804.4</v>
      </c>
      <c r="J96" s="7" t="n">
        <v>800.6</v>
      </c>
      <c r="L96" s="7" t="n">
        <v>1982.8</v>
      </c>
      <c r="N96" s="7" t="n">
        <v>2054.2</v>
      </c>
      <c r="P96" s="7" t="n">
        <v>2134.7</v>
      </c>
      <c r="R96" s="7" t="n">
        <v>2236.6</v>
      </c>
      <c r="T96" s="7" t="n">
        <v>1545.3</v>
      </c>
      <c r="V96" s="7" t="n">
        <v>1744.3</v>
      </c>
      <c r="X96" s="7" t="n">
        <v>820.1</v>
      </c>
      <c r="Z96" s="7" t="n">
        <v>1219.2</v>
      </c>
      <c r="AB96" s="7" t="n">
        <v>17139</v>
      </c>
    </row>
    <row r="97">
      <c r="A97" s="4" t="inlineStr">
        <is>
          <t>项目名称</t>
        </is>
      </c>
      <c r="D97" s="7" t="n">
        <v>1242.5</v>
      </c>
      <c r="F97" s="7" t="n">
        <v>417.3</v>
      </c>
      <c r="H97" s="7" t="n">
        <v>712.1</v>
      </c>
      <c r="J97" s="7" t="n">
        <v>830</v>
      </c>
      <c r="L97" s="7" t="n">
        <v>1960.2</v>
      </c>
      <c r="N97" s="7" t="n">
        <v>1355.2</v>
      </c>
      <c r="P97" s="7" t="n">
        <v>2162.6</v>
      </c>
      <c r="R97" s="7" t="n">
        <v>2004.4</v>
      </c>
      <c r="T97" s="7" t="n">
        <v>1251</v>
      </c>
      <c r="V97" s="7" t="n">
        <v>1811.4</v>
      </c>
      <c r="X97" s="7" t="n">
        <v>807.1</v>
      </c>
      <c r="Z97" s="7" t="n">
        <v>1329.3</v>
      </c>
      <c r="AB97" s="7" t="n">
        <v>15883.1</v>
      </c>
    </row>
    <row r="98">
      <c r="A98" s="4" t="inlineStr">
        <is>
          <t>研发费</t>
        </is>
      </c>
      <c r="D98" s="7" t="n">
        <v>1132.3</v>
      </c>
      <c r="F98" s="7" t="n">
        <v>388.8</v>
      </c>
      <c r="H98" s="7" t="n">
        <v>681.5</v>
      </c>
      <c r="J98" s="7" t="n">
        <v>731.8</v>
      </c>
      <c r="L98" s="7" t="n">
        <v>1867</v>
      </c>
      <c r="N98" s="7" t="n">
        <v>1303.5</v>
      </c>
      <c r="P98" s="7" t="n">
        <v>1544</v>
      </c>
      <c r="R98" s="7" t="n">
        <v>1713.4</v>
      </c>
      <c r="T98" s="7" t="n">
        <v>1159.4</v>
      </c>
      <c r="V98" s="7" t="n">
        <v>854.8</v>
      </c>
      <c r="X98" s="7" t="n">
        <v>445.2</v>
      </c>
      <c r="Z98" s="7" t="n">
        <v>1263.8</v>
      </c>
      <c r="AB98" s="7" t="n">
        <v>13085.5</v>
      </c>
    </row>
    <row r="99">
      <c r="A99" s="4" t="inlineStr">
        <is>
          <t>残保金</t>
        </is>
      </c>
      <c r="D99" s="7" t="n">
        <v>1389.6</v>
      </c>
      <c r="F99" s="7" t="n">
        <v>654.5</v>
      </c>
      <c r="H99" s="7" t="n">
        <v>1682.9</v>
      </c>
      <c r="J99" s="7" t="n">
        <v>1135.1</v>
      </c>
      <c r="L99" s="7" t="n">
        <v>2863.2</v>
      </c>
      <c r="N99" s="7" t="n">
        <v>2885.6</v>
      </c>
      <c r="P99" s="7" t="n">
        <v>3709.3</v>
      </c>
      <c r="R99" s="7" t="n">
        <v>2351.7</v>
      </c>
      <c r="T99" s="7" t="n">
        <v>1717.7</v>
      </c>
      <c r="V99" s="7" t="n">
        <v>2350.5</v>
      </c>
      <c r="X99" s="7" t="n">
        <v>1216.5</v>
      </c>
      <c r="Z99" s="7" t="n">
        <v>1797.2</v>
      </c>
      <c r="AB99" s="7" t="n">
        <v>23753.8</v>
      </c>
    </row>
    <row r="100">
      <c r="A100" s="4" t="inlineStr">
        <is>
          <t>环保费</t>
        </is>
      </c>
      <c r="D100" s="7" t="n">
        <v>709.1</v>
      </c>
      <c r="F100" s="7" t="n">
        <v>188</v>
      </c>
      <c r="H100" s="7" t="n">
        <v>465.4</v>
      </c>
      <c r="J100" s="7" t="n">
        <v>399.5</v>
      </c>
      <c r="L100" s="7" t="n">
        <v>735.9</v>
      </c>
      <c r="N100" s="7" t="n">
        <v>831.8</v>
      </c>
      <c r="P100" s="7" t="n">
        <v>696.5</v>
      </c>
      <c r="R100" s="7" t="n">
        <v>727.5</v>
      </c>
      <c r="T100" s="7" t="n">
        <v>619.8</v>
      </c>
      <c r="V100" s="7" t="n">
        <v>530.5</v>
      </c>
      <c r="X100" s="7" t="n">
        <v>226.6</v>
      </c>
      <c r="Z100" s="7" t="n">
        <v>528.1</v>
      </c>
      <c r="AB100" s="7" t="n">
        <v>6658.7</v>
      </c>
    </row>
    <row r="101">
      <c r="A101" s="4" t="inlineStr">
        <is>
          <t>报废损失</t>
        </is>
      </c>
      <c r="D101" s="7" t="n">
        <v>106.6</v>
      </c>
      <c r="F101" s="7" t="n">
        <v>61.9</v>
      </c>
      <c r="H101" s="7" t="n">
        <v>119.3</v>
      </c>
      <c r="J101" s="7" t="n">
        <v>91.7</v>
      </c>
      <c r="L101" s="7" t="n">
        <v>268.3</v>
      </c>
      <c r="N101" s="7" t="n">
        <v>162</v>
      </c>
      <c r="P101" s="7" t="n">
        <v>197.2</v>
      </c>
      <c r="R101" s="7" t="n">
        <v>194.8</v>
      </c>
      <c r="T101" s="7" t="n">
        <v>158.6</v>
      </c>
      <c r="V101" s="7" t="n">
        <v>178.8</v>
      </c>
      <c r="X101" s="7" t="n">
        <v>89</v>
      </c>
      <c r="Z101" s="7" t="n">
        <v>140.6</v>
      </c>
      <c r="AB101" s="7" t="n">
        <v>1768.8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108236.6</v>
      </c>
      <c r="D102" s="7" t="n">
        <v>45861.8</v>
      </c>
      <c r="E102" s="7" t="n">
        <v>91715.5</v>
      </c>
      <c r="F102" s="7" t="n">
        <v>86375.60000000001</v>
      </c>
      <c r="G102" s="7" t="n">
        <v>98335.7</v>
      </c>
      <c r="H102" s="7" t="n">
        <v>134205.1</v>
      </c>
      <c r="I102" s="7" t="n">
        <v>95038.3</v>
      </c>
      <c r="J102" s="7" t="n">
        <v>113716.2</v>
      </c>
      <c r="K102" s="7" t="n">
        <v>105006.7</v>
      </c>
      <c r="L102" s="7" t="n">
        <v>125902</v>
      </c>
      <c r="M102" s="7" t="n">
        <v>107424.4</v>
      </c>
      <c r="N102" s="7" t="n">
        <v>90575.89999999999</v>
      </c>
      <c r="O102" s="7" t="n">
        <v>101585.1</v>
      </c>
      <c r="P102" s="7" t="n">
        <v>117158.5</v>
      </c>
      <c r="Q102" s="7" t="n">
        <v>105912.1</v>
      </c>
      <c r="R102" s="7" t="n">
        <v>88664.5</v>
      </c>
      <c r="S102" s="7" t="n">
        <v>92992.5</v>
      </c>
      <c r="T102" s="7" t="n">
        <v>93992.8</v>
      </c>
      <c r="U102" s="7" t="n">
        <v>97534.89999999999</v>
      </c>
      <c r="V102" s="7" t="n">
        <v>68090.3</v>
      </c>
      <c r="W102" s="7" t="n">
        <v>94693.7</v>
      </c>
      <c r="X102" s="7" t="n">
        <v>119907.7</v>
      </c>
      <c r="Y102" s="7" t="n">
        <v>95863.10000000001</v>
      </c>
      <c r="Z102" s="7" t="n">
        <v>88651.60000000001</v>
      </c>
      <c r="AA102" s="8" t="n">
        <v>1194338.6</v>
      </c>
      <c r="AB102" s="8" t="n">
        <v>1173102</v>
      </c>
    </row>
    <row r="103">
      <c r="A103" s="4" t="inlineStr">
        <is>
          <t>职工薪酬</t>
        </is>
      </c>
      <c r="D103" s="7" t="n">
        <v>24730.5</v>
      </c>
      <c r="F103" s="7" t="n">
        <v>50471.2</v>
      </c>
      <c r="H103" s="7" t="n">
        <v>60101.1</v>
      </c>
      <c r="J103" s="7" t="n">
        <v>68145.5</v>
      </c>
      <c r="L103" s="7" t="n">
        <v>48851.9</v>
      </c>
      <c r="N103" s="7" t="n">
        <v>40006.7</v>
      </c>
      <c r="P103" s="7" t="n">
        <v>59074.3</v>
      </c>
      <c r="R103" s="7" t="n">
        <v>45548.3</v>
      </c>
      <c r="T103" s="7" t="n">
        <v>53515.4</v>
      </c>
      <c r="V103" s="7" t="n">
        <v>30999.3</v>
      </c>
      <c r="X103" s="7" t="n">
        <v>55892.1</v>
      </c>
      <c r="Z103" s="7" t="n">
        <v>39991.6</v>
      </c>
      <c r="AB103" s="7" t="n">
        <v>577327.9</v>
      </c>
    </row>
    <row r="104">
      <c r="A104" s="4" t="inlineStr">
        <is>
          <t>工资</t>
        </is>
      </c>
      <c r="D104" s="7" t="n">
        <v>12855.3</v>
      </c>
      <c r="F104" s="7" t="n">
        <v>31891.4</v>
      </c>
      <c r="H104" s="7" t="n">
        <v>30318.1</v>
      </c>
      <c r="J104" s="7" t="n">
        <v>41713.6</v>
      </c>
      <c r="L104" s="7" t="n">
        <v>27057.4</v>
      </c>
      <c r="N104" s="7" t="n">
        <v>21531.6</v>
      </c>
      <c r="P104" s="7" t="n">
        <v>34211.8</v>
      </c>
      <c r="R104" s="7" t="n">
        <v>23732.7</v>
      </c>
      <c r="T104" s="7" t="n">
        <v>32345.7</v>
      </c>
      <c r="V104" s="7" t="n">
        <v>15523.9</v>
      </c>
      <c r="X104" s="7" t="n">
        <v>28968.7</v>
      </c>
      <c r="Z104" s="7" t="n">
        <v>22105.2</v>
      </c>
      <c r="AB104" s="7" t="n">
        <v>322255.4</v>
      </c>
    </row>
    <row r="105">
      <c r="A105" s="4" t="inlineStr">
        <is>
          <t>奖金及提成</t>
        </is>
      </c>
      <c r="D105" s="7" t="n">
        <v>5680</v>
      </c>
      <c r="F105" s="7" t="n">
        <v>7890.2</v>
      </c>
      <c r="H105" s="7" t="n">
        <v>15976.3</v>
      </c>
      <c r="J105" s="7" t="n">
        <v>11433.5</v>
      </c>
      <c r="L105" s="7" t="n">
        <v>10198.6</v>
      </c>
      <c r="N105" s="7" t="n">
        <v>9449.1</v>
      </c>
      <c r="P105" s="7" t="n">
        <v>11613.1</v>
      </c>
      <c r="R105" s="7" t="n">
        <v>10714.7</v>
      </c>
      <c r="T105" s="7" t="n">
        <v>8973.299999999999</v>
      </c>
      <c r="V105" s="7" t="n">
        <v>7059.8</v>
      </c>
      <c r="X105" s="7" t="n">
        <v>14886</v>
      </c>
      <c r="Z105" s="7" t="n">
        <v>9509.700000000001</v>
      </c>
      <c r="AB105" s="7" t="n">
        <v>123384.3</v>
      </c>
    </row>
    <row r="106">
      <c r="A106" s="4" t="inlineStr">
        <is>
          <t>社保</t>
        </is>
      </c>
      <c r="D106" s="7" t="n">
        <v>4734.2</v>
      </c>
      <c r="F106" s="7" t="n">
        <v>8284</v>
      </c>
      <c r="H106" s="7" t="n">
        <v>9386.200000000001</v>
      </c>
      <c r="J106" s="7" t="n">
        <v>11625.2</v>
      </c>
      <c r="L106" s="7" t="n">
        <v>7750.5</v>
      </c>
      <c r="N106" s="7" t="n">
        <v>6394</v>
      </c>
      <c r="P106" s="7" t="n">
        <v>9679.299999999999</v>
      </c>
      <c r="R106" s="7" t="n">
        <v>8343.6</v>
      </c>
      <c r="T106" s="7" t="n">
        <v>9708.200000000001</v>
      </c>
      <c r="V106" s="7" t="n">
        <v>6363.2</v>
      </c>
      <c r="X106" s="7" t="n">
        <v>8686.700000000001</v>
      </c>
      <c r="Z106" s="7" t="n">
        <v>5974.8</v>
      </c>
      <c r="AB106" s="7" t="n">
        <v>96929.89999999999</v>
      </c>
    </row>
    <row r="107">
      <c r="A107" s="4" t="inlineStr">
        <is>
          <t>养老</t>
        </is>
      </c>
      <c r="D107" s="7" t="n">
        <v>323.7</v>
      </c>
      <c r="F107" s="7" t="n">
        <v>558.1</v>
      </c>
      <c r="H107" s="7" t="n">
        <v>772.4</v>
      </c>
      <c r="J107" s="7" t="n">
        <v>607.7</v>
      </c>
      <c r="L107" s="7" t="n">
        <v>589.2</v>
      </c>
      <c r="N107" s="7" t="n">
        <v>557.1</v>
      </c>
      <c r="P107" s="7" t="n">
        <v>708.4</v>
      </c>
      <c r="R107" s="7" t="n">
        <v>388.5</v>
      </c>
      <c r="T107" s="7" t="n">
        <v>405</v>
      </c>
      <c r="V107" s="7" t="n">
        <v>355.3</v>
      </c>
      <c r="X107" s="7" t="n">
        <v>756.2</v>
      </c>
      <c r="Z107" s="7" t="n">
        <v>356.5</v>
      </c>
      <c r="AB107" s="7" t="n">
        <v>6378.1</v>
      </c>
    </row>
    <row r="108">
      <c r="A108" s="4" t="inlineStr">
        <is>
          <t>医疗</t>
        </is>
      </c>
      <c r="D108" s="7" t="n">
        <v>248.4</v>
      </c>
      <c r="F108" s="7" t="n">
        <v>603.5</v>
      </c>
      <c r="H108" s="7" t="n">
        <v>758.7</v>
      </c>
      <c r="J108" s="7" t="n">
        <v>453.1</v>
      </c>
      <c r="L108" s="7" t="n">
        <v>593</v>
      </c>
      <c r="N108" s="7" t="n">
        <v>510.1</v>
      </c>
      <c r="P108" s="7" t="n">
        <v>796.6</v>
      </c>
      <c r="R108" s="7" t="n">
        <v>539.6</v>
      </c>
      <c r="T108" s="7" t="n">
        <v>492.5</v>
      </c>
      <c r="V108" s="7" t="n">
        <v>313.2</v>
      </c>
      <c r="X108" s="7" t="n">
        <v>765.7</v>
      </c>
      <c r="Z108" s="7" t="n">
        <v>450.1</v>
      </c>
      <c r="AB108" s="7" t="n">
        <v>6524.5</v>
      </c>
    </row>
    <row r="109">
      <c r="A109" s="4" t="inlineStr">
        <is>
          <t>工伤</t>
        </is>
      </c>
      <c r="D109" s="7" t="n">
        <v>187.6</v>
      </c>
      <c r="F109" s="7" t="n">
        <v>428.5</v>
      </c>
      <c r="H109" s="7" t="n">
        <v>501.1</v>
      </c>
      <c r="J109" s="7" t="n">
        <v>479.1</v>
      </c>
      <c r="L109" s="7" t="n">
        <v>584.8</v>
      </c>
      <c r="N109" s="7" t="n">
        <v>433.8</v>
      </c>
      <c r="P109" s="7" t="n">
        <v>502.5</v>
      </c>
      <c r="R109" s="7" t="n">
        <v>416.5</v>
      </c>
      <c r="T109" s="7" t="n">
        <v>399.8</v>
      </c>
      <c r="V109" s="7" t="n">
        <v>308.5</v>
      </c>
      <c r="X109" s="7" t="n">
        <v>539.5</v>
      </c>
      <c r="Z109" s="7" t="n">
        <v>384.2</v>
      </c>
      <c r="AB109" s="7" t="n">
        <v>5165.9</v>
      </c>
    </row>
    <row r="110">
      <c r="A110" s="4" t="inlineStr">
        <is>
          <t>失业</t>
        </is>
      </c>
      <c r="D110" s="7" t="n">
        <v>277.5</v>
      </c>
      <c r="F110" s="7" t="n">
        <v>324.9</v>
      </c>
      <c r="H110" s="7" t="n">
        <v>678.7</v>
      </c>
      <c r="J110" s="7" t="n">
        <v>446.7</v>
      </c>
      <c r="L110" s="7" t="n">
        <v>735.2</v>
      </c>
      <c r="N110" s="7" t="n">
        <v>473.5</v>
      </c>
      <c r="P110" s="7" t="n">
        <v>632.7</v>
      </c>
      <c r="R110" s="7" t="n">
        <v>460.8</v>
      </c>
      <c r="T110" s="7" t="n">
        <v>369.7</v>
      </c>
      <c r="V110" s="7" t="n">
        <v>353.1</v>
      </c>
      <c r="X110" s="7" t="n">
        <v>524.6</v>
      </c>
      <c r="Z110" s="7" t="n">
        <v>514.7</v>
      </c>
      <c r="AB110" s="7" t="n">
        <v>5792.1</v>
      </c>
    </row>
    <row r="111">
      <c r="A111" s="4" t="inlineStr">
        <is>
          <t>生育</t>
        </is>
      </c>
      <c r="D111" s="7" t="n">
        <v>278</v>
      </c>
      <c r="F111" s="7" t="n">
        <v>590.7</v>
      </c>
      <c r="H111" s="7" t="n">
        <v>948.1</v>
      </c>
      <c r="J111" s="7" t="n">
        <v>841.6</v>
      </c>
      <c r="L111" s="7" t="n">
        <v>904.2</v>
      </c>
      <c r="N111" s="7" t="n">
        <v>403.2</v>
      </c>
      <c r="P111" s="7" t="n">
        <v>820.4</v>
      </c>
      <c r="R111" s="7" t="n">
        <v>611</v>
      </c>
      <c r="T111" s="7" t="n">
        <v>456</v>
      </c>
      <c r="V111" s="7" t="n">
        <v>462.9</v>
      </c>
      <c r="X111" s="7" t="n">
        <v>813.3</v>
      </c>
      <c r="Z111" s="7" t="n">
        <v>494.1</v>
      </c>
      <c r="AB111" s="7" t="n">
        <v>7623.5</v>
      </c>
    </row>
    <row r="112">
      <c r="A112" s="4" t="inlineStr">
        <is>
          <t>公积金</t>
        </is>
      </c>
      <c r="D112" s="7" t="n">
        <v>216.5</v>
      </c>
      <c r="F112" s="7" t="n">
        <v>234.1</v>
      </c>
      <c r="H112" s="7" t="n">
        <v>532.7</v>
      </c>
      <c r="J112" s="7" t="n">
        <v>300.1</v>
      </c>
      <c r="L112" s="7" t="n">
        <v>481.7</v>
      </c>
      <c r="N112" s="7" t="n">
        <v>265.6</v>
      </c>
      <c r="P112" s="7" t="n">
        <v>469.7</v>
      </c>
      <c r="R112" s="7" t="n">
        <v>319.4</v>
      </c>
      <c r="T112" s="7" t="n">
        <v>330.4</v>
      </c>
      <c r="V112" s="7" t="n">
        <v>310.9</v>
      </c>
      <c r="X112" s="7" t="n">
        <v>481.2</v>
      </c>
      <c r="Z112" s="7" t="n">
        <v>263.7</v>
      </c>
      <c r="AB112" s="7" t="n">
        <v>4206</v>
      </c>
    </row>
    <row r="113">
      <c r="A113" s="4" t="inlineStr">
        <is>
          <t>工会经费</t>
        </is>
      </c>
      <c r="D113" s="7" t="n">
        <v>67.3</v>
      </c>
      <c r="F113" s="7" t="n">
        <v>158.6</v>
      </c>
      <c r="H113" s="7" t="n">
        <v>159</v>
      </c>
      <c r="J113" s="7" t="n">
        <v>171.3</v>
      </c>
      <c r="L113" s="7" t="n">
        <v>159.6</v>
      </c>
      <c r="N113" s="7" t="n">
        <v>140.7</v>
      </c>
      <c r="P113" s="7" t="n">
        <v>206.5</v>
      </c>
      <c r="R113" s="7" t="n">
        <v>136.8</v>
      </c>
      <c r="T113" s="7" t="n">
        <v>164.9</v>
      </c>
      <c r="V113" s="7" t="n">
        <v>97.59999999999999</v>
      </c>
      <c r="X113" s="7" t="n">
        <v>185.8</v>
      </c>
      <c r="Z113" s="7" t="n">
        <v>130.1</v>
      </c>
      <c r="AB113" s="7" t="n">
        <v>1778.2</v>
      </c>
    </row>
    <row r="114">
      <c r="A114" s="4" t="inlineStr">
        <is>
          <t>职工教育经费</t>
        </is>
      </c>
      <c r="D114" s="7" t="n">
        <v>6.3</v>
      </c>
      <c r="F114" s="7" t="n">
        <v>8.6</v>
      </c>
      <c r="H114" s="7" t="n">
        <v>10.8</v>
      </c>
      <c r="J114" s="7" t="n">
        <v>11.8</v>
      </c>
      <c r="L114" s="7" t="n">
        <v>13.6</v>
      </c>
      <c r="N114" s="7" t="n">
        <v>11.4</v>
      </c>
      <c r="P114" s="7" t="n">
        <v>17.3</v>
      </c>
      <c r="R114" s="7" t="n">
        <v>12.6</v>
      </c>
      <c r="T114" s="7" t="n">
        <v>11.2</v>
      </c>
      <c r="V114" s="7" t="n">
        <v>7.5</v>
      </c>
      <c r="X114" s="7" t="n">
        <v>9.9</v>
      </c>
      <c r="Z114" s="7" t="n">
        <v>12</v>
      </c>
      <c r="AB114" s="7" t="n">
        <v>133</v>
      </c>
    </row>
    <row r="115">
      <c r="A115" s="4" t="inlineStr">
        <is>
          <t>福利费</t>
        </is>
      </c>
      <c r="D115" s="7" t="n">
        <v>1170.9</v>
      </c>
      <c r="F115" s="7" t="n">
        <v>2004.3</v>
      </c>
      <c r="H115" s="7" t="n">
        <v>3718</v>
      </c>
      <c r="J115" s="7" t="n">
        <v>2890</v>
      </c>
      <c r="L115" s="7" t="n">
        <v>3190.5</v>
      </c>
      <c r="N115" s="7" t="n">
        <v>2214.3</v>
      </c>
      <c r="P115" s="7" t="n">
        <v>2876.6</v>
      </c>
      <c r="R115" s="7" t="n">
        <v>2288.5</v>
      </c>
      <c r="T115" s="7" t="n">
        <v>1981.7</v>
      </c>
      <c r="V115" s="7" t="n">
        <v>1636.4</v>
      </c>
      <c r="X115" s="7" t="n">
        <v>2673.8</v>
      </c>
      <c r="Z115" s="7" t="n">
        <v>1996.1</v>
      </c>
      <c r="AB115" s="7" t="n">
        <v>28641.1</v>
      </c>
    </row>
    <row r="116">
      <c r="A116" s="4" t="inlineStr">
        <is>
          <t>职工房租</t>
        </is>
      </c>
      <c r="D116" s="7" t="n">
        <v>67.59999999999999</v>
      </c>
      <c r="F116" s="7" t="n">
        <v>145.4</v>
      </c>
      <c r="H116" s="7" t="n">
        <v>144.7</v>
      </c>
      <c r="J116" s="7" t="n">
        <v>193.6</v>
      </c>
      <c r="L116" s="7" t="n">
        <v>219.9</v>
      </c>
      <c r="N116" s="7" t="n">
        <v>149.2</v>
      </c>
      <c r="P116" s="7" t="n">
        <v>197.1</v>
      </c>
      <c r="R116" s="7" t="n">
        <v>111.9</v>
      </c>
      <c r="T116" s="7" t="n">
        <v>120.5</v>
      </c>
      <c r="V116" s="7" t="n">
        <v>121.3</v>
      </c>
      <c r="X116" s="7" t="n">
        <v>131.5</v>
      </c>
      <c r="Z116" s="7" t="n">
        <v>151.9</v>
      </c>
      <c r="AB116" s="7" t="n">
        <v>1754.6</v>
      </c>
    </row>
    <row r="117">
      <c r="A117" s="4" t="inlineStr">
        <is>
          <t>水电物业费</t>
        </is>
      </c>
      <c r="D117" s="7" t="n">
        <v>219.5</v>
      </c>
      <c r="F117" s="7" t="n">
        <v>347.5</v>
      </c>
      <c r="H117" s="7" t="n">
        <v>719.9</v>
      </c>
      <c r="J117" s="7" t="n">
        <v>674.5</v>
      </c>
      <c r="L117" s="7" t="n">
        <v>776.3</v>
      </c>
      <c r="N117" s="7" t="n">
        <v>398.4</v>
      </c>
      <c r="P117" s="7" t="n">
        <v>740</v>
      </c>
      <c r="R117" s="7" t="n">
        <v>548</v>
      </c>
      <c r="T117" s="7" t="n">
        <v>574.6</v>
      </c>
      <c r="V117" s="7" t="n">
        <v>277.1</v>
      </c>
      <c r="X117" s="7" t="n">
        <v>703.6</v>
      </c>
      <c r="Z117" s="7" t="n">
        <v>316.5</v>
      </c>
      <c r="AB117" s="7" t="n">
        <v>6295.9</v>
      </c>
    </row>
    <row r="118">
      <c r="A118" s="4" t="inlineStr">
        <is>
          <t>员工餐</t>
        </is>
      </c>
      <c r="D118" s="7" t="n">
        <v>202.5</v>
      </c>
      <c r="F118" s="7" t="n">
        <v>401</v>
      </c>
      <c r="H118" s="7" t="n">
        <v>731.2</v>
      </c>
      <c r="J118" s="7" t="n">
        <v>464.8</v>
      </c>
      <c r="L118" s="7" t="n">
        <v>716.1</v>
      </c>
      <c r="N118" s="7" t="n">
        <v>305.4</v>
      </c>
      <c r="P118" s="7" t="n">
        <v>660.6</v>
      </c>
      <c r="R118" s="7" t="n">
        <v>361.9</v>
      </c>
      <c r="T118" s="7" t="n">
        <v>338</v>
      </c>
      <c r="V118" s="7" t="n">
        <v>223.2</v>
      </c>
      <c r="X118" s="7" t="n">
        <v>428.4</v>
      </c>
      <c r="Z118" s="7" t="n">
        <v>414.2</v>
      </c>
      <c r="AB118" s="7" t="n">
        <v>5247.3</v>
      </c>
    </row>
    <row r="119">
      <c r="A119" s="4" t="inlineStr">
        <is>
          <t>节日礼品</t>
        </is>
      </c>
      <c r="D119" s="7" t="n">
        <v>295.7</v>
      </c>
      <c r="F119" s="7" t="n">
        <v>333.7</v>
      </c>
      <c r="H119" s="7" t="n">
        <v>918.4</v>
      </c>
      <c r="J119" s="7" t="n">
        <v>568.1</v>
      </c>
      <c r="L119" s="7" t="n">
        <v>498.8</v>
      </c>
      <c r="N119" s="7" t="n">
        <v>532.7</v>
      </c>
      <c r="P119" s="7" t="n">
        <v>473.3</v>
      </c>
      <c r="R119" s="7" t="n">
        <v>516.1</v>
      </c>
      <c r="T119" s="7" t="n">
        <v>377.6</v>
      </c>
      <c r="V119" s="7" t="n">
        <v>420.2</v>
      </c>
      <c r="X119" s="7" t="n">
        <v>474.4</v>
      </c>
      <c r="Z119" s="7" t="n">
        <v>452.3</v>
      </c>
      <c r="AB119" s="7" t="n">
        <v>5861.3</v>
      </c>
    </row>
    <row r="120">
      <c r="A120" s="4" t="inlineStr">
        <is>
          <t>生日礼品</t>
        </is>
      </c>
      <c r="D120" s="7" t="n">
        <v>57.4</v>
      </c>
      <c r="F120" s="7" t="n">
        <v>82</v>
      </c>
      <c r="H120" s="7" t="n">
        <v>163.6</v>
      </c>
      <c r="J120" s="7" t="n">
        <v>127.6</v>
      </c>
      <c r="L120" s="7" t="n">
        <v>138.5</v>
      </c>
      <c r="N120" s="7" t="n">
        <v>82.7</v>
      </c>
      <c r="P120" s="7" t="n">
        <v>154.9</v>
      </c>
      <c r="R120" s="7" t="n">
        <v>85.7</v>
      </c>
      <c r="T120" s="7" t="n">
        <v>94.8</v>
      </c>
      <c r="V120" s="7" t="n">
        <v>56.2</v>
      </c>
      <c r="X120" s="7" t="n">
        <v>138.9</v>
      </c>
      <c r="Z120" s="7" t="n">
        <v>99.5</v>
      </c>
      <c r="AB120" s="7" t="n">
        <v>1281.8</v>
      </c>
    </row>
    <row r="121">
      <c r="A121" s="4" t="inlineStr">
        <is>
          <t>体检</t>
        </is>
      </c>
      <c r="D121" s="7" t="n">
        <v>67.5</v>
      </c>
      <c r="F121" s="7" t="n">
        <v>179.9</v>
      </c>
      <c r="H121" s="7" t="n">
        <v>240.2</v>
      </c>
      <c r="J121" s="7" t="n">
        <v>164.5</v>
      </c>
      <c r="L121" s="7" t="n">
        <v>218.9</v>
      </c>
      <c r="N121" s="7" t="n">
        <v>203.6</v>
      </c>
      <c r="P121" s="7" t="n">
        <v>238.5</v>
      </c>
      <c r="R121" s="7" t="n">
        <v>173.1</v>
      </c>
      <c r="T121" s="7" t="n">
        <v>157.3</v>
      </c>
      <c r="V121" s="7" t="n">
        <v>129.9</v>
      </c>
      <c r="X121" s="7" t="n">
        <v>167.2</v>
      </c>
      <c r="Z121" s="7" t="n">
        <v>200.2</v>
      </c>
      <c r="AB121" s="7" t="n">
        <v>2140.8</v>
      </c>
    </row>
    <row r="122">
      <c r="A122" s="4" t="inlineStr">
        <is>
          <t>其他福利支出</t>
        </is>
      </c>
      <c r="D122" s="7" t="n">
        <v>260.7</v>
      </c>
      <c r="F122" s="7" t="n">
        <v>514.8</v>
      </c>
      <c r="H122" s="7" t="n">
        <v>800</v>
      </c>
      <c r="J122" s="7" t="n">
        <v>696.9</v>
      </c>
      <c r="L122" s="7" t="n">
        <v>622</v>
      </c>
      <c r="N122" s="7" t="n">
        <v>542.3</v>
      </c>
      <c r="P122" s="7" t="n">
        <v>412.2</v>
      </c>
      <c r="R122" s="7" t="n">
        <v>491.8</v>
      </c>
      <c r="T122" s="7" t="n">
        <v>318.9</v>
      </c>
      <c r="V122" s="7" t="n">
        <v>408.5</v>
      </c>
      <c r="X122" s="7" t="n">
        <v>629.8</v>
      </c>
      <c r="Z122" s="7" t="n">
        <v>361.5</v>
      </c>
      <c r="AB122" s="7" t="n">
        <v>6059.4</v>
      </c>
    </row>
    <row r="123">
      <c r="A123" s="4" t="inlineStr">
        <is>
          <t>招聘费</t>
        </is>
      </c>
      <c r="D123" s="7" t="n">
        <v>239</v>
      </c>
      <c r="F123" s="7" t="n">
        <v>534.4</v>
      </c>
      <c r="H123" s="7" t="n">
        <v>643.4</v>
      </c>
      <c r="J123" s="7" t="n">
        <v>564.1</v>
      </c>
      <c r="L123" s="7" t="n">
        <v>1008.4</v>
      </c>
      <c r="N123" s="7" t="n">
        <v>527.2</v>
      </c>
      <c r="P123" s="7" t="n">
        <v>938</v>
      </c>
      <c r="R123" s="7" t="n">
        <v>463.5</v>
      </c>
      <c r="T123" s="7" t="n">
        <v>747.2</v>
      </c>
      <c r="V123" s="7" t="n">
        <v>407.6</v>
      </c>
      <c r="X123" s="7" t="n">
        <v>747.9</v>
      </c>
      <c r="Z123" s="7" t="n">
        <v>708.6</v>
      </c>
      <c r="AB123" s="7" t="n">
        <v>7529.3</v>
      </c>
    </row>
    <row r="124">
      <c r="A124" s="4" t="inlineStr">
        <is>
          <t>办公费</t>
        </is>
      </c>
      <c r="D124" s="7" t="n">
        <v>1346.3</v>
      </c>
      <c r="F124" s="7" t="n">
        <v>2132.5</v>
      </c>
      <c r="H124" s="7" t="n">
        <v>5224.6</v>
      </c>
      <c r="J124" s="7" t="n">
        <v>4245.9</v>
      </c>
      <c r="L124" s="7" t="n">
        <v>4180.5</v>
      </c>
      <c r="N124" s="7" t="n">
        <v>2030.2</v>
      </c>
      <c r="P124" s="7" t="n">
        <v>2804.9</v>
      </c>
      <c r="R124" s="7" t="n">
        <v>2468.1</v>
      </c>
      <c r="T124" s="7" t="n">
        <v>2344.2</v>
      </c>
      <c r="V124" s="7" t="n">
        <v>1947</v>
      </c>
      <c r="X124" s="7" t="n">
        <v>4299.1</v>
      </c>
      <c r="Z124" s="7" t="n">
        <v>3424.8</v>
      </c>
      <c r="AB124" s="7" t="n">
        <v>36448.1</v>
      </c>
    </row>
    <row r="125">
      <c r="A125" s="4" t="inlineStr">
        <is>
          <t>市内交通费</t>
        </is>
      </c>
      <c r="D125" s="7" t="n">
        <v>93.7</v>
      </c>
      <c r="F125" s="7" t="n">
        <v>185</v>
      </c>
      <c r="H125" s="7" t="n">
        <v>359.6</v>
      </c>
      <c r="J125" s="7" t="n">
        <v>219.3</v>
      </c>
      <c r="L125" s="7" t="n">
        <v>213.6</v>
      </c>
      <c r="N125" s="7" t="n">
        <v>182.8</v>
      </c>
      <c r="P125" s="7" t="n">
        <v>301.4</v>
      </c>
      <c r="R125" s="7" t="n">
        <v>189.8</v>
      </c>
      <c r="T125" s="7" t="n">
        <v>173.2</v>
      </c>
      <c r="V125" s="7" t="n">
        <v>149.8</v>
      </c>
      <c r="X125" s="7" t="n">
        <v>283.7</v>
      </c>
      <c r="Z125" s="7" t="n">
        <v>148</v>
      </c>
      <c r="AB125" s="7" t="n">
        <v>2499.9</v>
      </c>
    </row>
    <row r="126">
      <c r="A126" s="4" t="inlineStr">
        <is>
          <t>差旅费</t>
        </is>
      </c>
      <c r="D126" s="7" t="n">
        <v>2881.8</v>
      </c>
      <c r="F126" s="7" t="n">
        <v>3776.4</v>
      </c>
      <c r="H126" s="7" t="n">
        <v>9811.5</v>
      </c>
      <c r="J126" s="7" t="n">
        <v>5979.7</v>
      </c>
      <c r="L126" s="7" t="n">
        <v>5482.8</v>
      </c>
      <c r="N126" s="7" t="n">
        <v>6469.7</v>
      </c>
      <c r="P126" s="7" t="n">
        <v>6739.2</v>
      </c>
      <c r="R126" s="7" t="n">
        <v>4632.8</v>
      </c>
      <c r="T126" s="7" t="n">
        <v>4126.7</v>
      </c>
      <c r="V126" s="7" t="n">
        <v>3967.1</v>
      </c>
      <c r="X126" s="7" t="n">
        <v>7980.3</v>
      </c>
      <c r="Z126" s="7" t="n">
        <v>6378.7</v>
      </c>
      <c r="AB126" s="7" t="n">
        <v>68226.7</v>
      </c>
    </row>
    <row r="127">
      <c r="A127" s="4" t="inlineStr">
        <is>
          <t>交通费</t>
        </is>
      </c>
      <c r="D127" s="7" t="n">
        <v>122.3</v>
      </c>
      <c r="F127" s="7" t="n">
        <v>283.5</v>
      </c>
      <c r="H127" s="7" t="n">
        <v>435.8</v>
      </c>
      <c r="J127" s="7" t="n">
        <v>340</v>
      </c>
      <c r="L127" s="7" t="n">
        <v>328.8</v>
      </c>
      <c r="N127" s="7" t="n">
        <v>238.5</v>
      </c>
      <c r="P127" s="7" t="n">
        <v>382.3</v>
      </c>
      <c r="R127" s="7" t="n">
        <v>172.6</v>
      </c>
      <c r="T127" s="7" t="n">
        <v>294.7</v>
      </c>
      <c r="V127" s="7" t="n">
        <v>192.7</v>
      </c>
      <c r="X127" s="7" t="n">
        <v>384.3</v>
      </c>
      <c r="Z127" s="7" t="n">
        <v>286.4</v>
      </c>
      <c r="AB127" s="7" t="n">
        <v>3461.9</v>
      </c>
    </row>
    <row r="128">
      <c r="A128" s="4" t="inlineStr">
        <is>
          <t>住宿费</t>
        </is>
      </c>
      <c r="D128" s="7" t="n">
        <v>211.9</v>
      </c>
      <c r="F128" s="7" t="n">
        <v>254</v>
      </c>
      <c r="H128" s="7" t="n">
        <v>423</v>
      </c>
      <c r="J128" s="7" t="n">
        <v>444.3</v>
      </c>
      <c r="L128" s="7" t="n">
        <v>624.5</v>
      </c>
      <c r="N128" s="7" t="n">
        <v>280.9</v>
      </c>
      <c r="P128" s="7" t="n">
        <v>465</v>
      </c>
      <c r="R128" s="7" t="n">
        <v>390.6</v>
      </c>
      <c r="T128" s="7" t="n">
        <v>361.1</v>
      </c>
      <c r="V128" s="7" t="n">
        <v>299.5</v>
      </c>
      <c r="X128" s="7" t="n">
        <v>492.7</v>
      </c>
      <c r="Z128" s="7" t="n">
        <v>287.7</v>
      </c>
      <c r="AB128" s="7" t="n">
        <v>4535.2</v>
      </c>
    </row>
    <row r="129">
      <c r="A129" s="4" t="inlineStr">
        <is>
          <t>餐补</t>
        </is>
      </c>
      <c r="D129" s="7" t="n">
        <v>153.2</v>
      </c>
      <c r="F129" s="7" t="n">
        <v>295.6</v>
      </c>
      <c r="H129" s="7" t="n">
        <v>383.8</v>
      </c>
      <c r="J129" s="7" t="n">
        <v>389.5</v>
      </c>
      <c r="L129" s="7" t="n">
        <v>425.2</v>
      </c>
      <c r="N129" s="7" t="n">
        <v>204</v>
      </c>
      <c r="P129" s="7" t="n">
        <v>362.9</v>
      </c>
      <c r="R129" s="7" t="n">
        <v>220.7</v>
      </c>
      <c r="T129" s="7" t="n">
        <v>188.4</v>
      </c>
      <c r="V129" s="7" t="n">
        <v>159.3</v>
      </c>
      <c r="X129" s="7" t="n">
        <v>385.3</v>
      </c>
      <c r="Z129" s="7" t="n">
        <v>316</v>
      </c>
      <c r="AB129" s="7" t="n">
        <v>3483.9</v>
      </c>
    </row>
    <row r="130">
      <c r="A130" s="4" t="inlineStr">
        <is>
          <t>交通补助</t>
        </is>
      </c>
      <c r="D130" s="7" t="n">
        <v>8.1</v>
      </c>
      <c r="F130" s="7" t="n">
        <v>13.7</v>
      </c>
      <c r="H130" s="7" t="n">
        <v>22.8</v>
      </c>
      <c r="J130" s="7" t="n">
        <v>16.4</v>
      </c>
      <c r="L130" s="7" t="n">
        <v>21</v>
      </c>
      <c r="N130" s="7" t="n">
        <v>17.7</v>
      </c>
      <c r="P130" s="7" t="n">
        <v>17.1</v>
      </c>
      <c r="R130" s="7" t="n">
        <v>14.9</v>
      </c>
      <c r="T130" s="7" t="n">
        <v>13.3</v>
      </c>
      <c r="V130" s="7" t="n">
        <v>12.9</v>
      </c>
      <c r="X130" s="7" t="n">
        <v>15.2</v>
      </c>
      <c r="Z130" s="7" t="n">
        <v>12.6</v>
      </c>
      <c r="AB130" s="7" t="n">
        <v>185.7</v>
      </c>
    </row>
    <row r="131">
      <c r="A131" s="4" t="inlineStr">
        <is>
          <t>通讯补助</t>
        </is>
      </c>
      <c r="D131" s="7" t="n">
        <v>184.8</v>
      </c>
      <c r="F131" s="7" t="n">
        <v>519.2</v>
      </c>
      <c r="H131" s="7" t="n">
        <v>630.8</v>
      </c>
      <c r="J131" s="7" t="n">
        <v>407.9</v>
      </c>
      <c r="L131" s="7" t="n">
        <v>659.6</v>
      </c>
      <c r="N131" s="7" t="n">
        <v>347.7</v>
      </c>
      <c r="P131" s="7" t="n">
        <v>721.6</v>
      </c>
      <c r="R131" s="7" t="n">
        <v>366.5</v>
      </c>
      <c r="T131" s="7" t="n">
        <v>517.9</v>
      </c>
      <c r="V131" s="7" t="n">
        <v>312.3</v>
      </c>
      <c r="X131" s="7" t="n">
        <v>487.8</v>
      </c>
      <c r="Z131" s="7" t="n">
        <v>587.2</v>
      </c>
      <c r="AB131" s="7" t="n">
        <v>5743.3</v>
      </c>
    </row>
    <row r="132">
      <c r="A132" s="4" t="inlineStr">
        <is>
          <t>招待费</t>
        </is>
      </c>
      <c r="D132" s="7" t="n">
        <v>2031.2</v>
      </c>
      <c r="F132" s="7" t="n">
        <v>3785.8</v>
      </c>
      <c r="H132" s="7" t="n">
        <v>3805.5</v>
      </c>
      <c r="J132" s="7" t="n">
        <v>4098.5</v>
      </c>
      <c r="L132" s="7" t="n">
        <v>6513.3</v>
      </c>
      <c r="N132" s="7" t="n">
        <v>4573.1</v>
      </c>
      <c r="P132" s="7" t="n">
        <v>5211.4</v>
      </c>
      <c r="R132" s="7" t="n">
        <v>3344.3</v>
      </c>
      <c r="T132" s="7" t="n">
        <v>2970.9</v>
      </c>
      <c r="V132" s="7" t="n">
        <v>2025.6</v>
      </c>
      <c r="X132" s="7" t="n">
        <v>5231.7</v>
      </c>
      <c r="Z132" s="7" t="n">
        <v>4476</v>
      </c>
      <c r="AB132" s="7" t="n">
        <v>48067.3</v>
      </c>
    </row>
    <row r="133">
      <c r="A133" s="4" t="inlineStr">
        <is>
          <t>通讯费</t>
        </is>
      </c>
      <c r="D133" s="7" t="n">
        <v>22.8</v>
      </c>
      <c r="F133" s="7" t="n">
        <v>36.9</v>
      </c>
      <c r="H133" s="7" t="n">
        <v>60.1</v>
      </c>
      <c r="J133" s="7" t="n">
        <v>52.8</v>
      </c>
      <c r="L133" s="7" t="n">
        <v>63.5</v>
      </c>
      <c r="N133" s="7" t="n">
        <v>31.3</v>
      </c>
      <c r="P133" s="7" t="n">
        <v>58.9</v>
      </c>
      <c r="R133" s="7" t="n">
        <v>49.2</v>
      </c>
      <c r="T133" s="7" t="n">
        <v>38.6</v>
      </c>
      <c r="V133" s="7" t="n">
        <v>31.1</v>
      </c>
      <c r="X133" s="7" t="n">
        <v>60.9</v>
      </c>
      <c r="Z133" s="7" t="n">
        <v>36.9</v>
      </c>
      <c r="AB133" s="7" t="n">
        <v>543</v>
      </c>
    </row>
    <row r="134">
      <c r="A134" s="4" t="inlineStr">
        <is>
          <t>网络费</t>
        </is>
      </c>
      <c r="D134" s="7" t="n">
        <v>116.7</v>
      </c>
      <c r="F134" s="7" t="n">
        <v>246.2</v>
      </c>
      <c r="H134" s="7" t="n">
        <v>594.4</v>
      </c>
      <c r="J134" s="7" t="n">
        <v>294.6</v>
      </c>
      <c r="L134" s="7" t="n">
        <v>405.6</v>
      </c>
      <c r="N134" s="7" t="n">
        <v>233.9</v>
      </c>
      <c r="P134" s="7" t="n">
        <v>446.5</v>
      </c>
      <c r="R134" s="7" t="n">
        <v>361.7</v>
      </c>
      <c r="T134" s="7" t="n">
        <v>369.8</v>
      </c>
      <c r="V134" s="7" t="n">
        <v>250.3</v>
      </c>
      <c r="X134" s="7" t="n">
        <v>552.4</v>
      </c>
      <c r="Z134" s="7" t="n">
        <v>336.6</v>
      </c>
      <c r="AB134" s="7" t="n">
        <v>4208.7</v>
      </c>
    </row>
    <row r="135">
      <c r="A135" s="4" t="inlineStr">
        <is>
          <t>修理费</t>
        </is>
      </c>
      <c r="D135" s="7" t="n">
        <v>208.8</v>
      </c>
      <c r="F135" s="7" t="n">
        <v>342.7</v>
      </c>
      <c r="H135" s="7" t="n">
        <v>473.4</v>
      </c>
      <c r="J135" s="7" t="n">
        <v>633.9</v>
      </c>
      <c r="L135" s="7" t="n">
        <v>515.2</v>
      </c>
      <c r="N135" s="7" t="n">
        <v>468.7</v>
      </c>
      <c r="P135" s="7" t="n">
        <v>535.1</v>
      </c>
      <c r="R135" s="7" t="n">
        <v>433.2</v>
      </c>
      <c r="T135" s="7" t="n">
        <v>463.8</v>
      </c>
      <c r="V135" s="7" t="n">
        <v>268.6</v>
      </c>
      <c r="X135" s="7" t="n">
        <v>527.9</v>
      </c>
      <c r="Z135" s="7" t="n">
        <v>412.9</v>
      </c>
      <c r="AB135" s="7" t="n">
        <v>5284.2</v>
      </c>
    </row>
    <row r="136">
      <c r="A136" s="4" t="inlineStr">
        <is>
          <t>车辆费</t>
        </is>
      </c>
      <c r="D136" s="7" t="n">
        <v>163.3</v>
      </c>
      <c r="F136" s="7" t="n">
        <v>323.6</v>
      </c>
      <c r="H136" s="7" t="n">
        <v>450.2</v>
      </c>
      <c r="J136" s="7" t="n">
        <v>329.4</v>
      </c>
      <c r="L136" s="7" t="n">
        <v>345.6</v>
      </c>
      <c r="N136" s="7" t="n">
        <v>219.6</v>
      </c>
      <c r="P136" s="7" t="n">
        <v>435.2</v>
      </c>
      <c r="R136" s="7" t="n">
        <v>250.5</v>
      </c>
      <c r="T136" s="7" t="n">
        <v>263.7</v>
      </c>
      <c r="V136" s="7" t="n">
        <v>167.2</v>
      </c>
      <c r="X136" s="7" t="n">
        <v>418.2</v>
      </c>
      <c r="Z136" s="7" t="n">
        <v>291.2</v>
      </c>
      <c r="AB136" s="7" t="n">
        <v>3657.7</v>
      </c>
    </row>
    <row r="137">
      <c r="A137" s="4" t="inlineStr">
        <is>
          <t>租赁费</t>
        </is>
      </c>
      <c r="D137" s="7" t="n">
        <v>1641.2</v>
      </c>
      <c r="F137" s="7" t="n">
        <v>4618.3</v>
      </c>
      <c r="H137" s="7" t="n">
        <v>5804</v>
      </c>
      <c r="J137" s="7" t="n">
        <v>6641.9</v>
      </c>
      <c r="L137" s="7" t="n">
        <v>8045.9</v>
      </c>
      <c r="N137" s="7" t="n">
        <v>3342.7</v>
      </c>
      <c r="P137" s="7" t="n">
        <v>6307.2</v>
      </c>
      <c r="R137" s="7" t="n">
        <v>5692.3</v>
      </c>
      <c r="T137" s="7" t="n">
        <v>4685.3</v>
      </c>
      <c r="V137" s="7" t="n">
        <v>3470.3</v>
      </c>
      <c r="X137" s="7" t="n">
        <v>5579.8</v>
      </c>
      <c r="Z137" s="7" t="n">
        <v>3501.5</v>
      </c>
      <c r="AB137" s="7" t="n">
        <v>59330.4</v>
      </c>
    </row>
    <row r="138">
      <c r="A138" s="4" t="inlineStr">
        <is>
          <t>能源费</t>
        </is>
      </c>
      <c r="D138" s="7" t="n">
        <v>624.4</v>
      </c>
      <c r="F138" s="7" t="n">
        <v>1483.2</v>
      </c>
      <c r="H138" s="7" t="n">
        <v>2221.6</v>
      </c>
      <c r="J138" s="7" t="n">
        <v>1568.4</v>
      </c>
      <c r="L138" s="7" t="n">
        <v>1866.2</v>
      </c>
      <c r="N138" s="7" t="n">
        <v>1387.1</v>
      </c>
      <c r="P138" s="7" t="n">
        <v>2075.3</v>
      </c>
      <c r="R138" s="7" t="n">
        <v>1614.4</v>
      </c>
      <c r="T138" s="7" t="n">
        <v>1453</v>
      </c>
      <c r="V138" s="7" t="n">
        <v>1163.4</v>
      </c>
      <c r="X138" s="7" t="n">
        <v>1974.8</v>
      </c>
      <c r="Z138" s="7" t="n">
        <v>1518.2</v>
      </c>
      <c r="AB138" s="7" t="n">
        <v>18950</v>
      </c>
    </row>
    <row r="139">
      <c r="A139" s="4" t="inlineStr">
        <is>
          <t>水费</t>
        </is>
      </c>
      <c r="D139" s="7" t="n">
        <v>143.6</v>
      </c>
      <c r="F139" s="7" t="n">
        <v>419.3</v>
      </c>
      <c r="H139" s="7" t="n">
        <v>665.4</v>
      </c>
      <c r="J139" s="7" t="n">
        <v>597.4</v>
      </c>
      <c r="L139" s="7" t="n">
        <v>518.4</v>
      </c>
      <c r="N139" s="7" t="n">
        <v>452.3</v>
      </c>
      <c r="P139" s="7" t="n">
        <v>643.9</v>
      </c>
      <c r="R139" s="7" t="n">
        <v>435.2</v>
      </c>
      <c r="T139" s="7" t="n">
        <v>512.8</v>
      </c>
      <c r="V139" s="7" t="n">
        <v>351</v>
      </c>
      <c r="X139" s="7" t="n">
        <v>500.6</v>
      </c>
      <c r="Z139" s="7" t="n">
        <v>450.3</v>
      </c>
      <c r="AB139" s="7" t="n">
        <v>5690.2</v>
      </c>
    </row>
    <row r="140">
      <c r="A140" s="4" t="inlineStr">
        <is>
          <t>电费</t>
        </is>
      </c>
      <c r="D140" s="7" t="n">
        <v>97.2</v>
      </c>
      <c r="F140" s="7" t="n">
        <v>135.9</v>
      </c>
      <c r="H140" s="7" t="n">
        <v>322.4</v>
      </c>
      <c r="J140" s="7" t="n">
        <v>198.2</v>
      </c>
      <c r="L140" s="7" t="n">
        <v>339.7</v>
      </c>
      <c r="N140" s="7" t="n">
        <v>158.8</v>
      </c>
      <c r="P140" s="7" t="n">
        <v>292.7</v>
      </c>
      <c r="R140" s="7" t="n">
        <v>233.8</v>
      </c>
      <c r="T140" s="7" t="n">
        <v>176.1</v>
      </c>
      <c r="V140" s="7" t="n">
        <v>120</v>
      </c>
      <c r="X140" s="7" t="n">
        <v>264.6</v>
      </c>
      <c r="Z140" s="7" t="n">
        <v>188.4</v>
      </c>
      <c r="AB140" s="7" t="n">
        <v>2527.8</v>
      </c>
    </row>
    <row r="141">
      <c r="A141" s="4" t="inlineStr">
        <is>
          <t>燃气费</t>
        </is>
      </c>
      <c r="D141" s="7" t="n">
        <v>92.90000000000001</v>
      </c>
      <c r="F141" s="7" t="n">
        <v>266.9</v>
      </c>
      <c r="H141" s="7" t="n">
        <v>370</v>
      </c>
      <c r="J141" s="7" t="n">
        <v>238.4</v>
      </c>
      <c r="L141" s="7" t="n">
        <v>275.9</v>
      </c>
      <c r="N141" s="7" t="n">
        <v>297.5</v>
      </c>
      <c r="P141" s="7" t="n">
        <v>336.1</v>
      </c>
      <c r="R141" s="7" t="n">
        <v>262</v>
      </c>
      <c r="T141" s="7" t="n">
        <v>293.4</v>
      </c>
      <c r="V141" s="7" t="n">
        <v>206.5</v>
      </c>
      <c r="X141" s="7" t="n">
        <v>371.3</v>
      </c>
      <c r="Z141" s="7" t="n">
        <v>190.9</v>
      </c>
      <c r="AB141" s="7" t="n">
        <v>3201.8</v>
      </c>
    </row>
    <row r="142">
      <c r="A142" s="4" t="inlineStr">
        <is>
          <t>蒸汽费</t>
        </is>
      </c>
      <c r="D142" s="7" t="n">
        <v>290.7</v>
      </c>
      <c r="F142" s="7" t="n">
        <v>661.1</v>
      </c>
      <c r="H142" s="7" t="n">
        <v>863.8</v>
      </c>
      <c r="J142" s="7" t="n">
        <v>534.4</v>
      </c>
      <c r="L142" s="7" t="n">
        <v>732.2</v>
      </c>
      <c r="N142" s="7" t="n">
        <v>478.5</v>
      </c>
      <c r="P142" s="7" t="n">
        <v>802.6</v>
      </c>
      <c r="R142" s="7" t="n">
        <v>683.4</v>
      </c>
      <c r="T142" s="7" t="n">
        <v>470.7</v>
      </c>
      <c r="V142" s="7" t="n">
        <v>485.9</v>
      </c>
      <c r="X142" s="7" t="n">
        <v>838.3</v>
      </c>
      <c r="Z142" s="7" t="n">
        <v>688.6</v>
      </c>
      <c r="AB142" s="7" t="n">
        <v>7530.2</v>
      </c>
    </row>
    <row r="143">
      <c r="A143" s="4" t="inlineStr">
        <is>
          <t>物业费</t>
        </is>
      </c>
      <c r="D143" s="7" t="n">
        <v>67.8</v>
      </c>
      <c r="F143" s="7" t="n">
        <v>94.09999999999999</v>
      </c>
      <c r="H143" s="7" t="n">
        <v>200.6</v>
      </c>
      <c r="J143" s="7" t="n">
        <v>106.5</v>
      </c>
      <c r="L143" s="7" t="n">
        <v>186.2</v>
      </c>
      <c r="N143" s="7" t="n">
        <v>88</v>
      </c>
      <c r="P143" s="7" t="n">
        <v>152.6</v>
      </c>
      <c r="R143" s="7" t="n">
        <v>93.7</v>
      </c>
      <c r="T143" s="7" t="n">
        <v>116.7</v>
      </c>
      <c r="V143" s="7" t="n">
        <v>88.3</v>
      </c>
      <c r="X143" s="7" t="n">
        <v>106.5</v>
      </c>
      <c r="Z143" s="7" t="n">
        <v>125.8</v>
      </c>
      <c r="AB143" s="7" t="n">
        <v>1426.8</v>
      </c>
    </row>
    <row r="144">
      <c r="A144" s="4" t="inlineStr">
        <is>
          <t>劳动保护费</t>
        </is>
      </c>
      <c r="D144" s="7" t="n">
        <v>215.8</v>
      </c>
      <c r="F144" s="7" t="n">
        <v>599.4</v>
      </c>
      <c r="H144" s="7" t="n">
        <v>762</v>
      </c>
      <c r="J144" s="7" t="n">
        <v>501.2</v>
      </c>
      <c r="L144" s="7" t="n">
        <v>843.6</v>
      </c>
      <c r="N144" s="7" t="n">
        <v>564.4</v>
      </c>
      <c r="P144" s="7" t="n">
        <v>919.4</v>
      </c>
      <c r="R144" s="7" t="n">
        <v>693.6</v>
      </c>
      <c r="T144" s="7" t="n">
        <v>599.5</v>
      </c>
      <c r="V144" s="7" t="n">
        <v>297.6</v>
      </c>
      <c r="X144" s="7" t="n">
        <v>659.2</v>
      </c>
      <c r="Z144" s="7" t="n">
        <v>542.2</v>
      </c>
      <c r="AB144" s="7" t="n">
        <v>7197.9</v>
      </c>
    </row>
    <row r="145">
      <c r="A145" s="4" t="inlineStr">
        <is>
          <t>顾问费</t>
        </is>
      </c>
      <c r="D145" s="7" t="n">
        <v>244.4</v>
      </c>
      <c r="F145" s="7" t="n">
        <v>321.5</v>
      </c>
      <c r="H145" s="7" t="n">
        <v>488.7</v>
      </c>
      <c r="J145" s="7" t="n">
        <v>546.1</v>
      </c>
      <c r="L145" s="7" t="n">
        <v>433.5</v>
      </c>
      <c r="N145" s="7" t="n">
        <v>446.5</v>
      </c>
      <c r="P145" s="7" t="n">
        <v>526.4</v>
      </c>
      <c r="R145" s="7" t="n">
        <v>413.7</v>
      </c>
      <c r="T145" s="7" t="n">
        <v>526.4</v>
      </c>
      <c r="V145" s="7" t="n">
        <v>233.2</v>
      </c>
      <c r="X145" s="7" t="n">
        <v>528.7</v>
      </c>
      <c r="Z145" s="7" t="n">
        <v>391.6</v>
      </c>
      <c r="AB145" s="7" t="n">
        <v>5100.7</v>
      </c>
    </row>
    <row r="146">
      <c r="A146" s="4" t="inlineStr">
        <is>
          <t>快递费</t>
        </is>
      </c>
      <c r="D146" s="7" t="n">
        <v>14.3</v>
      </c>
      <c r="F146" s="7" t="n">
        <v>29.8</v>
      </c>
      <c r="H146" s="7" t="n">
        <v>43.3</v>
      </c>
      <c r="J146" s="7" t="n">
        <v>30.1</v>
      </c>
      <c r="L146" s="7" t="n">
        <v>28</v>
      </c>
      <c r="N146" s="7" t="n">
        <v>33.5</v>
      </c>
      <c r="P146" s="7" t="n">
        <v>29.8</v>
      </c>
      <c r="R146" s="7" t="n">
        <v>24.1</v>
      </c>
      <c r="T146" s="7" t="n">
        <v>25.9</v>
      </c>
      <c r="V146" s="7" t="n">
        <v>20.4</v>
      </c>
      <c r="X146" s="7" t="n">
        <v>33</v>
      </c>
      <c r="Z146" s="7" t="n">
        <v>24.4</v>
      </c>
      <c r="AB146" s="7" t="n">
        <v>336.6</v>
      </c>
    </row>
    <row r="147">
      <c r="A147" s="4" t="inlineStr">
        <is>
          <t>诉讼费</t>
        </is>
      </c>
      <c r="D147" s="7" t="n">
        <v>36.7</v>
      </c>
      <c r="F147" s="7" t="n">
        <v>55.9</v>
      </c>
      <c r="H147" s="7" t="n">
        <v>116.2</v>
      </c>
      <c r="J147" s="7" t="n">
        <v>95.2</v>
      </c>
      <c r="L147" s="7" t="n">
        <v>87.2</v>
      </c>
      <c r="N147" s="7" t="n">
        <v>76.90000000000001</v>
      </c>
      <c r="P147" s="7" t="n">
        <v>83.59999999999999</v>
      </c>
      <c r="R147" s="7" t="n">
        <v>52.5</v>
      </c>
      <c r="T147" s="7" t="n">
        <v>63.2</v>
      </c>
      <c r="V147" s="7" t="n">
        <v>58</v>
      </c>
      <c r="X147" s="7" t="n">
        <v>61.3</v>
      </c>
      <c r="Z147" s="7" t="n">
        <v>79.5</v>
      </c>
      <c r="AB147" s="7" t="n">
        <v>866.2</v>
      </c>
    </row>
    <row r="148">
      <c r="A148" s="4" t="inlineStr">
        <is>
          <t>会员费</t>
        </is>
      </c>
      <c r="D148" s="7" t="n">
        <v>96.5</v>
      </c>
      <c r="F148" s="7" t="n">
        <v>168.3</v>
      </c>
      <c r="H148" s="7" t="n">
        <v>254</v>
      </c>
      <c r="J148" s="7" t="n">
        <v>151.7</v>
      </c>
      <c r="L148" s="7" t="n">
        <v>278.7</v>
      </c>
      <c r="N148" s="7" t="n">
        <v>185.5</v>
      </c>
      <c r="P148" s="7" t="n">
        <v>147.2</v>
      </c>
      <c r="R148" s="7" t="n">
        <v>141</v>
      </c>
      <c r="T148" s="7" t="n">
        <v>159.5</v>
      </c>
      <c r="V148" s="7" t="n">
        <v>126.9</v>
      </c>
      <c r="X148" s="7" t="n">
        <v>265.1</v>
      </c>
      <c r="Z148" s="7" t="n">
        <v>119.5</v>
      </c>
      <c r="AB148" s="7" t="n">
        <v>2093.9</v>
      </c>
    </row>
    <row r="149">
      <c r="A149" s="4" t="inlineStr">
        <is>
          <t>广告宣传费</t>
        </is>
      </c>
      <c r="D149" s="7" t="n">
        <v>1451.6</v>
      </c>
      <c r="F149" s="7" t="n">
        <v>2549.1</v>
      </c>
      <c r="H149" s="7" t="n">
        <v>2963.6</v>
      </c>
      <c r="J149" s="7" t="n">
        <v>3887.4</v>
      </c>
      <c r="L149" s="7" t="n">
        <v>2942.3</v>
      </c>
      <c r="N149" s="7" t="n">
        <v>2681.4</v>
      </c>
      <c r="P149" s="7" t="n">
        <v>3033.3</v>
      </c>
      <c r="R149" s="7" t="n">
        <v>2069.1</v>
      </c>
      <c r="T149" s="7" t="n">
        <v>3403</v>
      </c>
      <c r="V149" s="7" t="n">
        <v>2075.5</v>
      </c>
      <c r="X149" s="7" t="n">
        <v>4366.6</v>
      </c>
      <c r="Z149" s="7" t="n">
        <v>2417.5</v>
      </c>
      <c r="AB149" s="7" t="n">
        <v>33840.4</v>
      </c>
    </row>
    <row r="150">
      <c r="A150" s="4" t="inlineStr">
        <is>
          <t>会务费</t>
        </is>
      </c>
      <c r="D150" s="7" t="n">
        <v>38.3</v>
      </c>
      <c r="F150" s="7" t="n">
        <v>82.8</v>
      </c>
      <c r="H150" s="7" t="n">
        <v>169.8</v>
      </c>
      <c r="J150" s="7" t="n">
        <v>143.9</v>
      </c>
      <c r="L150" s="7" t="n">
        <v>128.6</v>
      </c>
      <c r="N150" s="7" t="n">
        <v>71.09999999999999</v>
      </c>
      <c r="P150" s="7" t="n">
        <v>111.9</v>
      </c>
      <c r="R150" s="7" t="n">
        <v>110.1</v>
      </c>
      <c r="T150" s="7" t="n">
        <v>100.7</v>
      </c>
      <c r="V150" s="7" t="n">
        <v>85.40000000000001</v>
      </c>
      <c r="X150" s="7" t="n">
        <v>124.1</v>
      </c>
      <c r="Z150" s="7" t="n">
        <v>91.40000000000001</v>
      </c>
      <c r="AB150" s="7" t="n">
        <v>1258.1</v>
      </c>
    </row>
    <row r="151">
      <c r="A151" s="4" t="inlineStr">
        <is>
          <t>装修费</t>
        </is>
      </c>
      <c r="D151" s="7" t="n">
        <v>71.90000000000001</v>
      </c>
      <c r="F151" s="7" t="n">
        <v>168.4</v>
      </c>
      <c r="H151" s="7" t="n">
        <v>237.3</v>
      </c>
      <c r="J151" s="7" t="n">
        <v>201</v>
      </c>
      <c r="L151" s="7" t="n">
        <v>282.2</v>
      </c>
      <c r="N151" s="7" t="n">
        <v>195.4</v>
      </c>
      <c r="P151" s="7" t="n">
        <v>235.1</v>
      </c>
      <c r="R151" s="7" t="n">
        <v>156.9</v>
      </c>
      <c r="T151" s="7" t="n">
        <v>193.8</v>
      </c>
      <c r="V151" s="7" t="n">
        <v>170.5</v>
      </c>
      <c r="X151" s="7" t="n">
        <v>276.6</v>
      </c>
      <c r="Z151" s="7" t="n">
        <v>154.6</v>
      </c>
      <c r="AB151" s="7" t="n">
        <v>2343.7</v>
      </c>
    </row>
    <row r="152">
      <c r="A152" s="4" t="inlineStr">
        <is>
          <t>推广费</t>
        </is>
      </c>
      <c r="D152" s="7" t="n">
        <v>228.9</v>
      </c>
      <c r="F152" s="7" t="n">
        <v>325.6</v>
      </c>
      <c r="H152" s="7" t="n">
        <v>487.5</v>
      </c>
      <c r="J152" s="7" t="n">
        <v>677.5</v>
      </c>
      <c r="L152" s="7" t="n">
        <v>733.3</v>
      </c>
      <c r="N152" s="7" t="n">
        <v>542.1</v>
      </c>
      <c r="P152" s="7" t="n">
        <v>650.1</v>
      </c>
      <c r="R152" s="7" t="n">
        <v>396.5</v>
      </c>
      <c r="T152" s="7" t="n">
        <v>395.1</v>
      </c>
      <c r="V152" s="7" t="n">
        <v>248.7</v>
      </c>
      <c r="X152" s="7" t="n">
        <v>678.4</v>
      </c>
      <c r="Z152" s="7" t="n">
        <v>509.4</v>
      </c>
      <c r="AB152" s="7" t="n">
        <v>5873.1</v>
      </c>
    </row>
    <row r="153">
      <c r="A153" s="4" t="inlineStr">
        <is>
          <t>展会费</t>
        </is>
      </c>
      <c r="D153" s="7" t="n">
        <v>15.2</v>
      </c>
      <c r="F153" s="7" t="n">
        <v>22.4</v>
      </c>
      <c r="H153" s="7" t="n">
        <v>31.6</v>
      </c>
      <c r="J153" s="7" t="n">
        <v>34.8</v>
      </c>
      <c r="L153" s="7" t="n">
        <v>29.7</v>
      </c>
      <c r="N153" s="7" t="n">
        <v>32.5</v>
      </c>
      <c r="P153" s="7" t="n">
        <v>25.6</v>
      </c>
      <c r="R153" s="7" t="n">
        <v>30.6</v>
      </c>
      <c r="T153" s="7" t="n">
        <v>32.5</v>
      </c>
      <c r="V153" s="7" t="n">
        <v>22.9</v>
      </c>
      <c r="X153" s="7" t="n">
        <v>39.8</v>
      </c>
      <c r="Z153" s="7" t="n">
        <v>30.4</v>
      </c>
      <c r="AB153" s="7" t="n">
        <v>348</v>
      </c>
    </row>
    <row r="154">
      <c r="A154" s="4" t="inlineStr">
        <is>
          <t>设计费</t>
        </is>
      </c>
      <c r="D154" s="7" t="n">
        <v>14.6</v>
      </c>
      <c r="F154" s="7" t="n">
        <v>35.5</v>
      </c>
      <c r="H154" s="7" t="n">
        <v>43.9</v>
      </c>
      <c r="J154" s="7" t="n">
        <v>42.5</v>
      </c>
      <c r="L154" s="7" t="n">
        <v>61.7</v>
      </c>
      <c r="N154" s="7" t="n">
        <v>42.5</v>
      </c>
      <c r="P154" s="7" t="n">
        <v>43.1</v>
      </c>
      <c r="R154" s="7" t="n">
        <v>30.6</v>
      </c>
      <c r="T154" s="7" t="n">
        <v>37.6</v>
      </c>
      <c r="V154" s="7" t="n">
        <v>37.4</v>
      </c>
      <c r="X154" s="7" t="n">
        <v>55.3</v>
      </c>
      <c r="Z154" s="7" t="n">
        <v>37.4</v>
      </c>
      <c r="AB154" s="7" t="n">
        <v>482.1</v>
      </c>
    </row>
    <row r="155">
      <c r="A155" s="4" t="inlineStr">
        <is>
          <t>折旧费</t>
        </is>
      </c>
      <c r="D155" s="7" t="n">
        <v>1929.6</v>
      </c>
      <c r="F155" s="7" t="n">
        <v>4481.4</v>
      </c>
      <c r="H155" s="7" t="n">
        <v>5338</v>
      </c>
      <c r="J155" s="7" t="n">
        <v>4547.5</v>
      </c>
      <c r="L155" s="7" t="n">
        <v>6094.7</v>
      </c>
      <c r="N155" s="7" t="n">
        <v>4689.2</v>
      </c>
      <c r="P155" s="7" t="n">
        <v>3904.9</v>
      </c>
      <c r="R155" s="7" t="n">
        <v>3438.1</v>
      </c>
      <c r="T155" s="7" t="n">
        <v>4069.5</v>
      </c>
      <c r="V155" s="7" t="n">
        <v>2627.3</v>
      </c>
      <c r="X155" s="7" t="n">
        <v>6089.7</v>
      </c>
      <c r="Z155" s="7" t="n">
        <v>3850.6</v>
      </c>
      <c r="AB155" s="7" t="n">
        <v>51060.5</v>
      </c>
    </row>
    <row r="156">
      <c r="A156" s="4" t="inlineStr">
        <is>
          <t>认证费</t>
        </is>
      </c>
      <c r="D156" s="7" t="n">
        <v>31.7</v>
      </c>
      <c r="F156" s="7" t="n">
        <v>78</v>
      </c>
      <c r="H156" s="7" t="n">
        <v>133</v>
      </c>
      <c r="J156" s="7" t="n">
        <v>127.6</v>
      </c>
      <c r="L156" s="7" t="n">
        <v>99</v>
      </c>
      <c r="N156" s="7" t="n">
        <v>81.90000000000001</v>
      </c>
      <c r="P156" s="7" t="n">
        <v>94.90000000000001</v>
      </c>
      <c r="R156" s="7" t="n">
        <v>111</v>
      </c>
      <c r="T156" s="7" t="n">
        <v>93.7</v>
      </c>
      <c r="V156" s="7" t="n">
        <v>79.09999999999999</v>
      </c>
      <c r="X156" s="7" t="n">
        <v>94.59999999999999</v>
      </c>
      <c r="Z156" s="7" t="n">
        <v>89.3</v>
      </c>
      <c r="AB156" s="7" t="n">
        <v>1113.8</v>
      </c>
    </row>
    <row r="157">
      <c r="A157" s="4" t="inlineStr">
        <is>
          <t>样品费</t>
        </is>
      </c>
      <c r="D157" s="7" t="n">
        <v>1091.3</v>
      </c>
      <c r="F157" s="7" t="n">
        <v>1973.2</v>
      </c>
      <c r="H157" s="7" t="n">
        <v>2185.5</v>
      </c>
      <c r="J157" s="7" t="n">
        <v>1677.9</v>
      </c>
      <c r="L157" s="7" t="n">
        <v>2065.1</v>
      </c>
      <c r="N157" s="7" t="n">
        <v>1423.7</v>
      </c>
      <c r="P157" s="7" t="n">
        <v>2822.8</v>
      </c>
      <c r="R157" s="7" t="n">
        <v>1248.8</v>
      </c>
      <c r="T157" s="7" t="n">
        <v>1659.8</v>
      </c>
      <c r="V157" s="7" t="n">
        <v>1028.9</v>
      </c>
      <c r="X157" s="7" t="n">
        <v>2221.4</v>
      </c>
      <c r="Z157" s="7" t="n">
        <v>1249.8</v>
      </c>
      <c r="AB157" s="7" t="n">
        <v>20648.2</v>
      </c>
    </row>
    <row r="158">
      <c r="A158" s="4" t="inlineStr">
        <is>
          <t>劳务费</t>
        </is>
      </c>
      <c r="D158" s="7" t="n">
        <v>22.9</v>
      </c>
      <c r="F158" s="7" t="n">
        <v>43.6</v>
      </c>
      <c r="H158" s="7" t="n">
        <v>62.9</v>
      </c>
      <c r="J158" s="7" t="n">
        <v>75.7</v>
      </c>
      <c r="L158" s="7" t="n">
        <v>72.5</v>
      </c>
      <c r="N158" s="7" t="n">
        <v>38.1</v>
      </c>
      <c r="P158" s="7" t="n">
        <v>55.2</v>
      </c>
      <c r="R158" s="7" t="n">
        <v>51.4</v>
      </c>
      <c r="T158" s="7" t="n">
        <v>56</v>
      </c>
      <c r="V158" s="7" t="n">
        <v>30.2</v>
      </c>
      <c r="X158" s="7" t="n">
        <v>68.8</v>
      </c>
      <c r="Z158" s="7" t="n">
        <v>61.2</v>
      </c>
      <c r="AB158" s="7" t="n">
        <v>638.5</v>
      </c>
    </row>
    <row r="159">
      <c r="A159" s="4" t="inlineStr">
        <is>
          <t>销售佣金</t>
        </is>
      </c>
      <c r="D159" s="7" t="n">
        <v>267.4</v>
      </c>
      <c r="F159" s="7" t="n">
        <v>454.9</v>
      </c>
      <c r="H159" s="7" t="n">
        <v>909.2</v>
      </c>
      <c r="J159" s="7" t="n">
        <v>615.9</v>
      </c>
      <c r="L159" s="7" t="n">
        <v>799.8</v>
      </c>
      <c r="N159" s="7" t="n">
        <v>529.3</v>
      </c>
      <c r="P159" s="7" t="n">
        <v>641.1</v>
      </c>
      <c r="R159" s="7" t="n">
        <v>637</v>
      </c>
      <c r="T159" s="7" t="n">
        <v>701.8</v>
      </c>
      <c r="V159" s="7" t="n">
        <v>359.7</v>
      </c>
      <c r="X159" s="7" t="n">
        <v>757.9</v>
      </c>
      <c r="Z159" s="7" t="n">
        <v>526.5</v>
      </c>
      <c r="AB159" s="7" t="n">
        <v>7200.5</v>
      </c>
    </row>
    <row r="160">
      <c r="A160" s="4" t="inlineStr">
        <is>
          <t>检测费</t>
        </is>
      </c>
      <c r="D160" s="7" t="n">
        <v>257</v>
      </c>
      <c r="F160" s="7" t="n">
        <v>427</v>
      </c>
      <c r="H160" s="7" t="n">
        <v>846.1</v>
      </c>
      <c r="J160" s="7" t="n">
        <v>597</v>
      </c>
      <c r="L160" s="7" t="n">
        <v>728.4</v>
      </c>
      <c r="N160" s="7" t="n">
        <v>430.9</v>
      </c>
      <c r="P160" s="7" t="n">
        <v>613.4</v>
      </c>
      <c r="R160" s="7" t="n">
        <v>364.8</v>
      </c>
      <c r="T160" s="7" t="n">
        <v>460.6</v>
      </c>
      <c r="V160" s="7" t="n">
        <v>267.5</v>
      </c>
      <c r="X160" s="7" t="n">
        <v>598.3</v>
      </c>
      <c r="Z160" s="7" t="n">
        <v>332.7</v>
      </c>
      <c r="AB160" s="7" t="n">
        <v>5923.7</v>
      </c>
    </row>
    <row r="161">
      <c r="A161" s="4" t="inlineStr">
        <is>
          <t>质量赔偿</t>
        </is>
      </c>
      <c r="D161" s="7" t="n">
        <v>169.3</v>
      </c>
      <c r="F161" s="7" t="n">
        <v>456.5</v>
      </c>
      <c r="H161" s="7" t="n">
        <v>687.9</v>
      </c>
      <c r="J161" s="7" t="n">
        <v>643.6</v>
      </c>
      <c r="L161" s="7" t="n">
        <v>620.5</v>
      </c>
      <c r="N161" s="7" t="n">
        <v>522.6</v>
      </c>
      <c r="P161" s="7" t="n">
        <v>672.9</v>
      </c>
      <c r="R161" s="7" t="n">
        <v>501.9</v>
      </c>
      <c r="T161" s="7" t="n">
        <v>379.4</v>
      </c>
      <c r="V161" s="7" t="n">
        <v>246.6</v>
      </c>
      <c r="X161" s="7" t="n">
        <v>565.4</v>
      </c>
      <c r="Z161" s="7" t="n">
        <v>415.7</v>
      </c>
      <c r="AB161" s="7" t="n">
        <v>5882.3</v>
      </c>
    </row>
    <row r="162">
      <c r="A162" s="4" t="inlineStr">
        <is>
          <t>保险费</t>
        </is>
      </c>
      <c r="D162" s="7" t="n">
        <v>211.6</v>
      </c>
      <c r="F162" s="7" t="n">
        <v>427.9</v>
      </c>
      <c r="H162" s="7" t="n">
        <v>688.9</v>
      </c>
      <c r="J162" s="7" t="n">
        <v>522.5</v>
      </c>
      <c r="L162" s="7" t="n">
        <v>598.8</v>
      </c>
      <c r="N162" s="7" t="n">
        <v>399.6</v>
      </c>
      <c r="P162" s="7" t="n">
        <v>496.5</v>
      </c>
      <c r="R162" s="7" t="n">
        <v>387.6</v>
      </c>
      <c r="T162" s="7" t="n">
        <v>319</v>
      </c>
      <c r="V162" s="7" t="n">
        <v>282.9</v>
      </c>
      <c r="X162" s="7" t="n">
        <v>407</v>
      </c>
      <c r="Z162" s="7" t="n">
        <v>285.9</v>
      </c>
      <c r="AB162" s="7" t="n">
        <v>5028.2</v>
      </c>
    </row>
    <row r="163">
      <c r="A163" s="4" t="inlineStr">
        <is>
          <t>清洁费</t>
        </is>
      </c>
      <c r="D163" s="7" t="n">
        <v>220.3</v>
      </c>
      <c r="F163" s="7" t="n">
        <v>313.3</v>
      </c>
      <c r="H163" s="7" t="n">
        <v>601.7</v>
      </c>
      <c r="J163" s="7" t="n">
        <v>602.5</v>
      </c>
      <c r="L163" s="7" t="n">
        <v>443.3</v>
      </c>
      <c r="N163" s="7" t="n">
        <v>401.1</v>
      </c>
      <c r="P163" s="7" t="n">
        <v>444.1</v>
      </c>
      <c r="R163" s="7" t="n">
        <v>361.1</v>
      </c>
      <c r="T163" s="7" t="n">
        <v>400</v>
      </c>
      <c r="V163" s="7" t="n">
        <v>317</v>
      </c>
      <c r="X163" s="7" t="n">
        <v>586.8</v>
      </c>
      <c r="Z163" s="7" t="n">
        <v>467</v>
      </c>
      <c r="AB163" s="7" t="n">
        <v>5158.2</v>
      </c>
    </row>
    <row r="164">
      <c r="A164" s="4" t="inlineStr">
        <is>
          <t>低值易耗品</t>
        </is>
      </c>
      <c r="D164" s="7" t="n">
        <v>78</v>
      </c>
      <c r="F164" s="7" t="n">
        <v>108.3</v>
      </c>
      <c r="H164" s="7" t="n">
        <v>243.7</v>
      </c>
      <c r="J164" s="7" t="n">
        <v>170.2</v>
      </c>
      <c r="L164" s="7" t="n">
        <v>154.8</v>
      </c>
      <c r="N164" s="7" t="n">
        <v>110.8</v>
      </c>
      <c r="P164" s="7" t="n">
        <v>199.5</v>
      </c>
      <c r="R164" s="7" t="n">
        <v>148.2</v>
      </c>
      <c r="T164" s="7" t="n">
        <v>143.9</v>
      </c>
      <c r="V164" s="7" t="n">
        <v>110.9</v>
      </c>
      <c r="X164" s="7" t="n">
        <v>139.1</v>
      </c>
      <c r="Z164" s="7" t="n">
        <v>123.2</v>
      </c>
      <c r="AB164" s="7" t="n">
        <v>1730.6</v>
      </c>
    </row>
    <row r="165">
      <c r="A165" s="4" t="inlineStr">
        <is>
          <t>物料消耗</t>
        </is>
      </c>
      <c r="D165" s="7" t="n">
        <v>301.7</v>
      </c>
      <c r="F165" s="7" t="n">
        <v>450</v>
      </c>
      <c r="H165" s="7" t="n">
        <v>589.5</v>
      </c>
      <c r="J165" s="7" t="n">
        <v>494.9</v>
      </c>
      <c r="L165" s="7" t="n">
        <v>505.3</v>
      </c>
      <c r="N165" s="7" t="n">
        <v>359.2</v>
      </c>
      <c r="P165" s="7" t="n">
        <v>537.3</v>
      </c>
      <c r="R165" s="7" t="n">
        <v>595</v>
      </c>
      <c r="T165" s="7" t="n">
        <v>498.8</v>
      </c>
      <c r="V165" s="7" t="n">
        <v>374.3</v>
      </c>
      <c r="X165" s="7" t="n">
        <v>647.7</v>
      </c>
      <c r="Z165" s="7" t="n">
        <v>368</v>
      </c>
      <c r="AB165" s="7" t="n">
        <v>5721.7</v>
      </c>
    </row>
    <row r="166">
      <c r="A166" s="4" t="inlineStr">
        <is>
          <t>盘盈盘亏</t>
        </is>
      </c>
      <c r="D166" s="7" t="n">
        <v>182.4</v>
      </c>
      <c r="F166" s="7" t="n">
        <v>248.9</v>
      </c>
      <c r="H166" s="7" t="n">
        <v>452.1</v>
      </c>
      <c r="J166" s="7" t="n">
        <v>378.4</v>
      </c>
      <c r="L166" s="7" t="n">
        <v>505.6</v>
      </c>
      <c r="N166" s="7" t="n">
        <v>246.3</v>
      </c>
      <c r="P166" s="7" t="n">
        <v>297.4</v>
      </c>
      <c r="R166" s="7" t="n">
        <v>338.5</v>
      </c>
      <c r="T166" s="7" t="n">
        <v>348</v>
      </c>
      <c r="V166" s="7" t="n">
        <v>166.2</v>
      </c>
      <c r="X166" s="7" t="n">
        <v>453.4</v>
      </c>
      <c r="Z166" s="7" t="n">
        <v>267.4</v>
      </c>
      <c r="AB166" s="7" t="n">
        <v>3884.6</v>
      </c>
    </row>
    <row r="167">
      <c r="A167" s="4" t="inlineStr">
        <is>
          <t>平台服务费</t>
        </is>
      </c>
      <c r="D167" s="7" t="n">
        <v>289.5</v>
      </c>
      <c r="F167" s="7" t="n">
        <v>460.7</v>
      </c>
      <c r="H167" s="7" t="n">
        <v>559.3</v>
      </c>
      <c r="J167" s="7" t="n">
        <v>725.1</v>
      </c>
      <c r="L167" s="7" t="n">
        <v>560.8</v>
      </c>
      <c r="N167" s="7" t="n">
        <v>484.8</v>
      </c>
      <c r="P167" s="7" t="n">
        <v>646.2</v>
      </c>
      <c r="R167" s="7" t="n">
        <v>580.9</v>
      </c>
      <c r="T167" s="7" t="n">
        <v>599.8</v>
      </c>
      <c r="V167" s="7" t="n">
        <v>356.9</v>
      </c>
      <c r="X167" s="7" t="n">
        <v>623.8</v>
      </c>
      <c r="Z167" s="7" t="n">
        <v>478.6</v>
      </c>
      <c r="AB167" s="7" t="n">
        <v>6366.4</v>
      </c>
    </row>
    <row r="168">
      <c r="A168" s="4" t="inlineStr">
        <is>
          <t>无形资产摊销</t>
        </is>
      </c>
      <c r="D168" s="7" t="n">
        <v>86.8</v>
      </c>
      <c r="F168" s="7" t="n">
        <v>226.3</v>
      </c>
      <c r="H168" s="7" t="n">
        <v>345.2</v>
      </c>
      <c r="J168" s="7" t="n">
        <v>240.5</v>
      </c>
      <c r="L168" s="7" t="n">
        <v>290.9</v>
      </c>
      <c r="N168" s="7" t="n">
        <v>168.2</v>
      </c>
      <c r="P168" s="7" t="n">
        <v>290.5</v>
      </c>
      <c r="R168" s="7" t="n">
        <v>190.2</v>
      </c>
      <c r="T168" s="7" t="n">
        <v>158.6</v>
      </c>
      <c r="V168" s="7" t="n">
        <v>187.6</v>
      </c>
      <c r="X168" s="7" t="n">
        <v>316</v>
      </c>
      <c r="Z168" s="7" t="n">
        <v>263.7</v>
      </c>
      <c r="AB168" s="7" t="n">
        <v>2764.5</v>
      </c>
    </row>
    <row r="169">
      <c r="A169" s="4" t="inlineStr">
        <is>
          <t>研发材料</t>
        </is>
      </c>
      <c r="D169" s="7" t="n">
        <v>189.8</v>
      </c>
      <c r="F169" s="7" t="n">
        <v>377.4</v>
      </c>
      <c r="H169" s="7" t="n">
        <v>596.1</v>
      </c>
      <c r="J169" s="7" t="n">
        <v>718.4</v>
      </c>
      <c r="L169" s="7" t="n">
        <v>689.9</v>
      </c>
      <c r="N169" s="7" t="n">
        <v>542.7</v>
      </c>
      <c r="P169" s="7" t="n">
        <v>716.3</v>
      </c>
      <c r="R169" s="7" t="n">
        <v>466.7</v>
      </c>
      <c r="T169" s="7" t="n">
        <v>362.7</v>
      </c>
      <c r="V169" s="7" t="n">
        <v>253.9</v>
      </c>
      <c r="X169" s="7" t="n">
        <v>725.8</v>
      </c>
      <c r="Z169" s="7" t="n">
        <v>356.4</v>
      </c>
      <c r="AB169" s="7" t="n">
        <v>5996.1</v>
      </c>
    </row>
    <row r="170">
      <c r="A170" s="4" t="inlineStr">
        <is>
          <t>项目名称</t>
        </is>
      </c>
      <c r="D170" s="7" t="n">
        <v>71.8</v>
      </c>
      <c r="F170" s="7" t="n">
        <v>147.4</v>
      </c>
      <c r="H170" s="7" t="n">
        <v>225.6</v>
      </c>
      <c r="J170" s="7" t="n">
        <v>111.8</v>
      </c>
      <c r="L170" s="7" t="n">
        <v>136.9</v>
      </c>
      <c r="N170" s="7" t="n">
        <v>130.5</v>
      </c>
      <c r="P170" s="7" t="n">
        <v>188.4</v>
      </c>
      <c r="R170" s="7" t="n">
        <v>139</v>
      </c>
      <c r="T170" s="7" t="n">
        <v>136.2</v>
      </c>
      <c r="V170" s="7" t="n">
        <v>85.2</v>
      </c>
      <c r="X170" s="7" t="n">
        <v>118</v>
      </c>
      <c r="Z170" s="7" t="n">
        <v>107.7</v>
      </c>
      <c r="AB170" s="7" t="n">
        <v>1598.5</v>
      </c>
    </row>
    <row r="171">
      <c r="A171" s="4" t="inlineStr">
        <is>
          <t>研发费</t>
        </is>
      </c>
      <c r="D171" s="7" t="n">
        <v>157</v>
      </c>
      <c r="F171" s="7" t="n">
        <v>308.9</v>
      </c>
      <c r="H171" s="7" t="n">
        <v>343.1</v>
      </c>
      <c r="J171" s="7" t="n">
        <v>380.4</v>
      </c>
      <c r="L171" s="7" t="n">
        <v>322.7</v>
      </c>
      <c r="N171" s="7" t="n">
        <v>199.6</v>
      </c>
      <c r="P171" s="7" t="n">
        <v>348.6</v>
      </c>
      <c r="R171" s="7" t="n">
        <v>272.9</v>
      </c>
      <c r="T171" s="7" t="n">
        <v>243.4</v>
      </c>
      <c r="V171" s="7" t="n">
        <v>225.4</v>
      </c>
      <c r="X171" s="7" t="n">
        <v>284</v>
      </c>
      <c r="Z171" s="7" t="n">
        <v>355.8</v>
      </c>
      <c r="AB171" s="7" t="n">
        <v>3441.8</v>
      </c>
    </row>
    <row r="172">
      <c r="A172" s="4" t="inlineStr">
        <is>
          <t>残保金</t>
        </is>
      </c>
      <c r="D172" s="7" t="n">
        <v>31.8</v>
      </c>
      <c r="F172" s="7" t="n">
        <v>65</v>
      </c>
      <c r="H172" s="7" t="n">
        <v>101.1</v>
      </c>
      <c r="J172" s="7" t="n">
        <v>89.2</v>
      </c>
      <c r="L172" s="7" t="n">
        <v>92.40000000000001</v>
      </c>
      <c r="N172" s="7" t="n">
        <v>95.90000000000001</v>
      </c>
      <c r="P172" s="7" t="n">
        <v>124.9</v>
      </c>
      <c r="R172" s="7" t="n">
        <v>82.40000000000001</v>
      </c>
      <c r="T172" s="7" t="n">
        <v>87.7</v>
      </c>
      <c r="V172" s="7" t="n">
        <v>71.09999999999999</v>
      </c>
      <c r="X172" s="7" t="n">
        <v>83.59999999999999</v>
      </c>
      <c r="Z172" s="7" t="n">
        <v>89.8</v>
      </c>
      <c r="AB172" s="7" t="n">
        <v>1014.9</v>
      </c>
    </row>
    <row r="173">
      <c r="A173" s="4" t="inlineStr">
        <is>
          <t>环保费</t>
        </is>
      </c>
      <c r="D173" s="7" t="n">
        <v>169.1</v>
      </c>
      <c r="F173" s="7" t="n">
        <v>324.4</v>
      </c>
      <c r="H173" s="7" t="n">
        <v>618.2</v>
      </c>
      <c r="J173" s="7" t="n">
        <v>432.6</v>
      </c>
      <c r="L173" s="7" t="n">
        <v>497.9</v>
      </c>
      <c r="N173" s="7" t="n">
        <v>342.3</v>
      </c>
      <c r="P173" s="7" t="n">
        <v>649.4</v>
      </c>
      <c r="R173" s="7" t="n">
        <v>419.8</v>
      </c>
      <c r="T173" s="7" t="n">
        <v>521.3</v>
      </c>
      <c r="V173" s="7" t="n">
        <v>365.4</v>
      </c>
      <c r="X173" s="7" t="n">
        <v>736.3</v>
      </c>
      <c r="Z173" s="7" t="n">
        <v>501.3</v>
      </c>
      <c r="AB173" s="7" t="n">
        <v>5578</v>
      </c>
    </row>
    <row r="174">
      <c r="A174" s="4" t="inlineStr">
        <is>
          <t>报废损失</t>
        </is>
      </c>
      <c r="D174" s="7" t="n">
        <v>229.6</v>
      </c>
      <c r="F174" s="7" t="n">
        <v>567.1</v>
      </c>
      <c r="H174" s="7" t="n">
        <v>933.6</v>
      </c>
      <c r="J174" s="7" t="n">
        <v>502.1</v>
      </c>
      <c r="L174" s="7" t="n">
        <v>803</v>
      </c>
      <c r="N174" s="7" t="n">
        <v>531</v>
      </c>
      <c r="P174" s="7" t="n">
        <v>646.4</v>
      </c>
      <c r="R174" s="7" t="n">
        <v>553.9</v>
      </c>
      <c r="T174" s="7" t="n">
        <v>630</v>
      </c>
      <c r="V174" s="7" t="n">
        <v>405.2</v>
      </c>
      <c r="X174" s="7" t="n">
        <v>898.9</v>
      </c>
      <c r="Z174" s="7" t="n">
        <v>643.3</v>
      </c>
      <c r="AB174" s="7" t="n">
        <v>7344.1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42665.8</v>
      </c>
      <c r="D175" s="7" t="n">
        <v>39635.9</v>
      </c>
      <c r="E175" s="7" t="n">
        <v>46532.8</v>
      </c>
      <c r="F175" s="7" t="n">
        <v>17117.6</v>
      </c>
      <c r="G175" s="7" t="n">
        <v>36387.2</v>
      </c>
      <c r="H175" s="7" t="n">
        <v>57336.3</v>
      </c>
      <c r="I175" s="7" t="n">
        <v>38053.1</v>
      </c>
      <c r="J175" s="7" t="n">
        <v>34798.8</v>
      </c>
      <c r="K175" s="7" t="n">
        <v>36127.2</v>
      </c>
      <c r="L175" s="7" t="n">
        <v>29632.5</v>
      </c>
      <c r="M175" s="7" t="n">
        <v>44801</v>
      </c>
      <c r="N175" s="7" t="n">
        <v>49849.6</v>
      </c>
      <c r="O175" s="7" t="n">
        <v>41769.1</v>
      </c>
      <c r="P175" s="7" t="n">
        <v>75101.3</v>
      </c>
      <c r="Q175" s="7" t="n">
        <v>43101.3</v>
      </c>
      <c r="R175" s="7" t="n">
        <v>57816.9</v>
      </c>
      <c r="S175" s="7" t="n">
        <v>39028.9</v>
      </c>
      <c r="T175" s="7" t="n">
        <v>53095.5</v>
      </c>
      <c r="U175" s="7" t="n">
        <v>46358.3</v>
      </c>
      <c r="V175" s="7" t="n">
        <v>27971.6</v>
      </c>
      <c r="W175" s="7" t="n">
        <v>43356.8</v>
      </c>
      <c r="X175" s="7" t="n">
        <v>31450.5</v>
      </c>
      <c r="Y175" s="7" t="n">
        <v>44796.8</v>
      </c>
      <c r="Z175" s="7" t="n">
        <v>14045.9</v>
      </c>
      <c r="AA175" s="8" t="n">
        <v>502978.3</v>
      </c>
      <c r="AB175" s="8" t="n">
        <v>487852.4</v>
      </c>
    </row>
    <row r="176">
      <c r="A176" s="4" t="inlineStr">
        <is>
          <t>职工薪酬</t>
        </is>
      </c>
      <c r="D176" s="7" t="n">
        <v>23771.9</v>
      </c>
      <c r="F176" s="7" t="n">
        <v>8140.7</v>
      </c>
      <c r="H176" s="7" t="n">
        <v>27033.9</v>
      </c>
      <c r="J176" s="7" t="n">
        <v>18507.4</v>
      </c>
      <c r="L176" s="7" t="n">
        <v>15899.4</v>
      </c>
      <c r="N176" s="7" t="n">
        <v>22589.1</v>
      </c>
      <c r="P176" s="7" t="n">
        <v>35268.5</v>
      </c>
      <c r="R176" s="7" t="n">
        <v>25496.2</v>
      </c>
      <c r="T176" s="7" t="n">
        <v>30156.9</v>
      </c>
      <c r="V176" s="7" t="n">
        <v>13168.9</v>
      </c>
      <c r="X176" s="7" t="n">
        <v>13393.8</v>
      </c>
      <c r="Z176" s="7" t="n">
        <v>8391.6</v>
      </c>
      <c r="AB176" s="7" t="n">
        <v>241818.3</v>
      </c>
    </row>
    <row r="177">
      <c r="A177" s="4" t="inlineStr">
        <is>
          <t>工资</t>
        </is>
      </c>
      <c r="D177" s="7" t="n">
        <v>15236</v>
      </c>
      <c r="F177" s="7" t="n">
        <v>3960.3</v>
      </c>
      <c r="H177" s="7" t="n">
        <v>14883.5</v>
      </c>
      <c r="J177" s="7" t="n">
        <v>9962.700000000001</v>
      </c>
      <c r="L177" s="7" t="n">
        <v>8137.8</v>
      </c>
      <c r="N177" s="7" t="n">
        <v>13399.3</v>
      </c>
      <c r="P177" s="7" t="n">
        <v>20728.3</v>
      </c>
      <c r="R177" s="7" t="n">
        <v>15335.9</v>
      </c>
      <c r="T177" s="7" t="n">
        <v>19981.1</v>
      </c>
      <c r="V177" s="7" t="n">
        <v>6941.5</v>
      </c>
      <c r="X177" s="7" t="n">
        <v>6757.7</v>
      </c>
      <c r="Z177" s="7" t="n">
        <v>5330</v>
      </c>
      <c r="AB177" s="7" t="n">
        <v>140654.1</v>
      </c>
    </row>
    <row r="178">
      <c r="A178" s="4" t="inlineStr">
        <is>
          <t>奖金及提成</t>
        </is>
      </c>
      <c r="D178" s="7" t="n">
        <v>4886.6</v>
      </c>
      <c r="F178" s="7" t="n">
        <v>1997.8</v>
      </c>
      <c r="H178" s="7" t="n">
        <v>4101.8</v>
      </c>
      <c r="J178" s="7" t="n">
        <v>4503.2</v>
      </c>
      <c r="L178" s="7" t="n">
        <v>3728.1</v>
      </c>
      <c r="N178" s="7" t="n">
        <v>4753</v>
      </c>
      <c r="P178" s="7" t="n">
        <v>6887.5</v>
      </c>
      <c r="R178" s="7" t="n">
        <v>4609</v>
      </c>
      <c r="T178" s="7" t="n">
        <v>4452</v>
      </c>
      <c r="V178" s="7" t="n">
        <v>2788.5</v>
      </c>
      <c r="X178" s="7" t="n">
        <v>2315.3</v>
      </c>
      <c r="Z178" s="7" t="n">
        <v>1488.1</v>
      </c>
      <c r="AB178" s="7" t="n">
        <v>46510.9</v>
      </c>
    </row>
    <row r="179">
      <c r="A179" s="4" t="inlineStr">
        <is>
          <t>社保</t>
        </is>
      </c>
      <c r="D179" s="7" t="n">
        <v>2336.7</v>
      </c>
      <c r="F179" s="7" t="n">
        <v>1549.2</v>
      </c>
      <c r="H179" s="7" t="n">
        <v>5863.9</v>
      </c>
      <c r="J179" s="7" t="n">
        <v>2669</v>
      </c>
      <c r="L179" s="7" t="n">
        <v>2885.4</v>
      </c>
      <c r="N179" s="7" t="n">
        <v>2845.1</v>
      </c>
      <c r="P179" s="7" t="n">
        <v>5028.3</v>
      </c>
      <c r="R179" s="7" t="n">
        <v>3588.8</v>
      </c>
      <c r="T179" s="7" t="n">
        <v>3690.5</v>
      </c>
      <c r="V179" s="7" t="n">
        <v>2439.3</v>
      </c>
      <c r="X179" s="7" t="n">
        <v>3121.6</v>
      </c>
      <c r="Z179" s="7" t="n">
        <v>1017.4</v>
      </c>
      <c r="AB179" s="7" t="n">
        <v>37035.2</v>
      </c>
    </row>
    <row r="180">
      <c r="A180" s="4" t="inlineStr">
        <is>
          <t>养老</t>
        </is>
      </c>
      <c r="D180" s="7" t="n">
        <v>82.7</v>
      </c>
      <c r="F180" s="7" t="n">
        <v>35.1</v>
      </c>
      <c r="H180" s="7" t="n">
        <v>109</v>
      </c>
      <c r="J180" s="7" t="n">
        <v>64.59999999999999</v>
      </c>
      <c r="L180" s="7" t="n">
        <v>42.3</v>
      </c>
      <c r="N180" s="7" t="n">
        <v>96.09999999999999</v>
      </c>
      <c r="P180" s="7" t="n">
        <v>112</v>
      </c>
      <c r="R180" s="7" t="n">
        <v>84.09999999999999</v>
      </c>
      <c r="T180" s="7" t="n">
        <v>70.40000000000001</v>
      </c>
      <c r="V180" s="7" t="n">
        <v>51.2</v>
      </c>
      <c r="X180" s="7" t="n">
        <v>67</v>
      </c>
      <c r="Z180" s="7" t="n">
        <v>22.7</v>
      </c>
      <c r="AB180" s="7" t="n">
        <v>837.2</v>
      </c>
    </row>
    <row r="181">
      <c r="A181" s="4" t="inlineStr">
        <is>
          <t>医疗</t>
        </is>
      </c>
      <c r="D181" s="7" t="n">
        <v>161.1</v>
      </c>
      <c r="F181" s="7" t="n">
        <v>60.4</v>
      </c>
      <c r="H181" s="7" t="n">
        <v>171.9</v>
      </c>
      <c r="J181" s="7" t="n">
        <v>140</v>
      </c>
      <c r="L181" s="7" t="n">
        <v>85.40000000000001</v>
      </c>
      <c r="N181" s="7" t="n">
        <v>119.9</v>
      </c>
      <c r="P181" s="7" t="n">
        <v>236.1</v>
      </c>
      <c r="R181" s="7" t="n">
        <v>208.2</v>
      </c>
      <c r="T181" s="7" t="n">
        <v>224.5</v>
      </c>
      <c r="V181" s="7" t="n">
        <v>84.09999999999999</v>
      </c>
      <c r="X181" s="7" t="n">
        <v>97.8</v>
      </c>
      <c r="Z181" s="7" t="n">
        <v>36.7</v>
      </c>
      <c r="AB181" s="7" t="n">
        <v>1626.1</v>
      </c>
    </row>
    <row r="182">
      <c r="A182" s="4" t="inlineStr">
        <is>
          <t>工伤</t>
        </is>
      </c>
      <c r="D182" s="7" t="n">
        <v>63.2</v>
      </c>
      <c r="F182" s="7" t="n">
        <v>21.1</v>
      </c>
      <c r="H182" s="7" t="n">
        <v>111.2</v>
      </c>
      <c r="J182" s="7" t="n">
        <v>47.8</v>
      </c>
      <c r="L182" s="7" t="n">
        <v>45.9</v>
      </c>
      <c r="N182" s="7" t="n">
        <v>61.6</v>
      </c>
      <c r="P182" s="7" t="n">
        <v>125.2</v>
      </c>
      <c r="R182" s="7" t="n">
        <v>108.4</v>
      </c>
      <c r="T182" s="7" t="n">
        <v>101</v>
      </c>
      <c r="V182" s="7" t="n">
        <v>45.5</v>
      </c>
      <c r="X182" s="7" t="n">
        <v>36.7</v>
      </c>
      <c r="Z182" s="7" t="n">
        <v>16.2</v>
      </c>
      <c r="AB182" s="7" t="n">
        <v>783.8</v>
      </c>
    </row>
    <row r="183">
      <c r="A183" s="4" t="inlineStr">
        <is>
          <t>失业</t>
        </is>
      </c>
      <c r="D183" s="7" t="n">
        <v>278.5</v>
      </c>
      <c r="F183" s="7" t="n">
        <v>105.6</v>
      </c>
      <c r="H183" s="7" t="n">
        <v>260.5</v>
      </c>
      <c r="J183" s="7" t="n">
        <v>195.3</v>
      </c>
      <c r="L183" s="7" t="n">
        <v>205.1</v>
      </c>
      <c r="N183" s="7" t="n">
        <v>224.6</v>
      </c>
      <c r="P183" s="7" t="n">
        <v>357.8</v>
      </c>
      <c r="R183" s="7" t="n">
        <v>348.9</v>
      </c>
      <c r="T183" s="7" t="n">
        <v>325.8</v>
      </c>
      <c r="V183" s="7" t="n">
        <v>168.9</v>
      </c>
      <c r="X183" s="7" t="n">
        <v>223.2</v>
      </c>
      <c r="Z183" s="7" t="n">
        <v>92.5</v>
      </c>
      <c r="AB183" s="7" t="n">
        <v>2786.7</v>
      </c>
    </row>
    <row r="184">
      <c r="A184" s="4" t="inlineStr">
        <is>
          <t>生育</t>
        </is>
      </c>
      <c r="D184" s="7" t="n">
        <v>91.8</v>
      </c>
      <c r="F184" s="7" t="n">
        <v>36.1</v>
      </c>
      <c r="H184" s="7" t="n">
        <v>190.5</v>
      </c>
      <c r="J184" s="7" t="n">
        <v>131.2</v>
      </c>
      <c r="L184" s="7" t="n">
        <v>97.7</v>
      </c>
      <c r="N184" s="7" t="n">
        <v>143.2</v>
      </c>
      <c r="P184" s="7" t="n">
        <v>180.2</v>
      </c>
      <c r="R184" s="7" t="n">
        <v>123.2</v>
      </c>
      <c r="T184" s="7" t="n">
        <v>151.5</v>
      </c>
      <c r="V184" s="7" t="n">
        <v>69.59999999999999</v>
      </c>
      <c r="X184" s="7" t="n">
        <v>90.2</v>
      </c>
      <c r="Z184" s="7" t="n">
        <v>34.5</v>
      </c>
      <c r="AB184" s="7" t="n">
        <v>1339.7</v>
      </c>
    </row>
    <row r="185">
      <c r="A185" s="4" t="inlineStr">
        <is>
          <t>公积金</t>
        </is>
      </c>
      <c r="D185" s="7" t="n">
        <v>15.1</v>
      </c>
      <c r="F185" s="7" t="n">
        <v>10.9</v>
      </c>
      <c r="H185" s="7" t="n">
        <v>27.5</v>
      </c>
      <c r="J185" s="7" t="n">
        <v>18.5</v>
      </c>
      <c r="L185" s="7" t="n">
        <v>13.4</v>
      </c>
      <c r="N185" s="7" t="n">
        <v>22.9</v>
      </c>
      <c r="P185" s="7" t="n">
        <v>46.3</v>
      </c>
      <c r="R185" s="7" t="n">
        <v>24.3</v>
      </c>
      <c r="T185" s="7" t="n">
        <v>31.1</v>
      </c>
      <c r="V185" s="7" t="n">
        <v>10.5</v>
      </c>
      <c r="X185" s="7" t="n">
        <v>17.1</v>
      </c>
      <c r="Z185" s="7" t="n">
        <v>5.9</v>
      </c>
      <c r="AB185" s="7" t="n">
        <v>243.5</v>
      </c>
    </row>
    <row r="186">
      <c r="A186" s="4" t="inlineStr">
        <is>
          <t>工会经费</t>
        </is>
      </c>
      <c r="D186" s="7" t="n">
        <v>140.5</v>
      </c>
      <c r="F186" s="7" t="n">
        <v>54.5</v>
      </c>
      <c r="H186" s="7" t="n">
        <v>191</v>
      </c>
      <c r="J186" s="7" t="n">
        <v>116.2</v>
      </c>
      <c r="L186" s="7" t="n">
        <v>88</v>
      </c>
      <c r="N186" s="7" t="n">
        <v>124.8</v>
      </c>
      <c r="P186" s="7" t="n">
        <v>202.2</v>
      </c>
      <c r="R186" s="7" t="n">
        <v>141.8</v>
      </c>
      <c r="T186" s="7" t="n">
        <v>151.7</v>
      </c>
      <c r="V186" s="7" t="n">
        <v>107.5</v>
      </c>
      <c r="X186" s="7" t="n">
        <v>134.1</v>
      </c>
      <c r="Z186" s="7" t="n">
        <v>40.2</v>
      </c>
      <c r="AB186" s="7" t="n">
        <v>1492.5</v>
      </c>
    </row>
    <row r="187">
      <c r="A187" s="4" t="inlineStr">
        <is>
          <t>职工教育经费</t>
        </is>
      </c>
      <c r="D187" s="7" t="n">
        <v>124.9</v>
      </c>
      <c r="F187" s="7" t="n">
        <v>56.6</v>
      </c>
      <c r="H187" s="7" t="n">
        <v>145.9</v>
      </c>
      <c r="J187" s="7" t="n">
        <v>78.3</v>
      </c>
      <c r="L187" s="7" t="n">
        <v>75.3</v>
      </c>
      <c r="N187" s="7" t="n">
        <v>123.2</v>
      </c>
      <c r="P187" s="7" t="n">
        <v>236.7</v>
      </c>
      <c r="R187" s="7" t="n">
        <v>114.1</v>
      </c>
      <c r="T187" s="7" t="n">
        <v>147.3</v>
      </c>
      <c r="V187" s="7" t="n">
        <v>74.90000000000001</v>
      </c>
      <c r="X187" s="7" t="n">
        <v>99.5</v>
      </c>
      <c r="Z187" s="7" t="n">
        <v>41.5</v>
      </c>
      <c r="AB187" s="7" t="n">
        <v>1318.2</v>
      </c>
    </row>
    <row r="188">
      <c r="A188" s="4" t="inlineStr">
        <is>
          <t>福利费</t>
        </is>
      </c>
      <c r="D188" s="7" t="n">
        <v>1032.1</v>
      </c>
      <c r="F188" s="7" t="n">
        <v>511.4</v>
      </c>
      <c r="H188" s="7" t="n">
        <v>1820.3</v>
      </c>
      <c r="J188" s="7" t="n">
        <v>1159.5</v>
      </c>
      <c r="L188" s="7" t="n">
        <v>971.4</v>
      </c>
      <c r="N188" s="7" t="n">
        <v>1320.8</v>
      </c>
      <c r="P188" s="7" t="n">
        <v>2139.2</v>
      </c>
      <c r="R188" s="7" t="n">
        <v>1682.3</v>
      </c>
      <c r="T188" s="7" t="n">
        <v>1703.2</v>
      </c>
      <c r="V188" s="7" t="n">
        <v>806.7</v>
      </c>
      <c r="X188" s="7" t="n">
        <v>948.5</v>
      </c>
      <c r="Z188" s="7" t="n">
        <v>468.5</v>
      </c>
      <c r="AB188" s="7" t="n">
        <v>14563.9</v>
      </c>
    </row>
    <row r="189">
      <c r="A189" s="4" t="inlineStr">
        <is>
          <t>职工房租</t>
        </is>
      </c>
      <c r="D189" s="7" t="n">
        <v>134.2</v>
      </c>
      <c r="F189" s="7" t="n">
        <v>63.7</v>
      </c>
      <c r="H189" s="7" t="n">
        <v>178.4</v>
      </c>
      <c r="J189" s="7" t="n">
        <v>166.3</v>
      </c>
      <c r="L189" s="7" t="n">
        <v>136.2</v>
      </c>
      <c r="N189" s="7" t="n">
        <v>223.6</v>
      </c>
      <c r="P189" s="7" t="n">
        <v>415.2</v>
      </c>
      <c r="R189" s="7" t="n">
        <v>187.2</v>
      </c>
      <c r="T189" s="7" t="n">
        <v>262</v>
      </c>
      <c r="V189" s="7" t="n">
        <v>141.1</v>
      </c>
      <c r="X189" s="7" t="n">
        <v>167</v>
      </c>
      <c r="Z189" s="7" t="n">
        <v>66.2</v>
      </c>
      <c r="AB189" s="7" t="n">
        <v>2141.1</v>
      </c>
    </row>
    <row r="190">
      <c r="A190" s="4" t="inlineStr">
        <is>
          <t>水电物业费</t>
        </is>
      </c>
      <c r="D190" s="7" t="n">
        <v>49.2</v>
      </c>
      <c r="F190" s="7" t="n">
        <v>25.7</v>
      </c>
      <c r="H190" s="7" t="n">
        <v>131.6</v>
      </c>
      <c r="J190" s="7" t="n">
        <v>45.5</v>
      </c>
      <c r="L190" s="7" t="n">
        <v>61.3</v>
      </c>
      <c r="N190" s="7" t="n">
        <v>63.9</v>
      </c>
      <c r="P190" s="7" t="n">
        <v>141.6</v>
      </c>
      <c r="R190" s="7" t="n">
        <v>102.3</v>
      </c>
      <c r="T190" s="7" t="n">
        <v>111.2</v>
      </c>
      <c r="V190" s="7" t="n">
        <v>43.4</v>
      </c>
      <c r="X190" s="7" t="n">
        <v>66.59999999999999</v>
      </c>
      <c r="Z190" s="7" t="n">
        <v>29.6</v>
      </c>
      <c r="AB190" s="7" t="n">
        <v>871.9</v>
      </c>
    </row>
    <row r="191">
      <c r="A191" s="4" t="inlineStr">
        <is>
          <t>员工餐</t>
        </is>
      </c>
      <c r="D191" s="7" t="n">
        <v>226.3</v>
      </c>
      <c r="F191" s="7" t="n">
        <v>110.9</v>
      </c>
      <c r="H191" s="7" t="n">
        <v>452</v>
      </c>
      <c r="J191" s="7" t="n">
        <v>229.7</v>
      </c>
      <c r="L191" s="7" t="n">
        <v>196.6</v>
      </c>
      <c r="N191" s="7" t="n">
        <v>248.8</v>
      </c>
      <c r="P191" s="7" t="n">
        <v>482.4</v>
      </c>
      <c r="R191" s="7" t="n">
        <v>391.4</v>
      </c>
      <c r="T191" s="7" t="n">
        <v>384.4</v>
      </c>
      <c r="V191" s="7" t="n">
        <v>158.4</v>
      </c>
      <c r="X191" s="7" t="n">
        <v>198.1</v>
      </c>
      <c r="Z191" s="7" t="n">
        <v>74.90000000000001</v>
      </c>
      <c r="AB191" s="7" t="n">
        <v>3153.9</v>
      </c>
    </row>
    <row r="192">
      <c r="A192" s="4" t="inlineStr">
        <is>
          <t>节日礼品</t>
        </is>
      </c>
      <c r="D192" s="7" t="n">
        <v>99.2</v>
      </c>
      <c r="F192" s="7" t="n">
        <v>35</v>
      </c>
      <c r="H192" s="7" t="n">
        <v>128.2</v>
      </c>
      <c r="J192" s="7" t="n">
        <v>81.8</v>
      </c>
      <c r="L192" s="7" t="n">
        <v>58.2</v>
      </c>
      <c r="N192" s="7" t="n">
        <v>132.7</v>
      </c>
      <c r="P192" s="7" t="n">
        <v>174</v>
      </c>
      <c r="R192" s="7" t="n">
        <v>130.9</v>
      </c>
      <c r="T192" s="7" t="n">
        <v>115.1</v>
      </c>
      <c r="V192" s="7" t="n">
        <v>67.3</v>
      </c>
      <c r="X192" s="7" t="n">
        <v>68.59999999999999</v>
      </c>
      <c r="Z192" s="7" t="n">
        <v>43.2</v>
      </c>
      <c r="AB192" s="7" t="n">
        <v>1134.2</v>
      </c>
    </row>
    <row r="193">
      <c r="A193" s="4" t="inlineStr">
        <is>
          <t>生日礼品</t>
        </is>
      </c>
      <c r="D193" s="7" t="n">
        <v>276.9</v>
      </c>
      <c r="F193" s="7" t="n">
        <v>114.7</v>
      </c>
      <c r="H193" s="7" t="n">
        <v>381.7</v>
      </c>
      <c r="J193" s="7" t="n">
        <v>275.2</v>
      </c>
      <c r="L193" s="7" t="n">
        <v>243.8</v>
      </c>
      <c r="N193" s="7" t="n">
        <v>305.9</v>
      </c>
      <c r="P193" s="7" t="n">
        <v>337.6</v>
      </c>
      <c r="R193" s="7" t="n">
        <v>413.2</v>
      </c>
      <c r="T193" s="7" t="n">
        <v>419.7</v>
      </c>
      <c r="V193" s="7" t="n">
        <v>141.7</v>
      </c>
      <c r="X193" s="7" t="n">
        <v>191.2</v>
      </c>
      <c r="Z193" s="7" t="n">
        <v>115.2</v>
      </c>
      <c r="AB193" s="7" t="n">
        <v>3216.8</v>
      </c>
    </row>
    <row r="194">
      <c r="A194" s="4" t="inlineStr">
        <is>
          <t>体检</t>
        </is>
      </c>
      <c r="D194" s="7" t="n">
        <v>122.8</v>
      </c>
      <c r="F194" s="7" t="n">
        <v>72.7</v>
      </c>
      <c r="H194" s="7" t="n">
        <v>250.6</v>
      </c>
      <c r="J194" s="7" t="n">
        <v>179.6</v>
      </c>
      <c r="L194" s="7" t="n">
        <v>131.4</v>
      </c>
      <c r="N194" s="7" t="n">
        <v>173.3</v>
      </c>
      <c r="P194" s="7" t="n">
        <v>245</v>
      </c>
      <c r="R194" s="7" t="n">
        <v>183.5</v>
      </c>
      <c r="T194" s="7" t="n">
        <v>182.8</v>
      </c>
      <c r="V194" s="7" t="n">
        <v>133.1</v>
      </c>
      <c r="X194" s="7" t="n">
        <v>97.59999999999999</v>
      </c>
      <c r="Z194" s="7" t="n">
        <v>71.90000000000001</v>
      </c>
      <c r="AB194" s="7" t="n">
        <v>1844.3</v>
      </c>
    </row>
    <row r="195">
      <c r="A195" s="4" t="inlineStr">
        <is>
          <t>其他福利支出</t>
        </is>
      </c>
      <c r="D195" s="7" t="n">
        <v>123.5</v>
      </c>
      <c r="F195" s="7" t="n">
        <v>88.7</v>
      </c>
      <c r="H195" s="7" t="n">
        <v>297.8</v>
      </c>
      <c r="J195" s="7" t="n">
        <v>181.4</v>
      </c>
      <c r="L195" s="7" t="n">
        <v>143.9</v>
      </c>
      <c r="N195" s="7" t="n">
        <v>172.6</v>
      </c>
      <c r="P195" s="7" t="n">
        <v>343.4</v>
      </c>
      <c r="R195" s="7" t="n">
        <v>273.8</v>
      </c>
      <c r="T195" s="7" t="n">
        <v>228</v>
      </c>
      <c r="V195" s="7" t="n">
        <v>121.7</v>
      </c>
      <c r="X195" s="7" t="n">
        <v>159.4</v>
      </c>
      <c r="Z195" s="7" t="n">
        <v>67.5</v>
      </c>
      <c r="AB195" s="7" t="n">
        <v>2201.7</v>
      </c>
    </row>
    <row r="196">
      <c r="A196" s="4" t="inlineStr">
        <is>
          <t>招聘费</t>
        </is>
      </c>
      <c r="D196" s="7" t="n">
        <v>91.90000000000001</v>
      </c>
      <c r="F196" s="7" t="n">
        <v>38.6</v>
      </c>
      <c r="H196" s="7" t="n">
        <v>216.8</v>
      </c>
      <c r="J196" s="7" t="n">
        <v>130.8</v>
      </c>
      <c r="L196" s="7" t="n">
        <v>99.2</v>
      </c>
      <c r="N196" s="7" t="n">
        <v>149.9</v>
      </c>
      <c r="P196" s="7" t="n">
        <v>237.6</v>
      </c>
      <c r="R196" s="7" t="n">
        <v>217.5</v>
      </c>
      <c r="T196" s="7" t="n">
        <v>196.3</v>
      </c>
      <c r="V196" s="7" t="n">
        <v>82.7</v>
      </c>
      <c r="X196" s="7" t="n">
        <v>110</v>
      </c>
      <c r="Z196" s="7" t="n">
        <v>50</v>
      </c>
      <c r="AB196" s="7" t="n">
        <v>1621.3</v>
      </c>
    </row>
    <row r="197">
      <c r="A197" s="4" t="inlineStr">
        <is>
          <t>办公费</t>
        </is>
      </c>
      <c r="D197" s="7" t="n">
        <v>1524.8</v>
      </c>
      <c r="F197" s="7" t="n">
        <v>645.4</v>
      </c>
      <c r="H197" s="7" t="n">
        <v>2126.9</v>
      </c>
      <c r="J197" s="7" t="n">
        <v>921.3</v>
      </c>
      <c r="L197" s="7" t="n">
        <v>696</v>
      </c>
      <c r="N197" s="7" t="n">
        <v>1726.8</v>
      </c>
      <c r="P197" s="7" t="n">
        <v>2187.2</v>
      </c>
      <c r="R197" s="7" t="n">
        <v>2130.2</v>
      </c>
      <c r="T197" s="7" t="n">
        <v>1455.3</v>
      </c>
      <c r="V197" s="7" t="n">
        <v>845.8</v>
      </c>
      <c r="X197" s="7" t="n">
        <v>1185.3</v>
      </c>
      <c r="Z197" s="7" t="n">
        <v>439.3</v>
      </c>
      <c r="AB197" s="7" t="n">
        <v>15884.3</v>
      </c>
    </row>
    <row r="198">
      <c r="A198" s="4" t="inlineStr">
        <is>
          <t>市内交通费</t>
        </is>
      </c>
      <c r="D198" s="7" t="n">
        <v>114.9</v>
      </c>
      <c r="F198" s="7" t="n">
        <v>47.6</v>
      </c>
      <c r="H198" s="7" t="n">
        <v>117</v>
      </c>
      <c r="J198" s="7" t="n">
        <v>80.7</v>
      </c>
      <c r="L198" s="7" t="n">
        <v>101.6</v>
      </c>
      <c r="N198" s="7" t="n">
        <v>123.2</v>
      </c>
      <c r="P198" s="7" t="n">
        <v>157.9</v>
      </c>
      <c r="R198" s="7" t="n">
        <v>164.4</v>
      </c>
      <c r="T198" s="7" t="n">
        <v>150.9</v>
      </c>
      <c r="V198" s="7" t="n">
        <v>61.1</v>
      </c>
      <c r="X198" s="7" t="n">
        <v>109.5</v>
      </c>
      <c r="Z198" s="7" t="n">
        <v>48.9</v>
      </c>
      <c r="AB198" s="7" t="n">
        <v>1277.7</v>
      </c>
    </row>
    <row r="199">
      <c r="A199" s="4" t="inlineStr">
        <is>
          <t>差旅费</t>
        </is>
      </c>
      <c r="D199" s="7" t="n">
        <v>2207.3</v>
      </c>
      <c r="F199" s="7" t="n">
        <v>771.4</v>
      </c>
      <c r="H199" s="7" t="n">
        <v>3637.7</v>
      </c>
      <c r="J199" s="7" t="n">
        <v>1576.2</v>
      </c>
      <c r="L199" s="7" t="n">
        <v>1935.8</v>
      </c>
      <c r="N199" s="7" t="n">
        <v>2244.5</v>
      </c>
      <c r="P199" s="7" t="n">
        <v>3581</v>
      </c>
      <c r="R199" s="7" t="n">
        <v>4282.8</v>
      </c>
      <c r="T199" s="7" t="n">
        <v>3519</v>
      </c>
      <c r="V199" s="7" t="n">
        <v>1769.4</v>
      </c>
      <c r="X199" s="7" t="n">
        <v>2217</v>
      </c>
      <c r="Z199" s="7" t="n">
        <v>893.3</v>
      </c>
      <c r="AB199" s="7" t="n">
        <v>28635.4</v>
      </c>
    </row>
    <row r="200">
      <c r="A200" s="4" t="inlineStr">
        <is>
          <t>交通费</t>
        </is>
      </c>
      <c r="D200" s="7" t="n">
        <v>136.7</v>
      </c>
      <c r="F200" s="7" t="n">
        <v>37.6</v>
      </c>
      <c r="H200" s="7" t="n">
        <v>180.8</v>
      </c>
      <c r="J200" s="7" t="n">
        <v>90.40000000000001</v>
      </c>
      <c r="L200" s="7" t="n">
        <v>104.2</v>
      </c>
      <c r="N200" s="7" t="n">
        <v>152.6</v>
      </c>
      <c r="P200" s="7" t="n">
        <v>252.1</v>
      </c>
      <c r="R200" s="7" t="n">
        <v>176.4</v>
      </c>
      <c r="T200" s="7" t="n">
        <v>107.6</v>
      </c>
      <c r="V200" s="7" t="n">
        <v>56.4</v>
      </c>
      <c r="X200" s="7" t="n">
        <v>79.7</v>
      </c>
      <c r="Z200" s="7" t="n">
        <v>44</v>
      </c>
      <c r="AB200" s="7" t="n">
        <v>1418.5</v>
      </c>
    </row>
    <row r="201">
      <c r="A201" s="4" t="inlineStr">
        <is>
          <t>住宿费</t>
        </is>
      </c>
      <c r="D201" s="7" t="n">
        <v>78.90000000000001</v>
      </c>
      <c r="F201" s="7" t="n">
        <v>34.1</v>
      </c>
      <c r="H201" s="7" t="n">
        <v>92.8</v>
      </c>
      <c r="J201" s="7" t="n">
        <v>53.9</v>
      </c>
      <c r="L201" s="7" t="n">
        <v>36.5</v>
      </c>
      <c r="N201" s="7" t="n">
        <v>104.8</v>
      </c>
      <c r="P201" s="7" t="n">
        <v>138.3</v>
      </c>
      <c r="R201" s="7" t="n">
        <v>79.09999999999999</v>
      </c>
      <c r="T201" s="7" t="n">
        <v>78.40000000000001</v>
      </c>
      <c r="V201" s="7" t="n">
        <v>58.7</v>
      </c>
      <c r="X201" s="7" t="n">
        <v>59.5</v>
      </c>
      <c r="Z201" s="7" t="n">
        <v>24.7</v>
      </c>
      <c r="AB201" s="7" t="n">
        <v>839.7</v>
      </c>
    </row>
    <row r="202">
      <c r="A202" s="4" t="inlineStr">
        <is>
          <t>餐补</t>
        </is>
      </c>
      <c r="D202" s="7" t="n">
        <v>80.3</v>
      </c>
      <c r="F202" s="7" t="n">
        <v>28.6</v>
      </c>
      <c r="H202" s="7" t="n">
        <v>157.7</v>
      </c>
      <c r="J202" s="7" t="n">
        <v>79.8</v>
      </c>
      <c r="L202" s="7" t="n">
        <v>78.7</v>
      </c>
      <c r="N202" s="7" t="n">
        <v>119.3</v>
      </c>
      <c r="P202" s="7" t="n">
        <v>178</v>
      </c>
      <c r="R202" s="7" t="n">
        <v>102.2</v>
      </c>
      <c r="T202" s="7" t="n">
        <v>125.8</v>
      </c>
      <c r="V202" s="7" t="n">
        <v>75.2</v>
      </c>
      <c r="X202" s="7" t="n">
        <v>86.3</v>
      </c>
      <c r="Z202" s="7" t="n">
        <v>34.4</v>
      </c>
      <c r="AB202" s="7" t="n">
        <v>1146.3</v>
      </c>
    </row>
    <row r="203">
      <c r="A203" s="4" t="inlineStr">
        <is>
          <t>交通补助</t>
        </is>
      </c>
      <c r="D203" s="7" t="n">
        <v>78.40000000000001</v>
      </c>
      <c r="F203" s="7" t="n">
        <v>29.6</v>
      </c>
      <c r="H203" s="7" t="n">
        <v>90.40000000000001</v>
      </c>
      <c r="J203" s="7" t="n">
        <v>55.5</v>
      </c>
      <c r="L203" s="7" t="n">
        <v>58.7</v>
      </c>
      <c r="N203" s="7" t="n">
        <v>66.2</v>
      </c>
      <c r="P203" s="7" t="n">
        <v>135.5</v>
      </c>
      <c r="R203" s="7" t="n">
        <v>95.2</v>
      </c>
      <c r="T203" s="7" t="n">
        <v>72.8</v>
      </c>
      <c r="V203" s="7" t="n">
        <v>36.7</v>
      </c>
      <c r="X203" s="7" t="n">
        <v>60.5</v>
      </c>
      <c r="Z203" s="7" t="n">
        <v>19.8</v>
      </c>
      <c r="AB203" s="7" t="n">
        <v>799.3</v>
      </c>
    </row>
    <row r="204">
      <c r="A204" s="4" t="inlineStr">
        <is>
          <t>通讯补助</t>
        </is>
      </c>
      <c r="D204" s="7" t="n">
        <v>47.7</v>
      </c>
      <c r="F204" s="7" t="n">
        <v>14.6</v>
      </c>
      <c r="H204" s="7" t="n">
        <v>61.9</v>
      </c>
      <c r="J204" s="7" t="n">
        <v>38.8</v>
      </c>
      <c r="L204" s="7" t="n">
        <v>26.1</v>
      </c>
      <c r="N204" s="7" t="n">
        <v>47.7</v>
      </c>
      <c r="P204" s="7" t="n">
        <v>54.3</v>
      </c>
      <c r="R204" s="7" t="n">
        <v>54</v>
      </c>
      <c r="T204" s="7" t="n">
        <v>51.8</v>
      </c>
      <c r="V204" s="7" t="n">
        <v>30.6</v>
      </c>
      <c r="X204" s="7" t="n">
        <v>24.5</v>
      </c>
      <c r="Z204" s="7" t="n">
        <v>13.4</v>
      </c>
      <c r="AB204" s="7" t="n">
        <v>465.4</v>
      </c>
    </row>
    <row r="205">
      <c r="A205" s="4" t="inlineStr">
        <is>
          <t>招待费</t>
        </is>
      </c>
      <c r="D205" s="7" t="n">
        <v>1616.5</v>
      </c>
      <c r="F205" s="7" t="n">
        <v>685.4</v>
      </c>
      <c r="H205" s="7" t="n">
        <v>2450.4</v>
      </c>
      <c r="J205" s="7" t="n">
        <v>1709.6</v>
      </c>
      <c r="L205" s="7" t="n">
        <v>927.5</v>
      </c>
      <c r="N205" s="7" t="n">
        <v>1705.1</v>
      </c>
      <c r="P205" s="7" t="n">
        <v>2967.1</v>
      </c>
      <c r="R205" s="7" t="n">
        <v>2993.4</v>
      </c>
      <c r="T205" s="7" t="n">
        <v>2446.1</v>
      </c>
      <c r="V205" s="7" t="n">
        <v>1082.1</v>
      </c>
      <c r="X205" s="7" t="n">
        <v>1315.2</v>
      </c>
      <c r="Z205" s="7" t="n">
        <v>536.5</v>
      </c>
      <c r="AB205" s="7" t="n">
        <v>20434.9</v>
      </c>
    </row>
    <row r="206">
      <c r="A206" s="4" t="inlineStr">
        <is>
          <t>通讯费</t>
        </is>
      </c>
      <c r="D206" s="7" t="n">
        <v>119.6</v>
      </c>
      <c r="F206" s="7" t="n">
        <v>61.6</v>
      </c>
      <c r="H206" s="7" t="n">
        <v>194.2</v>
      </c>
      <c r="J206" s="7" t="n">
        <v>170.3</v>
      </c>
      <c r="L206" s="7" t="n">
        <v>127.4</v>
      </c>
      <c r="N206" s="7" t="n">
        <v>235.1</v>
      </c>
      <c r="P206" s="7" t="n">
        <v>348.3</v>
      </c>
      <c r="R206" s="7" t="n">
        <v>216.1</v>
      </c>
      <c r="T206" s="7" t="n">
        <v>250.3</v>
      </c>
      <c r="V206" s="7" t="n">
        <v>121.2</v>
      </c>
      <c r="X206" s="7" t="n">
        <v>152.8</v>
      </c>
      <c r="Z206" s="7" t="n">
        <v>74.59999999999999</v>
      </c>
      <c r="AB206" s="7" t="n">
        <v>2071.5</v>
      </c>
    </row>
    <row r="207">
      <c r="A207" s="4" t="inlineStr">
        <is>
          <t>网络费</t>
        </is>
      </c>
      <c r="D207" s="7" t="n">
        <v>256.2</v>
      </c>
      <c r="F207" s="7" t="n">
        <v>75</v>
      </c>
      <c r="H207" s="7" t="n">
        <v>271.8</v>
      </c>
      <c r="J207" s="7" t="n">
        <v>225.5</v>
      </c>
      <c r="L207" s="7" t="n">
        <v>209.8</v>
      </c>
      <c r="N207" s="7" t="n">
        <v>258.3</v>
      </c>
      <c r="P207" s="7" t="n">
        <v>554.1</v>
      </c>
      <c r="R207" s="7" t="n">
        <v>240.4</v>
      </c>
      <c r="T207" s="7" t="n">
        <v>259.2</v>
      </c>
      <c r="V207" s="7" t="n">
        <v>165.6</v>
      </c>
      <c r="X207" s="7" t="n">
        <v>136.2</v>
      </c>
      <c r="Z207" s="7" t="n">
        <v>72.3</v>
      </c>
      <c r="AB207" s="7" t="n">
        <v>2724.4</v>
      </c>
    </row>
    <row r="208">
      <c r="A208" s="4" t="inlineStr">
        <is>
          <t>修理费</t>
        </is>
      </c>
      <c r="D208" s="7" t="n">
        <v>153.9</v>
      </c>
      <c r="F208" s="7" t="n">
        <v>74.5</v>
      </c>
      <c r="H208" s="7" t="n">
        <v>388.2</v>
      </c>
      <c r="J208" s="7" t="n">
        <v>164.2</v>
      </c>
      <c r="L208" s="7" t="n">
        <v>142.1</v>
      </c>
      <c r="N208" s="7" t="n">
        <v>213.5</v>
      </c>
      <c r="P208" s="7" t="n">
        <v>316.7</v>
      </c>
      <c r="R208" s="7" t="n">
        <v>238.7</v>
      </c>
      <c r="T208" s="7" t="n">
        <v>257.4</v>
      </c>
      <c r="V208" s="7" t="n">
        <v>109.5</v>
      </c>
      <c r="X208" s="7" t="n">
        <v>139.7</v>
      </c>
      <c r="Z208" s="7" t="n">
        <v>66.8</v>
      </c>
      <c r="AB208" s="7" t="n">
        <v>2265.2</v>
      </c>
    </row>
    <row r="209">
      <c r="A209" s="4" t="inlineStr">
        <is>
          <t>车辆费</t>
        </is>
      </c>
      <c r="D209" s="7" t="n">
        <v>7.6</v>
      </c>
      <c r="F209" s="7" t="n">
        <v>3</v>
      </c>
      <c r="H209" s="7" t="n">
        <v>7.8</v>
      </c>
      <c r="J209" s="7" t="n">
        <v>7.4</v>
      </c>
      <c r="L209" s="7" t="n">
        <v>5.4</v>
      </c>
      <c r="N209" s="7" t="n">
        <v>11.5</v>
      </c>
      <c r="P209" s="7" t="n">
        <v>16</v>
      </c>
      <c r="R209" s="7" t="n">
        <v>12.5</v>
      </c>
      <c r="T209" s="7" t="n">
        <v>7.6</v>
      </c>
      <c r="V209" s="7" t="n">
        <v>4.4</v>
      </c>
      <c r="X209" s="7" t="n">
        <v>6</v>
      </c>
      <c r="Z209" s="7" t="n">
        <v>3</v>
      </c>
      <c r="AB209" s="7" t="n">
        <v>92.2</v>
      </c>
    </row>
    <row r="210">
      <c r="A210" s="4" t="inlineStr">
        <is>
          <t>租赁费</t>
        </is>
      </c>
      <c r="D210" s="7" t="n">
        <v>2137</v>
      </c>
      <c r="F210" s="7" t="n">
        <v>879.9</v>
      </c>
      <c r="H210" s="7" t="n">
        <v>3651.9</v>
      </c>
      <c r="J210" s="7" t="n">
        <v>1979.5</v>
      </c>
      <c r="L210" s="7" t="n">
        <v>1807.3</v>
      </c>
      <c r="N210" s="7" t="n">
        <v>2435.2</v>
      </c>
      <c r="P210" s="7" t="n">
        <v>3870.3</v>
      </c>
      <c r="R210" s="7" t="n">
        <v>2191.7</v>
      </c>
      <c r="T210" s="7" t="n">
        <v>1985.2</v>
      </c>
      <c r="V210" s="7" t="n">
        <v>1206.3</v>
      </c>
      <c r="X210" s="7" t="n">
        <v>1588.5</v>
      </c>
      <c r="Z210" s="7" t="n">
        <v>911</v>
      </c>
      <c r="AB210" s="7" t="n">
        <v>24643.8</v>
      </c>
    </row>
    <row r="211">
      <c r="A211" s="4" t="inlineStr">
        <is>
          <t>能源费</t>
        </is>
      </c>
      <c r="D211" s="7" t="n">
        <v>492.8</v>
      </c>
      <c r="F211" s="7" t="n">
        <v>252.4</v>
      </c>
      <c r="H211" s="7" t="n">
        <v>721.4</v>
      </c>
      <c r="J211" s="7" t="n">
        <v>510.7</v>
      </c>
      <c r="L211" s="7" t="n">
        <v>422</v>
      </c>
      <c r="N211" s="7" t="n">
        <v>635</v>
      </c>
      <c r="P211" s="7" t="n">
        <v>927</v>
      </c>
      <c r="R211" s="7" t="n">
        <v>740.6</v>
      </c>
      <c r="T211" s="7" t="n">
        <v>760.2</v>
      </c>
      <c r="V211" s="7" t="n">
        <v>319.2</v>
      </c>
      <c r="X211" s="7" t="n">
        <v>392.7</v>
      </c>
      <c r="Z211" s="7" t="n">
        <v>155.7</v>
      </c>
      <c r="AB211" s="7" t="n">
        <v>6329.7</v>
      </c>
    </row>
    <row r="212">
      <c r="A212" s="4" t="inlineStr">
        <is>
          <t>水费</t>
        </is>
      </c>
      <c r="D212" s="7" t="n">
        <v>110.2</v>
      </c>
      <c r="F212" s="7" t="n">
        <v>42.8</v>
      </c>
      <c r="H212" s="7" t="n">
        <v>187.2</v>
      </c>
      <c r="J212" s="7" t="n">
        <v>83.90000000000001</v>
      </c>
      <c r="L212" s="7" t="n">
        <v>68.3</v>
      </c>
      <c r="N212" s="7" t="n">
        <v>159.9</v>
      </c>
      <c r="P212" s="7" t="n">
        <v>147</v>
      </c>
      <c r="R212" s="7" t="n">
        <v>135.7</v>
      </c>
      <c r="T212" s="7" t="n">
        <v>118.1</v>
      </c>
      <c r="V212" s="7" t="n">
        <v>64.5</v>
      </c>
      <c r="X212" s="7" t="n">
        <v>89.5</v>
      </c>
      <c r="Z212" s="7" t="n">
        <v>27.9</v>
      </c>
      <c r="AB212" s="7" t="n">
        <v>1235</v>
      </c>
    </row>
    <row r="213">
      <c r="A213" s="4" t="inlineStr">
        <is>
          <t>电费</t>
        </is>
      </c>
      <c r="D213" s="7" t="n">
        <v>180.8</v>
      </c>
      <c r="F213" s="7" t="n">
        <v>76.3</v>
      </c>
      <c r="H213" s="7" t="n">
        <v>169.6</v>
      </c>
      <c r="J213" s="7" t="n">
        <v>155.8</v>
      </c>
      <c r="L213" s="7" t="n">
        <v>117.7</v>
      </c>
      <c r="N213" s="7" t="n">
        <v>183.9</v>
      </c>
      <c r="P213" s="7" t="n">
        <v>337.9</v>
      </c>
      <c r="R213" s="7" t="n">
        <v>216.1</v>
      </c>
      <c r="T213" s="7" t="n">
        <v>238.6</v>
      </c>
      <c r="V213" s="7" t="n">
        <v>102.5</v>
      </c>
      <c r="X213" s="7" t="n">
        <v>93.90000000000001</v>
      </c>
      <c r="Z213" s="7" t="n">
        <v>42.2</v>
      </c>
      <c r="AB213" s="7" t="n">
        <v>1915.3</v>
      </c>
    </row>
    <row r="214">
      <c r="A214" s="4" t="inlineStr">
        <is>
          <t>燃气费</t>
        </is>
      </c>
      <c r="D214" s="7" t="n">
        <v>130.8</v>
      </c>
      <c r="F214" s="7" t="n">
        <v>91.90000000000001</v>
      </c>
      <c r="H214" s="7" t="n">
        <v>262.5</v>
      </c>
      <c r="J214" s="7" t="n">
        <v>181.2</v>
      </c>
      <c r="L214" s="7" t="n">
        <v>157.1</v>
      </c>
      <c r="N214" s="7" t="n">
        <v>184</v>
      </c>
      <c r="P214" s="7" t="n">
        <v>298.8</v>
      </c>
      <c r="R214" s="7" t="n">
        <v>245</v>
      </c>
      <c r="T214" s="7" t="n">
        <v>267.6</v>
      </c>
      <c r="V214" s="7" t="n">
        <v>97.09999999999999</v>
      </c>
      <c r="X214" s="7" t="n">
        <v>142</v>
      </c>
      <c r="Z214" s="7" t="n">
        <v>53.8</v>
      </c>
      <c r="AB214" s="7" t="n">
        <v>2111.8</v>
      </c>
    </row>
    <row r="215">
      <c r="A215" s="4" t="inlineStr">
        <is>
          <t>蒸汽费</t>
        </is>
      </c>
      <c r="D215" s="7" t="n">
        <v>71</v>
      </c>
      <c r="F215" s="7" t="n">
        <v>41.4</v>
      </c>
      <c r="H215" s="7" t="n">
        <v>102.1</v>
      </c>
      <c r="J215" s="7" t="n">
        <v>89.8</v>
      </c>
      <c r="L215" s="7" t="n">
        <v>78.90000000000001</v>
      </c>
      <c r="N215" s="7" t="n">
        <v>107.2</v>
      </c>
      <c r="P215" s="7" t="n">
        <v>143.3</v>
      </c>
      <c r="R215" s="7" t="n">
        <v>143.8</v>
      </c>
      <c r="T215" s="7" t="n">
        <v>135.9</v>
      </c>
      <c r="V215" s="7" t="n">
        <v>55.1</v>
      </c>
      <c r="X215" s="7" t="n">
        <v>67.3</v>
      </c>
      <c r="Z215" s="7" t="n">
        <v>31.8</v>
      </c>
      <c r="AB215" s="7" t="n">
        <v>1067.6</v>
      </c>
    </row>
    <row r="216">
      <c r="A216" s="4" t="inlineStr">
        <is>
          <t>物业费</t>
        </is>
      </c>
      <c r="D216" s="7" t="n">
        <v>118.8</v>
      </c>
      <c r="F216" s="7" t="n">
        <v>49.3</v>
      </c>
      <c r="H216" s="7" t="n">
        <v>161.4</v>
      </c>
      <c r="J216" s="7" t="n">
        <v>88.5</v>
      </c>
      <c r="L216" s="7" t="n">
        <v>70</v>
      </c>
      <c r="N216" s="7" t="n">
        <v>122.4</v>
      </c>
      <c r="P216" s="7" t="n">
        <v>134.8</v>
      </c>
      <c r="R216" s="7" t="n">
        <v>166.9</v>
      </c>
      <c r="T216" s="7" t="n">
        <v>111.9</v>
      </c>
      <c r="V216" s="7" t="n">
        <v>48.7</v>
      </c>
      <c r="X216" s="7" t="n">
        <v>90.8</v>
      </c>
      <c r="Z216" s="7" t="n">
        <v>30.6</v>
      </c>
      <c r="AB216" s="7" t="n">
        <v>1194.1</v>
      </c>
    </row>
    <row r="217">
      <c r="A217" s="4" t="inlineStr">
        <is>
          <t>劳动保护费</t>
        </is>
      </c>
      <c r="D217" s="7" t="n">
        <v>101.1</v>
      </c>
      <c r="F217" s="7" t="n">
        <v>54.9</v>
      </c>
      <c r="H217" s="7" t="n">
        <v>144</v>
      </c>
      <c r="J217" s="7" t="n">
        <v>119.4</v>
      </c>
      <c r="L217" s="7" t="n">
        <v>85.8</v>
      </c>
      <c r="N217" s="7" t="n">
        <v>161.9</v>
      </c>
      <c r="P217" s="7" t="n">
        <v>184.6</v>
      </c>
      <c r="R217" s="7" t="n">
        <v>143.1</v>
      </c>
      <c r="T217" s="7" t="n">
        <v>122.8</v>
      </c>
      <c r="V217" s="7" t="n">
        <v>90.8</v>
      </c>
      <c r="X217" s="7" t="n">
        <v>103.4</v>
      </c>
      <c r="Z217" s="7" t="n">
        <v>28</v>
      </c>
      <c r="AB217" s="7" t="n">
        <v>1339.8</v>
      </c>
    </row>
    <row r="218">
      <c r="A218" s="4" t="inlineStr">
        <is>
          <t>顾问费</t>
        </is>
      </c>
      <c r="D218" s="7" t="n">
        <v>41.3</v>
      </c>
      <c r="F218" s="7" t="n">
        <v>13.5</v>
      </c>
      <c r="H218" s="7" t="n">
        <v>58</v>
      </c>
      <c r="J218" s="7" t="n">
        <v>36.6</v>
      </c>
      <c r="L218" s="7" t="n">
        <v>29.7</v>
      </c>
      <c r="N218" s="7" t="n">
        <v>51.9</v>
      </c>
      <c r="P218" s="7" t="n">
        <v>52.2</v>
      </c>
      <c r="R218" s="7" t="n">
        <v>47.2</v>
      </c>
      <c r="T218" s="7" t="n">
        <v>51</v>
      </c>
      <c r="V218" s="7" t="n">
        <v>17.6</v>
      </c>
      <c r="X218" s="7" t="n">
        <v>25.3</v>
      </c>
      <c r="Z218" s="7" t="n">
        <v>10.9</v>
      </c>
      <c r="AB218" s="7" t="n">
        <v>435.2</v>
      </c>
    </row>
    <row r="219">
      <c r="A219" s="4" t="inlineStr">
        <is>
          <t>快递费</t>
        </is>
      </c>
      <c r="D219" s="7" t="n">
        <v>132.4</v>
      </c>
      <c r="F219" s="7" t="n">
        <v>50</v>
      </c>
      <c r="H219" s="7" t="n">
        <v>255.4</v>
      </c>
      <c r="J219" s="7" t="n">
        <v>153.4</v>
      </c>
      <c r="L219" s="7" t="n">
        <v>94.09999999999999</v>
      </c>
      <c r="N219" s="7" t="n">
        <v>161.5</v>
      </c>
      <c r="P219" s="7" t="n">
        <v>241.1</v>
      </c>
      <c r="R219" s="7" t="n">
        <v>202.1</v>
      </c>
      <c r="T219" s="7" t="n">
        <v>270.6</v>
      </c>
      <c r="V219" s="7" t="n">
        <v>131.5</v>
      </c>
      <c r="X219" s="7" t="n">
        <v>120</v>
      </c>
      <c r="Z219" s="7" t="n">
        <v>68.8</v>
      </c>
      <c r="AB219" s="7" t="n">
        <v>1880.9</v>
      </c>
    </row>
    <row r="220">
      <c r="A220" s="4" t="inlineStr">
        <is>
          <t>诉讼费</t>
        </is>
      </c>
      <c r="D220" s="7" t="n">
        <v>177.5</v>
      </c>
      <c r="F220" s="7" t="n">
        <v>73.3</v>
      </c>
      <c r="H220" s="7" t="n">
        <v>302.2</v>
      </c>
      <c r="J220" s="7" t="n">
        <v>169.1</v>
      </c>
      <c r="L220" s="7" t="n">
        <v>126</v>
      </c>
      <c r="N220" s="7" t="n">
        <v>172.9</v>
      </c>
      <c r="P220" s="7" t="n">
        <v>275.5</v>
      </c>
      <c r="R220" s="7" t="n">
        <v>296.1</v>
      </c>
      <c r="T220" s="7" t="n">
        <v>183.6</v>
      </c>
      <c r="V220" s="7" t="n">
        <v>117.5</v>
      </c>
      <c r="X220" s="7" t="n">
        <v>183.7</v>
      </c>
      <c r="Z220" s="7" t="n">
        <v>64</v>
      </c>
      <c r="AB220" s="7" t="n">
        <v>2141.4</v>
      </c>
    </row>
    <row r="221">
      <c r="A221" s="4" t="inlineStr">
        <is>
          <t>会员费</t>
        </is>
      </c>
      <c r="D221" s="7" t="n">
        <v>253.6</v>
      </c>
      <c r="F221" s="7" t="n">
        <v>108.5</v>
      </c>
      <c r="H221" s="7" t="n">
        <v>335.5</v>
      </c>
      <c r="J221" s="7" t="n">
        <v>160.6</v>
      </c>
      <c r="L221" s="7" t="n">
        <v>214.9</v>
      </c>
      <c r="N221" s="7" t="n">
        <v>402.6</v>
      </c>
      <c r="P221" s="7" t="n">
        <v>334</v>
      </c>
      <c r="R221" s="7" t="n">
        <v>357.1</v>
      </c>
      <c r="T221" s="7" t="n">
        <v>336.3</v>
      </c>
      <c r="V221" s="7" t="n">
        <v>164.5</v>
      </c>
      <c r="X221" s="7" t="n">
        <v>222.2</v>
      </c>
      <c r="Z221" s="7" t="n">
        <v>114.1</v>
      </c>
      <c r="AB221" s="7" t="n">
        <v>3003.9</v>
      </c>
    </row>
    <row r="222">
      <c r="A222" s="4" t="inlineStr">
        <is>
          <t>广告宣传费</t>
        </is>
      </c>
      <c r="D222" s="7" t="n">
        <v>923.6</v>
      </c>
      <c r="F222" s="7" t="n">
        <v>629</v>
      </c>
      <c r="H222" s="7" t="n">
        <v>1382.5</v>
      </c>
      <c r="J222" s="7" t="n">
        <v>1103.8</v>
      </c>
      <c r="L222" s="7" t="n">
        <v>1124.6</v>
      </c>
      <c r="N222" s="7" t="n">
        <v>1445.3</v>
      </c>
      <c r="P222" s="7" t="n">
        <v>2639.1</v>
      </c>
      <c r="R222" s="7" t="n">
        <v>1228.3</v>
      </c>
      <c r="T222" s="7" t="n">
        <v>1881.4</v>
      </c>
      <c r="V222" s="7" t="n">
        <v>812</v>
      </c>
      <c r="X222" s="7" t="n">
        <v>1223.3</v>
      </c>
      <c r="Z222" s="7" t="n">
        <v>398.3</v>
      </c>
      <c r="AB222" s="7" t="n">
        <v>14791.2</v>
      </c>
    </row>
    <row r="223">
      <c r="A223" s="4" t="inlineStr">
        <is>
          <t>会务费</t>
        </is>
      </c>
      <c r="D223" s="7" t="n">
        <v>54.6</v>
      </c>
      <c r="F223" s="7" t="n">
        <v>35.1</v>
      </c>
      <c r="H223" s="7" t="n">
        <v>73.8</v>
      </c>
      <c r="J223" s="7" t="n">
        <v>68.3</v>
      </c>
      <c r="L223" s="7" t="n">
        <v>64</v>
      </c>
      <c r="N223" s="7" t="n">
        <v>63</v>
      </c>
      <c r="P223" s="7" t="n">
        <v>131.8</v>
      </c>
      <c r="R223" s="7" t="n">
        <v>83.5</v>
      </c>
      <c r="T223" s="7" t="n">
        <v>105.9</v>
      </c>
      <c r="V223" s="7" t="n">
        <v>47.6</v>
      </c>
      <c r="X223" s="7" t="n">
        <v>45.4</v>
      </c>
      <c r="Z223" s="7" t="n">
        <v>22</v>
      </c>
      <c r="AB223" s="7" t="n">
        <v>795</v>
      </c>
    </row>
    <row r="224">
      <c r="A224" s="4" t="inlineStr">
        <is>
          <t>装修费</t>
        </is>
      </c>
      <c r="D224" s="7" t="n">
        <v>142.5</v>
      </c>
      <c r="F224" s="7" t="n">
        <v>76.09999999999999</v>
      </c>
      <c r="H224" s="7" t="n">
        <v>161.3</v>
      </c>
      <c r="J224" s="7" t="n">
        <v>138.7</v>
      </c>
      <c r="L224" s="7" t="n">
        <v>146.9</v>
      </c>
      <c r="N224" s="7" t="n">
        <v>208.1</v>
      </c>
      <c r="P224" s="7" t="n">
        <v>267.1</v>
      </c>
      <c r="R224" s="7" t="n">
        <v>191.7</v>
      </c>
      <c r="T224" s="7" t="n">
        <v>206.7</v>
      </c>
      <c r="V224" s="7" t="n">
        <v>95.7</v>
      </c>
      <c r="X224" s="7" t="n">
        <v>94</v>
      </c>
      <c r="Z224" s="7" t="n">
        <v>56.1</v>
      </c>
      <c r="AB224" s="7" t="n">
        <v>1784.9</v>
      </c>
    </row>
    <row r="225">
      <c r="A225" s="4" t="inlineStr">
        <is>
          <t>推广费</t>
        </is>
      </c>
      <c r="D225" s="7" t="n">
        <v>195.6</v>
      </c>
      <c r="F225" s="7" t="n">
        <v>103.5</v>
      </c>
      <c r="H225" s="7" t="n">
        <v>259</v>
      </c>
      <c r="J225" s="7" t="n">
        <v>197.4</v>
      </c>
      <c r="L225" s="7" t="n">
        <v>185.4</v>
      </c>
      <c r="N225" s="7" t="n">
        <v>178.8</v>
      </c>
      <c r="P225" s="7" t="n">
        <v>409</v>
      </c>
      <c r="R225" s="7" t="n">
        <v>272.7</v>
      </c>
      <c r="T225" s="7" t="n">
        <v>231</v>
      </c>
      <c r="V225" s="7" t="n">
        <v>126.8</v>
      </c>
      <c r="X225" s="7" t="n">
        <v>169.1</v>
      </c>
      <c r="Z225" s="7" t="n">
        <v>62.5</v>
      </c>
      <c r="AB225" s="7" t="n">
        <v>2390.8</v>
      </c>
    </row>
    <row r="226">
      <c r="A226" s="4" t="inlineStr">
        <is>
          <t>展会费</t>
        </is>
      </c>
      <c r="D226" s="7" t="n">
        <v>31</v>
      </c>
      <c r="F226" s="7" t="n">
        <v>20.1</v>
      </c>
      <c r="H226" s="7" t="n">
        <v>42</v>
      </c>
      <c r="J226" s="7" t="n">
        <v>42.1</v>
      </c>
      <c r="L226" s="7" t="n">
        <v>22.4</v>
      </c>
      <c r="N226" s="7" t="n">
        <v>53.7</v>
      </c>
      <c r="P226" s="7" t="n">
        <v>69.5</v>
      </c>
      <c r="R226" s="7" t="n">
        <v>64.2</v>
      </c>
      <c r="T226" s="7" t="n">
        <v>54.2</v>
      </c>
      <c r="V226" s="7" t="n">
        <v>30.5</v>
      </c>
      <c r="X226" s="7" t="n">
        <v>38.6</v>
      </c>
      <c r="Z226" s="7" t="n">
        <v>14.9</v>
      </c>
      <c r="AB226" s="7" t="n">
        <v>483.2</v>
      </c>
    </row>
    <row r="227">
      <c r="A227" s="4" t="inlineStr">
        <is>
          <t>设计费</t>
        </is>
      </c>
      <c r="D227" s="7" t="n">
        <v>191.9</v>
      </c>
      <c r="F227" s="7" t="n">
        <v>52.3</v>
      </c>
      <c r="H227" s="7" t="n">
        <v>224.8</v>
      </c>
      <c r="J227" s="7" t="n">
        <v>164.9</v>
      </c>
      <c r="L227" s="7" t="n">
        <v>139.7</v>
      </c>
      <c r="N227" s="7" t="n">
        <v>171.6</v>
      </c>
      <c r="P227" s="7" t="n">
        <v>267.8</v>
      </c>
      <c r="R227" s="7" t="n">
        <v>255.3</v>
      </c>
      <c r="T227" s="7" t="n">
        <v>247.6</v>
      </c>
      <c r="V227" s="7" t="n">
        <v>113.1</v>
      </c>
      <c r="X227" s="7" t="n">
        <v>92</v>
      </c>
      <c r="Z227" s="7" t="n">
        <v>69.8</v>
      </c>
      <c r="AB227" s="7" t="n">
        <v>1990.8</v>
      </c>
    </row>
    <row r="228">
      <c r="A228" s="4" t="inlineStr">
        <is>
          <t>折旧费</t>
        </is>
      </c>
      <c r="D228" s="7" t="n">
        <v>1637.8</v>
      </c>
      <c r="F228" s="7" t="n">
        <v>635.2</v>
      </c>
      <c r="H228" s="7" t="n">
        <v>1839</v>
      </c>
      <c r="J228" s="7" t="n">
        <v>1035.1</v>
      </c>
      <c r="L228" s="7" t="n">
        <v>1167.3</v>
      </c>
      <c r="N228" s="7" t="n">
        <v>2250.3</v>
      </c>
      <c r="P228" s="7" t="n">
        <v>3283.5</v>
      </c>
      <c r="R228" s="7" t="n">
        <v>1703.2</v>
      </c>
      <c r="T228" s="7" t="n">
        <v>2565.7</v>
      </c>
      <c r="V228" s="7" t="n">
        <v>1190.5</v>
      </c>
      <c r="X228" s="7" t="n">
        <v>1172.7</v>
      </c>
      <c r="Z228" s="7" t="n">
        <v>476.5</v>
      </c>
      <c r="AB228" s="7" t="n">
        <v>18956.8</v>
      </c>
    </row>
    <row r="229">
      <c r="A229" s="4" t="inlineStr">
        <is>
          <t>认证费</t>
        </is>
      </c>
      <c r="D229" s="7" t="n">
        <v>9.699999999999999</v>
      </c>
      <c r="F229" s="7" t="n">
        <v>5.1</v>
      </c>
      <c r="H229" s="7" t="n">
        <v>11.3</v>
      </c>
      <c r="J229" s="7" t="n">
        <v>10.1</v>
      </c>
      <c r="L229" s="7" t="n">
        <v>9.5</v>
      </c>
      <c r="N229" s="7" t="n">
        <v>11.4</v>
      </c>
      <c r="P229" s="7" t="n">
        <v>23.2</v>
      </c>
      <c r="R229" s="7" t="n">
        <v>15.8</v>
      </c>
      <c r="T229" s="7" t="n">
        <v>11.4</v>
      </c>
      <c r="V229" s="7" t="n">
        <v>8.199999999999999</v>
      </c>
      <c r="X229" s="7" t="n">
        <v>7.2</v>
      </c>
      <c r="Z229" s="7" t="n">
        <v>4.6</v>
      </c>
      <c r="AB229" s="7" t="n">
        <v>127.5</v>
      </c>
    </row>
    <row r="230">
      <c r="A230" s="4" t="inlineStr">
        <is>
          <t>样品费</t>
        </is>
      </c>
      <c r="D230" s="7" t="n">
        <v>974</v>
      </c>
      <c r="F230" s="7" t="n">
        <v>242.1</v>
      </c>
      <c r="H230" s="7" t="n">
        <v>1392.9</v>
      </c>
      <c r="J230" s="7" t="n">
        <v>847.7</v>
      </c>
      <c r="L230" s="7" t="n">
        <v>695</v>
      </c>
      <c r="N230" s="7" t="n">
        <v>1140.7</v>
      </c>
      <c r="P230" s="7" t="n">
        <v>1515.3</v>
      </c>
      <c r="R230" s="7" t="n">
        <v>1305.6</v>
      </c>
      <c r="T230" s="7" t="n">
        <v>995.9</v>
      </c>
      <c r="V230" s="7" t="n">
        <v>550.8</v>
      </c>
      <c r="X230" s="7" t="n">
        <v>548.5</v>
      </c>
      <c r="Z230" s="7" t="n">
        <v>349.2</v>
      </c>
      <c r="AB230" s="7" t="n">
        <v>10557.7</v>
      </c>
    </row>
    <row r="231">
      <c r="A231" s="4" t="inlineStr">
        <is>
          <t>劳务费</t>
        </is>
      </c>
      <c r="D231" s="7" t="n">
        <v>198.7</v>
      </c>
      <c r="F231" s="7" t="n">
        <v>76</v>
      </c>
      <c r="H231" s="7" t="n">
        <v>270</v>
      </c>
      <c r="J231" s="7" t="n">
        <v>240.3</v>
      </c>
      <c r="L231" s="7" t="n">
        <v>208.5</v>
      </c>
      <c r="N231" s="7" t="n">
        <v>236</v>
      </c>
      <c r="P231" s="7" t="n">
        <v>396.9</v>
      </c>
      <c r="R231" s="7" t="n">
        <v>381.9</v>
      </c>
      <c r="T231" s="7" t="n">
        <v>242.4</v>
      </c>
      <c r="V231" s="7" t="n">
        <v>157.8</v>
      </c>
      <c r="X231" s="7" t="n">
        <v>159.3</v>
      </c>
      <c r="Z231" s="7" t="n">
        <v>57.4</v>
      </c>
      <c r="AB231" s="7" t="n">
        <v>2625.2</v>
      </c>
    </row>
    <row r="232">
      <c r="A232" s="4" t="inlineStr">
        <is>
          <t>销售佣金</t>
        </is>
      </c>
      <c r="D232" s="7" t="n">
        <v>130.1</v>
      </c>
      <c r="F232" s="7" t="n">
        <v>76</v>
      </c>
      <c r="H232" s="7" t="n">
        <v>233.8</v>
      </c>
      <c r="J232" s="7" t="n">
        <v>97.59999999999999</v>
      </c>
      <c r="L232" s="7" t="n">
        <v>130.2</v>
      </c>
      <c r="N232" s="7" t="n">
        <v>227.3</v>
      </c>
      <c r="P232" s="7" t="n">
        <v>350.4</v>
      </c>
      <c r="R232" s="7" t="n">
        <v>251.8</v>
      </c>
      <c r="T232" s="7" t="n">
        <v>177.2</v>
      </c>
      <c r="V232" s="7" t="n">
        <v>116.9</v>
      </c>
      <c r="X232" s="7" t="n">
        <v>98</v>
      </c>
      <c r="Z232" s="7" t="n">
        <v>54.1</v>
      </c>
      <c r="AB232" s="7" t="n">
        <v>1943.4</v>
      </c>
    </row>
    <row r="233">
      <c r="A233" s="4" t="inlineStr">
        <is>
          <t>检测费</t>
        </is>
      </c>
      <c r="D233" s="7" t="n">
        <v>143.2</v>
      </c>
      <c r="F233" s="7" t="n">
        <v>69</v>
      </c>
      <c r="H233" s="7" t="n">
        <v>215.5</v>
      </c>
      <c r="J233" s="7" t="n">
        <v>135.5</v>
      </c>
      <c r="L233" s="7" t="n">
        <v>101.6</v>
      </c>
      <c r="N233" s="7" t="n">
        <v>156.9</v>
      </c>
      <c r="P233" s="7" t="n">
        <v>260.2</v>
      </c>
      <c r="R233" s="7" t="n">
        <v>192.1</v>
      </c>
      <c r="T233" s="7" t="n">
        <v>138.7</v>
      </c>
      <c r="V233" s="7" t="n">
        <v>113.5</v>
      </c>
      <c r="X233" s="7" t="n">
        <v>115.4</v>
      </c>
      <c r="Z233" s="7" t="n">
        <v>34.1</v>
      </c>
      <c r="AB233" s="7" t="n">
        <v>1675.7</v>
      </c>
    </row>
    <row r="234">
      <c r="A234" s="4" t="inlineStr">
        <is>
          <t>质量赔偿</t>
        </is>
      </c>
      <c r="D234" s="7" t="n">
        <v>229.4</v>
      </c>
      <c r="F234" s="7" t="n">
        <v>116.8</v>
      </c>
      <c r="H234" s="7" t="n">
        <v>291.2</v>
      </c>
      <c r="J234" s="7" t="n">
        <v>223.8</v>
      </c>
      <c r="L234" s="7" t="n">
        <v>166.8</v>
      </c>
      <c r="N234" s="7" t="n">
        <v>314.8</v>
      </c>
      <c r="P234" s="7" t="n">
        <v>382.7</v>
      </c>
      <c r="R234" s="7" t="n">
        <v>348.7</v>
      </c>
      <c r="T234" s="7" t="n">
        <v>249.6</v>
      </c>
      <c r="V234" s="7" t="n">
        <v>137.3</v>
      </c>
      <c r="X234" s="7" t="n">
        <v>233</v>
      </c>
      <c r="Z234" s="7" t="n">
        <v>96.90000000000001</v>
      </c>
      <c r="AB234" s="7" t="n">
        <v>2791</v>
      </c>
    </row>
    <row r="235">
      <c r="A235" s="4" t="inlineStr">
        <is>
          <t>保险费</t>
        </is>
      </c>
      <c r="D235" s="7" t="n">
        <v>180.5</v>
      </c>
      <c r="F235" s="7" t="n">
        <v>71.5</v>
      </c>
      <c r="H235" s="7" t="n">
        <v>242</v>
      </c>
      <c r="J235" s="7" t="n">
        <v>212</v>
      </c>
      <c r="L235" s="7" t="n">
        <v>174.2</v>
      </c>
      <c r="N235" s="7" t="n">
        <v>266.2</v>
      </c>
      <c r="P235" s="7" t="n">
        <v>388.6</v>
      </c>
      <c r="R235" s="7" t="n">
        <v>226.1</v>
      </c>
      <c r="T235" s="7" t="n">
        <v>219</v>
      </c>
      <c r="V235" s="7" t="n">
        <v>142.7</v>
      </c>
      <c r="X235" s="7" t="n">
        <v>117.5</v>
      </c>
      <c r="Z235" s="7" t="n">
        <v>88.5</v>
      </c>
      <c r="AB235" s="7" t="n">
        <v>2328.8</v>
      </c>
    </row>
    <row r="236">
      <c r="A236" s="4" t="inlineStr">
        <is>
          <t>清洁费</t>
        </is>
      </c>
      <c r="D236" s="7" t="n">
        <v>280.6</v>
      </c>
      <c r="F236" s="7" t="n">
        <v>110.6</v>
      </c>
      <c r="H236" s="7" t="n">
        <v>346.4</v>
      </c>
      <c r="J236" s="7" t="n">
        <v>267.6</v>
      </c>
      <c r="L236" s="7" t="n">
        <v>242.4</v>
      </c>
      <c r="N236" s="7" t="n">
        <v>335</v>
      </c>
      <c r="P236" s="7" t="n">
        <v>626</v>
      </c>
      <c r="R236" s="7" t="n">
        <v>377.4</v>
      </c>
      <c r="T236" s="7" t="n">
        <v>346.1</v>
      </c>
      <c r="V236" s="7" t="n">
        <v>131.9</v>
      </c>
      <c r="X236" s="7" t="n">
        <v>212.7</v>
      </c>
      <c r="Z236" s="7" t="n">
        <v>113.8</v>
      </c>
      <c r="AB236" s="7" t="n">
        <v>3390.5</v>
      </c>
    </row>
    <row r="237">
      <c r="A237" s="4" t="inlineStr">
        <is>
          <t>低值易耗品</t>
        </is>
      </c>
      <c r="D237" s="7" t="n">
        <v>33.7</v>
      </c>
      <c r="F237" s="7" t="n">
        <v>22.4</v>
      </c>
      <c r="H237" s="7" t="n">
        <v>44.7</v>
      </c>
      <c r="J237" s="7" t="n">
        <v>32.1</v>
      </c>
      <c r="L237" s="7" t="n">
        <v>40.2</v>
      </c>
      <c r="N237" s="7" t="n">
        <v>38.9</v>
      </c>
      <c r="P237" s="7" t="n">
        <v>92.09999999999999</v>
      </c>
      <c r="R237" s="7" t="n">
        <v>59.3</v>
      </c>
      <c r="T237" s="7" t="n">
        <v>56.1</v>
      </c>
      <c r="V237" s="7" t="n">
        <v>23.7</v>
      </c>
      <c r="X237" s="7" t="n">
        <v>43.1</v>
      </c>
      <c r="Z237" s="7" t="n">
        <v>15.5</v>
      </c>
      <c r="AB237" s="7" t="n">
        <v>501.8</v>
      </c>
    </row>
    <row r="238">
      <c r="A238" s="4" t="inlineStr">
        <is>
          <t>物料消耗</t>
        </is>
      </c>
      <c r="D238" s="7" t="n">
        <v>181</v>
      </c>
      <c r="F238" s="7" t="n">
        <v>73.3</v>
      </c>
      <c r="H238" s="7" t="n">
        <v>280.4</v>
      </c>
      <c r="J238" s="7" t="n">
        <v>142.4</v>
      </c>
      <c r="L238" s="7" t="n">
        <v>114.3</v>
      </c>
      <c r="N238" s="7" t="n">
        <v>145.9</v>
      </c>
      <c r="P238" s="7" t="n">
        <v>233.3</v>
      </c>
      <c r="R238" s="7" t="n">
        <v>210</v>
      </c>
      <c r="T238" s="7" t="n">
        <v>203</v>
      </c>
      <c r="V238" s="7" t="n">
        <v>136.4</v>
      </c>
      <c r="X238" s="7" t="n">
        <v>113.7</v>
      </c>
      <c r="Z238" s="7" t="n">
        <v>72.7</v>
      </c>
      <c r="AB238" s="7" t="n">
        <v>1906.4</v>
      </c>
    </row>
    <row r="239">
      <c r="A239" s="4" t="inlineStr">
        <is>
          <t>盘盈盘亏</t>
        </is>
      </c>
      <c r="D239" s="7" t="n">
        <v>63.1</v>
      </c>
      <c r="F239" s="7" t="n">
        <v>33.2</v>
      </c>
      <c r="H239" s="7" t="n">
        <v>96.40000000000001</v>
      </c>
      <c r="J239" s="7" t="n">
        <v>58.2</v>
      </c>
      <c r="L239" s="7" t="n">
        <v>34.3</v>
      </c>
      <c r="N239" s="7" t="n">
        <v>77.40000000000001</v>
      </c>
      <c r="P239" s="7" t="n">
        <v>84.40000000000001</v>
      </c>
      <c r="R239" s="7" t="n">
        <v>88.3</v>
      </c>
      <c r="T239" s="7" t="n">
        <v>78</v>
      </c>
      <c r="V239" s="7" t="n">
        <v>49.6</v>
      </c>
      <c r="X239" s="7" t="n">
        <v>58.9</v>
      </c>
      <c r="Z239" s="7" t="n">
        <v>23.5</v>
      </c>
      <c r="AB239" s="7" t="n">
        <v>745.3</v>
      </c>
    </row>
    <row r="240">
      <c r="A240" s="4" t="inlineStr">
        <is>
          <t>平台服务费</t>
        </is>
      </c>
      <c r="D240" s="7" t="n">
        <v>44.9</v>
      </c>
      <c r="F240" s="7" t="n">
        <v>26.7</v>
      </c>
      <c r="H240" s="7" t="n">
        <v>77.2</v>
      </c>
      <c r="J240" s="7" t="n">
        <v>53.4</v>
      </c>
      <c r="L240" s="7" t="n">
        <v>44.5</v>
      </c>
      <c r="N240" s="7" t="n">
        <v>46</v>
      </c>
      <c r="P240" s="7" t="n">
        <v>78.7</v>
      </c>
      <c r="R240" s="7" t="n">
        <v>86</v>
      </c>
      <c r="T240" s="7" t="n">
        <v>48.2</v>
      </c>
      <c r="V240" s="7" t="n">
        <v>43</v>
      </c>
      <c r="X240" s="7" t="n">
        <v>37.9</v>
      </c>
      <c r="Z240" s="7" t="n">
        <v>14.5</v>
      </c>
      <c r="AB240" s="7" t="n">
        <v>601</v>
      </c>
    </row>
    <row r="241">
      <c r="A241" s="4" t="inlineStr">
        <is>
          <t>无形资产摊销</t>
        </is>
      </c>
      <c r="D241" s="7" t="n">
        <v>114.4</v>
      </c>
      <c r="F241" s="7" t="n">
        <v>52.6</v>
      </c>
      <c r="H241" s="7" t="n">
        <v>176.9</v>
      </c>
      <c r="J241" s="7" t="n">
        <v>88.90000000000001</v>
      </c>
      <c r="L241" s="7" t="n">
        <v>69.2</v>
      </c>
      <c r="N241" s="7" t="n">
        <v>90.09999999999999</v>
      </c>
      <c r="P241" s="7" t="n">
        <v>129.7</v>
      </c>
      <c r="R241" s="7" t="n">
        <v>156.2</v>
      </c>
      <c r="T241" s="7" t="n">
        <v>123.9</v>
      </c>
      <c r="V241" s="7" t="n">
        <v>87.09999999999999</v>
      </c>
      <c r="X241" s="7" t="n">
        <v>84</v>
      </c>
      <c r="Z241" s="7" t="n">
        <v>32.5</v>
      </c>
      <c r="AB241" s="7" t="n">
        <v>1205.5</v>
      </c>
    </row>
    <row r="242">
      <c r="A242" s="4" t="inlineStr">
        <is>
          <t>研发材料</t>
        </is>
      </c>
      <c r="D242" s="7" t="n">
        <v>16.9</v>
      </c>
      <c r="F242" s="7" t="n">
        <v>11.2</v>
      </c>
      <c r="H242" s="7" t="n">
        <v>43.2</v>
      </c>
      <c r="J242" s="7" t="n">
        <v>18.5</v>
      </c>
      <c r="L242" s="7" t="n">
        <v>13.4</v>
      </c>
      <c r="N242" s="7" t="n">
        <v>22.7</v>
      </c>
      <c r="P242" s="7" t="n">
        <v>54.6</v>
      </c>
      <c r="R242" s="7" t="n">
        <v>45.2</v>
      </c>
      <c r="T242" s="7" t="n">
        <v>26.8</v>
      </c>
      <c r="V242" s="7" t="n">
        <v>14.7</v>
      </c>
      <c r="X242" s="7" t="n">
        <v>22.5</v>
      </c>
      <c r="Z242" s="7" t="n">
        <v>8.699999999999999</v>
      </c>
      <c r="AB242" s="7" t="n">
        <v>298.4</v>
      </c>
    </row>
    <row r="243">
      <c r="A243" s="4" t="inlineStr">
        <is>
          <t>项目名称</t>
        </is>
      </c>
      <c r="D243" s="7" t="n">
        <v>27.9</v>
      </c>
      <c r="F243" s="7" t="n">
        <v>14.1</v>
      </c>
      <c r="H243" s="7" t="n">
        <v>39.9</v>
      </c>
      <c r="J243" s="7" t="n">
        <v>26.7</v>
      </c>
      <c r="L243" s="7" t="n">
        <v>19.2</v>
      </c>
      <c r="N243" s="7" t="n">
        <v>33.3</v>
      </c>
      <c r="P243" s="7" t="n">
        <v>35.1</v>
      </c>
      <c r="R243" s="7" t="n">
        <v>44.4</v>
      </c>
      <c r="T243" s="7" t="n">
        <v>40.5</v>
      </c>
      <c r="V243" s="7" t="n">
        <v>17.7</v>
      </c>
      <c r="X243" s="7" t="n">
        <v>21.3</v>
      </c>
      <c r="Z243" s="7" t="n">
        <v>8.1</v>
      </c>
      <c r="AB243" s="7" t="n">
        <v>328.2</v>
      </c>
    </row>
    <row r="244">
      <c r="A244" s="4" t="inlineStr">
        <is>
          <t>研发费</t>
        </is>
      </c>
      <c r="D244" s="7" t="n">
        <v>37.4</v>
      </c>
      <c r="F244" s="7" t="n">
        <v>16.4</v>
      </c>
      <c r="H244" s="7" t="n">
        <v>56.8</v>
      </c>
      <c r="J244" s="7" t="n">
        <v>25.6</v>
      </c>
      <c r="L244" s="7" t="n">
        <v>29.1</v>
      </c>
      <c r="N244" s="7" t="n">
        <v>53.9</v>
      </c>
      <c r="P244" s="7" t="n">
        <v>70.5</v>
      </c>
      <c r="R244" s="7" t="n">
        <v>54.7</v>
      </c>
      <c r="T244" s="7" t="n">
        <v>50.7</v>
      </c>
      <c r="V244" s="7" t="n">
        <v>26.1</v>
      </c>
      <c r="X244" s="7" t="n">
        <v>31.4</v>
      </c>
      <c r="Z244" s="7" t="n">
        <v>10</v>
      </c>
      <c r="AB244" s="7" t="n">
        <v>462.6</v>
      </c>
    </row>
    <row r="245">
      <c r="A245" s="4" t="inlineStr">
        <is>
          <t>残保金</t>
        </is>
      </c>
      <c r="D245" s="7" t="n">
        <v>152.6</v>
      </c>
      <c r="F245" s="7" t="n">
        <v>64.40000000000001</v>
      </c>
      <c r="H245" s="7" t="n">
        <v>232.6</v>
      </c>
      <c r="J245" s="7" t="n">
        <v>89.8</v>
      </c>
      <c r="L245" s="7" t="n">
        <v>73.90000000000001</v>
      </c>
      <c r="N245" s="7" t="n">
        <v>204.4</v>
      </c>
      <c r="P245" s="7" t="n">
        <v>249.4</v>
      </c>
      <c r="R245" s="7" t="n">
        <v>184.1</v>
      </c>
      <c r="T245" s="7" t="n">
        <v>222.2</v>
      </c>
      <c r="V245" s="7" t="n">
        <v>101.1</v>
      </c>
      <c r="X245" s="7" t="n">
        <v>135.1</v>
      </c>
      <c r="Z245" s="7" t="n">
        <v>34.8</v>
      </c>
      <c r="AB245" s="7" t="n">
        <v>1744.4</v>
      </c>
    </row>
    <row r="246">
      <c r="A246" s="4" t="inlineStr">
        <is>
          <t>环保费</t>
        </is>
      </c>
      <c r="D246" s="7" t="n">
        <v>119.9</v>
      </c>
      <c r="F246" s="7" t="n">
        <v>84.5</v>
      </c>
      <c r="H246" s="7" t="n">
        <v>174.3</v>
      </c>
      <c r="J246" s="7" t="n">
        <v>166.7</v>
      </c>
      <c r="L246" s="7" t="n">
        <v>133.9</v>
      </c>
      <c r="N246" s="7" t="n">
        <v>177.9</v>
      </c>
      <c r="P246" s="7" t="n">
        <v>354.2</v>
      </c>
      <c r="R246" s="7" t="n">
        <v>243.2</v>
      </c>
      <c r="T246" s="7" t="n">
        <v>216.7</v>
      </c>
      <c r="V246" s="7" t="n">
        <v>130.7</v>
      </c>
      <c r="X246" s="7" t="n">
        <v>99.59999999999999</v>
      </c>
      <c r="Z246" s="7" t="n">
        <v>38.8</v>
      </c>
      <c r="AB246" s="7" t="n">
        <v>1940.4</v>
      </c>
    </row>
    <row r="247">
      <c r="A247" s="4" t="inlineStr">
        <is>
          <t>报废损失</t>
        </is>
      </c>
      <c r="D247" s="7" t="n">
        <v>262.3</v>
      </c>
      <c r="F247" s="7" t="n">
        <v>77.2</v>
      </c>
      <c r="H247" s="7" t="n">
        <v>465.5</v>
      </c>
      <c r="J247" s="7" t="n">
        <v>276.3</v>
      </c>
      <c r="L247" s="7" t="n">
        <v>175</v>
      </c>
      <c r="N247" s="7" t="n">
        <v>250.4</v>
      </c>
      <c r="P247" s="7" t="n">
        <v>358.1</v>
      </c>
      <c r="R247" s="7" t="n">
        <v>362</v>
      </c>
      <c r="T247" s="7" t="n">
        <v>306.9</v>
      </c>
      <c r="V247" s="7" t="n">
        <v>159.4</v>
      </c>
      <c r="X247" s="7" t="n">
        <v>257</v>
      </c>
      <c r="Z247" s="7" t="n">
        <v>87.90000000000001</v>
      </c>
      <c r="AB247" s="7" t="n">
        <v>3038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7940</v>
      </c>
      <c r="D248" s="7" t="n">
        <v>6423</v>
      </c>
      <c r="E248" s="7" t="n">
        <v>7902.3</v>
      </c>
      <c r="F248" s="7" t="n">
        <v>12651.7</v>
      </c>
      <c r="G248" s="7" t="n">
        <v>8704.5</v>
      </c>
      <c r="H248" s="7" t="n">
        <v>11774.1</v>
      </c>
      <c r="I248" s="7" t="n">
        <v>7541.3</v>
      </c>
      <c r="J248" s="7" t="n">
        <v>-1550.8</v>
      </c>
      <c r="K248" s="7" t="n">
        <v>6944.5</v>
      </c>
      <c r="L248" s="7" t="n">
        <v>2419.9</v>
      </c>
      <c r="M248" s="7" t="n">
        <v>6861.2</v>
      </c>
      <c r="N248" s="7" t="n">
        <v>10053.1</v>
      </c>
      <c r="O248" s="7" t="n">
        <v>8711.6</v>
      </c>
      <c r="P248" s="7" t="n">
        <v>14601.5</v>
      </c>
      <c r="Q248" s="7" t="n">
        <v>7307.2</v>
      </c>
      <c r="R248" s="7" t="n">
        <v>-2585.7</v>
      </c>
      <c r="S248" s="7" t="n">
        <v>7891.7</v>
      </c>
      <c r="T248" s="7" t="n">
        <v>11824.4</v>
      </c>
      <c r="U248" s="7" t="n">
        <v>7572.6</v>
      </c>
      <c r="V248" s="7" t="n">
        <v>15869.6</v>
      </c>
      <c r="W248" s="7" t="n">
        <v>8407.4</v>
      </c>
      <c r="X248" s="7" t="n">
        <v>8785.6</v>
      </c>
      <c r="Y248" s="7" t="n">
        <v>8570</v>
      </c>
      <c r="Z248" s="7" t="n">
        <v>2008.3</v>
      </c>
      <c r="AA248" s="8" t="n">
        <v>94354.3</v>
      </c>
      <c r="AB248" s="8" t="n">
        <v>92274.7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4134.1</v>
      </c>
      <c r="E250" s="7" t="n">
        <v>0</v>
      </c>
      <c r="F250" s="7" t="n">
        <v>-2356.7</v>
      </c>
      <c r="G250" s="7" t="n">
        <v>0</v>
      </c>
      <c r="H250" s="7" t="n">
        <v>2314.1</v>
      </c>
      <c r="I250" s="7" t="n">
        <v>0</v>
      </c>
      <c r="J250" s="7" t="n">
        <v>-2336</v>
      </c>
      <c r="K250" s="7" t="n">
        <v>0</v>
      </c>
      <c r="L250" s="7" t="n">
        <v>-3681.1</v>
      </c>
      <c r="M250" s="7" t="n">
        <v>0</v>
      </c>
      <c r="N250" s="7" t="n">
        <v>3233.1</v>
      </c>
      <c r="O250" s="7" t="n">
        <v>0</v>
      </c>
      <c r="P250" s="7" t="n">
        <v>-1533.9</v>
      </c>
      <c r="Q250" s="7" t="n">
        <v>0</v>
      </c>
      <c r="R250" s="7" t="n">
        <v>-2063.5</v>
      </c>
      <c r="S250" s="7" t="n">
        <v>0</v>
      </c>
      <c r="T250" s="7" t="n">
        <v>-138.9</v>
      </c>
      <c r="U250" s="7" t="n">
        <v>0</v>
      </c>
      <c r="V250" s="7" t="n">
        <v>3350.1</v>
      </c>
      <c r="W250" s="7" t="n">
        <v>0</v>
      </c>
      <c r="X250" s="7" t="n">
        <v>-1810.4</v>
      </c>
      <c r="Y250" s="7" t="n">
        <v>0</v>
      </c>
      <c r="Z250" s="7" t="n">
        <v>2795</v>
      </c>
      <c r="AA250" s="7" t="n">
        <v>0</v>
      </c>
      <c r="AB250" s="7" t="n">
        <v>1905.9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16809.4</v>
      </c>
      <c r="D255" s="7" t="n">
        <v>3792.6</v>
      </c>
      <c r="E255" s="7" t="n">
        <v>14609.2</v>
      </c>
      <c r="F255" s="7" t="n">
        <v>25347.7</v>
      </c>
      <c r="G255" s="7" t="n">
        <v>17044.4</v>
      </c>
      <c r="H255" s="7" t="n">
        <v>4246.1</v>
      </c>
      <c r="I255" s="7" t="n">
        <v>14831.5</v>
      </c>
      <c r="J255" s="7" t="n">
        <v>25336.9</v>
      </c>
      <c r="K255" s="7" t="n">
        <v>13714</v>
      </c>
      <c r="L255" s="7" t="n">
        <v>11015.1</v>
      </c>
      <c r="M255" s="7" t="n">
        <v>13375</v>
      </c>
      <c r="N255" s="7" t="n">
        <v>24915.1</v>
      </c>
      <c r="O255" s="7" t="n">
        <v>16580.3</v>
      </c>
      <c r="P255" s="7" t="n">
        <v>21309.2</v>
      </c>
      <c r="Q255" s="7" t="n">
        <v>14879.4</v>
      </c>
      <c r="R255" s="7" t="n">
        <v>541.9</v>
      </c>
      <c r="S255" s="7" t="n">
        <v>13562.4</v>
      </c>
      <c r="T255" s="7" t="n">
        <v>22029.5</v>
      </c>
      <c r="U255" s="7" t="n">
        <v>13496.4</v>
      </c>
      <c r="V255" s="7" t="n">
        <v>1901.1</v>
      </c>
      <c r="W255" s="7" t="n">
        <v>15284.7</v>
      </c>
      <c r="X255" s="7" t="n">
        <v>11979</v>
      </c>
      <c r="Y255" s="7" t="n">
        <v>14240.2</v>
      </c>
      <c r="Z255" s="7" t="n">
        <v>27760.2</v>
      </c>
      <c r="AA255" s="7" t="n">
        <v>178426.9</v>
      </c>
      <c r="AB255" s="7" t="n">
        <v>180174.4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198894.9</v>
      </c>
      <c r="D256" s="7" t="n">
        <v>159343.6</v>
      </c>
      <c r="E256" s="7" t="n">
        <v>197048.5</v>
      </c>
      <c r="F256" s="7" t="n">
        <v>184450.6</v>
      </c>
      <c r="G256" s="7" t="n">
        <v>230338.6</v>
      </c>
      <c r="H256" s="7" t="n">
        <v>110180.7</v>
      </c>
      <c r="I256" s="7" t="n">
        <v>229741.6</v>
      </c>
      <c r="J256" s="7" t="n">
        <v>137754.5</v>
      </c>
      <c r="K256" s="7" t="n">
        <v>221832.6</v>
      </c>
      <c r="L256" s="7" t="n">
        <v>244186.5</v>
      </c>
      <c r="M256" s="7" t="n">
        <v>196049.2</v>
      </c>
      <c r="N256" s="7" t="n">
        <v>397250.2</v>
      </c>
      <c r="O256" s="7" t="n">
        <v>202672.6</v>
      </c>
      <c r="P256" s="7" t="n">
        <v>323292.8</v>
      </c>
      <c r="Q256" s="7" t="n">
        <v>176837</v>
      </c>
      <c r="R256" s="7" t="n">
        <v>152678.6</v>
      </c>
      <c r="S256" s="7" t="n">
        <v>194721.8</v>
      </c>
      <c r="T256" s="7" t="n">
        <v>233569.6</v>
      </c>
      <c r="U256" s="7" t="n">
        <v>207624.3</v>
      </c>
      <c r="V256" s="7" t="n">
        <v>269066.3</v>
      </c>
      <c r="W256" s="7" t="n">
        <v>215912.5</v>
      </c>
      <c r="X256" s="7" t="n">
        <v>130293.4</v>
      </c>
      <c r="Y256" s="7" t="n">
        <v>231245.4</v>
      </c>
      <c r="Z256" s="7" t="n">
        <v>103599.4</v>
      </c>
      <c r="AA256" s="8" t="n">
        <v>2502919</v>
      </c>
      <c r="AB256" s="8" t="n">
        <v>2445666.2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457.3</v>
      </c>
      <c r="E257" s="7" t="n">
        <v>0</v>
      </c>
      <c r="F257" s="7" t="n">
        <v>2871.8</v>
      </c>
      <c r="G257" s="7" t="n">
        <v>0</v>
      </c>
      <c r="H257" s="7" t="n">
        <v>4873.6</v>
      </c>
      <c r="I257" s="7" t="n">
        <v>0</v>
      </c>
      <c r="J257" s="7" t="n">
        <v>3052.1</v>
      </c>
      <c r="K257" s="7" t="n">
        <v>0</v>
      </c>
      <c r="L257" s="7" t="n">
        <v>4219.2</v>
      </c>
      <c r="M257" s="7" t="n">
        <v>0</v>
      </c>
      <c r="N257" s="7" t="n">
        <v>4429.5</v>
      </c>
      <c r="O257" s="7" t="n">
        <v>0</v>
      </c>
      <c r="P257" s="7" t="n">
        <v>546</v>
      </c>
      <c r="Q257" s="7" t="n">
        <v>0</v>
      </c>
      <c r="R257" s="7" t="n">
        <v>4081.4</v>
      </c>
      <c r="S257" s="7" t="n">
        <v>0</v>
      </c>
      <c r="T257" s="7" t="n">
        <v>430.9</v>
      </c>
      <c r="U257" s="7" t="n">
        <v>0</v>
      </c>
      <c r="V257" s="7" t="n">
        <v>929.6</v>
      </c>
      <c r="W257" s="7" t="n">
        <v>0</v>
      </c>
      <c r="X257" s="7" t="n">
        <v>404.4</v>
      </c>
      <c r="Y257" s="7" t="n">
        <v>0</v>
      </c>
      <c r="Z257" s="7" t="n">
        <v>4400.6</v>
      </c>
      <c r="AA257" s="7" t="n">
        <v>0</v>
      </c>
      <c r="AB257" s="7" t="n">
        <v>30696.4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2231.6</v>
      </c>
      <c r="E258" s="7" t="n">
        <v>0</v>
      </c>
      <c r="F258" s="7" t="n">
        <v>682.2</v>
      </c>
      <c r="G258" s="7" t="n">
        <v>0</v>
      </c>
      <c r="H258" s="7" t="n">
        <v>2450.8</v>
      </c>
      <c r="I258" s="7" t="n">
        <v>0</v>
      </c>
      <c r="J258" s="7" t="n">
        <v>2381.8</v>
      </c>
      <c r="K258" s="7" t="n">
        <v>0</v>
      </c>
      <c r="L258" s="7" t="n">
        <v>159.7</v>
      </c>
      <c r="M258" s="7" t="n">
        <v>0</v>
      </c>
      <c r="N258" s="7" t="n">
        <v>1708.5</v>
      </c>
      <c r="O258" s="7" t="n">
        <v>0</v>
      </c>
      <c r="P258" s="7" t="n">
        <v>598.8</v>
      </c>
      <c r="Q258" s="7" t="n">
        <v>0</v>
      </c>
      <c r="R258" s="7" t="n">
        <v>98.5</v>
      </c>
      <c r="S258" s="7" t="n">
        <v>0</v>
      </c>
      <c r="T258" s="7" t="n">
        <v>212.6</v>
      </c>
      <c r="U258" s="7" t="n">
        <v>0</v>
      </c>
      <c r="V258" s="7" t="n">
        <v>1290.6</v>
      </c>
      <c r="W258" s="7" t="n">
        <v>0</v>
      </c>
      <c r="X258" s="7" t="n">
        <v>941.7</v>
      </c>
      <c r="Y258" s="7" t="n">
        <v>0</v>
      </c>
      <c r="Z258" s="7" t="n">
        <v>44.1</v>
      </c>
      <c r="AA258" s="7" t="n">
        <v>0</v>
      </c>
      <c r="AB258" s="7" t="n">
        <v>12800.9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208387.7</v>
      </c>
      <c r="D259" s="7" t="n">
        <v>173907</v>
      </c>
      <c r="E259" s="7" t="n">
        <v>202311.5</v>
      </c>
      <c r="F259" s="7" t="n">
        <v>175465.1</v>
      </c>
      <c r="G259" s="7" t="n">
        <v>209957</v>
      </c>
      <c r="H259" s="7" t="n">
        <v>114602.5</v>
      </c>
      <c r="I259" s="7" t="n">
        <v>208730.7</v>
      </c>
      <c r="J259" s="7" t="n">
        <v>151198.6</v>
      </c>
      <c r="K259" s="7" t="n">
        <v>226630.6</v>
      </c>
      <c r="L259" s="7" t="n">
        <v>223998.3</v>
      </c>
      <c r="M259" s="7" t="n">
        <v>198867.8</v>
      </c>
      <c r="N259" s="7" t="n">
        <v>397582.3</v>
      </c>
      <c r="O259" s="7" t="n">
        <v>181672.6</v>
      </c>
      <c r="P259" s="7" t="n">
        <v>341733.9</v>
      </c>
      <c r="Q259" s="7" t="n">
        <v>189368</v>
      </c>
      <c r="R259" s="7" t="n">
        <v>154564.9</v>
      </c>
      <c r="S259" s="7" t="n">
        <v>232227.8</v>
      </c>
      <c r="T259" s="7" t="n">
        <v>225498.8</v>
      </c>
      <c r="U259" s="7" t="n">
        <v>220551.2</v>
      </c>
      <c r="V259" s="7" t="n">
        <v>257928.9</v>
      </c>
      <c r="W259" s="7" t="n">
        <v>198947.1</v>
      </c>
      <c r="X259" s="7" t="n">
        <v>138390.6</v>
      </c>
      <c r="Y259" s="7" t="n">
        <v>218511.4</v>
      </c>
      <c r="Z259" s="7" t="n">
        <v>96157.8</v>
      </c>
      <c r="AA259" s="8" t="n">
        <v>2496163.4</v>
      </c>
      <c r="AB259" s="8" t="n">
        <v>2451028.7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58099.7</v>
      </c>
      <c r="D260" s="7" t="n">
        <v>43476.8</v>
      </c>
      <c r="E260" s="7" t="n">
        <v>55552</v>
      </c>
      <c r="F260" s="7" t="n">
        <v>43866.3</v>
      </c>
      <c r="G260" s="7" t="n">
        <v>51287.9</v>
      </c>
      <c r="H260" s="7" t="n">
        <v>28650.6</v>
      </c>
      <c r="I260" s="7" t="n">
        <v>45567.5</v>
      </c>
      <c r="J260" s="7" t="n">
        <v>37799.7</v>
      </c>
      <c r="K260" s="7" t="n">
        <v>50666.9</v>
      </c>
      <c r="L260" s="7" t="n">
        <v>55999.6</v>
      </c>
      <c r="M260" s="7" t="n">
        <v>55731.9</v>
      </c>
      <c r="N260" s="7" t="n">
        <v>99395.60000000001</v>
      </c>
      <c r="O260" s="7" t="n">
        <v>55826.3</v>
      </c>
      <c r="P260" s="7" t="n">
        <v>85433.5</v>
      </c>
      <c r="Q260" s="7" t="n">
        <v>44669.6</v>
      </c>
      <c r="R260" s="7" t="n">
        <v>38641.2</v>
      </c>
      <c r="S260" s="7" t="n">
        <v>57216.7</v>
      </c>
      <c r="T260" s="7" t="n">
        <v>56374.7</v>
      </c>
      <c r="U260" s="7" t="n">
        <v>54515.3</v>
      </c>
      <c r="V260" s="7" t="n">
        <v>64482.2</v>
      </c>
      <c r="W260" s="7" t="n">
        <v>44487.1</v>
      </c>
      <c r="X260" s="7" t="n">
        <v>34597.7</v>
      </c>
      <c r="Y260" s="7" t="n">
        <v>47353.1</v>
      </c>
      <c r="Z260" s="7" t="n">
        <v>24039.5</v>
      </c>
      <c r="AA260" s="7" t="n">
        <v>620974</v>
      </c>
      <c r="AB260" s="7" t="n">
        <v>612757.4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110507.2</v>
      </c>
      <c r="D261" s="7" t="n">
        <v>130430.2</v>
      </c>
      <c r="E261" s="7" t="n">
        <v>135964.2</v>
      </c>
      <c r="F261" s="7" t="n">
        <v>131598.8</v>
      </c>
      <c r="G261" s="7" t="n">
        <v>116053.1</v>
      </c>
      <c r="H261" s="7" t="n">
        <v>85951.89999999999</v>
      </c>
      <c r="I261" s="7" t="n">
        <v>109075</v>
      </c>
      <c r="J261" s="7" t="n">
        <v>113398.9</v>
      </c>
      <c r="K261" s="7" t="n">
        <v>107146.4</v>
      </c>
      <c r="L261" s="7" t="n">
        <v>167998.7</v>
      </c>
      <c r="M261" s="7" t="n">
        <v>90072.10000000001</v>
      </c>
      <c r="N261" s="7" t="n">
        <v>298186.7</v>
      </c>
      <c r="O261" s="7" t="n">
        <v>81205.89999999999</v>
      </c>
      <c r="P261" s="7" t="n">
        <v>256300.4</v>
      </c>
      <c r="Q261" s="7" t="n">
        <v>140520.6</v>
      </c>
      <c r="R261" s="7" t="n">
        <v>115923.7</v>
      </c>
      <c r="S261" s="7" t="n">
        <v>109630.5</v>
      </c>
      <c r="T261" s="7" t="n">
        <v>169124.1</v>
      </c>
      <c r="U261" s="7" t="n">
        <v>132590.5</v>
      </c>
      <c r="V261" s="7" t="n">
        <v>193446.7</v>
      </c>
      <c r="W261" s="7" t="n">
        <v>104495.5</v>
      </c>
      <c r="X261" s="7" t="n">
        <v>103792.9</v>
      </c>
      <c r="Y261" s="7" t="n">
        <v>82719.7</v>
      </c>
      <c r="Z261" s="7" t="n">
        <v>72118.3</v>
      </c>
      <c r="AA261" s="8" t="n">
        <v>1319980.7</v>
      </c>
      <c r="AB261" s="8" t="n">
        <v>1838271.3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1776.6</v>
      </c>
      <c r="E262" s="7" t="n">
        <v>0</v>
      </c>
      <c r="F262" s="7" t="n">
        <v>13888.7</v>
      </c>
      <c r="G262" s="7" t="n">
        <v>0</v>
      </c>
      <c r="H262" s="7" t="n">
        <v>14478.1</v>
      </c>
      <c r="I262" s="7" t="n">
        <v>0</v>
      </c>
      <c r="J262" s="7" t="n">
        <v>20778.3</v>
      </c>
      <c r="K262" s="7" t="n">
        <v>0</v>
      </c>
      <c r="L262" s="7" t="n">
        <v>11177.6</v>
      </c>
      <c r="M262" s="7" t="n">
        <v>0</v>
      </c>
      <c r="N262" s="7" t="n">
        <v>16386.2</v>
      </c>
      <c r="O262" s="7" t="n">
        <v>0</v>
      </c>
      <c r="P262" s="7" t="n">
        <v>36005.5</v>
      </c>
      <c r="Q262" s="7" t="n">
        <v>0</v>
      </c>
      <c r="R262" s="7" t="n">
        <v>10320.8</v>
      </c>
      <c r="S262" s="7" t="n">
        <v>0</v>
      </c>
      <c r="T262" s="7" t="n">
        <v>49256.7</v>
      </c>
      <c r="U262" s="7" t="n">
        <v>0</v>
      </c>
      <c r="V262" s="7" t="n">
        <v>45479.6</v>
      </c>
      <c r="W262" s="7" t="n">
        <v>0</v>
      </c>
      <c r="X262" s="7" t="n">
        <v>22680</v>
      </c>
      <c r="Y262" s="7" t="n">
        <v>0</v>
      </c>
      <c r="Z262" s="7" t="n">
        <v>9473.1</v>
      </c>
      <c r="AA262" s="7" t="n">
        <v>0</v>
      </c>
      <c r="AB262" s="7" t="n">
        <v>251701.2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110507.2</v>
      </c>
      <c r="D263" s="7" t="n">
        <v>128653.6</v>
      </c>
      <c r="E263" s="7" t="n">
        <v>135964.2</v>
      </c>
      <c r="F263" s="7" t="n">
        <v>117710.1</v>
      </c>
      <c r="G263" s="7" t="n">
        <v>116053.1</v>
      </c>
      <c r="H263" s="7" t="n">
        <v>71473.8</v>
      </c>
      <c r="I263" s="7" t="n">
        <v>109075</v>
      </c>
      <c r="J263" s="7" t="n">
        <v>92620.60000000001</v>
      </c>
      <c r="K263" s="7" t="n">
        <v>107146.4</v>
      </c>
      <c r="L263" s="7" t="n">
        <v>156821.1</v>
      </c>
      <c r="M263" s="7" t="n">
        <v>90072.10000000001</v>
      </c>
      <c r="N263" s="7" t="n">
        <v>281800.5</v>
      </c>
      <c r="O263" s="7" t="n">
        <v>81205.89999999999</v>
      </c>
      <c r="P263" s="7" t="n">
        <v>220294.9</v>
      </c>
      <c r="Q263" s="7" t="n">
        <v>140520.6</v>
      </c>
      <c r="R263" s="7" t="n">
        <v>105602.9</v>
      </c>
      <c r="S263" s="7" t="n">
        <v>109630.5</v>
      </c>
      <c r="T263" s="7" t="n">
        <v>119867.4</v>
      </c>
      <c r="U263" s="7" t="n">
        <v>132590.5</v>
      </c>
      <c r="V263" s="7" t="n">
        <v>147967.1</v>
      </c>
      <c r="W263" s="7" t="n">
        <v>104495.5</v>
      </c>
      <c r="X263" s="7" t="n">
        <v>81112.89999999999</v>
      </c>
      <c r="Y263" s="7" t="n">
        <v>82719.7</v>
      </c>
      <c r="Z263" s="7" t="n">
        <v>62645.2</v>
      </c>
      <c r="AA263" s="8" t="n">
        <v>1319980.7</v>
      </c>
      <c r="AB263" s="8" t="n">
        <v>1586570.1</v>
      </c>
    </row>
    <row r="264">
      <c r="A264" s="4" t="inlineStr">
        <is>
          <t>净利率</t>
        </is>
      </c>
      <c r="D264" s="13" t="n">
        <v>11</v>
      </c>
      <c r="F264" s="13" t="n">
        <v>10.1</v>
      </c>
      <c r="H264" s="13" t="n">
        <v>4.9</v>
      </c>
      <c r="J264" s="13" t="n">
        <v>6</v>
      </c>
      <c r="L264" s="13" t="n">
        <v>7.4</v>
      </c>
      <c r="N264" s="13" t="n">
        <v>11.1</v>
      </c>
      <c r="P264" s="13" t="n">
        <v>11.5</v>
      </c>
      <c r="R264" s="13" t="n">
        <v>6.1</v>
      </c>
      <c r="T264" s="13" t="n">
        <v>9.199999999999999</v>
      </c>
      <c r="V264" s="13" t="n">
        <v>9.800000000000001</v>
      </c>
      <c r="X264" s="13" t="n">
        <v>6.6</v>
      </c>
      <c r="Z264" s="13" t="n">
        <v>5.3</v>
      </c>
    </row>
    <row r="265">
      <c r="A265" s="4" t="inlineStr">
        <is>
          <t>销售达成率</t>
        </is>
      </c>
      <c r="D265" s="13" t="n">
        <v>72.59999999999999</v>
      </c>
      <c r="F265" s="13" t="n">
        <v>77.8</v>
      </c>
      <c r="H265" s="13" t="n">
        <v>106.3</v>
      </c>
      <c r="J265" s="13" t="n">
        <v>100.9</v>
      </c>
      <c r="L265" s="13" t="n">
        <v>114.2</v>
      </c>
      <c r="N265" s="13" t="n">
        <v>160.7</v>
      </c>
      <c r="P265" s="13" t="n">
        <v>131.8</v>
      </c>
      <c r="R265" s="13" t="n">
        <v>103.1</v>
      </c>
      <c r="T265" s="13" t="n">
        <v>93.59999999999999</v>
      </c>
      <c r="V265" s="13" t="n">
        <v>93.09999999999999</v>
      </c>
      <c r="X265" s="13" t="n">
        <v>84</v>
      </c>
      <c r="Z265" s="13" t="n">
        <v>79.2</v>
      </c>
    </row>
    <row r="266">
      <c r="A266" s="4" t="inlineStr">
        <is>
          <t>净利达成率</t>
        </is>
      </c>
      <c r="D266" s="13" t="n">
        <v>118</v>
      </c>
      <c r="F266" s="13" t="n">
        <v>96.8</v>
      </c>
      <c r="H266" s="13" t="n">
        <v>74.09999999999999</v>
      </c>
      <c r="J266" s="13" t="n">
        <v>104</v>
      </c>
      <c r="L266" s="13" t="n">
        <v>156.8</v>
      </c>
      <c r="N266" s="13" t="n">
        <v>331.1</v>
      </c>
      <c r="P266" s="13" t="n">
        <v>315.6</v>
      </c>
      <c r="R266" s="13" t="n">
        <v>82.5</v>
      </c>
      <c r="T266" s="13" t="n">
        <v>154.3</v>
      </c>
      <c r="V266" s="13" t="n">
        <v>145.9</v>
      </c>
      <c r="X266" s="13" t="n">
        <v>99.3</v>
      </c>
      <c r="Z266" s="13" t="n">
        <v>87.2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赣皖区域利润表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1141142</v>
      </c>
      <c r="D6" s="7" t="n">
        <v>619358.1</v>
      </c>
      <c r="E6" s="7" t="n">
        <v>1268551</v>
      </c>
      <c r="F6" s="7" t="n">
        <v>905552.6</v>
      </c>
      <c r="G6" s="7" t="n">
        <v>1253128.5</v>
      </c>
      <c r="H6" s="7" t="n">
        <v>1052562.9</v>
      </c>
      <c r="I6" s="7" t="n">
        <v>1325775.7</v>
      </c>
      <c r="J6" s="7" t="n">
        <v>1252497.4</v>
      </c>
      <c r="K6" s="7" t="n">
        <v>1325983</v>
      </c>
      <c r="L6" s="7" t="n">
        <v>1295374.6</v>
      </c>
      <c r="M6" s="7" t="n">
        <v>1328501.6</v>
      </c>
      <c r="N6" s="7" t="n">
        <v>1444419.9</v>
      </c>
      <c r="O6" s="7" t="n">
        <v>1156053.7</v>
      </c>
      <c r="P6" s="7" t="n">
        <v>1640658.5</v>
      </c>
      <c r="Q6" s="7" t="n">
        <v>1133263.1</v>
      </c>
      <c r="R6" s="7" t="n">
        <v>1405545.5</v>
      </c>
      <c r="S6" s="7" t="n">
        <v>1277909.5</v>
      </c>
      <c r="T6" s="7" t="n">
        <v>1166116.2</v>
      </c>
      <c r="U6" s="7" t="n">
        <v>1292546.4</v>
      </c>
      <c r="V6" s="7" t="n">
        <v>1531091</v>
      </c>
      <c r="W6" s="7" t="n">
        <v>1333193.3</v>
      </c>
      <c r="X6" s="7" t="n">
        <v>1160917.2</v>
      </c>
      <c r="Y6" s="7" t="n">
        <v>1032254.3</v>
      </c>
      <c r="Z6" s="7" t="n">
        <v>856867.2</v>
      </c>
      <c r="AA6" s="8" t="n">
        <v>14868302.1</v>
      </c>
      <c r="AB6" s="8" t="n">
        <v>14330961.1</v>
      </c>
    </row>
    <row r="7">
      <c r="A7" s="4" t="inlineStr">
        <is>
          <t>中式汤底</t>
        </is>
      </c>
      <c r="D7" s="7" t="n">
        <v>38020.3</v>
      </c>
      <c r="F7" s="7" t="n">
        <v>51985.2</v>
      </c>
      <c r="H7" s="7" t="n">
        <v>55080.4</v>
      </c>
      <c r="J7" s="7" t="n">
        <v>95580.7</v>
      </c>
      <c r="L7" s="7" t="n">
        <v>75633.10000000001</v>
      </c>
      <c r="N7" s="7" t="n">
        <v>101521.4</v>
      </c>
      <c r="P7" s="7" t="n">
        <v>147510.5</v>
      </c>
      <c r="R7" s="7" t="n">
        <v>81810.8</v>
      </c>
      <c r="T7" s="7" t="n">
        <v>95814.2</v>
      </c>
      <c r="V7" s="7" t="n">
        <v>143556.5</v>
      </c>
      <c r="X7" s="7" t="n">
        <v>60951.7</v>
      </c>
      <c r="Z7" s="7" t="n">
        <v>44744.7</v>
      </c>
      <c r="AB7" s="7" t="n">
        <v>992209.5</v>
      </c>
    </row>
    <row r="8">
      <c r="A8" s="4" t="inlineStr">
        <is>
          <t>酱料</t>
        </is>
      </c>
      <c r="D8" s="7" t="n">
        <v>34924.9</v>
      </c>
      <c r="F8" s="7" t="n">
        <v>72746.39999999999</v>
      </c>
      <c r="H8" s="7" t="n">
        <v>68312.10000000001</v>
      </c>
      <c r="J8" s="7" t="n">
        <v>112366.6</v>
      </c>
      <c r="L8" s="7" t="n">
        <v>122276</v>
      </c>
      <c r="N8" s="7" t="n">
        <v>142713.3</v>
      </c>
      <c r="P8" s="7" t="n">
        <v>141873.8</v>
      </c>
      <c r="R8" s="7" t="n">
        <v>99967.2</v>
      </c>
      <c r="T8" s="7" t="n">
        <v>108085.9</v>
      </c>
      <c r="V8" s="7" t="n">
        <v>146314.3</v>
      </c>
      <c r="X8" s="7" t="n">
        <v>63749.5</v>
      </c>
      <c r="Z8" s="7" t="n">
        <v>81145.2</v>
      </c>
      <c r="AB8" s="7" t="n">
        <v>1194475.2</v>
      </c>
    </row>
    <row r="9">
      <c r="A9" s="4" t="inlineStr">
        <is>
          <t>川味底料</t>
        </is>
      </c>
      <c r="D9" s="7" t="n">
        <v>76411.10000000001</v>
      </c>
      <c r="F9" s="7" t="n">
        <v>147810.2</v>
      </c>
      <c r="H9" s="7" t="n">
        <v>163921</v>
      </c>
      <c r="J9" s="7" t="n">
        <v>120956</v>
      </c>
      <c r="L9" s="7" t="n">
        <v>189382</v>
      </c>
      <c r="N9" s="7" t="n">
        <v>174847.4</v>
      </c>
      <c r="P9" s="7" t="n">
        <v>324147.5</v>
      </c>
      <c r="R9" s="7" t="n">
        <v>212320.5</v>
      </c>
      <c r="T9" s="7" t="n">
        <v>254829.7</v>
      </c>
      <c r="V9" s="7" t="n">
        <v>178193.3</v>
      </c>
      <c r="X9" s="7" t="n">
        <v>197452.7</v>
      </c>
      <c r="Z9" s="7" t="n">
        <v>142893.4</v>
      </c>
      <c r="AB9" s="7" t="n">
        <v>2183164.8</v>
      </c>
    </row>
    <row r="10">
      <c r="A10" s="4" t="inlineStr">
        <is>
          <t>调味汁</t>
        </is>
      </c>
      <c r="D10" s="7" t="n">
        <v>89239.2</v>
      </c>
      <c r="F10" s="7" t="n">
        <v>96814.3</v>
      </c>
      <c r="H10" s="7" t="n">
        <v>110064</v>
      </c>
      <c r="J10" s="7" t="n">
        <v>158177.6</v>
      </c>
      <c r="L10" s="7" t="n">
        <v>132298</v>
      </c>
      <c r="N10" s="7" t="n">
        <v>138766.8</v>
      </c>
      <c r="P10" s="7" t="n">
        <v>226399.4</v>
      </c>
      <c r="R10" s="7" t="n">
        <v>147615.8</v>
      </c>
      <c r="T10" s="7" t="n">
        <v>119543.6</v>
      </c>
      <c r="V10" s="7" t="n">
        <v>154265.5</v>
      </c>
      <c r="X10" s="7" t="n">
        <v>174236</v>
      </c>
      <c r="Z10" s="7" t="n">
        <v>100780.3</v>
      </c>
      <c r="AB10" s="7" t="n">
        <v>1648200.5</v>
      </c>
    </row>
    <row r="11">
      <c r="A11" s="4" t="inlineStr">
        <is>
          <t>复合调味粉</t>
        </is>
      </c>
      <c r="D11" s="7" t="n">
        <v>75599.8</v>
      </c>
      <c r="F11" s="7" t="n">
        <v>109114.1</v>
      </c>
      <c r="H11" s="7" t="n">
        <v>97261.5</v>
      </c>
      <c r="J11" s="7" t="n">
        <v>190133.3</v>
      </c>
      <c r="L11" s="7" t="n">
        <v>180545.7</v>
      </c>
      <c r="N11" s="7" t="n">
        <v>234344.4</v>
      </c>
      <c r="P11" s="7" t="n">
        <v>145754.3</v>
      </c>
      <c r="R11" s="7" t="n">
        <v>162168.8</v>
      </c>
      <c r="T11" s="7" t="n">
        <v>95562.2</v>
      </c>
      <c r="V11" s="7" t="n">
        <v>226155</v>
      </c>
      <c r="X11" s="7" t="n">
        <v>88480.2</v>
      </c>
      <c r="Z11" s="7" t="n">
        <v>99036.3</v>
      </c>
      <c r="AB11" s="7" t="n">
        <v>1704155.6</v>
      </c>
    </row>
    <row r="12">
      <c r="A12" s="4" t="inlineStr">
        <is>
          <t>团餐</t>
        </is>
      </c>
      <c r="D12" s="7" t="n">
        <v>132708.8</v>
      </c>
      <c r="F12" s="7" t="n">
        <v>261756.8</v>
      </c>
      <c r="H12" s="7" t="n">
        <v>253104.9</v>
      </c>
      <c r="J12" s="7" t="n">
        <v>361322</v>
      </c>
      <c r="L12" s="7" t="n">
        <v>387340.7</v>
      </c>
      <c r="N12" s="7" t="n">
        <v>266149.5</v>
      </c>
      <c r="P12" s="7" t="n">
        <v>327295.6</v>
      </c>
      <c r="R12" s="7" t="n">
        <v>299002.7</v>
      </c>
      <c r="T12" s="7" t="n">
        <v>223215.8</v>
      </c>
      <c r="V12" s="7" t="n">
        <v>346724.7</v>
      </c>
      <c r="X12" s="7" t="n">
        <v>241118.5</v>
      </c>
      <c r="Z12" s="7" t="n">
        <v>194940.5</v>
      </c>
      <c r="AB12" s="7" t="n">
        <v>3294680.5</v>
      </c>
    </row>
    <row r="13">
      <c r="A13" s="4" t="inlineStr">
        <is>
          <t>预制菜</t>
        </is>
      </c>
      <c r="D13" s="7" t="n">
        <v>178407.8</v>
      </c>
      <c r="F13" s="7" t="n">
        <v>172473.5</v>
      </c>
      <c r="H13" s="7" t="n">
        <v>299488.6</v>
      </c>
      <c r="J13" s="7" t="n">
        <v>226111</v>
      </c>
      <c r="L13" s="7" t="n">
        <v>200696.6</v>
      </c>
      <c r="N13" s="7" t="n">
        <v>401450.5</v>
      </c>
      <c r="P13" s="7" t="n">
        <v>339524.8</v>
      </c>
      <c r="R13" s="7" t="n">
        <v>397208.7</v>
      </c>
      <c r="T13" s="7" t="n">
        <v>286288.4</v>
      </c>
      <c r="V13" s="7" t="n">
        <v>345466.8</v>
      </c>
      <c r="X13" s="7" t="n">
        <v>335117.3</v>
      </c>
      <c r="Z13" s="7" t="n">
        <v>191547.5</v>
      </c>
      <c r="AB13" s="7" t="n">
        <v>3373781.5</v>
      </c>
    </row>
    <row r="14">
      <c r="A14" s="4" t="inlineStr">
        <is>
          <t>返利</t>
        </is>
      </c>
      <c r="D14" s="7" t="n">
        <v>-12806.6</v>
      </c>
      <c r="F14" s="7" t="n">
        <v>-25214.4</v>
      </c>
      <c r="H14" s="7" t="n">
        <v>-15540</v>
      </c>
      <c r="J14" s="7" t="n">
        <v>-34685.7</v>
      </c>
      <c r="L14" s="7" t="n">
        <v>-16781.9</v>
      </c>
      <c r="N14" s="7" t="n">
        <v>-30070</v>
      </c>
      <c r="P14" s="7" t="n">
        <v>-29931.2</v>
      </c>
      <c r="R14" s="7" t="n">
        <v>-21645.7</v>
      </c>
      <c r="T14" s="7" t="n">
        <v>-24747.7</v>
      </c>
      <c r="V14" s="7" t="n">
        <v>-16606</v>
      </c>
      <c r="X14" s="7" t="n">
        <v>-21579.5</v>
      </c>
      <c r="Z14" s="7" t="n">
        <v>-11864.4</v>
      </c>
      <c r="AB14" s="7" t="n">
        <v>-261473.1</v>
      </c>
    </row>
    <row r="15">
      <c r="A15" s="4" t="inlineStr">
        <is>
          <t>其他</t>
        </is>
      </c>
      <c r="D15" s="7" t="n">
        <v>6852.8</v>
      </c>
      <c r="F15" s="7" t="n">
        <v>18066.5</v>
      </c>
      <c r="H15" s="7" t="n">
        <v>20870.4</v>
      </c>
      <c r="J15" s="7" t="n">
        <v>22535.9</v>
      </c>
      <c r="L15" s="7" t="n">
        <v>23984.4</v>
      </c>
      <c r="N15" s="7" t="n">
        <v>14696.6</v>
      </c>
      <c r="P15" s="7" t="n">
        <v>18083.8</v>
      </c>
      <c r="R15" s="7" t="n">
        <v>27096.7</v>
      </c>
      <c r="T15" s="7" t="n">
        <v>7524.1</v>
      </c>
      <c r="V15" s="7" t="n">
        <v>7020.9</v>
      </c>
      <c r="X15" s="7" t="n">
        <v>21390.8</v>
      </c>
      <c r="Z15" s="7" t="n">
        <v>13643.7</v>
      </c>
      <c r="AB15" s="7" t="n">
        <v>201766.6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798643.2</v>
      </c>
      <c r="D16" s="7" t="n">
        <v>444108.2</v>
      </c>
      <c r="E16" s="7" t="n">
        <v>801597.1</v>
      </c>
      <c r="F16" s="7" t="n">
        <v>644947.5</v>
      </c>
      <c r="G16" s="7" t="n">
        <v>809830.7</v>
      </c>
      <c r="H16" s="7" t="n">
        <v>737254.7</v>
      </c>
      <c r="I16" s="7" t="n">
        <v>761929.8</v>
      </c>
      <c r="J16" s="7" t="n">
        <v>865310.3</v>
      </c>
      <c r="K16" s="7" t="n">
        <v>756109.3</v>
      </c>
      <c r="L16" s="7" t="n">
        <v>874371.8</v>
      </c>
      <c r="M16" s="7" t="n">
        <v>917022.5</v>
      </c>
      <c r="N16" s="7" t="n">
        <v>1019159.4</v>
      </c>
      <c r="O16" s="7" t="n">
        <v>859216.9</v>
      </c>
      <c r="P16" s="7" t="n">
        <v>1155267.5</v>
      </c>
      <c r="Q16" s="7" t="n">
        <v>845874.1</v>
      </c>
      <c r="R16" s="7" t="n">
        <v>985455.8</v>
      </c>
      <c r="S16" s="7" t="n">
        <v>793846.8</v>
      </c>
      <c r="T16" s="7" t="n">
        <v>824653.8</v>
      </c>
      <c r="U16" s="7" t="n">
        <v>902233.7</v>
      </c>
      <c r="V16" s="7" t="n">
        <v>1056079.2</v>
      </c>
      <c r="W16" s="7" t="n">
        <v>737149</v>
      </c>
      <c r="X16" s="7" t="n">
        <v>818494.3</v>
      </c>
      <c r="Y16" s="7" t="n">
        <v>833976.9</v>
      </c>
      <c r="Z16" s="7" t="n">
        <v>602521.2</v>
      </c>
      <c r="AA16" s="8" t="n">
        <v>9817430</v>
      </c>
      <c r="AB16" s="8" t="n">
        <v>10027623.7</v>
      </c>
    </row>
    <row r="17">
      <c r="A17" s="4" t="inlineStr">
        <is>
          <t>中式汤底</t>
        </is>
      </c>
      <c r="D17" s="7" t="n">
        <v>24385.7</v>
      </c>
      <c r="F17" s="7" t="n">
        <v>33342.6</v>
      </c>
      <c r="H17" s="7" t="n">
        <v>35327.8</v>
      </c>
      <c r="J17" s="7" t="n">
        <v>61304.1</v>
      </c>
      <c r="L17" s="7" t="n">
        <v>48510</v>
      </c>
      <c r="N17" s="7" t="n">
        <v>65114.4</v>
      </c>
      <c r="P17" s="7" t="n">
        <v>94611.10000000001</v>
      </c>
      <c r="R17" s="7" t="n">
        <v>52472.3</v>
      </c>
      <c r="T17" s="7" t="n">
        <v>61453.8</v>
      </c>
      <c r="V17" s="7" t="n">
        <v>92075.10000000001</v>
      </c>
      <c r="X17" s="7" t="n">
        <v>39093.5</v>
      </c>
      <c r="Z17" s="7" t="n">
        <v>28698.6</v>
      </c>
      <c r="AB17" s="7" t="n">
        <v>636389</v>
      </c>
    </row>
    <row r="18">
      <c r="A18" s="4" t="inlineStr">
        <is>
          <t>酱料</t>
        </is>
      </c>
      <c r="D18" s="7" t="n">
        <v>24255</v>
      </c>
      <c r="F18" s="7" t="n">
        <v>50521.6</v>
      </c>
      <c r="H18" s="7" t="n">
        <v>47442</v>
      </c>
      <c r="J18" s="7" t="n">
        <v>78037.3</v>
      </c>
      <c r="L18" s="7" t="n">
        <v>84919.3</v>
      </c>
      <c r="N18" s="7" t="n">
        <v>99112.8</v>
      </c>
      <c r="P18" s="7" t="n">
        <v>98529.8</v>
      </c>
      <c r="R18" s="7" t="n">
        <v>69426.10000000001</v>
      </c>
      <c r="T18" s="7" t="n">
        <v>75064.39999999999</v>
      </c>
      <c r="V18" s="7" t="n">
        <v>101613.6</v>
      </c>
      <c r="X18" s="7" t="n">
        <v>44273.3</v>
      </c>
      <c r="Z18" s="7" t="n">
        <v>56354.4</v>
      </c>
      <c r="AB18" s="7" t="n">
        <v>829549.6</v>
      </c>
    </row>
    <row r="19">
      <c r="A19" s="4" t="inlineStr">
        <is>
          <t>川味底料</t>
        </is>
      </c>
      <c r="D19" s="7" t="n">
        <v>48291.5</v>
      </c>
      <c r="F19" s="7" t="n">
        <v>93415.39999999999</v>
      </c>
      <c r="H19" s="7" t="n">
        <v>103597.4</v>
      </c>
      <c r="J19" s="7" t="n">
        <v>76443.7</v>
      </c>
      <c r="L19" s="7" t="n">
        <v>119688.6</v>
      </c>
      <c r="N19" s="7" t="n">
        <v>110502.8</v>
      </c>
      <c r="P19" s="7" t="n">
        <v>204859.8</v>
      </c>
      <c r="R19" s="7" t="n">
        <v>134185.6</v>
      </c>
      <c r="T19" s="7" t="n">
        <v>161051.3</v>
      </c>
      <c r="V19" s="7" t="n">
        <v>112617.4</v>
      </c>
      <c r="X19" s="7" t="n">
        <v>124789.3</v>
      </c>
      <c r="Z19" s="7" t="n">
        <v>90308</v>
      </c>
      <c r="AB19" s="7" t="n">
        <v>1379750.8</v>
      </c>
    </row>
    <row r="20">
      <c r="A20" s="4" t="inlineStr">
        <is>
          <t>调味汁</t>
        </is>
      </c>
      <c r="D20" s="7" t="n">
        <v>60768</v>
      </c>
      <c r="F20" s="7" t="n">
        <v>65926.3</v>
      </c>
      <c r="H20" s="7" t="n">
        <v>74948.8</v>
      </c>
      <c r="J20" s="7" t="n">
        <v>107712</v>
      </c>
      <c r="L20" s="7" t="n">
        <v>90089.2</v>
      </c>
      <c r="N20" s="7" t="n">
        <v>94494.10000000001</v>
      </c>
      <c r="P20" s="7" t="n">
        <v>154168.1</v>
      </c>
      <c r="R20" s="7" t="n">
        <v>100519.9</v>
      </c>
      <c r="T20" s="7" t="n">
        <v>81404</v>
      </c>
      <c r="V20" s="7" t="n">
        <v>105048.1</v>
      </c>
      <c r="X20" s="7" t="n">
        <v>118647.1</v>
      </c>
      <c r="Z20" s="7" t="n">
        <v>68627</v>
      </c>
      <c r="AB20" s="7" t="n">
        <v>1122352.6</v>
      </c>
    </row>
    <row r="21">
      <c r="A21" s="4" t="inlineStr">
        <is>
          <t>复合调味粉</t>
        </is>
      </c>
      <c r="D21" s="7" t="n">
        <v>43913.8</v>
      </c>
      <c r="F21" s="7" t="n">
        <v>63381.4</v>
      </c>
      <c r="H21" s="7" t="n">
        <v>56496.5</v>
      </c>
      <c r="J21" s="7" t="n">
        <v>110443.2</v>
      </c>
      <c r="L21" s="7" t="n">
        <v>104874</v>
      </c>
      <c r="N21" s="7" t="n">
        <v>136124.2</v>
      </c>
      <c r="P21" s="7" t="n">
        <v>84664.60000000001</v>
      </c>
      <c r="R21" s="7" t="n">
        <v>94199.39999999999</v>
      </c>
      <c r="T21" s="7" t="n">
        <v>55509.4</v>
      </c>
      <c r="V21" s="7" t="n">
        <v>131367.2</v>
      </c>
      <c r="X21" s="7" t="n">
        <v>51395.7</v>
      </c>
      <c r="Z21" s="7" t="n">
        <v>57527.4</v>
      </c>
      <c r="AB21" s="7" t="n">
        <v>989896.8</v>
      </c>
    </row>
    <row r="22">
      <c r="A22" s="4" t="inlineStr">
        <is>
          <t>团餐</t>
        </is>
      </c>
      <c r="D22" s="7" t="n">
        <v>85450.89999999999</v>
      </c>
      <c r="F22" s="7" t="n">
        <v>168544.7</v>
      </c>
      <c r="H22" s="7" t="n">
        <v>162973.8</v>
      </c>
      <c r="J22" s="7" t="n">
        <v>232654.6</v>
      </c>
      <c r="L22" s="7" t="n">
        <v>249407.9</v>
      </c>
      <c r="N22" s="7" t="n">
        <v>171373.2</v>
      </c>
      <c r="P22" s="7" t="n">
        <v>210745</v>
      </c>
      <c r="R22" s="7" t="n">
        <v>192527.3</v>
      </c>
      <c r="T22" s="7" t="n">
        <v>143728.2</v>
      </c>
      <c r="V22" s="7" t="n">
        <v>223255.4</v>
      </c>
      <c r="X22" s="7" t="n">
        <v>155255.7</v>
      </c>
      <c r="Z22" s="7" t="n">
        <v>125521.8</v>
      </c>
      <c r="AB22" s="7" t="n">
        <v>2121438.5</v>
      </c>
    </row>
    <row r="23">
      <c r="A23" s="4" t="inlineStr">
        <is>
          <t>预制菜</t>
        </is>
      </c>
      <c r="D23" s="7" t="n">
        <v>132707</v>
      </c>
      <c r="F23" s="7" t="n">
        <v>128292.8</v>
      </c>
      <c r="H23" s="7" t="n">
        <v>222771.8</v>
      </c>
      <c r="J23" s="7" t="n">
        <v>168190.6</v>
      </c>
      <c r="L23" s="7" t="n">
        <v>149286.3</v>
      </c>
      <c r="N23" s="7" t="n">
        <v>298615.2</v>
      </c>
      <c r="P23" s="7" t="n">
        <v>252552.4</v>
      </c>
      <c r="R23" s="7" t="n">
        <v>295460</v>
      </c>
      <c r="T23" s="7" t="n">
        <v>212953</v>
      </c>
      <c r="V23" s="7" t="n">
        <v>256972.3</v>
      </c>
      <c r="X23" s="7" t="n">
        <v>249273.9</v>
      </c>
      <c r="Z23" s="7" t="n">
        <v>142480.8</v>
      </c>
      <c r="AB23" s="7" t="n">
        <v>2509556.1</v>
      </c>
    </row>
    <row r="24">
      <c r="A24" s="4" t="inlineStr">
        <is>
          <t>其他</t>
        </is>
      </c>
      <c r="D24" s="7" t="n">
        <v>5875.4</v>
      </c>
      <c r="F24" s="7" t="n">
        <v>8817.5</v>
      </c>
      <c r="H24" s="7" t="n">
        <v>9372.6</v>
      </c>
      <c r="J24" s="7" t="n">
        <v>10018.9</v>
      </c>
      <c r="L24" s="7" t="n">
        <v>15063.8</v>
      </c>
      <c r="N24" s="7" t="n">
        <v>1945.4</v>
      </c>
      <c r="P24" s="7" t="n">
        <v>1833.6</v>
      </c>
      <c r="R24" s="7" t="n">
        <v>1879.8</v>
      </c>
      <c r="T24" s="7" t="n">
        <v>12324.9</v>
      </c>
      <c r="V24" s="7" t="n">
        <v>19260.2</v>
      </c>
      <c r="X24" s="7" t="n">
        <v>1483.3</v>
      </c>
      <c r="Z24" s="7" t="n">
        <v>11234.1</v>
      </c>
      <c r="AB24" s="7" t="n">
        <v>99109.5</v>
      </c>
    </row>
    <row r="25">
      <c r="A25" s="4" t="inlineStr">
        <is>
          <t>运费</t>
        </is>
      </c>
      <c r="D25" s="7" t="n">
        <v>24336.3</v>
      </c>
      <c r="F25" s="7" t="n">
        <v>41522.7</v>
      </c>
      <c r="H25" s="7" t="n">
        <v>33696.6</v>
      </c>
      <c r="J25" s="7" t="n">
        <v>30524.8</v>
      </c>
      <c r="L25" s="7" t="n">
        <v>27596.5</v>
      </c>
      <c r="N25" s="7" t="n">
        <v>43822.7</v>
      </c>
      <c r="P25" s="7" t="n">
        <v>55136.7</v>
      </c>
      <c r="R25" s="7" t="n">
        <v>46665.2</v>
      </c>
      <c r="T25" s="7" t="n">
        <v>33489.7</v>
      </c>
      <c r="V25" s="7" t="n">
        <v>33130.1</v>
      </c>
      <c r="X25" s="7" t="n">
        <v>35765.8</v>
      </c>
      <c r="Z25" s="7" t="n">
        <v>33003.2</v>
      </c>
      <c r="AB25" s="7" t="n">
        <v>438690.3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342498.8</v>
      </c>
      <c r="D26" s="7" t="n">
        <v>175249.9</v>
      </c>
      <c r="E26" s="7" t="n">
        <v>466953.9</v>
      </c>
      <c r="F26" s="7" t="n">
        <v>260605.1</v>
      </c>
      <c r="G26" s="7" t="n">
        <v>443297.8</v>
      </c>
      <c r="H26" s="7" t="n">
        <v>315308.2</v>
      </c>
      <c r="I26" s="7" t="n">
        <v>563845.9</v>
      </c>
      <c r="J26" s="7" t="n">
        <v>387187.1</v>
      </c>
      <c r="K26" s="7" t="n">
        <v>569873.7</v>
      </c>
      <c r="L26" s="7" t="n">
        <v>421002.8</v>
      </c>
      <c r="M26" s="7" t="n">
        <v>411479.1</v>
      </c>
      <c r="N26" s="7" t="n">
        <v>425260.5</v>
      </c>
      <c r="O26" s="7" t="n">
        <v>296836.8</v>
      </c>
      <c r="P26" s="7" t="n">
        <v>485391</v>
      </c>
      <c r="Q26" s="7" t="n">
        <v>287389</v>
      </c>
      <c r="R26" s="7" t="n">
        <v>420089.7</v>
      </c>
      <c r="S26" s="7" t="n">
        <v>484062.7</v>
      </c>
      <c r="T26" s="7" t="n">
        <v>341462.4</v>
      </c>
      <c r="U26" s="7" t="n">
        <v>390312.7</v>
      </c>
      <c r="V26" s="7" t="n">
        <v>475011.8</v>
      </c>
      <c r="W26" s="7" t="n">
        <v>596044.3</v>
      </c>
      <c r="X26" s="7" t="n">
        <v>342422.9</v>
      </c>
      <c r="Y26" s="7" t="n">
        <v>198277.4</v>
      </c>
      <c r="Z26" s="7" t="n">
        <v>254346</v>
      </c>
      <c r="AA26" s="8" t="n">
        <v>5050872.1</v>
      </c>
      <c r="AB26" s="8" t="n">
        <v>4303337.4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30</v>
      </c>
      <c r="D27" s="13" t="n">
        <v>28.3</v>
      </c>
      <c r="E27" s="13" t="n">
        <v>36.8</v>
      </c>
      <c r="F27" s="13" t="n">
        <v>28.8</v>
      </c>
      <c r="G27" s="13" t="n">
        <v>35.4</v>
      </c>
      <c r="H27" s="13" t="n">
        <v>30</v>
      </c>
      <c r="I27" s="13" t="n">
        <v>42.5</v>
      </c>
      <c r="J27" s="13" t="n">
        <v>30.9</v>
      </c>
      <c r="K27" s="13" t="n">
        <v>43</v>
      </c>
      <c r="L27" s="13" t="n">
        <v>32.5</v>
      </c>
      <c r="M27" s="13" t="n">
        <v>31</v>
      </c>
      <c r="N27" s="13" t="n">
        <v>29.4</v>
      </c>
      <c r="O27" s="13" t="n">
        <v>25.7</v>
      </c>
      <c r="P27" s="13" t="n">
        <v>29.6</v>
      </c>
      <c r="Q27" s="13" t="n">
        <v>25.4</v>
      </c>
      <c r="R27" s="13" t="n">
        <v>29.9</v>
      </c>
      <c r="S27" s="13" t="n">
        <v>37.9</v>
      </c>
      <c r="T27" s="13" t="n">
        <v>29.3</v>
      </c>
      <c r="U27" s="13" t="n">
        <v>30.2</v>
      </c>
      <c r="V27" s="13" t="n">
        <v>31</v>
      </c>
      <c r="W27" s="13" t="n">
        <v>44.7</v>
      </c>
      <c r="X27" s="13" t="n">
        <v>29.5</v>
      </c>
      <c r="Y27" s="13" t="n">
        <v>19.2</v>
      </c>
      <c r="Z27" s="13" t="n">
        <v>29.7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11932</v>
      </c>
      <c r="D28" s="7" t="n">
        <v>3215.1</v>
      </c>
      <c r="E28" s="7" t="n">
        <v>12306.6</v>
      </c>
      <c r="F28" s="7" t="n">
        <v>7502.8</v>
      </c>
      <c r="G28" s="7" t="n">
        <v>11543.3</v>
      </c>
      <c r="H28" s="7" t="n">
        <v>8367.200000000001</v>
      </c>
      <c r="I28" s="7" t="n">
        <v>9531.799999999999</v>
      </c>
      <c r="J28" s="7" t="n">
        <v>18066.4</v>
      </c>
      <c r="K28" s="7" t="n">
        <v>9838.9</v>
      </c>
      <c r="L28" s="7" t="n">
        <v>15311</v>
      </c>
      <c r="M28" s="7" t="n">
        <v>9262.1</v>
      </c>
      <c r="N28" s="7" t="n">
        <v>8001.8</v>
      </c>
      <c r="O28" s="7" t="n">
        <v>9530.299999999999</v>
      </c>
      <c r="P28" s="7" t="n">
        <v>19732.2</v>
      </c>
      <c r="Q28" s="7" t="n">
        <v>9702</v>
      </c>
      <c r="R28" s="7" t="n">
        <v>9391.700000000001</v>
      </c>
      <c r="S28" s="7" t="n">
        <v>10690.7</v>
      </c>
      <c r="T28" s="7" t="n">
        <v>6108</v>
      </c>
      <c r="U28" s="7" t="n">
        <v>10285.4</v>
      </c>
      <c r="V28" s="7" t="n">
        <v>18634.7</v>
      </c>
      <c r="W28" s="7" t="n">
        <v>11854.6</v>
      </c>
      <c r="X28" s="7" t="n">
        <v>10111</v>
      </c>
      <c r="Y28" s="7" t="n">
        <v>11109.5</v>
      </c>
      <c r="Z28" s="7" t="n">
        <v>6287.8</v>
      </c>
      <c r="AA28" s="8" t="n">
        <v>127587.2</v>
      </c>
      <c r="AB28" s="8" t="n">
        <v>130729.7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225428.2</v>
      </c>
      <c r="D29" s="7" t="n">
        <v>142940.7</v>
      </c>
      <c r="E29" s="7" t="n">
        <v>206922.9</v>
      </c>
      <c r="F29" s="7" t="n">
        <v>98640.2</v>
      </c>
      <c r="G29" s="7" t="n">
        <v>208804.4</v>
      </c>
      <c r="H29" s="7" t="n">
        <v>130187.6</v>
      </c>
      <c r="I29" s="7" t="n">
        <v>183487.1</v>
      </c>
      <c r="J29" s="7" t="n">
        <v>203721.4</v>
      </c>
      <c r="K29" s="7" t="n">
        <v>205679.4</v>
      </c>
      <c r="L29" s="7" t="n">
        <v>287402.7</v>
      </c>
      <c r="M29" s="7" t="n">
        <v>204725.4</v>
      </c>
      <c r="N29" s="7" t="n">
        <v>343549.4</v>
      </c>
      <c r="O29" s="7" t="n">
        <v>169982.6</v>
      </c>
      <c r="P29" s="7" t="n">
        <v>183492.9</v>
      </c>
      <c r="Q29" s="7" t="n">
        <v>184845</v>
      </c>
      <c r="R29" s="7" t="n">
        <v>163955.6</v>
      </c>
      <c r="S29" s="7" t="n">
        <v>224790.4</v>
      </c>
      <c r="T29" s="7" t="n">
        <v>154148.7</v>
      </c>
      <c r="U29" s="7" t="n">
        <v>197290.8</v>
      </c>
      <c r="V29" s="7" t="n">
        <v>318346.2</v>
      </c>
      <c r="W29" s="7" t="n">
        <v>213466.8</v>
      </c>
      <c r="X29" s="7" t="n">
        <v>147975.1</v>
      </c>
      <c r="Y29" s="7" t="n">
        <v>209859.9</v>
      </c>
      <c r="Z29" s="7" t="n">
        <v>198601.4</v>
      </c>
      <c r="AA29" s="8" t="n">
        <v>2435282.9</v>
      </c>
      <c r="AB29" s="8" t="n">
        <v>2372961.9</v>
      </c>
    </row>
    <row r="30">
      <c r="A30" s="4" t="inlineStr">
        <is>
          <t>职工薪酬</t>
        </is>
      </c>
      <c r="D30" s="7" t="n">
        <v>72441.60000000001</v>
      </c>
      <c r="F30" s="7" t="n">
        <v>60726.8</v>
      </c>
      <c r="H30" s="7" t="n">
        <v>70165.60000000001</v>
      </c>
      <c r="J30" s="7" t="n">
        <v>127498.8</v>
      </c>
      <c r="L30" s="7" t="n">
        <v>150393.4</v>
      </c>
      <c r="N30" s="7" t="n">
        <v>143317.6</v>
      </c>
      <c r="P30" s="7" t="n">
        <v>101667.3</v>
      </c>
      <c r="R30" s="7" t="n">
        <v>87301.89999999999</v>
      </c>
      <c r="T30" s="7" t="n">
        <v>67715.7</v>
      </c>
      <c r="V30" s="7" t="n">
        <v>156813.1</v>
      </c>
      <c r="X30" s="7" t="n">
        <v>82152.7</v>
      </c>
      <c r="Z30" s="7" t="n">
        <v>119808.3</v>
      </c>
      <c r="AB30" s="7" t="n">
        <v>1240002.8</v>
      </c>
    </row>
    <row r="31">
      <c r="A31" s="4" t="inlineStr">
        <is>
          <t>工资</t>
        </is>
      </c>
      <c r="D31" s="7" t="n">
        <v>40120.7</v>
      </c>
      <c r="F31" s="7" t="n">
        <v>37713.2</v>
      </c>
      <c r="H31" s="7" t="n">
        <v>41916.2</v>
      </c>
      <c r="J31" s="7" t="n">
        <v>78345.2</v>
      </c>
      <c r="L31" s="7" t="n">
        <v>100336.6</v>
      </c>
      <c r="N31" s="7" t="n">
        <v>72900.10000000001</v>
      </c>
      <c r="P31" s="7" t="n">
        <v>61324.3</v>
      </c>
      <c r="R31" s="7" t="n">
        <v>51517.5</v>
      </c>
      <c r="T31" s="7" t="n">
        <v>32454.6</v>
      </c>
      <c r="V31" s="7" t="n">
        <v>86805.89999999999</v>
      </c>
      <c r="X31" s="7" t="n">
        <v>56050.6</v>
      </c>
      <c r="Z31" s="7" t="n">
        <v>73103.5</v>
      </c>
      <c r="AB31" s="7" t="n">
        <v>732588.4</v>
      </c>
    </row>
    <row r="32">
      <c r="A32" s="4" t="inlineStr">
        <is>
          <t>奖金及提成</t>
        </is>
      </c>
      <c r="D32" s="7" t="n">
        <v>13680.1</v>
      </c>
      <c r="F32" s="7" t="n">
        <v>9902.4</v>
      </c>
      <c r="H32" s="7" t="n">
        <v>14571.1</v>
      </c>
      <c r="J32" s="7" t="n">
        <v>23554.1</v>
      </c>
      <c r="L32" s="7" t="n">
        <v>21228.9</v>
      </c>
      <c r="N32" s="7" t="n">
        <v>35236.4</v>
      </c>
      <c r="P32" s="7" t="n">
        <v>19746</v>
      </c>
      <c r="R32" s="7" t="n">
        <v>20427.5</v>
      </c>
      <c r="T32" s="7" t="n">
        <v>19626.9</v>
      </c>
      <c r="V32" s="7" t="n">
        <v>41203.3</v>
      </c>
      <c r="X32" s="7" t="n">
        <v>13348.6</v>
      </c>
      <c r="Z32" s="7" t="n">
        <v>21234.9</v>
      </c>
      <c r="AB32" s="7" t="n">
        <v>253760.2</v>
      </c>
    </row>
    <row r="33">
      <c r="A33" s="4" t="inlineStr">
        <is>
          <t>社保</t>
        </is>
      </c>
      <c r="D33" s="7" t="n">
        <v>14124.2</v>
      </c>
      <c r="F33" s="7" t="n">
        <v>10068.5</v>
      </c>
      <c r="H33" s="7" t="n">
        <v>9535</v>
      </c>
      <c r="J33" s="7" t="n">
        <v>18839.8</v>
      </c>
      <c r="L33" s="7" t="n">
        <v>19455.5</v>
      </c>
      <c r="N33" s="7" t="n">
        <v>25402.9</v>
      </c>
      <c r="P33" s="7" t="n">
        <v>15270.3</v>
      </c>
      <c r="R33" s="7" t="n">
        <v>10334.5</v>
      </c>
      <c r="T33" s="7" t="n">
        <v>11306</v>
      </c>
      <c r="V33" s="7" t="n">
        <v>18907.1</v>
      </c>
      <c r="X33" s="7" t="n">
        <v>8708</v>
      </c>
      <c r="Z33" s="7" t="n">
        <v>20309</v>
      </c>
      <c r="AB33" s="7" t="n">
        <v>182260.8</v>
      </c>
    </row>
    <row r="34">
      <c r="A34" s="4" t="inlineStr">
        <is>
          <t>养老</t>
        </is>
      </c>
      <c r="D34" s="7" t="n">
        <v>558.6</v>
      </c>
      <c r="F34" s="7" t="n">
        <v>400.1</v>
      </c>
      <c r="H34" s="7" t="n">
        <v>456.3</v>
      </c>
      <c r="J34" s="7" t="n">
        <v>728</v>
      </c>
      <c r="L34" s="7" t="n">
        <v>1339.6</v>
      </c>
      <c r="N34" s="7" t="n">
        <v>1532.3</v>
      </c>
      <c r="P34" s="7" t="n">
        <v>503.7</v>
      </c>
      <c r="R34" s="7" t="n">
        <v>629.3</v>
      </c>
      <c r="T34" s="7" t="n">
        <v>650.5</v>
      </c>
      <c r="V34" s="7" t="n">
        <v>1172.6</v>
      </c>
      <c r="X34" s="7" t="n">
        <v>401.4</v>
      </c>
      <c r="Z34" s="7" t="n">
        <v>828.5</v>
      </c>
      <c r="AB34" s="7" t="n">
        <v>9200.9</v>
      </c>
    </row>
    <row r="35">
      <c r="A35" s="4" t="inlineStr">
        <is>
          <t>医疗</t>
        </is>
      </c>
      <c r="D35" s="7" t="n">
        <v>223.6</v>
      </c>
      <c r="F35" s="7" t="n">
        <v>134.5</v>
      </c>
      <c r="H35" s="7" t="n">
        <v>228.6</v>
      </c>
      <c r="J35" s="7" t="n">
        <v>364.8</v>
      </c>
      <c r="L35" s="7" t="n">
        <v>580.1</v>
      </c>
      <c r="N35" s="7" t="n">
        <v>597.3</v>
      </c>
      <c r="P35" s="7" t="n">
        <v>303</v>
      </c>
      <c r="R35" s="7" t="n">
        <v>226.9</v>
      </c>
      <c r="T35" s="7" t="n">
        <v>256.1</v>
      </c>
      <c r="V35" s="7" t="n">
        <v>644.6</v>
      </c>
      <c r="X35" s="7" t="n">
        <v>216.9</v>
      </c>
      <c r="Z35" s="7" t="n">
        <v>262.8</v>
      </c>
      <c r="AB35" s="7" t="n">
        <v>4039.2</v>
      </c>
    </row>
    <row r="36">
      <c r="A36" s="4" t="inlineStr">
        <is>
          <t>工伤</t>
        </is>
      </c>
      <c r="D36" s="7" t="n">
        <v>2.6</v>
      </c>
      <c r="F36" s="7" t="n">
        <v>1.7</v>
      </c>
      <c r="H36" s="7" t="n">
        <v>2.9</v>
      </c>
      <c r="J36" s="7" t="n">
        <v>2.9</v>
      </c>
      <c r="L36" s="7" t="n">
        <v>4.7</v>
      </c>
      <c r="N36" s="7" t="n">
        <v>5.2</v>
      </c>
      <c r="P36" s="7" t="n">
        <v>3.6</v>
      </c>
      <c r="R36" s="7" t="n">
        <v>3.6</v>
      </c>
      <c r="T36" s="7" t="n">
        <v>2.1</v>
      </c>
      <c r="V36" s="7" t="n">
        <v>4.8</v>
      </c>
      <c r="X36" s="7" t="n">
        <v>2.5</v>
      </c>
      <c r="Z36" s="7" t="n">
        <v>3.1</v>
      </c>
      <c r="AB36" s="7" t="n">
        <v>39.7</v>
      </c>
    </row>
    <row r="37">
      <c r="A37" s="4" t="inlineStr">
        <is>
          <t>失业</t>
        </is>
      </c>
      <c r="D37" s="7" t="n">
        <v>682.6</v>
      </c>
      <c r="F37" s="7" t="n">
        <v>443.9</v>
      </c>
      <c r="H37" s="7" t="n">
        <v>784.5</v>
      </c>
      <c r="J37" s="7" t="n">
        <v>972.9</v>
      </c>
      <c r="L37" s="7" t="n">
        <v>1247.9</v>
      </c>
      <c r="N37" s="7" t="n">
        <v>1644.3</v>
      </c>
      <c r="P37" s="7" t="n">
        <v>1371.6</v>
      </c>
      <c r="R37" s="7" t="n">
        <v>1083.8</v>
      </c>
      <c r="T37" s="7" t="n">
        <v>717.5</v>
      </c>
      <c r="V37" s="7" t="n">
        <v>2202</v>
      </c>
      <c r="X37" s="7" t="n">
        <v>771.6</v>
      </c>
      <c r="Z37" s="7" t="n">
        <v>1420.6</v>
      </c>
      <c r="AB37" s="7" t="n">
        <v>13343.2</v>
      </c>
    </row>
    <row r="38">
      <c r="A38" s="4" t="inlineStr">
        <is>
          <t>生育</t>
        </is>
      </c>
      <c r="D38" s="7" t="n">
        <v>74.7</v>
      </c>
      <c r="F38" s="7" t="n">
        <v>32.4</v>
      </c>
      <c r="H38" s="7" t="n">
        <v>43.1</v>
      </c>
      <c r="J38" s="7" t="n">
        <v>115.3</v>
      </c>
      <c r="L38" s="7" t="n">
        <v>125.3</v>
      </c>
      <c r="N38" s="7" t="n">
        <v>173.8</v>
      </c>
      <c r="P38" s="7" t="n">
        <v>76.7</v>
      </c>
      <c r="R38" s="7" t="n">
        <v>52.7</v>
      </c>
      <c r="T38" s="7" t="n">
        <v>81.7</v>
      </c>
      <c r="V38" s="7" t="n">
        <v>149.2</v>
      </c>
      <c r="X38" s="7" t="n">
        <v>84.5</v>
      </c>
      <c r="Z38" s="7" t="n">
        <v>91.40000000000001</v>
      </c>
      <c r="AB38" s="7" t="n">
        <v>1100.8</v>
      </c>
    </row>
    <row r="39">
      <c r="A39" s="4" t="inlineStr">
        <is>
          <t>公积金</t>
        </is>
      </c>
      <c r="D39" s="7" t="n">
        <v>180.1</v>
      </c>
      <c r="F39" s="7" t="n">
        <v>195.1</v>
      </c>
      <c r="H39" s="7" t="n">
        <v>156.2</v>
      </c>
      <c r="J39" s="7" t="n">
        <v>303.7</v>
      </c>
      <c r="L39" s="7" t="n">
        <v>381</v>
      </c>
      <c r="N39" s="7" t="n">
        <v>427.9</v>
      </c>
      <c r="P39" s="7" t="n">
        <v>367.3</v>
      </c>
      <c r="R39" s="7" t="n">
        <v>227</v>
      </c>
      <c r="T39" s="7" t="n">
        <v>271.9</v>
      </c>
      <c r="V39" s="7" t="n">
        <v>646.5</v>
      </c>
      <c r="X39" s="7" t="n">
        <v>295.7</v>
      </c>
      <c r="Z39" s="7" t="n">
        <v>308.2</v>
      </c>
      <c r="AB39" s="7" t="n">
        <v>3760.6</v>
      </c>
    </row>
    <row r="40">
      <c r="A40" s="4" t="inlineStr">
        <is>
          <t>工会经费</t>
        </is>
      </c>
      <c r="D40" s="7" t="n">
        <v>917.4</v>
      </c>
      <c r="F40" s="7" t="n">
        <v>504.4</v>
      </c>
      <c r="H40" s="7" t="n">
        <v>830.1</v>
      </c>
      <c r="J40" s="7" t="n">
        <v>978</v>
      </c>
      <c r="L40" s="7" t="n">
        <v>1726.1</v>
      </c>
      <c r="N40" s="7" t="n">
        <v>2066.9</v>
      </c>
      <c r="P40" s="7" t="n">
        <v>683</v>
      </c>
      <c r="R40" s="7" t="n">
        <v>856.3</v>
      </c>
      <c r="T40" s="7" t="n">
        <v>805.2</v>
      </c>
      <c r="V40" s="7" t="n">
        <v>1502.2</v>
      </c>
      <c r="X40" s="7" t="n">
        <v>585.8</v>
      </c>
      <c r="Z40" s="7" t="n">
        <v>714.9</v>
      </c>
      <c r="AB40" s="7" t="n">
        <v>12170.3</v>
      </c>
    </row>
    <row r="41">
      <c r="A41" s="4" t="inlineStr">
        <is>
          <t>职工教育经费</t>
        </is>
      </c>
      <c r="D41" s="7" t="n">
        <v>754.3</v>
      </c>
      <c r="F41" s="7" t="n">
        <v>679.9</v>
      </c>
      <c r="H41" s="7" t="n">
        <v>1000.4</v>
      </c>
      <c r="J41" s="7" t="n">
        <v>1500.6</v>
      </c>
      <c r="L41" s="7" t="n">
        <v>2211.2</v>
      </c>
      <c r="N41" s="7" t="n">
        <v>1685.5</v>
      </c>
      <c r="P41" s="7" t="n">
        <v>1057.5</v>
      </c>
      <c r="R41" s="7" t="n">
        <v>1037.6</v>
      </c>
      <c r="T41" s="7" t="n">
        <v>719.4</v>
      </c>
      <c r="V41" s="7" t="n">
        <v>1944.5</v>
      </c>
      <c r="X41" s="7" t="n">
        <v>904.6</v>
      </c>
      <c r="Z41" s="7" t="n">
        <v>887.4</v>
      </c>
      <c r="AB41" s="7" t="n">
        <v>14382.9</v>
      </c>
    </row>
    <row r="42">
      <c r="A42" s="4" t="inlineStr">
        <is>
          <t>福利费</t>
        </is>
      </c>
      <c r="D42" s="7" t="n">
        <v>2664.8</v>
      </c>
      <c r="F42" s="7" t="n">
        <v>1663.3</v>
      </c>
      <c r="H42" s="7" t="n">
        <v>2156.6</v>
      </c>
      <c r="J42" s="7" t="n">
        <v>3977.4</v>
      </c>
      <c r="L42" s="7" t="n">
        <v>5054.1</v>
      </c>
      <c r="N42" s="7" t="n">
        <v>5597.9</v>
      </c>
      <c r="P42" s="7" t="n">
        <v>3218.9</v>
      </c>
      <c r="R42" s="7" t="n">
        <v>2901.5</v>
      </c>
      <c r="T42" s="7" t="n">
        <v>2531.7</v>
      </c>
      <c r="V42" s="7" t="n">
        <v>5803.6</v>
      </c>
      <c r="X42" s="7" t="n">
        <v>2259.4</v>
      </c>
      <c r="Z42" s="7" t="n">
        <v>3250.4</v>
      </c>
      <c r="AB42" s="7" t="n">
        <v>41079.6</v>
      </c>
    </row>
    <row r="43">
      <c r="A43" s="4" t="inlineStr">
        <is>
          <t>职工房租</t>
        </is>
      </c>
      <c r="D43" s="7" t="n">
        <v>846.3</v>
      </c>
      <c r="F43" s="7" t="n">
        <v>412.8</v>
      </c>
      <c r="H43" s="7" t="n">
        <v>618.9</v>
      </c>
      <c r="J43" s="7" t="n">
        <v>1324</v>
      </c>
      <c r="L43" s="7" t="n">
        <v>1755.7</v>
      </c>
      <c r="N43" s="7" t="n">
        <v>1815.5</v>
      </c>
      <c r="P43" s="7" t="n">
        <v>1192.2</v>
      </c>
      <c r="R43" s="7" t="n">
        <v>969.3</v>
      </c>
      <c r="T43" s="7" t="n">
        <v>893.8</v>
      </c>
      <c r="V43" s="7" t="n">
        <v>1725.4</v>
      </c>
      <c r="X43" s="7" t="n">
        <v>741</v>
      </c>
      <c r="Z43" s="7" t="n">
        <v>1205.2</v>
      </c>
      <c r="AB43" s="7" t="n">
        <v>13500.1</v>
      </c>
    </row>
    <row r="44">
      <c r="A44" s="4" t="inlineStr">
        <is>
          <t>水电物业费</t>
        </is>
      </c>
      <c r="D44" s="7" t="n">
        <v>389.9</v>
      </c>
      <c r="F44" s="7" t="n">
        <v>300.3</v>
      </c>
      <c r="H44" s="7" t="n">
        <v>442.5</v>
      </c>
      <c r="J44" s="7" t="n">
        <v>503.4</v>
      </c>
      <c r="L44" s="7" t="n">
        <v>998.6</v>
      </c>
      <c r="N44" s="7" t="n">
        <v>1006.2</v>
      </c>
      <c r="P44" s="7" t="n">
        <v>696.1</v>
      </c>
      <c r="R44" s="7" t="n">
        <v>602.7</v>
      </c>
      <c r="T44" s="7" t="n">
        <v>499.6</v>
      </c>
      <c r="V44" s="7" t="n">
        <v>1178.8</v>
      </c>
      <c r="X44" s="7" t="n">
        <v>369.3</v>
      </c>
      <c r="Z44" s="7" t="n">
        <v>677.3</v>
      </c>
      <c r="AB44" s="7" t="n">
        <v>7664.7</v>
      </c>
    </row>
    <row r="45">
      <c r="A45" s="4" t="inlineStr">
        <is>
          <t>员工餐</t>
        </is>
      </c>
      <c r="D45" s="7" t="n">
        <v>30.4</v>
      </c>
      <c r="F45" s="7" t="n">
        <v>37.3</v>
      </c>
      <c r="H45" s="7" t="n">
        <v>34.3</v>
      </c>
      <c r="J45" s="7" t="n">
        <v>50</v>
      </c>
      <c r="L45" s="7" t="n">
        <v>85.5</v>
      </c>
      <c r="N45" s="7" t="n">
        <v>118.7</v>
      </c>
      <c r="P45" s="7" t="n">
        <v>56.8</v>
      </c>
      <c r="R45" s="7" t="n">
        <v>39.7</v>
      </c>
      <c r="T45" s="7" t="n">
        <v>46.2</v>
      </c>
      <c r="V45" s="7" t="n">
        <v>85.90000000000001</v>
      </c>
      <c r="X45" s="7" t="n">
        <v>54.6</v>
      </c>
      <c r="Z45" s="7" t="n">
        <v>58.2</v>
      </c>
      <c r="AB45" s="7" t="n">
        <v>697.6</v>
      </c>
    </row>
    <row r="46">
      <c r="A46" s="4" t="inlineStr">
        <is>
          <t>节日礼品</t>
        </is>
      </c>
      <c r="D46" s="7" t="n">
        <v>676.1</v>
      </c>
      <c r="F46" s="7" t="n">
        <v>445</v>
      </c>
      <c r="H46" s="7" t="n">
        <v>430</v>
      </c>
      <c r="J46" s="7" t="n">
        <v>992.5</v>
      </c>
      <c r="L46" s="7" t="n">
        <v>972.3</v>
      </c>
      <c r="N46" s="7" t="n">
        <v>959.6</v>
      </c>
      <c r="P46" s="7" t="n">
        <v>530.4</v>
      </c>
      <c r="R46" s="7" t="n">
        <v>630.8</v>
      </c>
      <c r="T46" s="7" t="n">
        <v>471.1</v>
      </c>
      <c r="V46" s="7" t="n">
        <v>1399.8</v>
      </c>
      <c r="X46" s="7" t="n">
        <v>450.3</v>
      </c>
      <c r="Z46" s="7" t="n">
        <v>555</v>
      </c>
      <c r="AB46" s="7" t="n">
        <v>8512.9</v>
      </c>
    </row>
    <row r="47">
      <c r="A47" s="4" t="inlineStr">
        <is>
          <t>生日礼品</t>
        </is>
      </c>
      <c r="D47" s="7" t="n">
        <v>552.3</v>
      </c>
      <c r="F47" s="7" t="n">
        <v>364.4</v>
      </c>
      <c r="H47" s="7" t="n">
        <v>505.9</v>
      </c>
      <c r="J47" s="7" t="n">
        <v>886</v>
      </c>
      <c r="L47" s="7" t="n">
        <v>869.7</v>
      </c>
      <c r="N47" s="7" t="n">
        <v>1362.8</v>
      </c>
      <c r="P47" s="7" t="n">
        <v>526.1</v>
      </c>
      <c r="R47" s="7" t="n">
        <v>504.4</v>
      </c>
      <c r="T47" s="7" t="n">
        <v>482.8</v>
      </c>
      <c r="V47" s="7" t="n">
        <v>1141.9</v>
      </c>
      <c r="X47" s="7" t="n">
        <v>463.8</v>
      </c>
      <c r="Z47" s="7" t="n">
        <v>593.5</v>
      </c>
      <c r="AB47" s="7" t="n">
        <v>8253.6</v>
      </c>
    </row>
    <row r="48">
      <c r="A48" s="4" t="inlineStr">
        <is>
          <t>体检</t>
        </is>
      </c>
      <c r="D48" s="7" t="n">
        <v>141.9</v>
      </c>
      <c r="F48" s="7" t="n">
        <v>86.40000000000001</v>
      </c>
      <c r="H48" s="7" t="n">
        <v>86.09999999999999</v>
      </c>
      <c r="J48" s="7" t="n">
        <v>167.6</v>
      </c>
      <c r="L48" s="7" t="n">
        <v>315.7</v>
      </c>
      <c r="N48" s="7" t="n">
        <v>271.7</v>
      </c>
      <c r="P48" s="7" t="n">
        <v>168.2</v>
      </c>
      <c r="R48" s="7" t="n">
        <v>115.8</v>
      </c>
      <c r="T48" s="7" t="n">
        <v>94</v>
      </c>
      <c r="V48" s="7" t="n">
        <v>213.3</v>
      </c>
      <c r="X48" s="7" t="n">
        <v>137.5</v>
      </c>
      <c r="Z48" s="7" t="n">
        <v>121.4</v>
      </c>
      <c r="AB48" s="7" t="n">
        <v>1919.6</v>
      </c>
    </row>
    <row r="49">
      <c r="A49" s="4" t="inlineStr">
        <is>
          <t>其他福利支出</t>
        </is>
      </c>
      <c r="D49" s="7" t="n">
        <v>27.9</v>
      </c>
      <c r="F49" s="7" t="n">
        <v>17.1</v>
      </c>
      <c r="H49" s="7" t="n">
        <v>38.9</v>
      </c>
      <c r="J49" s="7" t="n">
        <v>53.9</v>
      </c>
      <c r="L49" s="7" t="n">
        <v>56.6</v>
      </c>
      <c r="N49" s="7" t="n">
        <v>63.4</v>
      </c>
      <c r="P49" s="7" t="n">
        <v>49.1</v>
      </c>
      <c r="R49" s="7" t="n">
        <v>38.8</v>
      </c>
      <c r="T49" s="7" t="n">
        <v>44.2</v>
      </c>
      <c r="V49" s="7" t="n">
        <v>58.5</v>
      </c>
      <c r="X49" s="7" t="n">
        <v>42.9</v>
      </c>
      <c r="Z49" s="7" t="n">
        <v>39.8</v>
      </c>
      <c r="AB49" s="7" t="n">
        <v>531.1</v>
      </c>
    </row>
    <row r="50">
      <c r="A50" s="4" t="inlineStr">
        <is>
          <t>招聘费</t>
        </is>
      </c>
      <c r="D50" s="7" t="n">
        <v>487.7</v>
      </c>
      <c r="F50" s="7" t="n">
        <v>541.4</v>
      </c>
      <c r="H50" s="7" t="n">
        <v>477</v>
      </c>
      <c r="J50" s="7" t="n">
        <v>725.1</v>
      </c>
      <c r="L50" s="7" t="n">
        <v>1219.3</v>
      </c>
      <c r="N50" s="7" t="n">
        <v>1177.7</v>
      </c>
      <c r="P50" s="7" t="n">
        <v>736</v>
      </c>
      <c r="R50" s="7" t="n">
        <v>631.5</v>
      </c>
      <c r="T50" s="7" t="n">
        <v>804.9</v>
      </c>
      <c r="V50" s="7" t="n">
        <v>1790.6</v>
      </c>
      <c r="X50" s="7" t="n">
        <v>631.5</v>
      </c>
      <c r="Z50" s="7" t="n">
        <v>1099.2</v>
      </c>
      <c r="AB50" s="7" t="n">
        <v>10321.9</v>
      </c>
    </row>
    <row r="51">
      <c r="A51" s="4" t="inlineStr">
        <is>
          <t>办公费</t>
        </is>
      </c>
      <c r="D51" s="7" t="n">
        <v>3595.6</v>
      </c>
      <c r="F51" s="7" t="n">
        <v>3541.9</v>
      </c>
      <c r="H51" s="7" t="n">
        <v>3804.7</v>
      </c>
      <c r="J51" s="7" t="n">
        <v>5583.1</v>
      </c>
      <c r="L51" s="7" t="n">
        <v>10707.4</v>
      </c>
      <c r="N51" s="7" t="n">
        <v>7807.9</v>
      </c>
      <c r="P51" s="7" t="n">
        <v>5627.9</v>
      </c>
      <c r="R51" s="7" t="n">
        <v>3832.7</v>
      </c>
      <c r="T51" s="7" t="n">
        <v>3434.2</v>
      </c>
      <c r="V51" s="7" t="n">
        <v>6816.6</v>
      </c>
      <c r="X51" s="7" t="n">
        <v>3538.7</v>
      </c>
      <c r="Z51" s="7" t="n">
        <v>6309.1</v>
      </c>
      <c r="AB51" s="7" t="n">
        <v>64599.8</v>
      </c>
    </row>
    <row r="52">
      <c r="A52" s="4" t="inlineStr">
        <is>
          <t>市内交通费</t>
        </is>
      </c>
      <c r="D52" s="7" t="n">
        <v>479.3</v>
      </c>
      <c r="F52" s="7" t="n">
        <v>298.9</v>
      </c>
      <c r="H52" s="7" t="n">
        <v>406.5</v>
      </c>
      <c r="J52" s="7" t="n">
        <v>545.2</v>
      </c>
      <c r="L52" s="7" t="n">
        <v>726.2</v>
      </c>
      <c r="N52" s="7" t="n">
        <v>997.3</v>
      </c>
      <c r="P52" s="7" t="n">
        <v>608.4</v>
      </c>
      <c r="R52" s="7" t="n">
        <v>355.5</v>
      </c>
      <c r="T52" s="7" t="n">
        <v>483</v>
      </c>
      <c r="V52" s="7" t="n">
        <v>883.9</v>
      </c>
      <c r="X52" s="7" t="n">
        <v>311.2</v>
      </c>
      <c r="Z52" s="7" t="n">
        <v>634</v>
      </c>
      <c r="AB52" s="7" t="n">
        <v>6729.4</v>
      </c>
    </row>
    <row r="53">
      <c r="A53" s="4" t="inlineStr">
        <is>
          <t>差旅费</t>
        </is>
      </c>
      <c r="D53" s="7" t="n">
        <v>7360.3</v>
      </c>
      <c r="F53" s="7" t="n">
        <v>7133.4</v>
      </c>
      <c r="H53" s="7" t="n">
        <v>8944.9</v>
      </c>
      <c r="J53" s="7" t="n">
        <v>14578.8</v>
      </c>
      <c r="L53" s="7" t="n">
        <v>12762.9</v>
      </c>
      <c r="N53" s="7" t="n">
        <v>19216.6</v>
      </c>
      <c r="P53" s="7" t="n">
        <v>8778.200000000001</v>
      </c>
      <c r="R53" s="7" t="n">
        <v>10235.7</v>
      </c>
      <c r="T53" s="7" t="n">
        <v>10921.8</v>
      </c>
      <c r="V53" s="7" t="n">
        <v>15697.3</v>
      </c>
      <c r="X53" s="7" t="n">
        <v>6846.3</v>
      </c>
      <c r="Z53" s="7" t="n">
        <v>11822.1</v>
      </c>
      <c r="AB53" s="7" t="n">
        <v>134298.3</v>
      </c>
    </row>
    <row r="54">
      <c r="A54" s="4" t="inlineStr">
        <is>
          <t>交通费</t>
        </is>
      </c>
      <c r="D54" s="7" t="n">
        <v>432.2</v>
      </c>
      <c r="F54" s="7" t="n">
        <v>335.2</v>
      </c>
      <c r="H54" s="7" t="n">
        <v>394</v>
      </c>
      <c r="J54" s="7" t="n">
        <v>806.4</v>
      </c>
      <c r="L54" s="7" t="n">
        <v>1137.8</v>
      </c>
      <c r="N54" s="7" t="n">
        <v>1404.8</v>
      </c>
      <c r="P54" s="7" t="n">
        <v>588.6</v>
      </c>
      <c r="R54" s="7" t="n">
        <v>620.6</v>
      </c>
      <c r="T54" s="7" t="n">
        <v>625.3</v>
      </c>
      <c r="V54" s="7" t="n">
        <v>972.7</v>
      </c>
      <c r="X54" s="7" t="n">
        <v>544.7</v>
      </c>
      <c r="Z54" s="7" t="n">
        <v>820.9</v>
      </c>
      <c r="AB54" s="7" t="n">
        <v>8683.200000000001</v>
      </c>
    </row>
    <row r="55">
      <c r="A55" s="4" t="inlineStr">
        <is>
          <t>住宿费</t>
        </is>
      </c>
      <c r="D55" s="7" t="n">
        <v>79.40000000000001</v>
      </c>
      <c r="F55" s="7" t="n">
        <v>50.9</v>
      </c>
      <c r="H55" s="7" t="n">
        <v>65.8</v>
      </c>
      <c r="J55" s="7" t="n">
        <v>99.09999999999999</v>
      </c>
      <c r="L55" s="7" t="n">
        <v>138.3</v>
      </c>
      <c r="N55" s="7" t="n">
        <v>219.4</v>
      </c>
      <c r="P55" s="7" t="n">
        <v>86.3</v>
      </c>
      <c r="R55" s="7" t="n">
        <v>98.90000000000001</v>
      </c>
      <c r="T55" s="7" t="n">
        <v>82</v>
      </c>
      <c r="V55" s="7" t="n">
        <v>168.4</v>
      </c>
      <c r="X55" s="7" t="n">
        <v>105.1</v>
      </c>
      <c r="Z55" s="7" t="n">
        <v>121.7</v>
      </c>
      <c r="AB55" s="7" t="n">
        <v>1315.3</v>
      </c>
    </row>
    <row r="56">
      <c r="A56" s="4" t="inlineStr">
        <is>
          <t>餐补</t>
        </is>
      </c>
      <c r="D56" s="7" t="n">
        <v>460.9</v>
      </c>
      <c r="F56" s="7" t="n">
        <v>326.5</v>
      </c>
      <c r="H56" s="7" t="n">
        <v>490.4</v>
      </c>
      <c r="J56" s="7" t="n">
        <v>569.6</v>
      </c>
      <c r="L56" s="7" t="n">
        <v>1240.2</v>
      </c>
      <c r="N56" s="7" t="n">
        <v>1261.6</v>
      </c>
      <c r="P56" s="7" t="n">
        <v>707.3</v>
      </c>
      <c r="R56" s="7" t="n">
        <v>505.6</v>
      </c>
      <c r="T56" s="7" t="n">
        <v>489.8</v>
      </c>
      <c r="V56" s="7" t="n">
        <v>985.6</v>
      </c>
      <c r="X56" s="7" t="n">
        <v>721.2</v>
      </c>
      <c r="Z56" s="7" t="n">
        <v>606.7</v>
      </c>
      <c r="AB56" s="7" t="n">
        <v>8365.4</v>
      </c>
    </row>
    <row r="57">
      <c r="A57" s="4" t="inlineStr">
        <is>
          <t>交通补助</t>
        </is>
      </c>
      <c r="D57" s="7" t="n">
        <v>218.3</v>
      </c>
      <c r="F57" s="7" t="n">
        <v>158.6</v>
      </c>
      <c r="H57" s="7" t="n">
        <v>238.8</v>
      </c>
      <c r="J57" s="7" t="n">
        <v>308.9</v>
      </c>
      <c r="L57" s="7" t="n">
        <v>666.8</v>
      </c>
      <c r="N57" s="7" t="n">
        <v>603.2</v>
      </c>
      <c r="P57" s="7" t="n">
        <v>388.5</v>
      </c>
      <c r="R57" s="7" t="n">
        <v>355</v>
      </c>
      <c r="T57" s="7" t="n">
        <v>256.9</v>
      </c>
      <c r="V57" s="7" t="n">
        <v>487.8</v>
      </c>
      <c r="X57" s="7" t="n">
        <v>317.6</v>
      </c>
      <c r="Z57" s="7" t="n">
        <v>465.7</v>
      </c>
      <c r="AB57" s="7" t="n">
        <v>4466.1</v>
      </c>
    </row>
    <row r="58">
      <c r="A58" s="4" t="inlineStr">
        <is>
          <t>通讯补助</t>
        </is>
      </c>
      <c r="D58" s="7" t="n">
        <v>759.1</v>
      </c>
      <c r="F58" s="7" t="n">
        <v>419.9</v>
      </c>
      <c r="H58" s="7" t="n">
        <v>540.9</v>
      </c>
      <c r="J58" s="7" t="n">
        <v>1097.9</v>
      </c>
      <c r="L58" s="7" t="n">
        <v>1523.1</v>
      </c>
      <c r="N58" s="7" t="n">
        <v>1534.5</v>
      </c>
      <c r="P58" s="7" t="n">
        <v>875.7</v>
      </c>
      <c r="R58" s="7" t="n">
        <v>860.6</v>
      </c>
      <c r="T58" s="7" t="n">
        <v>507.1</v>
      </c>
      <c r="V58" s="7" t="n">
        <v>1121</v>
      </c>
      <c r="X58" s="7" t="n">
        <v>547.4</v>
      </c>
      <c r="Z58" s="7" t="n">
        <v>988</v>
      </c>
      <c r="AB58" s="7" t="n">
        <v>10775.2</v>
      </c>
    </row>
    <row r="59">
      <c r="A59" s="4" t="inlineStr">
        <is>
          <t>招待费</t>
        </is>
      </c>
      <c r="D59" s="7" t="n">
        <v>4292.7</v>
      </c>
      <c r="F59" s="7" t="n">
        <v>4184.2</v>
      </c>
      <c r="H59" s="7" t="n">
        <v>5778.3</v>
      </c>
      <c r="J59" s="7" t="n">
        <v>6993.4</v>
      </c>
      <c r="L59" s="7" t="n">
        <v>9433.799999999999</v>
      </c>
      <c r="N59" s="7" t="n">
        <v>12413.1</v>
      </c>
      <c r="P59" s="7" t="n">
        <v>6192.2</v>
      </c>
      <c r="R59" s="7" t="n">
        <v>5118</v>
      </c>
      <c r="T59" s="7" t="n">
        <v>7888.8</v>
      </c>
      <c r="V59" s="7" t="n">
        <v>16472.4</v>
      </c>
      <c r="X59" s="7" t="n">
        <v>7507.3</v>
      </c>
      <c r="Z59" s="7" t="n">
        <v>10203.9</v>
      </c>
      <c r="AB59" s="7" t="n">
        <v>96478.10000000001</v>
      </c>
    </row>
    <row r="60">
      <c r="A60" s="4" t="inlineStr">
        <is>
          <t>通讯费</t>
        </is>
      </c>
      <c r="D60" s="7" t="n">
        <v>160.9</v>
      </c>
      <c r="F60" s="7" t="n">
        <v>88.7</v>
      </c>
      <c r="H60" s="7" t="n">
        <v>162.4</v>
      </c>
      <c r="J60" s="7" t="n">
        <v>208.2</v>
      </c>
      <c r="L60" s="7" t="n">
        <v>301.3</v>
      </c>
      <c r="N60" s="7" t="n">
        <v>345.4</v>
      </c>
      <c r="P60" s="7" t="n">
        <v>267.1</v>
      </c>
      <c r="R60" s="7" t="n">
        <v>237.9</v>
      </c>
      <c r="T60" s="7" t="n">
        <v>159.3</v>
      </c>
      <c r="V60" s="7" t="n">
        <v>291.2</v>
      </c>
      <c r="X60" s="7" t="n">
        <v>217.5</v>
      </c>
      <c r="Z60" s="7" t="n">
        <v>293.9</v>
      </c>
      <c r="AB60" s="7" t="n">
        <v>2733.8</v>
      </c>
    </row>
    <row r="61">
      <c r="A61" s="4" t="inlineStr">
        <is>
          <t>网络费</t>
        </is>
      </c>
      <c r="D61" s="7" t="n">
        <v>467.8</v>
      </c>
      <c r="F61" s="7" t="n">
        <v>316.3</v>
      </c>
      <c r="H61" s="7" t="n">
        <v>510.9</v>
      </c>
      <c r="J61" s="7" t="n">
        <v>651.5</v>
      </c>
      <c r="L61" s="7" t="n">
        <v>977.2</v>
      </c>
      <c r="N61" s="7" t="n">
        <v>1354.6</v>
      </c>
      <c r="P61" s="7" t="n">
        <v>795.4</v>
      </c>
      <c r="R61" s="7" t="n">
        <v>590.5</v>
      </c>
      <c r="T61" s="7" t="n">
        <v>460.5</v>
      </c>
      <c r="V61" s="7" t="n">
        <v>992.2</v>
      </c>
      <c r="X61" s="7" t="n">
        <v>499</v>
      </c>
      <c r="Z61" s="7" t="n">
        <v>724.8</v>
      </c>
      <c r="AB61" s="7" t="n">
        <v>8340.700000000001</v>
      </c>
    </row>
    <row r="62">
      <c r="A62" s="4" t="inlineStr">
        <is>
          <t>修理费</t>
        </is>
      </c>
      <c r="D62" s="7" t="n">
        <v>988.5</v>
      </c>
      <c r="F62" s="7" t="n">
        <v>498.4</v>
      </c>
      <c r="H62" s="7" t="n">
        <v>888.7</v>
      </c>
      <c r="J62" s="7" t="n">
        <v>1483.5</v>
      </c>
      <c r="L62" s="7" t="n">
        <v>1823.9</v>
      </c>
      <c r="N62" s="7" t="n">
        <v>2556.7</v>
      </c>
      <c r="P62" s="7" t="n">
        <v>986.7</v>
      </c>
      <c r="R62" s="7" t="n">
        <v>812</v>
      </c>
      <c r="T62" s="7" t="n">
        <v>834.4</v>
      </c>
      <c r="V62" s="7" t="n">
        <v>1837</v>
      </c>
      <c r="X62" s="7" t="n">
        <v>1054.5</v>
      </c>
      <c r="Z62" s="7" t="n">
        <v>1090.6</v>
      </c>
      <c r="AB62" s="7" t="n">
        <v>14854.9</v>
      </c>
    </row>
    <row r="63">
      <c r="A63" s="4" t="inlineStr">
        <is>
          <t>车辆费</t>
        </is>
      </c>
      <c r="D63" s="7" t="n">
        <v>922.4</v>
      </c>
      <c r="F63" s="7" t="n">
        <v>603.3</v>
      </c>
      <c r="H63" s="7" t="n">
        <v>1015.4</v>
      </c>
      <c r="J63" s="7" t="n">
        <v>918.2</v>
      </c>
      <c r="L63" s="7" t="n">
        <v>1448.1</v>
      </c>
      <c r="N63" s="7" t="n">
        <v>1821.3</v>
      </c>
      <c r="P63" s="7" t="n">
        <v>837.5</v>
      </c>
      <c r="R63" s="7" t="n">
        <v>907</v>
      </c>
      <c r="T63" s="7" t="n">
        <v>867.8</v>
      </c>
      <c r="V63" s="7" t="n">
        <v>1985.3</v>
      </c>
      <c r="X63" s="7" t="n">
        <v>1124.9</v>
      </c>
      <c r="Z63" s="7" t="n">
        <v>1265.6</v>
      </c>
      <c r="AB63" s="7" t="n">
        <v>13716.8</v>
      </c>
    </row>
    <row r="64">
      <c r="A64" s="4" t="inlineStr">
        <is>
          <t>租赁费</t>
        </is>
      </c>
      <c r="D64" s="7" t="n">
        <v>8970.799999999999</v>
      </c>
      <c r="F64" s="7" t="n">
        <v>6224.7</v>
      </c>
      <c r="H64" s="7" t="n">
        <v>8138.3</v>
      </c>
      <c r="J64" s="7" t="n">
        <v>9002.5</v>
      </c>
      <c r="L64" s="7" t="n">
        <v>10813.9</v>
      </c>
      <c r="N64" s="7" t="n">
        <v>15545.9</v>
      </c>
      <c r="P64" s="7" t="n">
        <v>10608.2</v>
      </c>
      <c r="R64" s="7" t="n">
        <v>8669.700000000001</v>
      </c>
      <c r="T64" s="7" t="n">
        <v>6889.4</v>
      </c>
      <c r="V64" s="7" t="n">
        <v>20119</v>
      </c>
      <c r="X64" s="7" t="n">
        <v>7734.9</v>
      </c>
      <c r="Z64" s="7" t="n">
        <v>9316.799999999999</v>
      </c>
      <c r="AB64" s="7" t="n">
        <v>122034.1</v>
      </c>
    </row>
    <row r="65">
      <c r="A65" s="4" t="inlineStr">
        <is>
          <t>能源费</t>
        </is>
      </c>
      <c r="D65" s="7" t="n">
        <v>3027</v>
      </c>
      <c r="F65" s="7" t="n">
        <v>2405.4</v>
      </c>
      <c r="H65" s="7" t="n">
        <v>2967.2</v>
      </c>
      <c r="J65" s="7" t="n">
        <v>4510.5</v>
      </c>
      <c r="L65" s="7" t="n">
        <v>6610.5</v>
      </c>
      <c r="N65" s="7" t="n">
        <v>7450.4</v>
      </c>
      <c r="P65" s="7" t="n">
        <v>4788.2</v>
      </c>
      <c r="R65" s="7" t="n">
        <v>3287.7</v>
      </c>
      <c r="T65" s="7" t="n">
        <v>3427.4</v>
      </c>
      <c r="V65" s="7" t="n">
        <v>6988.4</v>
      </c>
      <c r="X65" s="7" t="n">
        <v>3061.2</v>
      </c>
      <c r="Z65" s="7" t="n">
        <v>4458.1</v>
      </c>
      <c r="AB65" s="7" t="n">
        <v>52982</v>
      </c>
    </row>
    <row r="66">
      <c r="A66" s="4" t="inlineStr">
        <is>
          <t>水费</t>
        </is>
      </c>
      <c r="D66" s="7" t="n">
        <v>762.3</v>
      </c>
      <c r="F66" s="7" t="n">
        <v>783.8</v>
      </c>
      <c r="H66" s="7" t="n">
        <v>1013.4</v>
      </c>
      <c r="J66" s="7" t="n">
        <v>1359.2</v>
      </c>
      <c r="L66" s="7" t="n">
        <v>1846.7</v>
      </c>
      <c r="N66" s="7" t="n">
        <v>1784.1</v>
      </c>
      <c r="P66" s="7" t="n">
        <v>1390.4</v>
      </c>
      <c r="R66" s="7" t="n">
        <v>1268.6</v>
      </c>
      <c r="T66" s="7" t="n">
        <v>1122.4</v>
      </c>
      <c r="V66" s="7" t="n">
        <v>1715.3</v>
      </c>
      <c r="X66" s="7" t="n">
        <v>805.9</v>
      </c>
      <c r="Z66" s="7" t="n">
        <v>1075.9</v>
      </c>
      <c r="AB66" s="7" t="n">
        <v>14928</v>
      </c>
    </row>
    <row r="67">
      <c r="A67" s="4" t="inlineStr">
        <is>
          <t>电费</t>
        </is>
      </c>
      <c r="D67" s="7" t="n">
        <v>493.9</v>
      </c>
      <c r="F67" s="7" t="n">
        <v>483.2</v>
      </c>
      <c r="H67" s="7" t="n">
        <v>510.3</v>
      </c>
      <c r="J67" s="7" t="n">
        <v>1115.3</v>
      </c>
      <c r="L67" s="7" t="n">
        <v>1131.3</v>
      </c>
      <c r="N67" s="7" t="n">
        <v>2066.1</v>
      </c>
      <c r="P67" s="7" t="n">
        <v>958.1</v>
      </c>
      <c r="R67" s="7" t="n">
        <v>549</v>
      </c>
      <c r="T67" s="7" t="n">
        <v>741</v>
      </c>
      <c r="V67" s="7" t="n">
        <v>1667.3</v>
      </c>
      <c r="X67" s="7" t="n">
        <v>539</v>
      </c>
      <c r="Z67" s="7" t="n">
        <v>1182.6</v>
      </c>
      <c r="AB67" s="7" t="n">
        <v>11437.1</v>
      </c>
    </row>
    <row r="68">
      <c r="A68" s="4" t="inlineStr">
        <is>
          <t>燃气费</t>
        </is>
      </c>
      <c r="D68" s="7" t="n">
        <v>964.5</v>
      </c>
      <c r="F68" s="7" t="n">
        <v>417.5</v>
      </c>
      <c r="H68" s="7" t="n">
        <v>541.8</v>
      </c>
      <c r="J68" s="7" t="n">
        <v>1011.3</v>
      </c>
      <c r="L68" s="7" t="n">
        <v>1594.6</v>
      </c>
      <c r="N68" s="7" t="n">
        <v>1398.8</v>
      </c>
      <c r="P68" s="7" t="n">
        <v>1245.7</v>
      </c>
      <c r="R68" s="7" t="n">
        <v>767.5</v>
      </c>
      <c r="T68" s="7" t="n">
        <v>659.6</v>
      </c>
      <c r="V68" s="7" t="n">
        <v>1574.5</v>
      </c>
      <c r="X68" s="7" t="n">
        <v>1022.2</v>
      </c>
      <c r="Z68" s="7" t="n">
        <v>928.7</v>
      </c>
      <c r="AB68" s="7" t="n">
        <v>12126.7</v>
      </c>
    </row>
    <row r="69">
      <c r="A69" s="4" t="inlineStr">
        <is>
          <t>蒸汽费</t>
        </is>
      </c>
      <c r="D69" s="7" t="n">
        <v>806.3</v>
      </c>
      <c r="F69" s="7" t="n">
        <v>720.9</v>
      </c>
      <c r="H69" s="7" t="n">
        <v>901.7</v>
      </c>
      <c r="J69" s="7" t="n">
        <v>1024.7</v>
      </c>
      <c r="L69" s="7" t="n">
        <v>2037.9</v>
      </c>
      <c r="N69" s="7" t="n">
        <v>2201.4</v>
      </c>
      <c r="P69" s="7" t="n">
        <v>1194</v>
      </c>
      <c r="R69" s="7" t="n">
        <v>702.6</v>
      </c>
      <c r="T69" s="7" t="n">
        <v>904.4</v>
      </c>
      <c r="V69" s="7" t="n">
        <v>2031.3</v>
      </c>
      <c r="X69" s="7" t="n">
        <v>694.1</v>
      </c>
      <c r="Z69" s="7" t="n">
        <v>1270.9</v>
      </c>
      <c r="AB69" s="7" t="n">
        <v>14490.2</v>
      </c>
    </row>
    <row r="70">
      <c r="A70" s="4" t="inlineStr">
        <is>
          <t>物业费</t>
        </is>
      </c>
      <c r="D70" s="7" t="n">
        <v>546.9</v>
      </c>
      <c r="F70" s="7" t="n">
        <v>536.9</v>
      </c>
      <c r="H70" s="7" t="n">
        <v>820.5</v>
      </c>
      <c r="J70" s="7" t="n">
        <v>1335.3</v>
      </c>
      <c r="L70" s="7" t="n">
        <v>1833.1</v>
      </c>
      <c r="N70" s="7" t="n">
        <v>1532</v>
      </c>
      <c r="P70" s="7" t="n">
        <v>949.1</v>
      </c>
      <c r="R70" s="7" t="n">
        <v>852.4</v>
      </c>
      <c r="T70" s="7" t="n">
        <v>862.9</v>
      </c>
      <c r="V70" s="7" t="n">
        <v>1601.3</v>
      </c>
      <c r="X70" s="7" t="n">
        <v>708</v>
      </c>
      <c r="Z70" s="7" t="n">
        <v>863.8</v>
      </c>
      <c r="AB70" s="7" t="n">
        <v>12442.2</v>
      </c>
    </row>
    <row r="71">
      <c r="A71" s="4" t="inlineStr">
        <is>
          <t>劳动保护费</t>
        </is>
      </c>
      <c r="D71" s="7" t="n">
        <v>336.4</v>
      </c>
      <c r="F71" s="7" t="n">
        <v>377.4</v>
      </c>
      <c r="H71" s="7" t="n">
        <v>434.5</v>
      </c>
      <c r="J71" s="7" t="n">
        <v>455.2</v>
      </c>
      <c r="L71" s="7" t="n">
        <v>1021.3</v>
      </c>
      <c r="N71" s="7" t="n">
        <v>1181.1</v>
      </c>
      <c r="P71" s="7" t="n">
        <v>669.7</v>
      </c>
      <c r="R71" s="7" t="n">
        <v>597.9</v>
      </c>
      <c r="T71" s="7" t="n">
        <v>595.8</v>
      </c>
      <c r="V71" s="7" t="n">
        <v>720.8</v>
      </c>
      <c r="X71" s="7" t="n">
        <v>570.7</v>
      </c>
      <c r="Z71" s="7" t="n">
        <v>561.1</v>
      </c>
      <c r="AB71" s="7" t="n">
        <v>7521.9</v>
      </c>
    </row>
    <row r="72">
      <c r="A72" s="4" t="inlineStr">
        <is>
          <t>顾问费</t>
        </is>
      </c>
      <c r="D72" s="7" t="n">
        <v>666.2</v>
      </c>
      <c r="F72" s="7" t="n">
        <v>305.4</v>
      </c>
      <c r="H72" s="7" t="n">
        <v>396.3</v>
      </c>
      <c r="J72" s="7" t="n">
        <v>686</v>
      </c>
      <c r="L72" s="7" t="n">
        <v>1484.8</v>
      </c>
      <c r="N72" s="7" t="n">
        <v>1179.9</v>
      </c>
      <c r="P72" s="7" t="n">
        <v>606.7</v>
      </c>
      <c r="R72" s="7" t="n">
        <v>617.9</v>
      </c>
      <c r="T72" s="7" t="n">
        <v>585.2</v>
      </c>
      <c r="V72" s="7" t="n">
        <v>1487.1</v>
      </c>
      <c r="X72" s="7" t="n">
        <v>798.1</v>
      </c>
      <c r="Z72" s="7" t="n">
        <v>652.5</v>
      </c>
      <c r="AB72" s="7" t="n">
        <v>9466.1</v>
      </c>
    </row>
    <row r="73">
      <c r="A73" s="4" t="inlineStr">
        <is>
          <t>快递费</t>
        </is>
      </c>
      <c r="D73" s="7" t="n">
        <v>21.8</v>
      </c>
      <c r="F73" s="7" t="n">
        <v>21.9</v>
      </c>
      <c r="H73" s="7" t="n">
        <v>25.2</v>
      </c>
      <c r="J73" s="7" t="n">
        <v>27.4</v>
      </c>
      <c r="L73" s="7" t="n">
        <v>62.4</v>
      </c>
      <c r="N73" s="7" t="n">
        <v>69</v>
      </c>
      <c r="P73" s="7" t="n">
        <v>32.4</v>
      </c>
      <c r="R73" s="7" t="n">
        <v>30.6</v>
      </c>
      <c r="T73" s="7" t="n">
        <v>20.1</v>
      </c>
      <c r="V73" s="7" t="n">
        <v>71.59999999999999</v>
      </c>
      <c r="X73" s="7" t="n">
        <v>32</v>
      </c>
      <c r="Z73" s="7" t="n">
        <v>28.2</v>
      </c>
      <c r="AB73" s="7" t="n">
        <v>442.6</v>
      </c>
    </row>
    <row r="74">
      <c r="A74" s="4" t="inlineStr">
        <is>
          <t>诉讼费</t>
        </is>
      </c>
      <c r="D74" s="7" t="n">
        <v>199.3</v>
      </c>
      <c r="F74" s="7" t="n">
        <v>116.7</v>
      </c>
      <c r="H74" s="7" t="n">
        <v>134</v>
      </c>
      <c r="J74" s="7" t="n">
        <v>308.4</v>
      </c>
      <c r="L74" s="7" t="n">
        <v>300.8</v>
      </c>
      <c r="N74" s="7" t="n">
        <v>505.5</v>
      </c>
      <c r="P74" s="7" t="n">
        <v>252.8</v>
      </c>
      <c r="R74" s="7" t="n">
        <v>172.9</v>
      </c>
      <c r="T74" s="7" t="n">
        <v>227.4</v>
      </c>
      <c r="V74" s="7" t="n">
        <v>501.9</v>
      </c>
      <c r="X74" s="7" t="n">
        <v>225</v>
      </c>
      <c r="Z74" s="7" t="n">
        <v>233.9</v>
      </c>
      <c r="AB74" s="7" t="n">
        <v>3178.6</v>
      </c>
    </row>
    <row r="75">
      <c r="A75" s="4" t="inlineStr">
        <is>
          <t>会员费</t>
        </is>
      </c>
      <c r="D75" s="7" t="n">
        <v>862.7</v>
      </c>
      <c r="F75" s="7" t="n">
        <v>423.9</v>
      </c>
      <c r="H75" s="7" t="n">
        <v>758.8</v>
      </c>
      <c r="J75" s="7" t="n">
        <v>1052.5</v>
      </c>
      <c r="L75" s="7" t="n">
        <v>1122.1</v>
      </c>
      <c r="N75" s="7" t="n">
        <v>1362.1</v>
      </c>
      <c r="P75" s="7" t="n">
        <v>693.4</v>
      </c>
      <c r="R75" s="7" t="n">
        <v>838.1</v>
      </c>
      <c r="T75" s="7" t="n">
        <v>845</v>
      </c>
      <c r="V75" s="7" t="n">
        <v>1449.6</v>
      </c>
      <c r="X75" s="7" t="n">
        <v>781.2</v>
      </c>
      <c r="Z75" s="7" t="n">
        <v>762.4</v>
      </c>
      <c r="AB75" s="7" t="n">
        <v>10951.8</v>
      </c>
    </row>
    <row r="76">
      <c r="A76" s="4" t="inlineStr">
        <is>
          <t>广告宣传费</t>
        </is>
      </c>
      <c r="D76" s="7" t="n">
        <v>4345.4</v>
      </c>
      <c r="F76" s="7" t="n">
        <v>3150.8</v>
      </c>
      <c r="H76" s="7" t="n">
        <v>2737.3</v>
      </c>
      <c r="J76" s="7" t="n">
        <v>5611.4</v>
      </c>
      <c r="L76" s="7" t="n">
        <v>8485.9</v>
      </c>
      <c r="N76" s="7" t="n">
        <v>11503</v>
      </c>
      <c r="P76" s="7" t="n">
        <v>6807.4</v>
      </c>
      <c r="R76" s="7" t="n">
        <v>5897.3</v>
      </c>
      <c r="T76" s="7" t="n">
        <v>5406.5</v>
      </c>
      <c r="V76" s="7" t="n">
        <v>7977.4</v>
      </c>
      <c r="X76" s="7" t="n">
        <v>3711.1</v>
      </c>
      <c r="Z76" s="7" t="n">
        <v>5696.4</v>
      </c>
      <c r="AB76" s="7" t="n">
        <v>71329.89999999999</v>
      </c>
    </row>
    <row r="77">
      <c r="A77" s="4" t="inlineStr">
        <is>
          <t>会务费</t>
        </is>
      </c>
      <c r="D77" s="7" t="n">
        <v>610.1</v>
      </c>
      <c r="F77" s="7" t="n">
        <v>322.1</v>
      </c>
      <c r="H77" s="7" t="n">
        <v>326.9</v>
      </c>
      <c r="J77" s="7" t="n">
        <v>494.3</v>
      </c>
      <c r="L77" s="7" t="n">
        <v>1229.1</v>
      </c>
      <c r="N77" s="7" t="n">
        <v>831.2</v>
      </c>
      <c r="P77" s="7" t="n">
        <v>495.9</v>
      </c>
      <c r="R77" s="7" t="n">
        <v>580.4</v>
      </c>
      <c r="T77" s="7" t="n">
        <v>601.3</v>
      </c>
      <c r="V77" s="7" t="n">
        <v>818</v>
      </c>
      <c r="X77" s="7" t="n">
        <v>493.9</v>
      </c>
      <c r="Z77" s="7" t="n">
        <v>525.2</v>
      </c>
      <c r="AB77" s="7" t="n">
        <v>7328.4</v>
      </c>
    </row>
    <row r="78">
      <c r="A78" s="4" t="inlineStr">
        <is>
          <t>装修费</t>
        </is>
      </c>
      <c r="D78" s="7" t="n">
        <v>743</v>
      </c>
      <c r="F78" s="7" t="n">
        <v>419.1</v>
      </c>
      <c r="H78" s="7" t="n">
        <v>724.9</v>
      </c>
      <c r="J78" s="7" t="n">
        <v>904.9</v>
      </c>
      <c r="L78" s="7" t="n">
        <v>1222.3</v>
      </c>
      <c r="N78" s="7" t="n">
        <v>2089.9</v>
      </c>
      <c r="P78" s="7" t="n">
        <v>1305.6</v>
      </c>
      <c r="R78" s="7" t="n">
        <v>1182.2</v>
      </c>
      <c r="T78" s="7" t="n">
        <v>719</v>
      </c>
      <c r="V78" s="7" t="n">
        <v>2276.5</v>
      </c>
      <c r="X78" s="7" t="n">
        <v>916.6</v>
      </c>
      <c r="Z78" s="7" t="n">
        <v>1199.7</v>
      </c>
      <c r="AB78" s="7" t="n">
        <v>13703.7</v>
      </c>
    </row>
    <row r="79">
      <c r="A79" s="4" t="inlineStr">
        <is>
          <t>推广费</t>
        </is>
      </c>
      <c r="D79" s="7" t="n">
        <v>129.2</v>
      </c>
      <c r="F79" s="7" t="n">
        <v>143.8</v>
      </c>
      <c r="H79" s="7" t="n">
        <v>171.7</v>
      </c>
      <c r="J79" s="7" t="n">
        <v>294.4</v>
      </c>
      <c r="L79" s="7" t="n">
        <v>331.2</v>
      </c>
      <c r="N79" s="7" t="n">
        <v>463.3</v>
      </c>
      <c r="P79" s="7" t="n">
        <v>188.6</v>
      </c>
      <c r="R79" s="7" t="n">
        <v>239</v>
      </c>
      <c r="T79" s="7" t="n">
        <v>215.8</v>
      </c>
      <c r="V79" s="7" t="n">
        <v>376.8</v>
      </c>
      <c r="X79" s="7" t="n">
        <v>158.8</v>
      </c>
      <c r="Z79" s="7" t="n">
        <v>274.4</v>
      </c>
      <c r="AB79" s="7" t="n">
        <v>2987</v>
      </c>
    </row>
    <row r="80">
      <c r="A80" s="4" t="inlineStr">
        <is>
          <t>展会费</t>
        </is>
      </c>
      <c r="D80" s="7" t="n">
        <v>101.4</v>
      </c>
      <c r="F80" s="7" t="n">
        <v>108.6</v>
      </c>
      <c r="H80" s="7" t="n">
        <v>92.8</v>
      </c>
      <c r="J80" s="7" t="n">
        <v>195.1</v>
      </c>
      <c r="L80" s="7" t="n">
        <v>195.5</v>
      </c>
      <c r="N80" s="7" t="n">
        <v>375.3</v>
      </c>
      <c r="P80" s="7" t="n">
        <v>197.3</v>
      </c>
      <c r="R80" s="7" t="n">
        <v>141.6</v>
      </c>
      <c r="T80" s="7" t="n">
        <v>143.1</v>
      </c>
      <c r="V80" s="7" t="n">
        <v>315.3</v>
      </c>
      <c r="X80" s="7" t="n">
        <v>111.3</v>
      </c>
      <c r="Z80" s="7" t="n">
        <v>221.5</v>
      </c>
      <c r="AB80" s="7" t="n">
        <v>2198.8</v>
      </c>
    </row>
    <row r="81">
      <c r="A81" s="4" t="inlineStr">
        <is>
          <t>设计费</t>
        </is>
      </c>
      <c r="D81" s="7" t="n">
        <v>419.9</v>
      </c>
      <c r="F81" s="7" t="n">
        <v>272</v>
      </c>
      <c r="H81" s="7" t="n">
        <v>307.2</v>
      </c>
      <c r="J81" s="7" t="n">
        <v>522.7</v>
      </c>
      <c r="L81" s="7" t="n">
        <v>716.9</v>
      </c>
      <c r="N81" s="7" t="n">
        <v>866.4</v>
      </c>
      <c r="P81" s="7" t="n">
        <v>506.5</v>
      </c>
      <c r="R81" s="7" t="n">
        <v>300.4</v>
      </c>
      <c r="T81" s="7" t="n">
        <v>446.1</v>
      </c>
      <c r="V81" s="7" t="n">
        <v>681.3</v>
      </c>
      <c r="X81" s="7" t="n">
        <v>311.1</v>
      </c>
      <c r="Z81" s="7" t="n">
        <v>537.6</v>
      </c>
      <c r="AB81" s="7" t="n">
        <v>5888.1</v>
      </c>
    </row>
    <row r="82">
      <c r="A82" s="4" t="inlineStr">
        <is>
          <t>折旧费</t>
        </is>
      </c>
      <c r="D82" s="7" t="n">
        <v>6122.2</v>
      </c>
      <c r="F82" s="7" t="n">
        <v>5112.9</v>
      </c>
      <c r="H82" s="7" t="n">
        <v>4304.7</v>
      </c>
      <c r="J82" s="7" t="n">
        <v>8912</v>
      </c>
      <c r="L82" s="7" t="n">
        <v>14256.7</v>
      </c>
      <c r="N82" s="7" t="n">
        <v>11616.7</v>
      </c>
      <c r="P82" s="7" t="n">
        <v>9088.4</v>
      </c>
      <c r="R82" s="7" t="n">
        <v>7700.8</v>
      </c>
      <c r="T82" s="7" t="n">
        <v>6087.5</v>
      </c>
      <c r="V82" s="7" t="n">
        <v>15016.3</v>
      </c>
      <c r="X82" s="7" t="n">
        <v>4380.1</v>
      </c>
      <c r="Z82" s="7" t="n">
        <v>8648.299999999999</v>
      </c>
      <c r="AB82" s="7" t="n">
        <v>101246.6</v>
      </c>
    </row>
    <row r="83">
      <c r="A83" s="4" t="inlineStr">
        <is>
          <t>认证费</t>
        </is>
      </c>
      <c r="D83" s="7" t="n">
        <v>430</v>
      </c>
      <c r="F83" s="7" t="n">
        <v>381.7</v>
      </c>
      <c r="H83" s="7" t="n">
        <v>451.6</v>
      </c>
      <c r="J83" s="7" t="n">
        <v>541.6</v>
      </c>
      <c r="L83" s="7" t="n">
        <v>843.3</v>
      </c>
      <c r="N83" s="7" t="n">
        <v>1187.1</v>
      </c>
      <c r="P83" s="7" t="n">
        <v>568.7</v>
      </c>
      <c r="R83" s="7" t="n">
        <v>693.8</v>
      </c>
      <c r="T83" s="7" t="n">
        <v>682.3</v>
      </c>
      <c r="V83" s="7" t="n">
        <v>1290.9</v>
      </c>
      <c r="X83" s="7" t="n">
        <v>563.2</v>
      </c>
      <c r="Z83" s="7" t="n">
        <v>619.1</v>
      </c>
      <c r="AB83" s="7" t="n">
        <v>8253.299999999999</v>
      </c>
    </row>
    <row r="84">
      <c r="A84" s="4" t="inlineStr">
        <is>
          <t>样品费</t>
        </is>
      </c>
      <c r="D84" s="7" t="n">
        <v>2024.4</v>
      </c>
      <c r="F84" s="7" t="n">
        <v>2162.2</v>
      </c>
      <c r="H84" s="7" t="n">
        <v>2165.9</v>
      </c>
      <c r="J84" s="7" t="n">
        <v>3794.2</v>
      </c>
      <c r="L84" s="7" t="n">
        <v>5407.6</v>
      </c>
      <c r="N84" s="7" t="n">
        <v>5046</v>
      </c>
      <c r="P84" s="7" t="n">
        <v>4296.4</v>
      </c>
      <c r="R84" s="7" t="n">
        <v>3601.7</v>
      </c>
      <c r="T84" s="7" t="n">
        <v>2582.1</v>
      </c>
      <c r="V84" s="7" t="n">
        <v>7620.6</v>
      </c>
      <c r="X84" s="7" t="n">
        <v>2912.5</v>
      </c>
      <c r="Z84" s="7" t="n">
        <v>3651.2</v>
      </c>
      <c r="AB84" s="7" t="n">
        <v>45264.8</v>
      </c>
    </row>
    <row r="85">
      <c r="A85" s="4" t="inlineStr">
        <is>
          <t>劳务费</t>
        </is>
      </c>
      <c r="D85" s="7" t="n">
        <v>67.5</v>
      </c>
      <c r="F85" s="7" t="n">
        <v>48.1</v>
      </c>
      <c r="H85" s="7" t="n">
        <v>39.3</v>
      </c>
      <c r="J85" s="7" t="n">
        <v>75.3</v>
      </c>
      <c r="L85" s="7" t="n">
        <v>124.1</v>
      </c>
      <c r="N85" s="7" t="n">
        <v>168.1</v>
      </c>
      <c r="P85" s="7" t="n">
        <v>96.09999999999999</v>
      </c>
      <c r="R85" s="7" t="n">
        <v>74.5</v>
      </c>
      <c r="T85" s="7" t="n">
        <v>58.9</v>
      </c>
      <c r="V85" s="7" t="n">
        <v>126.4</v>
      </c>
      <c r="X85" s="7" t="n">
        <v>69.5</v>
      </c>
      <c r="Z85" s="7" t="n">
        <v>61.2</v>
      </c>
      <c r="AB85" s="7" t="n">
        <v>1009</v>
      </c>
    </row>
    <row r="86">
      <c r="A86" s="4" t="inlineStr">
        <is>
          <t>销售佣金</t>
        </is>
      </c>
      <c r="D86" s="7" t="n">
        <v>663.9</v>
      </c>
      <c r="F86" s="7" t="n">
        <v>331.6</v>
      </c>
      <c r="H86" s="7" t="n">
        <v>462.6</v>
      </c>
      <c r="J86" s="7" t="n">
        <v>537.2</v>
      </c>
      <c r="L86" s="7" t="n">
        <v>1344.6</v>
      </c>
      <c r="N86" s="7" t="n">
        <v>962.8</v>
      </c>
      <c r="P86" s="7" t="n">
        <v>771.6</v>
      </c>
      <c r="R86" s="7" t="n">
        <v>642.5</v>
      </c>
      <c r="T86" s="7" t="n">
        <v>473.3</v>
      </c>
      <c r="V86" s="7" t="n">
        <v>1055.1</v>
      </c>
      <c r="X86" s="7" t="n">
        <v>565</v>
      </c>
      <c r="Z86" s="7" t="n">
        <v>674.5</v>
      </c>
      <c r="AB86" s="7" t="n">
        <v>8484.700000000001</v>
      </c>
    </row>
    <row r="87">
      <c r="A87" s="4" t="inlineStr">
        <is>
          <t>检测费</t>
        </is>
      </c>
      <c r="D87" s="7" t="n">
        <v>170.9</v>
      </c>
      <c r="F87" s="7" t="n">
        <v>83.7</v>
      </c>
      <c r="H87" s="7" t="n">
        <v>123.5</v>
      </c>
      <c r="J87" s="7" t="n">
        <v>210.4</v>
      </c>
      <c r="L87" s="7" t="n">
        <v>334.7</v>
      </c>
      <c r="N87" s="7" t="n">
        <v>331.1</v>
      </c>
      <c r="P87" s="7" t="n">
        <v>157.7</v>
      </c>
      <c r="R87" s="7" t="n">
        <v>213.4</v>
      </c>
      <c r="T87" s="7" t="n">
        <v>203.9</v>
      </c>
      <c r="V87" s="7" t="n">
        <v>292.4</v>
      </c>
      <c r="X87" s="7" t="n">
        <v>204</v>
      </c>
      <c r="Z87" s="7" t="n">
        <v>181.5</v>
      </c>
      <c r="AB87" s="7" t="n">
        <v>2507.2</v>
      </c>
    </row>
    <row r="88">
      <c r="A88" s="4" t="inlineStr">
        <is>
          <t>质量赔偿</t>
        </is>
      </c>
      <c r="D88" s="7" t="n">
        <v>364.4</v>
      </c>
      <c r="F88" s="7" t="n">
        <v>207.4</v>
      </c>
      <c r="H88" s="7" t="n">
        <v>302.2</v>
      </c>
      <c r="J88" s="7" t="n">
        <v>393.5</v>
      </c>
      <c r="L88" s="7" t="n">
        <v>734.8</v>
      </c>
      <c r="N88" s="7" t="n">
        <v>652.6</v>
      </c>
      <c r="P88" s="7" t="n">
        <v>377.1</v>
      </c>
      <c r="R88" s="7" t="n">
        <v>359.8</v>
      </c>
      <c r="T88" s="7" t="n">
        <v>293.3</v>
      </c>
      <c r="V88" s="7" t="n">
        <v>667.4</v>
      </c>
      <c r="X88" s="7" t="n">
        <v>302.5</v>
      </c>
      <c r="Z88" s="7" t="n">
        <v>332.1</v>
      </c>
      <c r="AB88" s="7" t="n">
        <v>4987.1</v>
      </c>
    </row>
    <row r="89">
      <c r="A89" s="4" t="inlineStr">
        <is>
          <t>保险费</t>
        </is>
      </c>
      <c r="D89" s="7" t="n">
        <v>153.8</v>
      </c>
      <c r="F89" s="7" t="n">
        <v>105.7</v>
      </c>
      <c r="H89" s="7" t="n">
        <v>105.3</v>
      </c>
      <c r="J89" s="7" t="n">
        <v>233.9</v>
      </c>
      <c r="L89" s="7" t="n">
        <v>361.4</v>
      </c>
      <c r="N89" s="7" t="n">
        <v>289.6</v>
      </c>
      <c r="P89" s="7" t="n">
        <v>216.6</v>
      </c>
      <c r="R89" s="7" t="n">
        <v>196</v>
      </c>
      <c r="T89" s="7" t="n">
        <v>119.6</v>
      </c>
      <c r="V89" s="7" t="n">
        <v>439.3</v>
      </c>
      <c r="X89" s="7" t="n">
        <v>178.9</v>
      </c>
      <c r="Z89" s="7" t="n">
        <v>274.6</v>
      </c>
      <c r="AB89" s="7" t="n">
        <v>2674.7</v>
      </c>
    </row>
    <row r="90">
      <c r="A90" s="4" t="inlineStr">
        <is>
          <t>清洁费</t>
        </is>
      </c>
      <c r="D90" s="7" t="n">
        <v>493.8</v>
      </c>
      <c r="F90" s="7" t="n">
        <v>355.2</v>
      </c>
      <c r="H90" s="7" t="n">
        <v>416.1</v>
      </c>
      <c r="J90" s="7" t="n">
        <v>860.4</v>
      </c>
      <c r="L90" s="7" t="n">
        <v>1271.5</v>
      </c>
      <c r="N90" s="7" t="n">
        <v>1523.3</v>
      </c>
      <c r="P90" s="7" t="n">
        <v>714.8</v>
      </c>
      <c r="R90" s="7" t="n">
        <v>713</v>
      </c>
      <c r="T90" s="7" t="n">
        <v>604.9</v>
      </c>
      <c r="V90" s="7" t="n">
        <v>988.2</v>
      </c>
      <c r="X90" s="7" t="n">
        <v>399.1</v>
      </c>
      <c r="Z90" s="7" t="n">
        <v>525.8</v>
      </c>
      <c r="AB90" s="7" t="n">
        <v>8866.1</v>
      </c>
    </row>
    <row r="91">
      <c r="A91" s="4" t="inlineStr">
        <is>
          <t>低值易耗品</t>
        </is>
      </c>
      <c r="D91" s="7" t="n">
        <v>647.6</v>
      </c>
      <c r="F91" s="7" t="n">
        <v>404.9</v>
      </c>
      <c r="H91" s="7" t="n">
        <v>836.3</v>
      </c>
      <c r="J91" s="7" t="n">
        <v>1134.8</v>
      </c>
      <c r="L91" s="7" t="n">
        <v>1699.8</v>
      </c>
      <c r="N91" s="7" t="n">
        <v>1877.1</v>
      </c>
      <c r="P91" s="7" t="n">
        <v>749.5</v>
      </c>
      <c r="R91" s="7" t="n">
        <v>641.4</v>
      </c>
      <c r="T91" s="7" t="n">
        <v>566.1</v>
      </c>
      <c r="V91" s="7" t="n">
        <v>1241.9</v>
      </c>
      <c r="X91" s="7" t="n">
        <v>554</v>
      </c>
      <c r="Z91" s="7" t="n">
        <v>1208.6</v>
      </c>
      <c r="AB91" s="7" t="n">
        <v>11562</v>
      </c>
    </row>
    <row r="92">
      <c r="A92" s="4" t="inlineStr">
        <is>
          <t>物料消耗</t>
        </is>
      </c>
      <c r="D92" s="7" t="n">
        <v>720.1</v>
      </c>
      <c r="F92" s="7" t="n">
        <v>464.4</v>
      </c>
      <c r="H92" s="7" t="n">
        <v>856.9</v>
      </c>
      <c r="J92" s="7" t="n">
        <v>1073.9</v>
      </c>
      <c r="L92" s="7" t="n">
        <v>1421.4</v>
      </c>
      <c r="N92" s="7" t="n">
        <v>2186.5</v>
      </c>
      <c r="P92" s="7" t="n">
        <v>920.8</v>
      </c>
      <c r="R92" s="7" t="n">
        <v>938.2</v>
      </c>
      <c r="T92" s="7" t="n">
        <v>548.6</v>
      </c>
      <c r="V92" s="7" t="n">
        <v>1540.2</v>
      </c>
      <c r="X92" s="7" t="n">
        <v>779.2</v>
      </c>
      <c r="Z92" s="7" t="n">
        <v>945.6</v>
      </c>
      <c r="AB92" s="7" t="n">
        <v>12395.8</v>
      </c>
    </row>
    <row r="93">
      <c r="A93" s="4" t="inlineStr">
        <is>
          <t>盘盈盘亏</t>
        </is>
      </c>
      <c r="D93" s="7" t="n">
        <v>318.6</v>
      </c>
      <c r="F93" s="7" t="n">
        <v>192.2</v>
      </c>
      <c r="H93" s="7" t="n">
        <v>248.3</v>
      </c>
      <c r="J93" s="7" t="n">
        <v>431</v>
      </c>
      <c r="L93" s="7" t="n">
        <v>615.2</v>
      </c>
      <c r="N93" s="7" t="n">
        <v>873.5</v>
      </c>
      <c r="P93" s="7" t="n">
        <v>457.9</v>
      </c>
      <c r="R93" s="7" t="n">
        <v>250.4</v>
      </c>
      <c r="T93" s="7" t="n">
        <v>371.8</v>
      </c>
      <c r="V93" s="7" t="n">
        <v>601.2</v>
      </c>
      <c r="X93" s="7" t="n">
        <v>272.6</v>
      </c>
      <c r="Z93" s="7" t="n">
        <v>448.7</v>
      </c>
      <c r="AB93" s="7" t="n">
        <v>5081.4</v>
      </c>
    </row>
    <row r="94">
      <c r="A94" s="4" t="inlineStr">
        <is>
          <t>平台服务费</t>
        </is>
      </c>
      <c r="D94" s="7" t="n">
        <v>38.5</v>
      </c>
      <c r="F94" s="7" t="n">
        <v>15.7</v>
      </c>
      <c r="H94" s="7" t="n">
        <v>27.2</v>
      </c>
      <c r="J94" s="7" t="n">
        <v>41.1</v>
      </c>
      <c r="L94" s="7" t="n">
        <v>71.3</v>
      </c>
      <c r="N94" s="7" t="n">
        <v>74.7</v>
      </c>
      <c r="P94" s="7" t="n">
        <v>29.4</v>
      </c>
      <c r="R94" s="7" t="n">
        <v>41.5</v>
      </c>
      <c r="T94" s="7" t="n">
        <v>43.9</v>
      </c>
      <c r="V94" s="7" t="n">
        <v>73.3</v>
      </c>
      <c r="X94" s="7" t="n">
        <v>35.1</v>
      </c>
      <c r="Z94" s="7" t="n">
        <v>56.2</v>
      </c>
      <c r="AB94" s="7" t="n">
        <v>547.9</v>
      </c>
    </row>
    <row r="95">
      <c r="A95" s="4" t="inlineStr">
        <is>
          <t>无形资产摊销</t>
        </is>
      </c>
      <c r="D95" s="7" t="n">
        <v>316.9</v>
      </c>
      <c r="F95" s="7" t="n">
        <v>308.6</v>
      </c>
      <c r="H95" s="7" t="n">
        <v>410.7</v>
      </c>
      <c r="J95" s="7" t="n">
        <v>461.3</v>
      </c>
      <c r="L95" s="7" t="n">
        <v>929.6</v>
      </c>
      <c r="N95" s="7" t="n">
        <v>828.9</v>
      </c>
      <c r="P95" s="7" t="n">
        <v>437.4</v>
      </c>
      <c r="R95" s="7" t="n">
        <v>530</v>
      </c>
      <c r="T95" s="7" t="n">
        <v>471.2</v>
      </c>
      <c r="V95" s="7" t="n">
        <v>1042.5</v>
      </c>
      <c r="X95" s="7" t="n">
        <v>345.9</v>
      </c>
      <c r="Z95" s="7" t="n">
        <v>523</v>
      </c>
      <c r="AB95" s="7" t="n">
        <v>6606</v>
      </c>
    </row>
    <row r="96">
      <c r="A96" s="4" t="inlineStr">
        <is>
          <t>研发材料</t>
        </is>
      </c>
      <c r="D96" s="7" t="n">
        <v>120.6</v>
      </c>
      <c r="F96" s="7" t="n">
        <v>99</v>
      </c>
      <c r="H96" s="7" t="n">
        <v>113.6</v>
      </c>
      <c r="J96" s="7" t="n">
        <v>189.8</v>
      </c>
      <c r="L96" s="7" t="n">
        <v>393.4</v>
      </c>
      <c r="N96" s="7" t="n">
        <v>441</v>
      </c>
      <c r="P96" s="7" t="n">
        <v>207.6</v>
      </c>
      <c r="R96" s="7" t="n">
        <v>217</v>
      </c>
      <c r="T96" s="7" t="n">
        <v>175.1</v>
      </c>
      <c r="V96" s="7" t="n">
        <v>349.2</v>
      </c>
      <c r="X96" s="7" t="n">
        <v>163.3</v>
      </c>
      <c r="Z96" s="7" t="n">
        <v>189.6</v>
      </c>
      <c r="AB96" s="7" t="n">
        <v>2659.2</v>
      </c>
    </row>
    <row r="97">
      <c r="A97" s="4" t="inlineStr">
        <is>
          <t>项目名称</t>
        </is>
      </c>
      <c r="D97" s="7" t="n">
        <v>462.3</v>
      </c>
      <c r="F97" s="7" t="n">
        <v>241.4</v>
      </c>
      <c r="H97" s="7" t="n">
        <v>322.7</v>
      </c>
      <c r="J97" s="7" t="n">
        <v>462.1</v>
      </c>
      <c r="L97" s="7" t="n">
        <v>666.1</v>
      </c>
      <c r="N97" s="7" t="n">
        <v>759.7</v>
      </c>
      <c r="P97" s="7" t="n">
        <v>587.4</v>
      </c>
      <c r="R97" s="7" t="n">
        <v>530.5</v>
      </c>
      <c r="T97" s="7" t="n">
        <v>456.3</v>
      </c>
      <c r="V97" s="7" t="n">
        <v>726.5</v>
      </c>
      <c r="X97" s="7" t="n">
        <v>326.2</v>
      </c>
      <c r="Z97" s="7" t="n">
        <v>381.1</v>
      </c>
      <c r="AB97" s="7" t="n">
        <v>5922.3</v>
      </c>
    </row>
    <row r="98">
      <c r="A98" s="4" t="inlineStr">
        <is>
          <t>研发费</t>
        </is>
      </c>
      <c r="D98" s="7" t="n">
        <v>897</v>
      </c>
      <c r="F98" s="7" t="n">
        <v>543.6</v>
      </c>
      <c r="H98" s="7" t="n">
        <v>962.1</v>
      </c>
      <c r="J98" s="7" t="n">
        <v>1261.9</v>
      </c>
      <c r="L98" s="7" t="n">
        <v>1946.4</v>
      </c>
      <c r="N98" s="7" t="n">
        <v>1707.9</v>
      </c>
      <c r="P98" s="7" t="n">
        <v>1212.1</v>
      </c>
      <c r="R98" s="7" t="n">
        <v>1171</v>
      </c>
      <c r="T98" s="7" t="n">
        <v>784.4</v>
      </c>
      <c r="V98" s="7" t="n">
        <v>1816.7</v>
      </c>
      <c r="X98" s="7" t="n">
        <v>727.3</v>
      </c>
      <c r="Z98" s="7" t="n">
        <v>1434.7</v>
      </c>
      <c r="AB98" s="7" t="n">
        <v>14465.1</v>
      </c>
    </row>
    <row r="99">
      <c r="A99" s="4" t="inlineStr">
        <is>
          <t>残保金</t>
        </is>
      </c>
      <c r="D99" s="7" t="n">
        <v>705.6</v>
      </c>
      <c r="F99" s="7" t="n">
        <v>576.1</v>
      </c>
      <c r="H99" s="7" t="n">
        <v>827.8</v>
      </c>
      <c r="J99" s="7" t="n">
        <v>1282.3</v>
      </c>
      <c r="L99" s="7" t="n">
        <v>1713.8</v>
      </c>
      <c r="N99" s="7" t="n">
        <v>1556.3</v>
      </c>
      <c r="P99" s="7" t="n">
        <v>769</v>
      </c>
      <c r="R99" s="7" t="n">
        <v>845.8</v>
      </c>
      <c r="T99" s="7" t="n">
        <v>844.1</v>
      </c>
      <c r="V99" s="7" t="n">
        <v>1946.7</v>
      </c>
      <c r="X99" s="7" t="n">
        <v>839.3</v>
      </c>
      <c r="Z99" s="7" t="n">
        <v>1440.5</v>
      </c>
      <c r="AB99" s="7" t="n">
        <v>13347.3</v>
      </c>
    </row>
    <row r="100">
      <c r="A100" s="4" t="inlineStr">
        <is>
          <t>环保费</t>
        </is>
      </c>
      <c r="D100" s="7" t="n">
        <v>1020.3</v>
      </c>
      <c r="F100" s="7" t="n">
        <v>652</v>
      </c>
      <c r="H100" s="7" t="n">
        <v>980.7</v>
      </c>
      <c r="J100" s="7" t="n">
        <v>1338</v>
      </c>
      <c r="L100" s="7" t="n">
        <v>2262.8</v>
      </c>
      <c r="N100" s="7" t="n">
        <v>1918.7</v>
      </c>
      <c r="P100" s="7" t="n">
        <v>1010.2</v>
      </c>
      <c r="R100" s="7" t="n">
        <v>809.9</v>
      </c>
      <c r="T100" s="7" t="n">
        <v>704.1</v>
      </c>
      <c r="V100" s="7" t="n">
        <v>2551.1</v>
      </c>
      <c r="X100" s="7" t="n">
        <v>999.9</v>
      </c>
      <c r="Z100" s="7" t="n">
        <v>1000.7</v>
      </c>
      <c r="AB100" s="7" t="n">
        <v>15248.4</v>
      </c>
    </row>
    <row r="101">
      <c r="A101" s="4" t="inlineStr">
        <is>
          <t>报废损失</t>
        </is>
      </c>
      <c r="D101" s="7" t="n">
        <v>498.3</v>
      </c>
      <c r="F101" s="7" t="n">
        <v>441.4</v>
      </c>
      <c r="H101" s="7" t="n">
        <v>428.4</v>
      </c>
      <c r="J101" s="7" t="n">
        <v>827.5</v>
      </c>
      <c r="L101" s="7" t="n">
        <v>1614.8</v>
      </c>
      <c r="N101" s="7" t="n">
        <v>1574.6</v>
      </c>
      <c r="P101" s="7" t="n">
        <v>678.4</v>
      </c>
      <c r="R101" s="7" t="n">
        <v>801.3</v>
      </c>
      <c r="T101" s="7" t="n">
        <v>818</v>
      </c>
      <c r="V101" s="7" t="n">
        <v>1331</v>
      </c>
      <c r="X101" s="7" t="n">
        <v>659.7</v>
      </c>
      <c r="Z101" s="7" t="n">
        <v>946.5</v>
      </c>
      <c r="AB101" s="7" t="n">
        <v>10619.9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55097.8</v>
      </c>
      <c r="D102" s="7" t="n">
        <v>45186.6</v>
      </c>
      <c r="E102" s="7" t="n">
        <v>66134.10000000001</v>
      </c>
      <c r="F102" s="7" t="n">
        <v>32856.2</v>
      </c>
      <c r="G102" s="7" t="n">
        <v>59067.6</v>
      </c>
      <c r="H102" s="7" t="n">
        <v>44441</v>
      </c>
      <c r="I102" s="7" t="n">
        <v>55003.8</v>
      </c>
      <c r="J102" s="7" t="n">
        <v>40262.2</v>
      </c>
      <c r="K102" s="7" t="n">
        <v>54604.4</v>
      </c>
      <c r="L102" s="7" t="n">
        <v>56875.9</v>
      </c>
      <c r="M102" s="7" t="n">
        <v>66070.10000000001</v>
      </c>
      <c r="N102" s="7" t="n">
        <v>74592.5</v>
      </c>
      <c r="O102" s="7" t="n">
        <v>61025.4</v>
      </c>
      <c r="P102" s="7" t="n">
        <v>74189.5</v>
      </c>
      <c r="Q102" s="7" t="n">
        <v>68378.5</v>
      </c>
      <c r="R102" s="7" t="n">
        <v>107447</v>
      </c>
      <c r="S102" s="7" t="n">
        <v>68486.8</v>
      </c>
      <c r="T102" s="7" t="n">
        <v>43635</v>
      </c>
      <c r="U102" s="7" t="n">
        <v>62271.8</v>
      </c>
      <c r="V102" s="7" t="n">
        <v>92702.8</v>
      </c>
      <c r="W102" s="7" t="n">
        <v>63496.8</v>
      </c>
      <c r="X102" s="7" t="n">
        <v>67714.8</v>
      </c>
      <c r="Y102" s="7" t="n">
        <v>56003.1</v>
      </c>
      <c r="Z102" s="7" t="n">
        <v>60964.4</v>
      </c>
      <c r="AA102" s="8" t="n">
        <v>735640.2</v>
      </c>
      <c r="AB102" s="8" t="n">
        <v>740867.9</v>
      </c>
    </row>
    <row r="103">
      <c r="A103" s="4" t="inlineStr">
        <is>
          <t>职工薪酬</t>
        </is>
      </c>
      <c r="D103" s="7" t="n">
        <v>20815.6</v>
      </c>
      <c r="F103" s="7" t="n">
        <v>15991.9</v>
      </c>
      <c r="H103" s="7" t="n">
        <v>20944.5</v>
      </c>
      <c r="J103" s="7" t="n">
        <v>21437</v>
      </c>
      <c r="L103" s="7" t="n">
        <v>23565.6</v>
      </c>
      <c r="N103" s="7" t="n">
        <v>35762</v>
      </c>
      <c r="P103" s="7" t="n">
        <v>38096.1</v>
      </c>
      <c r="R103" s="7" t="n">
        <v>49784.2</v>
      </c>
      <c r="T103" s="7" t="n">
        <v>26510.7</v>
      </c>
      <c r="V103" s="7" t="n">
        <v>43473.1</v>
      </c>
      <c r="X103" s="7" t="n">
        <v>30345.9</v>
      </c>
      <c r="Z103" s="7" t="n">
        <v>35330.6</v>
      </c>
      <c r="AB103" s="7" t="n">
        <v>362057.2</v>
      </c>
    </row>
    <row r="104">
      <c r="A104" s="4" t="inlineStr">
        <is>
          <t>工资</t>
        </is>
      </c>
      <c r="D104" s="7" t="n">
        <v>11915.8</v>
      </c>
      <c r="F104" s="7" t="n">
        <v>8433.799999999999</v>
      </c>
      <c r="H104" s="7" t="n">
        <v>11950.5</v>
      </c>
      <c r="J104" s="7" t="n">
        <v>11266.2</v>
      </c>
      <c r="L104" s="7" t="n">
        <v>12810.5</v>
      </c>
      <c r="N104" s="7" t="n">
        <v>18656.2</v>
      </c>
      <c r="P104" s="7" t="n">
        <v>22818.3</v>
      </c>
      <c r="R104" s="7" t="n">
        <v>29738.9</v>
      </c>
      <c r="T104" s="7" t="n">
        <v>16114.5</v>
      </c>
      <c r="V104" s="7" t="n">
        <v>24417.2</v>
      </c>
      <c r="X104" s="7" t="n">
        <v>16457.5</v>
      </c>
      <c r="Z104" s="7" t="n">
        <v>21897.6</v>
      </c>
      <c r="AB104" s="7" t="n">
        <v>206477</v>
      </c>
    </row>
    <row r="105">
      <c r="A105" s="4" t="inlineStr">
        <is>
          <t>奖金及提成</t>
        </is>
      </c>
      <c r="D105" s="7" t="n">
        <v>3590.3</v>
      </c>
      <c r="F105" s="7" t="n">
        <v>3622.2</v>
      </c>
      <c r="H105" s="7" t="n">
        <v>3472.8</v>
      </c>
      <c r="J105" s="7" t="n">
        <v>4891</v>
      </c>
      <c r="L105" s="7" t="n">
        <v>4646.4</v>
      </c>
      <c r="N105" s="7" t="n">
        <v>7269.1</v>
      </c>
      <c r="P105" s="7" t="n">
        <v>6008.4</v>
      </c>
      <c r="R105" s="7" t="n">
        <v>10142.4</v>
      </c>
      <c r="T105" s="7" t="n">
        <v>4772</v>
      </c>
      <c r="V105" s="7" t="n">
        <v>6593.3</v>
      </c>
      <c r="X105" s="7" t="n">
        <v>5682.6</v>
      </c>
      <c r="Z105" s="7" t="n">
        <v>5916.3</v>
      </c>
      <c r="AB105" s="7" t="n">
        <v>66606.8</v>
      </c>
    </row>
    <row r="106">
      <c r="A106" s="4" t="inlineStr">
        <is>
          <t>社保</t>
        </is>
      </c>
      <c r="D106" s="7" t="n">
        <v>3787.2</v>
      </c>
      <c r="F106" s="7" t="n">
        <v>2635.5</v>
      </c>
      <c r="H106" s="7" t="n">
        <v>3967.3</v>
      </c>
      <c r="J106" s="7" t="n">
        <v>3802.7</v>
      </c>
      <c r="L106" s="7" t="n">
        <v>4266.8</v>
      </c>
      <c r="N106" s="7" t="n">
        <v>7118.7</v>
      </c>
      <c r="P106" s="7" t="n">
        <v>7114.6</v>
      </c>
      <c r="R106" s="7" t="n">
        <v>6185.5</v>
      </c>
      <c r="T106" s="7" t="n">
        <v>4101.3</v>
      </c>
      <c r="V106" s="7" t="n">
        <v>9590.299999999999</v>
      </c>
      <c r="X106" s="7" t="n">
        <v>5908.4</v>
      </c>
      <c r="Z106" s="7" t="n">
        <v>5493.9</v>
      </c>
      <c r="AB106" s="7" t="n">
        <v>63972.2</v>
      </c>
    </row>
    <row r="107">
      <c r="A107" s="4" t="inlineStr">
        <is>
          <t>养老</t>
        </is>
      </c>
      <c r="D107" s="7" t="n">
        <v>276.9</v>
      </c>
      <c r="F107" s="7" t="n">
        <v>167.9</v>
      </c>
      <c r="H107" s="7" t="n">
        <v>301.2</v>
      </c>
      <c r="J107" s="7" t="n">
        <v>302.1</v>
      </c>
      <c r="L107" s="7" t="n">
        <v>264.9</v>
      </c>
      <c r="N107" s="7" t="n">
        <v>519.1</v>
      </c>
      <c r="P107" s="7" t="n">
        <v>329</v>
      </c>
      <c r="R107" s="7" t="n">
        <v>693.8</v>
      </c>
      <c r="T107" s="7" t="n">
        <v>254.8</v>
      </c>
      <c r="V107" s="7" t="n">
        <v>672.8</v>
      </c>
      <c r="X107" s="7" t="n">
        <v>294.3</v>
      </c>
      <c r="Z107" s="7" t="n">
        <v>307.8</v>
      </c>
      <c r="AB107" s="7" t="n">
        <v>4384.6</v>
      </c>
    </row>
    <row r="108">
      <c r="A108" s="4" t="inlineStr">
        <is>
          <t>医疗</t>
        </is>
      </c>
      <c r="D108" s="7" t="n">
        <v>259.4</v>
      </c>
      <c r="F108" s="7" t="n">
        <v>257.9</v>
      </c>
      <c r="H108" s="7" t="n">
        <v>212.8</v>
      </c>
      <c r="J108" s="7" t="n">
        <v>219.6</v>
      </c>
      <c r="L108" s="7" t="n">
        <v>435.9</v>
      </c>
      <c r="N108" s="7" t="n">
        <v>583.6</v>
      </c>
      <c r="P108" s="7" t="n">
        <v>613.1</v>
      </c>
      <c r="R108" s="7" t="n">
        <v>558.6</v>
      </c>
      <c r="T108" s="7" t="n">
        <v>338</v>
      </c>
      <c r="V108" s="7" t="n">
        <v>643.6</v>
      </c>
      <c r="X108" s="7" t="n">
        <v>383</v>
      </c>
      <c r="Z108" s="7" t="n">
        <v>371.2</v>
      </c>
      <c r="AB108" s="7" t="n">
        <v>4876.7</v>
      </c>
    </row>
    <row r="109">
      <c r="A109" s="4" t="inlineStr">
        <is>
          <t>工伤</t>
        </is>
      </c>
      <c r="D109" s="7" t="n">
        <v>61.8</v>
      </c>
      <c r="F109" s="7" t="n">
        <v>44.4</v>
      </c>
      <c r="H109" s="7" t="n">
        <v>60.8</v>
      </c>
      <c r="J109" s="7" t="n">
        <v>55.3</v>
      </c>
      <c r="L109" s="7" t="n">
        <v>55.4</v>
      </c>
      <c r="N109" s="7" t="n">
        <v>69.09999999999999</v>
      </c>
      <c r="P109" s="7" t="n">
        <v>114.3</v>
      </c>
      <c r="R109" s="7" t="n">
        <v>137.1</v>
      </c>
      <c r="T109" s="7" t="n">
        <v>43.6</v>
      </c>
      <c r="V109" s="7" t="n">
        <v>86.09999999999999</v>
      </c>
      <c r="X109" s="7" t="n">
        <v>62.8</v>
      </c>
      <c r="Z109" s="7" t="n">
        <v>68.09999999999999</v>
      </c>
      <c r="AB109" s="7" t="n">
        <v>858.8</v>
      </c>
    </row>
    <row r="110">
      <c r="A110" s="4" t="inlineStr">
        <is>
          <t>失业</t>
        </is>
      </c>
      <c r="D110" s="7" t="n">
        <v>243.6</v>
      </c>
      <c r="F110" s="7" t="n">
        <v>262</v>
      </c>
      <c r="H110" s="7" t="n">
        <v>242.1</v>
      </c>
      <c r="J110" s="7" t="n">
        <v>217.7</v>
      </c>
      <c r="L110" s="7" t="n">
        <v>315.1</v>
      </c>
      <c r="N110" s="7" t="n">
        <v>475.8</v>
      </c>
      <c r="P110" s="7" t="n">
        <v>357.2</v>
      </c>
      <c r="R110" s="7" t="n">
        <v>779.2</v>
      </c>
      <c r="T110" s="7" t="n">
        <v>312.7</v>
      </c>
      <c r="V110" s="7" t="n">
        <v>576.6</v>
      </c>
      <c r="X110" s="7" t="n">
        <v>428.7</v>
      </c>
      <c r="Z110" s="7" t="n">
        <v>499.3</v>
      </c>
      <c r="AB110" s="7" t="n">
        <v>4710</v>
      </c>
    </row>
    <row r="111">
      <c r="A111" s="4" t="inlineStr">
        <is>
          <t>生育</t>
        </is>
      </c>
      <c r="D111" s="7" t="n">
        <v>3.8</v>
      </c>
      <c r="F111" s="7" t="n">
        <v>1.8</v>
      </c>
      <c r="H111" s="7" t="n">
        <v>3.1</v>
      </c>
      <c r="J111" s="7" t="n">
        <v>3</v>
      </c>
      <c r="L111" s="7" t="n">
        <v>4.6</v>
      </c>
      <c r="N111" s="7" t="n">
        <v>4.7</v>
      </c>
      <c r="P111" s="7" t="n">
        <v>6.5</v>
      </c>
      <c r="R111" s="7" t="n">
        <v>5.5</v>
      </c>
      <c r="T111" s="7" t="n">
        <v>2.7</v>
      </c>
      <c r="V111" s="7" t="n">
        <v>6</v>
      </c>
      <c r="X111" s="7" t="n">
        <v>3.5</v>
      </c>
      <c r="Z111" s="7" t="n">
        <v>5.4</v>
      </c>
      <c r="AB111" s="7" t="n">
        <v>50.6</v>
      </c>
    </row>
    <row r="112">
      <c r="A112" s="4" t="inlineStr">
        <is>
          <t>公积金</t>
        </is>
      </c>
      <c r="D112" s="7" t="n">
        <v>43</v>
      </c>
      <c r="F112" s="7" t="n">
        <v>39.1</v>
      </c>
      <c r="H112" s="7" t="n">
        <v>58.6</v>
      </c>
      <c r="J112" s="7" t="n">
        <v>54.3</v>
      </c>
      <c r="L112" s="7" t="n">
        <v>51.8</v>
      </c>
      <c r="N112" s="7" t="n">
        <v>60.7</v>
      </c>
      <c r="P112" s="7" t="n">
        <v>72.59999999999999</v>
      </c>
      <c r="R112" s="7" t="n">
        <v>152.5</v>
      </c>
      <c r="T112" s="7" t="n">
        <v>58.2</v>
      </c>
      <c r="V112" s="7" t="n">
        <v>76.59999999999999</v>
      </c>
      <c r="X112" s="7" t="n">
        <v>78.7</v>
      </c>
      <c r="Z112" s="7" t="n">
        <v>67.5</v>
      </c>
      <c r="AB112" s="7" t="n">
        <v>813.6</v>
      </c>
    </row>
    <row r="113">
      <c r="A113" s="4" t="inlineStr">
        <is>
          <t>工会经费</t>
        </is>
      </c>
      <c r="D113" s="7" t="n">
        <v>330.9</v>
      </c>
      <c r="F113" s="7" t="n">
        <v>241.8</v>
      </c>
      <c r="H113" s="7" t="n">
        <v>325</v>
      </c>
      <c r="J113" s="7" t="n">
        <v>312.5</v>
      </c>
      <c r="L113" s="7" t="n">
        <v>250.6</v>
      </c>
      <c r="N113" s="7" t="n">
        <v>450.3</v>
      </c>
      <c r="P113" s="7" t="n">
        <v>367.4</v>
      </c>
      <c r="R113" s="7" t="n">
        <v>532.2</v>
      </c>
      <c r="T113" s="7" t="n">
        <v>319.1</v>
      </c>
      <c r="V113" s="7" t="n">
        <v>503.8</v>
      </c>
      <c r="X113" s="7" t="n">
        <v>516.4</v>
      </c>
      <c r="Z113" s="7" t="n">
        <v>278.2</v>
      </c>
      <c r="AB113" s="7" t="n">
        <v>4428.2</v>
      </c>
    </row>
    <row r="114">
      <c r="A114" s="4" t="inlineStr">
        <is>
          <t>职工教育经费</t>
        </is>
      </c>
      <c r="D114" s="7" t="n">
        <v>273.5</v>
      </c>
      <c r="F114" s="7" t="n">
        <v>219.3</v>
      </c>
      <c r="H114" s="7" t="n">
        <v>203</v>
      </c>
      <c r="J114" s="7" t="n">
        <v>264.4</v>
      </c>
      <c r="L114" s="7" t="n">
        <v>296.9</v>
      </c>
      <c r="N114" s="7" t="n">
        <v>464.3</v>
      </c>
      <c r="P114" s="7" t="n">
        <v>301.5</v>
      </c>
      <c r="R114" s="7" t="n">
        <v>717.4</v>
      </c>
      <c r="T114" s="7" t="n">
        <v>252.9</v>
      </c>
      <c r="V114" s="7" t="n">
        <v>551.7</v>
      </c>
      <c r="X114" s="7" t="n">
        <v>322.8</v>
      </c>
      <c r="Z114" s="7" t="n">
        <v>278.7</v>
      </c>
      <c r="AB114" s="7" t="n">
        <v>4146.4</v>
      </c>
    </row>
    <row r="115">
      <c r="A115" s="4" t="inlineStr">
        <is>
          <t>福利费</t>
        </is>
      </c>
      <c r="D115" s="7" t="n">
        <v>874.9</v>
      </c>
      <c r="F115" s="7" t="n">
        <v>800.2</v>
      </c>
      <c r="H115" s="7" t="n">
        <v>967.3</v>
      </c>
      <c r="J115" s="7" t="n">
        <v>845.9</v>
      </c>
      <c r="L115" s="7" t="n">
        <v>1242.6</v>
      </c>
      <c r="N115" s="7" t="n">
        <v>1742.7</v>
      </c>
      <c r="P115" s="7" t="n">
        <v>1413.3</v>
      </c>
      <c r="R115" s="7" t="n">
        <v>2315.3</v>
      </c>
      <c r="T115" s="7" t="n">
        <v>892.7</v>
      </c>
      <c r="V115" s="7" t="n">
        <v>1740.2</v>
      </c>
      <c r="X115" s="7" t="n">
        <v>1379.5</v>
      </c>
      <c r="Z115" s="7" t="n">
        <v>1398.4</v>
      </c>
      <c r="AB115" s="7" t="n">
        <v>15613</v>
      </c>
    </row>
    <row r="116">
      <c r="A116" s="4" t="inlineStr">
        <is>
          <t>职工房租</t>
        </is>
      </c>
      <c r="D116" s="7" t="n">
        <v>168.4</v>
      </c>
      <c r="F116" s="7" t="n">
        <v>165.8</v>
      </c>
      <c r="H116" s="7" t="n">
        <v>135.3</v>
      </c>
      <c r="J116" s="7" t="n">
        <v>131.7</v>
      </c>
      <c r="L116" s="7" t="n">
        <v>248.5</v>
      </c>
      <c r="N116" s="7" t="n">
        <v>363.5</v>
      </c>
      <c r="P116" s="7" t="n">
        <v>321.6</v>
      </c>
      <c r="R116" s="7" t="n">
        <v>493.1</v>
      </c>
      <c r="T116" s="7" t="n">
        <v>167.6</v>
      </c>
      <c r="V116" s="7" t="n">
        <v>441.6</v>
      </c>
      <c r="X116" s="7" t="n">
        <v>242.7</v>
      </c>
      <c r="Z116" s="7" t="n">
        <v>214.4</v>
      </c>
      <c r="AB116" s="7" t="n">
        <v>3094.2</v>
      </c>
    </row>
    <row r="117">
      <c r="A117" s="4" t="inlineStr">
        <is>
          <t>水电物业费</t>
        </is>
      </c>
      <c r="D117" s="7" t="n">
        <v>171.9</v>
      </c>
      <c r="F117" s="7" t="n">
        <v>138.6</v>
      </c>
      <c r="H117" s="7" t="n">
        <v>146.5</v>
      </c>
      <c r="J117" s="7" t="n">
        <v>144.1</v>
      </c>
      <c r="L117" s="7" t="n">
        <v>183.6</v>
      </c>
      <c r="N117" s="7" t="n">
        <v>288.2</v>
      </c>
      <c r="P117" s="7" t="n">
        <v>184</v>
      </c>
      <c r="R117" s="7" t="n">
        <v>290.1</v>
      </c>
      <c r="T117" s="7" t="n">
        <v>112.9</v>
      </c>
      <c r="V117" s="7" t="n">
        <v>231.7</v>
      </c>
      <c r="X117" s="7" t="n">
        <v>164</v>
      </c>
      <c r="Z117" s="7" t="n">
        <v>206.5</v>
      </c>
      <c r="AB117" s="7" t="n">
        <v>2262.1</v>
      </c>
    </row>
    <row r="118">
      <c r="A118" s="4" t="inlineStr">
        <is>
          <t>员工餐</t>
        </is>
      </c>
      <c r="D118" s="7" t="n">
        <v>207.6</v>
      </c>
      <c r="F118" s="7" t="n">
        <v>232.7</v>
      </c>
      <c r="H118" s="7" t="n">
        <v>363</v>
      </c>
      <c r="J118" s="7" t="n">
        <v>263.1</v>
      </c>
      <c r="L118" s="7" t="n">
        <v>426.7</v>
      </c>
      <c r="N118" s="7" t="n">
        <v>541.3</v>
      </c>
      <c r="P118" s="7" t="n">
        <v>343.1</v>
      </c>
      <c r="R118" s="7" t="n">
        <v>850.6</v>
      </c>
      <c r="T118" s="7" t="n">
        <v>355.3</v>
      </c>
      <c r="V118" s="7" t="n">
        <v>437.1</v>
      </c>
      <c r="X118" s="7" t="n">
        <v>520.3</v>
      </c>
      <c r="Z118" s="7" t="n">
        <v>470.3</v>
      </c>
      <c r="AB118" s="7" t="n">
        <v>5011.1</v>
      </c>
    </row>
    <row r="119">
      <c r="A119" s="4" t="inlineStr">
        <is>
          <t>节日礼品</t>
        </is>
      </c>
      <c r="D119" s="7" t="n">
        <v>160.3</v>
      </c>
      <c r="F119" s="7" t="n">
        <v>123.1</v>
      </c>
      <c r="H119" s="7" t="n">
        <v>177.9</v>
      </c>
      <c r="J119" s="7" t="n">
        <v>135.5</v>
      </c>
      <c r="L119" s="7" t="n">
        <v>164.8</v>
      </c>
      <c r="N119" s="7" t="n">
        <v>249.6</v>
      </c>
      <c r="P119" s="7" t="n">
        <v>252.7</v>
      </c>
      <c r="R119" s="7" t="n">
        <v>290.7</v>
      </c>
      <c r="T119" s="7" t="n">
        <v>126.6</v>
      </c>
      <c r="V119" s="7" t="n">
        <v>312</v>
      </c>
      <c r="X119" s="7" t="n">
        <v>245.6</v>
      </c>
      <c r="Z119" s="7" t="n">
        <v>240</v>
      </c>
      <c r="AB119" s="7" t="n">
        <v>2478.8</v>
      </c>
    </row>
    <row r="120">
      <c r="A120" s="4" t="inlineStr">
        <is>
          <t>生日礼品</t>
        </is>
      </c>
      <c r="D120" s="7" t="n">
        <v>24.7</v>
      </c>
      <c r="F120" s="7" t="n">
        <v>19</v>
      </c>
      <c r="H120" s="7" t="n">
        <v>39.6</v>
      </c>
      <c r="J120" s="7" t="n">
        <v>36.6</v>
      </c>
      <c r="L120" s="7" t="n">
        <v>46.9</v>
      </c>
      <c r="N120" s="7" t="n">
        <v>45.5</v>
      </c>
      <c r="P120" s="7" t="n">
        <v>55.1</v>
      </c>
      <c r="R120" s="7" t="n">
        <v>62.4</v>
      </c>
      <c r="T120" s="7" t="n">
        <v>22.3</v>
      </c>
      <c r="V120" s="7" t="n">
        <v>80.7</v>
      </c>
      <c r="X120" s="7" t="n">
        <v>38.4</v>
      </c>
      <c r="Z120" s="7" t="n">
        <v>33.6</v>
      </c>
      <c r="AB120" s="7" t="n">
        <v>504.8</v>
      </c>
    </row>
    <row r="121">
      <c r="A121" s="4" t="inlineStr">
        <is>
          <t>体检</t>
        </is>
      </c>
      <c r="D121" s="7" t="n">
        <v>57.8</v>
      </c>
      <c r="F121" s="7" t="n">
        <v>42.2</v>
      </c>
      <c r="H121" s="7" t="n">
        <v>44</v>
      </c>
      <c r="J121" s="7" t="n">
        <v>57.1</v>
      </c>
      <c r="L121" s="7" t="n">
        <v>61.1</v>
      </c>
      <c r="N121" s="7" t="n">
        <v>109.8</v>
      </c>
      <c r="P121" s="7" t="n">
        <v>106.7</v>
      </c>
      <c r="R121" s="7" t="n">
        <v>142</v>
      </c>
      <c r="T121" s="7" t="n">
        <v>35.3</v>
      </c>
      <c r="V121" s="7" t="n">
        <v>109.6</v>
      </c>
      <c r="X121" s="7" t="n">
        <v>63.9</v>
      </c>
      <c r="Z121" s="7" t="n">
        <v>90.5</v>
      </c>
      <c r="AB121" s="7" t="n">
        <v>920</v>
      </c>
    </row>
    <row r="122">
      <c r="A122" s="4" t="inlineStr">
        <is>
          <t>其他福利支出</t>
        </is>
      </c>
      <c r="D122" s="7" t="n">
        <v>84.2</v>
      </c>
      <c r="F122" s="7" t="n">
        <v>78.8</v>
      </c>
      <c r="H122" s="7" t="n">
        <v>61</v>
      </c>
      <c r="J122" s="7" t="n">
        <v>77.8</v>
      </c>
      <c r="L122" s="7" t="n">
        <v>111</v>
      </c>
      <c r="N122" s="7" t="n">
        <v>144.8</v>
      </c>
      <c r="P122" s="7" t="n">
        <v>150.1</v>
      </c>
      <c r="R122" s="7" t="n">
        <v>186.4</v>
      </c>
      <c r="T122" s="7" t="n">
        <v>72.7</v>
      </c>
      <c r="V122" s="7" t="n">
        <v>127.5</v>
      </c>
      <c r="X122" s="7" t="n">
        <v>104.6</v>
      </c>
      <c r="Z122" s="7" t="n">
        <v>143.1</v>
      </c>
      <c r="AB122" s="7" t="n">
        <v>1342</v>
      </c>
    </row>
    <row r="123">
      <c r="A123" s="4" t="inlineStr">
        <is>
          <t>招聘费</t>
        </is>
      </c>
      <c r="D123" s="7" t="n">
        <v>168.5</v>
      </c>
      <c r="F123" s="7" t="n">
        <v>132.8</v>
      </c>
      <c r="H123" s="7" t="n">
        <v>162.7</v>
      </c>
      <c r="J123" s="7" t="n">
        <v>173</v>
      </c>
      <c r="L123" s="7" t="n">
        <v>280.4</v>
      </c>
      <c r="N123" s="7" t="n">
        <v>244.3</v>
      </c>
      <c r="P123" s="7" t="n">
        <v>331.2</v>
      </c>
      <c r="R123" s="7" t="n">
        <v>431.7</v>
      </c>
      <c r="T123" s="7" t="n">
        <v>188.7</v>
      </c>
      <c r="V123" s="7" t="n">
        <v>463.6</v>
      </c>
      <c r="X123" s="7" t="n">
        <v>255.8</v>
      </c>
      <c r="Z123" s="7" t="n">
        <v>265.2</v>
      </c>
      <c r="AB123" s="7" t="n">
        <v>3097.9</v>
      </c>
    </row>
    <row r="124">
      <c r="A124" s="4" t="inlineStr">
        <is>
          <t>办公费</t>
        </is>
      </c>
      <c r="D124" s="7" t="n">
        <v>1119.1</v>
      </c>
      <c r="F124" s="7" t="n">
        <v>1250.4</v>
      </c>
      <c r="H124" s="7" t="n">
        <v>1411.4</v>
      </c>
      <c r="J124" s="7" t="n">
        <v>1074.9</v>
      </c>
      <c r="L124" s="7" t="n">
        <v>1433.1</v>
      </c>
      <c r="N124" s="7" t="n">
        <v>1814.8</v>
      </c>
      <c r="P124" s="7" t="n">
        <v>2788.3</v>
      </c>
      <c r="R124" s="7" t="n">
        <v>3173.4</v>
      </c>
      <c r="T124" s="7" t="n">
        <v>1540.6</v>
      </c>
      <c r="V124" s="7" t="n">
        <v>2213.8</v>
      </c>
      <c r="X124" s="7" t="n">
        <v>1859.2</v>
      </c>
      <c r="Z124" s="7" t="n">
        <v>1448.8</v>
      </c>
      <c r="AB124" s="7" t="n">
        <v>21127.8</v>
      </c>
    </row>
    <row r="125">
      <c r="A125" s="4" t="inlineStr">
        <is>
          <t>市内交通费</t>
        </is>
      </c>
      <c r="D125" s="7" t="n">
        <v>152.7</v>
      </c>
      <c r="F125" s="7" t="n">
        <v>82</v>
      </c>
      <c r="H125" s="7" t="n">
        <v>91.5</v>
      </c>
      <c r="J125" s="7" t="n">
        <v>131</v>
      </c>
      <c r="L125" s="7" t="n">
        <v>121.7</v>
      </c>
      <c r="N125" s="7" t="n">
        <v>223.6</v>
      </c>
      <c r="P125" s="7" t="n">
        <v>212.4</v>
      </c>
      <c r="R125" s="7" t="n">
        <v>370.4</v>
      </c>
      <c r="T125" s="7" t="n">
        <v>94.59999999999999</v>
      </c>
      <c r="V125" s="7" t="n">
        <v>221.6</v>
      </c>
      <c r="X125" s="7" t="n">
        <v>138</v>
      </c>
      <c r="Z125" s="7" t="n">
        <v>209.8</v>
      </c>
      <c r="AB125" s="7" t="n">
        <v>2049.3</v>
      </c>
    </row>
    <row r="126">
      <c r="A126" s="4" t="inlineStr">
        <is>
          <t>差旅费</t>
        </is>
      </c>
      <c r="D126" s="7" t="n">
        <v>3451.4</v>
      </c>
      <c r="F126" s="7" t="n">
        <v>2289.1</v>
      </c>
      <c r="H126" s="7" t="n">
        <v>2215.9</v>
      </c>
      <c r="J126" s="7" t="n">
        <v>1910.8</v>
      </c>
      <c r="L126" s="7" t="n">
        <v>3039.4</v>
      </c>
      <c r="N126" s="7" t="n">
        <v>5166.9</v>
      </c>
      <c r="P126" s="7" t="n">
        <v>4988.6</v>
      </c>
      <c r="R126" s="7" t="n">
        <v>6068.6</v>
      </c>
      <c r="T126" s="7" t="n">
        <v>2517.4</v>
      </c>
      <c r="V126" s="7" t="n">
        <v>5439.6</v>
      </c>
      <c r="X126" s="7" t="n">
        <v>4599.7</v>
      </c>
      <c r="Z126" s="7" t="n">
        <v>2898.9</v>
      </c>
      <c r="AB126" s="7" t="n">
        <v>44586.3</v>
      </c>
    </row>
    <row r="127">
      <c r="A127" s="4" t="inlineStr">
        <is>
          <t>交通费</t>
        </is>
      </c>
      <c r="D127" s="7" t="n">
        <v>144.8</v>
      </c>
      <c r="F127" s="7" t="n">
        <v>99.8</v>
      </c>
      <c r="H127" s="7" t="n">
        <v>130.8</v>
      </c>
      <c r="J127" s="7" t="n">
        <v>137.3</v>
      </c>
      <c r="L127" s="7" t="n">
        <v>110.6</v>
      </c>
      <c r="N127" s="7" t="n">
        <v>185.1</v>
      </c>
      <c r="P127" s="7" t="n">
        <v>179.1</v>
      </c>
      <c r="R127" s="7" t="n">
        <v>246.3</v>
      </c>
      <c r="T127" s="7" t="n">
        <v>117.9</v>
      </c>
      <c r="V127" s="7" t="n">
        <v>270.2</v>
      </c>
      <c r="X127" s="7" t="n">
        <v>187</v>
      </c>
      <c r="Z127" s="7" t="n">
        <v>123.9</v>
      </c>
      <c r="AB127" s="7" t="n">
        <v>1932.8</v>
      </c>
    </row>
    <row r="128">
      <c r="A128" s="4" t="inlineStr">
        <is>
          <t>住宿费</t>
        </is>
      </c>
      <c r="D128" s="7" t="n">
        <v>46.4</v>
      </c>
      <c r="F128" s="7" t="n">
        <v>48.2</v>
      </c>
      <c r="H128" s="7" t="n">
        <v>69</v>
      </c>
      <c r="J128" s="7" t="n">
        <v>39.2</v>
      </c>
      <c r="L128" s="7" t="n">
        <v>65.90000000000001</v>
      </c>
      <c r="N128" s="7" t="n">
        <v>102.2</v>
      </c>
      <c r="P128" s="7" t="n">
        <v>120.6</v>
      </c>
      <c r="R128" s="7" t="n">
        <v>162</v>
      </c>
      <c r="T128" s="7" t="n">
        <v>46.5</v>
      </c>
      <c r="V128" s="7" t="n">
        <v>148.3</v>
      </c>
      <c r="X128" s="7" t="n">
        <v>68.2</v>
      </c>
      <c r="Z128" s="7" t="n">
        <v>99.09999999999999</v>
      </c>
      <c r="AB128" s="7" t="n">
        <v>1015.6</v>
      </c>
    </row>
    <row r="129">
      <c r="A129" s="4" t="inlineStr">
        <is>
          <t>餐补</t>
        </is>
      </c>
      <c r="D129" s="7" t="n">
        <v>33.5</v>
      </c>
      <c r="F129" s="7" t="n">
        <v>23.8</v>
      </c>
      <c r="H129" s="7" t="n">
        <v>25.4</v>
      </c>
      <c r="J129" s="7" t="n">
        <v>21.9</v>
      </c>
      <c r="L129" s="7" t="n">
        <v>38.6</v>
      </c>
      <c r="N129" s="7" t="n">
        <v>56.8</v>
      </c>
      <c r="P129" s="7" t="n">
        <v>51.7</v>
      </c>
      <c r="R129" s="7" t="n">
        <v>68</v>
      </c>
      <c r="T129" s="7" t="n">
        <v>33</v>
      </c>
      <c r="V129" s="7" t="n">
        <v>58.9</v>
      </c>
      <c r="X129" s="7" t="n">
        <v>42.8</v>
      </c>
      <c r="Z129" s="7" t="n">
        <v>48.8</v>
      </c>
      <c r="AB129" s="7" t="n">
        <v>503.2</v>
      </c>
    </row>
    <row r="130">
      <c r="A130" s="4" t="inlineStr">
        <is>
          <t>交通补助</t>
        </is>
      </c>
      <c r="D130" s="7" t="n">
        <v>62.2</v>
      </c>
      <c r="F130" s="7" t="n">
        <v>74.3</v>
      </c>
      <c r="H130" s="7" t="n">
        <v>66.5</v>
      </c>
      <c r="J130" s="7" t="n">
        <v>70.5</v>
      </c>
      <c r="L130" s="7" t="n">
        <v>114.9</v>
      </c>
      <c r="N130" s="7" t="n">
        <v>107.1</v>
      </c>
      <c r="P130" s="7" t="n">
        <v>128.4</v>
      </c>
      <c r="R130" s="7" t="n">
        <v>185.4</v>
      </c>
      <c r="T130" s="7" t="n">
        <v>66.5</v>
      </c>
      <c r="V130" s="7" t="n">
        <v>217.7</v>
      </c>
      <c r="X130" s="7" t="n">
        <v>92.7</v>
      </c>
      <c r="Z130" s="7" t="n">
        <v>140.2</v>
      </c>
      <c r="AB130" s="7" t="n">
        <v>1326.4</v>
      </c>
    </row>
    <row r="131">
      <c r="A131" s="4" t="inlineStr">
        <is>
          <t>通讯补助</t>
        </is>
      </c>
      <c r="D131" s="7" t="n">
        <v>66.2</v>
      </c>
      <c r="F131" s="7" t="n">
        <v>47.8</v>
      </c>
      <c r="H131" s="7" t="n">
        <v>51.7</v>
      </c>
      <c r="J131" s="7" t="n">
        <v>50.8</v>
      </c>
      <c r="L131" s="7" t="n">
        <v>65.5</v>
      </c>
      <c r="N131" s="7" t="n">
        <v>104.2</v>
      </c>
      <c r="P131" s="7" t="n">
        <v>87.5</v>
      </c>
      <c r="R131" s="7" t="n">
        <v>145.9</v>
      </c>
      <c r="T131" s="7" t="n">
        <v>64.90000000000001</v>
      </c>
      <c r="V131" s="7" t="n">
        <v>116.9</v>
      </c>
      <c r="X131" s="7" t="n">
        <v>68.59999999999999</v>
      </c>
      <c r="Z131" s="7" t="n">
        <v>86.8</v>
      </c>
      <c r="AB131" s="7" t="n">
        <v>956.8</v>
      </c>
    </row>
    <row r="132">
      <c r="A132" s="4" t="inlineStr">
        <is>
          <t>招待费</t>
        </is>
      </c>
      <c r="D132" s="7" t="n">
        <v>2077.4</v>
      </c>
      <c r="F132" s="7" t="n">
        <v>1531.2</v>
      </c>
      <c r="H132" s="7" t="n">
        <v>1371</v>
      </c>
      <c r="J132" s="7" t="n">
        <v>1548</v>
      </c>
      <c r="L132" s="7" t="n">
        <v>1769</v>
      </c>
      <c r="N132" s="7" t="n">
        <v>2618.8</v>
      </c>
      <c r="P132" s="7" t="n">
        <v>2398.3</v>
      </c>
      <c r="R132" s="7" t="n">
        <v>4582.9</v>
      </c>
      <c r="T132" s="7" t="n">
        <v>1970.4</v>
      </c>
      <c r="V132" s="7" t="n">
        <v>3566</v>
      </c>
      <c r="X132" s="7" t="n">
        <v>2131.4</v>
      </c>
      <c r="Z132" s="7" t="n">
        <v>1816.9</v>
      </c>
      <c r="AB132" s="7" t="n">
        <v>27381.3</v>
      </c>
    </row>
    <row r="133">
      <c r="A133" s="4" t="inlineStr">
        <is>
          <t>通讯费</t>
        </is>
      </c>
      <c r="D133" s="7" t="n">
        <v>47.9</v>
      </c>
      <c r="F133" s="7" t="n">
        <v>29.1</v>
      </c>
      <c r="H133" s="7" t="n">
        <v>46.4</v>
      </c>
      <c r="J133" s="7" t="n">
        <v>51.6</v>
      </c>
      <c r="L133" s="7" t="n">
        <v>69.59999999999999</v>
      </c>
      <c r="N133" s="7" t="n">
        <v>105.4</v>
      </c>
      <c r="P133" s="7" t="n">
        <v>68.40000000000001</v>
      </c>
      <c r="R133" s="7" t="n">
        <v>147</v>
      </c>
      <c r="T133" s="7" t="n">
        <v>66.09999999999999</v>
      </c>
      <c r="V133" s="7" t="n">
        <v>139.1</v>
      </c>
      <c r="X133" s="7" t="n">
        <v>84.59999999999999</v>
      </c>
      <c r="Z133" s="7" t="n">
        <v>89.09999999999999</v>
      </c>
      <c r="AB133" s="7" t="n">
        <v>944.3</v>
      </c>
    </row>
    <row r="134">
      <c r="A134" s="4" t="inlineStr">
        <is>
          <t>网络费</t>
        </is>
      </c>
      <c r="D134" s="7" t="n">
        <v>193.4</v>
      </c>
      <c r="F134" s="7" t="n">
        <v>227.1</v>
      </c>
      <c r="H134" s="7" t="n">
        <v>244.2</v>
      </c>
      <c r="J134" s="7" t="n">
        <v>273.2</v>
      </c>
      <c r="L134" s="7" t="n">
        <v>304.8</v>
      </c>
      <c r="N134" s="7" t="n">
        <v>451.3</v>
      </c>
      <c r="P134" s="7" t="n">
        <v>541.7</v>
      </c>
      <c r="R134" s="7" t="n">
        <v>528.7</v>
      </c>
      <c r="T134" s="7" t="n">
        <v>276.1</v>
      </c>
      <c r="V134" s="7" t="n">
        <v>398.9</v>
      </c>
      <c r="X134" s="7" t="n">
        <v>306.2</v>
      </c>
      <c r="Z134" s="7" t="n">
        <v>387.3</v>
      </c>
      <c r="AB134" s="7" t="n">
        <v>4132.9</v>
      </c>
    </row>
    <row r="135">
      <c r="A135" s="4" t="inlineStr">
        <is>
          <t>修理费</t>
        </is>
      </c>
      <c r="D135" s="7" t="n">
        <v>33.8</v>
      </c>
      <c r="F135" s="7" t="n">
        <v>17.5</v>
      </c>
      <c r="H135" s="7" t="n">
        <v>39.6</v>
      </c>
      <c r="J135" s="7" t="n">
        <v>27.9</v>
      </c>
      <c r="L135" s="7" t="n">
        <v>29.5</v>
      </c>
      <c r="N135" s="7" t="n">
        <v>60.4</v>
      </c>
      <c r="P135" s="7" t="n">
        <v>43.2</v>
      </c>
      <c r="R135" s="7" t="n">
        <v>54.8</v>
      </c>
      <c r="T135" s="7" t="n">
        <v>22.3</v>
      </c>
      <c r="V135" s="7" t="n">
        <v>85.09999999999999</v>
      </c>
      <c r="X135" s="7" t="n">
        <v>56.6</v>
      </c>
      <c r="Z135" s="7" t="n">
        <v>45.4</v>
      </c>
      <c r="AB135" s="7" t="n">
        <v>516.1</v>
      </c>
    </row>
    <row r="136">
      <c r="A136" s="4" t="inlineStr">
        <is>
          <t>车辆费</t>
        </is>
      </c>
      <c r="D136" s="7" t="n">
        <v>53.7</v>
      </c>
      <c r="F136" s="7" t="n">
        <v>51</v>
      </c>
      <c r="H136" s="7" t="n">
        <v>39.6</v>
      </c>
      <c r="J136" s="7" t="n">
        <v>55.1</v>
      </c>
      <c r="L136" s="7" t="n">
        <v>64.59999999999999</v>
      </c>
      <c r="N136" s="7" t="n">
        <v>76.40000000000001</v>
      </c>
      <c r="P136" s="7" t="n">
        <v>79.59999999999999</v>
      </c>
      <c r="R136" s="7" t="n">
        <v>138.7</v>
      </c>
      <c r="T136" s="7" t="n">
        <v>46.5</v>
      </c>
      <c r="V136" s="7" t="n">
        <v>132.4</v>
      </c>
      <c r="X136" s="7" t="n">
        <v>108.3</v>
      </c>
      <c r="Z136" s="7" t="n">
        <v>79.8</v>
      </c>
      <c r="AB136" s="7" t="n">
        <v>925.7</v>
      </c>
    </row>
    <row r="137">
      <c r="A137" s="4" t="inlineStr">
        <is>
          <t>租赁费</t>
        </is>
      </c>
      <c r="D137" s="7" t="n">
        <v>1800.9</v>
      </c>
      <c r="F137" s="7" t="n">
        <v>1561.9</v>
      </c>
      <c r="H137" s="7" t="n">
        <v>2635.8</v>
      </c>
      <c r="J137" s="7" t="n">
        <v>1615.6</v>
      </c>
      <c r="L137" s="7" t="n">
        <v>3318.7</v>
      </c>
      <c r="N137" s="7" t="n">
        <v>4327.8</v>
      </c>
      <c r="P137" s="7" t="n">
        <v>2735.6</v>
      </c>
      <c r="R137" s="7" t="n">
        <v>5214.7</v>
      </c>
      <c r="T137" s="7" t="n">
        <v>2226.2</v>
      </c>
      <c r="V137" s="7" t="n">
        <v>4446.6</v>
      </c>
      <c r="X137" s="7" t="n">
        <v>4041.2</v>
      </c>
      <c r="Z137" s="7" t="n">
        <v>3517</v>
      </c>
      <c r="AB137" s="7" t="n">
        <v>37442</v>
      </c>
    </row>
    <row r="138">
      <c r="A138" s="4" t="inlineStr">
        <is>
          <t>能源费</t>
        </is>
      </c>
      <c r="D138" s="7" t="n">
        <v>625.3</v>
      </c>
      <c r="F138" s="7" t="n">
        <v>592.1</v>
      </c>
      <c r="H138" s="7" t="n">
        <v>647.8</v>
      </c>
      <c r="J138" s="7" t="n">
        <v>660.5</v>
      </c>
      <c r="L138" s="7" t="n">
        <v>916.3</v>
      </c>
      <c r="N138" s="7" t="n">
        <v>1222.7</v>
      </c>
      <c r="P138" s="7" t="n">
        <v>1140.9</v>
      </c>
      <c r="R138" s="7" t="n">
        <v>1717.4</v>
      </c>
      <c r="T138" s="7" t="n">
        <v>578.3</v>
      </c>
      <c r="V138" s="7" t="n">
        <v>1452.1</v>
      </c>
      <c r="X138" s="7" t="n">
        <v>1073.5</v>
      </c>
      <c r="Z138" s="7" t="n">
        <v>1071.9</v>
      </c>
      <c r="AB138" s="7" t="n">
        <v>11698.8</v>
      </c>
    </row>
    <row r="139">
      <c r="A139" s="4" t="inlineStr">
        <is>
          <t>水费</t>
        </is>
      </c>
      <c r="D139" s="7" t="n">
        <v>138.6</v>
      </c>
      <c r="F139" s="7" t="n">
        <v>88.09999999999999</v>
      </c>
      <c r="H139" s="7" t="n">
        <v>128.4</v>
      </c>
      <c r="J139" s="7" t="n">
        <v>132.3</v>
      </c>
      <c r="L139" s="7" t="n">
        <v>194.2</v>
      </c>
      <c r="N139" s="7" t="n">
        <v>248.7</v>
      </c>
      <c r="P139" s="7" t="n">
        <v>228</v>
      </c>
      <c r="R139" s="7" t="n">
        <v>333.3</v>
      </c>
      <c r="T139" s="7" t="n">
        <v>94</v>
      </c>
      <c r="V139" s="7" t="n">
        <v>241</v>
      </c>
      <c r="X139" s="7" t="n">
        <v>153.6</v>
      </c>
      <c r="Z139" s="7" t="n">
        <v>168</v>
      </c>
      <c r="AB139" s="7" t="n">
        <v>2148.2</v>
      </c>
    </row>
    <row r="140">
      <c r="A140" s="4" t="inlineStr">
        <is>
          <t>电费</t>
        </is>
      </c>
      <c r="D140" s="7" t="n">
        <v>218.8</v>
      </c>
      <c r="F140" s="7" t="n">
        <v>267</v>
      </c>
      <c r="H140" s="7" t="n">
        <v>228.9</v>
      </c>
      <c r="J140" s="7" t="n">
        <v>279.9</v>
      </c>
      <c r="L140" s="7" t="n">
        <v>422.8</v>
      </c>
      <c r="N140" s="7" t="n">
        <v>387.4</v>
      </c>
      <c r="P140" s="7" t="n">
        <v>392.2</v>
      </c>
      <c r="R140" s="7" t="n">
        <v>724.4</v>
      </c>
      <c r="T140" s="7" t="n">
        <v>209.7</v>
      </c>
      <c r="V140" s="7" t="n">
        <v>601</v>
      </c>
      <c r="X140" s="7" t="n">
        <v>430.6</v>
      </c>
      <c r="Z140" s="7" t="n">
        <v>494.8</v>
      </c>
      <c r="AB140" s="7" t="n">
        <v>4657.5</v>
      </c>
    </row>
    <row r="141">
      <c r="A141" s="4" t="inlineStr">
        <is>
          <t>燃气费</t>
        </is>
      </c>
      <c r="D141" s="7" t="n">
        <v>84.09999999999999</v>
      </c>
      <c r="F141" s="7" t="n">
        <v>86</v>
      </c>
      <c r="H141" s="7" t="n">
        <v>115.7</v>
      </c>
      <c r="J141" s="7" t="n">
        <v>68.09999999999999</v>
      </c>
      <c r="L141" s="7" t="n">
        <v>128.5</v>
      </c>
      <c r="N141" s="7" t="n">
        <v>192.2</v>
      </c>
      <c r="P141" s="7" t="n">
        <v>196.9</v>
      </c>
      <c r="R141" s="7" t="n">
        <v>311.2</v>
      </c>
      <c r="T141" s="7" t="n">
        <v>71.2</v>
      </c>
      <c r="V141" s="7" t="n">
        <v>270</v>
      </c>
      <c r="X141" s="7" t="n">
        <v>153.5</v>
      </c>
      <c r="Z141" s="7" t="n">
        <v>130.1</v>
      </c>
      <c r="AB141" s="7" t="n">
        <v>1807.5</v>
      </c>
    </row>
    <row r="142">
      <c r="A142" s="4" t="inlineStr">
        <is>
          <t>蒸汽费</t>
        </is>
      </c>
      <c r="D142" s="7" t="n">
        <v>183.8</v>
      </c>
      <c r="F142" s="7" t="n">
        <v>151</v>
      </c>
      <c r="H142" s="7" t="n">
        <v>174.8</v>
      </c>
      <c r="J142" s="7" t="n">
        <v>180.2</v>
      </c>
      <c r="L142" s="7" t="n">
        <v>170.8</v>
      </c>
      <c r="N142" s="7" t="n">
        <v>394.4</v>
      </c>
      <c r="P142" s="7" t="n">
        <v>323.8</v>
      </c>
      <c r="R142" s="7" t="n">
        <v>348.5</v>
      </c>
      <c r="T142" s="7" t="n">
        <v>203.4</v>
      </c>
      <c r="V142" s="7" t="n">
        <v>340.1</v>
      </c>
      <c r="X142" s="7" t="n">
        <v>335.8</v>
      </c>
      <c r="Z142" s="7" t="n">
        <v>279</v>
      </c>
      <c r="AB142" s="7" t="n">
        <v>3085.6</v>
      </c>
    </row>
    <row r="143">
      <c r="A143" s="4" t="inlineStr">
        <is>
          <t>物业费</t>
        </is>
      </c>
      <c r="D143" s="7" t="n">
        <v>133.8</v>
      </c>
      <c r="F143" s="7" t="n">
        <v>95.2</v>
      </c>
      <c r="H143" s="7" t="n">
        <v>132.9</v>
      </c>
      <c r="J143" s="7" t="n">
        <v>123.6</v>
      </c>
      <c r="L143" s="7" t="n">
        <v>133.5</v>
      </c>
      <c r="N143" s="7" t="n">
        <v>292.9</v>
      </c>
      <c r="P143" s="7" t="n">
        <v>216.2</v>
      </c>
      <c r="R143" s="7" t="n">
        <v>398.8</v>
      </c>
      <c r="T143" s="7" t="n">
        <v>145.1</v>
      </c>
      <c r="V143" s="7" t="n">
        <v>290.9</v>
      </c>
      <c r="X143" s="7" t="n">
        <v>182.4</v>
      </c>
      <c r="Z143" s="7" t="n">
        <v>204.7</v>
      </c>
      <c r="AB143" s="7" t="n">
        <v>2350</v>
      </c>
    </row>
    <row r="144">
      <c r="A144" s="4" t="inlineStr">
        <is>
          <t>劳动保护费</t>
        </is>
      </c>
      <c r="D144" s="7" t="n">
        <v>58.4</v>
      </c>
      <c r="F144" s="7" t="n">
        <v>49.7</v>
      </c>
      <c r="H144" s="7" t="n">
        <v>62</v>
      </c>
      <c r="J144" s="7" t="n">
        <v>37.2</v>
      </c>
      <c r="L144" s="7" t="n">
        <v>62.1</v>
      </c>
      <c r="N144" s="7" t="n">
        <v>80.3</v>
      </c>
      <c r="P144" s="7" t="n">
        <v>110.3</v>
      </c>
      <c r="R144" s="7" t="n">
        <v>118</v>
      </c>
      <c r="T144" s="7" t="n">
        <v>47.5</v>
      </c>
      <c r="V144" s="7" t="n">
        <v>86.90000000000001</v>
      </c>
      <c r="X144" s="7" t="n">
        <v>96.7</v>
      </c>
      <c r="Z144" s="7" t="n">
        <v>74.40000000000001</v>
      </c>
      <c r="AB144" s="7" t="n">
        <v>883.5</v>
      </c>
    </row>
    <row r="145">
      <c r="A145" s="4" t="inlineStr">
        <is>
          <t>顾问费</t>
        </is>
      </c>
      <c r="D145" s="7" t="n">
        <v>25</v>
      </c>
      <c r="F145" s="7" t="n">
        <v>16.7</v>
      </c>
      <c r="H145" s="7" t="n">
        <v>29.4</v>
      </c>
      <c r="J145" s="7" t="n">
        <v>26.3</v>
      </c>
      <c r="L145" s="7" t="n">
        <v>43.4</v>
      </c>
      <c r="N145" s="7" t="n">
        <v>36.7</v>
      </c>
      <c r="P145" s="7" t="n">
        <v>41</v>
      </c>
      <c r="R145" s="7" t="n">
        <v>70.40000000000001</v>
      </c>
      <c r="T145" s="7" t="n">
        <v>29.7</v>
      </c>
      <c r="V145" s="7" t="n">
        <v>61.7</v>
      </c>
      <c r="X145" s="7" t="n">
        <v>29.5</v>
      </c>
      <c r="Z145" s="7" t="n">
        <v>36.4</v>
      </c>
      <c r="AB145" s="7" t="n">
        <v>446.2</v>
      </c>
    </row>
    <row r="146">
      <c r="A146" s="4" t="inlineStr">
        <is>
          <t>快递费</t>
        </is>
      </c>
      <c r="D146" s="7" t="n">
        <v>69</v>
      </c>
      <c r="F146" s="7" t="n">
        <v>78.09999999999999</v>
      </c>
      <c r="H146" s="7" t="n">
        <v>61.9</v>
      </c>
      <c r="J146" s="7" t="n">
        <v>67.7</v>
      </c>
      <c r="L146" s="7" t="n">
        <v>109.4</v>
      </c>
      <c r="N146" s="7" t="n">
        <v>168.8</v>
      </c>
      <c r="P146" s="7" t="n">
        <v>137.3</v>
      </c>
      <c r="R146" s="7" t="n">
        <v>221.2</v>
      </c>
      <c r="T146" s="7" t="n">
        <v>110.6</v>
      </c>
      <c r="V146" s="7" t="n">
        <v>133.6</v>
      </c>
      <c r="X146" s="7" t="n">
        <v>127.3</v>
      </c>
      <c r="Z146" s="7" t="n">
        <v>127.6</v>
      </c>
      <c r="AB146" s="7" t="n">
        <v>1412.5</v>
      </c>
    </row>
    <row r="147">
      <c r="A147" s="4" t="inlineStr">
        <is>
          <t>诉讼费</t>
        </is>
      </c>
      <c r="D147" s="7" t="n">
        <v>148.9</v>
      </c>
      <c r="F147" s="7" t="n">
        <v>107.7</v>
      </c>
      <c r="H147" s="7" t="n">
        <v>149.2</v>
      </c>
      <c r="J147" s="7" t="n">
        <v>113.1</v>
      </c>
      <c r="L147" s="7" t="n">
        <v>200.2</v>
      </c>
      <c r="N147" s="7" t="n">
        <v>202.1</v>
      </c>
      <c r="P147" s="7" t="n">
        <v>214.7</v>
      </c>
      <c r="R147" s="7" t="n">
        <v>365.4</v>
      </c>
      <c r="T147" s="7" t="n">
        <v>144.5</v>
      </c>
      <c r="V147" s="7" t="n">
        <v>277.8</v>
      </c>
      <c r="X147" s="7" t="n">
        <v>160.3</v>
      </c>
      <c r="Z147" s="7" t="n">
        <v>194.7</v>
      </c>
      <c r="AB147" s="7" t="n">
        <v>2278.6</v>
      </c>
    </row>
    <row r="148">
      <c r="A148" s="4" t="inlineStr">
        <is>
          <t>会员费</t>
        </is>
      </c>
      <c r="D148" s="7" t="n">
        <v>280.9</v>
      </c>
      <c r="F148" s="7" t="n">
        <v>209</v>
      </c>
      <c r="H148" s="7" t="n">
        <v>179.5</v>
      </c>
      <c r="J148" s="7" t="n">
        <v>207.1</v>
      </c>
      <c r="L148" s="7" t="n">
        <v>261.5</v>
      </c>
      <c r="N148" s="7" t="n">
        <v>382.8</v>
      </c>
      <c r="P148" s="7" t="n">
        <v>494.5</v>
      </c>
      <c r="R148" s="7" t="n">
        <v>512.4</v>
      </c>
      <c r="T148" s="7" t="n">
        <v>215.7</v>
      </c>
      <c r="V148" s="7" t="n">
        <v>511.8</v>
      </c>
      <c r="X148" s="7" t="n">
        <v>422.4</v>
      </c>
      <c r="Z148" s="7" t="n">
        <v>245.2</v>
      </c>
      <c r="AB148" s="7" t="n">
        <v>3922.8</v>
      </c>
    </row>
    <row r="149">
      <c r="A149" s="4" t="inlineStr">
        <is>
          <t>广告宣传费</t>
        </is>
      </c>
      <c r="D149" s="7" t="n">
        <v>1258.7</v>
      </c>
      <c r="F149" s="7" t="n">
        <v>1149.2</v>
      </c>
      <c r="H149" s="7" t="n">
        <v>1360.2</v>
      </c>
      <c r="J149" s="7" t="n">
        <v>1037.7</v>
      </c>
      <c r="L149" s="7" t="n">
        <v>1517.9</v>
      </c>
      <c r="N149" s="7" t="n">
        <v>2630.3</v>
      </c>
      <c r="P149" s="7" t="n">
        <v>1780.5</v>
      </c>
      <c r="R149" s="7" t="n">
        <v>3494.2</v>
      </c>
      <c r="T149" s="7" t="n">
        <v>1549.6</v>
      </c>
      <c r="V149" s="7" t="n">
        <v>3408.2</v>
      </c>
      <c r="X149" s="7" t="n">
        <v>1820.2</v>
      </c>
      <c r="Z149" s="7" t="n">
        <v>1467.8</v>
      </c>
      <c r="AB149" s="7" t="n">
        <v>22474.5</v>
      </c>
    </row>
    <row r="150">
      <c r="A150" s="4" t="inlineStr">
        <is>
          <t>会务费</t>
        </is>
      </c>
      <c r="D150" s="7" t="n">
        <v>319.9</v>
      </c>
      <c r="F150" s="7" t="n">
        <v>143.8</v>
      </c>
      <c r="H150" s="7" t="n">
        <v>190.9</v>
      </c>
      <c r="J150" s="7" t="n">
        <v>215.2</v>
      </c>
      <c r="L150" s="7" t="n">
        <v>292.4</v>
      </c>
      <c r="N150" s="7" t="n">
        <v>357.2</v>
      </c>
      <c r="P150" s="7" t="n">
        <v>431.4</v>
      </c>
      <c r="R150" s="7" t="n">
        <v>433.8</v>
      </c>
      <c r="T150" s="7" t="n">
        <v>287.9</v>
      </c>
      <c r="V150" s="7" t="n">
        <v>410.2</v>
      </c>
      <c r="X150" s="7" t="n">
        <v>378.8</v>
      </c>
      <c r="Z150" s="7" t="n">
        <v>284.5</v>
      </c>
      <c r="AB150" s="7" t="n">
        <v>3746</v>
      </c>
    </row>
    <row r="151">
      <c r="A151" s="4" t="inlineStr">
        <is>
          <t>装修费</t>
        </is>
      </c>
      <c r="D151" s="7" t="n">
        <v>179.1</v>
      </c>
      <c r="F151" s="7" t="n">
        <v>78.5</v>
      </c>
      <c r="H151" s="7" t="n">
        <v>185.9</v>
      </c>
      <c r="J151" s="7" t="n">
        <v>143.3</v>
      </c>
      <c r="L151" s="7" t="n">
        <v>157.9</v>
      </c>
      <c r="N151" s="7" t="n">
        <v>279.7</v>
      </c>
      <c r="P151" s="7" t="n">
        <v>183.4</v>
      </c>
      <c r="R151" s="7" t="n">
        <v>362.6</v>
      </c>
      <c r="T151" s="7" t="n">
        <v>163.7</v>
      </c>
      <c r="V151" s="7" t="n">
        <v>323.9</v>
      </c>
      <c r="X151" s="7" t="n">
        <v>194.5</v>
      </c>
      <c r="Z151" s="7" t="n">
        <v>219.8</v>
      </c>
      <c r="AB151" s="7" t="n">
        <v>2472.3</v>
      </c>
    </row>
    <row r="152">
      <c r="A152" s="4" t="inlineStr">
        <is>
          <t>推广费</t>
        </is>
      </c>
      <c r="D152" s="7" t="n">
        <v>168.4</v>
      </c>
      <c r="F152" s="7" t="n">
        <v>117</v>
      </c>
      <c r="H152" s="7" t="n">
        <v>105.4</v>
      </c>
      <c r="J152" s="7" t="n">
        <v>113.6</v>
      </c>
      <c r="L152" s="7" t="n">
        <v>228</v>
      </c>
      <c r="N152" s="7" t="n">
        <v>195.1</v>
      </c>
      <c r="P152" s="7" t="n">
        <v>182</v>
      </c>
      <c r="R152" s="7" t="n">
        <v>425.9</v>
      </c>
      <c r="T152" s="7" t="n">
        <v>159</v>
      </c>
      <c r="V152" s="7" t="n">
        <v>359.7</v>
      </c>
      <c r="X152" s="7" t="n">
        <v>153.2</v>
      </c>
      <c r="Z152" s="7" t="n">
        <v>156.8</v>
      </c>
      <c r="AB152" s="7" t="n">
        <v>2364.1</v>
      </c>
    </row>
    <row r="153">
      <c r="A153" s="4" t="inlineStr">
        <is>
          <t>展会费</t>
        </is>
      </c>
      <c r="D153" s="7" t="n">
        <v>228</v>
      </c>
      <c r="F153" s="7" t="n">
        <v>169.3</v>
      </c>
      <c r="H153" s="7" t="n">
        <v>186.6</v>
      </c>
      <c r="J153" s="7" t="n">
        <v>189.4</v>
      </c>
      <c r="L153" s="7" t="n">
        <v>309.7</v>
      </c>
      <c r="N153" s="7" t="n">
        <v>351.7</v>
      </c>
      <c r="P153" s="7" t="n">
        <v>359.4</v>
      </c>
      <c r="R153" s="7" t="n">
        <v>340.2</v>
      </c>
      <c r="T153" s="7" t="n">
        <v>249.1</v>
      </c>
      <c r="V153" s="7" t="n">
        <v>377.8</v>
      </c>
      <c r="X153" s="7" t="n">
        <v>264.3</v>
      </c>
      <c r="Z153" s="7" t="n">
        <v>281.2</v>
      </c>
      <c r="AB153" s="7" t="n">
        <v>3306.7</v>
      </c>
    </row>
    <row r="154">
      <c r="A154" s="4" t="inlineStr">
        <is>
          <t>设计费</t>
        </is>
      </c>
      <c r="D154" s="7" t="n">
        <v>185.3</v>
      </c>
      <c r="F154" s="7" t="n">
        <v>159.2</v>
      </c>
      <c r="H154" s="7" t="n">
        <v>229.1</v>
      </c>
      <c r="J154" s="7" t="n">
        <v>244.5</v>
      </c>
      <c r="L154" s="7" t="n">
        <v>370.4</v>
      </c>
      <c r="N154" s="7" t="n">
        <v>360</v>
      </c>
      <c r="P154" s="7" t="n">
        <v>388.8</v>
      </c>
      <c r="R154" s="7" t="n">
        <v>541.4</v>
      </c>
      <c r="T154" s="7" t="n">
        <v>216.9</v>
      </c>
      <c r="V154" s="7" t="n">
        <v>528.3</v>
      </c>
      <c r="X154" s="7" t="n">
        <v>242.5</v>
      </c>
      <c r="Z154" s="7" t="n">
        <v>236.5</v>
      </c>
      <c r="AB154" s="7" t="n">
        <v>3702.9</v>
      </c>
    </row>
    <row r="155">
      <c r="A155" s="4" t="inlineStr">
        <is>
          <t>折旧费</t>
        </is>
      </c>
      <c r="D155" s="7" t="n">
        <v>1777.2</v>
      </c>
      <c r="F155" s="7" t="n">
        <v>1246.8</v>
      </c>
      <c r="H155" s="7" t="n">
        <v>1929.9</v>
      </c>
      <c r="J155" s="7" t="n">
        <v>1161.1</v>
      </c>
      <c r="L155" s="7" t="n">
        <v>1746.8</v>
      </c>
      <c r="N155" s="7" t="n">
        <v>3431.5</v>
      </c>
      <c r="P155" s="7" t="n">
        <v>2838.9</v>
      </c>
      <c r="R155" s="7" t="n">
        <v>5299.9</v>
      </c>
      <c r="T155" s="7" t="n">
        <v>1350.5</v>
      </c>
      <c r="V155" s="7" t="n">
        <v>3109.5</v>
      </c>
      <c r="X155" s="7" t="n">
        <v>3389.4</v>
      </c>
      <c r="Z155" s="7" t="n">
        <v>2150.4</v>
      </c>
      <c r="AB155" s="7" t="n">
        <v>29431.9</v>
      </c>
    </row>
    <row r="156">
      <c r="A156" s="4" t="inlineStr">
        <is>
          <t>认证费</t>
        </is>
      </c>
      <c r="D156" s="7" t="n">
        <v>223.6</v>
      </c>
      <c r="F156" s="7" t="n">
        <v>220.7</v>
      </c>
      <c r="H156" s="7" t="n">
        <v>205</v>
      </c>
      <c r="J156" s="7" t="n">
        <v>253.3</v>
      </c>
      <c r="L156" s="7" t="n">
        <v>397.2</v>
      </c>
      <c r="N156" s="7" t="n">
        <v>603.2</v>
      </c>
      <c r="P156" s="7" t="n">
        <v>488</v>
      </c>
      <c r="R156" s="7" t="n">
        <v>858.5</v>
      </c>
      <c r="T156" s="7" t="n">
        <v>330.2</v>
      </c>
      <c r="V156" s="7" t="n">
        <v>544.6</v>
      </c>
      <c r="X156" s="7" t="n">
        <v>378.8</v>
      </c>
      <c r="Z156" s="7" t="n">
        <v>280.1</v>
      </c>
      <c r="AB156" s="7" t="n">
        <v>4783.2</v>
      </c>
    </row>
    <row r="157">
      <c r="A157" s="4" t="inlineStr">
        <is>
          <t>样品费</t>
        </is>
      </c>
      <c r="D157" s="7" t="n">
        <v>709.5</v>
      </c>
      <c r="F157" s="7" t="n">
        <v>766.8</v>
      </c>
      <c r="H157" s="7" t="n">
        <v>684.5</v>
      </c>
      <c r="J157" s="7" t="n">
        <v>1003.4</v>
      </c>
      <c r="L157" s="7" t="n">
        <v>1213.5</v>
      </c>
      <c r="N157" s="7" t="n">
        <v>1434.7</v>
      </c>
      <c r="P157" s="7" t="n">
        <v>1463.9</v>
      </c>
      <c r="R157" s="7" t="n">
        <v>1911</v>
      </c>
      <c r="T157" s="7" t="n">
        <v>833.7</v>
      </c>
      <c r="V157" s="7" t="n">
        <v>1496.1</v>
      </c>
      <c r="X157" s="7" t="n">
        <v>1711</v>
      </c>
      <c r="Z157" s="7" t="n">
        <v>985.8</v>
      </c>
      <c r="AB157" s="7" t="n">
        <v>14213.9</v>
      </c>
    </row>
    <row r="158">
      <c r="A158" s="4" t="inlineStr">
        <is>
          <t>劳务费</t>
        </is>
      </c>
      <c r="D158" s="7" t="n">
        <v>162.2</v>
      </c>
      <c r="F158" s="7" t="n">
        <v>108.8</v>
      </c>
      <c r="H158" s="7" t="n">
        <v>191.9</v>
      </c>
      <c r="J158" s="7" t="n">
        <v>176.2</v>
      </c>
      <c r="L158" s="7" t="n">
        <v>218.9</v>
      </c>
      <c r="N158" s="7" t="n">
        <v>213.8</v>
      </c>
      <c r="P158" s="7" t="n">
        <v>296.1</v>
      </c>
      <c r="R158" s="7" t="n">
        <v>424</v>
      </c>
      <c r="T158" s="7" t="n">
        <v>162.6</v>
      </c>
      <c r="V158" s="7" t="n">
        <v>379.3</v>
      </c>
      <c r="X158" s="7" t="n">
        <v>300.4</v>
      </c>
      <c r="Z158" s="7" t="n">
        <v>218</v>
      </c>
      <c r="AB158" s="7" t="n">
        <v>2852.2</v>
      </c>
    </row>
    <row r="159">
      <c r="A159" s="4" t="inlineStr">
        <is>
          <t>销售佣金</t>
        </is>
      </c>
      <c r="D159" s="7" t="n">
        <v>187.7</v>
      </c>
      <c r="F159" s="7" t="n">
        <v>115.3</v>
      </c>
      <c r="H159" s="7" t="n">
        <v>131.9</v>
      </c>
      <c r="J159" s="7" t="n">
        <v>188.4</v>
      </c>
      <c r="L159" s="7" t="n">
        <v>186.9</v>
      </c>
      <c r="N159" s="7" t="n">
        <v>244</v>
      </c>
      <c r="P159" s="7" t="n">
        <v>204.5</v>
      </c>
      <c r="R159" s="7" t="n">
        <v>504.3</v>
      </c>
      <c r="T159" s="7" t="n">
        <v>219</v>
      </c>
      <c r="V159" s="7" t="n">
        <v>316.8</v>
      </c>
      <c r="X159" s="7" t="n">
        <v>301.6</v>
      </c>
      <c r="Z159" s="7" t="n">
        <v>198.4</v>
      </c>
      <c r="AB159" s="7" t="n">
        <v>2798.8</v>
      </c>
    </row>
    <row r="160">
      <c r="A160" s="4" t="inlineStr">
        <is>
          <t>检测费</t>
        </is>
      </c>
      <c r="D160" s="7" t="n">
        <v>59</v>
      </c>
      <c r="F160" s="7" t="n">
        <v>44.4</v>
      </c>
      <c r="H160" s="7" t="n">
        <v>35.5</v>
      </c>
      <c r="J160" s="7" t="n">
        <v>50.2</v>
      </c>
      <c r="L160" s="7" t="n">
        <v>58.1</v>
      </c>
      <c r="N160" s="7" t="n">
        <v>89</v>
      </c>
      <c r="P160" s="7" t="n">
        <v>102.5</v>
      </c>
      <c r="R160" s="7" t="n">
        <v>147.4</v>
      </c>
      <c r="T160" s="7" t="n">
        <v>35.2</v>
      </c>
      <c r="V160" s="7" t="n">
        <v>114.2</v>
      </c>
      <c r="X160" s="7" t="n">
        <v>72.59999999999999</v>
      </c>
      <c r="Z160" s="7" t="n">
        <v>83.3</v>
      </c>
      <c r="AB160" s="7" t="n">
        <v>891.4</v>
      </c>
    </row>
    <row r="161">
      <c r="A161" s="4" t="inlineStr">
        <is>
          <t>质量赔偿</t>
        </is>
      </c>
      <c r="D161" s="7" t="n">
        <v>204.8</v>
      </c>
      <c r="F161" s="7" t="n">
        <v>134.9</v>
      </c>
      <c r="H161" s="7" t="n">
        <v>148.2</v>
      </c>
      <c r="J161" s="7" t="n">
        <v>196.6</v>
      </c>
      <c r="L161" s="7" t="n">
        <v>243.9</v>
      </c>
      <c r="N161" s="7" t="n">
        <v>321.7</v>
      </c>
      <c r="P161" s="7" t="n">
        <v>264</v>
      </c>
      <c r="R161" s="7" t="n">
        <v>409.5</v>
      </c>
      <c r="T161" s="7" t="n">
        <v>163.5</v>
      </c>
      <c r="V161" s="7" t="n">
        <v>430</v>
      </c>
      <c r="X161" s="7" t="n">
        <v>293.5</v>
      </c>
      <c r="Z161" s="7" t="n">
        <v>205.4</v>
      </c>
      <c r="AB161" s="7" t="n">
        <v>3016</v>
      </c>
    </row>
    <row r="162">
      <c r="A162" s="4" t="inlineStr">
        <is>
          <t>保险费</t>
        </is>
      </c>
      <c r="D162" s="7" t="n">
        <v>152.9</v>
      </c>
      <c r="F162" s="7" t="n">
        <v>139.6</v>
      </c>
      <c r="H162" s="7" t="n">
        <v>154.6</v>
      </c>
      <c r="J162" s="7" t="n">
        <v>174</v>
      </c>
      <c r="L162" s="7" t="n">
        <v>193.5</v>
      </c>
      <c r="N162" s="7" t="n">
        <v>269.8</v>
      </c>
      <c r="P162" s="7" t="n">
        <v>365.8</v>
      </c>
      <c r="R162" s="7" t="n">
        <v>369.2</v>
      </c>
      <c r="T162" s="7" t="n">
        <v>154</v>
      </c>
      <c r="V162" s="7" t="n">
        <v>266.6</v>
      </c>
      <c r="X162" s="7" t="n">
        <v>192</v>
      </c>
      <c r="Z162" s="7" t="n">
        <v>210.7</v>
      </c>
      <c r="AB162" s="7" t="n">
        <v>2642.7</v>
      </c>
    </row>
    <row r="163">
      <c r="A163" s="4" t="inlineStr">
        <is>
          <t>清洁费</t>
        </is>
      </c>
      <c r="D163" s="7" t="n">
        <v>18.7</v>
      </c>
      <c r="F163" s="7" t="n">
        <v>8.199999999999999</v>
      </c>
      <c r="H163" s="7" t="n">
        <v>13.5</v>
      </c>
      <c r="J163" s="7" t="n">
        <v>10.4</v>
      </c>
      <c r="L163" s="7" t="n">
        <v>18.9</v>
      </c>
      <c r="N163" s="7" t="n">
        <v>22.6</v>
      </c>
      <c r="P163" s="7" t="n">
        <v>25</v>
      </c>
      <c r="R163" s="7" t="n">
        <v>42.6</v>
      </c>
      <c r="T163" s="7" t="n">
        <v>16.2</v>
      </c>
      <c r="V163" s="7" t="n">
        <v>29</v>
      </c>
      <c r="X163" s="7" t="n">
        <v>18.2</v>
      </c>
      <c r="Z163" s="7" t="n">
        <v>20.1</v>
      </c>
      <c r="AB163" s="7" t="n">
        <v>243.4</v>
      </c>
    </row>
    <row r="164">
      <c r="A164" s="4" t="inlineStr">
        <is>
          <t>低值易耗品</t>
        </is>
      </c>
      <c r="D164" s="7" t="n">
        <v>179.6</v>
      </c>
      <c r="F164" s="7" t="n">
        <v>129.8</v>
      </c>
      <c r="H164" s="7" t="n">
        <v>118.3</v>
      </c>
      <c r="J164" s="7" t="n">
        <v>163.9</v>
      </c>
      <c r="L164" s="7" t="n">
        <v>192.7</v>
      </c>
      <c r="N164" s="7" t="n">
        <v>236.4</v>
      </c>
      <c r="P164" s="7" t="n">
        <v>226.5</v>
      </c>
      <c r="R164" s="7" t="n">
        <v>441</v>
      </c>
      <c r="T164" s="7" t="n">
        <v>157.8</v>
      </c>
      <c r="V164" s="7" t="n">
        <v>263.5</v>
      </c>
      <c r="X164" s="7" t="n">
        <v>205.2</v>
      </c>
      <c r="Z164" s="7" t="n">
        <v>262.4</v>
      </c>
      <c r="AB164" s="7" t="n">
        <v>2577.1</v>
      </c>
    </row>
    <row r="165">
      <c r="A165" s="4" t="inlineStr">
        <is>
          <t>物料消耗</t>
        </is>
      </c>
      <c r="D165" s="7" t="n">
        <v>54.2</v>
      </c>
      <c r="F165" s="7" t="n">
        <v>43.5</v>
      </c>
      <c r="H165" s="7" t="n">
        <v>60.4</v>
      </c>
      <c r="J165" s="7" t="n">
        <v>44.7</v>
      </c>
      <c r="L165" s="7" t="n">
        <v>58.7</v>
      </c>
      <c r="N165" s="7" t="n">
        <v>82.59999999999999</v>
      </c>
      <c r="P165" s="7" t="n">
        <v>74.09999999999999</v>
      </c>
      <c r="R165" s="7" t="n">
        <v>167.8</v>
      </c>
      <c r="T165" s="7" t="n">
        <v>64.7</v>
      </c>
      <c r="V165" s="7" t="n">
        <v>104.2</v>
      </c>
      <c r="X165" s="7" t="n">
        <v>98</v>
      </c>
      <c r="Z165" s="7" t="n">
        <v>101.6</v>
      </c>
      <c r="AB165" s="7" t="n">
        <v>954.5</v>
      </c>
    </row>
    <row r="166">
      <c r="A166" s="4" t="inlineStr">
        <is>
          <t>盘盈盘亏</t>
        </is>
      </c>
      <c r="D166" s="7" t="n">
        <v>277.8</v>
      </c>
      <c r="F166" s="7" t="n">
        <v>152.6</v>
      </c>
      <c r="H166" s="7" t="n">
        <v>281.3</v>
      </c>
      <c r="J166" s="7" t="n">
        <v>264.3</v>
      </c>
      <c r="L166" s="7" t="n">
        <v>294.4</v>
      </c>
      <c r="N166" s="7" t="n">
        <v>598.6</v>
      </c>
      <c r="P166" s="7" t="n">
        <v>353.4</v>
      </c>
      <c r="R166" s="7" t="n">
        <v>812.8</v>
      </c>
      <c r="T166" s="7" t="n">
        <v>277.1</v>
      </c>
      <c r="V166" s="7" t="n">
        <v>587.1</v>
      </c>
      <c r="X166" s="7" t="n">
        <v>307.2</v>
      </c>
      <c r="Z166" s="7" t="n">
        <v>468.9</v>
      </c>
      <c r="AB166" s="7" t="n">
        <v>4675.5</v>
      </c>
    </row>
    <row r="167">
      <c r="A167" s="4" t="inlineStr">
        <is>
          <t>平台服务费</t>
        </is>
      </c>
      <c r="D167" s="7" t="n">
        <v>114.6</v>
      </c>
      <c r="F167" s="7" t="n">
        <v>69.09999999999999</v>
      </c>
      <c r="H167" s="7" t="n">
        <v>102.5</v>
      </c>
      <c r="J167" s="7" t="n">
        <v>111</v>
      </c>
      <c r="L167" s="7" t="n">
        <v>143.3</v>
      </c>
      <c r="N167" s="7" t="n">
        <v>190.6</v>
      </c>
      <c r="P167" s="7" t="n">
        <v>231.9</v>
      </c>
      <c r="R167" s="7" t="n">
        <v>384.8</v>
      </c>
      <c r="T167" s="7" t="n">
        <v>141.5</v>
      </c>
      <c r="V167" s="7" t="n">
        <v>261.6</v>
      </c>
      <c r="X167" s="7" t="n">
        <v>228.5</v>
      </c>
      <c r="Z167" s="7" t="n">
        <v>175.1</v>
      </c>
      <c r="AB167" s="7" t="n">
        <v>2154.5</v>
      </c>
    </row>
    <row r="168">
      <c r="A168" s="4" t="inlineStr">
        <is>
          <t>无形资产摊销</t>
        </is>
      </c>
      <c r="D168" s="7" t="n">
        <v>31.2</v>
      </c>
      <c r="F168" s="7" t="n">
        <v>16.7</v>
      </c>
      <c r="H168" s="7" t="n">
        <v>28.3</v>
      </c>
      <c r="J168" s="7" t="n">
        <v>26.5</v>
      </c>
      <c r="L168" s="7" t="n">
        <v>33.2</v>
      </c>
      <c r="N168" s="7" t="n">
        <v>60.7</v>
      </c>
      <c r="P168" s="7" t="n">
        <v>49.3</v>
      </c>
      <c r="R168" s="7" t="n">
        <v>81.59999999999999</v>
      </c>
      <c r="T168" s="7" t="n">
        <v>28.1</v>
      </c>
      <c r="V168" s="7" t="n">
        <v>57.2</v>
      </c>
      <c r="X168" s="7" t="n">
        <v>36</v>
      </c>
      <c r="Z168" s="7" t="n">
        <v>48.1</v>
      </c>
      <c r="AB168" s="7" t="n">
        <v>496.9</v>
      </c>
    </row>
    <row r="169">
      <c r="A169" s="4" t="inlineStr">
        <is>
          <t>研发材料</t>
        </is>
      </c>
      <c r="D169" s="7" t="n">
        <v>129</v>
      </c>
      <c r="F169" s="7" t="n">
        <v>112.4</v>
      </c>
      <c r="H169" s="7" t="n">
        <v>141.7</v>
      </c>
      <c r="J169" s="7" t="n">
        <v>145.8</v>
      </c>
      <c r="L169" s="7" t="n">
        <v>231.2</v>
      </c>
      <c r="N169" s="7" t="n">
        <v>301.1</v>
      </c>
      <c r="P169" s="7" t="n">
        <v>353.3</v>
      </c>
      <c r="R169" s="7" t="n">
        <v>447</v>
      </c>
      <c r="T169" s="7" t="n">
        <v>161.4</v>
      </c>
      <c r="V169" s="7" t="n">
        <v>459.3</v>
      </c>
      <c r="X169" s="7" t="n">
        <v>236.6</v>
      </c>
      <c r="Z169" s="7" t="n">
        <v>250.9</v>
      </c>
      <c r="AB169" s="7" t="n">
        <v>2969.7</v>
      </c>
    </row>
    <row r="170">
      <c r="A170" s="4" t="inlineStr">
        <is>
          <t>项目名称</t>
        </is>
      </c>
      <c r="D170" s="7" t="n">
        <v>200.1</v>
      </c>
      <c r="F170" s="7" t="n">
        <v>138</v>
      </c>
      <c r="H170" s="7" t="n">
        <v>128.6</v>
      </c>
      <c r="J170" s="7" t="n">
        <v>154.8</v>
      </c>
      <c r="L170" s="7" t="n">
        <v>221.5</v>
      </c>
      <c r="N170" s="7" t="n">
        <v>277.9</v>
      </c>
      <c r="P170" s="7" t="n">
        <v>292.8</v>
      </c>
      <c r="R170" s="7" t="n">
        <v>412.8</v>
      </c>
      <c r="T170" s="7" t="n">
        <v>138.3</v>
      </c>
      <c r="V170" s="7" t="n">
        <v>440</v>
      </c>
      <c r="X170" s="7" t="n">
        <v>287.4</v>
      </c>
      <c r="Z170" s="7" t="n">
        <v>183.5</v>
      </c>
      <c r="AB170" s="7" t="n">
        <v>2875.7</v>
      </c>
    </row>
    <row r="171">
      <c r="A171" s="4" t="inlineStr">
        <is>
          <t>研发费</t>
        </is>
      </c>
      <c r="D171" s="7" t="n">
        <v>213.7</v>
      </c>
      <c r="F171" s="7" t="n">
        <v>143.5</v>
      </c>
      <c r="H171" s="7" t="n">
        <v>208</v>
      </c>
      <c r="J171" s="7" t="n">
        <v>231.1</v>
      </c>
      <c r="L171" s="7" t="n">
        <v>210.7</v>
      </c>
      <c r="N171" s="7" t="n">
        <v>302.1</v>
      </c>
      <c r="P171" s="7" t="n">
        <v>296.8</v>
      </c>
      <c r="R171" s="7" t="n">
        <v>626.6</v>
      </c>
      <c r="T171" s="7" t="n">
        <v>234.9</v>
      </c>
      <c r="V171" s="7" t="n">
        <v>376.1</v>
      </c>
      <c r="X171" s="7" t="n">
        <v>359.8</v>
      </c>
      <c r="Z171" s="7" t="n">
        <v>349.3</v>
      </c>
      <c r="AB171" s="7" t="n">
        <v>3552.6</v>
      </c>
    </row>
    <row r="172">
      <c r="A172" s="4" t="inlineStr">
        <is>
          <t>残保金</t>
        </is>
      </c>
      <c r="D172" s="7" t="n">
        <v>225.2</v>
      </c>
      <c r="F172" s="7" t="n">
        <v>151.5</v>
      </c>
      <c r="H172" s="7" t="n">
        <v>188</v>
      </c>
      <c r="J172" s="7" t="n">
        <v>183.4</v>
      </c>
      <c r="L172" s="7" t="n">
        <v>306.4</v>
      </c>
      <c r="N172" s="7" t="n">
        <v>391.4</v>
      </c>
      <c r="P172" s="7" t="n">
        <v>402.2</v>
      </c>
      <c r="R172" s="7" t="n">
        <v>423.5</v>
      </c>
      <c r="T172" s="7" t="n">
        <v>215.9</v>
      </c>
      <c r="V172" s="7" t="n">
        <v>370.3</v>
      </c>
      <c r="X172" s="7" t="n">
        <v>301</v>
      </c>
      <c r="Z172" s="7" t="n">
        <v>339.4</v>
      </c>
      <c r="AB172" s="7" t="n">
        <v>3498.2</v>
      </c>
    </row>
    <row r="173">
      <c r="A173" s="4" t="inlineStr">
        <is>
          <t>环保费</t>
        </is>
      </c>
      <c r="D173" s="7" t="n">
        <v>265</v>
      </c>
      <c r="F173" s="7" t="n">
        <v>116.8</v>
      </c>
      <c r="H173" s="7" t="n">
        <v>170</v>
      </c>
      <c r="J173" s="7" t="n">
        <v>189</v>
      </c>
      <c r="L173" s="7" t="n">
        <v>290.6</v>
      </c>
      <c r="N173" s="7" t="n">
        <v>413.2</v>
      </c>
      <c r="P173" s="7" t="n">
        <v>384.6</v>
      </c>
      <c r="R173" s="7" t="n">
        <v>647.3</v>
      </c>
      <c r="T173" s="7" t="n">
        <v>256.3</v>
      </c>
      <c r="V173" s="7" t="n">
        <v>542.6</v>
      </c>
      <c r="X173" s="7" t="n">
        <v>392.7</v>
      </c>
      <c r="Z173" s="7" t="n">
        <v>260.9</v>
      </c>
      <c r="AB173" s="7" t="n">
        <v>3929</v>
      </c>
    </row>
    <row r="174">
      <c r="A174" s="4" t="inlineStr">
        <is>
          <t>报废损失</t>
        </is>
      </c>
      <c r="D174" s="7" t="n">
        <v>173.5</v>
      </c>
      <c r="F174" s="7" t="n">
        <v>144.9</v>
      </c>
      <c r="H174" s="7" t="n">
        <v>152.9</v>
      </c>
      <c r="J174" s="7" t="n">
        <v>106.9</v>
      </c>
      <c r="L174" s="7" t="n">
        <v>142.8</v>
      </c>
      <c r="N174" s="7" t="n">
        <v>237.1</v>
      </c>
      <c r="P174" s="7" t="n">
        <v>275.6</v>
      </c>
      <c r="R174" s="7" t="n">
        <v>334.9</v>
      </c>
      <c r="T174" s="7" t="n">
        <v>197.8</v>
      </c>
      <c r="V174" s="7" t="n">
        <v>412.4</v>
      </c>
      <c r="X174" s="7" t="n">
        <v>284.7</v>
      </c>
      <c r="Z174" s="7" t="n">
        <v>253.6</v>
      </c>
      <c r="AB174" s="7" t="n">
        <v>2717.1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31701</v>
      </c>
      <c r="D175" s="7" t="n">
        <v>20961.6</v>
      </c>
      <c r="E175" s="7" t="n">
        <v>32558.1</v>
      </c>
      <c r="F175" s="7" t="n">
        <v>14654.8</v>
      </c>
      <c r="G175" s="7" t="n">
        <v>26060.7</v>
      </c>
      <c r="H175" s="7" t="n">
        <v>26198.5</v>
      </c>
      <c r="I175" s="7" t="n">
        <v>25776.4</v>
      </c>
      <c r="J175" s="7" t="n">
        <v>45359.8</v>
      </c>
      <c r="K175" s="7" t="n">
        <v>27225.1</v>
      </c>
      <c r="L175" s="7" t="n">
        <v>33281</v>
      </c>
      <c r="M175" s="7" t="n">
        <v>33770.8</v>
      </c>
      <c r="N175" s="7" t="n">
        <v>31396.7</v>
      </c>
      <c r="O175" s="7" t="n">
        <v>29399.5</v>
      </c>
      <c r="P175" s="7" t="n">
        <v>42166.7</v>
      </c>
      <c r="Q175" s="7" t="n">
        <v>29815.8</v>
      </c>
      <c r="R175" s="7" t="n">
        <v>17555.3</v>
      </c>
      <c r="S175" s="7" t="n">
        <v>27484.5</v>
      </c>
      <c r="T175" s="7" t="n">
        <v>37063.4</v>
      </c>
      <c r="U175" s="7" t="n">
        <v>33155.1</v>
      </c>
      <c r="V175" s="7" t="n">
        <v>44625</v>
      </c>
      <c r="W175" s="7" t="n">
        <v>30148.9</v>
      </c>
      <c r="X175" s="7" t="n">
        <v>18920.2</v>
      </c>
      <c r="Y175" s="7" t="n">
        <v>32899.3</v>
      </c>
      <c r="Z175" s="7" t="n">
        <v>21493.1</v>
      </c>
      <c r="AA175" s="8" t="n">
        <v>359995.2</v>
      </c>
      <c r="AB175" s="8" t="n">
        <v>353676.1</v>
      </c>
    </row>
    <row r="176">
      <c r="A176" s="4" t="inlineStr">
        <is>
          <t>职工薪酬</t>
        </is>
      </c>
      <c r="D176" s="7" t="n">
        <v>12441.3</v>
      </c>
      <c r="F176" s="7" t="n">
        <v>9079</v>
      </c>
      <c r="H176" s="7" t="n">
        <v>14624.8</v>
      </c>
      <c r="J176" s="7" t="n">
        <v>19611.2</v>
      </c>
      <c r="L176" s="7" t="n">
        <v>19359.5</v>
      </c>
      <c r="N176" s="7" t="n">
        <v>12476.7</v>
      </c>
      <c r="P176" s="7" t="n">
        <v>23859.9</v>
      </c>
      <c r="R176" s="7" t="n">
        <v>8211.299999999999</v>
      </c>
      <c r="T176" s="7" t="n">
        <v>17660.9</v>
      </c>
      <c r="V176" s="7" t="n">
        <v>24231.9</v>
      </c>
      <c r="X176" s="7" t="n">
        <v>10081.7</v>
      </c>
      <c r="Z176" s="7" t="n">
        <v>11817.9</v>
      </c>
      <c r="AB176" s="7" t="n">
        <v>183456.1</v>
      </c>
    </row>
    <row r="177">
      <c r="A177" s="4" t="inlineStr">
        <is>
          <t>工资</t>
        </is>
      </c>
      <c r="D177" s="7" t="n">
        <v>7652.2</v>
      </c>
      <c r="F177" s="7" t="n">
        <v>5516.5</v>
      </c>
      <c r="H177" s="7" t="n">
        <v>8261.299999999999</v>
      </c>
      <c r="J177" s="7" t="n">
        <v>11330.1</v>
      </c>
      <c r="L177" s="7" t="n">
        <v>11717.5</v>
      </c>
      <c r="N177" s="7" t="n">
        <v>7098.7</v>
      </c>
      <c r="P177" s="7" t="n">
        <v>15147.6</v>
      </c>
      <c r="R177" s="7" t="n">
        <v>4675.9</v>
      </c>
      <c r="T177" s="7" t="n">
        <v>11149.7</v>
      </c>
      <c r="V177" s="7" t="n">
        <v>15402.5</v>
      </c>
      <c r="X177" s="7" t="n">
        <v>6542.9</v>
      </c>
      <c r="Z177" s="7" t="n">
        <v>6311.3</v>
      </c>
      <c r="AB177" s="7" t="n">
        <v>110806.2</v>
      </c>
    </row>
    <row r="178">
      <c r="A178" s="4" t="inlineStr">
        <is>
          <t>奖金及提成</t>
        </is>
      </c>
      <c r="D178" s="7" t="n">
        <v>2409.3</v>
      </c>
      <c r="F178" s="7" t="n">
        <v>1701.8</v>
      </c>
      <c r="H178" s="7" t="n">
        <v>2885.4</v>
      </c>
      <c r="J178" s="7" t="n">
        <v>3706.3</v>
      </c>
      <c r="L178" s="7" t="n">
        <v>3674.2</v>
      </c>
      <c r="N178" s="7" t="n">
        <v>2235.4</v>
      </c>
      <c r="P178" s="7" t="n">
        <v>4835</v>
      </c>
      <c r="R178" s="7" t="n">
        <v>1357.2</v>
      </c>
      <c r="T178" s="7" t="n">
        <v>3130.7</v>
      </c>
      <c r="V178" s="7" t="n">
        <v>4688.7</v>
      </c>
      <c r="X178" s="7" t="n">
        <v>1336.3</v>
      </c>
      <c r="Z178" s="7" t="n">
        <v>2740.6</v>
      </c>
      <c r="AB178" s="7" t="n">
        <v>34700.9</v>
      </c>
    </row>
    <row r="179">
      <c r="A179" s="4" t="inlineStr">
        <is>
          <t>社保</t>
        </is>
      </c>
      <c r="D179" s="7" t="n">
        <v>1709.8</v>
      </c>
      <c r="F179" s="7" t="n">
        <v>1420.6</v>
      </c>
      <c r="H179" s="7" t="n">
        <v>2705.5</v>
      </c>
      <c r="J179" s="7" t="n">
        <v>3209.4</v>
      </c>
      <c r="L179" s="7" t="n">
        <v>2896.2</v>
      </c>
      <c r="N179" s="7" t="n">
        <v>2233.2</v>
      </c>
      <c r="P179" s="7" t="n">
        <v>2606.8</v>
      </c>
      <c r="R179" s="7" t="n">
        <v>1592.8</v>
      </c>
      <c r="T179" s="7" t="n">
        <v>2150.7</v>
      </c>
      <c r="V179" s="7" t="n">
        <v>2625.5</v>
      </c>
      <c r="X179" s="7" t="n">
        <v>1541.9</v>
      </c>
      <c r="Z179" s="7" t="n">
        <v>2056.1</v>
      </c>
      <c r="AB179" s="7" t="n">
        <v>26748.5</v>
      </c>
    </row>
    <row r="180">
      <c r="A180" s="4" t="inlineStr">
        <is>
          <t>养老</t>
        </is>
      </c>
      <c r="D180" s="7" t="n">
        <v>133</v>
      </c>
      <c r="F180" s="7" t="n">
        <v>86.59999999999999</v>
      </c>
      <c r="H180" s="7" t="n">
        <v>99.40000000000001</v>
      </c>
      <c r="J180" s="7" t="n">
        <v>212.7</v>
      </c>
      <c r="L180" s="7" t="n">
        <v>213.7</v>
      </c>
      <c r="N180" s="7" t="n">
        <v>144.4</v>
      </c>
      <c r="P180" s="7" t="n">
        <v>248.9</v>
      </c>
      <c r="R180" s="7" t="n">
        <v>75.7</v>
      </c>
      <c r="T180" s="7" t="n">
        <v>143.8</v>
      </c>
      <c r="V180" s="7" t="n">
        <v>211.4</v>
      </c>
      <c r="X180" s="7" t="n">
        <v>110.7</v>
      </c>
      <c r="Z180" s="7" t="n">
        <v>131.8</v>
      </c>
      <c r="AB180" s="7" t="n">
        <v>1812.1</v>
      </c>
    </row>
    <row r="181">
      <c r="A181" s="4" t="inlineStr">
        <is>
          <t>医疗</t>
        </is>
      </c>
      <c r="D181" s="7" t="n">
        <v>63.3</v>
      </c>
      <c r="F181" s="7" t="n">
        <v>44.9</v>
      </c>
      <c r="H181" s="7" t="n">
        <v>106.5</v>
      </c>
      <c r="J181" s="7" t="n">
        <v>110.3</v>
      </c>
      <c r="L181" s="7" t="n">
        <v>120.6</v>
      </c>
      <c r="N181" s="7" t="n">
        <v>102.7</v>
      </c>
      <c r="P181" s="7" t="n">
        <v>145.4</v>
      </c>
      <c r="R181" s="7" t="n">
        <v>59.5</v>
      </c>
      <c r="T181" s="7" t="n">
        <v>99.5</v>
      </c>
      <c r="V181" s="7" t="n">
        <v>122.7</v>
      </c>
      <c r="X181" s="7" t="n">
        <v>65.90000000000001</v>
      </c>
      <c r="Z181" s="7" t="n">
        <v>78.5</v>
      </c>
      <c r="AB181" s="7" t="n">
        <v>1119.8</v>
      </c>
    </row>
    <row r="182">
      <c r="A182" s="4" t="inlineStr">
        <is>
          <t>工伤</t>
        </is>
      </c>
      <c r="D182" s="7" t="n">
        <v>88.40000000000001</v>
      </c>
      <c r="F182" s="7" t="n">
        <v>77.40000000000001</v>
      </c>
      <c r="H182" s="7" t="n">
        <v>138.4</v>
      </c>
      <c r="J182" s="7" t="n">
        <v>224.6</v>
      </c>
      <c r="L182" s="7" t="n">
        <v>131</v>
      </c>
      <c r="N182" s="7" t="n">
        <v>118.7</v>
      </c>
      <c r="P182" s="7" t="n">
        <v>220.6</v>
      </c>
      <c r="R182" s="7" t="n">
        <v>70</v>
      </c>
      <c r="T182" s="7" t="n">
        <v>129.1</v>
      </c>
      <c r="V182" s="7" t="n">
        <v>199.9</v>
      </c>
      <c r="X182" s="7" t="n">
        <v>94.59999999999999</v>
      </c>
      <c r="Z182" s="7" t="n">
        <v>105.3</v>
      </c>
      <c r="AB182" s="7" t="n">
        <v>1598</v>
      </c>
    </row>
    <row r="183">
      <c r="A183" s="4" t="inlineStr">
        <is>
          <t>失业</t>
        </is>
      </c>
      <c r="D183" s="7" t="n">
        <v>32.7</v>
      </c>
      <c r="F183" s="7" t="n">
        <v>18.7</v>
      </c>
      <c r="H183" s="7" t="n">
        <v>37.3</v>
      </c>
      <c r="J183" s="7" t="n">
        <v>87.3</v>
      </c>
      <c r="L183" s="7" t="n">
        <v>39.7</v>
      </c>
      <c r="N183" s="7" t="n">
        <v>43.1</v>
      </c>
      <c r="P183" s="7" t="n">
        <v>61.9</v>
      </c>
      <c r="R183" s="7" t="n">
        <v>30.5</v>
      </c>
      <c r="T183" s="7" t="n">
        <v>42.2</v>
      </c>
      <c r="V183" s="7" t="n">
        <v>54.7</v>
      </c>
      <c r="X183" s="7" t="n">
        <v>29.8</v>
      </c>
      <c r="Z183" s="7" t="n">
        <v>28.5</v>
      </c>
      <c r="AB183" s="7" t="n">
        <v>506.4</v>
      </c>
    </row>
    <row r="184">
      <c r="A184" s="4" t="inlineStr">
        <is>
          <t>生育</t>
        </is>
      </c>
      <c r="D184" s="7" t="n">
        <v>65.09999999999999</v>
      </c>
      <c r="F184" s="7" t="n">
        <v>56.7</v>
      </c>
      <c r="H184" s="7" t="n">
        <v>85.8</v>
      </c>
      <c r="J184" s="7" t="n">
        <v>137.8</v>
      </c>
      <c r="L184" s="7" t="n">
        <v>123</v>
      </c>
      <c r="N184" s="7" t="n">
        <v>92.8</v>
      </c>
      <c r="P184" s="7" t="n">
        <v>94.5</v>
      </c>
      <c r="R184" s="7" t="n">
        <v>69.90000000000001</v>
      </c>
      <c r="T184" s="7" t="n">
        <v>103.6</v>
      </c>
      <c r="V184" s="7" t="n">
        <v>144.1</v>
      </c>
      <c r="X184" s="7" t="n">
        <v>55.9</v>
      </c>
      <c r="Z184" s="7" t="n">
        <v>58.4</v>
      </c>
      <c r="AB184" s="7" t="n">
        <v>1087.6</v>
      </c>
    </row>
    <row r="185">
      <c r="A185" s="4" t="inlineStr">
        <is>
          <t>公积金</t>
        </is>
      </c>
      <c r="D185" s="7" t="n">
        <v>10.6</v>
      </c>
      <c r="F185" s="7" t="n">
        <v>6.3</v>
      </c>
      <c r="H185" s="7" t="n">
        <v>8.5</v>
      </c>
      <c r="J185" s="7" t="n">
        <v>15.6</v>
      </c>
      <c r="L185" s="7" t="n">
        <v>19.5</v>
      </c>
      <c r="N185" s="7" t="n">
        <v>13.8</v>
      </c>
      <c r="P185" s="7" t="n">
        <v>24.1</v>
      </c>
      <c r="R185" s="7" t="n">
        <v>8.5</v>
      </c>
      <c r="T185" s="7" t="n">
        <v>13.7</v>
      </c>
      <c r="V185" s="7" t="n">
        <v>20.5</v>
      </c>
      <c r="X185" s="7" t="n">
        <v>10.1</v>
      </c>
      <c r="Z185" s="7" t="n">
        <v>12.1</v>
      </c>
      <c r="AB185" s="7" t="n">
        <v>163.3</v>
      </c>
    </row>
    <row r="186">
      <c r="A186" s="4" t="inlineStr">
        <is>
          <t>工会经费</t>
        </is>
      </c>
      <c r="D186" s="7" t="n">
        <v>48.4</v>
      </c>
      <c r="F186" s="7" t="n">
        <v>50.6</v>
      </c>
      <c r="H186" s="7" t="n">
        <v>89.90000000000001</v>
      </c>
      <c r="J186" s="7" t="n">
        <v>88</v>
      </c>
      <c r="L186" s="7" t="n">
        <v>98.5</v>
      </c>
      <c r="N186" s="7" t="n">
        <v>86.7</v>
      </c>
      <c r="P186" s="7" t="n">
        <v>88.5</v>
      </c>
      <c r="R186" s="7" t="n">
        <v>60.7</v>
      </c>
      <c r="T186" s="7" t="n">
        <v>70.2</v>
      </c>
      <c r="V186" s="7" t="n">
        <v>94.2</v>
      </c>
      <c r="X186" s="7" t="n">
        <v>48.4</v>
      </c>
      <c r="Z186" s="7" t="n">
        <v>55</v>
      </c>
      <c r="AB186" s="7" t="n">
        <v>879.1</v>
      </c>
    </row>
    <row r="187">
      <c r="A187" s="4" t="inlineStr">
        <is>
          <t>职工教育经费</t>
        </is>
      </c>
      <c r="D187" s="7" t="n">
        <v>129</v>
      </c>
      <c r="F187" s="7" t="n">
        <v>68.3</v>
      </c>
      <c r="H187" s="7" t="n">
        <v>173.3</v>
      </c>
      <c r="J187" s="7" t="n">
        <v>307.1</v>
      </c>
      <c r="L187" s="7" t="n">
        <v>198</v>
      </c>
      <c r="N187" s="7" t="n">
        <v>195.5</v>
      </c>
      <c r="P187" s="7" t="n">
        <v>270.4</v>
      </c>
      <c r="R187" s="7" t="n">
        <v>113.4</v>
      </c>
      <c r="T187" s="7" t="n">
        <v>267</v>
      </c>
      <c r="V187" s="7" t="n">
        <v>343.1</v>
      </c>
      <c r="X187" s="7" t="n">
        <v>121.1</v>
      </c>
      <c r="Z187" s="7" t="n">
        <v>137.5</v>
      </c>
      <c r="AB187" s="7" t="n">
        <v>2323.7</v>
      </c>
    </row>
    <row r="188">
      <c r="A188" s="4" t="inlineStr">
        <is>
          <t>福利费</t>
        </is>
      </c>
      <c r="D188" s="7" t="n">
        <v>482</v>
      </c>
      <c r="F188" s="7" t="n">
        <v>314.9</v>
      </c>
      <c r="H188" s="7" t="n">
        <v>500.9</v>
      </c>
      <c r="J188" s="7" t="n">
        <v>954.7</v>
      </c>
      <c r="L188" s="7" t="n">
        <v>755.6</v>
      </c>
      <c r="N188" s="7" t="n">
        <v>613.4</v>
      </c>
      <c r="P188" s="7" t="n">
        <v>887.5</v>
      </c>
      <c r="R188" s="7" t="n">
        <v>402.8</v>
      </c>
      <c r="T188" s="7" t="n">
        <v>878.9</v>
      </c>
      <c r="V188" s="7" t="n">
        <v>1057.4</v>
      </c>
      <c r="X188" s="7" t="n">
        <v>481</v>
      </c>
      <c r="Z188" s="7" t="n">
        <v>505.3</v>
      </c>
      <c r="AB188" s="7" t="n">
        <v>7834.4</v>
      </c>
    </row>
    <row r="189">
      <c r="A189" s="4" t="inlineStr">
        <is>
          <t>职工房租</t>
        </is>
      </c>
      <c r="D189" s="7" t="n">
        <v>40.9</v>
      </c>
      <c r="F189" s="7" t="n">
        <v>26</v>
      </c>
      <c r="H189" s="7" t="n">
        <v>41.2</v>
      </c>
      <c r="J189" s="7" t="n">
        <v>73.8</v>
      </c>
      <c r="L189" s="7" t="n">
        <v>77.5</v>
      </c>
      <c r="N189" s="7" t="n">
        <v>43.9</v>
      </c>
      <c r="P189" s="7" t="n">
        <v>86.5</v>
      </c>
      <c r="R189" s="7" t="n">
        <v>38.4</v>
      </c>
      <c r="T189" s="7" t="n">
        <v>78.40000000000001</v>
      </c>
      <c r="V189" s="7" t="n">
        <v>83.3</v>
      </c>
      <c r="X189" s="7" t="n">
        <v>42.7</v>
      </c>
      <c r="Z189" s="7" t="n">
        <v>30.6</v>
      </c>
      <c r="AB189" s="7" t="n">
        <v>663.2</v>
      </c>
    </row>
    <row r="190">
      <c r="A190" s="4" t="inlineStr">
        <is>
          <t>水电物业费</t>
        </is>
      </c>
      <c r="D190" s="7" t="n">
        <v>65.59999999999999</v>
      </c>
      <c r="F190" s="7" t="n">
        <v>58.2</v>
      </c>
      <c r="H190" s="7" t="n">
        <v>60.1</v>
      </c>
      <c r="J190" s="7" t="n">
        <v>187</v>
      </c>
      <c r="L190" s="7" t="n">
        <v>126.8</v>
      </c>
      <c r="N190" s="7" t="n">
        <v>129</v>
      </c>
      <c r="P190" s="7" t="n">
        <v>175.3</v>
      </c>
      <c r="R190" s="7" t="n">
        <v>66.3</v>
      </c>
      <c r="T190" s="7" t="n">
        <v>137.8</v>
      </c>
      <c r="V190" s="7" t="n">
        <v>172.9</v>
      </c>
      <c r="X190" s="7" t="n">
        <v>72.59999999999999</v>
      </c>
      <c r="Z190" s="7" t="n">
        <v>80.59999999999999</v>
      </c>
      <c r="AB190" s="7" t="n">
        <v>1332.2</v>
      </c>
    </row>
    <row r="191">
      <c r="A191" s="4" t="inlineStr">
        <is>
          <t>员工餐</t>
        </is>
      </c>
      <c r="D191" s="7" t="n">
        <v>75.90000000000001</v>
      </c>
      <c r="F191" s="7" t="n">
        <v>65</v>
      </c>
      <c r="H191" s="7" t="n">
        <v>108.5</v>
      </c>
      <c r="J191" s="7" t="n">
        <v>228.3</v>
      </c>
      <c r="L191" s="7" t="n">
        <v>169.4</v>
      </c>
      <c r="N191" s="7" t="n">
        <v>116.5</v>
      </c>
      <c r="P191" s="7" t="n">
        <v>210.9</v>
      </c>
      <c r="R191" s="7" t="n">
        <v>90.7</v>
      </c>
      <c r="T191" s="7" t="n">
        <v>179.7</v>
      </c>
      <c r="V191" s="7" t="n">
        <v>257.3</v>
      </c>
      <c r="X191" s="7" t="n">
        <v>121.3</v>
      </c>
      <c r="Z191" s="7" t="n">
        <v>89.90000000000001</v>
      </c>
      <c r="AB191" s="7" t="n">
        <v>1713.4</v>
      </c>
    </row>
    <row r="192">
      <c r="A192" s="4" t="inlineStr">
        <is>
          <t>节日礼品</t>
        </is>
      </c>
      <c r="D192" s="7" t="n">
        <v>30.3</v>
      </c>
      <c r="F192" s="7" t="n">
        <v>26</v>
      </c>
      <c r="H192" s="7" t="n">
        <v>39</v>
      </c>
      <c r="J192" s="7" t="n">
        <v>83.40000000000001</v>
      </c>
      <c r="L192" s="7" t="n">
        <v>38.6</v>
      </c>
      <c r="N192" s="7" t="n">
        <v>54.5</v>
      </c>
      <c r="P192" s="7" t="n">
        <v>68.8</v>
      </c>
      <c r="R192" s="7" t="n">
        <v>28.9</v>
      </c>
      <c r="T192" s="7" t="n">
        <v>43.7</v>
      </c>
      <c r="V192" s="7" t="n">
        <v>87</v>
      </c>
      <c r="X192" s="7" t="n">
        <v>23.7</v>
      </c>
      <c r="Z192" s="7" t="n">
        <v>39.4</v>
      </c>
      <c r="AB192" s="7" t="n">
        <v>563.3</v>
      </c>
    </row>
    <row r="193">
      <c r="A193" s="4" t="inlineStr">
        <is>
          <t>生日礼品</t>
        </is>
      </c>
      <c r="D193" s="7" t="n">
        <v>153.8</v>
      </c>
      <c r="F193" s="7" t="n">
        <v>68.09999999999999</v>
      </c>
      <c r="H193" s="7" t="n">
        <v>116.5</v>
      </c>
      <c r="J193" s="7" t="n">
        <v>202.6</v>
      </c>
      <c r="L193" s="7" t="n">
        <v>163.7</v>
      </c>
      <c r="N193" s="7" t="n">
        <v>143.9</v>
      </c>
      <c r="P193" s="7" t="n">
        <v>174.8</v>
      </c>
      <c r="R193" s="7" t="n">
        <v>86.2</v>
      </c>
      <c r="T193" s="7" t="n">
        <v>232</v>
      </c>
      <c r="V193" s="7" t="n">
        <v>205</v>
      </c>
      <c r="X193" s="7" t="n">
        <v>132.4</v>
      </c>
      <c r="Z193" s="7" t="n">
        <v>152.2</v>
      </c>
      <c r="AB193" s="7" t="n">
        <v>1831.2</v>
      </c>
    </row>
    <row r="194">
      <c r="A194" s="4" t="inlineStr">
        <is>
          <t>体检</t>
        </is>
      </c>
      <c r="D194" s="7" t="n">
        <v>95.3</v>
      </c>
      <c r="F194" s="7" t="n">
        <v>53.7</v>
      </c>
      <c r="H194" s="7" t="n">
        <v>102.6</v>
      </c>
      <c r="J194" s="7" t="n">
        <v>128.1</v>
      </c>
      <c r="L194" s="7" t="n">
        <v>154</v>
      </c>
      <c r="N194" s="7" t="n">
        <v>93.09999999999999</v>
      </c>
      <c r="P194" s="7" t="n">
        <v>124</v>
      </c>
      <c r="R194" s="7" t="n">
        <v>78.40000000000001</v>
      </c>
      <c r="T194" s="7" t="n">
        <v>165.4</v>
      </c>
      <c r="V194" s="7" t="n">
        <v>215.2</v>
      </c>
      <c r="X194" s="7" t="n">
        <v>65.5</v>
      </c>
      <c r="Z194" s="7" t="n">
        <v>89.5</v>
      </c>
      <c r="AB194" s="7" t="n">
        <v>1364.8</v>
      </c>
    </row>
    <row r="195">
      <c r="A195" s="4" t="inlineStr">
        <is>
          <t>其他福利支出</t>
        </is>
      </c>
      <c r="D195" s="7" t="n">
        <v>20.2</v>
      </c>
      <c r="F195" s="7" t="n">
        <v>17.9</v>
      </c>
      <c r="H195" s="7" t="n">
        <v>33</v>
      </c>
      <c r="J195" s="7" t="n">
        <v>51.5</v>
      </c>
      <c r="L195" s="7" t="n">
        <v>25.6</v>
      </c>
      <c r="N195" s="7" t="n">
        <v>32.5</v>
      </c>
      <c r="P195" s="7" t="n">
        <v>47.2</v>
      </c>
      <c r="R195" s="7" t="n">
        <v>13.9</v>
      </c>
      <c r="T195" s="7" t="n">
        <v>41.9</v>
      </c>
      <c r="V195" s="7" t="n">
        <v>36.7</v>
      </c>
      <c r="X195" s="7" t="n">
        <v>22.8</v>
      </c>
      <c r="Z195" s="7" t="n">
        <v>23.1</v>
      </c>
      <c r="AB195" s="7" t="n">
        <v>366.3</v>
      </c>
    </row>
    <row r="196">
      <c r="A196" s="4" t="inlineStr">
        <is>
          <t>招聘费</t>
        </is>
      </c>
      <c r="D196" s="7" t="n">
        <v>67.40000000000001</v>
      </c>
      <c r="F196" s="7" t="n">
        <v>51.1</v>
      </c>
      <c r="H196" s="7" t="n">
        <v>78.8</v>
      </c>
      <c r="J196" s="7" t="n">
        <v>158.8</v>
      </c>
      <c r="L196" s="7" t="n">
        <v>131.1</v>
      </c>
      <c r="N196" s="7" t="n">
        <v>116.9</v>
      </c>
      <c r="P196" s="7" t="n">
        <v>134.5</v>
      </c>
      <c r="R196" s="7" t="n">
        <v>44.1</v>
      </c>
      <c r="T196" s="7" t="n">
        <v>91.3</v>
      </c>
      <c r="V196" s="7" t="n">
        <v>101.8</v>
      </c>
      <c r="X196" s="7" t="n">
        <v>57.6</v>
      </c>
      <c r="Z196" s="7" t="n">
        <v>57.7</v>
      </c>
      <c r="AB196" s="7" t="n">
        <v>1091.1</v>
      </c>
    </row>
    <row r="197">
      <c r="A197" s="4" t="inlineStr">
        <is>
          <t>办公费</t>
        </is>
      </c>
      <c r="D197" s="7" t="n">
        <v>494.6</v>
      </c>
      <c r="F197" s="7" t="n">
        <v>384.1</v>
      </c>
      <c r="H197" s="7" t="n">
        <v>675.1</v>
      </c>
      <c r="J197" s="7" t="n">
        <v>1679.3</v>
      </c>
      <c r="L197" s="7" t="n">
        <v>1085.7</v>
      </c>
      <c r="N197" s="7" t="n">
        <v>780.3</v>
      </c>
      <c r="P197" s="7" t="n">
        <v>1203.7</v>
      </c>
      <c r="R197" s="7" t="n">
        <v>402.8</v>
      </c>
      <c r="T197" s="7" t="n">
        <v>1331</v>
      </c>
      <c r="V197" s="7" t="n">
        <v>978.6</v>
      </c>
      <c r="X197" s="7" t="n">
        <v>462.9</v>
      </c>
      <c r="Z197" s="7" t="n">
        <v>599.4</v>
      </c>
      <c r="AB197" s="7" t="n">
        <v>10077.5</v>
      </c>
    </row>
    <row r="198">
      <c r="A198" s="4" t="inlineStr">
        <is>
          <t>市内交通费</t>
        </is>
      </c>
      <c r="D198" s="7" t="n">
        <v>66</v>
      </c>
      <c r="F198" s="7" t="n">
        <v>34.4</v>
      </c>
      <c r="H198" s="7" t="n">
        <v>73</v>
      </c>
      <c r="J198" s="7" t="n">
        <v>101.4</v>
      </c>
      <c r="L198" s="7" t="n">
        <v>88.5</v>
      </c>
      <c r="N198" s="7" t="n">
        <v>99.2</v>
      </c>
      <c r="P198" s="7" t="n">
        <v>95.7</v>
      </c>
      <c r="R198" s="7" t="n">
        <v>62.6</v>
      </c>
      <c r="T198" s="7" t="n">
        <v>83</v>
      </c>
      <c r="V198" s="7" t="n">
        <v>91.09999999999999</v>
      </c>
      <c r="X198" s="7" t="n">
        <v>56.6</v>
      </c>
      <c r="Z198" s="7" t="n">
        <v>71</v>
      </c>
      <c r="AB198" s="7" t="n">
        <v>922.5</v>
      </c>
    </row>
    <row r="199">
      <c r="A199" s="4" t="inlineStr">
        <is>
          <t>差旅费</t>
        </is>
      </c>
      <c r="D199" s="7" t="n">
        <v>1058.8</v>
      </c>
      <c r="F199" s="7" t="n">
        <v>1086.8</v>
      </c>
      <c r="H199" s="7" t="n">
        <v>1490.9</v>
      </c>
      <c r="J199" s="7" t="n">
        <v>2126.4</v>
      </c>
      <c r="L199" s="7" t="n">
        <v>2082.2</v>
      </c>
      <c r="N199" s="7" t="n">
        <v>1540.9</v>
      </c>
      <c r="P199" s="7" t="n">
        <v>3225.9</v>
      </c>
      <c r="R199" s="7" t="n">
        <v>1106</v>
      </c>
      <c r="T199" s="7" t="n">
        <v>1570</v>
      </c>
      <c r="V199" s="7" t="n">
        <v>2621</v>
      </c>
      <c r="X199" s="7" t="n">
        <v>1206.7</v>
      </c>
      <c r="Z199" s="7" t="n">
        <v>925.9</v>
      </c>
      <c r="AB199" s="7" t="n">
        <v>20041.5</v>
      </c>
    </row>
    <row r="200">
      <c r="A200" s="4" t="inlineStr">
        <is>
          <t>交通费</t>
        </is>
      </c>
      <c r="D200" s="7" t="n">
        <v>11.1</v>
      </c>
      <c r="F200" s="7" t="n">
        <v>8.300000000000001</v>
      </c>
      <c r="H200" s="7" t="n">
        <v>19.4</v>
      </c>
      <c r="J200" s="7" t="n">
        <v>36.4</v>
      </c>
      <c r="L200" s="7" t="n">
        <v>15</v>
      </c>
      <c r="N200" s="7" t="n">
        <v>19.3</v>
      </c>
      <c r="P200" s="7" t="n">
        <v>28.3</v>
      </c>
      <c r="R200" s="7" t="n">
        <v>8.300000000000001</v>
      </c>
      <c r="T200" s="7" t="n">
        <v>26.8</v>
      </c>
      <c r="V200" s="7" t="n">
        <v>20.2</v>
      </c>
      <c r="X200" s="7" t="n">
        <v>11.5</v>
      </c>
      <c r="Z200" s="7" t="n">
        <v>10.7</v>
      </c>
      <c r="AB200" s="7" t="n">
        <v>215.3</v>
      </c>
    </row>
    <row r="201">
      <c r="A201" s="4" t="inlineStr">
        <is>
          <t>住宿费</t>
        </is>
      </c>
      <c r="D201" s="7" t="n">
        <v>15.4</v>
      </c>
      <c r="F201" s="7" t="n">
        <v>9.699999999999999</v>
      </c>
      <c r="H201" s="7" t="n">
        <v>13.6</v>
      </c>
      <c r="J201" s="7" t="n">
        <v>32.6</v>
      </c>
      <c r="L201" s="7" t="n">
        <v>29.3</v>
      </c>
      <c r="N201" s="7" t="n">
        <v>24.6</v>
      </c>
      <c r="P201" s="7" t="n">
        <v>30.1</v>
      </c>
      <c r="R201" s="7" t="n">
        <v>10.2</v>
      </c>
      <c r="T201" s="7" t="n">
        <v>19</v>
      </c>
      <c r="V201" s="7" t="n">
        <v>38.1</v>
      </c>
      <c r="X201" s="7" t="n">
        <v>12</v>
      </c>
      <c r="Z201" s="7" t="n">
        <v>19.3</v>
      </c>
      <c r="AB201" s="7" t="n">
        <v>253.9</v>
      </c>
    </row>
    <row r="202">
      <c r="A202" s="4" t="inlineStr">
        <is>
          <t>餐补</t>
        </is>
      </c>
      <c r="D202" s="7" t="n">
        <v>121.8</v>
      </c>
      <c r="F202" s="7" t="n">
        <v>87.40000000000001</v>
      </c>
      <c r="H202" s="7" t="n">
        <v>172.6</v>
      </c>
      <c r="J202" s="7" t="n">
        <v>176.4</v>
      </c>
      <c r="L202" s="7" t="n">
        <v>135.1</v>
      </c>
      <c r="N202" s="7" t="n">
        <v>188.6</v>
      </c>
      <c r="P202" s="7" t="n">
        <v>273.5</v>
      </c>
      <c r="R202" s="7" t="n">
        <v>87.59999999999999</v>
      </c>
      <c r="T202" s="7" t="n">
        <v>132.3</v>
      </c>
      <c r="V202" s="7" t="n">
        <v>193.3</v>
      </c>
      <c r="X202" s="7" t="n">
        <v>81.3</v>
      </c>
      <c r="Z202" s="7" t="n">
        <v>79.8</v>
      </c>
      <c r="AB202" s="7" t="n">
        <v>1729.7</v>
      </c>
    </row>
    <row r="203">
      <c r="A203" s="4" t="inlineStr">
        <is>
          <t>交通补助</t>
        </is>
      </c>
      <c r="D203" s="7" t="n">
        <v>160.7</v>
      </c>
      <c r="F203" s="7" t="n">
        <v>108.7</v>
      </c>
      <c r="H203" s="7" t="n">
        <v>147.2</v>
      </c>
      <c r="J203" s="7" t="n">
        <v>341</v>
      </c>
      <c r="L203" s="7" t="n">
        <v>265.1</v>
      </c>
      <c r="N203" s="7" t="n">
        <v>163.2</v>
      </c>
      <c r="P203" s="7" t="n">
        <v>212.8</v>
      </c>
      <c r="R203" s="7" t="n">
        <v>122.6</v>
      </c>
      <c r="T203" s="7" t="n">
        <v>168.6</v>
      </c>
      <c r="V203" s="7" t="n">
        <v>259.2</v>
      </c>
      <c r="X203" s="7" t="n">
        <v>100.6</v>
      </c>
      <c r="Z203" s="7" t="n">
        <v>145.1</v>
      </c>
      <c r="AB203" s="7" t="n">
        <v>2194.8</v>
      </c>
    </row>
    <row r="204">
      <c r="A204" s="4" t="inlineStr">
        <is>
          <t>通讯补助</t>
        </is>
      </c>
      <c r="D204" s="7" t="n">
        <v>81.5</v>
      </c>
      <c r="F204" s="7" t="n">
        <v>82.7</v>
      </c>
      <c r="H204" s="7" t="n">
        <v>163.7</v>
      </c>
      <c r="J204" s="7" t="n">
        <v>255.7</v>
      </c>
      <c r="L204" s="7" t="n">
        <v>173.1</v>
      </c>
      <c r="N204" s="7" t="n">
        <v>137.3</v>
      </c>
      <c r="P204" s="7" t="n">
        <v>249.4</v>
      </c>
      <c r="R204" s="7" t="n">
        <v>102.5</v>
      </c>
      <c r="T204" s="7" t="n">
        <v>180.8</v>
      </c>
      <c r="V204" s="7" t="n">
        <v>178.6</v>
      </c>
      <c r="X204" s="7" t="n">
        <v>100.3</v>
      </c>
      <c r="Z204" s="7" t="n">
        <v>87.8</v>
      </c>
      <c r="AB204" s="7" t="n">
        <v>1793.4</v>
      </c>
    </row>
    <row r="205">
      <c r="A205" s="4" t="inlineStr">
        <is>
          <t>招待费</t>
        </is>
      </c>
      <c r="D205" s="7" t="n">
        <v>678.8</v>
      </c>
      <c r="F205" s="7" t="n">
        <v>636</v>
      </c>
      <c r="H205" s="7" t="n">
        <v>955.6</v>
      </c>
      <c r="J205" s="7" t="n">
        <v>1372.8</v>
      </c>
      <c r="L205" s="7" t="n">
        <v>1669.1</v>
      </c>
      <c r="N205" s="7" t="n">
        <v>1233.5</v>
      </c>
      <c r="P205" s="7" t="n">
        <v>1260.5</v>
      </c>
      <c r="R205" s="7" t="n">
        <v>687.7</v>
      </c>
      <c r="T205" s="7" t="n">
        <v>1765.7</v>
      </c>
      <c r="V205" s="7" t="n">
        <v>2020.8</v>
      </c>
      <c r="X205" s="7" t="n">
        <v>540.7</v>
      </c>
      <c r="Z205" s="7" t="n">
        <v>1102.5</v>
      </c>
      <c r="AB205" s="7" t="n">
        <v>13923.7</v>
      </c>
    </row>
    <row r="206">
      <c r="A206" s="4" t="inlineStr">
        <is>
          <t>通讯费</t>
        </is>
      </c>
      <c r="D206" s="7" t="n">
        <v>23.4</v>
      </c>
      <c r="F206" s="7" t="n">
        <v>15.4</v>
      </c>
      <c r="H206" s="7" t="n">
        <v>21.1</v>
      </c>
      <c r="J206" s="7" t="n">
        <v>40.8</v>
      </c>
      <c r="L206" s="7" t="n">
        <v>22.4</v>
      </c>
      <c r="N206" s="7" t="n">
        <v>19.9</v>
      </c>
      <c r="P206" s="7" t="n">
        <v>28.3</v>
      </c>
      <c r="R206" s="7" t="n">
        <v>16.1</v>
      </c>
      <c r="T206" s="7" t="n">
        <v>24.9</v>
      </c>
      <c r="V206" s="7" t="n">
        <v>49.9</v>
      </c>
      <c r="X206" s="7" t="n">
        <v>17</v>
      </c>
      <c r="Z206" s="7" t="n">
        <v>23.7</v>
      </c>
      <c r="AB206" s="7" t="n">
        <v>302.9</v>
      </c>
    </row>
    <row r="207">
      <c r="A207" s="4" t="inlineStr">
        <is>
          <t>网络费</t>
        </is>
      </c>
      <c r="D207" s="7" t="n">
        <v>14.8</v>
      </c>
      <c r="F207" s="7" t="n">
        <v>8.9</v>
      </c>
      <c r="H207" s="7" t="n">
        <v>14.7</v>
      </c>
      <c r="J207" s="7" t="n">
        <v>31.2</v>
      </c>
      <c r="L207" s="7" t="n">
        <v>17.3</v>
      </c>
      <c r="N207" s="7" t="n">
        <v>19.9</v>
      </c>
      <c r="P207" s="7" t="n">
        <v>25.7</v>
      </c>
      <c r="R207" s="7" t="n">
        <v>9.9</v>
      </c>
      <c r="T207" s="7" t="n">
        <v>21.8</v>
      </c>
      <c r="V207" s="7" t="n">
        <v>25.5</v>
      </c>
      <c r="X207" s="7" t="n">
        <v>13.8</v>
      </c>
      <c r="Z207" s="7" t="n">
        <v>16.5</v>
      </c>
      <c r="AB207" s="7" t="n">
        <v>220</v>
      </c>
    </row>
    <row r="208">
      <c r="A208" s="4" t="inlineStr">
        <is>
          <t>修理费</t>
        </is>
      </c>
      <c r="D208" s="7" t="n">
        <v>72</v>
      </c>
      <c r="F208" s="7" t="n">
        <v>63.4</v>
      </c>
      <c r="H208" s="7" t="n">
        <v>150.6</v>
      </c>
      <c r="J208" s="7" t="n">
        <v>249.7</v>
      </c>
      <c r="L208" s="7" t="n">
        <v>147.2</v>
      </c>
      <c r="N208" s="7" t="n">
        <v>119.6</v>
      </c>
      <c r="P208" s="7" t="n">
        <v>181.6</v>
      </c>
      <c r="R208" s="7" t="n">
        <v>55.5</v>
      </c>
      <c r="T208" s="7" t="n">
        <v>188.4</v>
      </c>
      <c r="V208" s="7" t="n">
        <v>190.1</v>
      </c>
      <c r="X208" s="7" t="n">
        <v>91.59999999999999</v>
      </c>
      <c r="Z208" s="7" t="n">
        <v>122.2</v>
      </c>
      <c r="AB208" s="7" t="n">
        <v>1631.9</v>
      </c>
    </row>
    <row r="209">
      <c r="A209" s="4" t="inlineStr">
        <is>
          <t>车辆费</t>
        </is>
      </c>
      <c r="D209" s="7" t="n">
        <v>102.8</v>
      </c>
      <c r="F209" s="7" t="n">
        <v>67.5</v>
      </c>
      <c r="H209" s="7" t="n">
        <v>146.8</v>
      </c>
      <c r="J209" s="7" t="n">
        <v>350.9</v>
      </c>
      <c r="L209" s="7" t="n">
        <v>165.9</v>
      </c>
      <c r="N209" s="7" t="n">
        <v>193.5</v>
      </c>
      <c r="P209" s="7" t="n">
        <v>196.1</v>
      </c>
      <c r="R209" s="7" t="n">
        <v>105.9</v>
      </c>
      <c r="T209" s="7" t="n">
        <v>271.1</v>
      </c>
      <c r="V209" s="7" t="n">
        <v>331.1</v>
      </c>
      <c r="X209" s="7" t="n">
        <v>152.7</v>
      </c>
      <c r="Z209" s="7" t="n">
        <v>159.8</v>
      </c>
      <c r="AB209" s="7" t="n">
        <v>2244.1</v>
      </c>
    </row>
    <row r="210">
      <c r="A210" s="4" t="inlineStr">
        <is>
          <t>租赁费</t>
        </is>
      </c>
      <c r="D210" s="7" t="n">
        <v>1326.3</v>
      </c>
      <c r="F210" s="7" t="n">
        <v>601.6</v>
      </c>
      <c r="H210" s="7" t="n">
        <v>1394.8</v>
      </c>
      <c r="J210" s="7" t="n">
        <v>2581.5</v>
      </c>
      <c r="L210" s="7" t="n">
        <v>1292.5</v>
      </c>
      <c r="N210" s="7" t="n">
        <v>1284.8</v>
      </c>
      <c r="P210" s="7" t="n">
        <v>1888.3</v>
      </c>
      <c r="R210" s="7" t="n">
        <v>735.8</v>
      </c>
      <c r="T210" s="7" t="n">
        <v>1898</v>
      </c>
      <c r="V210" s="7" t="n">
        <v>2244.5</v>
      </c>
      <c r="X210" s="7" t="n">
        <v>815.7</v>
      </c>
      <c r="Z210" s="7" t="n">
        <v>1361.3</v>
      </c>
      <c r="AB210" s="7" t="n">
        <v>17425.1</v>
      </c>
    </row>
    <row r="211">
      <c r="A211" s="4" t="inlineStr">
        <is>
          <t>能源费</t>
        </is>
      </c>
      <c r="D211" s="7" t="n">
        <v>451.1</v>
      </c>
      <c r="F211" s="7" t="n">
        <v>255.4</v>
      </c>
      <c r="H211" s="7" t="n">
        <v>459.5</v>
      </c>
      <c r="J211" s="7" t="n">
        <v>858.3</v>
      </c>
      <c r="L211" s="7" t="n">
        <v>661.9</v>
      </c>
      <c r="N211" s="7" t="n">
        <v>522.6</v>
      </c>
      <c r="P211" s="7" t="n">
        <v>866.5</v>
      </c>
      <c r="R211" s="7" t="n">
        <v>393.4</v>
      </c>
      <c r="T211" s="7" t="n">
        <v>708.5</v>
      </c>
      <c r="V211" s="7" t="n">
        <v>859.4</v>
      </c>
      <c r="X211" s="7" t="n">
        <v>369.7</v>
      </c>
      <c r="Z211" s="7" t="n">
        <v>390.4</v>
      </c>
      <c r="AB211" s="7" t="n">
        <v>6796.7</v>
      </c>
    </row>
    <row r="212">
      <c r="A212" s="4" t="inlineStr">
        <is>
          <t>水费</t>
        </is>
      </c>
      <c r="D212" s="7" t="n">
        <v>85.40000000000001</v>
      </c>
      <c r="F212" s="7" t="n">
        <v>37.3</v>
      </c>
      <c r="H212" s="7" t="n">
        <v>59.9</v>
      </c>
      <c r="J212" s="7" t="n">
        <v>181.6</v>
      </c>
      <c r="L212" s="7" t="n">
        <v>75.2</v>
      </c>
      <c r="N212" s="7" t="n">
        <v>83.5</v>
      </c>
      <c r="P212" s="7" t="n">
        <v>112.9</v>
      </c>
      <c r="R212" s="7" t="n">
        <v>41.7</v>
      </c>
      <c r="T212" s="7" t="n">
        <v>84.90000000000001</v>
      </c>
      <c r="V212" s="7" t="n">
        <v>145.5</v>
      </c>
      <c r="X212" s="7" t="n">
        <v>51.8</v>
      </c>
      <c r="Z212" s="7" t="n">
        <v>60.6</v>
      </c>
      <c r="AB212" s="7" t="n">
        <v>1020.3</v>
      </c>
    </row>
    <row r="213">
      <c r="A213" s="4" t="inlineStr">
        <is>
          <t>电费</t>
        </is>
      </c>
      <c r="D213" s="7" t="n">
        <v>92.5</v>
      </c>
      <c r="F213" s="7" t="n">
        <v>57.9</v>
      </c>
      <c r="H213" s="7" t="n">
        <v>94.09999999999999</v>
      </c>
      <c r="J213" s="7" t="n">
        <v>149.3</v>
      </c>
      <c r="L213" s="7" t="n">
        <v>157.4</v>
      </c>
      <c r="N213" s="7" t="n">
        <v>153.4</v>
      </c>
      <c r="P213" s="7" t="n">
        <v>230.5</v>
      </c>
      <c r="R213" s="7" t="n">
        <v>106.9</v>
      </c>
      <c r="T213" s="7" t="n">
        <v>134.2</v>
      </c>
      <c r="V213" s="7" t="n">
        <v>161.3</v>
      </c>
      <c r="X213" s="7" t="n">
        <v>104.5</v>
      </c>
      <c r="Z213" s="7" t="n">
        <v>71.90000000000001</v>
      </c>
      <c r="AB213" s="7" t="n">
        <v>1513.9</v>
      </c>
    </row>
    <row r="214">
      <c r="A214" s="4" t="inlineStr">
        <is>
          <t>燃气费</t>
        </is>
      </c>
      <c r="D214" s="7" t="n">
        <v>158.9</v>
      </c>
      <c r="F214" s="7" t="n">
        <v>85.40000000000001</v>
      </c>
      <c r="H214" s="7" t="n">
        <v>189</v>
      </c>
      <c r="J214" s="7" t="n">
        <v>305.8</v>
      </c>
      <c r="L214" s="7" t="n">
        <v>248.5</v>
      </c>
      <c r="N214" s="7" t="n">
        <v>154</v>
      </c>
      <c r="P214" s="7" t="n">
        <v>263.2</v>
      </c>
      <c r="R214" s="7" t="n">
        <v>138.5</v>
      </c>
      <c r="T214" s="7" t="n">
        <v>265.8</v>
      </c>
      <c r="V214" s="7" t="n">
        <v>293.2</v>
      </c>
      <c r="X214" s="7" t="n">
        <v>120.7</v>
      </c>
      <c r="Z214" s="7" t="n">
        <v>156.7</v>
      </c>
      <c r="AB214" s="7" t="n">
        <v>2379.7</v>
      </c>
    </row>
    <row r="215">
      <c r="A215" s="4" t="inlineStr">
        <is>
          <t>蒸汽费</t>
        </is>
      </c>
      <c r="D215" s="7" t="n">
        <v>114.3</v>
      </c>
      <c r="F215" s="7" t="n">
        <v>74.8</v>
      </c>
      <c r="H215" s="7" t="n">
        <v>116.5</v>
      </c>
      <c r="J215" s="7" t="n">
        <v>221.6</v>
      </c>
      <c r="L215" s="7" t="n">
        <v>180.8</v>
      </c>
      <c r="N215" s="7" t="n">
        <v>131.7</v>
      </c>
      <c r="P215" s="7" t="n">
        <v>259.9</v>
      </c>
      <c r="R215" s="7" t="n">
        <v>106.3</v>
      </c>
      <c r="T215" s="7" t="n">
        <v>223.6</v>
      </c>
      <c r="V215" s="7" t="n">
        <v>259.4</v>
      </c>
      <c r="X215" s="7" t="n">
        <v>92.7</v>
      </c>
      <c r="Z215" s="7" t="n">
        <v>101.2</v>
      </c>
      <c r="AB215" s="7" t="n">
        <v>1882.8</v>
      </c>
    </row>
    <row r="216">
      <c r="A216" s="4" t="inlineStr">
        <is>
          <t>物业费</t>
        </is>
      </c>
      <c r="D216" s="7" t="n">
        <v>30</v>
      </c>
      <c r="F216" s="7" t="n">
        <v>18.1</v>
      </c>
      <c r="H216" s="7" t="n">
        <v>55.5</v>
      </c>
      <c r="J216" s="7" t="n">
        <v>91.3</v>
      </c>
      <c r="L216" s="7" t="n">
        <v>72.3</v>
      </c>
      <c r="N216" s="7" t="n">
        <v>53.6</v>
      </c>
      <c r="P216" s="7" t="n">
        <v>79.2</v>
      </c>
      <c r="R216" s="7" t="n">
        <v>25.2</v>
      </c>
      <c r="T216" s="7" t="n">
        <v>48.4</v>
      </c>
      <c r="V216" s="7" t="n">
        <v>57.2</v>
      </c>
      <c r="X216" s="7" t="n">
        <v>38.4</v>
      </c>
      <c r="Z216" s="7" t="n">
        <v>46.2</v>
      </c>
      <c r="AB216" s="7" t="n">
        <v>615.4</v>
      </c>
    </row>
    <row r="217">
      <c r="A217" s="4" t="inlineStr">
        <is>
          <t>劳动保护费</t>
        </is>
      </c>
      <c r="D217" s="7" t="n">
        <v>8.6</v>
      </c>
      <c r="F217" s="7" t="n">
        <v>9.699999999999999</v>
      </c>
      <c r="H217" s="7" t="n">
        <v>12.6</v>
      </c>
      <c r="J217" s="7" t="n">
        <v>26.9</v>
      </c>
      <c r="L217" s="7" t="n">
        <v>18.6</v>
      </c>
      <c r="N217" s="7" t="n">
        <v>15.7</v>
      </c>
      <c r="P217" s="7" t="n">
        <v>19.5</v>
      </c>
      <c r="R217" s="7" t="n">
        <v>9.5</v>
      </c>
      <c r="T217" s="7" t="n">
        <v>23.2</v>
      </c>
      <c r="V217" s="7" t="n">
        <v>30.8</v>
      </c>
      <c r="X217" s="7" t="n">
        <v>9.1</v>
      </c>
      <c r="Z217" s="7" t="n">
        <v>14.9</v>
      </c>
      <c r="AB217" s="7" t="n">
        <v>199.1</v>
      </c>
    </row>
    <row r="218">
      <c r="A218" s="4" t="inlineStr">
        <is>
          <t>顾问费</t>
        </is>
      </c>
      <c r="D218" s="7" t="n">
        <v>22.2</v>
      </c>
      <c r="F218" s="7" t="n">
        <v>22</v>
      </c>
      <c r="H218" s="7" t="n">
        <v>23</v>
      </c>
      <c r="J218" s="7" t="n">
        <v>51.6</v>
      </c>
      <c r="L218" s="7" t="n">
        <v>36.9</v>
      </c>
      <c r="N218" s="7" t="n">
        <v>32.8</v>
      </c>
      <c r="P218" s="7" t="n">
        <v>49.6</v>
      </c>
      <c r="R218" s="7" t="n">
        <v>15.6</v>
      </c>
      <c r="T218" s="7" t="n">
        <v>41</v>
      </c>
      <c r="V218" s="7" t="n">
        <v>70.09999999999999</v>
      </c>
      <c r="X218" s="7" t="n">
        <v>25</v>
      </c>
      <c r="Z218" s="7" t="n">
        <v>22.7</v>
      </c>
      <c r="AB218" s="7" t="n">
        <v>412.5</v>
      </c>
    </row>
    <row r="219">
      <c r="A219" s="4" t="inlineStr">
        <is>
          <t>快递费</t>
        </is>
      </c>
      <c r="D219" s="7" t="n">
        <v>89.8</v>
      </c>
      <c r="F219" s="7" t="n">
        <v>68.09999999999999</v>
      </c>
      <c r="H219" s="7" t="n">
        <v>95.90000000000001</v>
      </c>
      <c r="J219" s="7" t="n">
        <v>136.6</v>
      </c>
      <c r="L219" s="7" t="n">
        <v>93</v>
      </c>
      <c r="N219" s="7" t="n">
        <v>88.09999999999999</v>
      </c>
      <c r="P219" s="7" t="n">
        <v>126</v>
      </c>
      <c r="R219" s="7" t="n">
        <v>82.3</v>
      </c>
      <c r="T219" s="7" t="n">
        <v>160.2</v>
      </c>
      <c r="V219" s="7" t="n">
        <v>202</v>
      </c>
      <c r="X219" s="7" t="n">
        <v>81.09999999999999</v>
      </c>
      <c r="Z219" s="7" t="n">
        <v>83.90000000000001</v>
      </c>
      <c r="AB219" s="7" t="n">
        <v>1307</v>
      </c>
    </row>
    <row r="220">
      <c r="A220" s="4" t="inlineStr">
        <is>
          <t>诉讼费</t>
        </is>
      </c>
      <c r="D220" s="7" t="n">
        <v>12.6</v>
      </c>
      <c r="F220" s="7" t="n">
        <v>11</v>
      </c>
      <c r="H220" s="7" t="n">
        <v>17.2</v>
      </c>
      <c r="J220" s="7" t="n">
        <v>27.5</v>
      </c>
      <c r="L220" s="7" t="n">
        <v>21.1</v>
      </c>
      <c r="N220" s="7" t="n">
        <v>21.9</v>
      </c>
      <c r="P220" s="7" t="n">
        <v>32.4</v>
      </c>
      <c r="R220" s="7" t="n">
        <v>8.300000000000001</v>
      </c>
      <c r="T220" s="7" t="n">
        <v>27.5</v>
      </c>
      <c r="V220" s="7" t="n">
        <v>21</v>
      </c>
      <c r="X220" s="7" t="n">
        <v>11.6</v>
      </c>
      <c r="Z220" s="7" t="n">
        <v>12.9</v>
      </c>
      <c r="AB220" s="7" t="n">
        <v>225</v>
      </c>
    </row>
    <row r="221">
      <c r="A221" s="4" t="inlineStr">
        <is>
          <t>会员费</t>
        </is>
      </c>
      <c r="D221" s="7" t="n">
        <v>8.300000000000001</v>
      </c>
      <c r="F221" s="7" t="n">
        <v>6</v>
      </c>
      <c r="H221" s="7" t="n">
        <v>9.4</v>
      </c>
      <c r="J221" s="7" t="n">
        <v>17.4</v>
      </c>
      <c r="L221" s="7" t="n">
        <v>19.1</v>
      </c>
      <c r="N221" s="7" t="n">
        <v>15.6</v>
      </c>
      <c r="P221" s="7" t="n">
        <v>15.8</v>
      </c>
      <c r="R221" s="7" t="n">
        <v>7.1</v>
      </c>
      <c r="T221" s="7" t="n">
        <v>21.6</v>
      </c>
      <c r="V221" s="7" t="n">
        <v>17.1</v>
      </c>
      <c r="X221" s="7" t="n">
        <v>11.3</v>
      </c>
      <c r="Z221" s="7" t="n">
        <v>7</v>
      </c>
      <c r="AB221" s="7" t="n">
        <v>155.7</v>
      </c>
    </row>
    <row r="222">
      <c r="A222" s="4" t="inlineStr">
        <is>
          <t>广告宣传费</t>
        </is>
      </c>
      <c r="D222" s="7" t="n">
        <v>551.4</v>
      </c>
      <c r="F222" s="7" t="n">
        <v>349.8</v>
      </c>
      <c r="H222" s="7" t="n">
        <v>594.8</v>
      </c>
      <c r="J222" s="7" t="n">
        <v>1582.5</v>
      </c>
      <c r="L222" s="7" t="n">
        <v>1268.3</v>
      </c>
      <c r="N222" s="7" t="n">
        <v>971.1</v>
      </c>
      <c r="P222" s="7" t="n">
        <v>1137.5</v>
      </c>
      <c r="R222" s="7" t="n">
        <v>542.1</v>
      </c>
      <c r="T222" s="7" t="n">
        <v>1236.4</v>
      </c>
      <c r="V222" s="7" t="n">
        <v>1690.8</v>
      </c>
      <c r="X222" s="7" t="n">
        <v>611.3</v>
      </c>
      <c r="Z222" s="7" t="n">
        <v>755.6</v>
      </c>
      <c r="AB222" s="7" t="n">
        <v>11291.6</v>
      </c>
    </row>
    <row r="223">
      <c r="A223" s="4" t="inlineStr">
        <is>
          <t>会务费</t>
        </is>
      </c>
      <c r="D223" s="7" t="n">
        <v>121.6</v>
      </c>
      <c r="F223" s="7" t="n">
        <v>66.59999999999999</v>
      </c>
      <c r="H223" s="7" t="n">
        <v>184.1</v>
      </c>
      <c r="J223" s="7" t="n">
        <v>358.1</v>
      </c>
      <c r="L223" s="7" t="n">
        <v>163.5</v>
      </c>
      <c r="N223" s="7" t="n">
        <v>144.3</v>
      </c>
      <c r="P223" s="7" t="n">
        <v>263.8</v>
      </c>
      <c r="R223" s="7" t="n">
        <v>90.2</v>
      </c>
      <c r="T223" s="7" t="n">
        <v>173.7</v>
      </c>
      <c r="V223" s="7" t="n">
        <v>272.6</v>
      </c>
      <c r="X223" s="7" t="n">
        <v>86.3</v>
      </c>
      <c r="Z223" s="7" t="n">
        <v>103.2</v>
      </c>
      <c r="AB223" s="7" t="n">
        <v>2028</v>
      </c>
    </row>
    <row r="224">
      <c r="A224" s="4" t="inlineStr">
        <is>
          <t>装修费</t>
        </is>
      </c>
      <c r="D224" s="7" t="n">
        <v>78.2</v>
      </c>
      <c r="F224" s="7" t="n">
        <v>52.6</v>
      </c>
      <c r="H224" s="7" t="n">
        <v>69.2</v>
      </c>
      <c r="J224" s="7" t="n">
        <v>189.4</v>
      </c>
      <c r="L224" s="7" t="n">
        <v>140.6</v>
      </c>
      <c r="N224" s="7" t="n">
        <v>93.09999999999999</v>
      </c>
      <c r="P224" s="7" t="n">
        <v>200.3</v>
      </c>
      <c r="R224" s="7" t="n">
        <v>50.2</v>
      </c>
      <c r="T224" s="7" t="n">
        <v>155.7</v>
      </c>
      <c r="V224" s="7" t="n">
        <v>206.3</v>
      </c>
      <c r="X224" s="7" t="n">
        <v>66.59999999999999</v>
      </c>
      <c r="Z224" s="7" t="n">
        <v>72.09999999999999</v>
      </c>
      <c r="AB224" s="7" t="n">
        <v>1374.3</v>
      </c>
    </row>
    <row r="225">
      <c r="A225" s="4" t="inlineStr">
        <is>
          <t>推广费</t>
        </is>
      </c>
      <c r="D225" s="7" t="n">
        <v>18.8</v>
      </c>
      <c r="F225" s="7" t="n">
        <v>10.3</v>
      </c>
      <c r="H225" s="7" t="n">
        <v>21.9</v>
      </c>
      <c r="J225" s="7" t="n">
        <v>34.4</v>
      </c>
      <c r="L225" s="7" t="n">
        <v>27.3</v>
      </c>
      <c r="N225" s="7" t="n">
        <v>24.7</v>
      </c>
      <c r="P225" s="7" t="n">
        <v>39.8</v>
      </c>
      <c r="R225" s="7" t="n">
        <v>12</v>
      </c>
      <c r="T225" s="7" t="n">
        <v>36.1</v>
      </c>
      <c r="V225" s="7" t="n">
        <v>45.2</v>
      </c>
      <c r="X225" s="7" t="n">
        <v>19.4</v>
      </c>
      <c r="Z225" s="7" t="n">
        <v>20.3</v>
      </c>
      <c r="AB225" s="7" t="n">
        <v>310.2</v>
      </c>
    </row>
    <row r="226">
      <c r="A226" s="4" t="inlineStr">
        <is>
          <t>展会费</t>
        </is>
      </c>
      <c r="D226" s="7" t="n">
        <v>48.7</v>
      </c>
      <c r="F226" s="7" t="n">
        <v>38.5</v>
      </c>
      <c r="H226" s="7" t="n">
        <v>47.4</v>
      </c>
      <c r="J226" s="7" t="n">
        <v>74.90000000000001</v>
      </c>
      <c r="L226" s="7" t="n">
        <v>53.6</v>
      </c>
      <c r="N226" s="7" t="n">
        <v>61.9</v>
      </c>
      <c r="P226" s="7" t="n">
        <v>111.5</v>
      </c>
      <c r="R226" s="7" t="n">
        <v>43.5</v>
      </c>
      <c r="T226" s="7" t="n">
        <v>66.7</v>
      </c>
      <c r="V226" s="7" t="n">
        <v>109.1</v>
      </c>
      <c r="X226" s="7" t="n">
        <v>27.7</v>
      </c>
      <c r="Z226" s="7" t="n">
        <v>47.2</v>
      </c>
      <c r="AB226" s="7" t="n">
        <v>730.7</v>
      </c>
    </row>
    <row r="227">
      <c r="A227" s="4" t="inlineStr">
        <is>
          <t>设计费</t>
        </is>
      </c>
      <c r="D227" s="7" t="n">
        <v>32.2</v>
      </c>
      <c r="F227" s="7" t="n">
        <v>32</v>
      </c>
      <c r="H227" s="7" t="n">
        <v>65.5</v>
      </c>
      <c r="J227" s="7" t="n">
        <v>106.5</v>
      </c>
      <c r="L227" s="7" t="n">
        <v>59.8</v>
      </c>
      <c r="N227" s="7" t="n">
        <v>78.09999999999999</v>
      </c>
      <c r="P227" s="7" t="n">
        <v>91.59999999999999</v>
      </c>
      <c r="R227" s="7" t="n">
        <v>30.2</v>
      </c>
      <c r="T227" s="7" t="n">
        <v>68</v>
      </c>
      <c r="V227" s="7" t="n">
        <v>100.8</v>
      </c>
      <c r="X227" s="7" t="n">
        <v>39.4</v>
      </c>
      <c r="Z227" s="7" t="n">
        <v>46.7</v>
      </c>
      <c r="AB227" s="7" t="n">
        <v>750.8</v>
      </c>
    </row>
    <row r="228">
      <c r="A228" s="4" t="inlineStr">
        <is>
          <t>折旧费</t>
        </is>
      </c>
      <c r="D228" s="7" t="n">
        <v>793.1</v>
      </c>
      <c r="F228" s="7" t="n">
        <v>469.8</v>
      </c>
      <c r="H228" s="7" t="n">
        <v>1324.7</v>
      </c>
      <c r="J228" s="7" t="n">
        <v>2094</v>
      </c>
      <c r="L228" s="7" t="n">
        <v>1530.5</v>
      </c>
      <c r="N228" s="7" t="n">
        <v>974.2</v>
      </c>
      <c r="P228" s="7" t="n">
        <v>1645</v>
      </c>
      <c r="R228" s="7" t="n">
        <v>893</v>
      </c>
      <c r="T228" s="7" t="n">
        <v>1388.5</v>
      </c>
      <c r="V228" s="7" t="n">
        <v>2306.4</v>
      </c>
      <c r="X228" s="7" t="n">
        <v>761.1</v>
      </c>
      <c r="Z228" s="7" t="n">
        <v>1038.9</v>
      </c>
      <c r="AB228" s="7" t="n">
        <v>15219.2</v>
      </c>
    </row>
    <row r="229">
      <c r="A229" s="4" t="inlineStr">
        <is>
          <t>认证费</t>
        </is>
      </c>
      <c r="D229" s="7" t="n">
        <v>90.2</v>
      </c>
      <c r="F229" s="7" t="n">
        <v>61.6</v>
      </c>
      <c r="H229" s="7" t="n">
        <v>135.3</v>
      </c>
      <c r="J229" s="7" t="n">
        <v>196.7</v>
      </c>
      <c r="L229" s="7" t="n">
        <v>121.5</v>
      </c>
      <c r="N229" s="7" t="n">
        <v>112.7</v>
      </c>
      <c r="P229" s="7" t="n">
        <v>251</v>
      </c>
      <c r="R229" s="7" t="n">
        <v>103.2</v>
      </c>
      <c r="T229" s="7" t="n">
        <v>183.5</v>
      </c>
      <c r="V229" s="7" t="n">
        <v>198.7</v>
      </c>
      <c r="X229" s="7" t="n">
        <v>113.4</v>
      </c>
      <c r="Z229" s="7" t="n">
        <v>120.1</v>
      </c>
      <c r="AB229" s="7" t="n">
        <v>1687.9</v>
      </c>
    </row>
    <row r="230">
      <c r="A230" s="4" t="inlineStr">
        <is>
          <t>样品费</t>
        </is>
      </c>
      <c r="D230" s="7" t="n">
        <v>404.6</v>
      </c>
      <c r="F230" s="7" t="n">
        <v>355.7</v>
      </c>
      <c r="H230" s="7" t="n">
        <v>451.5</v>
      </c>
      <c r="J230" s="7" t="n">
        <v>974.4</v>
      </c>
      <c r="L230" s="7" t="n">
        <v>655</v>
      </c>
      <c r="N230" s="7" t="n">
        <v>752.2</v>
      </c>
      <c r="P230" s="7" t="n">
        <v>925.5</v>
      </c>
      <c r="R230" s="7" t="n">
        <v>367.6</v>
      </c>
      <c r="T230" s="7" t="n">
        <v>803.1</v>
      </c>
      <c r="V230" s="7" t="n">
        <v>818.4</v>
      </c>
      <c r="X230" s="7" t="n">
        <v>273.2</v>
      </c>
      <c r="Z230" s="7" t="n">
        <v>552.4</v>
      </c>
      <c r="AB230" s="7" t="n">
        <v>7333.6</v>
      </c>
    </row>
    <row r="231">
      <c r="A231" s="4" t="inlineStr">
        <is>
          <t>劳务费</t>
        </is>
      </c>
      <c r="D231" s="7" t="n">
        <v>15.1</v>
      </c>
      <c r="F231" s="7" t="n">
        <v>10.5</v>
      </c>
      <c r="H231" s="7" t="n">
        <v>18.5</v>
      </c>
      <c r="J231" s="7" t="n">
        <v>28.5</v>
      </c>
      <c r="L231" s="7" t="n">
        <v>18.7</v>
      </c>
      <c r="N231" s="7" t="n">
        <v>18.9</v>
      </c>
      <c r="P231" s="7" t="n">
        <v>36.7</v>
      </c>
      <c r="R231" s="7" t="n">
        <v>14.9</v>
      </c>
      <c r="T231" s="7" t="n">
        <v>23.4</v>
      </c>
      <c r="V231" s="7" t="n">
        <v>28.2</v>
      </c>
      <c r="X231" s="7" t="n">
        <v>12.9</v>
      </c>
      <c r="Z231" s="7" t="n">
        <v>17.5</v>
      </c>
      <c r="AB231" s="7" t="n">
        <v>243.8</v>
      </c>
    </row>
    <row r="232">
      <c r="A232" s="4" t="inlineStr">
        <is>
          <t>销售佣金</t>
        </is>
      </c>
      <c r="D232" s="7" t="n">
        <v>41.2</v>
      </c>
      <c r="F232" s="7" t="n">
        <v>27.9</v>
      </c>
      <c r="H232" s="7" t="n">
        <v>48.9</v>
      </c>
      <c r="J232" s="7" t="n">
        <v>132.2</v>
      </c>
      <c r="L232" s="7" t="n">
        <v>79.3</v>
      </c>
      <c r="N232" s="7" t="n">
        <v>66.3</v>
      </c>
      <c r="P232" s="7" t="n">
        <v>119.6</v>
      </c>
      <c r="R232" s="7" t="n">
        <v>39.8</v>
      </c>
      <c r="T232" s="7" t="n">
        <v>84.09999999999999</v>
      </c>
      <c r="V232" s="7" t="n">
        <v>115.7</v>
      </c>
      <c r="X232" s="7" t="n">
        <v>37.7</v>
      </c>
      <c r="Z232" s="7" t="n">
        <v>68.40000000000001</v>
      </c>
      <c r="AB232" s="7" t="n">
        <v>861.1</v>
      </c>
    </row>
    <row r="233">
      <c r="A233" s="4" t="inlineStr">
        <is>
          <t>检测费</t>
        </is>
      </c>
      <c r="D233" s="7" t="n">
        <v>78.5</v>
      </c>
      <c r="F233" s="7" t="n">
        <v>55.2</v>
      </c>
      <c r="H233" s="7" t="n">
        <v>135</v>
      </c>
      <c r="J233" s="7" t="n">
        <v>227.7</v>
      </c>
      <c r="L233" s="7" t="n">
        <v>109.5</v>
      </c>
      <c r="N233" s="7" t="n">
        <v>153</v>
      </c>
      <c r="P233" s="7" t="n">
        <v>181.7</v>
      </c>
      <c r="R233" s="7" t="n">
        <v>62.1</v>
      </c>
      <c r="T233" s="7" t="n">
        <v>165.2</v>
      </c>
      <c r="V233" s="7" t="n">
        <v>196.7</v>
      </c>
      <c r="X233" s="7" t="n">
        <v>80.09999999999999</v>
      </c>
      <c r="Z233" s="7" t="n">
        <v>65.2</v>
      </c>
      <c r="AB233" s="7" t="n">
        <v>1509.9</v>
      </c>
    </row>
    <row r="234">
      <c r="A234" s="4" t="inlineStr">
        <is>
          <t>质量赔偿</t>
        </is>
      </c>
      <c r="D234" s="7" t="n">
        <v>77.2</v>
      </c>
      <c r="F234" s="7" t="n">
        <v>53.7</v>
      </c>
      <c r="H234" s="7" t="n">
        <v>127.1</v>
      </c>
      <c r="J234" s="7" t="n">
        <v>233.4</v>
      </c>
      <c r="L234" s="7" t="n">
        <v>146</v>
      </c>
      <c r="N234" s="7" t="n">
        <v>167.7</v>
      </c>
      <c r="P234" s="7" t="n">
        <v>218.9</v>
      </c>
      <c r="R234" s="7" t="n">
        <v>87.3</v>
      </c>
      <c r="T234" s="7" t="n">
        <v>165.3</v>
      </c>
      <c r="V234" s="7" t="n">
        <v>169.5</v>
      </c>
      <c r="X234" s="7" t="n">
        <v>98</v>
      </c>
      <c r="Z234" s="7" t="n">
        <v>96.3</v>
      </c>
      <c r="AB234" s="7" t="n">
        <v>1640.4</v>
      </c>
    </row>
    <row r="235">
      <c r="A235" s="4" t="inlineStr">
        <is>
          <t>保险费</t>
        </is>
      </c>
      <c r="D235" s="7" t="n">
        <v>128.7</v>
      </c>
      <c r="F235" s="7" t="n">
        <v>116.4</v>
      </c>
      <c r="H235" s="7" t="n">
        <v>121.3</v>
      </c>
      <c r="J235" s="7" t="n">
        <v>356.8</v>
      </c>
      <c r="L235" s="7" t="n">
        <v>257.9</v>
      </c>
      <c r="N235" s="7" t="n">
        <v>264.9</v>
      </c>
      <c r="P235" s="7" t="n">
        <v>222.2</v>
      </c>
      <c r="R235" s="7" t="n">
        <v>91.09999999999999</v>
      </c>
      <c r="T235" s="7" t="n">
        <v>296.1</v>
      </c>
      <c r="V235" s="7" t="n">
        <v>257.6</v>
      </c>
      <c r="X235" s="7" t="n">
        <v>134.8</v>
      </c>
      <c r="Z235" s="7" t="n">
        <v>121.4</v>
      </c>
      <c r="AB235" s="7" t="n">
        <v>2369.2</v>
      </c>
    </row>
    <row r="236">
      <c r="A236" s="4" t="inlineStr">
        <is>
          <t>清洁费</t>
        </is>
      </c>
      <c r="D236" s="7" t="n">
        <v>89.5</v>
      </c>
      <c r="F236" s="7" t="n">
        <v>93.90000000000001</v>
      </c>
      <c r="H236" s="7" t="n">
        <v>106.3</v>
      </c>
      <c r="J236" s="7" t="n">
        <v>224.5</v>
      </c>
      <c r="L236" s="7" t="n">
        <v>155.2</v>
      </c>
      <c r="N236" s="7" t="n">
        <v>189.3</v>
      </c>
      <c r="P236" s="7" t="n">
        <v>225.5</v>
      </c>
      <c r="R236" s="7" t="n">
        <v>64.90000000000001</v>
      </c>
      <c r="T236" s="7" t="n">
        <v>247.1</v>
      </c>
      <c r="V236" s="7" t="n">
        <v>234.3</v>
      </c>
      <c r="X236" s="7" t="n">
        <v>75.7</v>
      </c>
      <c r="Z236" s="7" t="n">
        <v>128.7</v>
      </c>
      <c r="AB236" s="7" t="n">
        <v>1834.9</v>
      </c>
    </row>
    <row r="237">
      <c r="A237" s="4" t="inlineStr">
        <is>
          <t>低值易耗品</t>
        </is>
      </c>
      <c r="D237" s="7" t="n">
        <v>111.6</v>
      </c>
      <c r="F237" s="7" t="n">
        <v>108.3</v>
      </c>
      <c r="H237" s="7" t="n">
        <v>123.1</v>
      </c>
      <c r="J237" s="7" t="n">
        <v>191.3</v>
      </c>
      <c r="L237" s="7" t="n">
        <v>213.1</v>
      </c>
      <c r="N237" s="7" t="n">
        <v>137</v>
      </c>
      <c r="P237" s="7" t="n">
        <v>233.5</v>
      </c>
      <c r="R237" s="7" t="n">
        <v>120.2</v>
      </c>
      <c r="T237" s="7" t="n">
        <v>227.6</v>
      </c>
      <c r="V237" s="7" t="n">
        <v>318.4</v>
      </c>
      <c r="X237" s="7" t="n">
        <v>79</v>
      </c>
      <c r="Z237" s="7" t="n">
        <v>92.7</v>
      </c>
      <c r="AB237" s="7" t="n">
        <v>1955.8</v>
      </c>
    </row>
    <row r="238">
      <c r="A238" s="4" t="inlineStr">
        <is>
          <t>物料消耗</t>
        </is>
      </c>
      <c r="D238" s="7" t="n">
        <v>47.9</v>
      </c>
      <c r="F238" s="7" t="n">
        <v>21.9</v>
      </c>
      <c r="H238" s="7" t="n">
        <v>59.3</v>
      </c>
      <c r="J238" s="7" t="n">
        <v>80.90000000000001</v>
      </c>
      <c r="L238" s="7" t="n">
        <v>46.4</v>
      </c>
      <c r="N238" s="7" t="n">
        <v>43.4</v>
      </c>
      <c r="P238" s="7" t="n">
        <v>85</v>
      </c>
      <c r="R238" s="7" t="n">
        <v>36.5</v>
      </c>
      <c r="T238" s="7" t="n">
        <v>70.7</v>
      </c>
      <c r="V238" s="7" t="n">
        <v>79.2</v>
      </c>
      <c r="X238" s="7" t="n">
        <v>37.4</v>
      </c>
      <c r="Z238" s="7" t="n">
        <v>36.9</v>
      </c>
      <c r="AB238" s="7" t="n">
        <v>645.5</v>
      </c>
    </row>
    <row r="239">
      <c r="A239" s="4" t="inlineStr">
        <is>
          <t>盘盈盘亏</t>
        </is>
      </c>
      <c r="D239" s="7" t="n">
        <v>81.90000000000001</v>
      </c>
      <c r="F239" s="7" t="n">
        <v>80.90000000000001</v>
      </c>
      <c r="H239" s="7" t="n">
        <v>125.1</v>
      </c>
      <c r="J239" s="7" t="n">
        <v>291.7</v>
      </c>
      <c r="L239" s="7" t="n">
        <v>197</v>
      </c>
      <c r="N239" s="7" t="n">
        <v>203.1</v>
      </c>
      <c r="P239" s="7" t="n">
        <v>239.7</v>
      </c>
      <c r="R239" s="7" t="n">
        <v>96.2</v>
      </c>
      <c r="T239" s="7" t="n">
        <v>218.3</v>
      </c>
      <c r="V239" s="7" t="n">
        <v>166.9</v>
      </c>
      <c r="X239" s="7" t="n">
        <v>97.3</v>
      </c>
      <c r="Z239" s="7" t="n">
        <v>83.5</v>
      </c>
      <c r="AB239" s="7" t="n">
        <v>1881.6</v>
      </c>
    </row>
    <row r="240">
      <c r="A240" s="4" t="inlineStr">
        <is>
          <t>平台服务费</t>
        </is>
      </c>
      <c r="D240" s="7" t="n">
        <v>107.5</v>
      </c>
      <c r="F240" s="7" t="n">
        <v>67.40000000000001</v>
      </c>
      <c r="H240" s="7" t="n">
        <v>132.8</v>
      </c>
      <c r="J240" s="7" t="n">
        <v>172.9</v>
      </c>
      <c r="L240" s="7" t="n">
        <v>129.9</v>
      </c>
      <c r="N240" s="7" t="n">
        <v>94.09999999999999</v>
      </c>
      <c r="P240" s="7" t="n">
        <v>138.4</v>
      </c>
      <c r="R240" s="7" t="n">
        <v>61.4</v>
      </c>
      <c r="T240" s="7" t="n">
        <v>151.6</v>
      </c>
      <c r="V240" s="7" t="n">
        <v>158.2</v>
      </c>
      <c r="X240" s="7" t="n">
        <v>81.8</v>
      </c>
      <c r="Z240" s="7" t="n">
        <v>102.6</v>
      </c>
      <c r="AB240" s="7" t="n">
        <v>1398.6</v>
      </c>
    </row>
    <row r="241">
      <c r="A241" s="4" t="inlineStr">
        <is>
          <t>无形资产摊销</t>
        </is>
      </c>
      <c r="D241" s="7" t="n">
        <v>3.9</v>
      </c>
      <c r="F241" s="7" t="n">
        <v>2.3</v>
      </c>
      <c r="H241" s="7" t="n">
        <v>4.3</v>
      </c>
      <c r="J241" s="7" t="n">
        <v>8.1</v>
      </c>
      <c r="L241" s="7" t="n">
        <v>5</v>
      </c>
      <c r="N241" s="7" t="n">
        <v>3.3</v>
      </c>
      <c r="P241" s="7" t="n">
        <v>4.9</v>
      </c>
      <c r="R241" s="7" t="n">
        <v>2.6</v>
      </c>
      <c r="T241" s="7" t="n">
        <v>6.4</v>
      </c>
      <c r="V241" s="7" t="n">
        <v>7.5</v>
      </c>
      <c r="X241" s="7" t="n">
        <v>2.8</v>
      </c>
      <c r="Z241" s="7" t="n">
        <v>4</v>
      </c>
      <c r="AB241" s="7" t="n">
        <v>55.1</v>
      </c>
    </row>
    <row r="242">
      <c r="A242" s="4" t="inlineStr">
        <is>
          <t>研发材料</t>
        </is>
      </c>
      <c r="D242" s="7" t="n">
        <v>10.4</v>
      </c>
      <c r="F242" s="7" t="n">
        <v>11.3</v>
      </c>
      <c r="H242" s="7" t="n">
        <v>13.9</v>
      </c>
      <c r="J242" s="7" t="n">
        <v>33.6</v>
      </c>
      <c r="L242" s="7" t="n">
        <v>29.7</v>
      </c>
      <c r="N242" s="7" t="n">
        <v>17.3</v>
      </c>
      <c r="P242" s="7" t="n">
        <v>36.2</v>
      </c>
      <c r="R242" s="7" t="n">
        <v>13.5</v>
      </c>
      <c r="T242" s="7" t="n">
        <v>31.6</v>
      </c>
      <c r="V242" s="7" t="n">
        <v>32.6</v>
      </c>
      <c r="X242" s="7" t="n">
        <v>17</v>
      </c>
      <c r="Z242" s="7" t="n">
        <v>12.7</v>
      </c>
      <c r="AB242" s="7" t="n">
        <v>259.8</v>
      </c>
    </row>
    <row r="243">
      <c r="A243" s="4" t="inlineStr">
        <is>
          <t>项目名称</t>
        </is>
      </c>
      <c r="D243" s="7" t="n">
        <v>52.1</v>
      </c>
      <c r="F243" s="7" t="n">
        <v>38.6</v>
      </c>
      <c r="H243" s="7" t="n">
        <v>76.09999999999999</v>
      </c>
      <c r="J243" s="7" t="n">
        <v>121.9</v>
      </c>
      <c r="L243" s="7" t="n">
        <v>103.6</v>
      </c>
      <c r="N243" s="7" t="n">
        <v>96.09999999999999</v>
      </c>
      <c r="P243" s="7" t="n">
        <v>165.2</v>
      </c>
      <c r="R243" s="7" t="n">
        <v>70</v>
      </c>
      <c r="T243" s="7" t="n">
        <v>83.90000000000001</v>
      </c>
      <c r="V243" s="7" t="n">
        <v>169.2</v>
      </c>
      <c r="X243" s="7" t="n">
        <v>62.6</v>
      </c>
      <c r="Z243" s="7" t="n">
        <v>76.3</v>
      </c>
      <c r="AB243" s="7" t="n">
        <v>1115.6</v>
      </c>
    </row>
    <row r="244">
      <c r="A244" s="4" t="inlineStr">
        <is>
          <t>研发费</t>
        </is>
      </c>
      <c r="D244" s="7" t="n">
        <v>90.59999999999999</v>
      </c>
      <c r="F244" s="7" t="n">
        <v>62.7</v>
      </c>
      <c r="H244" s="7" t="n">
        <v>150.2</v>
      </c>
      <c r="J244" s="7" t="n">
        <v>213.1</v>
      </c>
      <c r="L244" s="7" t="n">
        <v>110.8</v>
      </c>
      <c r="N244" s="7" t="n">
        <v>160.9</v>
      </c>
      <c r="P244" s="7" t="n">
        <v>218.2</v>
      </c>
      <c r="R244" s="7" t="n">
        <v>72.2</v>
      </c>
      <c r="T244" s="7" t="n">
        <v>205.3</v>
      </c>
      <c r="V244" s="7" t="n">
        <v>163.7</v>
      </c>
      <c r="X244" s="7" t="n">
        <v>108.9</v>
      </c>
      <c r="Z244" s="7" t="n">
        <v>129.1</v>
      </c>
      <c r="AB244" s="7" t="n">
        <v>1685.7</v>
      </c>
    </row>
    <row r="245">
      <c r="A245" s="4" t="inlineStr">
        <is>
          <t>残保金</t>
        </is>
      </c>
      <c r="D245" s="7" t="n">
        <v>26.6</v>
      </c>
      <c r="F245" s="7" t="n">
        <v>14.6</v>
      </c>
      <c r="H245" s="7" t="n">
        <v>20.2</v>
      </c>
      <c r="J245" s="7" t="n">
        <v>62.6</v>
      </c>
      <c r="L245" s="7" t="n">
        <v>37.6</v>
      </c>
      <c r="N245" s="7" t="n">
        <v>38.7</v>
      </c>
      <c r="P245" s="7" t="n">
        <v>46.3</v>
      </c>
      <c r="R245" s="7" t="n">
        <v>22.6</v>
      </c>
      <c r="T245" s="7" t="n">
        <v>33.7</v>
      </c>
      <c r="V245" s="7" t="n">
        <v>52.2</v>
      </c>
      <c r="X245" s="7" t="n">
        <v>14.3</v>
      </c>
      <c r="Z245" s="7" t="n">
        <v>27</v>
      </c>
      <c r="AB245" s="7" t="n">
        <v>396.4</v>
      </c>
    </row>
    <row r="246">
      <c r="A246" s="4" t="inlineStr">
        <is>
          <t>环保费</t>
        </is>
      </c>
      <c r="D246" s="7" t="n">
        <v>85.7</v>
      </c>
      <c r="F246" s="7" t="n">
        <v>63.1</v>
      </c>
      <c r="H246" s="7" t="n">
        <v>130.6</v>
      </c>
      <c r="J246" s="7" t="n">
        <v>172</v>
      </c>
      <c r="L246" s="7" t="n">
        <v>180.1</v>
      </c>
      <c r="N246" s="7" t="n">
        <v>175.4</v>
      </c>
      <c r="P246" s="7" t="n">
        <v>173.3</v>
      </c>
      <c r="R246" s="7" t="n">
        <v>90.3</v>
      </c>
      <c r="T246" s="7" t="n">
        <v>203.4</v>
      </c>
      <c r="V246" s="7" t="n">
        <v>156.8</v>
      </c>
      <c r="X246" s="7" t="n">
        <v>75.59999999999999</v>
      </c>
      <c r="Z246" s="7" t="n">
        <v>109.8</v>
      </c>
      <c r="AB246" s="7" t="n">
        <v>1616.1</v>
      </c>
    </row>
    <row r="247">
      <c r="A247" s="4" t="inlineStr">
        <is>
          <t>报废损失</t>
        </is>
      </c>
      <c r="D247" s="7" t="n">
        <v>142.6</v>
      </c>
      <c r="F247" s="7" t="n">
        <v>96.2</v>
      </c>
      <c r="H247" s="7" t="n">
        <v>134.4</v>
      </c>
      <c r="J247" s="7" t="n">
        <v>175.3</v>
      </c>
      <c r="L247" s="7" t="n">
        <v>230</v>
      </c>
      <c r="N247" s="7" t="n">
        <v>143.4</v>
      </c>
      <c r="P247" s="7" t="n">
        <v>213</v>
      </c>
      <c r="R247" s="7" t="n">
        <v>124.3</v>
      </c>
      <c r="T247" s="7" t="n">
        <v>259.5</v>
      </c>
      <c r="V247" s="7" t="n">
        <v>267.3</v>
      </c>
      <c r="X247" s="7" t="n">
        <v>120.7</v>
      </c>
      <c r="Z247" s="7" t="n">
        <v>146.1</v>
      </c>
      <c r="AB247" s="7" t="n">
        <v>2052.8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9234.799999999999</v>
      </c>
      <c r="D248" s="7" t="n">
        <v>-1086.5</v>
      </c>
      <c r="E248" s="7" t="n">
        <v>8805.200000000001</v>
      </c>
      <c r="F248" s="7" t="n">
        <v>16213.4</v>
      </c>
      <c r="G248" s="7" t="n">
        <v>8465.200000000001</v>
      </c>
      <c r="H248" s="7" t="n">
        <v>12570.4</v>
      </c>
      <c r="I248" s="7" t="n">
        <v>8979.9</v>
      </c>
      <c r="J248" s="7" t="n">
        <v>12371</v>
      </c>
      <c r="K248" s="7" t="n">
        <v>8991.200000000001</v>
      </c>
      <c r="L248" s="7" t="n">
        <v>10500.1</v>
      </c>
      <c r="M248" s="7" t="n">
        <v>7764.4</v>
      </c>
      <c r="N248" s="7" t="n">
        <v>16642.6</v>
      </c>
      <c r="O248" s="7" t="n">
        <v>7548.1</v>
      </c>
      <c r="P248" s="7" t="n">
        <v>9447.200000000001</v>
      </c>
      <c r="Q248" s="7" t="n">
        <v>7347.7</v>
      </c>
      <c r="R248" s="7" t="n">
        <v>2214</v>
      </c>
      <c r="S248" s="7" t="n">
        <v>7892.4</v>
      </c>
      <c r="T248" s="7" t="n">
        <v>16382</v>
      </c>
      <c r="U248" s="7" t="n">
        <v>7160.1</v>
      </c>
      <c r="V248" s="7" t="n">
        <v>7584.7</v>
      </c>
      <c r="W248" s="7" t="n">
        <v>8158.5</v>
      </c>
      <c r="X248" s="7" t="n">
        <v>509.8</v>
      </c>
      <c r="Y248" s="7" t="n">
        <v>7883.6</v>
      </c>
      <c r="Z248" s="7" t="n">
        <v>-4744.5</v>
      </c>
      <c r="AA248" s="8" t="n">
        <v>98231.10000000001</v>
      </c>
      <c r="AB248" s="8" t="n">
        <v>98604.2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3075.4</v>
      </c>
      <c r="E250" s="7" t="n">
        <v>0</v>
      </c>
      <c r="F250" s="7" t="n">
        <v>500.5</v>
      </c>
      <c r="G250" s="7" t="n">
        <v>0</v>
      </c>
      <c r="H250" s="7" t="n">
        <v>-1118.7</v>
      </c>
      <c r="I250" s="7" t="n">
        <v>0</v>
      </c>
      <c r="J250" s="7" t="n">
        <v>-2092</v>
      </c>
      <c r="K250" s="7" t="n">
        <v>0</v>
      </c>
      <c r="L250" s="7" t="n">
        <v>2129.2</v>
      </c>
      <c r="M250" s="7" t="n">
        <v>0</v>
      </c>
      <c r="N250" s="7" t="n">
        <v>-2549.3</v>
      </c>
      <c r="O250" s="7" t="n">
        <v>0</v>
      </c>
      <c r="P250" s="7" t="n">
        <v>1677.5</v>
      </c>
      <c r="Q250" s="7" t="n">
        <v>0</v>
      </c>
      <c r="R250" s="7" t="n">
        <v>4357.2</v>
      </c>
      <c r="S250" s="7" t="n">
        <v>0</v>
      </c>
      <c r="T250" s="7" t="n">
        <v>3625</v>
      </c>
      <c r="U250" s="7" t="n">
        <v>0</v>
      </c>
      <c r="V250" s="7" t="n">
        <v>-2673.3</v>
      </c>
      <c r="W250" s="7" t="n">
        <v>0</v>
      </c>
      <c r="X250" s="7" t="n">
        <v>499.5</v>
      </c>
      <c r="Y250" s="7" t="n">
        <v>0</v>
      </c>
      <c r="Z250" s="7" t="n">
        <v>-4065.3</v>
      </c>
      <c r="AA250" s="7" t="n">
        <v>0</v>
      </c>
      <c r="AB250" s="7" t="n">
        <v>3365.7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17345.7</v>
      </c>
      <c r="D255" s="7" t="n">
        <v>9775.5</v>
      </c>
      <c r="E255" s="7" t="n">
        <v>16942.7</v>
      </c>
      <c r="F255" s="7" t="n">
        <v>24605.6</v>
      </c>
      <c r="G255" s="7" t="n">
        <v>17438.7</v>
      </c>
      <c r="H255" s="7" t="n">
        <v>26413.9</v>
      </c>
      <c r="I255" s="7" t="n">
        <v>19680.2</v>
      </c>
      <c r="J255" s="7" t="n">
        <v>8284.1</v>
      </c>
      <c r="K255" s="7" t="n">
        <v>20615</v>
      </c>
      <c r="L255" s="7" t="n">
        <v>14960.1</v>
      </c>
      <c r="M255" s="7" t="n">
        <v>16196.7</v>
      </c>
      <c r="N255" s="7" t="n">
        <v>7787.3</v>
      </c>
      <c r="O255" s="7" t="n">
        <v>18588.6</v>
      </c>
      <c r="P255" s="7" t="n">
        <v>29808.8</v>
      </c>
      <c r="Q255" s="7" t="n">
        <v>16005.2</v>
      </c>
      <c r="R255" s="7" t="n">
        <v>14717.5</v>
      </c>
      <c r="S255" s="7" t="n">
        <v>18055.2</v>
      </c>
      <c r="T255" s="7" t="n">
        <v>24607.9</v>
      </c>
      <c r="U255" s="7" t="n">
        <v>18295.2</v>
      </c>
      <c r="V255" s="7" t="n">
        <v>17556.2</v>
      </c>
      <c r="W255" s="7" t="n">
        <v>20025.2</v>
      </c>
      <c r="X255" s="7" t="n">
        <v>12734.6</v>
      </c>
      <c r="Y255" s="7" t="n">
        <v>16322.2</v>
      </c>
      <c r="Z255" s="7" t="n">
        <v>28774.7</v>
      </c>
      <c r="AA255" s="7" t="n">
        <v>215510.6</v>
      </c>
      <c r="AB255" s="7" t="n">
        <v>220026.2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123778.6</v>
      </c>
      <c r="D256" s="7" t="n">
        <v>66188.8</v>
      </c>
      <c r="E256" s="7" t="n">
        <v>114934.1</v>
      </c>
      <c r="F256" s="7" t="n">
        <v>111935.9</v>
      </c>
      <c r="G256" s="7" t="n">
        <v>139302.1</v>
      </c>
      <c r="H256" s="7" t="n">
        <v>110145.1</v>
      </c>
      <c r="I256" s="7" t="n">
        <v>125771.1</v>
      </c>
      <c r="J256" s="7" t="n">
        <v>88874.39999999999</v>
      </c>
      <c r="K256" s="7" t="n">
        <v>137431.1</v>
      </c>
      <c r="L256" s="7" t="n">
        <v>129956.9</v>
      </c>
      <c r="M256" s="7" t="n">
        <v>147152.3</v>
      </c>
      <c r="N256" s="7" t="n">
        <v>104796.7</v>
      </c>
      <c r="O256" s="7" t="n">
        <v>138722.3</v>
      </c>
      <c r="P256" s="7" t="n">
        <v>221447.3</v>
      </c>
      <c r="Q256" s="7" t="n">
        <v>125298.5</v>
      </c>
      <c r="R256" s="7" t="n">
        <v>164611.1</v>
      </c>
      <c r="S256" s="7" t="n">
        <v>126827.1</v>
      </c>
      <c r="T256" s="7" t="n">
        <v>146394.5</v>
      </c>
      <c r="U256" s="7" t="n">
        <v>114466.2</v>
      </c>
      <c r="V256" s="7" t="n">
        <v>210729.2</v>
      </c>
      <c r="W256" s="7" t="n">
        <v>122807</v>
      </c>
      <c r="X256" s="7" t="n">
        <v>115930</v>
      </c>
      <c r="Y256" s="7" t="n">
        <v>126017.8</v>
      </c>
      <c r="Z256" s="7" t="n">
        <v>68196.5</v>
      </c>
      <c r="AA256" s="8" t="n">
        <v>1542508.2</v>
      </c>
      <c r="AB256" s="8" t="n">
        <v>1539206.4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136.6</v>
      </c>
      <c r="E257" s="7" t="n">
        <v>0</v>
      </c>
      <c r="F257" s="7" t="n">
        <v>1017.9</v>
      </c>
      <c r="G257" s="7" t="n">
        <v>0</v>
      </c>
      <c r="H257" s="7" t="n">
        <v>4134.6</v>
      </c>
      <c r="I257" s="7" t="n">
        <v>0</v>
      </c>
      <c r="J257" s="7" t="n">
        <v>2319.2</v>
      </c>
      <c r="K257" s="7" t="n">
        <v>0</v>
      </c>
      <c r="L257" s="7" t="n">
        <v>1808.3</v>
      </c>
      <c r="M257" s="7" t="n">
        <v>0</v>
      </c>
      <c r="N257" s="7" t="n">
        <v>4027.5</v>
      </c>
      <c r="O257" s="7" t="n">
        <v>0</v>
      </c>
      <c r="P257" s="7" t="n">
        <v>3773.5</v>
      </c>
      <c r="Q257" s="7" t="n">
        <v>0</v>
      </c>
      <c r="R257" s="7" t="n">
        <v>2403.4</v>
      </c>
      <c r="S257" s="7" t="n">
        <v>0</v>
      </c>
      <c r="T257" s="7" t="n">
        <v>4974.5</v>
      </c>
      <c r="U257" s="7" t="n">
        <v>0</v>
      </c>
      <c r="V257" s="7" t="n">
        <v>3763.2</v>
      </c>
      <c r="W257" s="7" t="n">
        <v>0</v>
      </c>
      <c r="X257" s="7" t="n">
        <v>2405.8</v>
      </c>
      <c r="Y257" s="7" t="n">
        <v>0</v>
      </c>
      <c r="Z257" s="7" t="n">
        <v>3613.3</v>
      </c>
      <c r="AA257" s="7" t="n">
        <v>0</v>
      </c>
      <c r="AB257" s="7" t="n">
        <v>34377.8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649.5</v>
      </c>
      <c r="E258" s="7" t="n">
        <v>0</v>
      </c>
      <c r="F258" s="7" t="n">
        <v>1460</v>
      </c>
      <c r="G258" s="7" t="n">
        <v>0</v>
      </c>
      <c r="H258" s="7" t="n">
        <v>920.7</v>
      </c>
      <c r="I258" s="7" t="n">
        <v>0</v>
      </c>
      <c r="J258" s="7" t="n">
        <v>684.8</v>
      </c>
      <c r="K258" s="7" t="n">
        <v>0</v>
      </c>
      <c r="L258" s="7" t="n">
        <v>47.8</v>
      </c>
      <c r="M258" s="7" t="n">
        <v>0</v>
      </c>
      <c r="N258" s="7" t="n">
        <v>557.1</v>
      </c>
      <c r="O258" s="7" t="n">
        <v>0</v>
      </c>
      <c r="P258" s="7" t="n">
        <v>1326.9</v>
      </c>
      <c r="Q258" s="7" t="n">
        <v>0</v>
      </c>
      <c r="R258" s="7" t="n">
        <v>2464</v>
      </c>
      <c r="S258" s="7" t="n">
        <v>0</v>
      </c>
      <c r="T258" s="7" t="n">
        <v>2521.6</v>
      </c>
      <c r="U258" s="7" t="n">
        <v>0</v>
      </c>
      <c r="V258" s="7" t="n">
        <v>1509.8</v>
      </c>
      <c r="W258" s="7" t="n">
        <v>0</v>
      </c>
      <c r="X258" s="7" t="n">
        <v>973</v>
      </c>
      <c r="Y258" s="7" t="n">
        <v>0</v>
      </c>
      <c r="Z258" s="7" t="n">
        <v>1377.1</v>
      </c>
      <c r="AA258" s="7" t="n">
        <v>0</v>
      </c>
      <c r="AB258" s="7" t="n">
        <v>14492.3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110925.2</v>
      </c>
      <c r="D259" s="7" t="n">
        <v>61966.9</v>
      </c>
      <c r="E259" s="7" t="n">
        <v>125216.5</v>
      </c>
      <c r="F259" s="7" t="n">
        <v>101857.4</v>
      </c>
      <c r="G259" s="7" t="n">
        <v>118822.8</v>
      </c>
      <c r="H259" s="7" t="n">
        <v>111524.6</v>
      </c>
      <c r="I259" s="7" t="n">
        <v>109561</v>
      </c>
      <c r="J259" s="7" t="n">
        <v>85894.10000000001</v>
      </c>
      <c r="K259" s="7" t="n">
        <v>134312.5</v>
      </c>
      <c r="L259" s="7" t="n">
        <v>136989.6</v>
      </c>
      <c r="M259" s="7" t="n">
        <v>123699.6</v>
      </c>
      <c r="N259" s="7" t="n">
        <v>102584</v>
      </c>
      <c r="O259" s="7" t="n">
        <v>117135.3</v>
      </c>
      <c r="P259" s="7" t="n">
        <v>222690.8</v>
      </c>
      <c r="Q259" s="7" t="n">
        <v>127590.5</v>
      </c>
      <c r="R259" s="7" t="n">
        <v>180455.4</v>
      </c>
      <c r="S259" s="7" t="n">
        <v>111769.2</v>
      </c>
      <c r="T259" s="7" t="n">
        <v>157915.8</v>
      </c>
      <c r="U259" s="7" t="n">
        <v>141329.8</v>
      </c>
      <c r="V259" s="7" t="n">
        <v>197492.7</v>
      </c>
      <c r="W259" s="7" t="n">
        <v>117122</v>
      </c>
      <c r="X259" s="7" t="n">
        <v>116305.5</v>
      </c>
      <c r="Y259" s="7" t="n">
        <v>122197.3</v>
      </c>
      <c r="Z259" s="7" t="n">
        <v>65472.2</v>
      </c>
      <c r="AA259" s="8" t="n">
        <v>1459681.7</v>
      </c>
      <c r="AB259" s="8" t="n">
        <v>1541149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34290.2</v>
      </c>
      <c r="D260" s="7" t="n">
        <v>15491.7</v>
      </c>
      <c r="E260" s="7" t="n">
        <v>36604.5</v>
      </c>
      <c r="F260" s="7" t="n">
        <v>25464.3</v>
      </c>
      <c r="G260" s="7" t="n">
        <v>31152.6</v>
      </c>
      <c r="H260" s="7" t="n">
        <v>27881.2</v>
      </c>
      <c r="I260" s="7" t="n">
        <v>31313.3</v>
      </c>
      <c r="J260" s="7" t="n">
        <v>21473.5</v>
      </c>
      <c r="K260" s="7" t="n">
        <v>28623.9</v>
      </c>
      <c r="L260" s="7" t="n">
        <v>34247.4</v>
      </c>
      <c r="M260" s="7" t="n">
        <v>33106.5</v>
      </c>
      <c r="N260" s="7" t="n">
        <v>25646</v>
      </c>
      <c r="O260" s="7" t="n">
        <v>29389.9</v>
      </c>
      <c r="P260" s="7" t="n">
        <v>55672.7</v>
      </c>
      <c r="Q260" s="7" t="n">
        <v>32386.7</v>
      </c>
      <c r="R260" s="7" t="n">
        <v>45113.8</v>
      </c>
      <c r="S260" s="7" t="n">
        <v>34245.9</v>
      </c>
      <c r="T260" s="7" t="n">
        <v>39478.9</v>
      </c>
      <c r="U260" s="7" t="n">
        <v>35342.7</v>
      </c>
      <c r="V260" s="7" t="n">
        <v>49373.2</v>
      </c>
      <c r="W260" s="7" t="n">
        <v>33141.6</v>
      </c>
      <c r="X260" s="7" t="n">
        <v>29076.4</v>
      </c>
      <c r="Y260" s="7" t="n">
        <v>31206</v>
      </c>
      <c r="Z260" s="7" t="n">
        <v>16368</v>
      </c>
      <c r="AA260" s="7" t="n">
        <v>390803.8</v>
      </c>
      <c r="AB260" s="7" t="n">
        <v>385287.1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70714.3</v>
      </c>
      <c r="D261" s="7" t="n">
        <v>46475.2</v>
      </c>
      <c r="E261" s="7" t="n">
        <v>114458.3</v>
      </c>
      <c r="F261" s="7" t="n">
        <v>76393.10000000001</v>
      </c>
      <c r="G261" s="7" t="n">
        <v>85139.7</v>
      </c>
      <c r="H261" s="7" t="n">
        <v>83643.39999999999</v>
      </c>
      <c r="I261" s="7" t="n">
        <v>89890.7</v>
      </c>
      <c r="J261" s="7" t="n">
        <v>64420.6</v>
      </c>
      <c r="K261" s="7" t="n">
        <v>76521.10000000001</v>
      </c>
      <c r="L261" s="7" t="n">
        <v>102742.2</v>
      </c>
      <c r="M261" s="7" t="n">
        <v>99006.5</v>
      </c>
      <c r="N261" s="7" t="n">
        <v>76938</v>
      </c>
      <c r="O261" s="7" t="n">
        <v>101033.6</v>
      </c>
      <c r="P261" s="7" t="n">
        <v>167018.1</v>
      </c>
      <c r="Q261" s="7" t="n">
        <v>114246.9</v>
      </c>
      <c r="R261" s="7" t="n">
        <v>135341.6</v>
      </c>
      <c r="S261" s="7" t="n">
        <v>77944.7</v>
      </c>
      <c r="T261" s="7" t="n">
        <v>118436.9</v>
      </c>
      <c r="U261" s="7" t="n">
        <v>72637.3</v>
      </c>
      <c r="V261" s="7" t="n">
        <v>148119.5</v>
      </c>
      <c r="W261" s="7" t="n">
        <v>118814.1</v>
      </c>
      <c r="X261" s="7" t="n">
        <v>87229.10000000001</v>
      </c>
      <c r="Y261" s="7" t="n">
        <v>104169.8</v>
      </c>
      <c r="Z261" s="7" t="n">
        <v>49104.2</v>
      </c>
      <c r="AA261" s="8" t="n">
        <v>1124577</v>
      </c>
      <c r="AB261" s="8" t="n">
        <v>1155861.9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9366.9</v>
      </c>
      <c r="E262" s="7" t="n">
        <v>0</v>
      </c>
      <c r="F262" s="7" t="n">
        <v>692.3</v>
      </c>
      <c r="G262" s="7" t="n">
        <v>0</v>
      </c>
      <c r="H262" s="7" t="n">
        <v>6605.6</v>
      </c>
      <c r="I262" s="7" t="n">
        <v>0</v>
      </c>
      <c r="J262" s="7" t="n">
        <v>17751.5</v>
      </c>
      <c r="K262" s="7" t="n">
        <v>0</v>
      </c>
      <c r="L262" s="7" t="n">
        <v>16130</v>
      </c>
      <c r="M262" s="7" t="n">
        <v>0</v>
      </c>
      <c r="N262" s="7" t="n">
        <v>9079.9</v>
      </c>
      <c r="O262" s="7" t="n">
        <v>0</v>
      </c>
      <c r="P262" s="7" t="n">
        <v>34042.8</v>
      </c>
      <c r="Q262" s="7" t="n">
        <v>0</v>
      </c>
      <c r="R262" s="7" t="n">
        <v>7160.9</v>
      </c>
      <c r="S262" s="7" t="n">
        <v>0</v>
      </c>
      <c r="T262" s="7" t="n">
        <v>24655.8</v>
      </c>
      <c r="U262" s="7" t="n">
        <v>0</v>
      </c>
      <c r="V262" s="7" t="n">
        <v>34667.6</v>
      </c>
      <c r="W262" s="7" t="n">
        <v>0</v>
      </c>
      <c r="X262" s="7" t="n">
        <v>20344.1</v>
      </c>
      <c r="Y262" s="7" t="n">
        <v>0</v>
      </c>
      <c r="Z262" s="7" t="n">
        <v>3825.8</v>
      </c>
      <c r="AA262" s="7" t="n">
        <v>0</v>
      </c>
      <c r="AB262" s="7" t="n">
        <v>184323.2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70714.3</v>
      </c>
      <c r="D263" s="7" t="n">
        <v>37108.3</v>
      </c>
      <c r="E263" s="7" t="n">
        <v>114458.3</v>
      </c>
      <c r="F263" s="7" t="n">
        <v>75700.8</v>
      </c>
      <c r="G263" s="7" t="n">
        <v>85139.7</v>
      </c>
      <c r="H263" s="7" t="n">
        <v>77037.8</v>
      </c>
      <c r="I263" s="7" t="n">
        <v>89890.7</v>
      </c>
      <c r="J263" s="7" t="n">
        <v>46669.1</v>
      </c>
      <c r="K263" s="7" t="n">
        <v>76521.10000000001</v>
      </c>
      <c r="L263" s="7" t="n">
        <v>86612.2</v>
      </c>
      <c r="M263" s="7" t="n">
        <v>99006.5</v>
      </c>
      <c r="N263" s="7" t="n">
        <v>67858.10000000001</v>
      </c>
      <c r="O263" s="7" t="n">
        <v>101033.6</v>
      </c>
      <c r="P263" s="7" t="n">
        <v>132975.3</v>
      </c>
      <c r="Q263" s="7" t="n">
        <v>114246.9</v>
      </c>
      <c r="R263" s="7" t="n">
        <v>128180.7</v>
      </c>
      <c r="S263" s="7" t="n">
        <v>77944.7</v>
      </c>
      <c r="T263" s="7" t="n">
        <v>93781.10000000001</v>
      </c>
      <c r="U263" s="7" t="n">
        <v>72637.3</v>
      </c>
      <c r="V263" s="7" t="n">
        <v>113451.9</v>
      </c>
      <c r="W263" s="7" t="n">
        <v>118814.1</v>
      </c>
      <c r="X263" s="7" t="n">
        <v>66885</v>
      </c>
      <c r="Y263" s="7" t="n">
        <v>104169.8</v>
      </c>
      <c r="Z263" s="7" t="n">
        <v>45278.4</v>
      </c>
      <c r="AA263" s="8" t="n">
        <v>1124577</v>
      </c>
      <c r="AB263" s="8" t="n">
        <v>971538.7</v>
      </c>
    </row>
    <row r="264">
      <c r="A264" s="4" t="inlineStr">
        <is>
          <t>净利率</t>
        </is>
      </c>
      <c r="D264" s="13" t="n">
        <v>7.5</v>
      </c>
      <c r="F264" s="13" t="n">
        <v>8.4</v>
      </c>
      <c r="H264" s="13" t="n">
        <v>7.9</v>
      </c>
      <c r="J264" s="13" t="n">
        <v>5.1</v>
      </c>
      <c r="L264" s="13" t="n">
        <v>7.9</v>
      </c>
      <c r="N264" s="13" t="n">
        <v>5.3</v>
      </c>
      <c r="P264" s="13" t="n">
        <v>10.2</v>
      </c>
      <c r="R264" s="13" t="n">
        <v>9.6</v>
      </c>
      <c r="T264" s="13" t="n">
        <v>10.2</v>
      </c>
      <c r="V264" s="13" t="n">
        <v>9.699999999999999</v>
      </c>
      <c r="X264" s="13" t="n">
        <v>7.5</v>
      </c>
      <c r="Z264" s="13" t="n">
        <v>5.7</v>
      </c>
    </row>
    <row r="265">
      <c r="A265" s="4" t="inlineStr">
        <is>
          <t>销售达成率</t>
        </is>
      </c>
      <c r="D265" s="13" t="n">
        <v>54.3</v>
      </c>
      <c r="F265" s="13" t="n">
        <v>71.40000000000001</v>
      </c>
      <c r="H265" s="13" t="n">
        <v>84</v>
      </c>
      <c r="J265" s="13" t="n">
        <v>94.5</v>
      </c>
      <c r="L265" s="13" t="n">
        <v>97.7</v>
      </c>
      <c r="N265" s="13" t="n">
        <v>108.7</v>
      </c>
      <c r="P265" s="13" t="n">
        <v>141.9</v>
      </c>
      <c r="R265" s="13" t="n">
        <v>124</v>
      </c>
      <c r="T265" s="13" t="n">
        <v>91.3</v>
      </c>
      <c r="V265" s="13" t="n">
        <v>118.5</v>
      </c>
      <c r="X265" s="13" t="n">
        <v>87.09999999999999</v>
      </c>
      <c r="Z265" s="13" t="n">
        <v>83</v>
      </c>
    </row>
    <row r="266">
      <c r="A266" s="4" t="inlineStr">
        <is>
          <t>净利达成率</t>
        </is>
      </c>
      <c r="D266" s="13" t="n">
        <v>65.7</v>
      </c>
      <c r="F266" s="13" t="n">
        <v>66.7</v>
      </c>
      <c r="H266" s="13" t="n">
        <v>98.2</v>
      </c>
      <c r="J266" s="13" t="n">
        <v>71.7</v>
      </c>
      <c r="L266" s="13" t="n">
        <v>134.3</v>
      </c>
      <c r="N266" s="13" t="n">
        <v>77.7</v>
      </c>
      <c r="P266" s="13" t="n">
        <v>165.3</v>
      </c>
      <c r="R266" s="13" t="n">
        <v>118.5</v>
      </c>
      <c r="T266" s="13" t="n">
        <v>151.9</v>
      </c>
      <c r="V266" s="13" t="n">
        <v>203.9</v>
      </c>
      <c r="X266" s="13" t="n">
        <v>73.40000000000001</v>
      </c>
      <c r="Z266" s="13" t="n">
        <v>47.1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安徽省区利润表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667532.3</v>
      </c>
      <c r="D6" s="7" t="n">
        <v>395038.8</v>
      </c>
      <c r="E6" s="7" t="n">
        <v>751773.5</v>
      </c>
      <c r="F6" s="7" t="n">
        <v>416150.9</v>
      </c>
      <c r="G6" s="7" t="n">
        <v>583824</v>
      </c>
      <c r="H6" s="7" t="n">
        <v>520227.5</v>
      </c>
      <c r="I6" s="7" t="n">
        <v>585290.2</v>
      </c>
      <c r="J6" s="7" t="n">
        <v>684815.6</v>
      </c>
      <c r="K6" s="7" t="n">
        <v>691237.8</v>
      </c>
      <c r="L6" s="7" t="n">
        <v>757361.5</v>
      </c>
      <c r="M6" s="7" t="n">
        <v>582255.7</v>
      </c>
      <c r="N6" s="7" t="n">
        <v>831209.5</v>
      </c>
      <c r="O6" s="7" t="n">
        <v>624299.6</v>
      </c>
      <c r="P6" s="7" t="n">
        <v>842517.5</v>
      </c>
      <c r="Q6" s="7" t="n">
        <v>696214.7</v>
      </c>
      <c r="R6" s="7" t="n">
        <v>783491.8</v>
      </c>
      <c r="S6" s="7" t="n">
        <v>679198.9</v>
      </c>
      <c r="T6" s="7" t="n">
        <v>747429.8</v>
      </c>
      <c r="U6" s="7" t="n">
        <v>634375.9</v>
      </c>
      <c r="V6" s="7" t="n">
        <v>739886.1</v>
      </c>
      <c r="W6" s="7" t="n">
        <v>768830.8</v>
      </c>
      <c r="X6" s="7" t="n">
        <v>729246</v>
      </c>
      <c r="Y6" s="7" t="n">
        <v>675624</v>
      </c>
      <c r="Z6" s="7" t="n">
        <v>482831.6</v>
      </c>
      <c r="AA6" s="8" t="n">
        <v>7940457.4</v>
      </c>
      <c r="AB6" s="8" t="n">
        <v>7930206.6</v>
      </c>
    </row>
    <row r="7">
      <c r="A7" s="4" t="inlineStr">
        <is>
          <t>中式汤底</t>
        </is>
      </c>
      <c r="D7" s="7" t="n">
        <v>43974.8</v>
      </c>
      <c r="F7" s="7" t="n">
        <v>57672.2</v>
      </c>
      <c r="H7" s="7" t="n">
        <v>56086.2</v>
      </c>
      <c r="J7" s="7" t="n">
        <v>135502.3</v>
      </c>
      <c r="L7" s="7" t="n">
        <v>81961.8</v>
      </c>
      <c r="N7" s="7" t="n">
        <v>107885.7</v>
      </c>
      <c r="P7" s="7" t="n">
        <v>148173.6</v>
      </c>
      <c r="R7" s="7" t="n">
        <v>90277.5</v>
      </c>
      <c r="T7" s="7" t="n">
        <v>77895.10000000001</v>
      </c>
      <c r="V7" s="7" t="n">
        <v>121440.1</v>
      </c>
      <c r="X7" s="7" t="n">
        <v>97632.2</v>
      </c>
      <c r="Z7" s="7" t="n">
        <v>100106.7</v>
      </c>
      <c r="AB7" s="7" t="n">
        <v>1118608.2</v>
      </c>
    </row>
    <row r="8">
      <c r="A8" s="4" t="inlineStr">
        <is>
          <t>酱料</t>
        </is>
      </c>
      <c r="D8" s="7" t="n">
        <v>73520.10000000001</v>
      </c>
      <c r="F8" s="7" t="n">
        <v>80151.60000000001</v>
      </c>
      <c r="H8" s="7" t="n">
        <v>117049.3</v>
      </c>
      <c r="J8" s="7" t="n">
        <v>118024.3</v>
      </c>
      <c r="L8" s="7" t="n">
        <v>158325.3</v>
      </c>
      <c r="N8" s="7" t="n">
        <v>161724.2</v>
      </c>
      <c r="P8" s="7" t="n">
        <v>124690.4</v>
      </c>
      <c r="R8" s="7" t="n">
        <v>131213.1</v>
      </c>
      <c r="T8" s="7" t="n">
        <v>127989.1</v>
      </c>
      <c r="V8" s="7" t="n">
        <v>165846.2</v>
      </c>
      <c r="X8" s="7" t="n">
        <v>129480.1</v>
      </c>
      <c r="Z8" s="7" t="n">
        <v>64498.3</v>
      </c>
      <c r="AB8" s="7" t="n">
        <v>1452512</v>
      </c>
    </row>
    <row r="9">
      <c r="A9" s="4" t="inlineStr">
        <is>
          <t>川味底料</t>
        </is>
      </c>
      <c r="D9" s="7" t="n">
        <v>50455.3</v>
      </c>
      <c r="F9" s="7" t="n">
        <v>41501.4</v>
      </c>
      <c r="H9" s="7" t="n">
        <v>47259.3</v>
      </c>
      <c r="J9" s="7" t="n">
        <v>73146.3</v>
      </c>
      <c r="L9" s="7" t="n">
        <v>79927.10000000001</v>
      </c>
      <c r="N9" s="7" t="n">
        <v>107589.7</v>
      </c>
      <c r="P9" s="7" t="n">
        <v>116129</v>
      </c>
      <c r="R9" s="7" t="n">
        <v>97127.2</v>
      </c>
      <c r="T9" s="7" t="n">
        <v>61761.3</v>
      </c>
      <c r="V9" s="7" t="n">
        <v>116604.1</v>
      </c>
      <c r="X9" s="7" t="n">
        <v>87637.2</v>
      </c>
      <c r="Z9" s="7" t="n">
        <v>58541.2</v>
      </c>
      <c r="AB9" s="7" t="n">
        <v>937679.1</v>
      </c>
    </row>
    <row r="10">
      <c r="A10" s="4" t="inlineStr">
        <is>
          <t>调味汁</t>
        </is>
      </c>
      <c r="D10" s="7" t="n">
        <v>80404.2</v>
      </c>
      <c r="F10" s="7" t="n">
        <v>92965.8</v>
      </c>
      <c r="H10" s="7" t="n">
        <v>99813.39999999999</v>
      </c>
      <c r="J10" s="7" t="n">
        <v>122649.2</v>
      </c>
      <c r="L10" s="7" t="n">
        <v>126544.4</v>
      </c>
      <c r="N10" s="7" t="n">
        <v>174845.8</v>
      </c>
      <c r="P10" s="7" t="n">
        <v>110248.3</v>
      </c>
      <c r="R10" s="7" t="n">
        <v>154959.9</v>
      </c>
      <c r="T10" s="7" t="n">
        <v>143546.7</v>
      </c>
      <c r="V10" s="7" t="n">
        <v>84120.10000000001</v>
      </c>
      <c r="X10" s="7" t="n">
        <v>128736.8</v>
      </c>
      <c r="Z10" s="7" t="n">
        <v>69892.39999999999</v>
      </c>
      <c r="AB10" s="7" t="n">
        <v>1388727</v>
      </c>
    </row>
    <row r="11">
      <c r="A11" s="4" t="inlineStr">
        <is>
          <t>复合调味粉</t>
        </is>
      </c>
      <c r="D11" s="7" t="n">
        <v>53522</v>
      </c>
      <c r="F11" s="7" t="n">
        <v>50173.1</v>
      </c>
      <c r="H11" s="7" t="n">
        <v>67437.60000000001</v>
      </c>
      <c r="J11" s="7" t="n">
        <v>120178.7</v>
      </c>
      <c r="L11" s="7" t="n">
        <v>157834.7</v>
      </c>
      <c r="N11" s="7" t="n">
        <v>151502.2</v>
      </c>
      <c r="P11" s="7" t="n">
        <v>128120</v>
      </c>
      <c r="R11" s="7" t="n">
        <v>115339</v>
      </c>
      <c r="T11" s="7" t="n">
        <v>143955.4</v>
      </c>
      <c r="V11" s="7" t="n">
        <v>113761.5</v>
      </c>
      <c r="X11" s="7" t="n">
        <v>129486.3</v>
      </c>
      <c r="Z11" s="7" t="n">
        <v>50301.1</v>
      </c>
      <c r="AB11" s="7" t="n">
        <v>1281611.6</v>
      </c>
    </row>
    <row r="12">
      <c r="A12" s="4" t="inlineStr">
        <is>
          <t>团餐</t>
        </is>
      </c>
      <c r="D12" s="7" t="n">
        <v>56044</v>
      </c>
      <c r="F12" s="7" t="n">
        <v>43447.7</v>
      </c>
      <c r="H12" s="7" t="n">
        <v>42433.9</v>
      </c>
      <c r="J12" s="7" t="n">
        <v>65126.7</v>
      </c>
      <c r="L12" s="7" t="n">
        <v>82758.7</v>
      </c>
      <c r="N12" s="7" t="n">
        <v>50039.3</v>
      </c>
      <c r="P12" s="7" t="n">
        <v>69825.7</v>
      </c>
      <c r="R12" s="7" t="n">
        <v>78172.3</v>
      </c>
      <c r="T12" s="7" t="n">
        <v>81909</v>
      </c>
      <c r="V12" s="7" t="n">
        <v>62662.9</v>
      </c>
      <c r="X12" s="7" t="n">
        <v>52476</v>
      </c>
      <c r="Z12" s="7" t="n">
        <v>62459.1</v>
      </c>
      <c r="AB12" s="7" t="n">
        <v>747355.3</v>
      </c>
    </row>
    <row r="13">
      <c r="A13" s="4" t="inlineStr">
        <is>
          <t>预制菜</t>
        </is>
      </c>
      <c r="D13" s="7" t="n">
        <v>41831.3</v>
      </c>
      <c r="F13" s="7" t="n">
        <v>54583.4</v>
      </c>
      <c r="H13" s="7" t="n">
        <v>98961.3</v>
      </c>
      <c r="J13" s="7" t="n">
        <v>59601.9</v>
      </c>
      <c r="L13" s="7" t="n">
        <v>84683.3</v>
      </c>
      <c r="N13" s="7" t="n">
        <v>86426.5</v>
      </c>
      <c r="P13" s="7" t="n">
        <v>151115.3</v>
      </c>
      <c r="R13" s="7" t="n">
        <v>128205.1</v>
      </c>
      <c r="T13" s="7" t="n">
        <v>119071.1</v>
      </c>
      <c r="V13" s="7" t="n">
        <v>80330.39999999999</v>
      </c>
      <c r="X13" s="7" t="n">
        <v>118904.1</v>
      </c>
      <c r="Z13" s="7" t="n">
        <v>83634</v>
      </c>
      <c r="AB13" s="7" t="n">
        <v>1107347.7</v>
      </c>
    </row>
    <row r="14">
      <c r="A14" s="4" t="inlineStr">
        <is>
          <t>返利</t>
        </is>
      </c>
      <c r="D14" s="7" t="n">
        <v>-6770.6</v>
      </c>
      <c r="F14" s="7" t="n">
        <v>-4418.6</v>
      </c>
      <c r="H14" s="7" t="n">
        <v>-10843.5</v>
      </c>
      <c r="J14" s="7" t="n">
        <v>-18525.4</v>
      </c>
      <c r="L14" s="7" t="n">
        <v>-19640.6</v>
      </c>
      <c r="N14" s="7" t="n">
        <v>-16367.9</v>
      </c>
      <c r="P14" s="7" t="n">
        <v>-18284.5</v>
      </c>
      <c r="R14" s="7" t="n">
        <v>-19758.3</v>
      </c>
      <c r="T14" s="7" t="n">
        <v>-22033.5</v>
      </c>
      <c r="V14" s="7" t="n">
        <v>-12324</v>
      </c>
      <c r="X14" s="7" t="n">
        <v>-20153.4</v>
      </c>
      <c r="Z14" s="7" t="n">
        <v>-9094.299999999999</v>
      </c>
      <c r="AB14" s="7" t="n">
        <v>-178214.6</v>
      </c>
    </row>
    <row r="15">
      <c r="A15" s="4" t="inlineStr">
        <is>
          <t>其他</t>
        </is>
      </c>
      <c r="D15" s="7" t="n">
        <v>2057.7</v>
      </c>
      <c r="F15" s="7" t="n">
        <v>74.3</v>
      </c>
      <c r="H15" s="7" t="n">
        <v>2030</v>
      </c>
      <c r="J15" s="7" t="n">
        <v>9111.6</v>
      </c>
      <c r="L15" s="7" t="n">
        <v>4966.8</v>
      </c>
      <c r="N15" s="7" t="n">
        <v>7564</v>
      </c>
      <c r="P15" s="7" t="n">
        <v>12499.7</v>
      </c>
      <c r="R15" s="7" t="n">
        <v>7956</v>
      </c>
      <c r="T15" s="7" t="n">
        <v>13335.6</v>
      </c>
      <c r="V15" s="7" t="n">
        <v>7444.8</v>
      </c>
      <c r="X15" s="7" t="n">
        <v>5046.7</v>
      </c>
      <c r="Z15" s="7" t="n">
        <v>2493.1</v>
      </c>
      <c r="AB15" s="7" t="n">
        <v>74580.3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414836.8</v>
      </c>
      <c r="D16" s="7" t="n">
        <v>270487.5</v>
      </c>
      <c r="E16" s="7" t="n">
        <v>394828.3</v>
      </c>
      <c r="F16" s="7" t="n">
        <v>278929.3</v>
      </c>
      <c r="G16" s="7" t="n">
        <v>410718.2</v>
      </c>
      <c r="H16" s="7" t="n">
        <v>363080.3</v>
      </c>
      <c r="I16" s="7" t="n">
        <v>515483.1</v>
      </c>
      <c r="J16" s="7" t="n">
        <v>461747.2</v>
      </c>
      <c r="K16" s="7" t="n">
        <v>406782.3</v>
      </c>
      <c r="L16" s="7" t="n">
        <v>532700.2</v>
      </c>
      <c r="M16" s="7" t="n">
        <v>400785.8</v>
      </c>
      <c r="N16" s="7" t="n">
        <v>571417.2</v>
      </c>
      <c r="O16" s="7" t="n">
        <v>490628.1</v>
      </c>
      <c r="P16" s="7" t="n">
        <v>576502.6</v>
      </c>
      <c r="Q16" s="7" t="n">
        <v>500773.9</v>
      </c>
      <c r="R16" s="7" t="n">
        <v>534601.6</v>
      </c>
      <c r="S16" s="7" t="n">
        <v>499984.5</v>
      </c>
      <c r="T16" s="7" t="n">
        <v>505969</v>
      </c>
      <c r="U16" s="7" t="n">
        <v>475570.7</v>
      </c>
      <c r="V16" s="7" t="n">
        <v>511825.2</v>
      </c>
      <c r="W16" s="7" t="n">
        <v>453576.8</v>
      </c>
      <c r="X16" s="7" t="n">
        <v>516420.2</v>
      </c>
      <c r="Y16" s="7" t="n">
        <v>469497.2</v>
      </c>
      <c r="Z16" s="7" t="n">
        <v>335461.8</v>
      </c>
      <c r="AA16" s="8" t="n">
        <v>5433465.7</v>
      </c>
      <c r="AB16" s="8" t="n">
        <v>5459142.1</v>
      </c>
    </row>
    <row r="17">
      <c r="A17" s="4" t="inlineStr">
        <is>
          <t>中式汤底</t>
        </is>
      </c>
      <c r="D17" s="7" t="n">
        <v>28772.3</v>
      </c>
      <c r="F17" s="7" t="n">
        <v>37734.4</v>
      </c>
      <c r="H17" s="7" t="n">
        <v>36696.7</v>
      </c>
      <c r="J17" s="7" t="n">
        <v>88657.8</v>
      </c>
      <c r="L17" s="7" t="n">
        <v>53626.8</v>
      </c>
      <c r="N17" s="7" t="n">
        <v>70588.60000000001</v>
      </c>
      <c r="P17" s="7" t="n">
        <v>96948.5</v>
      </c>
      <c r="R17" s="7" t="n">
        <v>59067.7</v>
      </c>
      <c r="T17" s="7" t="n">
        <v>50966</v>
      </c>
      <c r="V17" s="7" t="n">
        <v>79457.10000000001</v>
      </c>
      <c r="X17" s="7" t="n">
        <v>63879.8</v>
      </c>
      <c r="Z17" s="7" t="n">
        <v>65498.8</v>
      </c>
      <c r="AB17" s="7" t="n">
        <v>731894.5</v>
      </c>
    </row>
    <row r="18">
      <c r="A18" s="4" t="inlineStr">
        <is>
          <t>酱料</t>
        </is>
      </c>
      <c r="D18" s="7" t="n">
        <v>47171.1</v>
      </c>
      <c r="F18" s="7" t="n">
        <v>51425.9</v>
      </c>
      <c r="H18" s="7" t="n">
        <v>75099.8</v>
      </c>
      <c r="J18" s="7" t="n">
        <v>75725.39999999999</v>
      </c>
      <c r="L18" s="7" t="n">
        <v>101582.9</v>
      </c>
      <c r="N18" s="7" t="n">
        <v>103763.6</v>
      </c>
      <c r="P18" s="7" t="n">
        <v>80002.39999999999</v>
      </c>
      <c r="R18" s="7" t="n">
        <v>84187.39999999999</v>
      </c>
      <c r="T18" s="7" t="n">
        <v>82118.89999999999</v>
      </c>
      <c r="V18" s="7" t="n">
        <v>106408.3</v>
      </c>
      <c r="X18" s="7" t="n">
        <v>83075.5</v>
      </c>
      <c r="Z18" s="7" t="n">
        <v>41382.7</v>
      </c>
      <c r="AB18" s="7" t="n">
        <v>931943.9</v>
      </c>
    </row>
    <row r="19">
      <c r="A19" s="4" t="inlineStr">
        <is>
          <t>川味底料</t>
        </is>
      </c>
      <c r="D19" s="7" t="n">
        <v>37478.5</v>
      </c>
      <c r="F19" s="7" t="n">
        <v>30827.5</v>
      </c>
      <c r="H19" s="7" t="n">
        <v>35104.5</v>
      </c>
      <c r="J19" s="7" t="n">
        <v>54333.5</v>
      </c>
      <c r="L19" s="7" t="n">
        <v>59370.3</v>
      </c>
      <c r="N19" s="7" t="n">
        <v>79918.2</v>
      </c>
      <c r="P19" s="7" t="n">
        <v>86261.2</v>
      </c>
      <c r="R19" s="7" t="n">
        <v>72146.60000000001</v>
      </c>
      <c r="T19" s="7" t="n">
        <v>45876.6</v>
      </c>
      <c r="V19" s="7" t="n">
        <v>86614.10000000001</v>
      </c>
      <c r="X19" s="7" t="n">
        <v>65097.4</v>
      </c>
      <c r="Z19" s="7" t="n">
        <v>43484.7</v>
      </c>
      <c r="AB19" s="7" t="n">
        <v>696513.1</v>
      </c>
    </row>
    <row r="20">
      <c r="A20" s="4" t="inlineStr">
        <is>
          <t>调味汁</t>
        </is>
      </c>
      <c r="D20" s="7" t="n">
        <v>45200.4</v>
      </c>
      <c r="F20" s="7" t="n">
        <v>52262.1</v>
      </c>
      <c r="H20" s="7" t="n">
        <v>56111.6</v>
      </c>
      <c r="J20" s="7" t="n">
        <v>68949.10000000001</v>
      </c>
      <c r="L20" s="7" t="n">
        <v>71138.8</v>
      </c>
      <c r="N20" s="7" t="n">
        <v>98292.2</v>
      </c>
      <c r="P20" s="7" t="n">
        <v>61977.7</v>
      </c>
      <c r="R20" s="7" t="n">
        <v>87113</v>
      </c>
      <c r="T20" s="7" t="n">
        <v>80696.89999999999</v>
      </c>
      <c r="V20" s="7" t="n">
        <v>47289.4</v>
      </c>
      <c r="X20" s="7" t="n">
        <v>72371.3</v>
      </c>
      <c r="Z20" s="7" t="n">
        <v>39291.1</v>
      </c>
      <c r="AB20" s="7" t="n">
        <v>780693.6</v>
      </c>
    </row>
    <row r="21">
      <c r="A21" s="4" t="inlineStr">
        <is>
          <t>复合调味粉</t>
        </is>
      </c>
      <c r="D21" s="7" t="n">
        <v>34564.3</v>
      </c>
      <c r="F21" s="7" t="n">
        <v>32401.6</v>
      </c>
      <c r="H21" s="7" t="n">
        <v>43551</v>
      </c>
      <c r="J21" s="7" t="n">
        <v>77611</v>
      </c>
      <c r="L21" s="7" t="n">
        <v>101929.1</v>
      </c>
      <c r="N21" s="7" t="n">
        <v>97839.60000000001</v>
      </c>
      <c r="P21" s="7" t="n">
        <v>82739.39999999999</v>
      </c>
      <c r="R21" s="7" t="n">
        <v>74485.5</v>
      </c>
      <c r="T21" s="7" t="n">
        <v>92965.89999999999</v>
      </c>
      <c r="V21" s="7" t="n">
        <v>73466.8</v>
      </c>
      <c r="X21" s="7" t="n">
        <v>83621.8</v>
      </c>
      <c r="Z21" s="7" t="n">
        <v>32484.3</v>
      </c>
      <c r="AB21" s="7" t="n">
        <v>827660.3</v>
      </c>
    </row>
    <row r="22">
      <c r="A22" s="4" t="inlineStr">
        <is>
          <t>团餐</t>
        </is>
      </c>
      <c r="D22" s="7" t="n">
        <v>35325.8</v>
      </c>
      <c r="F22" s="7" t="n">
        <v>27386.1</v>
      </c>
      <c r="H22" s="7" t="n">
        <v>26747.1</v>
      </c>
      <c r="J22" s="7" t="n">
        <v>41050.9</v>
      </c>
      <c r="L22" s="7" t="n">
        <v>52164.7</v>
      </c>
      <c r="N22" s="7" t="n">
        <v>31540.9</v>
      </c>
      <c r="P22" s="7" t="n">
        <v>44012.8</v>
      </c>
      <c r="R22" s="7" t="n">
        <v>49273.8</v>
      </c>
      <c r="T22" s="7" t="n">
        <v>51629.2</v>
      </c>
      <c r="V22" s="7" t="n">
        <v>39497.9</v>
      </c>
      <c r="X22" s="7" t="n">
        <v>33076.9</v>
      </c>
      <c r="Z22" s="7" t="n">
        <v>39369.4</v>
      </c>
      <c r="AB22" s="7" t="n">
        <v>471075.5</v>
      </c>
    </row>
    <row r="23">
      <c r="A23" s="4" t="inlineStr">
        <is>
          <t>预制菜</t>
        </is>
      </c>
      <c r="D23" s="7" t="n">
        <v>28747.3</v>
      </c>
      <c r="F23" s="7" t="n">
        <v>37510.8</v>
      </c>
      <c r="H23" s="7" t="n">
        <v>68008.10000000001</v>
      </c>
      <c r="J23" s="7" t="n">
        <v>40959.6</v>
      </c>
      <c r="L23" s="7" t="n">
        <v>58196</v>
      </c>
      <c r="N23" s="7" t="n">
        <v>59394</v>
      </c>
      <c r="P23" s="7" t="n">
        <v>103849.4</v>
      </c>
      <c r="R23" s="7" t="n">
        <v>88105</v>
      </c>
      <c r="T23" s="7" t="n">
        <v>81828</v>
      </c>
      <c r="V23" s="7" t="n">
        <v>55204.6</v>
      </c>
      <c r="X23" s="7" t="n">
        <v>81713.2</v>
      </c>
      <c r="Z23" s="7" t="n">
        <v>57474.9</v>
      </c>
      <c r="AB23" s="7" t="n">
        <v>760990.9</v>
      </c>
    </row>
    <row r="24">
      <c r="A24" s="4" t="inlineStr">
        <is>
          <t>其他</t>
        </is>
      </c>
      <c r="D24" s="7" t="n">
        <v>4984.2</v>
      </c>
      <c r="F24" s="7" t="n">
        <v>574.7</v>
      </c>
      <c r="H24" s="7" t="n">
        <v>1122.1</v>
      </c>
      <c r="J24" s="7" t="n">
        <v>6972.7</v>
      </c>
      <c r="L24" s="7" t="n">
        <v>1569.9</v>
      </c>
      <c r="N24" s="7" t="n">
        <v>9560.5</v>
      </c>
      <c r="P24" s="7" t="n">
        <v>4134.5</v>
      </c>
      <c r="R24" s="7" t="n">
        <v>2972.6</v>
      </c>
      <c r="T24" s="7" t="n">
        <v>8138.5</v>
      </c>
      <c r="V24" s="7" t="n">
        <v>3944</v>
      </c>
      <c r="X24" s="7" t="n">
        <v>5344.6</v>
      </c>
      <c r="Z24" s="7" t="n">
        <v>206.6</v>
      </c>
      <c r="AB24" s="7" t="n">
        <v>49524.9</v>
      </c>
    </row>
    <row r="25">
      <c r="A25" s="4" t="inlineStr">
        <is>
          <t>运费</t>
        </is>
      </c>
      <c r="D25" s="7" t="n">
        <v>13227.8</v>
      </c>
      <c r="F25" s="7" t="n">
        <v>9380.9</v>
      </c>
      <c r="H25" s="7" t="n">
        <v>21761.5</v>
      </c>
      <c r="J25" s="7" t="n">
        <v>14459.9</v>
      </c>
      <c r="L25" s="7" t="n">
        <v>34691.6</v>
      </c>
      <c r="N25" s="7" t="n">
        <v>30080.1</v>
      </c>
      <c r="P25" s="7" t="n">
        <v>20711.2</v>
      </c>
      <c r="R25" s="7" t="n">
        <v>20222.6</v>
      </c>
      <c r="T25" s="7" t="n">
        <v>19887.5</v>
      </c>
      <c r="V25" s="7" t="n">
        <v>23887</v>
      </c>
      <c r="X25" s="7" t="n">
        <v>33584.3</v>
      </c>
      <c r="Z25" s="7" t="n">
        <v>16475.9</v>
      </c>
      <c r="AB25" s="7" t="n">
        <v>258370.3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252695.5</v>
      </c>
      <c r="D26" s="7" t="n">
        <v>124551.3</v>
      </c>
      <c r="E26" s="7" t="n">
        <v>356945.2</v>
      </c>
      <c r="F26" s="7" t="n">
        <v>137221.6</v>
      </c>
      <c r="G26" s="7" t="n">
        <v>173105.8</v>
      </c>
      <c r="H26" s="7" t="n">
        <v>157147.2</v>
      </c>
      <c r="I26" s="7" t="n">
        <v>69807.10000000001</v>
      </c>
      <c r="J26" s="7" t="n">
        <v>223068.4</v>
      </c>
      <c r="K26" s="7" t="n">
        <v>284455.5</v>
      </c>
      <c r="L26" s="7" t="n">
        <v>224661.3</v>
      </c>
      <c r="M26" s="7" t="n">
        <v>181469.9</v>
      </c>
      <c r="N26" s="7" t="n">
        <v>259792.3</v>
      </c>
      <c r="O26" s="7" t="n">
        <v>133671.5</v>
      </c>
      <c r="P26" s="7" t="n">
        <v>266014.9</v>
      </c>
      <c r="Q26" s="7" t="n">
        <v>195440.8</v>
      </c>
      <c r="R26" s="7" t="n">
        <v>248890.2</v>
      </c>
      <c r="S26" s="7" t="n">
        <v>179214.4</v>
      </c>
      <c r="T26" s="7" t="n">
        <v>241460.8</v>
      </c>
      <c r="U26" s="7" t="n">
        <v>158805.2</v>
      </c>
      <c r="V26" s="7" t="n">
        <v>228060.9</v>
      </c>
      <c r="W26" s="7" t="n">
        <v>315254</v>
      </c>
      <c r="X26" s="7" t="n">
        <v>212825.8</v>
      </c>
      <c r="Y26" s="7" t="n">
        <v>206126.8</v>
      </c>
      <c r="Z26" s="7" t="n">
        <v>147369.8</v>
      </c>
      <c r="AA26" s="8" t="n">
        <v>2506991.7</v>
      </c>
      <c r="AB26" s="8" t="n">
        <v>2471064.5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37.9</v>
      </c>
      <c r="D27" s="13" t="n">
        <v>31.5</v>
      </c>
      <c r="E27" s="13" t="n">
        <v>47.5</v>
      </c>
      <c r="F27" s="13" t="n">
        <v>33</v>
      </c>
      <c r="G27" s="13" t="n">
        <v>29.7</v>
      </c>
      <c r="H27" s="13" t="n">
        <v>30.2</v>
      </c>
      <c r="I27" s="13" t="n">
        <v>11.9</v>
      </c>
      <c r="J27" s="13" t="n">
        <v>32.6</v>
      </c>
      <c r="K27" s="13" t="n">
        <v>41.2</v>
      </c>
      <c r="L27" s="13" t="n">
        <v>29.7</v>
      </c>
      <c r="M27" s="13" t="n">
        <v>31.2</v>
      </c>
      <c r="N27" s="13" t="n">
        <v>31.3</v>
      </c>
      <c r="O27" s="13" t="n">
        <v>21.4</v>
      </c>
      <c r="P27" s="13" t="n">
        <v>31.6</v>
      </c>
      <c r="Q27" s="13" t="n">
        <v>28.1</v>
      </c>
      <c r="R27" s="13" t="n">
        <v>31.8</v>
      </c>
      <c r="S27" s="13" t="n">
        <v>26.4</v>
      </c>
      <c r="T27" s="13" t="n">
        <v>32.3</v>
      </c>
      <c r="U27" s="13" t="n">
        <v>25</v>
      </c>
      <c r="V27" s="13" t="n">
        <v>30.8</v>
      </c>
      <c r="W27" s="13" t="n">
        <v>41</v>
      </c>
      <c r="X27" s="13" t="n">
        <v>29.2</v>
      </c>
      <c r="Y27" s="13" t="n">
        <v>30.5</v>
      </c>
      <c r="Z27" s="13" t="n">
        <v>30.5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6050.1</v>
      </c>
      <c r="D28" s="7" t="n">
        <v>2669.4</v>
      </c>
      <c r="E28" s="7" t="n">
        <v>5238.3</v>
      </c>
      <c r="F28" s="7" t="n">
        <v>2511.7</v>
      </c>
      <c r="G28" s="7" t="n">
        <v>6818.6</v>
      </c>
      <c r="H28" s="7" t="n">
        <v>4811.2</v>
      </c>
      <c r="I28" s="7" t="n">
        <v>5543.2</v>
      </c>
      <c r="J28" s="7" t="n">
        <v>7386.3</v>
      </c>
      <c r="K28" s="7" t="n">
        <v>6280.9</v>
      </c>
      <c r="L28" s="7" t="n">
        <v>5357</v>
      </c>
      <c r="M28" s="7" t="n">
        <v>5547.7</v>
      </c>
      <c r="N28" s="7" t="n">
        <v>11275.2</v>
      </c>
      <c r="O28" s="7" t="n">
        <v>6549.5</v>
      </c>
      <c r="P28" s="7" t="n">
        <v>5722.1</v>
      </c>
      <c r="Q28" s="7" t="n">
        <v>5175.5</v>
      </c>
      <c r="R28" s="7" t="n">
        <v>4149.3</v>
      </c>
      <c r="S28" s="7" t="n">
        <v>6044.4</v>
      </c>
      <c r="T28" s="7" t="n">
        <v>5083.9</v>
      </c>
      <c r="U28" s="7" t="n">
        <v>6620.2</v>
      </c>
      <c r="V28" s="7" t="n">
        <v>6756.7</v>
      </c>
      <c r="W28" s="7" t="n">
        <v>5873.1</v>
      </c>
      <c r="X28" s="7" t="n">
        <v>10654.9</v>
      </c>
      <c r="Y28" s="7" t="n">
        <v>6647.4</v>
      </c>
      <c r="Z28" s="7" t="n">
        <v>5159.7</v>
      </c>
      <c r="AA28" s="8" t="n">
        <v>72388.89999999999</v>
      </c>
      <c r="AB28" s="8" t="n">
        <v>71537.39999999999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117518.6</v>
      </c>
      <c r="D29" s="7" t="n">
        <v>84507.10000000001</v>
      </c>
      <c r="E29" s="7" t="n">
        <v>142843.2</v>
      </c>
      <c r="F29" s="7" t="n">
        <v>99143.2</v>
      </c>
      <c r="G29" s="7" t="n">
        <v>117471.5</v>
      </c>
      <c r="H29" s="7" t="n">
        <v>114935.7</v>
      </c>
      <c r="I29" s="7" t="n">
        <v>146024.1</v>
      </c>
      <c r="J29" s="7" t="n">
        <v>76738.89999999999</v>
      </c>
      <c r="K29" s="7" t="n">
        <v>124994.2</v>
      </c>
      <c r="L29" s="7" t="n">
        <v>180689.5</v>
      </c>
      <c r="M29" s="7" t="n">
        <v>119042.1</v>
      </c>
      <c r="N29" s="7" t="n">
        <v>138685</v>
      </c>
      <c r="O29" s="7" t="n">
        <v>114730</v>
      </c>
      <c r="P29" s="7" t="n">
        <v>182640.8</v>
      </c>
      <c r="Q29" s="7" t="n">
        <v>141800.1</v>
      </c>
      <c r="R29" s="7" t="n">
        <v>182730.5</v>
      </c>
      <c r="S29" s="7" t="n">
        <v>116551.4</v>
      </c>
      <c r="T29" s="7" t="n">
        <v>151569.5</v>
      </c>
      <c r="U29" s="7" t="n">
        <v>121174.4</v>
      </c>
      <c r="V29" s="7" t="n">
        <v>178463.7</v>
      </c>
      <c r="W29" s="7" t="n">
        <v>127597.8</v>
      </c>
      <c r="X29" s="7" t="n">
        <v>104778.6</v>
      </c>
      <c r="Y29" s="7" t="n">
        <v>148440.9</v>
      </c>
      <c r="Z29" s="7" t="n">
        <v>62643.9</v>
      </c>
      <c r="AA29" s="8" t="n">
        <v>1538188.3</v>
      </c>
      <c r="AB29" s="8" t="n">
        <v>1557526.4</v>
      </c>
    </row>
    <row r="30">
      <c r="A30" s="4" t="inlineStr">
        <is>
          <t>职工薪酬</t>
        </is>
      </c>
      <c r="D30" s="7" t="n">
        <v>42255.9</v>
      </c>
      <c r="F30" s="7" t="n">
        <v>54226.7</v>
      </c>
      <c r="H30" s="7" t="n">
        <v>49867.9</v>
      </c>
      <c r="J30" s="7" t="n">
        <v>45069.8</v>
      </c>
      <c r="L30" s="7" t="n">
        <v>82826.2</v>
      </c>
      <c r="N30" s="7" t="n">
        <v>74322.39999999999</v>
      </c>
      <c r="P30" s="7" t="n">
        <v>108925.1</v>
      </c>
      <c r="R30" s="7" t="n">
        <v>94168.2</v>
      </c>
      <c r="T30" s="7" t="n">
        <v>75451.5</v>
      </c>
      <c r="V30" s="7" t="n">
        <v>79759.89999999999</v>
      </c>
      <c r="X30" s="7" t="n">
        <v>60583</v>
      </c>
      <c r="Z30" s="7" t="n">
        <v>26840.5</v>
      </c>
      <c r="AB30" s="7" t="n">
        <v>794297.1</v>
      </c>
    </row>
    <row r="31">
      <c r="A31" s="4" t="inlineStr">
        <is>
          <t>工资</t>
        </is>
      </c>
      <c r="D31" s="7" t="n">
        <v>22690.9</v>
      </c>
      <c r="F31" s="7" t="n">
        <v>33292.1</v>
      </c>
      <c r="H31" s="7" t="n">
        <v>28666.9</v>
      </c>
      <c r="J31" s="7" t="n">
        <v>24468</v>
      </c>
      <c r="L31" s="7" t="n">
        <v>42082.5</v>
      </c>
      <c r="N31" s="7" t="n">
        <v>46616</v>
      </c>
      <c r="P31" s="7" t="n">
        <v>70944.10000000001</v>
      </c>
      <c r="R31" s="7" t="n">
        <v>54597.3</v>
      </c>
      <c r="T31" s="7" t="n">
        <v>46587.2</v>
      </c>
      <c r="V31" s="7" t="n">
        <v>40272.3</v>
      </c>
      <c r="X31" s="7" t="n">
        <v>38879.7</v>
      </c>
      <c r="Z31" s="7" t="n">
        <v>14484.3</v>
      </c>
      <c r="AB31" s="7" t="n">
        <v>463581.3</v>
      </c>
    </row>
    <row r="32">
      <c r="A32" s="4" t="inlineStr">
        <is>
          <t>奖金及提成</t>
        </is>
      </c>
      <c r="D32" s="7" t="n">
        <v>7880.9</v>
      </c>
      <c r="F32" s="7" t="n">
        <v>9010.5</v>
      </c>
      <c r="H32" s="7" t="n">
        <v>8374.799999999999</v>
      </c>
      <c r="J32" s="7" t="n">
        <v>9860.700000000001</v>
      </c>
      <c r="L32" s="7" t="n">
        <v>18754.3</v>
      </c>
      <c r="N32" s="7" t="n">
        <v>13279.7</v>
      </c>
      <c r="P32" s="7" t="n">
        <v>14159.5</v>
      </c>
      <c r="R32" s="7" t="n">
        <v>17510.5</v>
      </c>
      <c r="T32" s="7" t="n">
        <v>14427.4</v>
      </c>
      <c r="V32" s="7" t="n">
        <v>16723.5</v>
      </c>
      <c r="X32" s="7" t="n">
        <v>9416.200000000001</v>
      </c>
      <c r="Z32" s="7" t="n">
        <v>5030.2</v>
      </c>
      <c r="AB32" s="7" t="n">
        <v>144428.2</v>
      </c>
    </row>
    <row r="33">
      <c r="A33" s="4" t="inlineStr">
        <is>
          <t>社保</t>
        </is>
      </c>
      <c r="D33" s="7" t="n">
        <v>8233.1</v>
      </c>
      <c r="F33" s="7" t="n">
        <v>8183.5</v>
      </c>
      <c r="H33" s="7" t="n">
        <v>8112</v>
      </c>
      <c r="J33" s="7" t="n">
        <v>7897</v>
      </c>
      <c r="L33" s="7" t="n">
        <v>15219.4</v>
      </c>
      <c r="N33" s="7" t="n">
        <v>9528.9</v>
      </c>
      <c r="P33" s="7" t="n">
        <v>16793.5</v>
      </c>
      <c r="R33" s="7" t="n">
        <v>15376.1</v>
      </c>
      <c r="T33" s="7" t="n">
        <v>8658.1</v>
      </c>
      <c r="V33" s="7" t="n">
        <v>16185.5</v>
      </c>
      <c r="X33" s="7" t="n">
        <v>8410.799999999999</v>
      </c>
      <c r="Z33" s="7" t="n">
        <v>5150.2</v>
      </c>
      <c r="AB33" s="7" t="n">
        <v>127748.1</v>
      </c>
    </row>
    <row r="34">
      <c r="A34" s="4" t="inlineStr">
        <is>
          <t>养老</t>
        </is>
      </c>
      <c r="D34" s="7" t="n">
        <v>117.2</v>
      </c>
      <c r="F34" s="7" t="n">
        <v>225.1</v>
      </c>
      <c r="H34" s="7" t="n">
        <v>294.4</v>
      </c>
      <c r="J34" s="7" t="n">
        <v>174.7</v>
      </c>
      <c r="L34" s="7" t="n">
        <v>431.3</v>
      </c>
      <c r="N34" s="7" t="n">
        <v>195.4</v>
      </c>
      <c r="P34" s="7" t="n">
        <v>262.3</v>
      </c>
      <c r="R34" s="7" t="n">
        <v>255</v>
      </c>
      <c r="T34" s="7" t="n">
        <v>338.1</v>
      </c>
      <c r="V34" s="7" t="n">
        <v>268.7</v>
      </c>
      <c r="X34" s="7" t="n">
        <v>264.2</v>
      </c>
      <c r="Z34" s="7" t="n">
        <v>149.4</v>
      </c>
      <c r="AB34" s="7" t="n">
        <v>2975.8</v>
      </c>
    </row>
    <row r="35">
      <c r="A35" s="4" t="inlineStr">
        <is>
          <t>医疗</t>
        </is>
      </c>
      <c r="D35" s="7" t="n">
        <v>263.6</v>
      </c>
      <c r="F35" s="7" t="n">
        <v>449.9</v>
      </c>
      <c r="H35" s="7" t="n">
        <v>557.2</v>
      </c>
      <c r="J35" s="7" t="n">
        <v>349.1</v>
      </c>
      <c r="L35" s="7" t="n">
        <v>893</v>
      </c>
      <c r="N35" s="7" t="n">
        <v>665.2</v>
      </c>
      <c r="P35" s="7" t="n">
        <v>600.7</v>
      </c>
      <c r="R35" s="7" t="n">
        <v>513</v>
      </c>
      <c r="T35" s="7" t="n">
        <v>505.9</v>
      </c>
      <c r="V35" s="7" t="n">
        <v>726.6</v>
      </c>
      <c r="X35" s="7" t="n">
        <v>294.7</v>
      </c>
      <c r="Z35" s="7" t="n">
        <v>204.1</v>
      </c>
      <c r="AB35" s="7" t="n">
        <v>6023</v>
      </c>
    </row>
    <row r="36">
      <c r="A36" s="4" t="inlineStr">
        <is>
          <t>工伤</t>
        </is>
      </c>
      <c r="D36" s="7" t="n">
        <v>452.8</v>
      </c>
      <c r="F36" s="7" t="n">
        <v>476.5</v>
      </c>
      <c r="H36" s="7" t="n">
        <v>558</v>
      </c>
      <c r="J36" s="7" t="n">
        <v>318.4</v>
      </c>
      <c r="L36" s="7" t="n">
        <v>852.6</v>
      </c>
      <c r="N36" s="7" t="n">
        <v>747.5</v>
      </c>
      <c r="P36" s="7" t="n">
        <v>779.8</v>
      </c>
      <c r="R36" s="7" t="n">
        <v>1277</v>
      </c>
      <c r="T36" s="7" t="n">
        <v>1110.8</v>
      </c>
      <c r="V36" s="7" t="n">
        <v>1244.5</v>
      </c>
      <c r="X36" s="7" t="n">
        <v>559.7</v>
      </c>
      <c r="Z36" s="7" t="n">
        <v>474.1</v>
      </c>
      <c r="AB36" s="7" t="n">
        <v>8851.700000000001</v>
      </c>
    </row>
    <row r="37">
      <c r="A37" s="4" t="inlineStr">
        <is>
          <t>失业</t>
        </is>
      </c>
      <c r="D37" s="7" t="n">
        <v>77.40000000000001</v>
      </c>
      <c r="F37" s="7" t="n">
        <v>61.7</v>
      </c>
      <c r="H37" s="7" t="n">
        <v>77.2</v>
      </c>
      <c r="J37" s="7" t="n">
        <v>51.2</v>
      </c>
      <c r="L37" s="7" t="n">
        <v>152.1</v>
      </c>
      <c r="N37" s="7" t="n">
        <v>127.9</v>
      </c>
      <c r="P37" s="7" t="n">
        <v>113.6</v>
      </c>
      <c r="R37" s="7" t="n">
        <v>128.3</v>
      </c>
      <c r="T37" s="7" t="n">
        <v>113.1</v>
      </c>
      <c r="V37" s="7" t="n">
        <v>137.2</v>
      </c>
      <c r="X37" s="7" t="n">
        <v>80.8</v>
      </c>
      <c r="Z37" s="7" t="n">
        <v>52.1</v>
      </c>
      <c r="AB37" s="7" t="n">
        <v>1172.6</v>
      </c>
    </row>
    <row r="38">
      <c r="A38" s="4" t="inlineStr">
        <is>
          <t>生育</t>
        </is>
      </c>
      <c r="D38" s="7" t="n">
        <v>94.09999999999999</v>
      </c>
      <c r="F38" s="7" t="n">
        <v>157.7</v>
      </c>
      <c r="H38" s="7" t="n">
        <v>128</v>
      </c>
      <c r="J38" s="7" t="n">
        <v>83.5</v>
      </c>
      <c r="L38" s="7" t="n">
        <v>298.4</v>
      </c>
      <c r="N38" s="7" t="n">
        <v>177.3</v>
      </c>
      <c r="P38" s="7" t="n">
        <v>198.9</v>
      </c>
      <c r="R38" s="7" t="n">
        <v>238.5</v>
      </c>
      <c r="T38" s="7" t="n">
        <v>145.7</v>
      </c>
      <c r="V38" s="7" t="n">
        <v>249.1</v>
      </c>
      <c r="X38" s="7" t="n">
        <v>129.9</v>
      </c>
      <c r="Z38" s="7" t="n">
        <v>98.2</v>
      </c>
      <c r="AB38" s="7" t="n">
        <v>1999.3</v>
      </c>
    </row>
    <row r="39">
      <c r="A39" s="4" t="inlineStr">
        <is>
          <t>公积金</t>
        </is>
      </c>
      <c r="D39" s="7" t="n">
        <v>324.3</v>
      </c>
      <c r="F39" s="7" t="n">
        <v>270.7</v>
      </c>
      <c r="H39" s="7" t="n">
        <v>486.5</v>
      </c>
      <c r="J39" s="7" t="n">
        <v>317.8</v>
      </c>
      <c r="L39" s="7" t="n">
        <v>734.6</v>
      </c>
      <c r="N39" s="7" t="n">
        <v>369.3</v>
      </c>
      <c r="P39" s="7" t="n">
        <v>791.7</v>
      </c>
      <c r="R39" s="7" t="n">
        <v>473.8</v>
      </c>
      <c r="T39" s="7" t="n">
        <v>625</v>
      </c>
      <c r="V39" s="7" t="n">
        <v>725</v>
      </c>
      <c r="X39" s="7" t="n">
        <v>346.1</v>
      </c>
      <c r="Z39" s="7" t="n">
        <v>275.2</v>
      </c>
      <c r="AB39" s="7" t="n">
        <v>5740</v>
      </c>
    </row>
    <row r="40">
      <c r="A40" s="4" t="inlineStr">
        <is>
          <t>工会经费</t>
        </is>
      </c>
      <c r="D40" s="7" t="n">
        <v>362.3</v>
      </c>
      <c r="F40" s="7" t="n">
        <v>505.4</v>
      </c>
      <c r="H40" s="7" t="n">
        <v>355.3</v>
      </c>
      <c r="J40" s="7" t="n">
        <v>260.3</v>
      </c>
      <c r="L40" s="7" t="n">
        <v>723.2</v>
      </c>
      <c r="N40" s="7" t="n">
        <v>455.5</v>
      </c>
      <c r="P40" s="7" t="n">
        <v>724.3</v>
      </c>
      <c r="R40" s="7" t="n">
        <v>649</v>
      </c>
      <c r="T40" s="7" t="n">
        <v>561.2</v>
      </c>
      <c r="V40" s="7" t="n">
        <v>569.9</v>
      </c>
      <c r="X40" s="7" t="n">
        <v>522.8</v>
      </c>
      <c r="Z40" s="7" t="n">
        <v>233.8</v>
      </c>
      <c r="AB40" s="7" t="n">
        <v>5923</v>
      </c>
    </row>
    <row r="41">
      <c r="A41" s="4" t="inlineStr">
        <is>
          <t>职工教育经费</t>
        </is>
      </c>
      <c r="D41" s="7" t="n">
        <v>402.5</v>
      </c>
      <c r="F41" s="7" t="n">
        <v>419.7</v>
      </c>
      <c r="H41" s="7" t="n">
        <v>466.5</v>
      </c>
      <c r="J41" s="7" t="n">
        <v>371.8</v>
      </c>
      <c r="L41" s="7" t="n">
        <v>638.4</v>
      </c>
      <c r="N41" s="7" t="n">
        <v>699.2</v>
      </c>
      <c r="P41" s="7" t="n">
        <v>540.9</v>
      </c>
      <c r="R41" s="7" t="n">
        <v>556</v>
      </c>
      <c r="T41" s="7" t="n">
        <v>554.6</v>
      </c>
      <c r="V41" s="7" t="n">
        <v>519.4</v>
      </c>
      <c r="X41" s="7" t="n">
        <v>342.5</v>
      </c>
      <c r="Z41" s="7" t="n">
        <v>241.8</v>
      </c>
      <c r="AB41" s="7" t="n">
        <v>5753.3</v>
      </c>
    </row>
    <row r="42">
      <c r="A42" s="4" t="inlineStr">
        <is>
          <t>福利费</t>
        </is>
      </c>
      <c r="D42" s="7" t="n">
        <v>2361.9</v>
      </c>
      <c r="F42" s="7" t="n">
        <v>2544.8</v>
      </c>
      <c r="H42" s="7" t="n">
        <v>3405.9</v>
      </c>
      <c r="J42" s="7" t="n">
        <v>1894.2</v>
      </c>
      <c r="L42" s="7" t="n">
        <v>4673.8</v>
      </c>
      <c r="N42" s="7" t="n">
        <v>3373.8</v>
      </c>
      <c r="P42" s="7" t="n">
        <v>4971.1</v>
      </c>
      <c r="R42" s="7" t="n">
        <v>5005.5</v>
      </c>
      <c r="T42" s="7" t="n">
        <v>4038</v>
      </c>
      <c r="V42" s="7" t="n">
        <v>4764.3</v>
      </c>
      <c r="X42" s="7" t="n">
        <v>2664.9</v>
      </c>
      <c r="Z42" s="7" t="n">
        <v>1425</v>
      </c>
      <c r="AB42" s="7" t="n">
        <v>41123.2</v>
      </c>
    </row>
    <row r="43">
      <c r="A43" s="4" t="inlineStr">
        <is>
          <t>职工房租</t>
        </is>
      </c>
      <c r="D43" s="7" t="n">
        <v>479.6</v>
      </c>
      <c r="F43" s="7" t="n">
        <v>435.6</v>
      </c>
      <c r="H43" s="7" t="n">
        <v>512.2</v>
      </c>
      <c r="J43" s="7" t="n">
        <v>409.3</v>
      </c>
      <c r="L43" s="7" t="n">
        <v>594.8</v>
      </c>
      <c r="N43" s="7" t="n">
        <v>664.9</v>
      </c>
      <c r="P43" s="7" t="n">
        <v>667.7</v>
      </c>
      <c r="R43" s="7" t="n">
        <v>962.1</v>
      </c>
      <c r="T43" s="7" t="n">
        <v>710.8</v>
      </c>
      <c r="V43" s="7" t="n">
        <v>706.7</v>
      </c>
      <c r="X43" s="7" t="n">
        <v>590.1</v>
      </c>
      <c r="Z43" s="7" t="n">
        <v>248.4</v>
      </c>
      <c r="AB43" s="7" t="n">
        <v>6982.2</v>
      </c>
    </row>
    <row r="44">
      <c r="A44" s="4" t="inlineStr">
        <is>
          <t>水电物业费</t>
        </is>
      </c>
      <c r="D44" s="7" t="n">
        <v>118.9</v>
      </c>
      <c r="F44" s="7" t="n">
        <v>91.59999999999999</v>
      </c>
      <c r="H44" s="7" t="n">
        <v>160.5</v>
      </c>
      <c r="J44" s="7" t="n">
        <v>116.9</v>
      </c>
      <c r="L44" s="7" t="n">
        <v>206.6</v>
      </c>
      <c r="N44" s="7" t="n">
        <v>154.8</v>
      </c>
      <c r="P44" s="7" t="n">
        <v>197.4</v>
      </c>
      <c r="R44" s="7" t="n">
        <v>259.1</v>
      </c>
      <c r="T44" s="7" t="n">
        <v>148.8</v>
      </c>
      <c r="V44" s="7" t="n">
        <v>234.6</v>
      </c>
      <c r="X44" s="7" t="n">
        <v>100.2</v>
      </c>
      <c r="Z44" s="7" t="n">
        <v>66.09999999999999</v>
      </c>
      <c r="AB44" s="7" t="n">
        <v>1855.5</v>
      </c>
    </row>
    <row r="45">
      <c r="A45" s="4" t="inlineStr">
        <is>
          <t>员工餐</t>
        </is>
      </c>
      <c r="D45" s="7" t="n">
        <v>471.1</v>
      </c>
      <c r="F45" s="7" t="n">
        <v>527.8</v>
      </c>
      <c r="H45" s="7" t="n">
        <v>792.9</v>
      </c>
      <c r="J45" s="7" t="n">
        <v>413.4</v>
      </c>
      <c r="L45" s="7" t="n">
        <v>781.3</v>
      </c>
      <c r="N45" s="7" t="n">
        <v>749.6</v>
      </c>
      <c r="P45" s="7" t="n">
        <v>1294.1</v>
      </c>
      <c r="R45" s="7" t="n">
        <v>932.1</v>
      </c>
      <c r="T45" s="7" t="n">
        <v>957.2</v>
      </c>
      <c r="V45" s="7" t="n">
        <v>1197.2</v>
      </c>
      <c r="X45" s="7" t="n">
        <v>457.8</v>
      </c>
      <c r="Z45" s="7" t="n">
        <v>261.3</v>
      </c>
      <c r="AB45" s="7" t="n">
        <v>8835.799999999999</v>
      </c>
    </row>
    <row r="46">
      <c r="A46" s="4" t="inlineStr">
        <is>
          <t>节日礼品</t>
        </is>
      </c>
      <c r="D46" s="7" t="n">
        <v>339.9</v>
      </c>
      <c r="F46" s="7" t="n">
        <v>302.2</v>
      </c>
      <c r="H46" s="7" t="n">
        <v>484.4</v>
      </c>
      <c r="J46" s="7" t="n">
        <v>245</v>
      </c>
      <c r="L46" s="7" t="n">
        <v>813.4</v>
      </c>
      <c r="N46" s="7" t="n">
        <v>582.5</v>
      </c>
      <c r="P46" s="7" t="n">
        <v>688.6</v>
      </c>
      <c r="R46" s="7" t="n">
        <v>745.8</v>
      </c>
      <c r="T46" s="7" t="n">
        <v>694.5</v>
      </c>
      <c r="V46" s="7" t="n">
        <v>562.5</v>
      </c>
      <c r="X46" s="7" t="n">
        <v>384.2</v>
      </c>
      <c r="Z46" s="7" t="n">
        <v>223</v>
      </c>
      <c r="AB46" s="7" t="n">
        <v>6066</v>
      </c>
    </row>
    <row r="47">
      <c r="A47" s="4" t="inlineStr">
        <is>
          <t>生日礼品</t>
        </is>
      </c>
      <c r="D47" s="7" t="n">
        <v>258.3</v>
      </c>
      <c r="F47" s="7" t="n">
        <v>335.9</v>
      </c>
      <c r="H47" s="7" t="n">
        <v>266.3</v>
      </c>
      <c r="J47" s="7" t="n">
        <v>179.2</v>
      </c>
      <c r="L47" s="7" t="n">
        <v>429.7</v>
      </c>
      <c r="N47" s="7" t="n">
        <v>314.7</v>
      </c>
      <c r="P47" s="7" t="n">
        <v>544.5</v>
      </c>
      <c r="R47" s="7" t="n">
        <v>535</v>
      </c>
      <c r="T47" s="7" t="n">
        <v>391.3</v>
      </c>
      <c r="V47" s="7" t="n">
        <v>461.8</v>
      </c>
      <c r="X47" s="7" t="n">
        <v>317.3</v>
      </c>
      <c r="Z47" s="7" t="n">
        <v>130.1</v>
      </c>
      <c r="AB47" s="7" t="n">
        <v>4164.1</v>
      </c>
    </row>
    <row r="48">
      <c r="A48" s="4" t="inlineStr">
        <is>
          <t>体检</t>
        </is>
      </c>
      <c r="D48" s="7" t="n">
        <v>213.1</v>
      </c>
      <c r="F48" s="7" t="n">
        <v>243.2</v>
      </c>
      <c r="H48" s="7" t="n">
        <v>327.3</v>
      </c>
      <c r="J48" s="7" t="n">
        <v>148.1</v>
      </c>
      <c r="L48" s="7" t="n">
        <v>496</v>
      </c>
      <c r="N48" s="7" t="n">
        <v>278.6</v>
      </c>
      <c r="P48" s="7" t="n">
        <v>408.4</v>
      </c>
      <c r="R48" s="7" t="n">
        <v>477.3</v>
      </c>
      <c r="T48" s="7" t="n">
        <v>386</v>
      </c>
      <c r="V48" s="7" t="n">
        <v>405.5</v>
      </c>
      <c r="X48" s="7" t="n">
        <v>280</v>
      </c>
      <c r="Z48" s="7" t="n">
        <v>143.3</v>
      </c>
      <c r="AB48" s="7" t="n">
        <v>3806.8</v>
      </c>
    </row>
    <row r="49">
      <c r="A49" s="4" t="inlineStr">
        <is>
          <t>其他福利支出</t>
        </is>
      </c>
      <c r="D49" s="7" t="n">
        <v>481</v>
      </c>
      <c r="F49" s="7" t="n">
        <v>608.5</v>
      </c>
      <c r="H49" s="7" t="n">
        <v>862.3</v>
      </c>
      <c r="J49" s="7" t="n">
        <v>382.3</v>
      </c>
      <c r="L49" s="7" t="n">
        <v>1352</v>
      </c>
      <c r="N49" s="7" t="n">
        <v>628.7</v>
      </c>
      <c r="P49" s="7" t="n">
        <v>1170.4</v>
      </c>
      <c r="R49" s="7" t="n">
        <v>1094.1</v>
      </c>
      <c r="T49" s="7" t="n">
        <v>749.4</v>
      </c>
      <c r="V49" s="7" t="n">
        <v>1196</v>
      </c>
      <c r="X49" s="7" t="n">
        <v>535.3</v>
      </c>
      <c r="Z49" s="7" t="n">
        <v>352.8</v>
      </c>
      <c r="AB49" s="7" t="n">
        <v>9412.799999999999</v>
      </c>
    </row>
    <row r="50">
      <c r="A50" s="4" t="inlineStr">
        <is>
          <t>招聘费</t>
        </is>
      </c>
      <c r="D50" s="7" t="n">
        <v>140.3</v>
      </c>
      <c r="F50" s="7" t="n">
        <v>172.6</v>
      </c>
      <c r="H50" s="7" t="n">
        <v>186.6</v>
      </c>
      <c r="J50" s="7" t="n">
        <v>81.59999999999999</v>
      </c>
      <c r="L50" s="7" t="n">
        <v>270</v>
      </c>
      <c r="N50" s="7" t="n">
        <v>157.9</v>
      </c>
      <c r="P50" s="7" t="n">
        <v>206.4</v>
      </c>
      <c r="R50" s="7" t="n">
        <v>210.4</v>
      </c>
      <c r="T50" s="7" t="n">
        <v>196</v>
      </c>
      <c r="V50" s="7" t="n">
        <v>292.4</v>
      </c>
      <c r="X50" s="7" t="n">
        <v>151.9</v>
      </c>
      <c r="Z50" s="7" t="n">
        <v>81.09999999999999</v>
      </c>
      <c r="AB50" s="7" t="n">
        <v>2147.2</v>
      </c>
    </row>
    <row r="51">
      <c r="A51" s="4" t="inlineStr">
        <is>
          <t>办公费</t>
        </is>
      </c>
      <c r="D51" s="7" t="n">
        <v>2985.2</v>
      </c>
      <c r="F51" s="7" t="n">
        <v>3748.5</v>
      </c>
      <c r="H51" s="7" t="n">
        <v>3253.1</v>
      </c>
      <c r="J51" s="7" t="n">
        <v>2657.1</v>
      </c>
      <c r="L51" s="7" t="n">
        <v>7010.6</v>
      </c>
      <c r="N51" s="7" t="n">
        <v>4028.8</v>
      </c>
      <c r="P51" s="7" t="n">
        <v>5651.7</v>
      </c>
      <c r="R51" s="7" t="n">
        <v>4458</v>
      </c>
      <c r="T51" s="7" t="n">
        <v>5257.7</v>
      </c>
      <c r="V51" s="7" t="n">
        <v>6577.2</v>
      </c>
      <c r="X51" s="7" t="n">
        <v>3418.9</v>
      </c>
      <c r="Z51" s="7" t="n">
        <v>1417.7</v>
      </c>
      <c r="AB51" s="7" t="n">
        <v>50464.5</v>
      </c>
    </row>
    <row r="52">
      <c r="A52" s="4" t="inlineStr">
        <is>
          <t>市内交通费</t>
        </is>
      </c>
      <c r="D52" s="7" t="n">
        <v>616.2</v>
      </c>
      <c r="F52" s="7" t="n">
        <v>521</v>
      </c>
      <c r="H52" s="7" t="n">
        <v>615.9</v>
      </c>
      <c r="J52" s="7" t="n">
        <v>415.2</v>
      </c>
      <c r="L52" s="7" t="n">
        <v>1169.9</v>
      </c>
      <c r="N52" s="7" t="n">
        <v>908.6</v>
      </c>
      <c r="P52" s="7" t="n">
        <v>1328.5</v>
      </c>
      <c r="R52" s="7" t="n">
        <v>1205</v>
      </c>
      <c r="T52" s="7" t="n">
        <v>1027.5</v>
      </c>
      <c r="V52" s="7" t="n">
        <v>1036.7</v>
      </c>
      <c r="X52" s="7" t="n">
        <v>779</v>
      </c>
      <c r="Z52" s="7" t="n">
        <v>375.3</v>
      </c>
      <c r="AB52" s="7" t="n">
        <v>9998.799999999999</v>
      </c>
    </row>
    <row r="53">
      <c r="A53" s="4" t="inlineStr">
        <is>
          <t>差旅费</t>
        </is>
      </c>
      <c r="D53" s="7" t="n">
        <v>3958.1</v>
      </c>
      <c r="F53" s="7" t="n">
        <v>5586.3</v>
      </c>
      <c r="H53" s="7" t="n">
        <v>5912.5</v>
      </c>
      <c r="J53" s="7" t="n">
        <v>5518.9</v>
      </c>
      <c r="L53" s="7" t="n">
        <v>9818.1</v>
      </c>
      <c r="N53" s="7" t="n">
        <v>10014.3</v>
      </c>
      <c r="P53" s="7" t="n">
        <v>14001.9</v>
      </c>
      <c r="R53" s="7" t="n">
        <v>10051.5</v>
      </c>
      <c r="T53" s="7" t="n">
        <v>7425.6</v>
      </c>
      <c r="V53" s="7" t="n">
        <v>7924.3</v>
      </c>
      <c r="X53" s="7" t="n">
        <v>7553.9</v>
      </c>
      <c r="Z53" s="7" t="n">
        <v>4090.2</v>
      </c>
      <c r="AB53" s="7" t="n">
        <v>91855.60000000001</v>
      </c>
    </row>
    <row r="54">
      <c r="A54" s="4" t="inlineStr">
        <is>
          <t>交通费</t>
        </is>
      </c>
      <c r="D54" s="7" t="n">
        <v>8.699999999999999</v>
      </c>
      <c r="F54" s="7" t="n">
        <v>9.1</v>
      </c>
      <c r="H54" s="7" t="n">
        <v>16.2</v>
      </c>
      <c r="J54" s="7" t="n">
        <v>7.1</v>
      </c>
      <c r="L54" s="7" t="n">
        <v>18.5</v>
      </c>
      <c r="N54" s="7" t="n">
        <v>15.7</v>
      </c>
      <c r="P54" s="7" t="n">
        <v>18.4</v>
      </c>
      <c r="R54" s="7" t="n">
        <v>24.1</v>
      </c>
      <c r="T54" s="7" t="n">
        <v>14.6</v>
      </c>
      <c r="V54" s="7" t="n">
        <v>19.3</v>
      </c>
      <c r="X54" s="7" t="n">
        <v>12.6</v>
      </c>
      <c r="Z54" s="7" t="n">
        <v>5.8</v>
      </c>
      <c r="AB54" s="7" t="n">
        <v>170.1</v>
      </c>
    </row>
    <row r="55">
      <c r="A55" s="4" t="inlineStr">
        <is>
          <t>住宿费</t>
        </is>
      </c>
      <c r="D55" s="7" t="n">
        <v>304.8</v>
      </c>
      <c r="F55" s="7" t="n">
        <v>270.7</v>
      </c>
      <c r="H55" s="7" t="n">
        <v>324.8</v>
      </c>
      <c r="J55" s="7" t="n">
        <v>381</v>
      </c>
      <c r="L55" s="7" t="n">
        <v>883</v>
      </c>
      <c r="N55" s="7" t="n">
        <v>423.2</v>
      </c>
      <c r="P55" s="7" t="n">
        <v>702.9</v>
      </c>
      <c r="R55" s="7" t="n">
        <v>512.3</v>
      </c>
      <c r="T55" s="7" t="n">
        <v>553</v>
      </c>
      <c r="V55" s="7" t="n">
        <v>651.2</v>
      </c>
      <c r="X55" s="7" t="n">
        <v>510</v>
      </c>
      <c r="Z55" s="7" t="n">
        <v>279.4</v>
      </c>
      <c r="AB55" s="7" t="n">
        <v>5796.3</v>
      </c>
    </row>
    <row r="56">
      <c r="A56" s="4" t="inlineStr">
        <is>
          <t>餐补</t>
        </is>
      </c>
      <c r="D56" s="7" t="n">
        <v>337.5</v>
      </c>
      <c r="F56" s="7" t="n">
        <v>694.4</v>
      </c>
      <c r="H56" s="7" t="n">
        <v>765.4</v>
      </c>
      <c r="J56" s="7" t="n">
        <v>390.8</v>
      </c>
      <c r="L56" s="7" t="n">
        <v>818.2</v>
      </c>
      <c r="N56" s="7" t="n">
        <v>767.3</v>
      </c>
      <c r="P56" s="7" t="n">
        <v>1257.6</v>
      </c>
      <c r="R56" s="7" t="n">
        <v>703.1</v>
      </c>
      <c r="T56" s="7" t="n">
        <v>861.8</v>
      </c>
      <c r="V56" s="7" t="n">
        <v>813.9</v>
      </c>
      <c r="X56" s="7" t="n">
        <v>459.1</v>
      </c>
      <c r="Z56" s="7" t="n">
        <v>294.5</v>
      </c>
      <c r="AB56" s="7" t="n">
        <v>8163.6</v>
      </c>
    </row>
    <row r="57">
      <c r="A57" s="4" t="inlineStr">
        <is>
          <t>交通补助</t>
        </is>
      </c>
      <c r="D57" s="7" t="n">
        <v>59.7</v>
      </c>
      <c r="F57" s="7" t="n">
        <v>64.2</v>
      </c>
      <c r="H57" s="7" t="n">
        <v>82.5</v>
      </c>
      <c r="J57" s="7" t="n">
        <v>50.1</v>
      </c>
      <c r="L57" s="7" t="n">
        <v>87.90000000000001</v>
      </c>
      <c r="N57" s="7" t="n">
        <v>100</v>
      </c>
      <c r="P57" s="7" t="n">
        <v>88.40000000000001</v>
      </c>
      <c r="R57" s="7" t="n">
        <v>102.2</v>
      </c>
      <c r="T57" s="7" t="n">
        <v>63.4</v>
      </c>
      <c r="V57" s="7" t="n">
        <v>133.1</v>
      </c>
      <c r="X57" s="7" t="n">
        <v>66.3</v>
      </c>
      <c r="Z57" s="7" t="n">
        <v>32.2</v>
      </c>
      <c r="AB57" s="7" t="n">
        <v>930</v>
      </c>
    </row>
    <row r="58">
      <c r="A58" s="4" t="inlineStr">
        <is>
          <t>通讯补助</t>
        </is>
      </c>
      <c r="D58" s="7" t="n">
        <v>49.6</v>
      </c>
      <c r="F58" s="7" t="n">
        <v>47.4</v>
      </c>
      <c r="H58" s="7" t="n">
        <v>57.6</v>
      </c>
      <c r="J58" s="7" t="n">
        <v>35.6</v>
      </c>
      <c r="L58" s="7" t="n">
        <v>100.4</v>
      </c>
      <c r="N58" s="7" t="n">
        <v>105</v>
      </c>
      <c r="P58" s="7" t="n">
        <v>97.40000000000001</v>
      </c>
      <c r="R58" s="7" t="n">
        <v>139.4</v>
      </c>
      <c r="T58" s="7" t="n">
        <v>75.7</v>
      </c>
      <c r="V58" s="7" t="n">
        <v>88</v>
      </c>
      <c r="X58" s="7" t="n">
        <v>62.8</v>
      </c>
      <c r="Z58" s="7" t="n">
        <v>47.3</v>
      </c>
      <c r="AB58" s="7" t="n">
        <v>906.2</v>
      </c>
    </row>
    <row r="59">
      <c r="A59" s="4" t="inlineStr">
        <is>
          <t>招待费</t>
        </is>
      </c>
      <c r="D59" s="7" t="n">
        <v>3427.7</v>
      </c>
      <c r="F59" s="7" t="n">
        <v>3910.1</v>
      </c>
      <c r="H59" s="7" t="n">
        <v>4377.4</v>
      </c>
      <c r="J59" s="7" t="n">
        <v>3840.5</v>
      </c>
      <c r="L59" s="7" t="n">
        <v>5196.5</v>
      </c>
      <c r="N59" s="7" t="n">
        <v>6741.2</v>
      </c>
      <c r="P59" s="7" t="n">
        <v>6027.6</v>
      </c>
      <c r="R59" s="7" t="n">
        <v>6217.3</v>
      </c>
      <c r="T59" s="7" t="n">
        <v>5307.3</v>
      </c>
      <c r="V59" s="7" t="n">
        <v>7668.3</v>
      </c>
      <c r="X59" s="7" t="n">
        <v>3047</v>
      </c>
      <c r="Z59" s="7" t="n">
        <v>2171.2</v>
      </c>
      <c r="AB59" s="7" t="n">
        <v>57932.1</v>
      </c>
    </row>
    <row r="60">
      <c r="A60" s="4" t="inlineStr">
        <is>
          <t>通讯费</t>
        </is>
      </c>
      <c r="D60" s="7" t="n">
        <v>176.1</v>
      </c>
      <c r="F60" s="7" t="n">
        <v>249.8</v>
      </c>
      <c r="H60" s="7" t="n">
        <v>292</v>
      </c>
      <c r="J60" s="7" t="n">
        <v>217.2</v>
      </c>
      <c r="L60" s="7" t="n">
        <v>489.9</v>
      </c>
      <c r="N60" s="7" t="n">
        <v>506.2</v>
      </c>
      <c r="P60" s="7" t="n">
        <v>616.7</v>
      </c>
      <c r="R60" s="7" t="n">
        <v>511.8</v>
      </c>
      <c r="T60" s="7" t="n">
        <v>455.5</v>
      </c>
      <c r="V60" s="7" t="n">
        <v>407.9</v>
      </c>
      <c r="X60" s="7" t="n">
        <v>259.1</v>
      </c>
      <c r="Z60" s="7" t="n">
        <v>142.5</v>
      </c>
      <c r="AB60" s="7" t="n">
        <v>4324.7</v>
      </c>
    </row>
    <row r="61">
      <c r="A61" s="4" t="inlineStr">
        <is>
          <t>网络费</t>
        </is>
      </c>
      <c r="D61" s="7" t="n">
        <v>426.4</v>
      </c>
      <c r="F61" s="7" t="n">
        <v>476.9</v>
      </c>
      <c r="H61" s="7" t="n">
        <v>588.2</v>
      </c>
      <c r="J61" s="7" t="n">
        <v>516.2</v>
      </c>
      <c r="L61" s="7" t="n">
        <v>780.5</v>
      </c>
      <c r="N61" s="7" t="n">
        <v>800.5</v>
      </c>
      <c r="P61" s="7" t="n">
        <v>878.4</v>
      </c>
      <c r="R61" s="7" t="n">
        <v>959</v>
      </c>
      <c r="T61" s="7" t="n">
        <v>1024.6</v>
      </c>
      <c r="V61" s="7" t="n">
        <v>1215.8</v>
      </c>
      <c r="X61" s="7" t="n">
        <v>606.5</v>
      </c>
      <c r="Z61" s="7" t="n">
        <v>338.2</v>
      </c>
      <c r="AB61" s="7" t="n">
        <v>8611.200000000001</v>
      </c>
    </row>
    <row r="62">
      <c r="A62" s="4" t="inlineStr">
        <is>
          <t>修理费</t>
        </is>
      </c>
      <c r="D62" s="7" t="n">
        <v>147.6</v>
      </c>
      <c r="F62" s="7" t="n">
        <v>215.7</v>
      </c>
      <c r="H62" s="7" t="n">
        <v>153.9</v>
      </c>
      <c r="J62" s="7" t="n">
        <v>157.4</v>
      </c>
      <c r="L62" s="7" t="n">
        <v>352.3</v>
      </c>
      <c r="N62" s="7" t="n">
        <v>214.2</v>
      </c>
      <c r="P62" s="7" t="n">
        <v>255.6</v>
      </c>
      <c r="R62" s="7" t="n">
        <v>369</v>
      </c>
      <c r="T62" s="7" t="n">
        <v>198.6</v>
      </c>
      <c r="V62" s="7" t="n">
        <v>309.7</v>
      </c>
      <c r="X62" s="7" t="n">
        <v>127.3</v>
      </c>
      <c r="Z62" s="7" t="n">
        <v>116.8</v>
      </c>
      <c r="AB62" s="7" t="n">
        <v>2618.1</v>
      </c>
    </row>
    <row r="63">
      <c r="A63" s="4" t="inlineStr">
        <is>
          <t>车辆费</t>
        </is>
      </c>
      <c r="D63" s="7" t="n">
        <v>96.7</v>
      </c>
      <c r="F63" s="7" t="n">
        <v>128.2</v>
      </c>
      <c r="H63" s="7" t="n">
        <v>112.1</v>
      </c>
      <c r="J63" s="7" t="n">
        <v>95</v>
      </c>
      <c r="L63" s="7" t="n">
        <v>263.9</v>
      </c>
      <c r="N63" s="7" t="n">
        <v>110.4</v>
      </c>
      <c r="P63" s="7" t="n">
        <v>187.1</v>
      </c>
      <c r="R63" s="7" t="n">
        <v>207.3</v>
      </c>
      <c r="T63" s="7" t="n">
        <v>155.1</v>
      </c>
      <c r="V63" s="7" t="n">
        <v>249.2</v>
      </c>
      <c r="X63" s="7" t="n">
        <v>117.5</v>
      </c>
      <c r="Z63" s="7" t="n">
        <v>90</v>
      </c>
      <c r="AB63" s="7" t="n">
        <v>1812.5</v>
      </c>
    </row>
    <row r="64">
      <c r="A64" s="4" t="inlineStr">
        <is>
          <t>租赁费</t>
        </is>
      </c>
      <c r="D64" s="7" t="n">
        <v>3399.8</v>
      </c>
      <c r="F64" s="7" t="n">
        <v>4632.4</v>
      </c>
      <c r="H64" s="7" t="n">
        <v>4983.1</v>
      </c>
      <c r="J64" s="7" t="n">
        <v>3425.5</v>
      </c>
      <c r="L64" s="7" t="n">
        <v>9522.200000000001</v>
      </c>
      <c r="N64" s="7" t="n">
        <v>4920.6</v>
      </c>
      <c r="P64" s="7" t="n">
        <v>10765.3</v>
      </c>
      <c r="R64" s="7" t="n">
        <v>9583.6</v>
      </c>
      <c r="T64" s="7" t="n">
        <v>6307</v>
      </c>
      <c r="V64" s="7" t="n">
        <v>9103.200000000001</v>
      </c>
      <c r="X64" s="7" t="n">
        <v>4490.3</v>
      </c>
      <c r="Z64" s="7" t="n">
        <v>2995.6</v>
      </c>
      <c r="AB64" s="7" t="n">
        <v>74128.60000000001</v>
      </c>
    </row>
    <row r="65">
      <c r="A65" s="4" t="inlineStr">
        <is>
          <t>能源费</t>
        </is>
      </c>
      <c r="D65" s="7" t="n">
        <v>1434.6</v>
      </c>
      <c r="F65" s="7" t="n">
        <v>2121.6</v>
      </c>
      <c r="H65" s="7" t="n">
        <v>2545.3</v>
      </c>
      <c r="J65" s="7" t="n">
        <v>1606.7</v>
      </c>
      <c r="L65" s="7" t="n">
        <v>3764.7</v>
      </c>
      <c r="N65" s="7" t="n">
        <v>2952.5</v>
      </c>
      <c r="P65" s="7" t="n">
        <v>3817.8</v>
      </c>
      <c r="R65" s="7" t="n">
        <v>3606.3</v>
      </c>
      <c r="T65" s="7" t="n">
        <v>2896.4</v>
      </c>
      <c r="V65" s="7" t="n">
        <v>3315.5</v>
      </c>
      <c r="X65" s="7" t="n">
        <v>2510.9</v>
      </c>
      <c r="Z65" s="7" t="n">
        <v>1244.5</v>
      </c>
      <c r="AB65" s="7" t="n">
        <v>31816.8</v>
      </c>
    </row>
    <row r="66">
      <c r="A66" s="4" t="inlineStr">
        <is>
          <t>水费</t>
        </is>
      </c>
      <c r="D66" s="7" t="n">
        <v>291.7</v>
      </c>
      <c r="F66" s="7" t="n">
        <v>384.6</v>
      </c>
      <c r="H66" s="7" t="n">
        <v>496</v>
      </c>
      <c r="J66" s="7" t="n">
        <v>334.8</v>
      </c>
      <c r="L66" s="7" t="n">
        <v>548.6</v>
      </c>
      <c r="N66" s="7" t="n">
        <v>467.7</v>
      </c>
      <c r="P66" s="7" t="n">
        <v>636.7</v>
      </c>
      <c r="R66" s="7" t="n">
        <v>719.7</v>
      </c>
      <c r="T66" s="7" t="n">
        <v>502.6</v>
      </c>
      <c r="V66" s="7" t="n">
        <v>533.2</v>
      </c>
      <c r="X66" s="7" t="n">
        <v>384.5</v>
      </c>
      <c r="Z66" s="7" t="n">
        <v>264.1</v>
      </c>
      <c r="AB66" s="7" t="n">
        <v>5564.2</v>
      </c>
    </row>
    <row r="67">
      <c r="A67" s="4" t="inlineStr">
        <is>
          <t>电费</t>
        </is>
      </c>
      <c r="D67" s="7" t="n">
        <v>395.7</v>
      </c>
      <c r="F67" s="7" t="n">
        <v>687</v>
      </c>
      <c r="H67" s="7" t="n">
        <v>893.8</v>
      </c>
      <c r="J67" s="7" t="n">
        <v>365.2</v>
      </c>
      <c r="L67" s="7" t="n">
        <v>1055.7</v>
      </c>
      <c r="N67" s="7" t="n">
        <v>886.5</v>
      </c>
      <c r="P67" s="7" t="n">
        <v>1230.8</v>
      </c>
      <c r="R67" s="7" t="n">
        <v>832.4</v>
      </c>
      <c r="T67" s="7" t="n">
        <v>705.6</v>
      </c>
      <c r="V67" s="7" t="n">
        <v>1097</v>
      </c>
      <c r="X67" s="7" t="n">
        <v>831.6</v>
      </c>
      <c r="Z67" s="7" t="n">
        <v>317.1</v>
      </c>
      <c r="AB67" s="7" t="n">
        <v>9298.4</v>
      </c>
    </row>
    <row r="68">
      <c r="A68" s="4" t="inlineStr">
        <is>
          <t>燃气费</t>
        </is>
      </c>
      <c r="D68" s="7" t="n">
        <v>330.2</v>
      </c>
      <c r="F68" s="7" t="n">
        <v>553.7</v>
      </c>
      <c r="H68" s="7" t="n">
        <v>572.4</v>
      </c>
      <c r="J68" s="7" t="n">
        <v>474.5</v>
      </c>
      <c r="L68" s="7" t="n">
        <v>1088.8</v>
      </c>
      <c r="N68" s="7" t="n">
        <v>922.1</v>
      </c>
      <c r="P68" s="7" t="n">
        <v>940.1</v>
      </c>
      <c r="R68" s="7" t="n">
        <v>883</v>
      </c>
      <c r="T68" s="7" t="n">
        <v>705.3</v>
      </c>
      <c r="V68" s="7" t="n">
        <v>934.5</v>
      </c>
      <c r="X68" s="7" t="n">
        <v>712.2</v>
      </c>
      <c r="Z68" s="7" t="n">
        <v>249.3</v>
      </c>
      <c r="AB68" s="7" t="n">
        <v>8366.1</v>
      </c>
    </row>
    <row r="69">
      <c r="A69" s="4" t="inlineStr">
        <is>
          <t>蒸汽费</t>
        </is>
      </c>
      <c r="D69" s="7" t="n">
        <v>417</v>
      </c>
      <c r="F69" s="7" t="n">
        <v>496.3</v>
      </c>
      <c r="H69" s="7" t="n">
        <v>583.1</v>
      </c>
      <c r="J69" s="7" t="n">
        <v>432.2</v>
      </c>
      <c r="L69" s="7" t="n">
        <v>1071.6</v>
      </c>
      <c r="N69" s="7" t="n">
        <v>676.2</v>
      </c>
      <c r="P69" s="7" t="n">
        <v>1010.2</v>
      </c>
      <c r="R69" s="7" t="n">
        <v>1171.2</v>
      </c>
      <c r="T69" s="7" t="n">
        <v>982.9</v>
      </c>
      <c r="V69" s="7" t="n">
        <v>750.8</v>
      </c>
      <c r="X69" s="7" t="n">
        <v>582.6</v>
      </c>
      <c r="Z69" s="7" t="n">
        <v>414</v>
      </c>
      <c r="AB69" s="7" t="n">
        <v>8588.1</v>
      </c>
    </row>
    <row r="70">
      <c r="A70" s="4" t="inlineStr">
        <is>
          <t>物业费</t>
        </is>
      </c>
      <c r="D70" s="7" t="n">
        <v>379.8</v>
      </c>
      <c r="F70" s="7" t="n">
        <v>727</v>
      </c>
      <c r="H70" s="7" t="n">
        <v>541.8</v>
      </c>
      <c r="J70" s="7" t="n">
        <v>361.8</v>
      </c>
      <c r="L70" s="7" t="n">
        <v>995.2</v>
      </c>
      <c r="N70" s="7" t="n">
        <v>980.5</v>
      </c>
      <c r="P70" s="7" t="n">
        <v>1325.4</v>
      </c>
      <c r="R70" s="7" t="n">
        <v>1154.5</v>
      </c>
      <c r="T70" s="7" t="n">
        <v>1028.4</v>
      </c>
      <c r="V70" s="7" t="n">
        <v>1110</v>
      </c>
      <c r="X70" s="7" t="n">
        <v>709.1</v>
      </c>
      <c r="Z70" s="7" t="n">
        <v>354.2</v>
      </c>
      <c r="AB70" s="7" t="n">
        <v>9667.700000000001</v>
      </c>
    </row>
    <row r="71">
      <c r="A71" s="4" t="inlineStr">
        <is>
          <t>劳动保护费</t>
        </is>
      </c>
      <c r="D71" s="7" t="n">
        <v>343.7</v>
      </c>
      <c r="F71" s="7" t="n">
        <v>349.5</v>
      </c>
      <c r="H71" s="7" t="n">
        <v>563.7</v>
      </c>
      <c r="J71" s="7" t="n">
        <v>360</v>
      </c>
      <c r="L71" s="7" t="n">
        <v>908.5</v>
      </c>
      <c r="N71" s="7" t="n">
        <v>428.4</v>
      </c>
      <c r="P71" s="7" t="n">
        <v>761.3</v>
      </c>
      <c r="R71" s="7" t="n">
        <v>638.2</v>
      </c>
      <c r="T71" s="7" t="n">
        <v>610.2</v>
      </c>
      <c r="V71" s="7" t="n">
        <v>668.5</v>
      </c>
      <c r="X71" s="7" t="n">
        <v>528.1</v>
      </c>
      <c r="Z71" s="7" t="n">
        <v>297.1</v>
      </c>
      <c r="AB71" s="7" t="n">
        <v>6457.2</v>
      </c>
    </row>
    <row r="72">
      <c r="A72" s="4" t="inlineStr">
        <is>
          <t>顾问费</t>
        </is>
      </c>
      <c r="D72" s="7" t="n">
        <v>469.3</v>
      </c>
      <c r="F72" s="7" t="n">
        <v>451.9</v>
      </c>
      <c r="H72" s="7" t="n">
        <v>517</v>
      </c>
      <c r="J72" s="7" t="n">
        <v>328</v>
      </c>
      <c r="L72" s="7" t="n">
        <v>941.1</v>
      </c>
      <c r="N72" s="7" t="n">
        <v>560.7</v>
      </c>
      <c r="P72" s="7" t="n">
        <v>1077</v>
      </c>
      <c r="R72" s="7" t="n">
        <v>742.7</v>
      </c>
      <c r="T72" s="7" t="n">
        <v>491.6</v>
      </c>
      <c r="V72" s="7" t="n">
        <v>894.8</v>
      </c>
      <c r="X72" s="7" t="n">
        <v>420.1</v>
      </c>
      <c r="Z72" s="7" t="n">
        <v>223</v>
      </c>
      <c r="AB72" s="7" t="n">
        <v>7117.2</v>
      </c>
    </row>
    <row r="73">
      <c r="A73" s="4" t="inlineStr">
        <is>
          <t>快递费</t>
        </is>
      </c>
      <c r="D73" s="7" t="n">
        <v>512.6</v>
      </c>
      <c r="F73" s="7" t="n">
        <v>396</v>
      </c>
      <c r="H73" s="7" t="n">
        <v>679.8</v>
      </c>
      <c r="J73" s="7" t="n">
        <v>432.1</v>
      </c>
      <c r="L73" s="7" t="n">
        <v>1137.6</v>
      </c>
      <c r="N73" s="7" t="n">
        <v>873.1</v>
      </c>
      <c r="P73" s="7" t="n">
        <v>1019</v>
      </c>
      <c r="R73" s="7" t="n">
        <v>934</v>
      </c>
      <c r="T73" s="7" t="n">
        <v>933.7</v>
      </c>
      <c r="V73" s="7" t="n">
        <v>695.9</v>
      </c>
      <c r="X73" s="7" t="n">
        <v>531.9</v>
      </c>
      <c r="Z73" s="7" t="n">
        <v>276.4</v>
      </c>
      <c r="AB73" s="7" t="n">
        <v>8422.1</v>
      </c>
    </row>
    <row r="74">
      <c r="A74" s="4" t="inlineStr">
        <is>
          <t>诉讼费</t>
        </is>
      </c>
      <c r="D74" s="7" t="n">
        <v>25.2</v>
      </c>
      <c r="F74" s="7" t="n">
        <v>46.1</v>
      </c>
      <c r="H74" s="7" t="n">
        <v>48.3</v>
      </c>
      <c r="J74" s="7" t="n">
        <v>39.3</v>
      </c>
      <c r="L74" s="7" t="n">
        <v>89.7</v>
      </c>
      <c r="N74" s="7" t="n">
        <v>39.4</v>
      </c>
      <c r="P74" s="7" t="n">
        <v>59.7</v>
      </c>
      <c r="R74" s="7" t="n">
        <v>86.90000000000001</v>
      </c>
      <c r="T74" s="7" t="n">
        <v>63.8</v>
      </c>
      <c r="V74" s="7" t="n">
        <v>83.09999999999999</v>
      </c>
      <c r="X74" s="7" t="n">
        <v>42.3</v>
      </c>
      <c r="Z74" s="7" t="n">
        <v>26.9</v>
      </c>
      <c r="AB74" s="7" t="n">
        <v>650.7</v>
      </c>
    </row>
    <row r="75">
      <c r="A75" s="4" t="inlineStr">
        <is>
          <t>会员费</t>
        </is>
      </c>
      <c r="D75" s="7" t="n">
        <v>387.8</v>
      </c>
      <c r="F75" s="7" t="n">
        <v>447.1</v>
      </c>
      <c r="H75" s="7" t="n">
        <v>403.6</v>
      </c>
      <c r="J75" s="7" t="n">
        <v>261.4</v>
      </c>
      <c r="L75" s="7" t="n">
        <v>631.7</v>
      </c>
      <c r="N75" s="7" t="n">
        <v>686.3</v>
      </c>
      <c r="P75" s="7" t="n">
        <v>1031.1</v>
      </c>
      <c r="R75" s="7" t="n">
        <v>936.7</v>
      </c>
      <c r="T75" s="7" t="n">
        <v>778.2</v>
      </c>
      <c r="V75" s="7" t="n">
        <v>661.5</v>
      </c>
      <c r="X75" s="7" t="n">
        <v>348.7</v>
      </c>
      <c r="Z75" s="7" t="n">
        <v>315.8</v>
      </c>
      <c r="AB75" s="7" t="n">
        <v>6889.9</v>
      </c>
    </row>
    <row r="76">
      <c r="A76" s="4" t="inlineStr">
        <is>
          <t>广告宣传费</t>
        </is>
      </c>
      <c r="D76" s="7" t="n">
        <v>3177.2</v>
      </c>
      <c r="F76" s="7" t="n">
        <v>3034.8</v>
      </c>
      <c r="H76" s="7" t="n">
        <v>4115</v>
      </c>
      <c r="J76" s="7" t="n">
        <v>2036.9</v>
      </c>
      <c r="L76" s="7" t="n">
        <v>4648</v>
      </c>
      <c r="N76" s="7" t="n">
        <v>3924</v>
      </c>
      <c r="P76" s="7" t="n">
        <v>4795.2</v>
      </c>
      <c r="R76" s="7" t="n">
        <v>3936.7</v>
      </c>
      <c r="T76" s="7" t="n">
        <v>5141.7</v>
      </c>
      <c r="V76" s="7" t="n">
        <v>5647.4</v>
      </c>
      <c r="X76" s="7" t="n">
        <v>3496</v>
      </c>
      <c r="Z76" s="7" t="n">
        <v>2065.2</v>
      </c>
      <c r="AB76" s="7" t="n">
        <v>46018.1</v>
      </c>
    </row>
    <row r="77">
      <c r="A77" s="4" t="inlineStr">
        <is>
          <t>会务费</t>
        </is>
      </c>
      <c r="D77" s="7" t="n">
        <v>405.4</v>
      </c>
      <c r="F77" s="7" t="n">
        <v>735.1</v>
      </c>
      <c r="H77" s="7" t="n">
        <v>934.2</v>
      </c>
      <c r="J77" s="7" t="n">
        <v>431.4</v>
      </c>
      <c r="L77" s="7" t="n">
        <v>1490.7</v>
      </c>
      <c r="N77" s="7" t="n">
        <v>938.2</v>
      </c>
      <c r="P77" s="7" t="n">
        <v>828.7</v>
      </c>
      <c r="R77" s="7" t="n">
        <v>1013</v>
      </c>
      <c r="T77" s="7" t="n">
        <v>1126.1</v>
      </c>
      <c r="V77" s="7" t="n">
        <v>1213.5</v>
      </c>
      <c r="X77" s="7" t="n">
        <v>635.5</v>
      </c>
      <c r="Z77" s="7" t="n">
        <v>286.1</v>
      </c>
      <c r="AB77" s="7" t="n">
        <v>10037.9</v>
      </c>
    </row>
    <row r="78">
      <c r="A78" s="4" t="inlineStr">
        <is>
          <t>装修费</t>
        </is>
      </c>
      <c r="D78" s="7" t="n">
        <v>170.3</v>
      </c>
      <c r="F78" s="7" t="n">
        <v>264.6</v>
      </c>
      <c r="H78" s="7" t="n">
        <v>341.6</v>
      </c>
      <c r="J78" s="7" t="n">
        <v>184.4</v>
      </c>
      <c r="L78" s="7" t="n">
        <v>316</v>
      </c>
      <c r="N78" s="7" t="n">
        <v>295.8</v>
      </c>
      <c r="P78" s="7" t="n">
        <v>484.9</v>
      </c>
      <c r="R78" s="7" t="n">
        <v>363.5</v>
      </c>
      <c r="T78" s="7" t="n">
        <v>491.3</v>
      </c>
      <c r="V78" s="7" t="n">
        <v>373.6</v>
      </c>
      <c r="X78" s="7" t="n">
        <v>326</v>
      </c>
      <c r="Z78" s="7" t="n">
        <v>179</v>
      </c>
      <c r="AB78" s="7" t="n">
        <v>3791</v>
      </c>
    </row>
    <row r="79">
      <c r="A79" s="4" t="inlineStr">
        <is>
          <t>推广费</t>
        </is>
      </c>
      <c r="D79" s="7" t="n">
        <v>180.5</v>
      </c>
      <c r="F79" s="7" t="n">
        <v>214.5</v>
      </c>
      <c r="H79" s="7" t="n">
        <v>234.3</v>
      </c>
      <c r="J79" s="7" t="n">
        <v>163.6</v>
      </c>
      <c r="L79" s="7" t="n">
        <v>367.6</v>
      </c>
      <c r="N79" s="7" t="n">
        <v>301.6</v>
      </c>
      <c r="P79" s="7" t="n">
        <v>248.1</v>
      </c>
      <c r="R79" s="7" t="n">
        <v>377.9</v>
      </c>
      <c r="T79" s="7" t="n">
        <v>211.9</v>
      </c>
      <c r="V79" s="7" t="n">
        <v>319.7</v>
      </c>
      <c r="X79" s="7" t="n">
        <v>232.2</v>
      </c>
      <c r="Z79" s="7" t="n">
        <v>80.3</v>
      </c>
      <c r="AB79" s="7" t="n">
        <v>2932.2</v>
      </c>
    </row>
    <row r="80">
      <c r="A80" s="4" t="inlineStr">
        <is>
          <t>展会费</t>
        </is>
      </c>
      <c r="D80" s="7" t="n">
        <v>447</v>
      </c>
      <c r="F80" s="7" t="n">
        <v>355.6</v>
      </c>
      <c r="H80" s="7" t="n">
        <v>398.1</v>
      </c>
      <c r="J80" s="7" t="n">
        <v>245.1</v>
      </c>
      <c r="L80" s="7" t="n">
        <v>923.9</v>
      </c>
      <c r="N80" s="7" t="n">
        <v>586.2</v>
      </c>
      <c r="P80" s="7" t="n">
        <v>925</v>
      </c>
      <c r="R80" s="7" t="n">
        <v>877.6</v>
      </c>
      <c r="T80" s="7" t="n">
        <v>789.4</v>
      </c>
      <c r="V80" s="7" t="n">
        <v>565.2</v>
      </c>
      <c r="X80" s="7" t="n">
        <v>475</v>
      </c>
      <c r="Z80" s="7" t="n">
        <v>221.8</v>
      </c>
      <c r="AB80" s="7" t="n">
        <v>6809.9</v>
      </c>
    </row>
    <row r="81">
      <c r="A81" s="4" t="inlineStr">
        <is>
          <t>设计费</t>
        </is>
      </c>
      <c r="D81" s="7" t="n">
        <v>536.1</v>
      </c>
      <c r="F81" s="7" t="n">
        <v>549.8</v>
      </c>
      <c r="H81" s="7" t="n">
        <v>722.3</v>
      </c>
      <c r="J81" s="7" t="n">
        <v>424.6</v>
      </c>
      <c r="L81" s="7" t="n">
        <v>691.8</v>
      </c>
      <c r="N81" s="7" t="n">
        <v>492.3</v>
      </c>
      <c r="P81" s="7" t="n">
        <v>1169</v>
      </c>
      <c r="R81" s="7" t="n">
        <v>1078.1</v>
      </c>
      <c r="T81" s="7" t="n">
        <v>590.1</v>
      </c>
      <c r="V81" s="7" t="n">
        <v>662.2</v>
      </c>
      <c r="X81" s="7" t="n">
        <v>562.2</v>
      </c>
      <c r="Z81" s="7" t="n">
        <v>251.8</v>
      </c>
      <c r="AB81" s="7" t="n">
        <v>7730.3</v>
      </c>
    </row>
    <row r="82">
      <c r="A82" s="4" t="inlineStr">
        <is>
          <t>折旧费</t>
        </is>
      </c>
      <c r="D82" s="7" t="n">
        <v>3645.6</v>
      </c>
      <c r="F82" s="7" t="n">
        <v>2877.2</v>
      </c>
      <c r="H82" s="7" t="n">
        <v>5645.2</v>
      </c>
      <c r="J82" s="7" t="n">
        <v>2523.6</v>
      </c>
      <c r="L82" s="7" t="n">
        <v>7284.7</v>
      </c>
      <c r="N82" s="7" t="n">
        <v>5678.6</v>
      </c>
      <c r="P82" s="7" t="n">
        <v>7382.7</v>
      </c>
      <c r="R82" s="7" t="n">
        <v>9055.799999999999</v>
      </c>
      <c r="T82" s="7" t="n">
        <v>7739.5</v>
      </c>
      <c r="V82" s="7" t="n">
        <v>5277.9</v>
      </c>
      <c r="X82" s="7" t="n">
        <v>3334.5</v>
      </c>
      <c r="Z82" s="7" t="n">
        <v>1979.9</v>
      </c>
      <c r="AB82" s="7" t="n">
        <v>62425.2</v>
      </c>
    </row>
    <row r="83">
      <c r="A83" s="4" t="inlineStr">
        <is>
          <t>认证费</t>
        </is>
      </c>
      <c r="D83" s="7" t="n">
        <v>116.3</v>
      </c>
      <c r="F83" s="7" t="n">
        <v>110.9</v>
      </c>
      <c r="H83" s="7" t="n">
        <v>136.1</v>
      </c>
      <c r="J83" s="7" t="n">
        <v>96.90000000000001</v>
      </c>
      <c r="L83" s="7" t="n">
        <v>235.4</v>
      </c>
      <c r="N83" s="7" t="n">
        <v>181.5</v>
      </c>
      <c r="P83" s="7" t="n">
        <v>177.7</v>
      </c>
      <c r="R83" s="7" t="n">
        <v>251.6</v>
      </c>
      <c r="T83" s="7" t="n">
        <v>180.4</v>
      </c>
      <c r="V83" s="7" t="n">
        <v>137.9</v>
      </c>
      <c r="X83" s="7" t="n">
        <v>89.7</v>
      </c>
      <c r="Z83" s="7" t="n">
        <v>68.3</v>
      </c>
      <c r="AB83" s="7" t="n">
        <v>1782.7</v>
      </c>
    </row>
    <row r="84">
      <c r="A84" s="4" t="inlineStr">
        <is>
          <t>样品费</t>
        </is>
      </c>
      <c r="D84" s="7" t="n">
        <v>1770.7</v>
      </c>
      <c r="F84" s="7" t="n">
        <v>1791.2</v>
      </c>
      <c r="H84" s="7" t="n">
        <v>2388.3</v>
      </c>
      <c r="J84" s="7" t="n">
        <v>1665.2</v>
      </c>
      <c r="L84" s="7" t="n">
        <v>3542.1</v>
      </c>
      <c r="N84" s="7" t="n">
        <v>2400.3</v>
      </c>
      <c r="P84" s="7" t="n">
        <v>2721.9</v>
      </c>
      <c r="R84" s="7" t="n">
        <v>3742</v>
      </c>
      <c r="T84" s="7" t="n">
        <v>2891.3</v>
      </c>
      <c r="V84" s="7" t="n">
        <v>3767</v>
      </c>
      <c r="X84" s="7" t="n">
        <v>1608.1</v>
      </c>
      <c r="Z84" s="7" t="n">
        <v>1327.9</v>
      </c>
      <c r="AB84" s="7" t="n">
        <v>29616</v>
      </c>
    </row>
    <row r="85">
      <c r="A85" s="4" t="inlineStr">
        <is>
          <t>劳务费</t>
        </is>
      </c>
      <c r="D85" s="7" t="n">
        <v>602.2</v>
      </c>
      <c r="F85" s="7" t="n">
        <v>466.8</v>
      </c>
      <c r="H85" s="7" t="n">
        <v>662.8</v>
      </c>
      <c r="J85" s="7" t="n">
        <v>420.9</v>
      </c>
      <c r="L85" s="7" t="n">
        <v>751.7</v>
      </c>
      <c r="N85" s="7" t="n">
        <v>585.5</v>
      </c>
      <c r="P85" s="7" t="n">
        <v>835.6</v>
      </c>
      <c r="R85" s="7" t="n">
        <v>760.9</v>
      </c>
      <c r="T85" s="7" t="n">
        <v>955.5</v>
      </c>
      <c r="V85" s="7" t="n">
        <v>1019.2</v>
      </c>
      <c r="X85" s="7" t="n">
        <v>664.5</v>
      </c>
      <c r="Z85" s="7" t="n">
        <v>434.5</v>
      </c>
      <c r="AB85" s="7" t="n">
        <v>8160.1</v>
      </c>
    </row>
    <row r="86">
      <c r="A86" s="4" t="inlineStr">
        <is>
          <t>销售佣金</t>
        </is>
      </c>
      <c r="D86" s="7" t="n">
        <v>524.9</v>
      </c>
      <c r="F86" s="7" t="n">
        <v>713.3</v>
      </c>
      <c r="H86" s="7" t="n">
        <v>921.3</v>
      </c>
      <c r="J86" s="7" t="n">
        <v>434.5</v>
      </c>
      <c r="L86" s="7" t="n">
        <v>979</v>
      </c>
      <c r="N86" s="7" t="n">
        <v>1068.6</v>
      </c>
      <c r="P86" s="7" t="n">
        <v>1106.1</v>
      </c>
      <c r="R86" s="7" t="n">
        <v>1299.3</v>
      </c>
      <c r="T86" s="7" t="n">
        <v>1072.3</v>
      </c>
      <c r="V86" s="7" t="n">
        <v>1047.7</v>
      </c>
      <c r="X86" s="7" t="n">
        <v>692.1</v>
      </c>
      <c r="Z86" s="7" t="n">
        <v>487.2</v>
      </c>
      <c r="AB86" s="7" t="n">
        <v>10346.3</v>
      </c>
    </row>
    <row r="87">
      <c r="A87" s="4" t="inlineStr">
        <is>
          <t>检测费</t>
        </is>
      </c>
      <c r="D87" s="7" t="n">
        <v>188.9</v>
      </c>
      <c r="F87" s="7" t="n">
        <v>254.3</v>
      </c>
      <c r="H87" s="7" t="n">
        <v>416.9</v>
      </c>
      <c r="J87" s="7" t="n">
        <v>213.9</v>
      </c>
      <c r="L87" s="7" t="n">
        <v>629.9</v>
      </c>
      <c r="N87" s="7" t="n">
        <v>482.4</v>
      </c>
      <c r="P87" s="7" t="n">
        <v>510.1</v>
      </c>
      <c r="R87" s="7" t="n">
        <v>635.5</v>
      </c>
      <c r="T87" s="7" t="n">
        <v>445.2</v>
      </c>
      <c r="V87" s="7" t="n">
        <v>535.7</v>
      </c>
      <c r="X87" s="7" t="n">
        <v>236.8</v>
      </c>
      <c r="Z87" s="7" t="n">
        <v>150.1</v>
      </c>
      <c r="AB87" s="7" t="n">
        <v>4699.7</v>
      </c>
    </row>
    <row r="88">
      <c r="A88" s="4" t="inlineStr">
        <is>
          <t>质量赔偿</t>
        </is>
      </c>
      <c r="D88" s="7" t="n">
        <v>653.8</v>
      </c>
      <c r="F88" s="7" t="n">
        <v>587.1</v>
      </c>
      <c r="H88" s="7" t="n">
        <v>592.7</v>
      </c>
      <c r="J88" s="7" t="n">
        <v>377.3</v>
      </c>
      <c r="L88" s="7" t="n">
        <v>1366.8</v>
      </c>
      <c r="N88" s="7" t="n">
        <v>877.5</v>
      </c>
      <c r="P88" s="7" t="n">
        <v>1045.9</v>
      </c>
      <c r="R88" s="7" t="n">
        <v>1320.2</v>
      </c>
      <c r="T88" s="7" t="n">
        <v>1033.2</v>
      </c>
      <c r="V88" s="7" t="n">
        <v>921.1</v>
      </c>
      <c r="X88" s="7" t="n">
        <v>589.2</v>
      </c>
      <c r="Z88" s="7" t="n">
        <v>440</v>
      </c>
      <c r="AB88" s="7" t="n">
        <v>9804.799999999999</v>
      </c>
    </row>
    <row r="89">
      <c r="A89" s="4" t="inlineStr">
        <is>
          <t>保险费</t>
        </is>
      </c>
      <c r="D89" s="7" t="n">
        <v>0.5</v>
      </c>
      <c r="F89" s="7" t="n">
        <v>0.4</v>
      </c>
      <c r="H89" s="7" t="n">
        <v>0.5</v>
      </c>
      <c r="J89" s="7" t="n">
        <v>0.3</v>
      </c>
      <c r="L89" s="7" t="n">
        <v>1.1</v>
      </c>
      <c r="N89" s="7" t="n">
        <v>0.8</v>
      </c>
      <c r="P89" s="7" t="n">
        <v>0.7</v>
      </c>
      <c r="R89" s="7" t="n">
        <v>0.8</v>
      </c>
      <c r="T89" s="7" t="n">
        <v>0.9</v>
      </c>
      <c r="V89" s="7" t="n">
        <v>0.9</v>
      </c>
      <c r="X89" s="7" t="n">
        <v>0.5</v>
      </c>
      <c r="Z89" s="7" t="n">
        <v>0.2</v>
      </c>
      <c r="AB89" s="7" t="n">
        <v>7.6</v>
      </c>
    </row>
    <row r="90">
      <c r="A90" s="4" t="inlineStr">
        <is>
          <t>清洁费</t>
        </is>
      </c>
      <c r="D90" s="7" t="n">
        <v>284.5</v>
      </c>
      <c r="F90" s="7" t="n">
        <v>318.8</v>
      </c>
      <c r="H90" s="7" t="n">
        <v>508</v>
      </c>
      <c r="J90" s="7" t="n">
        <v>297</v>
      </c>
      <c r="L90" s="7" t="n">
        <v>809.6</v>
      </c>
      <c r="N90" s="7" t="n">
        <v>593.2</v>
      </c>
      <c r="P90" s="7" t="n">
        <v>763.3</v>
      </c>
      <c r="R90" s="7" t="n">
        <v>551.1</v>
      </c>
      <c r="T90" s="7" t="n">
        <v>649.4</v>
      </c>
      <c r="V90" s="7" t="n">
        <v>627.2</v>
      </c>
      <c r="X90" s="7" t="n">
        <v>288.5</v>
      </c>
      <c r="Z90" s="7" t="n">
        <v>199.5</v>
      </c>
      <c r="AB90" s="7" t="n">
        <v>5890.1</v>
      </c>
    </row>
    <row r="91">
      <c r="A91" s="4" t="inlineStr">
        <is>
          <t>低值易耗品</t>
        </is>
      </c>
      <c r="D91" s="7" t="n">
        <v>385.7</v>
      </c>
      <c r="F91" s="7" t="n">
        <v>465.6</v>
      </c>
      <c r="H91" s="7" t="n">
        <v>546</v>
      </c>
      <c r="J91" s="7" t="n">
        <v>312.3</v>
      </c>
      <c r="L91" s="7" t="n">
        <v>957.6</v>
      </c>
      <c r="N91" s="7" t="n">
        <v>617.1</v>
      </c>
      <c r="P91" s="7" t="n">
        <v>1115.6</v>
      </c>
      <c r="R91" s="7" t="n">
        <v>1096.4</v>
      </c>
      <c r="T91" s="7" t="n">
        <v>597.4</v>
      </c>
      <c r="V91" s="7" t="n">
        <v>606.6</v>
      </c>
      <c r="X91" s="7" t="n">
        <v>463.9</v>
      </c>
      <c r="Z91" s="7" t="n">
        <v>288</v>
      </c>
      <c r="AB91" s="7" t="n">
        <v>7452.2</v>
      </c>
    </row>
    <row r="92">
      <c r="A92" s="4" t="inlineStr">
        <is>
          <t>物料消耗</t>
        </is>
      </c>
      <c r="D92" s="7" t="n">
        <v>550.9</v>
      </c>
      <c r="F92" s="7" t="n">
        <v>476.2</v>
      </c>
      <c r="H92" s="7" t="n">
        <v>614.4</v>
      </c>
      <c r="J92" s="7" t="n">
        <v>303.4</v>
      </c>
      <c r="L92" s="7" t="n">
        <v>963.7</v>
      </c>
      <c r="N92" s="7" t="n">
        <v>733.5</v>
      </c>
      <c r="P92" s="7" t="n">
        <v>920.1</v>
      </c>
      <c r="R92" s="7" t="n">
        <v>1158.5</v>
      </c>
      <c r="T92" s="7" t="n">
        <v>949.9</v>
      </c>
      <c r="V92" s="7" t="n">
        <v>1128.1</v>
      </c>
      <c r="X92" s="7" t="n">
        <v>416.1</v>
      </c>
      <c r="Z92" s="7" t="n">
        <v>232.6</v>
      </c>
      <c r="AB92" s="7" t="n">
        <v>8447.4</v>
      </c>
    </row>
    <row r="93">
      <c r="A93" s="4" t="inlineStr">
        <is>
          <t>盘盈盘亏</t>
        </is>
      </c>
      <c r="D93" s="7" t="n">
        <v>151.1</v>
      </c>
      <c r="F93" s="7" t="n">
        <v>155.5</v>
      </c>
      <c r="H93" s="7" t="n">
        <v>154.6</v>
      </c>
      <c r="J93" s="7" t="n">
        <v>122.2</v>
      </c>
      <c r="L93" s="7" t="n">
        <v>325.9</v>
      </c>
      <c r="N93" s="7" t="n">
        <v>164.9</v>
      </c>
      <c r="P93" s="7" t="n">
        <v>292</v>
      </c>
      <c r="R93" s="7" t="n">
        <v>228.6</v>
      </c>
      <c r="T93" s="7" t="n">
        <v>247.9</v>
      </c>
      <c r="V93" s="7" t="n">
        <v>378</v>
      </c>
      <c r="X93" s="7" t="n">
        <v>185.1</v>
      </c>
      <c r="Z93" s="7" t="n">
        <v>85</v>
      </c>
      <c r="AB93" s="7" t="n">
        <v>2490.8</v>
      </c>
    </row>
    <row r="94">
      <c r="A94" s="4" t="inlineStr">
        <is>
          <t>平台服务费</t>
        </is>
      </c>
      <c r="D94" s="7" t="n">
        <v>458.1</v>
      </c>
      <c r="F94" s="7" t="n">
        <v>749.2</v>
      </c>
      <c r="H94" s="7" t="n">
        <v>837.6</v>
      </c>
      <c r="J94" s="7" t="n">
        <v>569.9</v>
      </c>
      <c r="L94" s="7" t="n">
        <v>1157.3</v>
      </c>
      <c r="N94" s="7" t="n">
        <v>643.3</v>
      </c>
      <c r="P94" s="7" t="n">
        <v>1335</v>
      </c>
      <c r="R94" s="7" t="n">
        <v>1135.7</v>
      </c>
      <c r="T94" s="7" t="n">
        <v>1127.3</v>
      </c>
      <c r="V94" s="7" t="n">
        <v>1074.7</v>
      </c>
      <c r="X94" s="7" t="n">
        <v>508.5</v>
      </c>
      <c r="Z94" s="7" t="n">
        <v>422</v>
      </c>
      <c r="AB94" s="7" t="n">
        <v>10018.6</v>
      </c>
    </row>
    <row r="95">
      <c r="A95" s="4" t="inlineStr">
        <is>
          <t>无形资产摊销</t>
        </is>
      </c>
      <c r="D95" s="7" t="n">
        <v>496.4</v>
      </c>
      <c r="F95" s="7" t="n">
        <v>449</v>
      </c>
      <c r="H95" s="7" t="n">
        <v>558.7</v>
      </c>
      <c r="J95" s="7" t="n">
        <v>416.4</v>
      </c>
      <c r="L95" s="7" t="n">
        <v>845</v>
      </c>
      <c r="N95" s="7" t="n">
        <v>542.9</v>
      </c>
      <c r="P95" s="7" t="n">
        <v>1099.9</v>
      </c>
      <c r="R95" s="7" t="n">
        <v>845.5</v>
      </c>
      <c r="T95" s="7" t="n">
        <v>643.2</v>
      </c>
      <c r="V95" s="7" t="n">
        <v>729.4</v>
      </c>
      <c r="X95" s="7" t="n">
        <v>512.5</v>
      </c>
      <c r="Z95" s="7" t="n">
        <v>220.1</v>
      </c>
      <c r="AB95" s="7" t="n">
        <v>7359</v>
      </c>
    </row>
    <row r="96">
      <c r="A96" s="4" t="inlineStr">
        <is>
          <t>研发材料</t>
        </is>
      </c>
      <c r="D96" s="7" t="n">
        <v>621.9</v>
      </c>
      <c r="F96" s="7" t="n">
        <v>762.1</v>
      </c>
      <c r="H96" s="7" t="n">
        <v>848.3</v>
      </c>
      <c r="J96" s="7" t="n">
        <v>361.1</v>
      </c>
      <c r="L96" s="7" t="n">
        <v>920.7</v>
      </c>
      <c r="N96" s="7" t="n">
        <v>876.1</v>
      </c>
      <c r="P96" s="7" t="n">
        <v>923.5</v>
      </c>
      <c r="R96" s="7" t="n">
        <v>1315.5</v>
      </c>
      <c r="T96" s="7" t="n">
        <v>707</v>
      </c>
      <c r="V96" s="7" t="n">
        <v>1435.5</v>
      </c>
      <c r="X96" s="7" t="n">
        <v>612.9</v>
      </c>
      <c r="Z96" s="7" t="n">
        <v>279.3</v>
      </c>
      <c r="AB96" s="7" t="n">
        <v>9663.9</v>
      </c>
    </row>
    <row r="97">
      <c r="A97" s="4" t="inlineStr">
        <is>
          <t>项目名称</t>
        </is>
      </c>
      <c r="D97" s="7" t="n">
        <v>434.2</v>
      </c>
      <c r="F97" s="7" t="n">
        <v>425.5</v>
      </c>
      <c r="H97" s="7" t="n">
        <v>870.1</v>
      </c>
      <c r="J97" s="7" t="n">
        <v>505</v>
      </c>
      <c r="L97" s="7" t="n">
        <v>1336.7</v>
      </c>
      <c r="N97" s="7" t="n">
        <v>642.7</v>
      </c>
      <c r="P97" s="7" t="n">
        <v>1149.4</v>
      </c>
      <c r="R97" s="7" t="n">
        <v>1233.8</v>
      </c>
      <c r="T97" s="7" t="n">
        <v>659.9</v>
      </c>
      <c r="V97" s="7" t="n">
        <v>1233.6</v>
      </c>
      <c r="X97" s="7" t="n">
        <v>705.3</v>
      </c>
      <c r="Z97" s="7" t="n">
        <v>404</v>
      </c>
      <c r="AB97" s="7" t="n">
        <v>9600.200000000001</v>
      </c>
    </row>
    <row r="98">
      <c r="A98" s="4" t="inlineStr">
        <is>
          <t>研发费</t>
        </is>
      </c>
      <c r="D98" s="7" t="n">
        <v>577.8</v>
      </c>
      <c r="F98" s="7" t="n">
        <v>631.4</v>
      </c>
      <c r="H98" s="7" t="n">
        <v>667.5</v>
      </c>
      <c r="J98" s="7" t="n">
        <v>356.5</v>
      </c>
      <c r="L98" s="7" t="n">
        <v>779.1</v>
      </c>
      <c r="N98" s="7" t="n">
        <v>637.9</v>
      </c>
      <c r="P98" s="7" t="n">
        <v>1212.4</v>
      </c>
      <c r="R98" s="7" t="n">
        <v>1019.3</v>
      </c>
      <c r="T98" s="7" t="n">
        <v>670.9</v>
      </c>
      <c r="V98" s="7" t="n">
        <v>1079.3</v>
      </c>
      <c r="X98" s="7" t="n">
        <v>601.3</v>
      </c>
      <c r="Z98" s="7" t="n">
        <v>273.1</v>
      </c>
      <c r="AB98" s="7" t="n">
        <v>8506.5</v>
      </c>
    </row>
    <row r="99">
      <c r="A99" s="4" t="inlineStr">
        <is>
          <t>残保金</t>
        </is>
      </c>
      <c r="D99" s="7" t="n">
        <v>335.6</v>
      </c>
      <c r="F99" s="7" t="n">
        <v>417.8</v>
      </c>
      <c r="H99" s="7" t="n">
        <v>534.8</v>
      </c>
      <c r="J99" s="7" t="n">
        <v>276.9</v>
      </c>
      <c r="L99" s="7" t="n">
        <v>557.7</v>
      </c>
      <c r="N99" s="7" t="n">
        <v>630.1</v>
      </c>
      <c r="P99" s="7" t="n">
        <v>895.3</v>
      </c>
      <c r="R99" s="7" t="n">
        <v>553.7</v>
      </c>
      <c r="T99" s="7" t="n">
        <v>731.9</v>
      </c>
      <c r="V99" s="7" t="n">
        <v>621.3</v>
      </c>
      <c r="X99" s="7" t="n">
        <v>520.9</v>
      </c>
      <c r="Z99" s="7" t="n">
        <v>264.7</v>
      </c>
      <c r="AB99" s="7" t="n">
        <v>6340.7</v>
      </c>
    </row>
    <row r="100">
      <c r="A100" s="4" t="inlineStr">
        <is>
          <t>环保费</t>
        </is>
      </c>
      <c r="D100" s="7" t="n">
        <v>24.9</v>
      </c>
      <c r="F100" s="7" t="n">
        <v>32.6</v>
      </c>
      <c r="H100" s="7" t="n">
        <v>35.2</v>
      </c>
      <c r="J100" s="7" t="n">
        <v>29.2</v>
      </c>
      <c r="L100" s="7" t="n">
        <v>65.3</v>
      </c>
      <c r="N100" s="7" t="n">
        <v>48.3</v>
      </c>
      <c r="P100" s="7" t="n">
        <v>70.90000000000001</v>
      </c>
      <c r="R100" s="7" t="n">
        <v>78.59999999999999</v>
      </c>
      <c r="T100" s="7" t="n">
        <v>59.3</v>
      </c>
      <c r="V100" s="7" t="n">
        <v>55.7</v>
      </c>
      <c r="X100" s="7" t="n">
        <v>47.5</v>
      </c>
      <c r="Z100" s="7" t="n">
        <v>21.5</v>
      </c>
      <c r="AB100" s="7" t="n">
        <v>569</v>
      </c>
    </row>
    <row r="101">
      <c r="A101" s="4" t="inlineStr">
        <is>
          <t>报废损失</t>
        </is>
      </c>
      <c r="D101" s="7" t="n">
        <v>528.1</v>
      </c>
      <c r="F101" s="7" t="n">
        <v>765.3</v>
      </c>
      <c r="H101" s="7" t="n">
        <v>804.5</v>
      </c>
      <c r="J101" s="7" t="n">
        <v>577</v>
      </c>
      <c r="L101" s="7" t="n">
        <v>1396.3</v>
      </c>
      <c r="N101" s="7" t="n">
        <v>599.7</v>
      </c>
      <c r="P101" s="7" t="n">
        <v>1417.1</v>
      </c>
      <c r="R101" s="7" t="n">
        <v>1011.3</v>
      </c>
      <c r="T101" s="7" t="n">
        <v>928.3</v>
      </c>
      <c r="V101" s="7" t="n">
        <v>1315</v>
      </c>
      <c r="X101" s="7" t="n">
        <v>472.4</v>
      </c>
      <c r="Z101" s="7" t="n">
        <v>411.9</v>
      </c>
      <c r="AB101" s="7" t="n">
        <v>10226.9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41347.7</v>
      </c>
      <c r="D102" s="7" t="n">
        <v>16710.2</v>
      </c>
      <c r="E102" s="7" t="n">
        <v>42246.2</v>
      </c>
      <c r="F102" s="7" t="n">
        <v>31944.6</v>
      </c>
      <c r="G102" s="7" t="n">
        <v>32578</v>
      </c>
      <c r="H102" s="7" t="n">
        <v>27274.7</v>
      </c>
      <c r="I102" s="7" t="n">
        <v>35344.6</v>
      </c>
      <c r="J102" s="7" t="n">
        <v>34531.5</v>
      </c>
      <c r="K102" s="7" t="n">
        <v>43276.3</v>
      </c>
      <c r="L102" s="7" t="n">
        <v>26526.7</v>
      </c>
      <c r="M102" s="7" t="n">
        <v>38130.2</v>
      </c>
      <c r="N102" s="7" t="n">
        <v>46805.1</v>
      </c>
      <c r="O102" s="7" t="n">
        <v>33883.3</v>
      </c>
      <c r="P102" s="7" t="n">
        <v>49366.1</v>
      </c>
      <c r="Q102" s="7" t="n">
        <v>34374.8</v>
      </c>
      <c r="R102" s="7" t="n">
        <v>61824.2</v>
      </c>
      <c r="S102" s="7" t="n">
        <v>35088</v>
      </c>
      <c r="T102" s="7" t="n">
        <v>28138.3</v>
      </c>
      <c r="U102" s="7" t="n">
        <v>33333</v>
      </c>
      <c r="V102" s="7" t="n">
        <v>50478</v>
      </c>
      <c r="W102" s="7" t="n">
        <v>34728.2</v>
      </c>
      <c r="X102" s="7" t="n">
        <v>55253.2</v>
      </c>
      <c r="Y102" s="7" t="n">
        <v>40077.1</v>
      </c>
      <c r="Z102" s="7" t="n">
        <v>29982.8</v>
      </c>
      <c r="AA102" s="8" t="n">
        <v>444407.4</v>
      </c>
      <c r="AB102" s="8" t="n">
        <v>458835.4</v>
      </c>
    </row>
    <row r="103">
      <c r="A103" s="4" t="inlineStr">
        <is>
          <t>职工薪酬</t>
        </is>
      </c>
      <c r="D103" s="7" t="n">
        <v>8652</v>
      </c>
      <c r="F103" s="7" t="n">
        <v>17596.5</v>
      </c>
      <c r="H103" s="7" t="n">
        <v>11370.9</v>
      </c>
      <c r="J103" s="7" t="n">
        <v>18197.7</v>
      </c>
      <c r="L103" s="7" t="n">
        <v>14209</v>
      </c>
      <c r="N103" s="7" t="n">
        <v>27353.6</v>
      </c>
      <c r="P103" s="7" t="n">
        <v>26452</v>
      </c>
      <c r="R103" s="7" t="n">
        <v>24861.5</v>
      </c>
      <c r="T103" s="7" t="n">
        <v>12054.7</v>
      </c>
      <c r="V103" s="7" t="n">
        <v>25799.9</v>
      </c>
      <c r="X103" s="7" t="n">
        <v>25327.4</v>
      </c>
      <c r="Z103" s="7" t="n">
        <v>13955</v>
      </c>
      <c r="AB103" s="7" t="n">
        <v>225830.2</v>
      </c>
    </row>
    <row r="104">
      <c r="A104" s="4" t="inlineStr">
        <is>
          <t>工资</t>
        </is>
      </c>
      <c r="D104" s="7" t="n">
        <v>5504.1</v>
      </c>
      <c r="F104" s="7" t="n">
        <v>12262.9</v>
      </c>
      <c r="H104" s="7" t="n">
        <v>6447.5</v>
      </c>
      <c r="J104" s="7" t="n">
        <v>9324.700000000001</v>
      </c>
      <c r="L104" s="7" t="n">
        <v>8540.6</v>
      </c>
      <c r="N104" s="7" t="n">
        <v>16870.8</v>
      </c>
      <c r="P104" s="7" t="n">
        <v>15677.3</v>
      </c>
      <c r="R104" s="7" t="n">
        <v>13773</v>
      </c>
      <c r="T104" s="7" t="n">
        <v>6913.3</v>
      </c>
      <c r="V104" s="7" t="n">
        <v>15000.6</v>
      </c>
      <c r="X104" s="7" t="n">
        <v>13691.4</v>
      </c>
      <c r="Z104" s="7" t="n">
        <v>6514</v>
      </c>
      <c r="AB104" s="7" t="n">
        <v>130520.2</v>
      </c>
    </row>
    <row r="105">
      <c r="A105" s="4" t="inlineStr">
        <is>
          <t>奖金及提成</t>
        </is>
      </c>
      <c r="D105" s="7" t="n">
        <v>1468.8</v>
      </c>
      <c r="F105" s="7" t="n">
        <v>2588.5</v>
      </c>
      <c r="H105" s="7" t="n">
        <v>2390.2</v>
      </c>
      <c r="J105" s="7" t="n">
        <v>4481.4</v>
      </c>
      <c r="L105" s="7" t="n">
        <v>2294.7</v>
      </c>
      <c r="N105" s="7" t="n">
        <v>4536</v>
      </c>
      <c r="P105" s="7" t="n">
        <v>5084.6</v>
      </c>
      <c r="R105" s="7" t="n">
        <v>4328</v>
      </c>
      <c r="T105" s="7" t="n">
        <v>2427.1</v>
      </c>
      <c r="V105" s="7" t="n">
        <v>4839.6</v>
      </c>
      <c r="X105" s="7" t="n">
        <v>5339.4</v>
      </c>
      <c r="Z105" s="7" t="n">
        <v>3823.6</v>
      </c>
      <c r="AB105" s="7" t="n">
        <v>43601.9</v>
      </c>
    </row>
    <row r="106">
      <c r="A106" s="4" t="inlineStr">
        <is>
          <t>社保</t>
        </is>
      </c>
      <c r="D106" s="7" t="n">
        <v>1269.4</v>
      </c>
      <c r="F106" s="7" t="n">
        <v>1986.2</v>
      </c>
      <c r="H106" s="7" t="n">
        <v>1822.6</v>
      </c>
      <c r="J106" s="7" t="n">
        <v>3568.8</v>
      </c>
      <c r="L106" s="7" t="n">
        <v>2660.7</v>
      </c>
      <c r="N106" s="7" t="n">
        <v>4609</v>
      </c>
      <c r="P106" s="7" t="n">
        <v>4403.8</v>
      </c>
      <c r="R106" s="7" t="n">
        <v>4858.2</v>
      </c>
      <c r="T106" s="7" t="n">
        <v>2009.8</v>
      </c>
      <c r="V106" s="7" t="n">
        <v>4710.3</v>
      </c>
      <c r="X106" s="7" t="n">
        <v>4707.5</v>
      </c>
      <c r="Z106" s="7" t="n">
        <v>2810.8</v>
      </c>
      <c r="AB106" s="7" t="n">
        <v>39417.1</v>
      </c>
    </row>
    <row r="107">
      <c r="A107" s="4" t="inlineStr">
        <is>
          <t>养老</t>
        </is>
      </c>
      <c r="D107" s="7" t="n">
        <v>88.8</v>
      </c>
      <c r="F107" s="7" t="n">
        <v>146.8</v>
      </c>
      <c r="H107" s="7" t="n">
        <v>136.5</v>
      </c>
      <c r="J107" s="7" t="n">
        <v>183.3</v>
      </c>
      <c r="L107" s="7" t="n">
        <v>82.59999999999999</v>
      </c>
      <c r="N107" s="7" t="n">
        <v>215.9</v>
      </c>
      <c r="P107" s="7" t="n">
        <v>260.3</v>
      </c>
      <c r="R107" s="7" t="n">
        <v>204.3</v>
      </c>
      <c r="T107" s="7" t="n">
        <v>118.9</v>
      </c>
      <c r="V107" s="7" t="n">
        <v>189.4</v>
      </c>
      <c r="X107" s="7" t="n">
        <v>196.4</v>
      </c>
      <c r="Z107" s="7" t="n">
        <v>115.2</v>
      </c>
      <c r="AB107" s="7" t="n">
        <v>1938.4</v>
      </c>
    </row>
    <row r="108">
      <c r="A108" s="4" t="inlineStr">
        <is>
          <t>医疗</t>
        </is>
      </c>
      <c r="D108" s="7" t="n">
        <v>76.90000000000001</v>
      </c>
      <c r="F108" s="7" t="n">
        <v>241.9</v>
      </c>
      <c r="H108" s="7" t="n">
        <v>179.9</v>
      </c>
      <c r="J108" s="7" t="n">
        <v>200.7</v>
      </c>
      <c r="L108" s="7" t="n">
        <v>118.5</v>
      </c>
      <c r="N108" s="7" t="n">
        <v>270.7</v>
      </c>
      <c r="P108" s="7" t="n">
        <v>360.2</v>
      </c>
      <c r="R108" s="7" t="n">
        <v>448</v>
      </c>
      <c r="T108" s="7" t="n">
        <v>212.4</v>
      </c>
      <c r="V108" s="7" t="n">
        <v>287.1</v>
      </c>
      <c r="X108" s="7" t="n">
        <v>422.8</v>
      </c>
      <c r="Z108" s="7" t="n">
        <v>163.6</v>
      </c>
      <c r="AB108" s="7" t="n">
        <v>2982.7</v>
      </c>
    </row>
    <row r="109">
      <c r="A109" s="4" t="inlineStr">
        <is>
          <t>工伤</t>
        </is>
      </c>
      <c r="D109" s="7" t="n">
        <v>84.3</v>
      </c>
      <c r="F109" s="7" t="n">
        <v>165.7</v>
      </c>
      <c r="H109" s="7" t="n">
        <v>109.1</v>
      </c>
      <c r="J109" s="7" t="n">
        <v>178.9</v>
      </c>
      <c r="L109" s="7" t="n">
        <v>156.6</v>
      </c>
      <c r="N109" s="7" t="n">
        <v>160.5</v>
      </c>
      <c r="P109" s="7" t="n">
        <v>231.4</v>
      </c>
      <c r="R109" s="7" t="n">
        <v>286.5</v>
      </c>
      <c r="T109" s="7" t="n">
        <v>96.8</v>
      </c>
      <c r="V109" s="7" t="n">
        <v>168</v>
      </c>
      <c r="X109" s="7" t="n">
        <v>220.6</v>
      </c>
      <c r="Z109" s="7" t="n">
        <v>169.1</v>
      </c>
      <c r="AB109" s="7" t="n">
        <v>2027.5</v>
      </c>
    </row>
    <row r="110">
      <c r="A110" s="4" t="inlineStr">
        <is>
          <t>失业</t>
        </is>
      </c>
      <c r="D110" s="7" t="n">
        <v>1.2</v>
      </c>
      <c r="F110" s="7" t="n">
        <v>3.3</v>
      </c>
      <c r="H110" s="7" t="n">
        <v>1.7</v>
      </c>
      <c r="J110" s="7" t="n">
        <v>2.5</v>
      </c>
      <c r="L110" s="7" t="n">
        <v>1.6</v>
      </c>
      <c r="N110" s="7" t="n">
        <v>4.5</v>
      </c>
      <c r="P110" s="7" t="n">
        <v>4.3</v>
      </c>
      <c r="R110" s="7" t="n">
        <v>6</v>
      </c>
      <c r="T110" s="7" t="n">
        <v>2.4</v>
      </c>
      <c r="V110" s="7" t="n">
        <v>3.4</v>
      </c>
      <c r="X110" s="7" t="n">
        <v>5.4</v>
      </c>
      <c r="Z110" s="7" t="n">
        <v>1.8</v>
      </c>
      <c r="AB110" s="7" t="n">
        <v>38.1</v>
      </c>
    </row>
    <row r="111">
      <c r="A111" s="4" t="inlineStr">
        <is>
          <t>生育</t>
        </is>
      </c>
      <c r="D111" s="7" t="n">
        <v>21.3</v>
      </c>
      <c r="F111" s="7" t="n">
        <v>50.8</v>
      </c>
      <c r="H111" s="7" t="n">
        <v>43.4</v>
      </c>
      <c r="J111" s="7" t="n">
        <v>54.1</v>
      </c>
      <c r="L111" s="7" t="n">
        <v>26.3</v>
      </c>
      <c r="N111" s="7" t="n">
        <v>64.7</v>
      </c>
      <c r="P111" s="7" t="n">
        <v>84.5</v>
      </c>
      <c r="R111" s="7" t="n">
        <v>87</v>
      </c>
      <c r="T111" s="7" t="n">
        <v>36.2</v>
      </c>
      <c r="V111" s="7" t="n">
        <v>87.8</v>
      </c>
      <c r="X111" s="7" t="n">
        <v>81.59999999999999</v>
      </c>
      <c r="Z111" s="7" t="n">
        <v>45.9</v>
      </c>
      <c r="AB111" s="7" t="n">
        <v>683.6</v>
      </c>
    </row>
    <row r="112">
      <c r="A112" s="4" t="inlineStr">
        <is>
          <t>公积金</t>
        </is>
      </c>
      <c r="D112" s="7" t="n">
        <v>2.2</v>
      </c>
      <c r="F112" s="7" t="n">
        <v>4.5</v>
      </c>
      <c r="H112" s="7" t="n">
        <v>3</v>
      </c>
      <c r="J112" s="7" t="n">
        <v>4.3</v>
      </c>
      <c r="L112" s="7" t="n">
        <v>3.9</v>
      </c>
      <c r="N112" s="7" t="n">
        <v>5.8</v>
      </c>
      <c r="P112" s="7" t="n">
        <v>8.699999999999999</v>
      </c>
      <c r="R112" s="7" t="n">
        <v>7.9</v>
      </c>
      <c r="T112" s="7" t="n">
        <v>4.3</v>
      </c>
      <c r="V112" s="7" t="n">
        <v>7.8</v>
      </c>
      <c r="X112" s="7" t="n">
        <v>6.3</v>
      </c>
      <c r="Z112" s="7" t="n">
        <v>3.4</v>
      </c>
      <c r="AB112" s="7" t="n">
        <v>62.1</v>
      </c>
    </row>
    <row r="113">
      <c r="A113" s="4" t="inlineStr">
        <is>
          <t>工会经费</t>
        </is>
      </c>
      <c r="D113" s="7" t="n">
        <v>29.4</v>
      </c>
      <c r="F113" s="7" t="n">
        <v>38.6</v>
      </c>
      <c r="H113" s="7" t="n">
        <v>31</v>
      </c>
      <c r="J113" s="7" t="n">
        <v>43.6</v>
      </c>
      <c r="L113" s="7" t="n">
        <v>53.2</v>
      </c>
      <c r="N113" s="7" t="n">
        <v>63.9</v>
      </c>
      <c r="P113" s="7" t="n">
        <v>92.7</v>
      </c>
      <c r="R113" s="7" t="n">
        <v>96.2</v>
      </c>
      <c r="T113" s="7" t="n">
        <v>43.9</v>
      </c>
      <c r="V113" s="7" t="n">
        <v>57.4</v>
      </c>
      <c r="X113" s="7" t="n">
        <v>99.59999999999999</v>
      </c>
      <c r="Z113" s="7" t="n">
        <v>44.6</v>
      </c>
      <c r="AB113" s="7" t="n">
        <v>694.1</v>
      </c>
    </row>
    <row r="114">
      <c r="A114" s="4" t="inlineStr">
        <is>
          <t>职工教育经费</t>
        </is>
      </c>
      <c r="D114" s="7" t="n">
        <v>5.3</v>
      </c>
      <c r="F114" s="7" t="n">
        <v>9.5</v>
      </c>
      <c r="H114" s="7" t="n">
        <v>7.5</v>
      </c>
      <c r="J114" s="7" t="n">
        <v>12.4</v>
      </c>
      <c r="L114" s="7" t="n">
        <v>7.8</v>
      </c>
      <c r="N114" s="7" t="n">
        <v>9.5</v>
      </c>
      <c r="P114" s="7" t="n">
        <v>15.3</v>
      </c>
      <c r="R114" s="7" t="n">
        <v>13.3</v>
      </c>
      <c r="T114" s="7" t="n">
        <v>8.800000000000001</v>
      </c>
      <c r="V114" s="7" t="n">
        <v>10.6</v>
      </c>
      <c r="X114" s="7" t="n">
        <v>18.6</v>
      </c>
      <c r="Z114" s="7" t="n">
        <v>10</v>
      </c>
      <c r="AB114" s="7" t="n">
        <v>128.6</v>
      </c>
    </row>
    <row r="115">
      <c r="A115" s="4" t="inlineStr">
        <is>
          <t>福利费</t>
        </is>
      </c>
      <c r="D115" s="7" t="n">
        <v>372.8</v>
      </c>
      <c r="F115" s="7" t="n">
        <v>706.3</v>
      </c>
      <c r="H115" s="7" t="n">
        <v>669.1</v>
      </c>
      <c r="J115" s="7" t="n">
        <v>762.5</v>
      </c>
      <c r="L115" s="7" t="n">
        <v>648.1</v>
      </c>
      <c r="N115" s="7" t="n">
        <v>1258.6</v>
      </c>
      <c r="P115" s="7" t="n">
        <v>1169.6</v>
      </c>
      <c r="R115" s="7" t="n">
        <v>1784.9</v>
      </c>
      <c r="T115" s="7" t="n">
        <v>647.5</v>
      </c>
      <c r="V115" s="7" t="n">
        <v>1173.6</v>
      </c>
      <c r="X115" s="7" t="n">
        <v>1464.6</v>
      </c>
      <c r="Z115" s="7" t="n">
        <v>748.6</v>
      </c>
      <c r="AB115" s="7" t="n">
        <v>11406.2</v>
      </c>
    </row>
    <row r="116">
      <c r="A116" s="4" t="inlineStr">
        <is>
          <t>职工房租</t>
        </is>
      </c>
      <c r="D116" s="7" t="n">
        <v>4.1</v>
      </c>
      <c r="F116" s="7" t="n">
        <v>9.300000000000001</v>
      </c>
      <c r="H116" s="7" t="n">
        <v>6.8</v>
      </c>
      <c r="J116" s="7" t="n">
        <v>8.199999999999999</v>
      </c>
      <c r="L116" s="7" t="n">
        <v>8.6</v>
      </c>
      <c r="N116" s="7" t="n">
        <v>13.6</v>
      </c>
      <c r="P116" s="7" t="n">
        <v>13.4</v>
      </c>
      <c r="R116" s="7" t="n">
        <v>18.6</v>
      </c>
      <c r="T116" s="7" t="n">
        <v>9.6</v>
      </c>
      <c r="V116" s="7" t="n">
        <v>20.1</v>
      </c>
      <c r="X116" s="7" t="n">
        <v>13.4</v>
      </c>
      <c r="Z116" s="7" t="n">
        <v>8.199999999999999</v>
      </c>
      <c r="AB116" s="7" t="n">
        <v>133.9</v>
      </c>
    </row>
    <row r="117">
      <c r="A117" s="4" t="inlineStr">
        <is>
          <t>水电物业费</t>
        </is>
      </c>
      <c r="D117" s="7" t="n">
        <v>64.59999999999999</v>
      </c>
      <c r="F117" s="7" t="n">
        <v>88.59999999999999</v>
      </c>
      <c r="H117" s="7" t="n">
        <v>106</v>
      </c>
      <c r="J117" s="7" t="n">
        <v>117.4</v>
      </c>
      <c r="L117" s="7" t="n">
        <v>117.7</v>
      </c>
      <c r="N117" s="7" t="n">
        <v>161.8</v>
      </c>
      <c r="P117" s="7" t="n">
        <v>220.8</v>
      </c>
      <c r="R117" s="7" t="n">
        <v>310.5</v>
      </c>
      <c r="T117" s="7" t="n">
        <v>81.3</v>
      </c>
      <c r="V117" s="7" t="n">
        <v>202.6</v>
      </c>
      <c r="X117" s="7" t="n">
        <v>268.8</v>
      </c>
      <c r="Z117" s="7" t="n">
        <v>137.4</v>
      </c>
      <c r="AB117" s="7" t="n">
        <v>1877.5</v>
      </c>
    </row>
    <row r="118">
      <c r="A118" s="4" t="inlineStr">
        <is>
          <t>员工餐</t>
        </is>
      </c>
      <c r="D118" s="7" t="n">
        <v>124.5</v>
      </c>
      <c r="F118" s="7" t="n">
        <v>143.9</v>
      </c>
      <c r="H118" s="7" t="n">
        <v>189</v>
      </c>
      <c r="J118" s="7" t="n">
        <v>181.7</v>
      </c>
      <c r="L118" s="7" t="n">
        <v>183.3</v>
      </c>
      <c r="N118" s="7" t="n">
        <v>336.5</v>
      </c>
      <c r="P118" s="7" t="n">
        <v>310.2</v>
      </c>
      <c r="R118" s="7" t="n">
        <v>423.6</v>
      </c>
      <c r="T118" s="7" t="n">
        <v>177.3</v>
      </c>
      <c r="V118" s="7" t="n">
        <v>289.7</v>
      </c>
      <c r="X118" s="7" t="n">
        <v>391.2</v>
      </c>
      <c r="Z118" s="7" t="n">
        <v>213.5</v>
      </c>
      <c r="AB118" s="7" t="n">
        <v>2964.4</v>
      </c>
    </row>
    <row r="119">
      <c r="A119" s="4" t="inlineStr">
        <is>
          <t>节日礼品</t>
        </is>
      </c>
      <c r="D119" s="7" t="n">
        <v>85.2</v>
      </c>
      <c r="F119" s="7" t="n">
        <v>197.4</v>
      </c>
      <c r="H119" s="7" t="n">
        <v>151.5</v>
      </c>
      <c r="J119" s="7" t="n">
        <v>253.5</v>
      </c>
      <c r="L119" s="7" t="n">
        <v>181.5</v>
      </c>
      <c r="N119" s="7" t="n">
        <v>383.9</v>
      </c>
      <c r="P119" s="7" t="n">
        <v>296.5</v>
      </c>
      <c r="R119" s="7" t="n">
        <v>520.1</v>
      </c>
      <c r="T119" s="7" t="n">
        <v>144.1</v>
      </c>
      <c r="V119" s="7" t="n">
        <v>307.4</v>
      </c>
      <c r="X119" s="7" t="n">
        <v>413.5</v>
      </c>
      <c r="Z119" s="7" t="n">
        <v>172.8</v>
      </c>
      <c r="AB119" s="7" t="n">
        <v>3107.4</v>
      </c>
    </row>
    <row r="120">
      <c r="A120" s="4" t="inlineStr">
        <is>
          <t>生日礼品</t>
        </is>
      </c>
      <c r="D120" s="7" t="n">
        <v>14.1</v>
      </c>
      <c r="F120" s="7" t="n">
        <v>28.1</v>
      </c>
      <c r="H120" s="7" t="n">
        <v>22.5</v>
      </c>
      <c r="J120" s="7" t="n">
        <v>24.4</v>
      </c>
      <c r="L120" s="7" t="n">
        <v>21.1</v>
      </c>
      <c r="N120" s="7" t="n">
        <v>37.5</v>
      </c>
      <c r="P120" s="7" t="n">
        <v>37.7</v>
      </c>
      <c r="R120" s="7" t="n">
        <v>62.5</v>
      </c>
      <c r="T120" s="7" t="n">
        <v>22.4</v>
      </c>
      <c r="V120" s="7" t="n">
        <v>31.1</v>
      </c>
      <c r="X120" s="7" t="n">
        <v>44.1</v>
      </c>
      <c r="Z120" s="7" t="n">
        <v>24.5</v>
      </c>
      <c r="AB120" s="7" t="n">
        <v>370</v>
      </c>
    </row>
    <row r="121">
      <c r="A121" s="4" t="inlineStr">
        <is>
          <t>体检</t>
        </is>
      </c>
      <c r="D121" s="7" t="n">
        <v>0.7</v>
      </c>
      <c r="F121" s="7" t="n">
        <v>2</v>
      </c>
      <c r="H121" s="7" t="n">
        <v>1.8</v>
      </c>
      <c r="J121" s="7" t="n">
        <v>1.4</v>
      </c>
      <c r="L121" s="7" t="n">
        <v>1.6</v>
      </c>
      <c r="N121" s="7" t="n">
        <v>2.2</v>
      </c>
      <c r="P121" s="7" t="n">
        <v>1.9</v>
      </c>
      <c r="R121" s="7" t="n">
        <v>3.5</v>
      </c>
      <c r="T121" s="7" t="n">
        <v>1.2</v>
      </c>
      <c r="V121" s="7" t="n">
        <v>3.4</v>
      </c>
      <c r="X121" s="7" t="n">
        <v>3.2</v>
      </c>
      <c r="Z121" s="7" t="n">
        <v>1.7</v>
      </c>
      <c r="AB121" s="7" t="n">
        <v>24.6</v>
      </c>
    </row>
    <row r="122">
      <c r="A122" s="4" t="inlineStr">
        <is>
          <t>其他福利支出</t>
        </is>
      </c>
      <c r="D122" s="7" t="n">
        <v>79.59999999999999</v>
      </c>
      <c r="F122" s="7" t="n">
        <v>237</v>
      </c>
      <c r="H122" s="7" t="n">
        <v>191.5</v>
      </c>
      <c r="J122" s="7" t="n">
        <v>175.9</v>
      </c>
      <c r="L122" s="7" t="n">
        <v>134.3</v>
      </c>
      <c r="N122" s="7" t="n">
        <v>323.1</v>
      </c>
      <c r="P122" s="7" t="n">
        <v>289.1</v>
      </c>
      <c r="R122" s="7" t="n">
        <v>446.1</v>
      </c>
      <c r="T122" s="7" t="n">
        <v>211.6</v>
      </c>
      <c r="V122" s="7" t="n">
        <v>319.3</v>
      </c>
      <c r="X122" s="7" t="n">
        <v>330.4</v>
      </c>
      <c r="Z122" s="7" t="n">
        <v>190.5</v>
      </c>
      <c r="AB122" s="7" t="n">
        <v>2928.4</v>
      </c>
    </row>
    <row r="123">
      <c r="A123" s="4" t="inlineStr">
        <is>
          <t>招聘费</t>
        </is>
      </c>
      <c r="D123" s="7" t="n">
        <v>54.9</v>
      </c>
      <c r="F123" s="7" t="n">
        <v>96</v>
      </c>
      <c r="H123" s="7" t="n">
        <v>116.4</v>
      </c>
      <c r="J123" s="7" t="n">
        <v>109.9</v>
      </c>
      <c r="L123" s="7" t="n">
        <v>97.2</v>
      </c>
      <c r="N123" s="7" t="n">
        <v>133.8</v>
      </c>
      <c r="P123" s="7" t="n">
        <v>218.5</v>
      </c>
      <c r="R123" s="7" t="n">
        <v>232.1</v>
      </c>
      <c r="T123" s="7" t="n">
        <v>86</v>
      </c>
      <c r="V123" s="7" t="n">
        <v>253.2</v>
      </c>
      <c r="X123" s="7" t="n">
        <v>196.8</v>
      </c>
      <c r="Z123" s="7" t="n">
        <v>139.6</v>
      </c>
      <c r="AB123" s="7" t="n">
        <v>1734.4</v>
      </c>
    </row>
    <row r="124">
      <c r="A124" s="4" t="inlineStr">
        <is>
          <t>办公费</t>
        </is>
      </c>
      <c r="D124" s="7" t="n">
        <v>499.2</v>
      </c>
      <c r="F124" s="7" t="n">
        <v>840.6</v>
      </c>
      <c r="H124" s="7" t="n">
        <v>730.7</v>
      </c>
      <c r="J124" s="7" t="n">
        <v>1229.5</v>
      </c>
      <c r="L124" s="7" t="n">
        <v>1025.7</v>
      </c>
      <c r="N124" s="7" t="n">
        <v>1480.4</v>
      </c>
      <c r="P124" s="7" t="n">
        <v>1158.5</v>
      </c>
      <c r="R124" s="7" t="n">
        <v>1653.3</v>
      </c>
      <c r="T124" s="7" t="n">
        <v>969.3</v>
      </c>
      <c r="V124" s="7" t="n">
        <v>1934.7</v>
      </c>
      <c r="X124" s="7" t="n">
        <v>1440.3</v>
      </c>
      <c r="Z124" s="7" t="n">
        <v>783.6</v>
      </c>
      <c r="AB124" s="7" t="n">
        <v>13745.8</v>
      </c>
    </row>
    <row r="125">
      <c r="A125" s="4" t="inlineStr">
        <is>
          <t>市内交通费</t>
        </is>
      </c>
      <c r="D125" s="7" t="n">
        <v>36.4</v>
      </c>
      <c r="F125" s="7" t="n">
        <v>53.4</v>
      </c>
      <c r="H125" s="7" t="n">
        <v>41.8</v>
      </c>
      <c r="J125" s="7" t="n">
        <v>77.3</v>
      </c>
      <c r="L125" s="7" t="n">
        <v>64.8</v>
      </c>
      <c r="N125" s="7" t="n">
        <v>106.9</v>
      </c>
      <c r="P125" s="7" t="n">
        <v>96.90000000000001</v>
      </c>
      <c r="R125" s="7" t="n">
        <v>121.5</v>
      </c>
      <c r="T125" s="7" t="n">
        <v>50.2</v>
      </c>
      <c r="V125" s="7" t="n">
        <v>134.3</v>
      </c>
      <c r="X125" s="7" t="n">
        <v>144.1</v>
      </c>
      <c r="Z125" s="7" t="n">
        <v>74.90000000000001</v>
      </c>
      <c r="AB125" s="7" t="n">
        <v>1002.5</v>
      </c>
    </row>
    <row r="126">
      <c r="A126" s="4" t="inlineStr">
        <is>
          <t>差旅费</t>
        </is>
      </c>
      <c r="D126" s="7" t="n">
        <v>941.3</v>
      </c>
      <c r="F126" s="7" t="n">
        <v>1808.7</v>
      </c>
      <c r="H126" s="7" t="n">
        <v>1996.8</v>
      </c>
      <c r="J126" s="7" t="n">
        <v>2192.6</v>
      </c>
      <c r="L126" s="7" t="n">
        <v>1769.1</v>
      </c>
      <c r="N126" s="7" t="n">
        <v>2217.6</v>
      </c>
      <c r="P126" s="7" t="n">
        <v>2950.1</v>
      </c>
      <c r="R126" s="7" t="n">
        <v>3698.4</v>
      </c>
      <c r="T126" s="7" t="n">
        <v>1500.8</v>
      </c>
      <c r="V126" s="7" t="n">
        <v>2860.4</v>
      </c>
      <c r="X126" s="7" t="n">
        <v>2344.6</v>
      </c>
      <c r="Z126" s="7" t="n">
        <v>2305.7</v>
      </c>
      <c r="AB126" s="7" t="n">
        <v>26586.1</v>
      </c>
    </row>
    <row r="127">
      <c r="A127" s="4" t="inlineStr">
        <is>
          <t>交通费</t>
        </is>
      </c>
      <c r="D127" s="7" t="n">
        <v>53.1</v>
      </c>
      <c r="F127" s="7" t="n">
        <v>103</v>
      </c>
      <c r="H127" s="7" t="n">
        <v>64.7</v>
      </c>
      <c r="J127" s="7" t="n">
        <v>88.2</v>
      </c>
      <c r="L127" s="7" t="n">
        <v>68.8</v>
      </c>
      <c r="N127" s="7" t="n">
        <v>110</v>
      </c>
      <c r="P127" s="7" t="n">
        <v>161</v>
      </c>
      <c r="R127" s="7" t="n">
        <v>131.2</v>
      </c>
      <c r="T127" s="7" t="n">
        <v>71.8</v>
      </c>
      <c r="V127" s="7" t="n">
        <v>169.4</v>
      </c>
      <c r="X127" s="7" t="n">
        <v>105</v>
      </c>
      <c r="Z127" s="7" t="n">
        <v>65.7</v>
      </c>
      <c r="AB127" s="7" t="n">
        <v>1191.9</v>
      </c>
    </row>
    <row r="128">
      <c r="A128" s="4" t="inlineStr">
        <is>
          <t>住宿费</t>
        </is>
      </c>
      <c r="D128" s="7" t="n">
        <v>64.7</v>
      </c>
      <c r="F128" s="7" t="n">
        <v>167.9</v>
      </c>
      <c r="H128" s="7" t="n">
        <v>102.5</v>
      </c>
      <c r="J128" s="7" t="n">
        <v>167.5</v>
      </c>
      <c r="L128" s="7" t="n">
        <v>114</v>
      </c>
      <c r="N128" s="7" t="n">
        <v>172.5</v>
      </c>
      <c r="P128" s="7" t="n">
        <v>249.8</v>
      </c>
      <c r="R128" s="7" t="n">
        <v>359.1</v>
      </c>
      <c r="T128" s="7" t="n">
        <v>159.5</v>
      </c>
      <c r="V128" s="7" t="n">
        <v>199.6</v>
      </c>
      <c r="X128" s="7" t="n">
        <v>289.3</v>
      </c>
      <c r="Z128" s="7" t="n">
        <v>118.9</v>
      </c>
      <c r="AB128" s="7" t="n">
        <v>2165.3</v>
      </c>
    </row>
    <row r="129">
      <c r="A129" s="4" t="inlineStr">
        <is>
          <t>餐补</t>
        </is>
      </c>
      <c r="D129" s="7" t="n">
        <v>42.1</v>
      </c>
      <c r="F129" s="7" t="n">
        <v>85.5</v>
      </c>
      <c r="H129" s="7" t="n">
        <v>55.8</v>
      </c>
      <c r="J129" s="7" t="n">
        <v>74.5</v>
      </c>
      <c r="L129" s="7" t="n">
        <v>62.8</v>
      </c>
      <c r="N129" s="7" t="n">
        <v>96.8</v>
      </c>
      <c r="P129" s="7" t="n">
        <v>116.1</v>
      </c>
      <c r="R129" s="7" t="n">
        <v>153.7</v>
      </c>
      <c r="T129" s="7" t="n">
        <v>75.40000000000001</v>
      </c>
      <c r="V129" s="7" t="n">
        <v>120.4</v>
      </c>
      <c r="X129" s="7" t="n">
        <v>172.6</v>
      </c>
      <c r="Z129" s="7" t="n">
        <v>106.6</v>
      </c>
      <c r="AB129" s="7" t="n">
        <v>1162.3</v>
      </c>
    </row>
    <row r="130">
      <c r="A130" s="4" t="inlineStr">
        <is>
          <t>交通补助</t>
        </is>
      </c>
      <c r="D130" s="7" t="n">
        <v>73.7</v>
      </c>
      <c r="F130" s="7" t="n">
        <v>116.3</v>
      </c>
      <c r="H130" s="7" t="n">
        <v>155.4</v>
      </c>
      <c r="J130" s="7" t="n">
        <v>185.1</v>
      </c>
      <c r="L130" s="7" t="n">
        <v>164.6</v>
      </c>
      <c r="N130" s="7" t="n">
        <v>220.3</v>
      </c>
      <c r="P130" s="7" t="n">
        <v>173.6</v>
      </c>
      <c r="R130" s="7" t="n">
        <v>336.4</v>
      </c>
      <c r="T130" s="7" t="n">
        <v>104.5</v>
      </c>
      <c r="V130" s="7" t="n">
        <v>305.3</v>
      </c>
      <c r="X130" s="7" t="n">
        <v>198.4</v>
      </c>
      <c r="Z130" s="7" t="n">
        <v>156.2</v>
      </c>
      <c r="AB130" s="7" t="n">
        <v>2189.8</v>
      </c>
    </row>
    <row r="131">
      <c r="A131" s="4" t="inlineStr">
        <is>
          <t>通讯补助</t>
        </is>
      </c>
      <c r="D131" s="7" t="n">
        <v>60.1</v>
      </c>
      <c r="F131" s="7" t="n">
        <v>103.2</v>
      </c>
      <c r="H131" s="7" t="n">
        <v>120</v>
      </c>
      <c r="J131" s="7" t="n">
        <v>149.9</v>
      </c>
      <c r="L131" s="7" t="n">
        <v>110.3</v>
      </c>
      <c r="N131" s="7" t="n">
        <v>151.8</v>
      </c>
      <c r="P131" s="7" t="n">
        <v>140.8</v>
      </c>
      <c r="R131" s="7" t="n">
        <v>191</v>
      </c>
      <c r="T131" s="7" t="n">
        <v>119.2</v>
      </c>
      <c r="V131" s="7" t="n">
        <v>179.3</v>
      </c>
      <c r="X131" s="7" t="n">
        <v>155.3</v>
      </c>
      <c r="Z131" s="7" t="n">
        <v>92.2</v>
      </c>
      <c r="AB131" s="7" t="n">
        <v>1573.1</v>
      </c>
    </row>
    <row r="132">
      <c r="A132" s="4" t="inlineStr">
        <is>
          <t>招待费</t>
        </is>
      </c>
      <c r="D132" s="7" t="n">
        <v>711.4</v>
      </c>
      <c r="F132" s="7" t="n">
        <v>1096.7</v>
      </c>
      <c r="H132" s="7" t="n">
        <v>1202.6</v>
      </c>
      <c r="J132" s="7" t="n">
        <v>1348.1</v>
      </c>
      <c r="L132" s="7" t="n">
        <v>1091</v>
      </c>
      <c r="N132" s="7" t="n">
        <v>1318.3</v>
      </c>
      <c r="P132" s="7" t="n">
        <v>2195.8</v>
      </c>
      <c r="R132" s="7" t="n">
        <v>1804</v>
      </c>
      <c r="T132" s="7" t="n">
        <v>913.3</v>
      </c>
      <c r="V132" s="7" t="n">
        <v>1707.6</v>
      </c>
      <c r="X132" s="7" t="n">
        <v>2536.5</v>
      </c>
      <c r="Z132" s="7" t="n">
        <v>1183.7</v>
      </c>
      <c r="AB132" s="7" t="n">
        <v>17109</v>
      </c>
    </row>
    <row r="133">
      <c r="A133" s="4" t="inlineStr">
        <is>
          <t>通讯费</t>
        </is>
      </c>
      <c r="D133" s="7" t="n">
        <v>59.1</v>
      </c>
      <c r="F133" s="7" t="n">
        <v>101.8</v>
      </c>
      <c r="H133" s="7" t="n">
        <v>71.8</v>
      </c>
      <c r="J133" s="7" t="n">
        <v>75.5</v>
      </c>
      <c r="L133" s="7" t="n">
        <v>89.5</v>
      </c>
      <c r="N133" s="7" t="n">
        <v>151.1</v>
      </c>
      <c r="P133" s="7" t="n">
        <v>122.5</v>
      </c>
      <c r="R133" s="7" t="n">
        <v>204.1</v>
      </c>
      <c r="T133" s="7" t="n">
        <v>83.90000000000001</v>
      </c>
      <c r="V133" s="7" t="n">
        <v>132.6</v>
      </c>
      <c r="X133" s="7" t="n">
        <v>139.8</v>
      </c>
      <c r="Z133" s="7" t="n">
        <v>111</v>
      </c>
      <c r="AB133" s="7" t="n">
        <v>1342.7</v>
      </c>
    </row>
    <row r="134">
      <c r="A134" s="4" t="inlineStr">
        <is>
          <t>网络费</t>
        </is>
      </c>
      <c r="D134" s="7" t="n">
        <v>80.3</v>
      </c>
      <c r="F134" s="7" t="n">
        <v>142.8</v>
      </c>
      <c r="H134" s="7" t="n">
        <v>144.6</v>
      </c>
      <c r="J134" s="7" t="n">
        <v>121.9</v>
      </c>
      <c r="L134" s="7" t="n">
        <v>124.8</v>
      </c>
      <c r="N134" s="7" t="n">
        <v>257.7</v>
      </c>
      <c r="P134" s="7" t="n">
        <v>195.2</v>
      </c>
      <c r="R134" s="7" t="n">
        <v>202.6</v>
      </c>
      <c r="T134" s="7" t="n">
        <v>155.5</v>
      </c>
      <c r="V134" s="7" t="n">
        <v>286.2</v>
      </c>
      <c r="X134" s="7" t="n">
        <v>223.4</v>
      </c>
      <c r="Z134" s="7" t="n">
        <v>157.1</v>
      </c>
      <c r="AB134" s="7" t="n">
        <v>2092.1</v>
      </c>
    </row>
    <row r="135">
      <c r="A135" s="4" t="inlineStr">
        <is>
          <t>修理费</t>
        </is>
      </c>
      <c r="D135" s="7" t="n">
        <v>112.7</v>
      </c>
      <c r="F135" s="7" t="n">
        <v>211.4</v>
      </c>
      <c r="H135" s="7" t="n">
        <v>142.4</v>
      </c>
      <c r="J135" s="7" t="n">
        <v>197.7</v>
      </c>
      <c r="L135" s="7" t="n">
        <v>149.8</v>
      </c>
      <c r="N135" s="7" t="n">
        <v>203.3</v>
      </c>
      <c r="P135" s="7" t="n">
        <v>211</v>
      </c>
      <c r="R135" s="7" t="n">
        <v>325.3</v>
      </c>
      <c r="T135" s="7" t="n">
        <v>126.7</v>
      </c>
      <c r="V135" s="7" t="n">
        <v>340.1</v>
      </c>
      <c r="X135" s="7" t="n">
        <v>235.1</v>
      </c>
      <c r="Z135" s="7" t="n">
        <v>181.6</v>
      </c>
      <c r="AB135" s="7" t="n">
        <v>2437.1</v>
      </c>
    </row>
    <row r="136">
      <c r="A136" s="4" t="inlineStr">
        <is>
          <t>车辆费</t>
        </is>
      </c>
      <c r="D136" s="7" t="n">
        <v>103.7</v>
      </c>
      <c r="F136" s="7" t="n">
        <v>132.3</v>
      </c>
      <c r="H136" s="7" t="n">
        <v>130.8</v>
      </c>
      <c r="J136" s="7" t="n">
        <v>159</v>
      </c>
      <c r="L136" s="7" t="n">
        <v>157.7</v>
      </c>
      <c r="N136" s="7" t="n">
        <v>226.5</v>
      </c>
      <c r="P136" s="7" t="n">
        <v>363.6</v>
      </c>
      <c r="R136" s="7" t="n">
        <v>259.9</v>
      </c>
      <c r="T136" s="7" t="n">
        <v>171.3</v>
      </c>
      <c r="V136" s="7" t="n">
        <v>240.3</v>
      </c>
      <c r="X136" s="7" t="n">
        <v>370.6</v>
      </c>
      <c r="Z136" s="7" t="n">
        <v>172.2</v>
      </c>
      <c r="AB136" s="7" t="n">
        <v>2487.9</v>
      </c>
    </row>
    <row r="137">
      <c r="A137" s="4" t="inlineStr">
        <is>
          <t>租赁费</t>
        </is>
      </c>
      <c r="D137" s="7" t="n">
        <v>731.9</v>
      </c>
      <c r="F137" s="7" t="n">
        <v>1321.6</v>
      </c>
      <c r="H137" s="7" t="n">
        <v>1197.6</v>
      </c>
      <c r="J137" s="7" t="n">
        <v>1892.2</v>
      </c>
      <c r="L137" s="7" t="n">
        <v>1409.6</v>
      </c>
      <c r="N137" s="7" t="n">
        <v>2375.7</v>
      </c>
      <c r="P137" s="7" t="n">
        <v>3045.1</v>
      </c>
      <c r="R137" s="7" t="n">
        <v>2180.7</v>
      </c>
      <c r="T137" s="7" t="n">
        <v>1552.7</v>
      </c>
      <c r="V137" s="7" t="n">
        <v>2268.6</v>
      </c>
      <c r="X137" s="7" t="n">
        <v>2466.1</v>
      </c>
      <c r="Z137" s="7" t="n">
        <v>1125</v>
      </c>
      <c r="AB137" s="7" t="n">
        <v>21566.8</v>
      </c>
    </row>
    <row r="138">
      <c r="A138" s="4" t="inlineStr">
        <is>
          <t>能源费</t>
        </is>
      </c>
      <c r="D138" s="7" t="n">
        <v>43.3</v>
      </c>
      <c r="F138" s="7" t="n">
        <v>61.9</v>
      </c>
      <c r="H138" s="7" t="n">
        <v>65.8</v>
      </c>
      <c r="J138" s="7" t="n">
        <v>80.40000000000001</v>
      </c>
      <c r="L138" s="7" t="n">
        <v>46.2</v>
      </c>
      <c r="N138" s="7" t="n">
        <v>97.5</v>
      </c>
      <c r="P138" s="7" t="n">
        <v>125.8</v>
      </c>
      <c r="R138" s="7" t="n">
        <v>139</v>
      </c>
      <c r="T138" s="7" t="n">
        <v>50.6</v>
      </c>
      <c r="V138" s="7" t="n">
        <v>122.2</v>
      </c>
      <c r="X138" s="7" t="n">
        <v>103.6</v>
      </c>
      <c r="Z138" s="7" t="n">
        <v>66.8</v>
      </c>
      <c r="AB138" s="7" t="n">
        <v>1003.1</v>
      </c>
    </row>
    <row r="139">
      <c r="A139" s="4" t="inlineStr">
        <is>
          <t>水费</t>
        </is>
      </c>
      <c r="D139" s="7" t="n">
        <v>0.5</v>
      </c>
      <c r="F139" s="7" t="n">
        <v>0.9</v>
      </c>
      <c r="H139" s="7" t="n">
        <v>0.9</v>
      </c>
      <c r="J139" s="7" t="n">
        <v>0.7</v>
      </c>
      <c r="L139" s="7" t="n">
        <v>0.5</v>
      </c>
      <c r="N139" s="7" t="n">
        <v>1.4</v>
      </c>
      <c r="P139" s="7" t="n">
        <v>1.2</v>
      </c>
      <c r="R139" s="7" t="n">
        <v>1.6</v>
      </c>
      <c r="T139" s="7" t="n">
        <v>0.8</v>
      </c>
      <c r="V139" s="7" t="n">
        <v>1.6</v>
      </c>
      <c r="X139" s="7" t="n">
        <v>1.4</v>
      </c>
      <c r="Z139" s="7" t="n">
        <v>0.7</v>
      </c>
      <c r="AB139" s="7" t="n">
        <v>12.2</v>
      </c>
    </row>
    <row r="140">
      <c r="A140" s="4" t="inlineStr">
        <is>
          <t>电费</t>
        </is>
      </c>
      <c r="D140" s="7" t="n">
        <v>30.2</v>
      </c>
      <c r="F140" s="7" t="n">
        <v>43.4</v>
      </c>
      <c r="H140" s="7" t="n">
        <v>44.3</v>
      </c>
      <c r="J140" s="7" t="n">
        <v>55.4</v>
      </c>
      <c r="L140" s="7" t="n">
        <v>27.4</v>
      </c>
      <c r="N140" s="7" t="n">
        <v>62.9</v>
      </c>
      <c r="P140" s="7" t="n">
        <v>88.90000000000001</v>
      </c>
      <c r="R140" s="7" t="n">
        <v>100.7</v>
      </c>
      <c r="T140" s="7" t="n">
        <v>28.9</v>
      </c>
      <c r="V140" s="7" t="n">
        <v>85.40000000000001</v>
      </c>
      <c r="X140" s="7" t="n">
        <v>55.5</v>
      </c>
      <c r="Z140" s="7" t="n">
        <v>44.4</v>
      </c>
      <c r="AB140" s="7" t="n">
        <v>667.4</v>
      </c>
    </row>
    <row r="141">
      <c r="A141" s="4" t="inlineStr">
        <is>
          <t>燃气费</t>
        </is>
      </c>
      <c r="D141" s="7" t="n">
        <v>5.3</v>
      </c>
      <c r="F141" s="7" t="n">
        <v>7.9</v>
      </c>
      <c r="H141" s="7" t="n">
        <v>10</v>
      </c>
      <c r="J141" s="7" t="n">
        <v>9.5</v>
      </c>
      <c r="L141" s="7" t="n">
        <v>9.1</v>
      </c>
      <c r="N141" s="7" t="n">
        <v>14.2</v>
      </c>
      <c r="P141" s="7" t="n">
        <v>18.3</v>
      </c>
      <c r="R141" s="7" t="n">
        <v>15.9</v>
      </c>
      <c r="T141" s="7" t="n">
        <v>11.5</v>
      </c>
      <c r="V141" s="7" t="n">
        <v>18.8</v>
      </c>
      <c r="X141" s="7" t="n">
        <v>22.3</v>
      </c>
      <c r="Z141" s="7" t="n">
        <v>9</v>
      </c>
      <c r="AB141" s="7" t="n">
        <v>151.8</v>
      </c>
    </row>
    <row r="142">
      <c r="A142" s="4" t="inlineStr">
        <is>
          <t>蒸汽费</t>
        </is>
      </c>
      <c r="D142" s="7" t="n">
        <v>7.3</v>
      </c>
      <c r="F142" s="7" t="n">
        <v>9.699999999999999</v>
      </c>
      <c r="H142" s="7" t="n">
        <v>10.6</v>
      </c>
      <c r="J142" s="7" t="n">
        <v>14.8</v>
      </c>
      <c r="L142" s="7" t="n">
        <v>9.199999999999999</v>
      </c>
      <c r="N142" s="7" t="n">
        <v>19</v>
      </c>
      <c r="P142" s="7" t="n">
        <v>17.4</v>
      </c>
      <c r="R142" s="7" t="n">
        <v>20.8</v>
      </c>
      <c r="T142" s="7" t="n">
        <v>9.4</v>
      </c>
      <c r="V142" s="7" t="n">
        <v>16.4</v>
      </c>
      <c r="X142" s="7" t="n">
        <v>24.4</v>
      </c>
      <c r="Z142" s="7" t="n">
        <v>12.7</v>
      </c>
      <c r="AB142" s="7" t="n">
        <v>171.7</v>
      </c>
    </row>
    <row r="143">
      <c r="A143" s="4" t="inlineStr">
        <is>
          <t>物业费</t>
        </is>
      </c>
      <c r="D143" s="7" t="n">
        <v>37.5</v>
      </c>
      <c r="F143" s="7" t="n">
        <v>108.5</v>
      </c>
      <c r="H143" s="7" t="n">
        <v>65.09999999999999</v>
      </c>
      <c r="J143" s="7" t="n">
        <v>91.7</v>
      </c>
      <c r="L143" s="7" t="n">
        <v>88.40000000000001</v>
      </c>
      <c r="N143" s="7" t="n">
        <v>144.7</v>
      </c>
      <c r="P143" s="7" t="n">
        <v>127.2</v>
      </c>
      <c r="R143" s="7" t="n">
        <v>210.5</v>
      </c>
      <c r="T143" s="7" t="n">
        <v>94</v>
      </c>
      <c r="V143" s="7" t="n">
        <v>134</v>
      </c>
      <c r="X143" s="7" t="n">
        <v>198.2</v>
      </c>
      <c r="Z143" s="7" t="n">
        <v>72.40000000000001</v>
      </c>
      <c r="AB143" s="7" t="n">
        <v>1372.2</v>
      </c>
    </row>
    <row r="144">
      <c r="A144" s="4" t="inlineStr">
        <is>
          <t>劳动保护费</t>
        </is>
      </c>
      <c r="D144" s="7" t="n">
        <v>33.5</v>
      </c>
      <c r="F144" s="7" t="n">
        <v>90</v>
      </c>
      <c r="H144" s="7" t="n">
        <v>63.3</v>
      </c>
      <c r="J144" s="7" t="n">
        <v>98.5</v>
      </c>
      <c r="L144" s="7" t="n">
        <v>77.90000000000001</v>
      </c>
      <c r="N144" s="7" t="n">
        <v>104.3</v>
      </c>
      <c r="P144" s="7" t="n">
        <v>135.1</v>
      </c>
      <c r="R144" s="7" t="n">
        <v>138.6</v>
      </c>
      <c r="T144" s="7" t="n">
        <v>79.90000000000001</v>
      </c>
      <c r="V144" s="7" t="n">
        <v>158.3</v>
      </c>
      <c r="X144" s="7" t="n">
        <v>165.2</v>
      </c>
      <c r="Z144" s="7" t="n">
        <v>93</v>
      </c>
      <c r="AB144" s="7" t="n">
        <v>1237.6</v>
      </c>
    </row>
    <row r="145">
      <c r="A145" s="4" t="inlineStr">
        <is>
          <t>顾问费</t>
        </is>
      </c>
      <c r="D145" s="7" t="n">
        <v>103.4</v>
      </c>
      <c r="F145" s="7" t="n">
        <v>211.7</v>
      </c>
      <c r="H145" s="7" t="n">
        <v>158.8</v>
      </c>
      <c r="J145" s="7" t="n">
        <v>141.7</v>
      </c>
      <c r="L145" s="7" t="n">
        <v>154.5</v>
      </c>
      <c r="N145" s="7" t="n">
        <v>289.2</v>
      </c>
      <c r="P145" s="7" t="n">
        <v>259.6</v>
      </c>
      <c r="R145" s="7" t="n">
        <v>358.2</v>
      </c>
      <c r="T145" s="7" t="n">
        <v>165.9</v>
      </c>
      <c r="V145" s="7" t="n">
        <v>246.8</v>
      </c>
      <c r="X145" s="7" t="n">
        <v>269.9</v>
      </c>
      <c r="Z145" s="7" t="n">
        <v>201.2</v>
      </c>
      <c r="AB145" s="7" t="n">
        <v>2560.9</v>
      </c>
    </row>
    <row r="146">
      <c r="A146" s="4" t="inlineStr">
        <is>
          <t>快递费</t>
        </is>
      </c>
      <c r="D146" s="7" t="n">
        <v>77.2</v>
      </c>
      <c r="F146" s="7" t="n">
        <v>103.1</v>
      </c>
      <c r="H146" s="7" t="n">
        <v>127.5</v>
      </c>
      <c r="J146" s="7" t="n">
        <v>157.6</v>
      </c>
      <c r="L146" s="7" t="n">
        <v>99.90000000000001</v>
      </c>
      <c r="N146" s="7" t="n">
        <v>152.1</v>
      </c>
      <c r="P146" s="7" t="n">
        <v>150.6</v>
      </c>
      <c r="R146" s="7" t="n">
        <v>201.8</v>
      </c>
      <c r="T146" s="7" t="n">
        <v>116.2</v>
      </c>
      <c r="V146" s="7" t="n">
        <v>244.3</v>
      </c>
      <c r="X146" s="7" t="n">
        <v>164.6</v>
      </c>
      <c r="Z146" s="7" t="n">
        <v>89.3</v>
      </c>
      <c r="AB146" s="7" t="n">
        <v>1684.2</v>
      </c>
    </row>
    <row r="147">
      <c r="A147" s="4" t="inlineStr">
        <is>
          <t>诉讼费</t>
        </is>
      </c>
      <c r="D147" s="7" t="n">
        <v>82.8</v>
      </c>
      <c r="F147" s="7" t="n">
        <v>189.8</v>
      </c>
      <c r="H147" s="7" t="n">
        <v>131.1</v>
      </c>
      <c r="J147" s="7" t="n">
        <v>177.5</v>
      </c>
      <c r="L147" s="7" t="n">
        <v>137</v>
      </c>
      <c r="N147" s="7" t="n">
        <v>274.8</v>
      </c>
      <c r="P147" s="7" t="n">
        <v>208.8</v>
      </c>
      <c r="R147" s="7" t="n">
        <v>254.3</v>
      </c>
      <c r="T147" s="7" t="n">
        <v>167</v>
      </c>
      <c r="V147" s="7" t="n">
        <v>199</v>
      </c>
      <c r="X147" s="7" t="n">
        <v>184.8</v>
      </c>
      <c r="Z147" s="7" t="n">
        <v>158.2</v>
      </c>
      <c r="AB147" s="7" t="n">
        <v>2165.1</v>
      </c>
    </row>
    <row r="148">
      <c r="A148" s="4" t="inlineStr">
        <is>
          <t>会员费</t>
        </is>
      </c>
      <c r="D148" s="7" t="n">
        <v>19.4</v>
      </c>
      <c r="F148" s="7" t="n">
        <v>43.8</v>
      </c>
      <c r="H148" s="7" t="n">
        <v>42.2</v>
      </c>
      <c r="J148" s="7" t="n">
        <v>50.6</v>
      </c>
      <c r="L148" s="7" t="n">
        <v>24.8</v>
      </c>
      <c r="N148" s="7" t="n">
        <v>45.7</v>
      </c>
      <c r="P148" s="7" t="n">
        <v>62.3</v>
      </c>
      <c r="R148" s="7" t="n">
        <v>75.3</v>
      </c>
      <c r="T148" s="7" t="n">
        <v>42.1</v>
      </c>
      <c r="V148" s="7" t="n">
        <v>76.3</v>
      </c>
      <c r="X148" s="7" t="n">
        <v>58.2</v>
      </c>
      <c r="Z148" s="7" t="n">
        <v>42.9</v>
      </c>
      <c r="AB148" s="7" t="n">
        <v>583.6</v>
      </c>
    </row>
    <row r="149">
      <c r="A149" s="4" t="inlineStr">
        <is>
          <t>广告宣传费</t>
        </is>
      </c>
      <c r="D149" s="7" t="n">
        <v>630.4</v>
      </c>
      <c r="F149" s="7" t="n">
        <v>763.8</v>
      </c>
      <c r="H149" s="7" t="n">
        <v>768</v>
      </c>
      <c r="J149" s="7" t="n">
        <v>1011.8</v>
      </c>
      <c r="L149" s="7" t="n">
        <v>797.7</v>
      </c>
      <c r="N149" s="7" t="n">
        <v>1397.2</v>
      </c>
      <c r="P149" s="7" t="n">
        <v>1789.5</v>
      </c>
      <c r="R149" s="7" t="n">
        <v>2160</v>
      </c>
      <c r="T149" s="7" t="n">
        <v>857.5</v>
      </c>
      <c r="V149" s="7" t="n">
        <v>1886</v>
      </c>
      <c r="X149" s="7" t="n">
        <v>1288.4</v>
      </c>
      <c r="Z149" s="7" t="n">
        <v>872.6</v>
      </c>
      <c r="AB149" s="7" t="n">
        <v>14222.9</v>
      </c>
    </row>
    <row r="150">
      <c r="A150" s="4" t="inlineStr">
        <is>
          <t>会务费</t>
        </is>
      </c>
      <c r="D150" s="7" t="n">
        <v>76.7</v>
      </c>
      <c r="F150" s="7" t="n">
        <v>98.90000000000001</v>
      </c>
      <c r="H150" s="7" t="n">
        <v>125.8</v>
      </c>
      <c r="J150" s="7" t="n">
        <v>186.9</v>
      </c>
      <c r="L150" s="7" t="n">
        <v>97.8</v>
      </c>
      <c r="N150" s="7" t="n">
        <v>184.1</v>
      </c>
      <c r="P150" s="7" t="n">
        <v>151.9</v>
      </c>
      <c r="R150" s="7" t="n">
        <v>291.6</v>
      </c>
      <c r="T150" s="7" t="n">
        <v>153.3</v>
      </c>
      <c r="V150" s="7" t="n">
        <v>174.5</v>
      </c>
      <c r="X150" s="7" t="n">
        <v>264.2</v>
      </c>
      <c r="Z150" s="7" t="n">
        <v>132.1</v>
      </c>
      <c r="AB150" s="7" t="n">
        <v>1937.8</v>
      </c>
    </row>
    <row r="151">
      <c r="A151" s="4" t="inlineStr">
        <is>
          <t>装修费</t>
        </is>
      </c>
      <c r="D151" s="7" t="n">
        <v>35.8</v>
      </c>
      <c r="F151" s="7" t="n">
        <v>89</v>
      </c>
      <c r="H151" s="7" t="n">
        <v>69.2</v>
      </c>
      <c r="J151" s="7" t="n">
        <v>85.59999999999999</v>
      </c>
      <c r="L151" s="7" t="n">
        <v>78.7</v>
      </c>
      <c r="N151" s="7" t="n">
        <v>98</v>
      </c>
      <c r="P151" s="7" t="n">
        <v>85.59999999999999</v>
      </c>
      <c r="R151" s="7" t="n">
        <v>166.2</v>
      </c>
      <c r="T151" s="7" t="n">
        <v>68.90000000000001</v>
      </c>
      <c r="V151" s="7" t="n">
        <v>136.2</v>
      </c>
      <c r="X151" s="7" t="n">
        <v>144</v>
      </c>
      <c r="Z151" s="7" t="n">
        <v>75.7</v>
      </c>
      <c r="AB151" s="7" t="n">
        <v>1132.9</v>
      </c>
    </row>
    <row r="152">
      <c r="A152" s="4" t="inlineStr">
        <is>
          <t>推广费</t>
        </is>
      </c>
      <c r="D152" s="7" t="n">
        <v>71.2</v>
      </c>
      <c r="F152" s="7" t="n">
        <v>184.8</v>
      </c>
      <c r="H152" s="7" t="n">
        <v>120.4</v>
      </c>
      <c r="J152" s="7" t="n">
        <v>126.7</v>
      </c>
      <c r="L152" s="7" t="n">
        <v>148.6</v>
      </c>
      <c r="N152" s="7" t="n">
        <v>305.9</v>
      </c>
      <c r="P152" s="7" t="n">
        <v>204.4</v>
      </c>
      <c r="R152" s="7" t="n">
        <v>302.7</v>
      </c>
      <c r="T152" s="7" t="n">
        <v>113.4</v>
      </c>
      <c r="V152" s="7" t="n">
        <v>317.4</v>
      </c>
      <c r="X152" s="7" t="n">
        <v>212.4</v>
      </c>
      <c r="Z152" s="7" t="n">
        <v>192.4</v>
      </c>
      <c r="AB152" s="7" t="n">
        <v>2300.3</v>
      </c>
    </row>
    <row r="153">
      <c r="A153" s="4" t="inlineStr">
        <is>
          <t>展会费</t>
        </is>
      </c>
      <c r="D153" s="7" t="n">
        <v>42.5</v>
      </c>
      <c r="F153" s="7" t="n">
        <v>68.09999999999999</v>
      </c>
      <c r="H153" s="7" t="n">
        <v>56.7</v>
      </c>
      <c r="J153" s="7" t="n">
        <v>84.40000000000001</v>
      </c>
      <c r="L153" s="7" t="n">
        <v>90</v>
      </c>
      <c r="N153" s="7" t="n">
        <v>145.9</v>
      </c>
      <c r="P153" s="7" t="n">
        <v>150</v>
      </c>
      <c r="R153" s="7" t="n">
        <v>159.6</v>
      </c>
      <c r="T153" s="7" t="n">
        <v>66.7</v>
      </c>
      <c r="V153" s="7" t="n">
        <v>138</v>
      </c>
      <c r="X153" s="7" t="n">
        <v>189.9</v>
      </c>
      <c r="Z153" s="7" t="n">
        <v>104</v>
      </c>
      <c r="AB153" s="7" t="n">
        <v>1295.8</v>
      </c>
    </row>
    <row r="154">
      <c r="A154" s="4" t="inlineStr">
        <is>
          <t>设计费</t>
        </is>
      </c>
      <c r="D154" s="7" t="n">
        <v>40.7</v>
      </c>
      <c r="F154" s="7" t="n">
        <v>61.8</v>
      </c>
      <c r="H154" s="7" t="n">
        <v>57.5</v>
      </c>
      <c r="J154" s="7" t="n">
        <v>55.5</v>
      </c>
      <c r="L154" s="7" t="n">
        <v>71.8</v>
      </c>
      <c r="N154" s="7" t="n">
        <v>84.40000000000001</v>
      </c>
      <c r="P154" s="7" t="n">
        <v>100.1</v>
      </c>
      <c r="R154" s="7" t="n">
        <v>92</v>
      </c>
      <c r="T154" s="7" t="n">
        <v>43.5</v>
      </c>
      <c r="V154" s="7" t="n">
        <v>108.3</v>
      </c>
      <c r="X154" s="7" t="n">
        <v>105.5</v>
      </c>
      <c r="Z154" s="7" t="n">
        <v>74.3</v>
      </c>
      <c r="AB154" s="7" t="n">
        <v>895.4</v>
      </c>
    </row>
    <row r="155">
      <c r="A155" s="4" t="inlineStr">
        <is>
          <t>折旧费</t>
        </is>
      </c>
      <c r="D155" s="7" t="n">
        <v>634.3</v>
      </c>
      <c r="F155" s="7" t="n">
        <v>1301.5</v>
      </c>
      <c r="H155" s="7" t="n">
        <v>850.6</v>
      </c>
      <c r="J155" s="7" t="n">
        <v>1533.2</v>
      </c>
      <c r="L155" s="7" t="n">
        <v>970.3</v>
      </c>
      <c r="N155" s="7" t="n">
        <v>1776.4</v>
      </c>
      <c r="P155" s="7" t="n">
        <v>1800.4</v>
      </c>
      <c r="R155" s="7" t="n">
        <v>2213.4</v>
      </c>
      <c r="T155" s="7" t="n">
        <v>891.8</v>
      </c>
      <c r="V155" s="7" t="n">
        <v>2493.7</v>
      </c>
      <c r="X155" s="7" t="n">
        <v>2689.6</v>
      </c>
      <c r="Z155" s="7" t="n">
        <v>1026.6</v>
      </c>
      <c r="AB155" s="7" t="n">
        <v>18181.8</v>
      </c>
    </row>
    <row r="156">
      <c r="A156" s="4" t="inlineStr">
        <is>
          <t>认证费</t>
        </is>
      </c>
      <c r="D156" s="7" t="n">
        <v>88.8</v>
      </c>
      <c r="F156" s="7" t="n">
        <v>158.6</v>
      </c>
      <c r="H156" s="7" t="n">
        <v>120.8</v>
      </c>
      <c r="J156" s="7" t="n">
        <v>137.1</v>
      </c>
      <c r="L156" s="7" t="n">
        <v>161.9</v>
      </c>
      <c r="N156" s="7" t="n">
        <v>194</v>
      </c>
      <c r="P156" s="7" t="n">
        <v>253.6</v>
      </c>
      <c r="R156" s="7" t="n">
        <v>389.3</v>
      </c>
      <c r="T156" s="7" t="n">
        <v>184.5</v>
      </c>
      <c r="V156" s="7" t="n">
        <v>181</v>
      </c>
      <c r="X156" s="7" t="n">
        <v>325</v>
      </c>
      <c r="Z156" s="7" t="n">
        <v>181.9</v>
      </c>
      <c r="AB156" s="7" t="n">
        <v>2376.5</v>
      </c>
    </row>
    <row r="157">
      <c r="A157" s="4" t="inlineStr">
        <is>
          <t>样品费</t>
        </is>
      </c>
      <c r="D157" s="7" t="n">
        <v>398.5</v>
      </c>
      <c r="F157" s="7" t="n">
        <v>779.7</v>
      </c>
      <c r="H157" s="7" t="n">
        <v>620.8</v>
      </c>
      <c r="J157" s="7" t="n">
        <v>671</v>
      </c>
      <c r="L157" s="7" t="n">
        <v>676.4</v>
      </c>
      <c r="N157" s="7" t="n">
        <v>884.5</v>
      </c>
      <c r="P157" s="7" t="n">
        <v>718.1</v>
      </c>
      <c r="R157" s="7" t="n">
        <v>1327.2</v>
      </c>
      <c r="T157" s="7" t="n">
        <v>667.4</v>
      </c>
      <c r="V157" s="7" t="n">
        <v>868.9</v>
      </c>
      <c r="X157" s="7" t="n">
        <v>1381.1</v>
      </c>
      <c r="Z157" s="7" t="n">
        <v>604.2</v>
      </c>
      <c r="AB157" s="7" t="n">
        <v>9597.799999999999</v>
      </c>
    </row>
    <row r="158">
      <c r="A158" s="4" t="inlineStr">
        <is>
          <t>劳务费</t>
        </is>
      </c>
      <c r="D158" s="7" t="n">
        <v>36.2</v>
      </c>
      <c r="F158" s="7" t="n">
        <v>101.5</v>
      </c>
      <c r="H158" s="7" t="n">
        <v>66.2</v>
      </c>
      <c r="J158" s="7" t="n">
        <v>67.90000000000001</v>
      </c>
      <c r="L158" s="7" t="n">
        <v>76.3</v>
      </c>
      <c r="N158" s="7" t="n">
        <v>128.8</v>
      </c>
      <c r="P158" s="7" t="n">
        <v>95.59999999999999</v>
      </c>
      <c r="R158" s="7" t="n">
        <v>177.6</v>
      </c>
      <c r="T158" s="7" t="n">
        <v>92.8</v>
      </c>
      <c r="V158" s="7" t="n">
        <v>156.3</v>
      </c>
      <c r="X158" s="7" t="n">
        <v>123.3</v>
      </c>
      <c r="Z158" s="7" t="n">
        <v>89</v>
      </c>
      <c r="AB158" s="7" t="n">
        <v>1211.5</v>
      </c>
    </row>
    <row r="159">
      <c r="A159" s="4" t="inlineStr">
        <is>
          <t>销售佣金</t>
        </is>
      </c>
      <c r="D159" s="7" t="n">
        <v>1.5</v>
      </c>
      <c r="F159" s="7" t="n">
        <v>2.7</v>
      </c>
      <c r="H159" s="7" t="n">
        <v>2.6</v>
      </c>
      <c r="J159" s="7" t="n">
        <v>2.7</v>
      </c>
      <c r="L159" s="7" t="n">
        <v>2.1</v>
      </c>
      <c r="N159" s="7" t="n">
        <v>4.5</v>
      </c>
      <c r="P159" s="7" t="n">
        <v>4.7</v>
      </c>
      <c r="R159" s="7" t="n">
        <v>5.1</v>
      </c>
      <c r="T159" s="7" t="n">
        <v>2.2</v>
      </c>
      <c r="V159" s="7" t="n">
        <v>4.8</v>
      </c>
      <c r="X159" s="7" t="n">
        <v>4</v>
      </c>
      <c r="Z159" s="7" t="n">
        <v>1.9</v>
      </c>
      <c r="AB159" s="7" t="n">
        <v>38.8</v>
      </c>
    </row>
    <row r="160">
      <c r="A160" s="4" t="inlineStr">
        <is>
          <t>检测费</t>
        </is>
      </c>
      <c r="D160" s="7" t="n">
        <v>24.3</v>
      </c>
      <c r="F160" s="7" t="n">
        <v>52.5</v>
      </c>
      <c r="H160" s="7" t="n">
        <v>41.4</v>
      </c>
      <c r="J160" s="7" t="n">
        <v>43.1</v>
      </c>
      <c r="L160" s="7" t="n">
        <v>41.6</v>
      </c>
      <c r="N160" s="7" t="n">
        <v>59.8</v>
      </c>
      <c r="P160" s="7" t="n">
        <v>71.59999999999999</v>
      </c>
      <c r="R160" s="7" t="n">
        <v>125.5</v>
      </c>
      <c r="T160" s="7" t="n">
        <v>45.9</v>
      </c>
      <c r="V160" s="7" t="n">
        <v>99.2</v>
      </c>
      <c r="X160" s="7" t="n">
        <v>85.59999999999999</v>
      </c>
      <c r="Z160" s="7" t="n">
        <v>53.1</v>
      </c>
      <c r="AB160" s="7" t="n">
        <v>743.6</v>
      </c>
    </row>
    <row r="161">
      <c r="A161" s="4" t="inlineStr">
        <is>
          <t>质量赔偿</t>
        </is>
      </c>
      <c r="D161" s="7" t="n">
        <v>112.5</v>
      </c>
      <c r="F161" s="7" t="n">
        <v>205.8</v>
      </c>
      <c r="H161" s="7" t="n">
        <v>190.6</v>
      </c>
      <c r="J161" s="7" t="n">
        <v>185.7</v>
      </c>
      <c r="L161" s="7" t="n">
        <v>145.6</v>
      </c>
      <c r="N161" s="7" t="n">
        <v>214.7</v>
      </c>
      <c r="P161" s="7" t="n">
        <v>287.2</v>
      </c>
      <c r="R161" s="7" t="n">
        <v>477.4</v>
      </c>
      <c r="T161" s="7" t="n">
        <v>210</v>
      </c>
      <c r="V161" s="7" t="n">
        <v>236.7</v>
      </c>
      <c r="X161" s="7" t="n">
        <v>390.2</v>
      </c>
      <c r="Z161" s="7" t="n">
        <v>185.5</v>
      </c>
      <c r="AB161" s="7" t="n">
        <v>2841.9</v>
      </c>
    </row>
    <row r="162">
      <c r="A162" s="4" t="inlineStr">
        <is>
          <t>保险费</t>
        </is>
      </c>
      <c r="D162" s="7" t="n">
        <v>19.8</v>
      </c>
      <c r="F162" s="7" t="n">
        <v>30.4</v>
      </c>
      <c r="H162" s="7" t="n">
        <v>32.9</v>
      </c>
      <c r="J162" s="7" t="n">
        <v>45.2</v>
      </c>
      <c r="L162" s="7" t="n">
        <v>21.3</v>
      </c>
      <c r="N162" s="7" t="n">
        <v>43.5</v>
      </c>
      <c r="P162" s="7" t="n">
        <v>41.1</v>
      </c>
      <c r="R162" s="7" t="n">
        <v>85.2</v>
      </c>
      <c r="T162" s="7" t="n">
        <v>33</v>
      </c>
      <c r="V162" s="7" t="n">
        <v>64.59999999999999</v>
      </c>
      <c r="X162" s="7" t="n">
        <v>54.9</v>
      </c>
      <c r="Z162" s="7" t="n">
        <v>28.8</v>
      </c>
      <c r="AB162" s="7" t="n">
        <v>500.7</v>
      </c>
    </row>
    <row r="163">
      <c r="A163" s="4" t="inlineStr">
        <is>
          <t>清洁费</t>
        </is>
      </c>
      <c r="D163" s="7" t="n">
        <v>65.5</v>
      </c>
      <c r="F163" s="7" t="n">
        <v>143.6</v>
      </c>
      <c r="H163" s="7" t="n">
        <v>133.5</v>
      </c>
      <c r="J163" s="7" t="n">
        <v>138.1</v>
      </c>
      <c r="L163" s="7" t="n">
        <v>110.9</v>
      </c>
      <c r="N163" s="7" t="n">
        <v>296.1</v>
      </c>
      <c r="P163" s="7" t="n">
        <v>299.4</v>
      </c>
      <c r="R163" s="7" t="n">
        <v>335.3</v>
      </c>
      <c r="T163" s="7" t="n">
        <v>158.3</v>
      </c>
      <c r="V163" s="7" t="n">
        <v>271.9</v>
      </c>
      <c r="X163" s="7" t="n">
        <v>325</v>
      </c>
      <c r="Z163" s="7" t="n">
        <v>210.7</v>
      </c>
      <c r="AB163" s="7" t="n">
        <v>2488.3</v>
      </c>
    </row>
    <row r="164">
      <c r="A164" s="4" t="inlineStr">
        <is>
          <t>低值易耗品</t>
        </is>
      </c>
      <c r="D164" s="7" t="n">
        <v>11</v>
      </c>
      <c r="F164" s="7" t="n">
        <v>24</v>
      </c>
      <c r="H164" s="7" t="n">
        <v>19.4</v>
      </c>
      <c r="J164" s="7" t="n">
        <v>22.1</v>
      </c>
      <c r="L164" s="7" t="n">
        <v>24.6</v>
      </c>
      <c r="N164" s="7" t="n">
        <v>35.4</v>
      </c>
      <c r="P164" s="7" t="n">
        <v>29.3</v>
      </c>
      <c r="R164" s="7" t="n">
        <v>32.4</v>
      </c>
      <c r="T164" s="7" t="n">
        <v>21.3</v>
      </c>
      <c r="V164" s="7" t="n">
        <v>42.7</v>
      </c>
      <c r="X164" s="7" t="n">
        <v>49.6</v>
      </c>
      <c r="Z164" s="7" t="n">
        <v>19.9</v>
      </c>
      <c r="AB164" s="7" t="n">
        <v>331.7</v>
      </c>
    </row>
    <row r="165">
      <c r="A165" s="4" t="inlineStr">
        <is>
          <t>物料消耗</t>
        </is>
      </c>
      <c r="D165" s="7" t="n">
        <v>86</v>
      </c>
      <c r="F165" s="7" t="n">
        <v>150.2</v>
      </c>
      <c r="H165" s="7" t="n">
        <v>135.8</v>
      </c>
      <c r="J165" s="7" t="n">
        <v>125.8</v>
      </c>
      <c r="L165" s="7" t="n">
        <v>116.3</v>
      </c>
      <c r="N165" s="7" t="n">
        <v>156.6</v>
      </c>
      <c r="P165" s="7" t="n">
        <v>225.9</v>
      </c>
      <c r="R165" s="7" t="n">
        <v>216.3</v>
      </c>
      <c r="T165" s="7" t="n">
        <v>151.8</v>
      </c>
      <c r="V165" s="7" t="n">
        <v>203.3</v>
      </c>
      <c r="X165" s="7" t="n">
        <v>265.4</v>
      </c>
      <c r="Z165" s="7" t="n">
        <v>115.6</v>
      </c>
      <c r="AB165" s="7" t="n">
        <v>1949</v>
      </c>
    </row>
    <row r="166">
      <c r="A166" s="4" t="inlineStr">
        <is>
          <t>盘盈盘亏</t>
        </is>
      </c>
      <c r="D166" s="7" t="n">
        <v>67.90000000000001</v>
      </c>
      <c r="F166" s="7" t="n">
        <v>132.6</v>
      </c>
      <c r="H166" s="7" t="n">
        <v>78.40000000000001</v>
      </c>
      <c r="J166" s="7" t="n">
        <v>118.3</v>
      </c>
      <c r="L166" s="7" t="n">
        <v>94.3</v>
      </c>
      <c r="N166" s="7" t="n">
        <v>211.6</v>
      </c>
      <c r="P166" s="7" t="n">
        <v>146.7</v>
      </c>
      <c r="R166" s="7" t="n">
        <v>269</v>
      </c>
      <c r="T166" s="7" t="n">
        <v>97.8</v>
      </c>
      <c r="V166" s="7" t="n">
        <v>203.4</v>
      </c>
      <c r="X166" s="7" t="n">
        <v>184.9</v>
      </c>
      <c r="Z166" s="7" t="n">
        <v>87.3</v>
      </c>
      <c r="AB166" s="7" t="n">
        <v>1692.2</v>
      </c>
    </row>
    <row r="167">
      <c r="A167" s="4" t="inlineStr">
        <is>
          <t>平台服务费</t>
        </is>
      </c>
      <c r="D167" s="7" t="n">
        <v>70.8</v>
      </c>
      <c r="F167" s="7" t="n">
        <v>134.2</v>
      </c>
      <c r="H167" s="7" t="n">
        <v>117.1</v>
      </c>
      <c r="J167" s="7" t="n">
        <v>123.4</v>
      </c>
      <c r="L167" s="7" t="n">
        <v>132.4</v>
      </c>
      <c r="N167" s="7" t="n">
        <v>184.4</v>
      </c>
      <c r="P167" s="7" t="n">
        <v>236.2</v>
      </c>
      <c r="R167" s="7" t="n">
        <v>277.3</v>
      </c>
      <c r="T167" s="7" t="n">
        <v>106.9</v>
      </c>
      <c r="V167" s="7" t="n">
        <v>195.5</v>
      </c>
      <c r="X167" s="7" t="n">
        <v>187.6</v>
      </c>
      <c r="Z167" s="7" t="n">
        <v>91.5</v>
      </c>
      <c r="AB167" s="7" t="n">
        <v>1857.3</v>
      </c>
    </row>
    <row r="168">
      <c r="A168" s="4" t="inlineStr">
        <is>
          <t>无形资产摊销</t>
        </is>
      </c>
      <c r="D168" s="7" t="n">
        <v>38.3</v>
      </c>
      <c r="F168" s="7" t="n">
        <v>72.2</v>
      </c>
      <c r="H168" s="7" t="n">
        <v>60.5</v>
      </c>
      <c r="J168" s="7" t="n">
        <v>92.7</v>
      </c>
      <c r="L168" s="7" t="n">
        <v>70.09999999999999</v>
      </c>
      <c r="N168" s="7" t="n">
        <v>83.59999999999999</v>
      </c>
      <c r="P168" s="7" t="n">
        <v>117.6</v>
      </c>
      <c r="R168" s="7" t="n">
        <v>122.4</v>
      </c>
      <c r="T168" s="7" t="n">
        <v>54.9</v>
      </c>
      <c r="V168" s="7" t="n">
        <v>143.3</v>
      </c>
      <c r="X168" s="7" t="n">
        <v>115</v>
      </c>
      <c r="Z168" s="7" t="n">
        <v>73.8</v>
      </c>
      <c r="AB168" s="7" t="n">
        <v>1044.4</v>
      </c>
    </row>
    <row r="169">
      <c r="A169" s="4" t="inlineStr">
        <is>
          <t>研发材料</t>
        </is>
      </c>
      <c r="D169" s="7" t="n">
        <v>49.4</v>
      </c>
      <c r="F169" s="7" t="n">
        <v>98.8</v>
      </c>
      <c r="H169" s="7" t="n">
        <v>103.8</v>
      </c>
      <c r="J169" s="7" t="n">
        <v>125.5</v>
      </c>
      <c r="L169" s="7" t="n">
        <v>65.5</v>
      </c>
      <c r="N169" s="7" t="n">
        <v>153.1</v>
      </c>
      <c r="P169" s="7" t="n">
        <v>152.2</v>
      </c>
      <c r="R169" s="7" t="n">
        <v>131.7</v>
      </c>
      <c r="T169" s="7" t="n">
        <v>98.7</v>
      </c>
      <c r="V169" s="7" t="n">
        <v>172.6</v>
      </c>
      <c r="X169" s="7" t="n">
        <v>156.1</v>
      </c>
      <c r="Z169" s="7" t="n">
        <v>105.7</v>
      </c>
      <c r="AB169" s="7" t="n">
        <v>1413.1</v>
      </c>
    </row>
    <row r="170">
      <c r="A170" s="4" t="inlineStr">
        <is>
          <t>项目名称</t>
        </is>
      </c>
      <c r="D170" s="7" t="n">
        <v>108</v>
      </c>
      <c r="F170" s="7" t="n">
        <v>196.9</v>
      </c>
      <c r="H170" s="7" t="n">
        <v>151.3</v>
      </c>
      <c r="J170" s="7" t="n">
        <v>218</v>
      </c>
      <c r="L170" s="7" t="n">
        <v>156.6</v>
      </c>
      <c r="N170" s="7" t="n">
        <v>317.7</v>
      </c>
      <c r="P170" s="7" t="n">
        <v>364.7</v>
      </c>
      <c r="R170" s="7" t="n">
        <v>371.1</v>
      </c>
      <c r="T170" s="7" t="n">
        <v>180.7</v>
      </c>
      <c r="V170" s="7" t="n">
        <v>214.5</v>
      </c>
      <c r="X170" s="7" t="n">
        <v>371.5</v>
      </c>
      <c r="Z170" s="7" t="n">
        <v>163.5</v>
      </c>
      <c r="AB170" s="7" t="n">
        <v>2814.5</v>
      </c>
    </row>
    <row r="171">
      <c r="A171" s="4" t="inlineStr">
        <is>
          <t>研发费</t>
        </is>
      </c>
      <c r="D171" s="7" t="n">
        <v>28.3</v>
      </c>
      <c r="F171" s="7" t="n">
        <v>66.7</v>
      </c>
      <c r="H171" s="7" t="n">
        <v>72.59999999999999</v>
      </c>
      <c r="J171" s="7" t="n">
        <v>87.2</v>
      </c>
      <c r="L171" s="7" t="n">
        <v>56.1</v>
      </c>
      <c r="N171" s="7" t="n">
        <v>103.5</v>
      </c>
      <c r="P171" s="7" t="n">
        <v>73.59999999999999</v>
      </c>
      <c r="R171" s="7" t="n">
        <v>123.6</v>
      </c>
      <c r="T171" s="7" t="n">
        <v>47.9</v>
      </c>
      <c r="V171" s="7" t="n">
        <v>104.8</v>
      </c>
      <c r="X171" s="7" t="n">
        <v>103.7</v>
      </c>
      <c r="Z171" s="7" t="n">
        <v>45.6</v>
      </c>
      <c r="AB171" s="7" t="n">
        <v>913.6</v>
      </c>
    </row>
    <row r="172">
      <c r="A172" s="4" t="inlineStr">
        <is>
          <t>残保金</t>
        </is>
      </c>
      <c r="D172" s="7" t="n">
        <v>39.8</v>
      </c>
      <c r="F172" s="7" t="n">
        <v>108.5</v>
      </c>
      <c r="H172" s="7" t="n">
        <v>81.5</v>
      </c>
      <c r="J172" s="7" t="n">
        <v>144.6</v>
      </c>
      <c r="L172" s="7" t="n">
        <v>99.5</v>
      </c>
      <c r="N172" s="7" t="n">
        <v>163.2</v>
      </c>
      <c r="P172" s="7" t="n">
        <v>128.1</v>
      </c>
      <c r="R172" s="7" t="n">
        <v>239.6</v>
      </c>
      <c r="T172" s="7" t="n">
        <v>75.3</v>
      </c>
      <c r="V172" s="7" t="n">
        <v>140.4</v>
      </c>
      <c r="X172" s="7" t="n">
        <v>180.3</v>
      </c>
      <c r="Z172" s="7" t="n">
        <v>92</v>
      </c>
      <c r="AB172" s="7" t="n">
        <v>1492.8</v>
      </c>
    </row>
    <row r="173">
      <c r="A173" s="4" t="inlineStr">
        <is>
          <t>环保费</t>
        </is>
      </c>
      <c r="D173" s="7" t="n">
        <v>70</v>
      </c>
      <c r="F173" s="7" t="n">
        <v>140.3</v>
      </c>
      <c r="H173" s="7" t="n">
        <v>104.4</v>
      </c>
      <c r="J173" s="7" t="n">
        <v>111.7</v>
      </c>
      <c r="L173" s="7" t="n">
        <v>72.2</v>
      </c>
      <c r="N173" s="7" t="n">
        <v>170.2</v>
      </c>
      <c r="P173" s="7" t="n">
        <v>188.5</v>
      </c>
      <c r="R173" s="7" t="n">
        <v>172.1</v>
      </c>
      <c r="T173" s="7" t="n">
        <v>122.2</v>
      </c>
      <c r="V173" s="7" t="n">
        <v>203.7</v>
      </c>
      <c r="X173" s="7" t="n">
        <v>202</v>
      </c>
      <c r="Z173" s="7" t="n">
        <v>111.4</v>
      </c>
      <c r="AB173" s="7" t="n">
        <v>1668.7</v>
      </c>
    </row>
    <row r="174">
      <c r="A174" s="4" t="inlineStr">
        <is>
          <t>报废损失</t>
        </is>
      </c>
      <c r="D174" s="7" t="n">
        <v>27.5</v>
      </c>
      <c r="F174" s="7" t="n">
        <v>85.8</v>
      </c>
      <c r="H174" s="7" t="n">
        <v>61.4</v>
      </c>
      <c r="J174" s="7" t="n">
        <v>59.9</v>
      </c>
      <c r="L174" s="7" t="n">
        <v>60.4</v>
      </c>
      <c r="N174" s="7" t="n">
        <v>120.2</v>
      </c>
      <c r="P174" s="7" t="n">
        <v>109.5</v>
      </c>
      <c r="R174" s="7" t="n">
        <v>126.1</v>
      </c>
      <c r="T174" s="7" t="n">
        <v>67.3</v>
      </c>
      <c r="V174" s="7" t="n">
        <v>127.9</v>
      </c>
      <c r="X174" s="7" t="n">
        <v>121.7</v>
      </c>
      <c r="Z174" s="7" t="n">
        <v>51.2</v>
      </c>
      <c r="AB174" s="7" t="n">
        <v>1018.9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14830.7</v>
      </c>
      <c r="D175" s="7" t="n">
        <v>13531.1</v>
      </c>
      <c r="E175" s="7" t="n">
        <v>16861.6</v>
      </c>
      <c r="F175" s="7" t="n">
        <v>12262.2</v>
      </c>
      <c r="G175" s="7" t="n">
        <v>16029.5</v>
      </c>
      <c r="H175" s="7" t="n">
        <v>12825.5</v>
      </c>
      <c r="I175" s="7" t="n">
        <v>17119.7</v>
      </c>
      <c r="J175" s="7" t="n">
        <v>25654.7</v>
      </c>
      <c r="K175" s="7" t="n">
        <v>15249.9</v>
      </c>
      <c r="L175" s="7" t="n">
        <v>16389.8</v>
      </c>
      <c r="M175" s="7" t="n">
        <v>15468.5</v>
      </c>
      <c r="N175" s="7" t="n">
        <v>27274.3</v>
      </c>
      <c r="O175" s="7" t="n">
        <v>17616.1</v>
      </c>
      <c r="P175" s="7" t="n">
        <v>32834.4</v>
      </c>
      <c r="Q175" s="7" t="n">
        <v>17398.7</v>
      </c>
      <c r="R175" s="7" t="n">
        <v>8696.299999999999</v>
      </c>
      <c r="S175" s="7" t="n">
        <v>18328.2</v>
      </c>
      <c r="T175" s="7" t="n">
        <v>10129.7</v>
      </c>
      <c r="U175" s="7" t="n">
        <v>17391.7</v>
      </c>
      <c r="V175" s="7" t="n">
        <v>17491.2</v>
      </c>
      <c r="W175" s="7" t="n">
        <v>17123.6</v>
      </c>
      <c r="X175" s="7" t="n">
        <v>10179.3</v>
      </c>
      <c r="Y175" s="7" t="n">
        <v>16360.4</v>
      </c>
      <c r="Z175" s="7" t="n">
        <v>11796.3</v>
      </c>
      <c r="AA175" s="8" t="n">
        <v>199778.6</v>
      </c>
      <c r="AB175" s="8" t="n">
        <v>199064.8</v>
      </c>
    </row>
    <row r="176">
      <c r="A176" s="4" t="inlineStr">
        <is>
          <t>职工薪酬</t>
        </is>
      </c>
      <c r="D176" s="7" t="n">
        <v>6642.7</v>
      </c>
      <c r="F176" s="7" t="n">
        <v>6752.4</v>
      </c>
      <c r="H176" s="7" t="n">
        <v>6732.3</v>
      </c>
      <c r="J176" s="7" t="n">
        <v>13544.8</v>
      </c>
      <c r="L176" s="7" t="n">
        <v>9623.4</v>
      </c>
      <c r="N176" s="7" t="n">
        <v>15254.3</v>
      </c>
      <c r="P176" s="7" t="n">
        <v>17644.7</v>
      </c>
      <c r="R176" s="7" t="n">
        <v>5090.6</v>
      </c>
      <c r="T176" s="7" t="n">
        <v>4331.4</v>
      </c>
      <c r="V176" s="7" t="n">
        <v>8708.700000000001</v>
      </c>
      <c r="X176" s="7" t="n">
        <v>5338.9</v>
      </c>
      <c r="Z176" s="7" t="n">
        <v>5989.3</v>
      </c>
      <c r="AB176" s="7" t="n">
        <v>105653.5</v>
      </c>
    </row>
    <row r="177">
      <c r="A177" s="4" t="inlineStr">
        <is>
          <t>工资</t>
        </is>
      </c>
      <c r="D177" s="7" t="n">
        <v>3928</v>
      </c>
      <c r="F177" s="7" t="n">
        <v>4341.6</v>
      </c>
      <c r="H177" s="7" t="n">
        <v>3714.4</v>
      </c>
      <c r="J177" s="7" t="n">
        <v>8803.5</v>
      </c>
      <c r="L177" s="7" t="n">
        <v>5701.5</v>
      </c>
      <c r="N177" s="7" t="n">
        <v>9850.799999999999</v>
      </c>
      <c r="P177" s="7" t="n">
        <v>10785.3</v>
      </c>
      <c r="R177" s="7" t="n">
        <v>3203.5</v>
      </c>
      <c r="T177" s="7" t="n">
        <v>2309.8</v>
      </c>
      <c r="V177" s="7" t="n">
        <v>4709.8</v>
      </c>
      <c r="X177" s="7" t="n">
        <v>3295.9</v>
      </c>
      <c r="Z177" s="7" t="n">
        <v>3923.9</v>
      </c>
      <c r="AB177" s="7" t="n">
        <v>64568</v>
      </c>
    </row>
    <row r="178">
      <c r="A178" s="4" t="inlineStr">
        <is>
          <t>奖金及提成</t>
        </is>
      </c>
      <c r="D178" s="7" t="n">
        <v>1570.4</v>
      </c>
      <c r="F178" s="7" t="n">
        <v>1182.1</v>
      </c>
      <c r="H178" s="7" t="n">
        <v>1594.3</v>
      </c>
      <c r="J178" s="7" t="n">
        <v>2346.1</v>
      </c>
      <c r="L178" s="7" t="n">
        <v>1780.3</v>
      </c>
      <c r="N178" s="7" t="n">
        <v>2768</v>
      </c>
      <c r="P178" s="7" t="n">
        <v>3515.6</v>
      </c>
      <c r="R178" s="7" t="n">
        <v>961.2</v>
      </c>
      <c r="T178" s="7" t="n">
        <v>1158.3</v>
      </c>
      <c r="V178" s="7" t="n">
        <v>1766.5</v>
      </c>
      <c r="X178" s="7" t="n">
        <v>1146.7</v>
      </c>
      <c r="Z178" s="7" t="n">
        <v>1024</v>
      </c>
      <c r="AB178" s="7" t="n">
        <v>20813.5</v>
      </c>
    </row>
    <row r="179">
      <c r="A179" s="4" t="inlineStr">
        <is>
          <t>社保</t>
        </is>
      </c>
      <c r="D179" s="7" t="n">
        <v>786.8</v>
      </c>
      <c r="F179" s="7" t="n">
        <v>903.1</v>
      </c>
      <c r="H179" s="7" t="n">
        <v>1031.6</v>
      </c>
      <c r="J179" s="7" t="n">
        <v>1694.3</v>
      </c>
      <c r="L179" s="7" t="n">
        <v>1682.4</v>
      </c>
      <c r="N179" s="7" t="n">
        <v>1935</v>
      </c>
      <c r="P179" s="7" t="n">
        <v>2325</v>
      </c>
      <c r="R179" s="7" t="n">
        <v>688.8</v>
      </c>
      <c r="T179" s="7" t="n">
        <v>592.3</v>
      </c>
      <c r="V179" s="7" t="n">
        <v>1751.7</v>
      </c>
      <c r="X179" s="7" t="n">
        <v>620.1</v>
      </c>
      <c r="Z179" s="7" t="n">
        <v>746.9</v>
      </c>
      <c r="AB179" s="7" t="n">
        <v>14758</v>
      </c>
    </row>
    <row r="180">
      <c r="A180" s="4" t="inlineStr">
        <is>
          <t>养老</t>
        </is>
      </c>
      <c r="D180" s="7" t="n">
        <v>21.9</v>
      </c>
      <c r="F180" s="7" t="n">
        <v>16.3</v>
      </c>
      <c r="H180" s="7" t="n">
        <v>13.9</v>
      </c>
      <c r="J180" s="7" t="n">
        <v>35.9</v>
      </c>
      <c r="L180" s="7" t="n">
        <v>31.6</v>
      </c>
      <c r="N180" s="7" t="n">
        <v>31.2</v>
      </c>
      <c r="P180" s="7" t="n">
        <v>52.6</v>
      </c>
      <c r="R180" s="7" t="n">
        <v>12.1</v>
      </c>
      <c r="T180" s="7" t="n">
        <v>19</v>
      </c>
      <c r="V180" s="7" t="n">
        <v>26.5</v>
      </c>
      <c r="X180" s="7" t="n">
        <v>11.3</v>
      </c>
      <c r="Z180" s="7" t="n">
        <v>12.7</v>
      </c>
      <c r="AB180" s="7" t="n">
        <v>285</v>
      </c>
    </row>
    <row r="181">
      <c r="A181" s="4" t="inlineStr">
        <is>
          <t>医疗</t>
        </is>
      </c>
      <c r="D181" s="7" t="n">
        <v>69.59999999999999</v>
      </c>
      <c r="F181" s="7" t="n">
        <v>49.8</v>
      </c>
      <c r="H181" s="7" t="n">
        <v>52</v>
      </c>
      <c r="J181" s="7" t="n">
        <v>78.7</v>
      </c>
      <c r="L181" s="7" t="n">
        <v>84.40000000000001</v>
      </c>
      <c r="N181" s="7" t="n">
        <v>95.90000000000001</v>
      </c>
      <c r="P181" s="7" t="n">
        <v>176.6</v>
      </c>
      <c r="R181" s="7" t="n">
        <v>43.1</v>
      </c>
      <c r="T181" s="7" t="n">
        <v>45.7</v>
      </c>
      <c r="V181" s="7" t="n">
        <v>67</v>
      </c>
      <c r="X181" s="7" t="n">
        <v>43</v>
      </c>
      <c r="Z181" s="7" t="n">
        <v>42.4</v>
      </c>
      <c r="AB181" s="7" t="n">
        <v>848.2</v>
      </c>
    </row>
    <row r="182">
      <c r="A182" s="4" t="inlineStr">
        <is>
          <t>工伤</t>
        </is>
      </c>
      <c r="D182" s="7" t="n">
        <v>90.5</v>
      </c>
      <c r="F182" s="7" t="n">
        <v>68.8</v>
      </c>
      <c r="H182" s="7" t="n">
        <v>102.6</v>
      </c>
      <c r="J182" s="7" t="n">
        <v>212.5</v>
      </c>
      <c r="L182" s="7" t="n">
        <v>125</v>
      </c>
      <c r="N182" s="7" t="n">
        <v>166.6</v>
      </c>
      <c r="P182" s="7" t="n">
        <v>255.1</v>
      </c>
      <c r="R182" s="7" t="n">
        <v>70.8</v>
      </c>
      <c r="T182" s="7" t="n">
        <v>77.09999999999999</v>
      </c>
      <c r="V182" s="7" t="n">
        <v>82.8</v>
      </c>
      <c r="X182" s="7" t="n">
        <v>54.1</v>
      </c>
      <c r="Z182" s="7" t="n">
        <v>59</v>
      </c>
      <c r="AB182" s="7" t="n">
        <v>1364.9</v>
      </c>
    </row>
    <row r="183">
      <c r="A183" s="4" t="inlineStr">
        <is>
          <t>失业</t>
        </is>
      </c>
      <c r="D183" s="7" t="n">
        <v>23.5</v>
      </c>
      <c r="F183" s="7" t="n">
        <v>25.7</v>
      </c>
      <c r="H183" s="7" t="n">
        <v>29.5</v>
      </c>
      <c r="J183" s="7" t="n">
        <v>65.59999999999999</v>
      </c>
      <c r="L183" s="7" t="n">
        <v>31.3</v>
      </c>
      <c r="N183" s="7" t="n">
        <v>72.3</v>
      </c>
      <c r="P183" s="7" t="n">
        <v>63.2</v>
      </c>
      <c r="R183" s="7" t="n">
        <v>20.5</v>
      </c>
      <c r="T183" s="7" t="n">
        <v>16.9</v>
      </c>
      <c r="V183" s="7" t="n">
        <v>45.6</v>
      </c>
      <c r="X183" s="7" t="n">
        <v>23.5</v>
      </c>
      <c r="Z183" s="7" t="n">
        <v>27.1</v>
      </c>
      <c r="AB183" s="7" t="n">
        <v>444.7</v>
      </c>
    </row>
    <row r="184">
      <c r="A184" s="4" t="inlineStr">
        <is>
          <t>生育</t>
        </is>
      </c>
      <c r="D184" s="7" t="n">
        <v>20.8</v>
      </c>
      <c r="F184" s="7" t="n">
        <v>24</v>
      </c>
      <c r="H184" s="7" t="n">
        <v>22.9</v>
      </c>
      <c r="J184" s="7" t="n">
        <v>32.4</v>
      </c>
      <c r="L184" s="7" t="n">
        <v>18.1</v>
      </c>
      <c r="N184" s="7" t="n">
        <v>43.4</v>
      </c>
      <c r="P184" s="7" t="n">
        <v>37.9</v>
      </c>
      <c r="R184" s="7" t="n">
        <v>13.8</v>
      </c>
      <c r="T184" s="7" t="n">
        <v>19.4</v>
      </c>
      <c r="V184" s="7" t="n">
        <v>29.4</v>
      </c>
      <c r="X184" s="7" t="n">
        <v>16.9</v>
      </c>
      <c r="Z184" s="7" t="n">
        <v>23.4</v>
      </c>
      <c r="AB184" s="7" t="n">
        <v>302.4</v>
      </c>
    </row>
    <row r="185">
      <c r="A185" s="4" t="inlineStr">
        <is>
          <t>公积金</t>
        </is>
      </c>
      <c r="D185" s="7" t="n">
        <v>16.2</v>
      </c>
      <c r="F185" s="7" t="n">
        <v>13.8</v>
      </c>
      <c r="H185" s="7" t="n">
        <v>23.1</v>
      </c>
      <c r="J185" s="7" t="n">
        <v>43.6</v>
      </c>
      <c r="L185" s="7" t="n">
        <v>18.1</v>
      </c>
      <c r="N185" s="7" t="n">
        <v>36.8</v>
      </c>
      <c r="P185" s="7" t="n">
        <v>55.8</v>
      </c>
      <c r="R185" s="7" t="n">
        <v>13.2</v>
      </c>
      <c r="T185" s="7" t="n">
        <v>15.8</v>
      </c>
      <c r="V185" s="7" t="n">
        <v>30.6</v>
      </c>
      <c r="X185" s="7" t="n">
        <v>10.8</v>
      </c>
      <c r="Z185" s="7" t="n">
        <v>17.2</v>
      </c>
      <c r="AB185" s="7" t="n">
        <v>295</v>
      </c>
    </row>
    <row r="186">
      <c r="A186" s="4" t="inlineStr">
        <is>
          <t>工会经费</t>
        </is>
      </c>
      <c r="D186" s="7" t="n">
        <v>16.1</v>
      </c>
      <c r="F186" s="7" t="n">
        <v>15.5</v>
      </c>
      <c r="H186" s="7" t="n">
        <v>17.1</v>
      </c>
      <c r="J186" s="7" t="n">
        <v>29.7</v>
      </c>
      <c r="L186" s="7" t="n">
        <v>18</v>
      </c>
      <c r="N186" s="7" t="n">
        <v>28.7</v>
      </c>
      <c r="P186" s="7" t="n">
        <v>51.1</v>
      </c>
      <c r="R186" s="7" t="n">
        <v>12.3</v>
      </c>
      <c r="T186" s="7" t="n">
        <v>14.1</v>
      </c>
      <c r="V186" s="7" t="n">
        <v>25.9</v>
      </c>
      <c r="X186" s="7" t="n">
        <v>17.3</v>
      </c>
      <c r="Z186" s="7" t="n">
        <v>15.9</v>
      </c>
      <c r="AB186" s="7" t="n">
        <v>261.7</v>
      </c>
    </row>
    <row r="187">
      <c r="A187" s="4" t="inlineStr">
        <is>
          <t>职工教育经费</t>
        </is>
      </c>
      <c r="D187" s="7" t="n">
        <v>82.40000000000001</v>
      </c>
      <c r="F187" s="7" t="n">
        <v>63.5</v>
      </c>
      <c r="H187" s="7" t="n">
        <v>59.5</v>
      </c>
      <c r="J187" s="7" t="n">
        <v>120.3</v>
      </c>
      <c r="L187" s="7" t="n">
        <v>71.8</v>
      </c>
      <c r="N187" s="7" t="n">
        <v>168.1</v>
      </c>
      <c r="P187" s="7" t="n">
        <v>197.5</v>
      </c>
      <c r="R187" s="7" t="n">
        <v>31.5</v>
      </c>
      <c r="T187" s="7" t="n">
        <v>54.1</v>
      </c>
      <c r="V187" s="7" t="n">
        <v>80.09999999999999</v>
      </c>
      <c r="X187" s="7" t="n">
        <v>51</v>
      </c>
      <c r="Z187" s="7" t="n">
        <v>62.3</v>
      </c>
      <c r="AB187" s="7" t="n">
        <v>1042.1</v>
      </c>
    </row>
    <row r="188">
      <c r="A188" s="4" t="inlineStr">
        <is>
          <t>福利费</t>
        </is>
      </c>
      <c r="D188" s="7" t="n">
        <v>242.8</v>
      </c>
      <c r="F188" s="7" t="n">
        <v>232.8</v>
      </c>
      <c r="H188" s="7" t="n">
        <v>292.3</v>
      </c>
      <c r="J188" s="7" t="n">
        <v>507.3</v>
      </c>
      <c r="L188" s="7" t="n">
        <v>351.3</v>
      </c>
      <c r="N188" s="7" t="n">
        <v>466.9</v>
      </c>
      <c r="P188" s="7" t="n">
        <v>714.4</v>
      </c>
      <c r="R188" s="7" t="n">
        <v>180.1</v>
      </c>
      <c r="T188" s="7" t="n">
        <v>187</v>
      </c>
      <c r="V188" s="7" t="n">
        <v>344.1</v>
      </c>
      <c r="X188" s="7" t="n">
        <v>197.1</v>
      </c>
      <c r="Z188" s="7" t="n">
        <v>199.1</v>
      </c>
      <c r="AB188" s="7" t="n">
        <v>3915.2</v>
      </c>
    </row>
    <row r="189">
      <c r="A189" s="4" t="inlineStr">
        <is>
          <t>职工房租</t>
        </is>
      </c>
      <c r="D189" s="7" t="n">
        <v>41.9</v>
      </c>
      <c r="F189" s="7" t="n">
        <v>28</v>
      </c>
      <c r="H189" s="7" t="n">
        <v>53.1</v>
      </c>
      <c r="J189" s="7" t="n">
        <v>86.40000000000001</v>
      </c>
      <c r="L189" s="7" t="n">
        <v>59.2</v>
      </c>
      <c r="N189" s="7" t="n">
        <v>67.5</v>
      </c>
      <c r="P189" s="7" t="n">
        <v>98.90000000000001</v>
      </c>
      <c r="R189" s="7" t="n">
        <v>30.5</v>
      </c>
      <c r="T189" s="7" t="n">
        <v>42</v>
      </c>
      <c r="V189" s="7" t="n">
        <v>71.59999999999999</v>
      </c>
      <c r="X189" s="7" t="n">
        <v>37.8</v>
      </c>
      <c r="Z189" s="7" t="n">
        <v>27</v>
      </c>
      <c r="AB189" s="7" t="n">
        <v>643.9</v>
      </c>
    </row>
    <row r="190">
      <c r="A190" s="4" t="inlineStr">
        <is>
          <t>水电物业费</t>
        </is>
      </c>
      <c r="D190" s="7" t="n">
        <v>17.2</v>
      </c>
      <c r="F190" s="7" t="n">
        <v>13.2</v>
      </c>
      <c r="H190" s="7" t="n">
        <v>16.3</v>
      </c>
      <c r="J190" s="7" t="n">
        <v>29.3</v>
      </c>
      <c r="L190" s="7" t="n">
        <v>17</v>
      </c>
      <c r="N190" s="7" t="n">
        <v>29.5</v>
      </c>
      <c r="P190" s="7" t="n">
        <v>30.4</v>
      </c>
      <c r="R190" s="7" t="n">
        <v>10.3</v>
      </c>
      <c r="T190" s="7" t="n">
        <v>7.8</v>
      </c>
      <c r="V190" s="7" t="n">
        <v>21.5</v>
      </c>
      <c r="X190" s="7" t="n">
        <v>9.6</v>
      </c>
      <c r="Z190" s="7" t="n">
        <v>11.4</v>
      </c>
      <c r="AB190" s="7" t="n">
        <v>213.5</v>
      </c>
    </row>
    <row r="191">
      <c r="A191" s="4" t="inlineStr">
        <is>
          <t>员工餐</t>
        </is>
      </c>
      <c r="D191" s="7" t="n">
        <v>12.5</v>
      </c>
      <c r="F191" s="7" t="n">
        <v>12.8</v>
      </c>
      <c r="H191" s="7" t="n">
        <v>9.800000000000001</v>
      </c>
      <c r="J191" s="7" t="n">
        <v>26.3</v>
      </c>
      <c r="L191" s="7" t="n">
        <v>9.300000000000001</v>
      </c>
      <c r="N191" s="7" t="n">
        <v>28.6</v>
      </c>
      <c r="P191" s="7" t="n">
        <v>30.4</v>
      </c>
      <c r="R191" s="7" t="n">
        <v>8.800000000000001</v>
      </c>
      <c r="T191" s="7" t="n">
        <v>7.1</v>
      </c>
      <c r="V191" s="7" t="n">
        <v>16.8</v>
      </c>
      <c r="X191" s="7" t="n">
        <v>10.3</v>
      </c>
      <c r="Z191" s="7" t="n">
        <v>7.4</v>
      </c>
      <c r="AB191" s="7" t="n">
        <v>180.1</v>
      </c>
    </row>
    <row r="192">
      <c r="A192" s="4" t="inlineStr">
        <is>
          <t>节日礼品</t>
        </is>
      </c>
      <c r="D192" s="7" t="n">
        <v>58.5</v>
      </c>
      <c r="F192" s="7" t="n">
        <v>75.59999999999999</v>
      </c>
      <c r="H192" s="7" t="n">
        <v>91.90000000000001</v>
      </c>
      <c r="J192" s="7" t="n">
        <v>123</v>
      </c>
      <c r="L192" s="7" t="n">
        <v>96.09999999999999</v>
      </c>
      <c r="N192" s="7" t="n">
        <v>109.9</v>
      </c>
      <c r="P192" s="7" t="n">
        <v>226.6</v>
      </c>
      <c r="R192" s="7" t="n">
        <v>40</v>
      </c>
      <c r="T192" s="7" t="n">
        <v>54.3</v>
      </c>
      <c r="V192" s="7" t="n">
        <v>92.90000000000001</v>
      </c>
      <c r="X192" s="7" t="n">
        <v>47.2</v>
      </c>
      <c r="Z192" s="7" t="n">
        <v>62.6</v>
      </c>
      <c r="AB192" s="7" t="n">
        <v>1078.6</v>
      </c>
    </row>
    <row r="193">
      <c r="A193" s="4" t="inlineStr">
        <is>
          <t>生日礼品</t>
        </is>
      </c>
      <c r="D193" s="7" t="n">
        <v>36.4</v>
      </c>
      <c r="F193" s="7" t="n">
        <v>21.8</v>
      </c>
      <c r="H193" s="7" t="n">
        <v>36.7</v>
      </c>
      <c r="J193" s="7" t="n">
        <v>64.40000000000001</v>
      </c>
      <c r="L193" s="7" t="n">
        <v>34.5</v>
      </c>
      <c r="N193" s="7" t="n">
        <v>69.3</v>
      </c>
      <c r="P193" s="7" t="n">
        <v>66.7</v>
      </c>
      <c r="R193" s="7" t="n">
        <v>19.2</v>
      </c>
      <c r="T193" s="7" t="n">
        <v>20.6</v>
      </c>
      <c r="V193" s="7" t="n">
        <v>29.4</v>
      </c>
      <c r="X193" s="7" t="n">
        <v>19.1</v>
      </c>
      <c r="Z193" s="7" t="n">
        <v>23.5</v>
      </c>
      <c r="AB193" s="7" t="n">
        <v>441.6</v>
      </c>
    </row>
    <row r="194">
      <c r="A194" s="4" t="inlineStr">
        <is>
          <t>体检</t>
        </is>
      </c>
      <c r="D194" s="7" t="n">
        <v>56.2</v>
      </c>
      <c r="F194" s="7" t="n">
        <v>60.9</v>
      </c>
      <c r="H194" s="7" t="n">
        <v>67.7</v>
      </c>
      <c r="J194" s="7" t="n">
        <v>132.3</v>
      </c>
      <c r="L194" s="7" t="n">
        <v>113.4</v>
      </c>
      <c r="N194" s="7" t="n">
        <v>120.4</v>
      </c>
      <c r="P194" s="7" t="n">
        <v>219.1</v>
      </c>
      <c r="R194" s="7" t="n">
        <v>58.2</v>
      </c>
      <c r="T194" s="7" t="n">
        <v>43.7</v>
      </c>
      <c r="V194" s="7" t="n">
        <v>91.59999999999999</v>
      </c>
      <c r="X194" s="7" t="n">
        <v>56.9</v>
      </c>
      <c r="Z194" s="7" t="n">
        <v>51.6</v>
      </c>
      <c r="AB194" s="7" t="n">
        <v>1072</v>
      </c>
    </row>
    <row r="195">
      <c r="A195" s="4" t="inlineStr">
        <is>
          <t>其他福利支出</t>
        </is>
      </c>
      <c r="D195" s="7" t="n">
        <v>20.1</v>
      </c>
      <c r="F195" s="7" t="n">
        <v>20.5</v>
      </c>
      <c r="H195" s="7" t="n">
        <v>16.8</v>
      </c>
      <c r="J195" s="7" t="n">
        <v>45.6</v>
      </c>
      <c r="L195" s="7" t="n">
        <v>21.8</v>
      </c>
      <c r="N195" s="7" t="n">
        <v>41.7</v>
      </c>
      <c r="P195" s="7" t="n">
        <v>42.3</v>
      </c>
      <c r="R195" s="7" t="n">
        <v>13.1</v>
      </c>
      <c r="T195" s="7" t="n">
        <v>11.5</v>
      </c>
      <c r="V195" s="7" t="n">
        <v>20.3</v>
      </c>
      <c r="X195" s="7" t="n">
        <v>16.2</v>
      </c>
      <c r="Z195" s="7" t="n">
        <v>15.6</v>
      </c>
      <c r="AB195" s="7" t="n">
        <v>285.5</v>
      </c>
    </row>
    <row r="196">
      <c r="A196" s="4" t="inlineStr">
        <is>
          <t>招聘费</t>
        </is>
      </c>
      <c r="D196" s="7" t="n">
        <v>92.8</v>
      </c>
      <c r="F196" s="7" t="n">
        <v>62.3</v>
      </c>
      <c r="H196" s="7" t="n">
        <v>53.9</v>
      </c>
      <c r="J196" s="7" t="n">
        <v>123</v>
      </c>
      <c r="L196" s="7" t="n">
        <v>115</v>
      </c>
      <c r="N196" s="7" t="n">
        <v>185.2</v>
      </c>
      <c r="P196" s="7" t="n">
        <v>225.4</v>
      </c>
      <c r="R196" s="7" t="n">
        <v>44.9</v>
      </c>
      <c r="T196" s="7" t="n">
        <v>75.09999999999999</v>
      </c>
      <c r="V196" s="7" t="n">
        <v>115.8</v>
      </c>
      <c r="X196" s="7" t="n">
        <v>53</v>
      </c>
      <c r="Z196" s="7" t="n">
        <v>50.3</v>
      </c>
      <c r="AB196" s="7" t="n">
        <v>1196.7</v>
      </c>
    </row>
    <row r="197">
      <c r="A197" s="4" t="inlineStr">
        <is>
          <t>办公费</t>
        </is>
      </c>
      <c r="D197" s="7" t="n">
        <v>460</v>
      </c>
      <c r="F197" s="7" t="n">
        <v>303.5</v>
      </c>
      <c r="H197" s="7" t="n">
        <v>485.6</v>
      </c>
      <c r="J197" s="7" t="n">
        <v>986</v>
      </c>
      <c r="L197" s="7" t="n">
        <v>574.1</v>
      </c>
      <c r="N197" s="7" t="n">
        <v>1027.1</v>
      </c>
      <c r="P197" s="7" t="n">
        <v>840.7</v>
      </c>
      <c r="R197" s="7" t="n">
        <v>268.6</v>
      </c>
      <c r="T197" s="7" t="n">
        <v>300.4</v>
      </c>
      <c r="V197" s="7" t="n">
        <v>424.2</v>
      </c>
      <c r="X197" s="7" t="n">
        <v>380.6</v>
      </c>
      <c r="Z197" s="7" t="n">
        <v>296.3</v>
      </c>
      <c r="AB197" s="7" t="n">
        <v>6347.1</v>
      </c>
    </row>
    <row r="198">
      <c r="A198" s="4" t="inlineStr">
        <is>
          <t>市内交通费</t>
        </is>
      </c>
      <c r="D198" s="7" t="n">
        <v>0.1</v>
      </c>
      <c r="F198" s="7" t="n">
        <v>0.1</v>
      </c>
      <c r="H198" s="7" t="n">
        <v>0.1</v>
      </c>
      <c r="J198" s="7" t="n">
        <v>0.1</v>
      </c>
      <c r="L198" s="7" t="n">
        <v>0.1</v>
      </c>
      <c r="N198" s="7" t="n">
        <v>0.1</v>
      </c>
      <c r="P198" s="7" t="n">
        <v>0.2</v>
      </c>
      <c r="R198" s="7" t="n">
        <v>0</v>
      </c>
      <c r="T198" s="7" t="n">
        <v>0.1</v>
      </c>
      <c r="V198" s="7" t="n">
        <v>0.1</v>
      </c>
      <c r="X198" s="7" t="n">
        <v>0.1</v>
      </c>
      <c r="Z198" s="7" t="n">
        <v>0</v>
      </c>
      <c r="AB198" s="7" t="n">
        <v>1.1</v>
      </c>
    </row>
    <row r="199">
      <c r="A199" s="4" t="inlineStr">
        <is>
          <t>差旅费</t>
        </is>
      </c>
      <c r="D199" s="7" t="n">
        <v>613.5</v>
      </c>
      <c r="F199" s="7" t="n">
        <v>630.1</v>
      </c>
      <c r="H199" s="7" t="n">
        <v>899.6</v>
      </c>
      <c r="J199" s="7" t="n">
        <v>1500.5</v>
      </c>
      <c r="L199" s="7" t="n">
        <v>993.5</v>
      </c>
      <c r="N199" s="7" t="n">
        <v>1724.5</v>
      </c>
      <c r="P199" s="7" t="n">
        <v>1753.5</v>
      </c>
      <c r="R199" s="7" t="n">
        <v>385.1</v>
      </c>
      <c r="T199" s="7" t="n">
        <v>744.5</v>
      </c>
      <c r="V199" s="7" t="n">
        <v>739.7</v>
      </c>
      <c r="X199" s="7" t="n">
        <v>432.6</v>
      </c>
      <c r="Z199" s="7" t="n">
        <v>632.3</v>
      </c>
      <c r="AB199" s="7" t="n">
        <v>11049.4</v>
      </c>
    </row>
    <row r="200">
      <c r="A200" s="4" t="inlineStr">
        <is>
          <t>交通费</t>
        </is>
      </c>
      <c r="D200" s="7" t="n">
        <v>21.6</v>
      </c>
      <c r="F200" s="7" t="n">
        <v>18.8</v>
      </c>
      <c r="H200" s="7" t="n">
        <v>15.5</v>
      </c>
      <c r="J200" s="7" t="n">
        <v>33.5</v>
      </c>
      <c r="L200" s="7" t="n">
        <v>29.3</v>
      </c>
      <c r="N200" s="7" t="n">
        <v>51.6</v>
      </c>
      <c r="P200" s="7" t="n">
        <v>52.6</v>
      </c>
      <c r="R200" s="7" t="n">
        <v>10.2</v>
      </c>
      <c r="T200" s="7" t="n">
        <v>18.4</v>
      </c>
      <c r="V200" s="7" t="n">
        <v>28.6</v>
      </c>
      <c r="X200" s="7" t="n">
        <v>20.8</v>
      </c>
      <c r="Z200" s="7" t="n">
        <v>14.2</v>
      </c>
      <c r="AB200" s="7" t="n">
        <v>315.1</v>
      </c>
    </row>
    <row r="201">
      <c r="A201" s="4" t="inlineStr">
        <is>
          <t>住宿费</t>
        </is>
      </c>
      <c r="D201" s="7" t="n">
        <v>13.7</v>
      </c>
      <c r="F201" s="7" t="n">
        <v>12.5</v>
      </c>
      <c r="H201" s="7" t="n">
        <v>12.8</v>
      </c>
      <c r="J201" s="7" t="n">
        <v>29</v>
      </c>
      <c r="L201" s="7" t="n">
        <v>21.9</v>
      </c>
      <c r="N201" s="7" t="n">
        <v>34.9</v>
      </c>
      <c r="P201" s="7" t="n">
        <v>47.9</v>
      </c>
      <c r="R201" s="7" t="n">
        <v>14.9</v>
      </c>
      <c r="T201" s="7" t="n">
        <v>9.699999999999999</v>
      </c>
      <c r="V201" s="7" t="n">
        <v>27.9</v>
      </c>
      <c r="X201" s="7" t="n">
        <v>10.3</v>
      </c>
      <c r="Z201" s="7" t="n">
        <v>15.5</v>
      </c>
      <c r="AB201" s="7" t="n">
        <v>251</v>
      </c>
    </row>
    <row r="202">
      <c r="A202" s="4" t="inlineStr">
        <is>
          <t>餐补</t>
        </is>
      </c>
      <c r="D202" s="7" t="n">
        <v>4.4</v>
      </c>
      <c r="F202" s="7" t="n">
        <v>3.9</v>
      </c>
      <c r="H202" s="7" t="n">
        <v>3.4</v>
      </c>
      <c r="J202" s="7" t="n">
        <v>6.7</v>
      </c>
      <c r="L202" s="7" t="n">
        <v>4.4</v>
      </c>
      <c r="N202" s="7" t="n">
        <v>7.9</v>
      </c>
      <c r="P202" s="7" t="n">
        <v>7.1</v>
      </c>
      <c r="R202" s="7" t="n">
        <v>2.8</v>
      </c>
      <c r="T202" s="7" t="n">
        <v>3.3</v>
      </c>
      <c r="V202" s="7" t="n">
        <v>3.6</v>
      </c>
      <c r="X202" s="7" t="n">
        <v>3.7</v>
      </c>
      <c r="Z202" s="7" t="n">
        <v>4.2</v>
      </c>
      <c r="AB202" s="7" t="n">
        <v>55.4</v>
      </c>
    </row>
    <row r="203">
      <c r="A203" s="4" t="inlineStr">
        <is>
          <t>交通补助</t>
        </is>
      </c>
      <c r="D203" s="7" t="n">
        <v>49.3</v>
      </c>
      <c r="F203" s="7" t="n">
        <v>62.6</v>
      </c>
      <c r="H203" s="7" t="n">
        <v>41</v>
      </c>
      <c r="J203" s="7" t="n">
        <v>139.7</v>
      </c>
      <c r="L203" s="7" t="n">
        <v>57</v>
      </c>
      <c r="N203" s="7" t="n">
        <v>134.5</v>
      </c>
      <c r="P203" s="7" t="n">
        <v>100</v>
      </c>
      <c r="R203" s="7" t="n">
        <v>27</v>
      </c>
      <c r="T203" s="7" t="n">
        <v>35.4</v>
      </c>
      <c r="V203" s="7" t="n">
        <v>55.2</v>
      </c>
      <c r="X203" s="7" t="n">
        <v>55.9</v>
      </c>
      <c r="Z203" s="7" t="n">
        <v>48.7</v>
      </c>
      <c r="AB203" s="7" t="n">
        <v>806.3</v>
      </c>
    </row>
    <row r="204">
      <c r="A204" s="4" t="inlineStr">
        <is>
          <t>通讯补助</t>
        </is>
      </c>
      <c r="D204" s="7" t="n">
        <v>32.4</v>
      </c>
      <c r="F204" s="7" t="n">
        <v>34.1</v>
      </c>
      <c r="H204" s="7" t="n">
        <v>35.1</v>
      </c>
      <c r="J204" s="7" t="n">
        <v>40.1</v>
      </c>
      <c r="L204" s="7" t="n">
        <v>32.3</v>
      </c>
      <c r="N204" s="7" t="n">
        <v>71.90000000000001</v>
      </c>
      <c r="P204" s="7" t="n">
        <v>57.8</v>
      </c>
      <c r="R204" s="7" t="n">
        <v>21.9</v>
      </c>
      <c r="T204" s="7" t="n">
        <v>16.9</v>
      </c>
      <c r="V204" s="7" t="n">
        <v>45.1</v>
      </c>
      <c r="X204" s="7" t="n">
        <v>16</v>
      </c>
      <c r="Z204" s="7" t="n">
        <v>24.5</v>
      </c>
      <c r="AB204" s="7" t="n">
        <v>428.1</v>
      </c>
    </row>
    <row r="205">
      <c r="A205" s="4" t="inlineStr">
        <is>
          <t>招待费</t>
        </is>
      </c>
      <c r="D205" s="7" t="n">
        <v>390.8</v>
      </c>
      <c r="F205" s="7" t="n">
        <v>436.1</v>
      </c>
      <c r="H205" s="7" t="n">
        <v>437.9</v>
      </c>
      <c r="J205" s="7" t="n">
        <v>1173.1</v>
      </c>
      <c r="L205" s="7" t="n">
        <v>681.7</v>
      </c>
      <c r="N205" s="7" t="n">
        <v>776.2</v>
      </c>
      <c r="P205" s="7" t="n">
        <v>1694.1</v>
      </c>
      <c r="R205" s="7" t="n">
        <v>327.4</v>
      </c>
      <c r="T205" s="7" t="n">
        <v>500.7</v>
      </c>
      <c r="V205" s="7" t="n">
        <v>576.1</v>
      </c>
      <c r="X205" s="7" t="n">
        <v>465.9</v>
      </c>
      <c r="Z205" s="7" t="n">
        <v>370.1</v>
      </c>
      <c r="AB205" s="7" t="n">
        <v>7830.1</v>
      </c>
    </row>
    <row r="206">
      <c r="A206" s="4" t="inlineStr">
        <is>
          <t>通讯费</t>
        </is>
      </c>
      <c r="D206" s="7" t="n">
        <v>9.4</v>
      </c>
      <c r="F206" s="7" t="n">
        <v>7.9</v>
      </c>
      <c r="H206" s="7" t="n">
        <v>14.8</v>
      </c>
      <c r="J206" s="7" t="n">
        <v>19.2</v>
      </c>
      <c r="L206" s="7" t="n">
        <v>18.8</v>
      </c>
      <c r="N206" s="7" t="n">
        <v>18.9</v>
      </c>
      <c r="P206" s="7" t="n">
        <v>32.1</v>
      </c>
      <c r="R206" s="7" t="n">
        <v>5.6</v>
      </c>
      <c r="T206" s="7" t="n">
        <v>8.4</v>
      </c>
      <c r="V206" s="7" t="n">
        <v>17</v>
      </c>
      <c r="X206" s="7" t="n">
        <v>6.9</v>
      </c>
      <c r="Z206" s="7" t="n">
        <v>11.5</v>
      </c>
      <c r="AB206" s="7" t="n">
        <v>170.5</v>
      </c>
    </row>
    <row r="207">
      <c r="A207" s="4" t="inlineStr">
        <is>
          <t>网络费</t>
        </is>
      </c>
      <c r="D207" s="7" t="n">
        <v>39.6</v>
      </c>
      <c r="F207" s="7" t="n">
        <v>36.8</v>
      </c>
      <c r="H207" s="7" t="n">
        <v>59.6</v>
      </c>
      <c r="J207" s="7" t="n">
        <v>88.2</v>
      </c>
      <c r="L207" s="7" t="n">
        <v>58.3</v>
      </c>
      <c r="N207" s="7" t="n">
        <v>91.59999999999999</v>
      </c>
      <c r="P207" s="7" t="n">
        <v>100.5</v>
      </c>
      <c r="R207" s="7" t="n">
        <v>29.3</v>
      </c>
      <c r="T207" s="7" t="n">
        <v>32.8</v>
      </c>
      <c r="V207" s="7" t="n">
        <v>57</v>
      </c>
      <c r="X207" s="7" t="n">
        <v>38</v>
      </c>
      <c r="Z207" s="7" t="n">
        <v>61</v>
      </c>
      <c r="AB207" s="7" t="n">
        <v>692.7</v>
      </c>
    </row>
    <row r="208">
      <c r="A208" s="4" t="inlineStr">
        <is>
          <t>修理费</t>
        </is>
      </c>
      <c r="D208" s="7" t="n">
        <v>56.2</v>
      </c>
      <c r="F208" s="7" t="n">
        <v>73</v>
      </c>
      <c r="H208" s="7" t="n">
        <v>57.1</v>
      </c>
      <c r="J208" s="7" t="n">
        <v>160.7</v>
      </c>
      <c r="L208" s="7" t="n">
        <v>81.09999999999999</v>
      </c>
      <c r="N208" s="7" t="n">
        <v>123.9</v>
      </c>
      <c r="P208" s="7" t="n">
        <v>133.1</v>
      </c>
      <c r="R208" s="7" t="n">
        <v>40.1</v>
      </c>
      <c r="T208" s="7" t="n">
        <v>52.9</v>
      </c>
      <c r="V208" s="7" t="n">
        <v>80.3</v>
      </c>
      <c r="X208" s="7" t="n">
        <v>62.9</v>
      </c>
      <c r="Z208" s="7" t="n">
        <v>65.7</v>
      </c>
      <c r="AB208" s="7" t="n">
        <v>987</v>
      </c>
    </row>
    <row r="209">
      <c r="A209" s="4" t="inlineStr">
        <is>
          <t>车辆费</t>
        </is>
      </c>
      <c r="D209" s="7" t="n">
        <v>26.7</v>
      </c>
      <c r="F209" s="7" t="n">
        <v>29.5</v>
      </c>
      <c r="H209" s="7" t="n">
        <v>36.3</v>
      </c>
      <c r="J209" s="7" t="n">
        <v>69</v>
      </c>
      <c r="L209" s="7" t="n">
        <v>39.6</v>
      </c>
      <c r="N209" s="7" t="n">
        <v>87.90000000000001</v>
      </c>
      <c r="P209" s="7" t="n">
        <v>104.9</v>
      </c>
      <c r="R209" s="7" t="n">
        <v>25.6</v>
      </c>
      <c r="T209" s="7" t="n">
        <v>26</v>
      </c>
      <c r="V209" s="7" t="n">
        <v>47.3</v>
      </c>
      <c r="X209" s="7" t="n">
        <v>27.8</v>
      </c>
      <c r="Z209" s="7" t="n">
        <v>36.5</v>
      </c>
      <c r="AB209" s="7" t="n">
        <v>557.1</v>
      </c>
    </row>
    <row r="210">
      <c r="A210" s="4" t="inlineStr">
        <is>
          <t>租赁费</t>
        </is>
      </c>
      <c r="D210" s="7" t="n">
        <v>727.3</v>
      </c>
      <c r="F210" s="7" t="n">
        <v>748.1</v>
      </c>
      <c r="H210" s="7" t="n">
        <v>542.2</v>
      </c>
      <c r="J210" s="7" t="n">
        <v>1407.3</v>
      </c>
      <c r="L210" s="7" t="n">
        <v>844.1</v>
      </c>
      <c r="N210" s="7" t="n">
        <v>1466.1</v>
      </c>
      <c r="P210" s="7" t="n">
        <v>1323.9</v>
      </c>
      <c r="R210" s="7" t="n">
        <v>427.5</v>
      </c>
      <c r="T210" s="7" t="n">
        <v>425.1</v>
      </c>
      <c r="V210" s="7" t="n">
        <v>824.6</v>
      </c>
      <c r="X210" s="7" t="n">
        <v>592.8</v>
      </c>
      <c r="Z210" s="7" t="n">
        <v>531.3</v>
      </c>
      <c r="AB210" s="7" t="n">
        <v>9860.299999999999</v>
      </c>
    </row>
    <row r="211">
      <c r="A211" s="4" t="inlineStr">
        <is>
          <t>能源费</t>
        </is>
      </c>
      <c r="D211" s="7" t="n">
        <v>316.8</v>
      </c>
      <c r="F211" s="7" t="n">
        <v>232.9</v>
      </c>
      <c r="H211" s="7" t="n">
        <v>251.7</v>
      </c>
      <c r="J211" s="7" t="n">
        <v>547.3</v>
      </c>
      <c r="L211" s="7" t="n">
        <v>324.3</v>
      </c>
      <c r="N211" s="7" t="n">
        <v>507.9</v>
      </c>
      <c r="P211" s="7" t="n">
        <v>737.5</v>
      </c>
      <c r="R211" s="7" t="n">
        <v>167.9</v>
      </c>
      <c r="T211" s="7" t="n">
        <v>186.6</v>
      </c>
      <c r="V211" s="7" t="n">
        <v>346.8</v>
      </c>
      <c r="X211" s="7" t="n">
        <v>207.9</v>
      </c>
      <c r="Z211" s="7" t="n">
        <v>244.8</v>
      </c>
      <c r="AB211" s="7" t="n">
        <v>4072.4</v>
      </c>
    </row>
    <row r="212">
      <c r="A212" s="4" t="inlineStr">
        <is>
          <t>水费</t>
        </is>
      </c>
      <c r="D212" s="7" t="n">
        <v>48.6</v>
      </c>
      <c r="F212" s="7" t="n">
        <v>39</v>
      </c>
      <c r="H212" s="7" t="n">
        <v>37.8</v>
      </c>
      <c r="J212" s="7" t="n">
        <v>73.90000000000001</v>
      </c>
      <c r="L212" s="7" t="n">
        <v>64.2</v>
      </c>
      <c r="N212" s="7" t="n">
        <v>84.2</v>
      </c>
      <c r="P212" s="7" t="n">
        <v>93.40000000000001</v>
      </c>
      <c r="R212" s="7" t="n">
        <v>35.2</v>
      </c>
      <c r="T212" s="7" t="n">
        <v>38</v>
      </c>
      <c r="V212" s="7" t="n">
        <v>46.6</v>
      </c>
      <c r="X212" s="7" t="n">
        <v>41.8</v>
      </c>
      <c r="Z212" s="7" t="n">
        <v>46.1</v>
      </c>
      <c r="AB212" s="7" t="n">
        <v>648.8</v>
      </c>
    </row>
    <row r="213">
      <c r="A213" s="4" t="inlineStr">
        <is>
          <t>电费</t>
        </is>
      </c>
      <c r="D213" s="7" t="n">
        <v>105.6</v>
      </c>
      <c r="F213" s="7" t="n">
        <v>71.40000000000001</v>
      </c>
      <c r="H213" s="7" t="n">
        <v>90.3</v>
      </c>
      <c r="J213" s="7" t="n">
        <v>175.6</v>
      </c>
      <c r="L213" s="7" t="n">
        <v>92.09999999999999</v>
      </c>
      <c r="N213" s="7" t="n">
        <v>176</v>
      </c>
      <c r="P213" s="7" t="n">
        <v>228.7</v>
      </c>
      <c r="R213" s="7" t="n">
        <v>60.6</v>
      </c>
      <c r="T213" s="7" t="n">
        <v>59.5</v>
      </c>
      <c r="V213" s="7" t="n">
        <v>125.9</v>
      </c>
      <c r="X213" s="7" t="n">
        <v>77.8</v>
      </c>
      <c r="Z213" s="7" t="n">
        <v>76.8</v>
      </c>
      <c r="AB213" s="7" t="n">
        <v>1340.3</v>
      </c>
    </row>
    <row r="214">
      <c r="A214" s="4" t="inlineStr">
        <is>
          <t>燃气费</t>
        </is>
      </c>
      <c r="D214" s="7" t="n">
        <v>90.5</v>
      </c>
      <c r="F214" s="7" t="n">
        <v>56.6</v>
      </c>
      <c r="H214" s="7" t="n">
        <v>61.4</v>
      </c>
      <c r="J214" s="7" t="n">
        <v>186.3</v>
      </c>
      <c r="L214" s="7" t="n">
        <v>110.1</v>
      </c>
      <c r="N214" s="7" t="n">
        <v>148.2</v>
      </c>
      <c r="P214" s="7" t="n">
        <v>239.9</v>
      </c>
      <c r="R214" s="7" t="n">
        <v>40</v>
      </c>
      <c r="T214" s="7" t="n">
        <v>45</v>
      </c>
      <c r="V214" s="7" t="n">
        <v>100.3</v>
      </c>
      <c r="X214" s="7" t="n">
        <v>47.1</v>
      </c>
      <c r="Z214" s="7" t="n">
        <v>67</v>
      </c>
      <c r="AB214" s="7" t="n">
        <v>1192.4</v>
      </c>
    </row>
    <row r="215">
      <c r="A215" s="4" t="inlineStr">
        <is>
          <t>蒸汽费</t>
        </is>
      </c>
      <c r="D215" s="7" t="n">
        <v>72.09999999999999</v>
      </c>
      <c r="F215" s="7" t="n">
        <v>65.90000000000001</v>
      </c>
      <c r="H215" s="7" t="n">
        <v>62.2</v>
      </c>
      <c r="J215" s="7" t="n">
        <v>111.5</v>
      </c>
      <c r="L215" s="7" t="n">
        <v>57.9</v>
      </c>
      <c r="N215" s="7" t="n">
        <v>99.5</v>
      </c>
      <c r="P215" s="7" t="n">
        <v>175.5</v>
      </c>
      <c r="R215" s="7" t="n">
        <v>32.1</v>
      </c>
      <c r="T215" s="7" t="n">
        <v>44.1</v>
      </c>
      <c r="V215" s="7" t="n">
        <v>74</v>
      </c>
      <c r="X215" s="7" t="n">
        <v>41.2</v>
      </c>
      <c r="Z215" s="7" t="n">
        <v>54.9</v>
      </c>
      <c r="AB215" s="7" t="n">
        <v>890.9</v>
      </c>
    </row>
    <row r="216">
      <c r="A216" s="4" t="inlineStr">
        <is>
          <t>物业费</t>
        </is>
      </c>
      <c r="D216" s="7" t="n">
        <v>2.7</v>
      </c>
      <c r="F216" s="7" t="n">
        <v>2</v>
      </c>
      <c r="H216" s="7" t="n">
        <v>2.2</v>
      </c>
      <c r="J216" s="7" t="n">
        <v>3.9</v>
      </c>
      <c r="L216" s="7" t="n">
        <v>2.8</v>
      </c>
      <c r="N216" s="7" t="n">
        <v>5.1</v>
      </c>
      <c r="P216" s="7" t="n">
        <v>6</v>
      </c>
      <c r="R216" s="7" t="n">
        <v>1.7</v>
      </c>
      <c r="T216" s="7" t="n">
        <v>2</v>
      </c>
      <c r="V216" s="7" t="n">
        <v>3.5</v>
      </c>
      <c r="X216" s="7" t="n">
        <v>1.3</v>
      </c>
      <c r="Z216" s="7" t="n">
        <v>1.5</v>
      </c>
      <c r="AB216" s="7" t="n">
        <v>34.7</v>
      </c>
    </row>
    <row r="217">
      <c r="A217" s="4" t="inlineStr">
        <is>
          <t>劳动保护费</t>
        </is>
      </c>
      <c r="D217" s="7" t="n">
        <v>84.3</v>
      </c>
      <c r="F217" s="7" t="n">
        <v>69.2</v>
      </c>
      <c r="H217" s="7" t="n">
        <v>55.1</v>
      </c>
      <c r="J217" s="7" t="n">
        <v>179.2</v>
      </c>
      <c r="L217" s="7" t="n">
        <v>93.3</v>
      </c>
      <c r="N217" s="7" t="n">
        <v>125.9</v>
      </c>
      <c r="P217" s="7" t="n">
        <v>181</v>
      </c>
      <c r="R217" s="7" t="n">
        <v>35.2</v>
      </c>
      <c r="T217" s="7" t="n">
        <v>40.8</v>
      </c>
      <c r="V217" s="7" t="n">
        <v>116.8</v>
      </c>
      <c r="X217" s="7" t="n">
        <v>56.5</v>
      </c>
      <c r="Z217" s="7" t="n">
        <v>61.7</v>
      </c>
      <c r="AB217" s="7" t="n">
        <v>1099</v>
      </c>
    </row>
    <row r="218">
      <c r="A218" s="4" t="inlineStr">
        <is>
          <t>顾问费</t>
        </is>
      </c>
      <c r="D218" s="7" t="n">
        <v>33.5</v>
      </c>
      <c r="F218" s="7" t="n">
        <v>45.4</v>
      </c>
      <c r="H218" s="7" t="n">
        <v>27.9</v>
      </c>
      <c r="J218" s="7" t="n">
        <v>60.1</v>
      </c>
      <c r="L218" s="7" t="n">
        <v>51.8</v>
      </c>
      <c r="N218" s="7" t="n">
        <v>80.5</v>
      </c>
      <c r="P218" s="7" t="n">
        <v>100.4</v>
      </c>
      <c r="R218" s="7" t="n">
        <v>27.8</v>
      </c>
      <c r="T218" s="7" t="n">
        <v>35.3</v>
      </c>
      <c r="V218" s="7" t="n">
        <v>55.9</v>
      </c>
      <c r="X218" s="7" t="n">
        <v>24.7</v>
      </c>
      <c r="Z218" s="7" t="n">
        <v>41.5</v>
      </c>
      <c r="AB218" s="7" t="n">
        <v>584.8</v>
      </c>
    </row>
    <row r="219">
      <c r="A219" s="4" t="inlineStr">
        <is>
          <t>快递费</t>
        </is>
      </c>
      <c r="D219" s="7" t="n">
        <v>39.2</v>
      </c>
      <c r="F219" s="7" t="n">
        <v>59.4</v>
      </c>
      <c r="H219" s="7" t="n">
        <v>62.1</v>
      </c>
      <c r="J219" s="7" t="n">
        <v>90.59999999999999</v>
      </c>
      <c r="L219" s="7" t="n">
        <v>50.4</v>
      </c>
      <c r="N219" s="7" t="n">
        <v>119.1</v>
      </c>
      <c r="P219" s="7" t="n">
        <v>144.5</v>
      </c>
      <c r="R219" s="7" t="n">
        <v>31.6</v>
      </c>
      <c r="T219" s="7" t="n">
        <v>30.9</v>
      </c>
      <c r="V219" s="7" t="n">
        <v>71.40000000000001</v>
      </c>
      <c r="X219" s="7" t="n">
        <v>46.1</v>
      </c>
      <c r="Z219" s="7" t="n">
        <v>51</v>
      </c>
      <c r="AB219" s="7" t="n">
        <v>796.3</v>
      </c>
    </row>
    <row r="220">
      <c r="A220" s="4" t="inlineStr">
        <is>
          <t>诉讼费</t>
        </is>
      </c>
      <c r="D220" s="7" t="n">
        <v>95</v>
      </c>
      <c r="F220" s="7" t="n">
        <v>74.40000000000001</v>
      </c>
      <c r="H220" s="7" t="n">
        <v>93.5</v>
      </c>
      <c r="J220" s="7" t="n">
        <v>151.2</v>
      </c>
      <c r="L220" s="7" t="n">
        <v>100.5</v>
      </c>
      <c r="N220" s="7" t="n">
        <v>221.7</v>
      </c>
      <c r="P220" s="7" t="n">
        <v>173.9</v>
      </c>
      <c r="R220" s="7" t="n">
        <v>43.3</v>
      </c>
      <c r="T220" s="7" t="n">
        <v>51.6</v>
      </c>
      <c r="V220" s="7" t="n">
        <v>143.1</v>
      </c>
      <c r="X220" s="7" t="n">
        <v>80.5</v>
      </c>
      <c r="Z220" s="7" t="n">
        <v>80.8</v>
      </c>
      <c r="AB220" s="7" t="n">
        <v>1309.5</v>
      </c>
    </row>
    <row r="221">
      <c r="A221" s="4" t="inlineStr">
        <is>
          <t>会员费</t>
        </is>
      </c>
      <c r="D221" s="7" t="n">
        <v>56.4</v>
      </c>
      <c r="F221" s="7" t="n">
        <v>67.8</v>
      </c>
      <c r="H221" s="7" t="n">
        <v>78.90000000000001</v>
      </c>
      <c r="J221" s="7" t="n">
        <v>151.8</v>
      </c>
      <c r="L221" s="7" t="n">
        <v>106.2</v>
      </c>
      <c r="N221" s="7" t="n">
        <v>208.5</v>
      </c>
      <c r="P221" s="7" t="n">
        <v>148.3</v>
      </c>
      <c r="R221" s="7" t="n">
        <v>55.7</v>
      </c>
      <c r="T221" s="7" t="n">
        <v>67</v>
      </c>
      <c r="V221" s="7" t="n">
        <v>95.90000000000001</v>
      </c>
      <c r="X221" s="7" t="n">
        <v>52.5</v>
      </c>
      <c r="Z221" s="7" t="n">
        <v>67.90000000000001</v>
      </c>
      <c r="AB221" s="7" t="n">
        <v>1156.9</v>
      </c>
    </row>
    <row r="222">
      <c r="A222" s="4" t="inlineStr">
        <is>
          <t>广告宣传费</t>
        </is>
      </c>
      <c r="D222" s="7" t="n">
        <v>435.3</v>
      </c>
      <c r="F222" s="7" t="n">
        <v>357.2</v>
      </c>
      <c r="H222" s="7" t="n">
        <v>424.5</v>
      </c>
      <c r="J222" s="7" t="n">
        <v>728.9</v>
      </c>
      <c r="L222" s="7" t="n">
        <v>606.5</v>
      </c>
      <c r="N222" s="7" t="n">
        <v>682.8</v>
      </c>
      <c r="P222" s="7" t="n">
        <v>883.8</v>
      </c>
      <c r="R222" s="7" t="n">
        <v>276.6</v>
      </c>
      <c r="T222" s="7" t="n">
        <v>218.7</v>
      </c>
      <c r="V222" s="7" t="n">
        <v>668.3</v>
      </c>
      <c r="X222" s="7" t="n">
        <v>233.5</v>
      </c>
      <c r="Z222" s="7" t="n">
        <v>322</v>
      </c>
      <c r="AB222" s="7" t="n">
        <v>5838.1</v>
      </c>
    </row>
    <row r="223">
      <c r="A223" s="4" t="inlineStr">
        <is>
          <t>会务费</t>
        </is>
      </c>
      <c r="D223" s="7" t="n">
        <v>49.2</v>
      </c>
      <c r="F223" s="7" t="n">
        <v>58.5</v>
      </c>
      <c r="H223" s="7" t="n">
        <v>73.59999999999999</v>
      </c>
      <c r="J223" s="7" t="n">
        <v>135.4</v>
      </c>
      <c r="L223" s="7" t="n">
        <v>71.8</v>
      </c>
      <c r="N223" s="7" t="n">
        <v>145.4</v>
      </c>
      <c r="P223" s="7" t="n">
        <v>192.6</v>
      </c>
      <c r="R223" s="7" t="n">
        <v>33</v>
      </c>
      <c r="T223" s="7" t="n">
        <v>42.9</v>
      </c>
      <c r="V223" s="7" t="n">
        <v>76.59999999999999</v>
      </c>
      <c r="X223" s="7" t="n">
        <v>44.6</v>
      </c>
      <c r="Z223" s="7" t="n">
        <v>59</v>
      </c>
      <c r="AB223" s="7" t="n">
        <v>982.6</v>
      </c>
    </row>
    <row r="224">
      <c r="A224" s="4" t="inlineStr">
        <is>
          <t>装修费</t>
        </is>
      </c>
      <c r="D224" s="7" t="n">
        <v>70.90000000000001</v>
      </c>
      <c r="F224" s="7" t="n">
        <v>58.6</v>
      </c>
      <c r="H224" s="7" t="n">
        <v>46.1</v>
      </c>
      <c r="J224" s="7" t="n">
        <v>124.5</v>
      </c>
      <c r="L224" s="7" t="n">
        <v>73</v>
      </c>
      <c r="N224" s="7" t="n">
        <v>90.5</v>
      </c>
      <c r="P224" s="7" t="n">
        <v>104.3</v>
      </c>
      <c r="R224" s="7" t="n">
        <v>39.4</v>
      </c>
      <c r="T224" s="7" t="n">
        <v>52.1</v>
      </c>
      <c r="V224" s="7" t="n">
        <v>65.59999999999999</v>
      </c>
      <c r="X224" s="7" t="n">
        <v>50.5</v>
      </c>
      <c r="Z224" s="7" t="n">
        <v>65.59999999999999</v>
      </c>
      <c r="AB224" s="7" t="n">
        <v>841.1</v>
      </c>
    </row>
    <row r="225">
      <c r="A225" s="4" t="inlineStr">
        <is>
          <t>推广费</t>
        </is>
      </c>
      <c r="D225" s="7" t="n">
        <v>76.5</v>
      </c>
      <c r="F225" s="7" t="n">
        <v>57.7</v>
      </c>
      <c r="H225" s="7" t="n">
        <v>54.1</v>
      </c>
      <c r="J225" s="7" t="n">
        <v>123.8</v>
      </c>
      <c r="L225" s="7" t="n">
        <v>95.40000000000001</v>
      </c>
      <c r="N225" s="7" t="n">
        <v>117.9</v>
      </c>
      <c r="P225" s="7" t="n">
        <v>131.5</v>
      </c>
      <c r="R225" s="7" t="n">
        <v>42.9</v>
      </c>
      <c r="T225" s="7" t="n">
        <v>62.8</v>
      </c>
      <c r="V225" s="7" t="n">
        <v>104.6</v>
      </c>
      <c r="X225" s="7" t="n">
        <v>63.2</v>
      </c>
      <c r="Z225" s="7" t="n">
        <v>77.8</v>
      </c>
      <c r="AB225" s="7" t="n">
        <v>1008.2</v>
      </c>
    </row>
    <row r="226">
      <c r="A226" s="4" t="inlineStr">
        <is>
          <t>展会费</t>
        </is>
      </c>
      <c r="D226" s="7" t="n">
        <v>3.7</v>
      </c>
      <c r="F226" s="7" t="n">
        <v>4.7</v>
      </c>
      <c r="H226" s="7" t="n">
        <v>3.2</v>
      </c>
      <c r="J226" s="7" t="n">
        <v>10</v>
      </c>
      <c r="L226" s="7" t="n">
        <v>4</v>
      </c>
      <c r="N226" s="7" t="n">
        <v>8.800000000000001</v>
      </c>
      <c r="P226" s="7" t="n">
        <v>12.6</v>
      </c>
      <c r="R226" s="7" t="n">
        <v>3.3</v>
      </c>
      <c r="T226" s="7" t="n">
        <v>4</v>
      </c>
      <c r="V226" s="7" t="n">
        <v>5.1</v>
      </c>
      <c r="X226" s="7" t="n">
        <v>3.3</v>
      </c>
      <c r="Z226" s="7" t="n">
        <v>2.6</v>
      </c>
      <c r="AB226" s="7" t="n">
        <v>65.3</v>
      </c>
    </row>
    <row r="227">
      <c r="A227" s="4" t="inlineStr">
        <is>
          <t>设计费</t>
        </is>
      </c>
      <c r="D227" s="7" t="n">
        <v>104.9</v>
      </c>
      <c r="F227" s="7" t="n">
        <v>82.3</v>
      </c>
      <c r="H227" s="7" t="n">
        <v>68.8</v>
      </c>
      <c r="J227" s="7" t="n">
        <v>127.7</v>
      </c>
      <c r="L227" s="7" t="n">
        <v>132</v>
      </c>
      <c r="N227" s="7" t="n">
        <v>200.5</v>
      </c>
      <c r="P227" s="7" t="n">
        <v>177.5</v>
      </c>
      <c r="R227" s="7" t="n">
        <v>68.09999999999999</v>
      </c>
      <c r="T227" s="7" t="n">
        <v>80.8</v>
      </c>
      <c r="V227" s="7" t="n">
        <v>97.5</v>
      </c>
      <c r="X227" s="7" t="n">
        <v>55.2</v>
      </c>
      <c r="Z227" s="7" t="n">
        <v>59.2</v>
      </c>
      <c r="AB227" s="7" t="n">
        <v>1254.5</v>
      </c>
    </row>
    <row r="228">
      <c r="A228" s="4" t="inlineStr">
        <is>
          <t>折旧费</t>
        </is>
      </c>
      <c r="D228" s="7" t="n">
        <v>398.3</v>
      </c>
      <c r="F228" s="7" t="n">
        <v>437.3</v>
      </c>
      <c r="H228" s="7" t="n">
        <v>382.1</v>
      </c>
      <c r="J228" s="7" t="n">
        <v>756.1</v>
      </c>
      <c r="L228" s="7" t="n">
        <v>647</v>
      </c>
      <c r="N228" s="7" t="n">
        <v>1408</v>
      </c>
      <c r="P228" s="7" t="n">
        <v>995.1</v>
      </c>
      <c r="R228" s="7" t="n">
        <v>418.3</v>
      </c>
      <c r="T228" s="7" t="n">
        <v>509.3</v>
      </c>
      <c r="V228" s="7" t="n">
        <v>531.6</v>
      </c>
      <c r="X228" s="7" t="n">
        <v>510</v>
      </c>
      <c r="Z228" s="7" t="n">
        <v>438.5</v>
      </c>
      <c r="AB228" s="7" t="n">
        <v>7431.6</v>
      </c>
    </row>
    <row r="229">
      <c r="A229" s="4" t="inlineStr">
        <is>
          <t>认证费</t>
        </is>
      </c>
      <c r="D229" s="7" t="n">
        <v>8.300000000000001</v>
      </c>
      <c r="F229" s="7" t="n">
        <v>4.9</v>
      </c>
      <c r="H229" s="7" t="n">
        <v>7.5</v>
      </c>
      <c r="J229" s="7" t="n">
        <v>10.1</v>
      </c>
      <c r="L229" s="7" t="n">
        <v>8.6</v>
      </c>
      <c r="N229" s="7" t="n">
        <v>11.7</v>
      </c>
      <c r="P229" s="7" t="n">
        <v>13.4</v>
      </c>
      <c r="R229" s="7" t="n">
        <v>5.1</v>
      </c>
      <c r="T229" s="7" t="n">
        <v>5.6</v>
      </c>
      <c r="V229" s="7" t="n">
        <v>8.1</v>
      </c>
      <c r="X229" s="7" t="n">
        <v>6.4</v>
      </c>
      <c r="Z229" s="7" t="n">
        <v>4.4</v>
      </c>
      <c r="AB229" s="7" t="n">
        <v>94.09999999999999</v>
      </c>
    </row>
    <row r="230">
      <c r="A230" s="4" t="inlineStr">
        <is>
          <t>样品费</t>
        </is>
      </c>
      <c r="D230" s="7" t="n">
        <v>211.4</v>
      </c>
      <c r="F230" s="7" t="n">
        <v>305</v>
      </c>
      <c r="H230" s="7" t="n">
        <v>282.5</v>
      </c>
      <c r="J230" s="7" t="n">
        <v>360.5</v>
      </c>
      <c r="L230" s="7" t="n">
        <v>420.4</v>
      </c>
      <c r="N230" s="7" t="n">
        <v>552.3</v>
      </c>
      <c r="P230" s="7" t="n">
        <v>776.1</v>
      </c>
      <c r="R230" s="7" t="n">
        <v>131</v>
      </c>
      <c r="T230" s="7" t="n">
        <v>153</v>
      </c>
      <c r="V230" s="7" t="n">
        <v>272.7</v>
      </c>
      <c r="X230" s="7" t="n">
        <v>207.7</v>
      </c>
      <c r="Z230" s="7" t="n">
        <v>285.6</v>
      </c>
      <c r="AB230" s="7" t="n">
        <v>3958.2</v>
      </c>
    </row>
    <row r="231">
      <c r="A231" s="4" t="inlineStr">
        <is>
          <t>劳务费</t>
        </is>
      </c>
      <c r="D231" s="7" t="n">
        <v>20.8</v>
      </c>
      <c r="F231" s="7" t="n">
        <v>23.8</v>
      </c>
      <c r="H231" s="7" t="n">
        <v>28.1</v>
      </c>
      <c r="J231" s="7" t="n">
        <v>58.5</v>
      </c>
      <c r="L231" s="7" t="n">
        <v>34.2</v>
      </c>
      <c r="N231" s="7" t="n">
        <v>68.59999999999999</v>
      </c>
      <c r="P231" s="7" t="n">
        <v>63.5</v>
      </c>
      <c r="R231" s="7" t="n">
        <v>17.2</v>
      </c>
      <c r="T231" s="7" t="n">
        <v>19.8</v>
      </c>
      <c r="V231" s="7" t="n">
        <v>30.1</v>
      </c>
      <c r="X231" s="7" t="n">
        <v>19.1</v>
      </c>
      <c r="Z231" s="7" t="n">
        <v>24.6</v>
      </c>
      <c r="AB231" s="7" t="n">
        <v>408.3</v>
      </c>
    </row>
    <row r="232">
      <c r="A232" s="4" t="inlineStr">
        <is>
          <t>销售佣金</t>
        </is>
      </c>
      <c r="D232" s="7" t="n">
        <v>24.9</v>
      </c>
      <c r="F232" s="7" t="n">
        <v>14.4</v>
      </c>
      <c r="H232" s="7" t="n">
        <v>25.1</v>
      </c>
      <c r="J232" s="7" t="n">
        <v>40.2</v>
      </c>
      <c r="L232" s="7" t="n">
        <v>27.4</v>
      </c>
      <c r="N232" s="7" t="n">
        <v>32.8</v>
      </c>
      <c r="P232" s="7" t="n">
        <v>66.40000000000001</v>
      </c>
      <c r="R232" s="7" t="n">
        <v>10.5</v>
      </c>
      <c r="T232" s="7" t="n">
        <v>16.6</v>
      </c>
      <c r="V232" s="7" t="n">
        <v>23.9</v>
      </c>
      <c r="X232" s="7" t="n">
        <v>13.5</v>
      </c>
      <c r="Z232" s="7" t="n">
        <v>14.6</v>
      </c>
      <c r="AB232" s="7" t="n">
        <v>310.3</v>
      </c>
    </row>
    <row r="233">
      <c r="A233" s="4" t="inlineStr">
        <is>
          <t>检测费</t>
        </is>
      </c>
      <c r="D233" s="7" t="n">
        <v>37.9</v>
      </c>
      <c r="F233" s="7" t="n">
        <v>20.9</v>
      </c>
      <c r="H233" s="7" t="n">
        <v>24.7</v>
      </c>
      <c r="J233" s="7" t="n">
        <v>73.40000000000001</v>
      </c>
      <c r="L233" s="7" t="n">
        <v>31.1</v>
      </c>
      <c r="N233" s="7" t="n">
        <v>45.5</v>
      </c>
      <c r="P233" s="7" t="n">
        <v>79.40000000000001</v>
      </c>
      <c r="R233" s="7" t="n">
        <v>19.1</v>
      </c>
      <c r="T233" s="7" t="n">
        <v>25.4</v>
      </c>
      <c r="V233" s="7" t="n">
        <v>37.3</v>
      </c>
      <c r="X233" s="7" t="n">
        <v>21.9</v>
      </c>
      <c r="Z233" s="7" t="n">
        <v>23</v>
      </c>
      <c r="AB233" s="7" t="n">
        <v>439.6</v>
      </c>
    </row>
    <row r="234">
      <c r="A234" s="4" t="inlineStr">
        <is>
          <t>质量赔偿</t>
        </is>
      </c>
      <c r="D234" s="7" t="n">
        <v>24.5</v>
      </c>
      <c r="F234" s="7" t="n">
        <v>24.8</v>
      </c>
      <c r="H234" s="7" t="n">
        <v>33.4</v>
      </c>
      <c r="J234" s="7" t="n">
        <v>57.8</v>
      </c>
      <c r="L234" s="7" t="n">
        <v>32.8</v>
      </c>
      <c r="N234" s="7" t="n">
        <v>45.9</v>
      </c>
      <c r="P234" s="7" t="n">
        <v>58.1</v>
      </c>
      <c r="R234" s="7" t="n">
        <v>18</v>
      </c>
      <c r="T234" s="7" t="n">
        <v>22.7</v>
      </c>
      <c r="V234" s="7" t="n">
        <v>46.8</v>
      </c>
      <c r="X234" s="7" t="n">
        <v>29</v>
      </c>
      <c r="Z234" s="7" t="n">
        <v>26.1</v>
      </c>
      <c r="AB234" s="7" t="n">
        <v>419.9</v>
      </c>
    </row>
    <row r="235">
      <c r="A235" s="4" t="inlineStr">
        <is>
          <t>保险费</t>
        </is>
      </c>
      <c r="D235" s="7" t="n">
        <v>54.1</v>
      </c>
      <c r="F235" s="7" t="n">
        <v>37.8</v>
      </c>
      <c r="H235" s="7" t="n">
        <v>46.4</v>
      </c>
      <c r="J235" s="7" t="n">
        <v>113.8</v>
      </c>
      <c r="L235" s="7" t="n">
        <v>55.7</v>
      </c>
      <c r="N235" s="7" t="n">
        <v>103.2</v>
      </c>
      <c r="P235" s="7" t="n">
        <v>117.3</v>
      </c>
      <c r="R235" s="7" t="n">
        <v>39.9</v>
      </c>
      <c r="T235" s="7" t="n">
        <v>38.2</v>
      </c>
      <c r="V235" s="7" t="n">
        <v>80.2</v>
      </c>
      <c r="X235" s="7" t="n">
        <v>26</v>
      </c>
      <c r="Z235" s="7" t="n">
        <v>32.1</v>
      </c>
      <c r="AB235" s="7" t="n">
        <v>744.7</v>
      </c>
    </row>
    <row r="236">
      <c r="A236" s="4" t="inlineStr">
        <is>
          <t>清洁费</t>
        </is>
      </c>
      <c r="D236" s="7" t="n">
        <v>98.5</v>
      </c>
      <c r="F236" s="7" t="n">
        <v>72</v>
      </c>
      <c r="H236" s="7" t="n">
        <v>80.90000000000001</v>
      </c>
      <c r="J236" s="7" t="n">
        <v>210.5</v>
      </c>
      <c r="L236" s="7" t="n">
        <v>133.1</v>
      </c>
      <c r="N236" s="7" t="n">
        <v>146.1</v>
      </c>
      <c r="P236" s="7" t="n">
        <v>195.8</v>
      </c>
      <c r="R236" s="7" t="n">
        <v>56.6</v>
      </c>
      <c r="T236" s="7" t="n">
        <v>81</v>
      </c>
      <c r="V236" s="7" t="n">
        <v>137.6</v>
      </c>
      <c r="X236" s="7" t="n">
        <v>53.6</v>
      </c>
      <c r="Z236" s="7" t="n">
        <v>83</v>
      </c>
      <c r="AB236" s="7" t="n">
        <v>1348.7</v>
      </c>
    </row>
    <row r="237">
      <c r="A237" s="4" t="inlineStr">
        <is>
          <t>低值易耗品</t>
        </is>
      </c>
      <c r="D237" s="7" t="n">
        <v>6.1</v>
      </c>
      <c r="F237" s="7" t="n">
        <v>6.5</v>
      </c>
      <c r="H237" s="7" t="n">
        <v>8.4</v>
      </c>
      <c r="J237" s="7" t="n">
        <v>13.3</v>
      </c>
      <c r="L237" s="7" t="n">
        <v>8.5</v>
      </c>
      <c r="N237" s="7" t="n">
        <v>13.2</v>
      </c>
      <c r="P237" s="7" t="n">
        <v>22.8</v>
      </c>
      <c r="R237" s="7" t="n">
        <v>4.9</v>
      </c>
      <c r="T237" s="7" t="n">
        <v>6.3</v>
      </c>
      <c r="V237" s="7" t="n">
        <v>7.4</v>
      </c>
      <c r="X237" s="7" t="n">
        <v>7</v>
      </c>
      <c r="Z237" s="7" t="n">
        <v>7.3</v>
      </c>
      <c r="AB237" s="7" t="n">
        <v>111.7</v>
      </c>
    </row>
    <row r="238">
      <c r="A238" s="4" t="inlineStr">
        <is>
          <t>物料消耗</t>
        </is>
      </c>
      <c r="D238" s="7" t="n">
        <v>29.3</v>
      </c>
      <c r="F238" s="7" t="n">
        <v>15.5</v>
      </c>
      <c r="H238" s="7" t="n">
        <v>27.5</v>
      </c>
      <c r="J238" s="7" t="n">
        <v>46.4</v>
      </c>
      <c r="L238" s="7" t="n">
        <v>37.6</v>
      </c>
      <c r="N238" s="7" t="n">
        <v>46.8</v>
      </c>
      <c r="P238" s="7" t="n">
        <v>47.7</v>
      </c>
      <c r="R238" s="7" t="n">
        <v>11.3</v>
      </c>
      <c r="T238" s="7" t="n">
        <v>20.4</v>
      </c>
      <c r="V238" s="7" t="n">
        <v>30.4</v>
      </c>
      <c r="X238" s="7" t="n">
        <v>21.7</v>
      </c>
      <c r="Z238" s="7" t="n">
        <v>26</v>
      </c>
      <c r="AB238" s="7" t="n">
        <v>360.6</v>
      </c>
    </row>
    <row r="239">
      <c r="A239" s="4" t="inlineStr">
        <is>
          <t>盘盈盘亏</t>
        </is>
      </c>
      <c r="D239" s="7" t="n">
        <v>0.3</v>
      </c>
      <c r="F239" s="7" t="n">
        <v>0.3</v>
      </c>
      <c r="H239" s="7" t="n">
        <v>0.3</v>
      </c>
      <c r="J239" s="7" t="n">
        <v>0.6</v>
      </c>
      <c r="L239" s="7" t="n">
        <v>0.4</v>
      </c>
      <c r="N239" s="7" t="n">
        <v>0.8</v>
      </c>
      <c r="P239" s="7" t="n">
        <v>0.9</v>
      </c>
      <c r="R239" s="7" t="n">
        <v>0.1</v>
      </c>
      <c r="T239" s="7" t="n">
        <v>0.2</v>
      </c>
      <c r="V239" s="7" t="n">
        <v>0.3</v>
      </c>
      <c r="X239" s="7" t="n">
        <v>0.2</v>
      </c>
      <c r="Z239" s="7" t="n">
        <v>0.2</v>
      </c>
      <c r="AB239" s="7" t="n">
        <v>4.6</v>
      </c>
    </row>
    <row r="240">
      <c r="A240" s="4" t="inlineStr">
        <is>
          <t>平台服务费</t>
        </is>
      </c>
      <c r="D240" s="7" t="n">
        <v>34.1</v>
      </c>
      <c r="F240" s="7" t="n">
        <v>36.7</v>
      </c>
      <c r="H240" s="7" t="n">
        <v>49.6</v>
      </c>
      <c r="J240" s="7" t="n">
        <v>67.2</v>
      </c>
      <c r="L240" s="7" t="n">
        <v>45.1</v>
      </c>
      <c r="N240" s="7" t="n">
        <v>92.5</v>
      </c>
      <c r="P240" s="7" t="n">
        <v>87.3</v>
      </c>
      <c r="R240" s="7" t="n">
        <v>29.6</v>
      </c>
      <c r="T240" s="7" t="n">
        <v>29</v>
      </c>
      <c r="V240" s="7" t="n">
        <v>58.8</v>
      </c>
      <c r="X240" s="7" t="n">
        <v>32.9</v>
      </c>
      <c r="Z240" s="7" t="n">
        <v>47.3</v>
      </c>
      <c r="AB240" s="7" t="n">
        <v>610.1</v>
      </c>
    </row>
    <row r="241">
      <c r="A241" s="4" t="inlineStr">
        <is>
          <t>无形资产摊销</t>
        </is>
      </c>
      <c r="D241" s="7" t="n">
        <v>42.7</v>
      </c>
      <c r="F241" s="7" t="n">
        <v>45</v>
      </c>
      <c r="H241" s="7" t="n">
        <v>46.8</v>
      </c>
      <c r="J241" s="7" t="n">
        <v>63.6</v>
      </c>
      <c r="L241" s="7" t="n">
        <v>48.8</v>
      </c>
      <c r="N241" s="7" t="n">
        <v>68.09999999999999</v>
      </c>
      <c r="P241" s="7" t="n">
        <v>130.3</v>
      </c>
      <c r="R241" s="7" t="n">
        <v>25.8</v>
      </c>
      <c r="T241" s="7" t="n">
        <v>37.1</v>
      </c>
      <c r="V241" s="7" t="n">
        <v>46.4</v>
      </c>
      <c r="X241" s="7" t="n">
        <v>32.4</v>
      </c>
      <c r="Z241" s="7" t="n">
        <v>47.6</v>
      </c>
      <c r="AB241" s="7" t="n">
        <v>634.6</v>
      </c>
    </row>
    <row r="242">
      <c r="A242" s="4" t="inlineStr">
        <is>
          <t>研发材料</t>
        </is>
      </c>
      <c r="D242" s="7" t="n">
        <v>78.90000000000001</v>
      </c>
      <c r="F242" s="7" t="n">
        <v>51.5</v>
      </c>
      <c r="H242" s="7" t="n">
        <v>42.5</v>
      </c>
      <c r="J242" s="7" t="n">
        <v>143.6</v>
      </c>
      <c r="L242" s="7" t="n">
        <v>88.2</v>
      </c>
      <c r="N242" s="7" t="n">
        <v>102.9</v>
      </c>
      <c r="P242" s="7" t="n">
        <v>194.2</v>
      </c>
      <c r="R242" s="7" t="n">
        <v>50.9</v>
      </c>
      <c r="T242" s="7" t="n">
        <v>58.8</v>
      </c>
      <c r="V242" s="7" t="n">
        <v>64.59999999999999</v>
      </c>
      <c r="X242" s="7" t="n">
        <v>51.1</v>
      </c>
      <c r="Z242" s="7" t="n">
        <v>57.5</v>
      </c>
      <c r="AB242" s="7" t="n">
        <v>984.7</v>
      </c>
    </row>
    <row r="243">
      <c r="A243" s="4" t="inlineStr">
        <is>
          <t>项目名称</t>
        </is>
      </c>
      <c r="D243" s="7" t="n">
        <v>57.7</v>
      </c>
      <c r="F243" s="7" t="n">
        <v>93.40000000000001</v>
      </c>
      <c r="H243" s="7" t="n">
        <v>67.90000000000001</v>
      </c>
      <c r="J243" s="7" t="n">
        <v>168.4</v>
      </c>
      <c r="L243" s="7" t="n">
        <v>125.2</v>
      </c>
      <c r="N243" s="7" t="n">
        <v>151.2</v>
      </c>
      <c r="P243" s="7" t="n">
        <v>197.6</v>
      </c>
      <c r="R243" s="7" t="n">
        <v>67.8</v>
      </c>
      <c r="T243" s="7" t="n">
        <v>65</v>
      </c>
      <c r="V243" s="7" t="n">
        <v>103.7</v>
      </c>
      <c r="X243" s="7" t="n">
        <v>52</v>
      </c>
      <c r="Z243" s="7" t="n">
        <v>55.5</v>
      </c>
      <c r="AB243" s="7" t="n">
        <v>1205.4</v>
      </c>
    </row>
    <row r="244">
      <c r="A244" s="4" t="inlineStr">
        <is>
          <t>研发费</t>
        </is>
      </c>
      <c r="D244" s="7" t="n">
        <v>58.1</v>
      </c>
      <c r="F244" s="7" t="n">
        <v>31</v>
      </c>
      <c r="H244" s="7" t="n">
        <v>40</v>
      </c>
      <c r="J244" s="7" t="n">
        <v>97.59999999999999</v>
      </c>
      <c r="L244" s="7" t="n">
        <v>72.40000000000001</v>
      </c>
      <c r="N244" s="7" t="n">
        <v>109</v>
      </c>
      <c r="P244" s="7" t="n">
        <v>104.5</v>
      </c>
      <c r="R244" s="7" t="n">
        <v>27.1</v>
      </c>
      <c r="T244" s="7" t="n">
        <v>38.3</v>
      </c>
      <c r="V244" s="7" t="n">
        <v>75.8</v>
      </c>
      <c r="X244" s="7" t="n">
        <v>28</v>
      </c>
      <c r="Z244" s="7" t="n">
        <v>48.4</v>
      </c>
      <c r="AB244" s="7" t="n">
        <v>730.2</v>
      </c>
    </row>
    <row r="245">
      <c r="A245" s="4" t="inlineStr">
        <is>
          <t>残保金</t>
        </is>
      </c>
      <c r="D245" s="7" t="n">
        <v>51.1</v>
      </c>
      <c r="F245" s="7" t="n">
        <v>66.90000000000001</v>
      </c>
      <c r="H245" s="7" t="n">
        <v>55.9</v>
      </c>
      <c r="J245" s="7" t="n">
        <v>132.3</v>
      </c>
      <c r="L245" s="7" t="n">
        <v>96.5</v>
      </c>
      <c r="N245" s="7" t="n">
        <v>118.8</v>
      </c>
      <c r="P245" s="7" t="n">
        <v>201.6</v>
      </c>
      <c r="R245" s="7" t="n">
        <v>33.7</v>
      </c>
      <c r="T245" s="7" t="n">
        <v>36.5</v>
      </c>
      <c r="V245" s="7" t="n">
        <v>65.5</v>
      </c>
      <c r="X245" s="7" t="n">
        <v>51.1</v>
      </c>
      <c r="Z245" s="7" t="n">
        <v>60.8</v>
      </c>
      <c r="AB245" s="7" t="n">
        <v>970.7</v>
      </c>
    </row>
    <row r="246">
      <c r="A246" s="4" t="inlineStr">
        <is>
          <t>环保费</t>
        </is>
      </c>
      <c r="D246" s="7" t="n">
        <v>38.6</v>
      </c>
      <c r="F246" s="7" t="n">
        <v>40.9</v>
      </c>
      <c r="H246" s="7" t="n">
        <v>46.5</v>
      </c>
      <c r="J246" s="7" t="n">
        <v>132.3</v>
      </c>
      <c r="L246" s="7" t="n">
        <v>67.90000000000001</v>
      </c>
      <c r="N246" s="7" t="n">
        <v>122.9</v>
      </c>
      <c r="P246" s="7" t="n">
        <v>93.90000000000001</v>
      </c>
      <c r="R246" s="7" t="n">
        <v>45.1</v>
      </c>
      <c r="T246" s="7" t="n">
        <v>39.7</v>
      </c>
      <c r="V246" s="7" t="n">
        <v>73.59999999999999</v>
      </c>
      <c r="X246" s="7" t="n">
        <v>31.3</v>
      </c>
      <c r="Z246" s="7" t="n">
        <v>37.2</v>
      </c>
      <c r="AB246" s="7" t="n">
        <v>769.9</v>
      </c>
    </row>
    <row r="247">
      <c r="A247" s="4" t="inlineStr">
        <is>
          <t>报废损失</t>
        </is>
      </c>
      <c r="D247" s="7" t="n">
        <v>21.6</v>
      </c>
      <c r="F247" s="7" t="n">
        <v>20.3</v>
      </c>
      <c r="H247" s="7" t="n">
        <v>21.1</v>
      </c>
      <c r="J247" s="7" t="n">
        <v>31.7</v>
      </c>
      <c r="L247" s="7" t="n">
        <v>29.8</v>
      </c>
      <c r="N247" s="7" t="n">
        <v>33.5</v>
      </c>
      <c r="P247" s="7" t="n">
        <v>54.1</v>
      </c>
      <c r="R247" s="7" t="n">
        <v>13.4</v>
      </c>
      <c r="T247" s="7" t="n">
        <v>10.4</v>
      </c>
      <c r="V247" s="7" t="n">
        <v>30.3</v>
      </c>
      <c r="X247" s="7" t="n">
        <v>15.3</v>
      </c>
      <c r="Z247" s="7" t="n">
        <v>21.9</v>
      </c>
      <c r="AB247" s="7" t="n">
        <v>303.4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10777.4</v>
      </c>
      <c r="D248" s="7" t="n">
        <v>17874.2</v>
      </c>
      <c r="E248" s="7" t="n">
        <v>10938.4</v>
      </c>
      <c r="F248" s="7" t="n">
        <v>14606.2</v>
      </c>
      <c r="G248" s="7" t="n">
        <v>9913.200000000001</v>
      </c>
      <c r="H248" s="7" t="n">
        <v>9808.9</v>
      </c>
      <c r="I248" s="7" t="n">
        <v>9273.299999999999</v>
      </c>
      <c r="J248" s="7" t="n">
        <v>2651.5</v>
      </c>
      <c r="K248" s="7" t="n">
        <v>10684.6</v>
      </c>
      <c r="L248" s="7" t="n">
        <v>14203.9</v>
      </c>
      <c r="M248" s="7" t="n">
        <v>10484.3</v>
      </c>
      <c r="N248" s="7" t="n">
        <v>8618.299999999999</v>
      </c>
      <c r="O248" s="7" t="n">
        <v>8843.4</v>
      </c>
      <c r="P248" s="7" t="n">
        <v>1956.4</v>
      </c>
      <c r="Q248" s="7" t="n">
        <v>9004.6</v>
      </c>
      <c r="R248" s="7" t="n">
        <v>9397.799999999999</v>
      </c>
      <c r="S248" s="7" t="n">
        <v>8948.1</v>
      </c>
      <c r="T248" s="7" t="n">
        <v>13414.3</v>
      </c>
      <c r="U248" s="7" t="n">
        <v>9827.1</v>
      </c>
      <c r="V248" s="7" t="n">
        <v>15852.9</v>
      </c>
      <c r="W248" s="7" t="n">
        <v>10225</v>
      </c>
      <c r="X248" s="7" t="n">
        <v>10068.6</v>
      </c>
      <c r="Y248" s="7" t="n">
        <v>9522.700000000001</v>
      </c>
      <c r="Z248" s="7" t="n">
        <v>5748.1</v>
      </c>
      <c r="AA248" s="8" t="n">
        <v>118442.1</v>
      </c>
      <c r="AB248" s="8" t="n">
        <v>124201.1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2561.5</v>
      </c>
      <c r="E250" s="7" t="n">
        <v>0</v>
      </c>
      <c r="F250" s="7" t="n">
        <v>-1287.5</v>
      </c>
      <c r="G250" s="7" t="n">
        <v>0</v>
      </c>
      <c r="H250" s="7" t="n">
        <v>3936.8</v>
      </c>
      <c r="I250" s="7" t="n">
        <v>0</v>
      </c>
      <c r="J250" s="7" t="n">
        <v>-4170.1</v>
      </c>
      <c r="K250" s="7" t="n">
        <v>0</v>
      </c>
      <c r="L250" s="7" t="n">
        <v>-1816.5</v>
      </c>
      <c r="M250" s="7" t="n">
        <v>0</v>
      </c>
      <c r="N250" s="7" t="n">
        <v>-558.4</v>
      </c>
      <c r="O250" s="7" t="n">
        <v>0</v>
      </c>
      <c r="P250" s="7" t="n">
        <v>-4067.7</v>
      </c>
      <c r="Q250" s="7" t="n">
        <v>0</v>
      </c>
      <c r="R250" s="7" t="n">
        <v>-2773.3</v>
      </c>
      <c r="S250" s="7" t="n">
        <v>0</v>
      </c>
      <c r="T250" s="7" t="n">
        <v>1638.8</v>
      </c>
      <c r="U250" s="7" t="n">
        <v>0</v>
      </c>
      <c r="V250" s="7" t="n">
        <v>-4308.9</v>
      </c>
      <c r="W250" s="7" t="n">
        <v>0</v>
      </c>
      <c r="X250" s="7" t="n">
        <v>877.5</v>
      </c>
      <c r="Y250" s="7" t="n">
        <v>0</v>
      </c>
      <c r="Z250" s="7" t="n">
        <v>518.4</v>
      </c>
      <c r="AA250" s="7" t="n">
        <v>0</v>
      </c>
      <c r="AB250" s="7" t="n">
        <v>-9449.4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12525.7</v>
      </c>
      <c r="D255" s="7" t="n">
        <v>4200.4</v>
      </c>
      <c r="E255" s="7" t="n">
        <v>14068.7</v>
      </c>
      <c r="F255" s="7" t="n">
        <v>6598.6</v>
      </c>
      <c r="G255" s="7" t="n">
        <v>11864.9</v>
      </c>
      <c r="H255" s="7" t="n">
        <v>614.9</v>
      </c>
      <c r="I255" s="7" t="n">
        <v>13944.8</v>
      </c>
      <c r="J255" s="7" t="n">
        <v>8410.6</v>
      </c>
      <c r="K255" s="7" t="n">
        <v>10684.7</v>
      </c>
      <c r="L255" s="7" t="n">
        <v>14367.3</v>
      </c>
      <c r="M255" s="7" t="n">
        <v>11710.3</v>
      </c>
      <c r="N255" s="7" t="n">
        <v>11954</v>
      </c>
      <c r="O255" s="7" t="n">
        <v>11342.7</v>
      </c>
      <c r="P255" s="7" t="n">
        <v>18413.4</v>
      </c>
      <c r="Q255" s="7" t="n">
        <v>13446.8</v>
      </c>
      <c r="R255" s="7" t="n">
        <v>19204.4</v>
      </c>
      <c r="S255" s="7" t="n">
        <v>14037</v>
      </c>
      <c r="T255" s="7" t="n">
        <v>25466.4</v>
      </c>
      <c r="U255" s="7" t="n">
        <v>11304.8</v>
      </c>
      <c r="V255" s="7" t="n">
        <v>8872.799999999999</v>
      </c>
      <c r="W255" s="7" t="n">
        <v>11783.6</v>
      </c>
      <c r="X255" s="7" t="n">
        <v>9038.799999999999</v>
      </c>
      <c r="Y255" s="7" t="n">
        <v>10668.3</v>
      </c>
      <c r="Z255" s="7" t="n">
        <v>23216.2</v>
      </c>
      <c r="AA255" s="7" t="n">
        <v>147382.3</v>
      </c>
      <c r="AB255" s="7" t="n">
        <v>150357.8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76735.3</v>
      </c>
      <c r="D256" s="7" t="n">
        <v>26102.6</v>
      </c>
      <c r="E256" s="7" t="n">
        <v>76157.89999999999</v>
      </c>
      <c r="F256" s="7" t="n">
        <v>30738.3</v>
      </c>
      <c r="G256" s="7" t="n">
        <v>65143.8</v>
      </c>
      <c r="H256" s="7" t="n">
        <v>64875.3</v>
      </c>
      <c r="I256" s="7" t="n">
        <v>74253.3</v>
      </c>
      <c r="J256" s="7" t="n">
        <v>65212.8</v>
      </c>
      <c r="K256" s="7" t="n">
        <v>68766.5</v>
      </c>
      <c r="L256" s="7" t="n">
        <v>93469</v>
      </c>
      <c r="M256" s="7" t="n">
        <v>65035.5</v>
      </c>
      <c r="N256" s="7" t="n">
        <v>78613.8</v>
      </c>
      <c r="O256" s="7" t="n">
        <v>60648.6</v>
      </c>
      <c r="P256" s="7" t="n">
        <v>128402.5</v>
      </c>
      <c r="Q256" s="7" t="n">
        <v>60697</v>
      </c>
      <c r="R256" s="7" t="n">
        <v>79519.39999999999</v>
      </c>
      <c r="S256" s="7" t="n">
        <v>66520.7</v>
      </c>
      <c r="T256" s="7" t="n">
        <v>56116.4</v>
      </c>
      <c r="U256" s="7" t="n">
        <v>62207.8</v>
      </c>
      <c r="V256" s="7" t="n">
        <v>82187</v>
      </c>
      <c r="W256" s="7" t="n">
        <v>72811.60000000001</v>
      </c>
      <c r="X256" s="7" t="n">
        <v>62698</v>
      </c>
      <c r="Y256" s="7" t="n">
        <v>61852.7</v>
      </c>
      <c r="Z256" s="7" t="n">
        <v>41932.1</v>
      </c>
      <c r="AA256" s="8" t="n">
        <v>810830.7</v>
      </c>
      <c r="AB256" s="8" t="n">
        <v>809867.2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722</v>
      </c>
      <c r="E257" s="7" t="n">
        <v>0</v>
      </c>
      <c r="F257" s="7" t="n">
        <v>3974.1</v>
      </c>
      <c r="G257" s="7" t="n">
        <v>0</v>
      </c>
      <c r="H257" s="7" t="n">
        <v>3378.3</v>
      </c>
      <c r="I257" s="7" t="n">
        <v>0</v>
      </c>
      <c r="J257" s="7" t="n">
        <v>1455.6</v>
      </c>
      <c r="K257" s="7" t="n">
        <v>0</v>
      </c>
      <c r="L257" s="7" t="n">
        <v>906.4</v>
      </c>
      <c r="M257" s="7" t="n">
        <v>0</v>
      </c>
      <c r="N257" s="7" t="n">
        <v>1111.2</v>
      </c>
      <c r="O257" s="7" t="n">
        <v>0</v>
      </c>
      <c r="P257" s="7" t="n">
        <v>412.8</v>
      </c>
      <c r="Q257" s="7" t="n">
        <v>0</v>
      </c>
      <c r="R257" s="7" t="n">
        <v>3200.2</v>
      </c>
      <c r="S257" s="7" t="n">
        <v>0</v>
      </c>
      <c r="T257" s="7" t="n">
        <v>4608.1</v>
      </c>
      <c r="U257" s="7" t="n">
        <v>0</v>
      </c>
      <c r="V257" s="7" t="n">
        <v>696.5</v>
      </c>
      <c r="W257" s="7" t="n">
        <v>0</v>
      </c>
      <c r="X257" s="7" t="n">
        <v>1934.4</v>
      </c>
      <c r="Y257" s="7" t="n">
        <v>0</v>
      </c>
      <c r="Z257" s="7" t="n">
        <v>230.5</v>
      </c>
      <c r="AA257" s="7" t="n">
        <v>0</v>
      </c>
      <c r="AB257" s="7" t="n">
        <v>22630.1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60.8</v>
      </c>
      <c r="E258" s="7" t="n">
        <v>0</v>
      </c>
      <c r="F258" s="7" t="n">
        <v>2484.4</v>
      </c>
      <c r="G258" s="7" t="n">
        <v>0</v>
      </c>
      <c r="H258" s="7" t="n">
        <v>1815.3</v>
      </c>
      <c r="I258" s="7" t="n">
        <v>0</v>
      </c>
      <c r="J258" s="7" t="n">
        <v>1176.9</v>
      </c>
      <c r="K258" s="7" t="n">
        <v>0</v>
      </c>
      <c r="L258" s="7" t="n">
        <v>2714.5</v>
      </c>
      <c r="M258" s="7" t="n">
        <v>0</v>
      </c>
      <c r="N258" s="7" t="n">
        <v>2070.5</v>
      </c>
      <c r="O258" s="7" t="n">
        <v>0</v>
      </c>
      <c r="P258" s="7" t="n">
        <v>1800.3</v>
      </c>
      <c r="Q258" s="7" t="n">
        <v>0</v>
      </c>
      <c r="R258" s="7" t="n">
        <v>1327.9</v>
      </c>
      <c r="S258" s="7" t="n">
        <v>0</v>
      </c>
      <c r="T258" s="7" t="n">
        <v>297.6</v>
      </c>
      <c r="U258" s="7" t="n">
        <v>0</v>
      </c>
      <c r="V258" s="7" t="n">
        <v>886.5</v>
      </c>
      <c r="W258" s="7" t="n">
        <v>0</v>
      </c>
      <c r="X258" s="7" t="n">
        <v>470.9</v>
      </c>
      <c r="Y258" s="7" t="n">
        <v>0</v>
      </c>
      <c r="Z258" s="7" t="n">
        <v>416.5</v>
      </c>
      <c r="AA258" s="7" t="n">
        <v>0</v>
      </c>
      <c r="AB258" s="7" t="n">
        <v>15522.1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77016.2</v>
      </c>
      <c r="D259" s="7" t="n">
        <v>24176.3</v>
      </c>
      <c r="E259" s="7" t="n">
        <v>57166</v>
      </c>
      <c r="F259" s="7" t="n">
        <v>29521.3</v>
      </c>
      <c r="G259" s="7" t="n">
        <v>61523.2</v>
      </c>
      <c r="H259" s="7" t="n">
        <v>63672.1</v>
      </c>
      <c r="I259" s="7" t="n">
        <v>59608</v>
      </c>
      <c r="J259" s="7" t="n">
        <v>65755</v>
      </c>
      <c r="K259" s="7" t="n">
        <v>64215.3</v>
      </c>
      <c r="L259" s="7" t="n">
        <v>98499.5</v>
      </c>
      <c r="M259" s="7" t="n">
        <v>57731.2</v>
      </c>
      <c r="N259" s="7" t="n">
        <v>84984.2</v>
      </c>
      <c r="O259" s="7" t="n">
        <v>61405.6</v>
      </c>
      <c r="P259" s="7" t="n">
        <v>124786.2</v>
      </c>
      <c r="Q259" s="7" t="n">
        <v>73964.5</v>
      </c>
      <c r="R259" s="7" t="n">
        <v>75396.10000000001</v>
      </c>
      <c r="S259" s="7" t="n">
        <v>68876.3</v>
      </c>
      <c r="T259" s="7" t="n">
        <v>52481.1</v>
      </c>
      <c r="U259" s="7" t="n">
        <v>67139</v>
      </c>
      <c r="V259" s="7" t="n">
        <v>80643.89999999999</v>
      </c>
      <c r="W259" s="7" t="n">
        <v>63150.2</v>
      </c>
      <c r="X259" s="7" t="n">
        <v>64003.7</v>
      </c>
      <c r="Y259" s="7" t="n">
        <v>72780.89999999999</v>
      </c>
      <c r="Z259" s="7" t="n">
        <v>41721.1</v>
      </c>
      <c r="AA259" s="8" t="n">
        <v>784576.4</v>
      </c>
      <c r="AB259" s="8" t="n">
        <v>805640.5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18402.1</v>
      </c>
      <c r="D260" s="7" t="n">
        <v>6044.1</v>
      </c>
      <c r="E260" s="7" t="n">
        <v>14304.8</v>
      </c>
      <c r="F260" s="7" t="n">
        <v>7380.3</v>
      </c>
      <c r="G260" s="7" t="n">
        <v>15028</v>
      </c>
      <c r="H260" s="7" t="n">
        <v>15918</v>
      </c>
      <c r="I260" s="7" t="n">
        <v>16371.2</v>
      </c>
      <c r="J260" s="7" t="n">
        <v>16438.8</v>
      </c>
      <c r="K260" s="7" t="n">
        <v>17647.3</v>
      </c>
      <c r="L260" s="7" t="n">
        <v>24624.9</v>
      </c>
      <c r="M260" s="7" t="n">
        <v>14512</v>
      </c>
      <c r="N260" s="7" t="n">
        <v>21246</v>
      </c>
      <c r="O260" s="7" t="n">
        <v>17169.1</v>
      </c>
      <c r="P260" s="7" t="n">
        <v>31196.5</v>
      </c>
      <c r="Q260" s="7" t="n">
        <v>17504.2</v>
      </c>
      <c r="R260" s="7" t="n">
        <v>18849</v>
      </c>
      <c r="S260" s="7" t="n">
        <v>15332.2</v>
      </c>
      <c r="T260" s="7" t="n">
        <v>13120.3</v>
      </c>
      <c r="U260" s="7" t="n">
        <v>17383.3</v>
      </c>
      <c r="V260" s="7" t="n">
        <v>20161</v>
      </c>
      <c r="W260" s="7" t="n">
        <v>16730.8</v>
      </c>
      <c r="X260" s="7" t="n">
        <v>16000.9</v>
      </c>
      <c r="Y260" s="7" t="n">
        <v>16719.8</v>
      </c>
      <c r="Z260" s="7" t="n">
        <v>10430.3</v>
      </c>
      <c r="AA260" s="7" t="n">
        <v>197104.8</v>
      </c>
      <c r="AB260" s="7" t="n">
        <v>201410.1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47373.6</v>
      </c>
      <c r="D261" s="7" t="n">
        <v>18132.2</v>
      </c>
      <c r="E261" s="7" t="n">
        <v>46276.8</v>
      </c>
      <c r="F261" s="7" t="n">
        <v>22141</v>
      </c>
      <c r="G261" s="7" t="n">
        <v>36893.6</v>
      </c>
      <c r="H261" s="7" t="n">
        <v>47754.1</v>
      </c>
      <c r="I261" s="7" t="n">
        <v>46591.9</v>
      </c>
      <c r="J261" s="7" t="n">
        <v>49316.2</v>
      </c>
      <c r="K261" s="7" t="n">
        <v>53561</v>
      </c>
      <c r="L261" s="7" t="n">
        <v>73874.60000000001</v>
      </c>
      <c r="M261" s="7" t="n">
        <v>45057.8</v>
      </c>
      <c r="N261" s="7" t="n">
        <v>63738.2</v>
      </c>
      <c r="O261" s="7" t="n">
        <v>38576.5</v>
      </c>
      <c r="P261" s="7" t="n">
        <v>93589.7</v>
      </c>
      <c r="Q261" s="7" t="n">
        <v>61101.4</v>
      </c>
      <c r="R261" s="7" t="n">
        <v>56547.1</v>
      </c>
      <c r="S261" s="7" t="n">
        <v>36076.3</v>
      </c>
      <c r="T261" s="7" t="n">
        <v>39360.8</v>
      </c>
      <c r="U261" s="7" t="n">
        <v>58434.3</v>
      </c>
      <c r="V261" s="7" t="n">
        <v>60482.9</v>
      </c>
      <c r="W261" s="7" t="n">
        <v>36839.3</v>
      </c>
      <c r="X261" s="7" t="n">
        <v>48002.8</v>
      </c>
      <c r="Y261" s="7" t="n">
        <v>36936.8</v>
      </c>
      <c r="Z261" s="7" t="n">
        <v>31290.8</v>
      </c>
      <c r="AA261" s="8" t="n">
        <v>543719.3</v>
      </c>
      <c r="AB261" s="8" t="n">
        <v>604230.4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3283.9</v>
      </c>
      <c r="E262" s="7" t="n">
        <v>0</v>
      </c>
      <c r="F262" s="7" t="n">
        <v>13.7</v>
      </c>
      <c r="G262" s="7" t="n">
        <v>0</v>
      </c>
      <c r="H262" s="7" t="n">
        <v>9256.6</v>
      </c>
      <c r="I262" s="7" t="n">
        <v>0</v>
      </c>
      <c r="J262" s="7" t="n">
        <v>2719.4</v>
      </c>
      <c r="K262" s="7" t="n">
        <v>0</v>
      </c>
      <c r="L262" s="7" t="n">
        <v>12893.3</v>
      </c>
      <c r="M262" s="7" t="n">
        <v>0</v>
      </c>
      <c r="N262" s="7" t="n">
        <v>6531.7</v>
      </c>
      <c r="O262" s="7" t="n">
        <v>0</v>
      </c>
      <c r="P262" s="7" t="n">
        <v>2792.2</v>
      </c>
      <c r="Q262" s="7" t="n">
        <v>0</v>
      </c>
      <c r="R262" s="7" t="n">
        <v>2480.6</v>
      </c>
      <c r="S262" s="7" t="n">
        <v>0</v>
      </c>
      <c r="T262" s="7" t="n">
        <v>9938.799999999999</v>
      </c>
      <c r="U262" s="7" t="n">
        <v>0</v>
      </c>
      <c r="V262" s="7" t="n">
        <v>6832.9</v>
      </c>
      <c r="W262" s="7" t="n">
        <v>0</v>
      </c>
      <c r="X262" s="7" t="n">
        <v>10339</v>
      </c>
      <c r="Y262" s="7" t="n">
        <v>0</v>
      </c>
      <c r="Z262" s="7" t="n">
        <v>2635.7</v>
      </c>
      <c r="AA262" s="7" t="n">
        <v>0</v>
      </c>
      <c r="AB262" s="7" t="n">
        <v>69717.8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47373.6</v>
      </c>
      <c r="D263" s="7" t="n">
        <v>14848.3</v>
      </c>
      <c r="E263" s="7" t="n">
        <v>46276.8</v>
      </c>
      <c r="F263" s="7" t="n">
        <v>22127.3</v>
      </c>
      <c r="G263" s="7" t="n">
        <v>36893.6</v>
      </c>
      <c r="H263" s="7" t="n">
        <v>38497.5</v>
      </c>
      <c r="I263" s="7" t="n">
        <v>46591.9</v>
      </c>
      <c r="J263" s="7" t="n">
        <v>46596.8</v>
      </c>
      <c r="K263" s="7" t="n">
        <v>53561</v>
      </c>
      <c r="L263" s="7" t="n">
        <v>60981.3</v>
      </c>
      <c r="M263" s="7" t="n">
        <v>45057.8</v>
      </c>
      <c r="N263" s="7" t="n">
        <v>57206.5</v>
      </c>
      <c r="O263" s="7" t="n">
        <v>38576.5</v>
      </c>
      <c r="P263" s="7" t="n">
        <v>90797.5</v>
      </c>
      <c r="Q263" s="7" t="n">
        <v>61101.4</v>
      </c>
      <c r="R263" s="7" t="n">
        <v>54066.5</v>
      </c>
      <c r="S263" s="7" t="n">
        <v>36076.3</v>
      </c>
      <c r="T263" s="7" t="n">
        <v>29422</v>
      </c>
      <c r="U263" s="7" t="n">
        <v>58434.3</v>
      </c>
      <c r="V263" s="7" t="n">
        <v>53650</v>
      </c>
      <c r="W263" s="7" t="n">
        <v>36839.3</v>
      </c>
      <c r="X263" s="7" t="n">
        <v>37663.8</v>
      </c>
      <c r="Y263" s="7" t="n">
        <v>36936.8</v>
      </c>
      <c r="Z263" s="7" t="n">
        <v>28655.1</v>
      </c>
      <c r="AA263" s="8" t="n">
        <v>543719.3</v>
      </c>
      <c r="AB263" s="8" t="n">
        <v>534512.6</v>
      </c>
    </row>
    <row r="264">
      <c r="A264" s="4" t="inlineStr">
        <is>
          <t>净利率</t>
        </is>
      </c>
      <c r="D264" s="13" t="n">
        <v>4.6</v>
      </c>
      <c r="F264" s="13" t="n">
        <v>5.3</v>
      </c>
      <c r="H264" s="13" t="n">
        <v>9.199999999999999</v>
      </c>
      <c r="J264" s="13" t="n">
        <v>7.2</v>
      </c>
      <c r="L264" s="13" t="n">
        <v>9.800000000000001</v>
      </c>
      <c r="N264" s="13" t="n">
        <v>7.7</v>
      </c>
      <c r="P264" s="13" t="n">
        <v>11.1</v>
      </c>
      <c r="R264" s="13" t="n">
        <v>7.2</v>
      </c>
      <c r="T264" s="13" t="n">
        <v>5.3</v>
      </c>
      <c r="V264" s="13" t="n">
        <v>8.199999999999999</v>
      </c>
      <c r="X264" s="13" t="n">
        <v>6.6</v>
      </c>
      <c r="Z264" s="13" t="n">
        <v>6.5</v>
      </c>
    </row>
    <row r="265">
      <c r="A265" s="4" t="inlineStr">
        <is>
          <t>销售达成率</t>
        </is>
      </c>
      <c r="D265" s="13" t="n">
        <v>59.2</v>
      </c>
      <c r="F265" s="13" t="n">
        <v>55.4</v>
      </c>
      <c r="H265" s="13" t="n">
        <v>89.09999999999999</v>
      </c>
      <c r="J265" s="13" t="n">
        <v>117</v>
      </c>
      <c r="L265" s="13" t="n">
        <v>109.6</v>
      </c>
      <c r="N265" s="13" t="n">
        <v>142.8</v>
      </c>
      <c r="P265" s="13" t="n">
        <v>135</v>
      </c>
      <c r="R265" s="13" t="n">
        <v>112.5</v>
      </c>
      <c r="T265" s="13" t="n">
        <v>110</v>
      </c>
      <c r="V265" s="13" t="n">
        <v>116.6</v>
      </c>
      <c r="X265" s="13" t="n">
        <v>94.90000000000001</v>
      </c>
      <c r="Z265" s="13" t="n">
        <v>71.5</v>
      </c>
    </row>
    <row r="266">
      <c r="A266" s="4" t="inlineStr">
        <is>
          <t>净利达成率</t>
        </is>
      </c>
      <c r="D266" s="13" t="n">
        <v>38.3</v>
      </c>
      <c r="F266" s="13" t="n">
        <v>47.8</v>
      </c>
      <c r="H266" s="13" t="n">
        <v>129.4</v>
      </c>
      <c r="J266" s="13" t="n">
        <v>105.8</v>
      </c>
      <c r="L266" s="13" t="n">
        <v>137.9</v>
      </c>
      <c r="N266" s="13" t="n">
        <v>141.5</v>
      </c>
      <c r="P266" s="13" t="n">
        <v>242.6</v>
      </c>
      <c r="R266" s="13" t="n">
        <v>92.5</v>
      </c>
      <c r="T266" s="13" t="n">
        <v>109.1</v>
      </c>
      <c r="V266" s="13" t="n">
        <v>103.5</v>
      </c>
      <c r="X266" s="13" t="n">
        <v>130.3</v>
      </c>
      <c r="Z266" s="13" t="n">
        <v>84.7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江西省区利润表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1271090.9</v>
      </c>
      <c r="D6" s="7" t="n">
        <v>827648.6</v>
      </c>
      <c r="E6" s="7" t="n">
        <v>1221293.2</v>
      </c>
      <c r="F6" s="7" t="n">
        <v>804075.8</v>
      </c>
      <c r="G6" s="7" t="n">
        <v>1017292.7</v>
      </c>
      <c r="H6" s="7" t="n">
        <v>1108801.5</v>
      </c>
      <c r="I6" s="7" t="n">
        <v>1027325.9</v>
      </c>
      <c r="J6" s="7" t="n">
        <v>1152752.7</v>
      </c>
      <c r="K6" s="7" t="n">
        <v>1232196.5</v>
      </c>
      <c r="L6" s="7" t="n">
        <v>1464599.7</v>
      </c>
      <c r="M6" s="7" t="n">
        <v>1093867.5</v>
      </c>
      <c r="N6" s="7" t="n">
        <v>1438387</v>
      </c>
      <c r="O6" s="7" t="n">
        <v>1248110.5</v>
      </c>
      <c r="P6" s="7" t="n">
        <v>1543230.4</v>
      </c>
      <c r="Q6" s="7" t="n">
        <v>1224541.9</v>
      </c>
      <c r="R6" s="7" t="n">
        <v>1142868.3</v>
      </c>
      <c r="S6" s="7" t="n">
        <v>1312184.7</v>
      </c>
      <c r="T6" s="7" t="n">
        <v>1144038.2</v>
      </c>
      <c r="U6" s="7" t="n">
        <v>1300583.5</v>
      </c>
      <c r="V6" s="7" t="n">
        <v>1477910.5</v>
      </c>
      <c r="W6" s="7" t="n">
        <v>1111136.1</v>
      </c>
      <c r="X6" s="7" t="n">
        <v>1036760.1</v>
      </c>
      <c r="Y6" s="7" t="n">
        <v>1198638.2</v>
      </c>
      <c r="Z6" s="7" t="n">
        <v>743286.6</v>
      </c>
      <c r="AA6" s="8" t="n">
        <v>14258261.6</v>
      </c>
      <c r="AB6" s="8" t="n">
        <v>13884359.4</v>
      </c>
    </row>
    <row r="7">
      <c r="A7" s="4" t="inlineStr">
        <is>
          <t>中式汤底</t>
        </is>
      </c>
      <c r="D7" s="7" t="n">
        <v>140791.1</v>
      </c>
      <c r="F7" s="7" t="n">
        <v>164912.1</v>
      </c>
      <c r="H7" s="7" t="n">
        <v>141004.1</v>
      </c>
      <c r="J7" s="7" t="n">
        <v>254225.2</v>
      </c>
      <c r="L7" s="7" t="n">
        <v>319708</v>
      </c>
      <c r="N7" s="7" t="n">
        <v>370393</v>
      </c>
      <c r="P7" s="7" t="n">
        <v>257242.7</v>
      </c>
      <c r="R7" s="7" t="n">
        <v>190221.1</v>
      </c>
      <c r="T7" s="7" t="n">
        <v>174995</v>
      </c>
      <c r="V7" s="7" t="n">
        <v>343875.5</v>
      </c>
      <c r="X7" s="7" t="n">
        <v>244526.4</v>
      </c>
      <c r="Z7" s="7" t="n">
        <v>195797</v>
      </c>
      <c r="AB7" s="7" t="n">
        <v>2797691.2</v>
      </c>
    </row>
    <row r="8">
      <c r="A8" s="4" t="inlineStr">
        <is>
          <t>酱料</t>
        </is>
      </c>
      <c r="D8" s="7" t="n">
        <v>197154.9</v>
      </c>
      <c r="F8" s="7" t="n">
        <v>204243.1</v>
      </c>
      <c r="H8" s="7" t="n">
        <v>316597.2</v>
      </c>
      <c r="J8" s="7" t="n">
        <v>213159.2</v>
      </c>
      <c r="L8" s="7" t="n">
        <v>334780.6</v>
      </c>
      <c r="N8" s="7" t="n">
        <v>273987</v>
      </c>
      <c r="P8" s="7" t="n">
        <v>441177.7</v>
      </c>
      <c r="R8" s="7" t="n">
        <v>265203.1</v>
      </c>
      <c r="T8" s="7" t="n">
        <v>289779.9</v>
      </c>
      <c r="V8" s="7" t="n">
        <v>376129.4</v>
      </c>
      <c r="X8" s="7" t="n">
        <v>220576</v>
      </c>
      <c r="Z8" s="7" t="n">
        <v>164258.8</v>
      </c>
      <c r="AB8" s="7" t="n">
        <v>3297046.9</v>
      </c>
    </row>
    <row r="9">
      <c r="A9" s="4" t="inlineStr">
        <is>
          <t>川味底料</t>
        </is>
      </c>
      <c r="D9" s="7" t="n">
        <v>136930.7</v>
      </c>
      <c r="F9" s="7" t="n">
        <v>97312.8</v>
      </c>
      <c r="H9" s="7" t="n">
        <v>213228.6</v>
      </c>
      <c r="J9" s="7" t="n">
        <v>177036.5</v>
      </c>
      <c r="L9" s="7" t="n">
        <v>235429.3</v>
      </c>
      <c r="N9" s="7" t="n">
        <v>212664.9</v>
      </c>
      <c r="P9" s="7" t="n">
        <v>194506.2</v>
      </c>
      <c r="R9" s="7" t="n">
        <v>196863.3</v>
      </c>
      <c r="T9" s="7" t="n">
        <v>214194.8</v>
      </c>
      <c r="V9" s="7" t="n">
        <v>165327.3</v>
      </c>
      <c r="X9" s="7" t="n">
        <v>210342.6</v>
      </c>
      <c r="Z9" s="7" t="n">
        <v>127480</v>
      </c>
      <c r="AB9" s="7" t="n">
        <v>2181317</v>
      </c>
    </row>
    <row r="10">
      <c r="A10" s="4" t="inlineStr">
        <is>
          <t>调味汁</t>
        </is>
      </c>
      <c r="D10" s="7" t="n">
        <v>33658.9</v>
      </c>
      <c r="F10" s="7" t="n">
        <v>29591.7</v>
      </c>
      <c r="H10" s="7" t="n">
        <v>46480.2</v>
      </c>
      <c r="J10" s="7" t="n">
        <v>81100.60000000001</v>
      </c>
      <c r="L10" s="7" t="n">
        <v>97169.2</v>
      </c>
      <c r="N10" s="7" t="n">
        <v>55036.5</v>
      </c>
      <c r="P10" s="7" t="n">
        <v>57463.5</v>
      </c>
      <c r="R10" s="7" t="n">
        <v>102558</v>
      </c>
      <c r="T10" s="7" t="n">
        <v>73964.39999999999</v>
      </c>
      <c r="V10" s="7" t="n">
        <v>97710.89999999999</v>
      </c>
      <c r="X10" s="7" t="n">
        <v>43441.4</v>
      </c>
      <c r="Z10" s="7" t="n">
        <v>41973.1</v>
      </c>
      <c r="AB10" s="7" t="n">
        <v>760148.4</v>
      </c>
    </row>
    <row r="11">
      <c r="A11" s="4" t="inlineStr">
        <is>
          <t>复合调味粉</t>
        </is>
      </c>
      <c r="D11" s="7" t="n">
        <v>136755.4</v>
      </c>
      <c r="F11" s="7" t="n">
        <v>84525.8</v>
      </c>
      <c r="H11" s="7" t="n">
        <v>128798.2</v>
      </c>
      <c r="J11" s="7" t="n">
        <v>183542.4</v>
      </c>
      <c r="L11" s="7" t="n">
        <v>168031.5</v>
      </c>
      <c r="N11" s="7" t="n">
        <v>187247.9</v>
      </c>
      <c r="P11" s="7" t="n">
        <v>236080.5</v>
      </c>
      <c r="R11" s="7" t="n">
        <v>199676.3</v>
      </c>
      <c r="T11" s="7" t="n">
        <v>158389.3</v>
      </c>
      <c r="V11" s="7" t="n">
        <v>271250</v>
      </c>
      <c r="X11" s="7" t="n">
        <v>127884.4</v>
      </c>
      <c r="Z11" s="7" t="n">
        <v>95532.8</v>
      </c>
      <c r="AB11" s="7" t="n">
        <v>1977714.5</v>
      </c>
    </row>
    <row r="12">
      <c r="A12" s="4" t="inlineStr">
        <is>
          <t>团餐</t>
        </is>
      </c>
      <c r="D12" s="7" t="n">
        <v>143494.3</v>
      </c>
      <c r="F12" s="7" t="n">
        <v>181386.2</v>
      </c>
      <c r="H12" s="7" t="n">
        <v>230392.7</v>
      </c>
      <c r="J12" s="7" t="n">
        <v>204002</v>
      </c>
      <c r="L12" s="7" t="n">
        <v>246036.9</v>
      </c>
      <c r="N12" s="7" t="n">
        <v>280661.3</v>
      </c>
      <c r="P12" s="7" t="n">
        <v>304646</v>
      </c>
      <c r="R12" s="7" t="n">
        <v>153160.8</v>
      </c>
      <c r="T12" s="7" t="n">
        <v>179144.7</v>
      </c>
      <c r="V12" s="7" t="n">
        <v>164610.9</v>
      </c>
      <c r="X12" s="7" t="n">
        <v>162392.2</v>
      </c>
      <c r="Z12" s="7" t="n">
        <v>96108.60000000001</v>
      </c>
      <c r="AB12" s="7" t="n">
        <v>2346036.6</v>
      </c>
    </row>
    <row r="13">
      <c r="A13" s="4" t="inlineStr">
        <is>
          <t>预制菜</t>
        </is>
      </c>
      <c r="D13" s="7" t="n">
        <v>43277.7</v>
      </c>
      <c r="F13" s="7" t="n">
        <v>42694.8</v>
      </c>
      <c r="H13" s="7" t="n">
        <v>48768.8</v>
      </c>
      <c r="J13" s="7" t="n">
        <v>68892.89999999999</v>
      </c>
      <c r="L13" s="7" t="n">
        <v>58968.4</v>
      </c>
      <c r="N13" s="7" t="n">
        <v>75165.8</v>
      </c>
      <c r="P13" s="7" t="n">
        <v>71194.10000000001</v>
      </c>
      <c r="R13" s="7" t="n">
        <v>39904.6</v>
      </c>
      <c r="T13" s="7" t="n">
        <v>73687.8</v>
      </c>
      <c r="V13" s="7" t="n">
        <v>78515.89999999999</v>
      </c>
      <c r="X13" s="7" t="n">
        <v>37100.4</v>
      </c>
      <c r="Z13" s="7" t="n">
        <v>37150.8</v>
      </c>
      <c r="AB13" s="7" t="n">
        <v>675322</v>
      </c>
    </row>
    <row r="14">
      <c r="A14" s="4" t="inlineStr">
        <is>
          <t>返利</t>
        </is>
      </c>
      <c r="D14" s="7" t="n">
        <v>-16511.9</v>
      </c>
      <c r="F14" s="7" t="n">
        <v>-16320.6</v>
      </c>
      <c r="H14" s="7" t="n">
        <v>-19545.2</v>
      </c>
      <c r="J14" s="7" t="n">
        <v>-34745.5</v>
      </c>
      <c r="L14" s="7" t="n">
        <v>-23627.9</v>
      </c>
      <c r="N14" s="7" t="n">
        <v>-35712.3</v>
      </c>
      <c r="P14" s="7" t="n">
        <v>-33726.1</v>
      </c>
      <c r="R14" s="7" t="n">
        <v>-25743.8</v>
      </c>
      <c r="T14" s="7" t="n">
        <v>-32561.9</v>
      </c>
      <c r="V14" s="7" t="n">
        <v>-21769.6</v>
      </c>
      <c r="X14" s="7" t="n">
        <v>-16440</v>
      </c>
      <c r="Z14" s="7" t="n">
        <v>-19407</v>
      </c>
      <c r="AB14" s="7" t="n">
        <v>-296111.8</v>
      </c>
    </row>
    <row r="15">
      <c r="A15" s="4" t="inlineStr">
        <is>
          <t>其他</t>
        </is>
      </c>
      <c r="D15" s="7" t="n">
        <v>12097.5</v>
      </c>
      <c r="F15" s="7" t="n">
        <v>15729.9</v>
      </c>
      <c r="H15" s="7" t="n">
        <v>3076.9</v>
      </c>
      <c r="J15" s="7" t="n">
        <v>5539.4</v>
      </c>
      <c r="L15" s="7" t="n">
        <v>28103.7</v>
      </c>
      <c r="N15" s="7" t="n">
        <v>18942.9</v>
      </c>
      <c r="P15" s="7" t="n">
        <v>14645.8</v>
      </c>
      <c r="R15" s="7" t="n">
        <v>21024.9</v>
      </c>
      <c r="T15" s="7" t="n">
        <v>12444.2</v>
      </c>
      <c r="V15" s="7" t="n">
        <v>2260.2</v>
      </c>
      <c r="X15" s="7" t="n">
        <v>6936.7</v>
      </c>
      <c r="Z15" s="7" t="n">
        <v>4392.5</v>
      </c>
      <c r="AB15" s="7" t="n">
        <v>145194.6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880673.1</v>
      </c>
      <c r="D16" s="7" t="n">
        <v>551756.6</v>
      </c>
      <c r="E16" s="7" t="n">
        <v>754349.9</v>
      </c>
      <c r="F16" s="7" t="n">
        <v>535833.7</v>
      </c>
      <c r="G16" s="7" t="n">
        <v>752687.2</v>
      </c>
      <c r="H16" s="7" t="n">
        <v>731667.2</v>
      </c>
      <c r="I16" s="7" t="n">
        <v>754373.7</v>
      </c>
      <c r="J16" s="7" t="n">
        <v>789644.3</v>
      </c>
      <c r="K16" s="7" t="n">
        <v>668882.9</v>
      </c>
      <c r="L16" s="7" t="n">
        <v>941998.2</v>
      </c>
      <c r="M16" s="7" t="n">
        <v>696265.5</v>
      </c>
      <c r="N16" s="7" t="n">
        <v>952033.6</v>
      </c>
      <c r="O16" s="7" t="n">
        <v>764301.5</v>
      </c>
      <c r="P16" s="7" t="n">
        <v>1033081.5</v>
      </c>
      <c r="Q16" s="7" t="n">
        <v>862699.5</v>
      </c>
      <c r="R16" s="7" t="n">
        <v>741117.3</v>
      </c>
      <c r="S16" s="7" t="n">
        <v>752078.9</v>
      </c>
      <c r="T16" s="7" t="n">
        <v>766559.3</v>
      </c>
      <c r="U16" s="7" t="n">
        <v>684289.9</v>
      </c>
      <c r="V16" s="7" t="n">
        <v>1002973.5</v>
      </c>
      <c r="W16" s="7" t="n">
        <v>836659.6</v>
      </c>
      <c r="X16" s="7" t="n">
        <v>701839.4</v>
      </c>
      <c r="Y16" s="7" t="n">
        <v>692408.6</v>
      </c>
      <c r="Z16" s="7" t="n">
        <v>503798.3</v>
      </c>
      <c r="AA16" s="8" t="n">
        <v>9099670.300000001</v>
      </c>
      <c r="AB16" s="8" t="n">
        <v>9252302.9</v>
      </c>
    </row>
    <row r="17">
      <c r="A17" s="4" t="inlineStr">
        <is>
          <t>中式汤底</t>
        </is>
      </c>
      <c r="D17" s="7" t="n">
        <v>92154.8</v>
      </c>
      <c r="F17" s="7" t="n">
        <v>107943.2</v>
      </c>
      <c r="H17" s="7" t="n">
        <v>92294.2</v>
      </c>
      <c r="J17" s="7" t="n">
        <v>166403</v>
      </c>
      <c r="L17" s="7" t="n">
        <v>209264.7</v>
      </c>
      <c r="N17" s="7" t="n">
        <v>242440.6</v>
      </c>
      <c r="P17" s="7" t="n">
        <v>168378.1</v>
      </c>
      <c r="R17" s="7" t="n">
        <v>124509.1</v>
      </c>
      <c r="T17" s="7" t="n">
        <v>114542.9</v>
      </c>
      <c r="V17" s="7" t="n">
        <v>225083.6</v>
      </c>
      <c r="X17" s="7" t="n">
        <v>160054.7</v>
      </c>
      <c r="Z17" s="7" t="n">
        <v>128158.8</v>
      </c>
      <c r="AB17" s="7" t="n">
        <v>1831227.7</v>
      </c>
    </row>
    <row r="18">
      <c r="A18" s="4" t="inlineStr">
        <is>
          <t>酱料</t>
        </is>
      </c>
      <c r="D18" s="7" t="n">
        <v>114694.7</v>
      </c>
      <c r="F18" s="7" t="n">
        <v>118818.3</v>
      </c>
      <c r="H18" s="7" t="n">
        <v>184180.2</v>
      </c>
      <c r="J18" s="7" t="n">
        <v>124005.2</v>
      </c>
      <c r="L18" s="7" t="n">
        <v>194758.4</v>
      </c>
      <c r="N18" s="7" t="n">
        <v>159391.7</v>
      </c>
      <c r="P18" s="7" t="n">
        <v>256654.8</v>
      </c>
      <c r="R18" s="7" t="n">
        <v>154281.7</v>
      </c>
      <c r="T18" s="7" t="n">
        <v>168579.2</v>
      </c>
      <c r="V18" s="7" t="n">
        <v>218813</v>
      </c>
      <c r="X18" s="7" t="n">
        <v>128319.9</v>
      </c>
      <c r="Z18" s="7" t="n">
        <v>95557.39999999999</v>
      </c>
      <c r="AB18" s="7" t="n">
        <v>1918054.5</v>
      </c>
    </row>
    <row r="19">
      <c r="A19" s="4" t="inlineStr">
        <is>
          <t>川味底料</t>
        </is>
      </c>
      <c r="D19" s="7" t="n">
        <v>85522.89999999999</v>
      </c>
      <c r="F19" s="7" t="n">
        <v>60778.7</v>
      </c>
      <c r="H19" s="7" t="n">
        <v>133176.3</v>
      </c>
      <c r="J19" s="7" t="n">
        <v>110571.8</v>
      </c>
      <c r="L19" s="7" t="n">
        <v>147042.2</v>
      </c>
      <c r="N19" s="7" t="n">
        <v>132824.2</v>
      </c>
      <c r="P19" s="7" t="n">
        <v>121482.8</v>
      </c>
      <c r="R19" s="7" t="n">
        <v>122955</v>
      </c>
      <c r="T19" s="7" t="n">
        <v>133779.7</v>
      </c>
      <c r="V19" s="7" t="n">
        <v>103258.5</v>
      </c>
      <c r="X19" s="7" t="n">
        <v>131373.8</v>
      </c>
      <c r="Z19" s="7" t="n">
        <v>79620.2</v>
      </c>
      <c r="AB19" s="7" t="n">
        <v>1362386.1</v>
      </c>
    </row>
    <row r="20">
      <c r="A20" s="4" t="inlineStr">
        <is>
          <t>调味汁</t>
        </is>
      </c>
      <c r="D20" s="7" t="n">
        <v>20416.8</v>
      </c>
      <c r="F20" s="7" t="n">
        <v>17949.7</v>
      </c>
      <c r="H20" s="7" t="n">
        <v>28193.9</v>
      </c>
      <c r="J20" s="7" t="n">
        <v>49193.9</v>
      </c>
      <c r="L20" s="7" t="n">
        <v>58940.8</v>
      </c>
      <c r="N20" s="7" t="n">
        <v>33384</v>
      </c>
      <c r="P20" s="7" t="n">
        <v>34856.1</v>
      </c>
      <c r="R20" s="7" t="n">
        <v>62209.5</v>
      </c>
      <c r="T20" s="7" t="n">
        <v>44865.2</v>
      </c>
      <c r="V20" s="7" t="n">
        <v>59269.4</v>
      </c>
      <c r="X20" s="7" t="n">
        <v>26350.6</v>
      </c>
      <c r="Z20" s="7" t="n">
        <v>25460</v>
      </c>
      <c r="AB20" s="7" t="n">
        <v>461089.9</v>
      </c>
    </row>
    <row r="21">
      <c r="A21" s="4" t="inlineStr">
        <is>
          <t>复合调味粉</t>
        </is>
      </c>
      <c r="D21" s="7" t="n">
        <v>86395.8</v>
      </c>
      <c r="F21" s="7" t="n">
        <v>53399.5</v>
      </c>
      <c r="H21" s="7" t="n">
        <v>81368.8</v>
      </c>
      <c r="J21" s="7" t="n">
        <v>115953.6</v>
      </c>
      <c r="L21" s="7" t="n">
        <v>106154.6</v>
      </c>
      <c r="N21" s="7" t="n">
        <v>118294.6</v>
      </c>
      <c r="P21" s="7" t="n">
        <v>149144.8</v>
      </c>
      <c r="R21" s="7" t="n">
        <v>126146.3</v>
      </c>
      <c r="T21" s="7" t="n">
        <v>100063.1</v>
      </c>
      <c r="V21" s="7" t="n">
        <v>171363.2</v>
      </c>
      <c r="X21" s="7" t="n">
        <v>80791.5</v>
      </c>
      <c r="Z21" s="7" t="n">
        <v>60353.2</v>
      </c>
      <c r="AB21" s="7" t="n">
        <v>1249429</v>
      </c>
    </row>
    <row r="22">
      <c r="A22" s="4" t="inlineStr">
        <is>
          <t>团餐</t>
        </is>
      </c>
      <c r="D22" s="7" t="n">
        <v>88632.60000000001</v>
      </c>
      <c r="F22" s="7" t="n">
        <v>112037.4</v>
      </c>
      <c r="H22" s="7" t="n">
        <v>142307.4</v>
      </c>
      <c r="J22" s="7" t="n">
        <v>126006.6</v>
      </c>
      <c r="L22" s="7" t="n">
        <v>151970.5</v>
      </c>
      <c r="N22" s="7" t="n">
        <v>173357</v>
      </c>
      <c r="P22" s="7" t="n">
        <v>188171.7</v>
      </c>
      <c r="R22" s="7" t="n">
        <v>94603.39999999999</v>
      </c>
      <c r="T22" s="7" t="n">
        <v>110652.9</v>
      </c>
      <c r="V22" s="7" t="n">
        <v>101675.8</v>
      </c>
      <c r="X22" s="7" t="n">
        <v>100305.3</v>
      </c>
      <c r="Z22" s="7" t="n">
        <v>59363.7</v>
      </c>
      <c r="AB22" s="7" t="n">
        <v>1449084.3</v>
      </c>
    </row>
    <row r="23">
      <c r="A23" s="4" t="inlineStr">
        <is>
          <t>预制菜</t>
        </is>
      </c>
      <c r="D23" s="7" t="n">
        <v>28977.8</v>
      </c>
      <c r="F23" s="7" t="n">
        <v>28587.5</v>
      </c>
      <c r="H23" s="7" t="n">
        <v>32654.5</v>
      </c>
      <c r="J23" s="7" t="n">
        <v>46129.1</v>
      </c>
      <c r="L23" s="7" t="n">
        <v>39483.9</v>
      </c>
      <c r="N23" s="7" t="n">
        <v>50329.3</v>
      </c>
      <c r="P23" s="7" t="n">
        <v>47669.9</v>
      </c>
      <c r="R23" s="7" t="n">
        <v>26719.2</v>
      </c>
      <c r="T23" s="7" t="n">
        <v>49339.7</v>
      </c>
      <c r="V23" s="7" t="n">
        <v>52572.5</v>
      </c>
      <c r="X23" s="7" t="n">
        <v>24841.6</v>
      </c>
      <c r="Z23" s="7" t="n">
        <v>24875.3</v>
      </c>
      <c r="AB23" s="7" t="n">
        <v>452180.3</v>
      </c>
    </row>
    <row r="24">
      <c r="A24" s="4" t="inlineStr">
        <is>
          <t>其他</t>
        </is>
      </c>
      <c r="D24" s="7" t="n">
        <v>894.5</v>
      </c>
      <c r="F24" s="7" t="n">
        <v>6996.1</v>
      </c>
      <c r="H24" s="7" t="n">
        <v>4458.7</v>
      </c>
      <c r="J24" s="7" t="n">
        <v>8083.1</v>
      </c>
      <c r="L24" s="7" t="n">
        <v>7384</v>
      </c>
      <c r="N24" s="7" t="n">
        <v>1350.1</v>
      </c>
      <c r="P24" s="7" t="n">
        <v>13941.9</v>
      </c>
      <c r="R24" s="7" t="n">
        <v>851.9</v>
      </c>
      <c r="T24" s="7" t="n">
        <v>1906.3</v>
      </c>
      <c r="V24" s="7" t="n">
        <v>1290.8</v>
      </c>
      <c r="X24" s="7" t="n">
        <v>1485</v>
      </c>
      <c r="Z24" s="7" t="n">
        <v>4530</v>
      </c>
      <c r="AB24" s="7" t="n">
        <v>53172.4</v>
      </c>
    </row>
    <row r="25">
      <c r="A25" s="4" t="inlineStr">
        <is>
          <t>运费</t>
        </is>
      </c>
      <c r="D25" s="7" t="n">
        <v>34961.2</v>
      </c>
      <c r="F25" s="7" t="n">
        <v>36319.4</v>
      </c>
      <c r="H25" s="7" t="n">
        <v>37491.9</v>
      </c>
      <c r="J25" s="7" t="n">
        <v>51381.1</v>
      </c>
      <c r="L25" s="7" t="n">
        <v>34383.1</v>
      </c>
      <c r="N25" s="7" t="n">
        <v>42012.2</v>
      </c>
      <c r="P25" s="7" t="n">
        <v>66723.3</v>
      </c>
      <c r="R25" s="7" t="n">
        <v>29693.1</v>
      </c>
      <c r="T25" s="7" t="n">
        <v>44736.6</v>
      </c>
      <c r="V25" s="7" t="n">
        <v>70937.5</v>
      </c>
      <c r="X25" s="7" t="n">
        <v>49802</v>
      </c>
      <c r="Z25" s="7" t="n">
        <v>30409.7</v>
      </c>
      <c r="AB25" s="7" t="n">
        <v>528851.1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390417.8</v>
      </c>
      <c r="D26" s="7" t="n">
        <v>275892</v>
      </c>
      <c r="E26" s="7" t="n">
        <v>466943.3</v>
      </c>
      <c r="F26" s="7" t="n">
        <v>268242.1</v>
      </c>
      <c r="G26" s="7" t="n">
        <v>264605.5</v>
      </c>
      <c r="H26" s="7" t="n">
        <v>377134.3</v>
      </c>
      <c r="I26" s="7" t="n">
        <v>272952.2</v>
      </c>
      <c r="J26" s="7" t="n">
        <v>363108.4</v>
      </c>
      <c r="K26" s="7" t="n">
        <v>563313.6</v>
      </c>
      <c r="L26" s="7" t="n">
        <v>522601.5</v>
      </c>
      <c r="M26" s="7" t="n">
        <v>397602</v>
      </c>
      <c r="N26" s="7" t="n">
        <v>486353.4</v>
      </c>
      <c r="O26" s="7" t="n">
        <v>483809</v>
      </c>
      <c r="P26" s="7" t="n">
        <v>510148.9</v>
      </c>
      <c r="Q26" s="7" t="n">
        <v>361842.4</v>
      </c>
      <c r="R26" s="7" t="n">
        <v>401751</v>
      </c>
      <c r="S26" s="7" t="n">
        <v>560105.8</v>
      </c>
      <c r="T26" s="7" t="n">
        <v>377478.9</v>
      </c>
      <c r="U26" s="7" t="n">
        <v>616293.6</v>
      </c>
      <c r="V26" s="7" t="n">
        <v>474937</v>
      </c>
      <c r="W26" s="7" t="n">
        <v>274476.5</v>
      </c>
      <c r="X26" s="7" t="n">
        <v>334920.7</v>
      </c>
      <c r="Y26" s="7" t="n">
        <v>506229.6</v>
      </c>
      <c r="Z26" s="7" t="n">
        <v>239488.3</v>
      </c>
      <c r="AA26" s="8" t="n">
        <v>5158591.3</v>
      </c>
      <c r="AB26" s="8" t="n">
        <v>4632056.5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30.7</v>
      </c>
      <c r="D27" s="13" t="n">
        <v>33.3</v>
      </c>
      <c r="E27" s="13" t="n">
        <v>38.2</v>
      </c>
      <c r="F27" s="13" t="n">
        <v>33.4</v>
      </c>
      <c r="G27" s="13" t="n">
        <v>26</v>
      </c>
      <c r="H27" s="13" t="n">
        <v>34</v>
      </c>
      <c r="I27" s="13" t="n">
        <v>26.6</v>
      </c>
      <c r="J27" s="13" t="n">
        <v>31.5</v>
      </c>
      <c r="K27" s="13" t="n">
        <v>45.7</v>
      </c>
      <c r="L27" s="13" t="n">
        <v>35.7</v>
      </c>
      <c r="M27" s="13" t="n">
        <v>36.3</v>
      </c>
      <c r="N27" s="13" t="n">
        <v>33.8</v>
      </c>
      <c r="O27" s="13" t="n">
        <v>38.8</v>
      </c>
      <c r="P27" s="13" t="n">
        <v>33.1</v>
      </c>
      <c r="Q27" s="13" t="n">
        <v>29.5</v>
      </c>
      <c r="R27" s="13" t="n">
        <v>35.2</v>
      </c>
      <c r="S27" s="13" t="n">
        <v>42.7</v>
      </c>
      <c r="T27" s="13" t="n">
        <v>33</v>
      </c>
      <c r="U27" s="13" t="n">
        <v>47.4</v>
      </c>
      <c r="V27" s="13" t="n">
        <v>32.1</v>
      </c>
      <c r="W27" s="13" t="n">
        <v>24.7</v>
      </c>
      <c r="X27" s="13" t="n">
        <v>32.3</v>
      </c>
      <c r="Y27" s="13" t="n">
        <v>42.2</v>
      </c>
      <c r="Z27" s="13" t="n">
        <v>32.2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9310.200000000001</v>
      </c>
      <c r="D28" s="7" t="n">
        <v>8666.299999999999</v>
      </c>
      <c r="E28" s="7" t="n">
        <v>9523.200000000001</v>
      </c>
      <c r="F28" s="7" t="n">
        <v>11477.1</v>
      </c>
      <c r="G28" s="7" t="n">
        <v>11704.7</v>
      </c>
      <c r="H28" s="7" t="n">
        <v>5810.6</v>
      </c>
      <c r="I28" s="7" t="n">
        <v>10737.1</v>
      </c>
      <c r="J28" s="7" t="n">
        <v>13016.9</v>
      </c>
      <c r="K28" s="7" t="n">
        <v>9992.5</v>
      </c>
      <c r="L28" s="7" t="n">
        <v>14321.2</v>
      </c>
      <c r="M28" s="7" t="n">
        <v>10723.7</v>
      </c>
      <c r="N28" s="7" t="n">
        <v>13342.2</v>
      </c>
      <c r="O28" s="7" t="n">
        <v>10407.8</v>
      </c>
      <c r="P28" s="7" t="n">
        <v>12890.6</v>
      </c>
      <c r="Q28" s="7" t="n">
        <v>12002.4</v>
      </c>
      <c r="R28" s="7" t="n">
        <v>7262.7</v>
      </c>
      <c r="S28" s="7" t="n">
        <v>9349.200000000001</v>
      </c>
      <c r="T28" s="7" t="n">
        <v>7990.2</v>
      </c>
      <c r="U28" s="7" t="n">
        <v>9997.5</v>
      </c>
      <c r="V28" s="7" t="n">
        <v>14576.5</v>
      </c>
      <c r="W28" s="7" t="n">
        <v>9568.6</v>
      </c>
      <c r="X28" s="7" t="n">
        <v>10773.5</v>
      </c>
      <c r="Y28" s="7" t="n">
        <v>10079.3</v>
      </c>
      <c r="Z28" s="7" t="n">
        <v>8070.4</v>
      </c>
      <c r="AA28" s="8" t="n">
        <v>123396.2</v>
      </c>
      <c r="AB28" s="8" t="n">
        <v>128198.2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182090.1</v>
      </c>
      <c r="D29" s="7" t="n">
        <v>85443.10000000001</v>
      </c>
      <c r="E29" s="7" t="n">
        <v>185232.6</v>
      </c>
      <c r="F29" s="7" t="n">
        <v>83895.39999999999</v>
      </c>
      <c r="G29" s="7" t="n">
        <v>190318.7</v>
      </c>
      <c r="H29" s="7" t="n">
        <v>235031.2</v>
      </c>
      <c r="I29" s="7" t="n">
        <v>209131.1</v>
      </c>
      <c r="J29" s="7" t="n">
        <v>193700.9</v>
      </c>
      <c r="K29" s="7" t="n">
        <v>199758.6</v>
      </c>
      <c r="L29" s="7" t="n">
        <v>220419</v>
      </c>
      <c r="M29" s="7" t="n">
        <v>192445.9</v>
      </c>
      <c r="N29" s="7" t="n">
        <v>339818.3</v>
      </c>
      <c r="O29" s="7" t="n">
        <v>206370.3</v>
      </c>
      <c r="P29" s="7" t="n">
        <v>286222.4</v>
      </c>
      <c r="Q29" s="7" t="n">
        <v>177276.9</v>
      </c>
      <c r="R29" s="7" t="n">
        <v>206494.7</v>
      </c>
      <c r="S29" s="7" t="n">
        <v>198353.8</v>
      </c>
      <c r="T29" s="7" t="n">
        <v>270198.5</v>
      </c>
      <c r="U29" s="7" t="n">
        <v>227441</v>
      </c>
      <c r="V29" s="7" t="n">
        <v>180712.1</v>
      </c>
      <c r="W29" s="7" t="n">
        <v>212418.9</v>
      </c>
      <c r="X29" s="7" t="n">
        <v>141511</v>
      </c>
      <c r="Y29" s="7" t="n">
        <v>175867.9</v>
      </c>
      <c r="Z29" s="7" t="n">
        <v>152071.8</v>
      </c>
      <c r="AA29" s="8" t="n">
        <v>2356705.8</v>
      </c>
      <c r="AB29" s="8" t="n">
        <v>2395518.4</v>
      </c>
    </row>
    <row r="30">
      <c r="A30" s="4" t="inlineStr">
        <is>
          <t>职工薪酬</t>
        </is>
      </c>
      <c r="D30" s="7" t="n">
        <v>51526.2</v>
      </c>
      <c r="F30" s="7" t="n">
        <v>49639.8</v>
      </c>
      <c r="H30" s="7" t="n">
        <v>131571.5</v>
      </c>
      <c r="J30" s="7" t="n">
        <v>85359.5</v>
      </c>
      <c r="L30" s="7" t="n">
        <v>116109.1</v>
      </c>
      <c r="N30" s="7" t="n">
        <v>166268</v>
      </c>
      <c r="P30" s="7" t="n">
        <v>148727.7</v>
      </c>
      <c r="R30" s="7" t="n">
        <v>125388.5</v>
      </c>
      <c r="T30" s="7" t="n">
        <v>163528.1</v>
      </c>
      <c r="V30" s="7" t="n">
        <v>106822.1</v>
      </c>
      <c r="X30" s="7" t="n">
        <v>68969.2</v>
      </c>
      <c r="Z30" s="7" t="n">
        <v>87002.8</v>
      </c>
      <c r="AB30" s="7" t="n">
        <v>1300912.5</v>
      </c>
    </row>
    <row r="31">
      <c r="A31" s="4" t="inlineStr">
        <is>
          <t>工资</t>
        </is>
      </c>
      <c r="D31" s="7" t="n">
        <v>31335.7</v>
      </c>
      <c r="F31" s="7" t="n">
        <v>29918.3</v>
      </c>
      <c r="H31" s="7" t="n">
        <v>83363</v>
      </c>
      <c r="J31" s="7" t="n">
        <v>46383.6</v>
      </c>
      <c r="L31" s="7" t="n">
        <v>63267.9</v>
      </c>
      <c r="N31" s="7" t="n">
        <v>89273.89999999999</v>
      </c>
      <c r="P31" s="7" t="n">
        <v>82316.10000000001</v>
      </c>
      <c r="R31" s="7" t="n">
        <v>75544.8</v>
      </c>
      <c r="T31" s="7" t="n">
        <v>99386.7</v>
      </c>
      <c r="V31" s="7" t="n">
        <v>66298</v>
      </c>
      <c r="X31" s="7" t="n">
        <v>39111.4</v>
      </c>
      <c r="Z31" s="7" t="n">
        <v>53983.5</v>
      </c>
      <c r="AB31" s="7" t="n">
        <v>760182.9</v>
      </c>
    </row>
    <row r="32">
      <c r="A32" s="4" t="inlineStr">
        <is>
          <t>奖金及提成</t>
        </is>
      </c>
      <c r="D32" s="7" t="n">
        <v>8482</v>
      </c>
      <c r="F32" s="7" t="n">
        <v>10873.3</v>
      </c>
      <c r="H32" s="7" t="n">
        <v>20907.3</v>
      </c>
      <c r="J32" s="7" t="n">
        <v>17573.6</v>
      </c>
      <c r="L32" s="7" t="n">
        <v>28155</v>
      </c>
      <c r="N32" s="7" t="n">
        <v>42332.9</v>
      </c>
      <c r="P32" s="7" t="n">
        <v>28433.5</v>
      </c>
      <c r="R32" s="7" t="n">
        <v>24792.9</v>
      </c>
      <c r="T32" s="7" t="n">
        <v>29818.7</v>
      </c>
      <c r="V32" s="7" t="n">
        <v>16054.6</v>
      </c>
      <c r="X32" s="7" t="n">
        <v>16285.4</v>
      </c>
      <c r="Z32" s="7" t="n">
        <v>16243.7</v>
      </c>
      <c r="AB32" s="7" t="n">
        <v>259952.9</v>
      </c>
    </row>
    <row r="33">
      <c r="A33" s="4" t="inlineStr">
        <is>
          <t>社保</t>
        </is>
      </c>
      <c r="D33" s="7" t="n">
        <v>8793.5</v>
      </c>
      <c r="F33" s="7" t="n">
        <v>5745.9</v>
      </c>
      <c r="H33" s="7" t="n">
        <v>18140.1</v>
      </c>
      <c r="J33" s="7" t="n">
        <v>13576.2</v>
      </c>
      <c r="L33" s="7" t="n">
        <v>16849.1</v>
      </c>
      <c r="N33" s="7" t="n">
        <v>21716.1</v>
      </c>
      <c r="P33" s="7" t="n">
        <v>27213.7</v>
      </c>
      <c r="R33" s="7" t="n">
        <v>17290.3</v>
      </c>
      <c r="T33" s="7" t="n">
        <v>24315.6</v>
      </c>
      <c r="V33" s="7" t="n">
        <v>17323.4</v>
      </c>
      <c r="X33" s="7" t="n">
        <v>8071.9</v>
      </c>
      <c r="Z33" s="7" t="n">
        <v>11485.4</v>
      </c>
      <c r="AB33" s="7" t="n">
        <v>190521.2</v>
      </c>
    </row>
    <row r="34">
      <c r="A34" s="4" t="inlineStr">
        <is>
          <t>养老</t>
        </is>
      </c>
      <c r="D34" s="7" t="n">
        <v>54.4</v>
      </c>
      <c r="F34" s="7" t="n">
        <v>72</v>
      </c>
      <c r="H34" s="7" t="n">
        <v>165.5</v>
      </c>
      <c r="J34" s="7" t="n">
        <v>182.5</v>
      </c>
      <c r="L34" s="7" t="n">
        <v>178.9</v>
      </c>
      <c r="N34" s="7" t="n">
        <v>314</v>
      </c>
      <c r="P34" s="7" t="n">
        <v>233.3</v>
      </c>
      <c r="R34" s="7" t="n">
        <v>143.2</v>
      </c>
      <c r="T34" s="7" t="n">
        <v>291.4</v>
      </c>
      <c r="V34" s="7" t="n">
        <v>119.9</v>
      </c>
      <c r="X34" s="7" t="n">
        <v>122.1</v>
      </c>
      <c r="Z34" s="7" t="n">
        <v>106.8</v>
      </c>
      <c r="AB34" s="7" t="n">
        <v>1984</v>
      </c>
    </row>
    <row r="35">
      <c r="A35" s="4" t="inlineStr">
        <is>
          <t>医疗</t>
        </is>
      </c>
      <c r="D35" s="7" t="n">
        <v>238.3</v>
      </c>
      <c r="F35" s="7" t="n">
        <v>244.9</v>
      </c>
      <c r="H35" s="7" t="n">
        <v>729.6</v>
      </c>
      <c r="J35" s="7" t="n">
        <v>476.6</v>
      </c>
      <c r="L35" s="7" t="n">
        <v>576.5</v>
      </c>
      <c r="N35" s="7" t="n">
        <v>710.8</v>
      </c>
      <c r="P35" s="7" t="n">
        <v>809.7</v>
      </c>
      <c r="R35" s="7" t="n">
        <v>706.6</v>
      </c>
      <c r="T35" s="7" t="n">
        <v>677.2</v>
      </c>
      <c r="V35" s="7" t="n">
        <v>650.1</v>
      </c>
      <c r="X35" s="7" t="n">
        <v>506.3</v>
      </c>
      <c r="Z35" s="7" t="n">
        <v>331.8</v>
      </c>
      <c r="AB35" s="7" t="n">
        <v>6658.4</v>
      </c>
    </row>
    <row r="36">
      <c r="A36" s="4" t="inlineStr">
        <is>
          <t>工伤</t>
        </is>
      </c>
      <c r="D36" s="7" t="n">
        <v>284</v>
      </c>
      <c r="F36" s="7" t="n">
        <v>386.7</v>
      </c>
      <c r="H36" s="7" t="n">
        <v>970.4</v>
      </c>
      <c r="J36" s="7" t="n">
        <v>906.9</v>
      </c>
      <c r="L36" s="7" t="n">
        <v>675.2</v>
      </c>
      <c r="N36" s="7" t="n">
        <v>1503.6</v>
      </c>
      <c r="P36" s="7" t="n">
        <v>945.8</v>
      </c>
      <c r="R36" s="7" t="n">
        <v>776.2</v>
      </c>
      <c r="T36" s="7" t="n">
        <v>1050.4</v>
      </c>
      <c r="V36" s="7" t="n">
        <v>828.1</v>
      </c>
      <c r="X36" s="7" t="n">
        <v>673.4</v>
      </c>
      <c r="Z36" s="7" t="n">
        <v>642.5</v>
      </c>
      <c r="AB36" s="7" t="n">
        <v>9643.200000000001</v>
      </c>
    </row>
    <row r="37">
      <c r="A37" s="4" t="inlineStr">
        <is>
          <t>失业</t>
        </is>
      </c>
      <c r="D37" s="7" t="n">
        <v>287.8</v>
      </c>
      <c r="F37" s="7" t="n">
        <v>500.5</v>
      </c>
      <c r="H37" s="7" t="n">
        <v>1443.8</v>
      </c>
      <c r="J37" s="7" t="n">
        <v>1051.2</v>
      </c>
      <c r="L37" s="7" t="n">
        <v>1032</v>
      </c>
      <c r="N37" s="7" t="n">
        <v>1994.6</v>
      </c>
      <c r="P37" s="7" t="n">
        <v>1266.1</v>
      </c>
      <c r="R37" s="7" t="n">
        <v>1204.2</v>
      </c>
      <c r="T37" s="7" t="n">
        <v>1131.3</v>
      </c>
      <c r="V37" s="7" t="n">
        <v>945.6</v>
      </c>
      <c r="X37" s="7" t="n">
        <v>660.6</v>
      </c>
      <c r="Z37" s="7" t="n">
        <v>598.4</v>
      </c>
      <c r="AB37" s="7" t="n">
        <v>12116.1</v>
      </c>
    </row>
    <row r="38">
      <c r="A38" s="4" t="inlineStr">
        <is>
          <t>生育</t>
        </is>
      </c>
      <c r="D38" s="7" t="n">
        <v>370.5</v>
      </c>
      <c r="F38" s="7" t="n">
        <v>270.3</v>
      </c>
      <c r="H38" s="7" t="n">
        <v>973</v>
      </c>
      <c r="J38" s="7" t="n">
        <v>914.7</v>
      </c>
      <c r="L38" s="7" t="n">
        <v>1190.9</v>
      </c>
      <c r="N38" s="7" t="n">
        <v>1869.2</v>
      </c>
      <c r="P38" s="7" t="n">
        <v>959</v>
      </c>
      <c r="R38" s="7" t="n">
        <v>744.1</v>
      </c>
      <c r="T38" s="7" t="n">
        <v>1113</v>
      </c>
      <c r="V38" s="7" t="n">
        <v>876.7</v>
      </c>
      <c r="X38" s="7" t="n">
        <v>478.5</v>
      </c>
      <c r="Z38" s="7" t="n">
        <v>475.3</v>
      </c>
      <c r="AB38" s="7" t="n">
        <v>10235.2</v>
      </c>
    </row>
    <row r="39">
      <c r="A39" s="4" t="inlineStr">
        <is>
          <t>公积金</t>
        </is>
      </c>
      <c r="D39" s="7" t="n">
        <v>356.6</v>
      </c>
      <c r="F39" s="7" t="n">
        <v>277.8</v>
      </c>
      <c r="H39" s="7" t="n">
        <v>988.7</v>
      </c>
      <c r="J39" s="7" t="n">
        <v>675.1</v>
      </c>
      <c r="L39" s="7" t="n">
        <v>771</v>
      </c>
      <c r="N39" s="7" t="n">
        <v>1438.7</v>
      </c>
      <c r="P39" s="7" t="n">
        <v>752.9</v>
      </c>
      <c r="R39" s="7" t="n">
        <v>628.7</v>
      </c>
      <c r="T39" s="7" t="n">
        <v>1083.8</v>
      </c>
      <c r="V39" s="7" t="n">
        <v>741.3</v>
      </c>
      <c r="X39" s="7" t="n">
        <v>636.7</v>
      </c>
      <c r="Z39" s="7" t="n">
        <v>662.1</v>
      </c>
      <c r="AB39" s="7" t="n">
        <v>9013.4</v>
      </c>
    </row>
    <row r="40">
      <c r="A40" s="4" t="inlineStr">
        <is>
          <t>工会经费</t>
        </is>
      </c>
      <c r="D40" s="7" t="n">
        <v>432.7</v>
      </c>
      <c r="F40" s="7" t="n">
        <v>312.3</v>
      </c>
      <c r="H40" s="7" t="n">
        <v>922</v>
      </c>
      <c r="J40" s="7" t="n">
        <v>803.6</v>
      </c>
      <c r="L40" s="7" t="n">
        <v>1373.7</v>
      </c>
      <c r="N40" s="7" t="n">
        <v>1424.1</v>
      </c>
      <c r="P40" s="7" t="n">
        <v>1809.3</v>
      </c>
      <c r="R40" s="7" t="n">
        <v>1318</v>
      </c>
      <c r="T40" s="7" t="n">
        <v>1767.8</v>
      </c>
      <c r="V40" s="7" t="n">
        <v>1083.9</v>
      </c>
      <c r="X40" s="7" t="n">
        <v>757.9</v>
      </c>
      <c r="Z40" s="7" t="n">
        <v>807.4</v>
      </c>
      <c r="AB40" s="7" t="n">
        <v>12812.7</v>
      </c>
    </row>
    <row r="41">
      <c r="A41" s="4" t="inlineStr">
        <is>
          <t>职工教育经费</t>
        </is>
      </c>
      <c r="D41" s="7" t="n">
        <v>140.3</v>
      </c>
      <c r="F41" s="7" t="n">
        <v>125.8</v>
      </c>
      <c r="H41" s="7" t="n">
        <v>529</v>
      </c>
      <c r="J41" s="7" t="n">
        <v>349.8</v>
      </c>
      <c r="L41" s="7" t="n">
        <v>319.2</v>
      </c>
      <c r="N41" s="7" t="n">
        <v>688.8</v>
      </c>
      <c r="P41" s="7" t="n">
        <v>480.5</v>
      </c>
      <c r="R41" s="7" t="n">
        <v>352.9</v>
      </c>
      <c r="T41" s="7" t="n">
        <v>497.3</v>
      </c>
      <c r="V41" s="7" t="n">
        <v>227</v>
      </c>
      <c r="X41" s="7" t="n">
        <v>292.4</v>
      </c>
      <c r="Z41" s="7" t="n">
        <v>214.1</v>
      </c>
      <c r="AB41" s="7" t="n">
        <v>4217.1</v>
      </c>
    </row>
    <row r="42">
      <c r="A42" s="4" t="inlineStr">
        <is>
          <t>福利费</t>
        </is>
      </c>
      <c r="D42" s="7" t="n">
        <v>1985.4</v>
      </c>
      <c r="F42" s="7" t="n">
        <v>2386.4</v>
      </c>
      <c r="H42" s="7" t="n">
        <v>6721.4</v>
      </c>
      <c r="J42" s="7" t="n">
        <v>5997.6</v>
      </c>
      <c r="L42" s="7" t="n">
        <v>5373.2</v>
      </c>
      <c r="N42" s="7" t="n">
        <v>9393.5</v>
      </c>
      <c r="P42" s="7" t="n">
        <v>7721.7</v>
      </c>
      <c r="R42" s="7" t="n">
        <v>5460.9</v>
      </c>
      <c r="T42" s="7" t="n">
        <v>6658.2</v>
      </c>
      <c r="V42" s="7" t="n">
        <v>5093.9</v>
      </c>
      <c r="X42" s="7" t="n">
        <v>3813.5</v>
      </c>
      <c r="Z42" s="7" t="n">
        <v>3606.6</v>
      </c>
      <c r="AB42" s="7" t="n">
        <v>64212.3</v>
      </c>
    </row>
    <row r="43">
      <c r="A43" s="4" t="inlineStr">
        <is>
          <t>职工房租</t>
        </is>
      </c>
      <c r="D43" s="7" t="n">
        <v>520.5</v>
      </c>
      <c r="F43" s="7" t="n">
        <v>344.6</v>
      </c>
      <c r="H43" s="7" t="n">
        <v>1744.7</v>
      </c>
      <c r="J43" s="7" t="n">
        <v>1392.3</v>
      </c>
      <c r="L43" s="7" t="n">
        <v>1099.8</v>
      </c>
      <c r="N43" s="7" t="n">
        <v>2205.8</v>
      </c>
      <c r="P43" s="7" t="n">
        <v>1203.2</v>
      </c>
      <c r="R43" s="7" t="n">
        <v>1448.6</v>
      </c>
      <c r="T43" s="7" t="n">
        <v>1223</v>
      </c>
      <c r="V43" s="7" t="n">
        <v>1114.7</v>
      </c>
      <c r="X43" s="7" t="n">
        <v>942.2</v>
      </c>
      <c r="Z43" s="7" t="n">
        <v>661.1</v>
      </c>
      <c r="AB43" s="7" t="n">
        <v>13900.5</v>
      </c>
    </row>
    <row r="44">
      <c r="A44" s="4" t="inlineStr">
        <is>
          <t>水电物业费</t>
        </is>
      </c>
      <c r="D44" s="7" t="n">
        <v>262</v>
      </c>
      <c r="F44" s="7" t="n">
        <v>226.5</v>
      </c>
      <c r="H44" s="7" t="n">
        <v>948.9</v>
      </c>
      <c r="J44" s="7" t="n">
        <v>883.9</v>
      </c>
      <c r="L44" s="7" t="n">
        <v>571</v>
      </c>
      <c r="N44" s="7" t="n">
        <v>961.3</v>
      </c>
      <c r="P44" s="7" t="n">
        <v>951.6</v>
      </c>
      <c r="R44" s="7" t="n">
        <v>713.9</v>
      </c>
      <c r="T44" s="7" t="n">
        <v>984.3</v>
      </c>
      <c r="V44" s="7" t="n">
        <v>783.4</v>
      </c>
      <c r="X44" s="7" t="n">
        <v>532.9</v>
      </c>
      <c r="Z44" s="7" t="n">
        <v>626.8</v>
      </c>
      <c r="AB44" s="7" t="n">
        <v>8446.5</v>
      </c>
    </row>
    <row r="45">
      <c r="A45" s="4" t="inlineStr">
        <is>
          <t>员工餐</t>
        </is>
      </c>
      <c r="D45" s="7" t="n">
        <v>292.2</v>
      </c>
      <c r="F45" s="7" t="n">
        <v>478.1</v>
      </c>
      <c r="H45" s="7" t="n">
        <v>906.3</v>
      </c>
      <c r="J45" s="7" t="n">
        <v>912.8</v>
      </c>
      <c r="L45" s="7" t="n">
        <v>1029.9</v>
      </c>
      <c r="N45" s="7" t="n">
        <v>1710.3</v>
      </c>
      <c r="P45" s="7" t="n">
        <v>1511.8</v>
      </c>
      <c r="R45" s="7" t="n">
        <v>692.1</v>
      </c>
      <c r="T45" s="7" t="n">
        <v>1071</v>
      </c>
      <c r="V45" s="7" t="n">
        <v>622</v>
      </c>
      <c r="X45" s="7" t="n">
        <v>571.4</v>
      </c>
      <c r="Z45" s="7" t="n">
        <v>609.8</v>
      </c>
      <c r="AB45" s="7" t="n">
        <v>10407.7</v>
      </c>
    </row>
    <row r="46">
      <c r="A46" s="4" t="inlineStr">
        <is>
          <t>节日礼品</t>
        </is>
      </c>
      <c r="D46" s="7" t="n">
        <v>33.8</v>
      </c>
      <c r="F46" s="7" t="n">
        <v>43.4</v>
      </c>
      <c r="H46" s="7" t="n">
        <v>89</v>
      </c>
      <c r="J46" s="7" t="n">
        <v>90.2</v>
      </c>
      <c r="L46" s="7" t="n">
        <v>110.8</v>
      </c>
      <c r="N46" s="7" t="n">
        <v>115.9</v>
      </c>
      <c r="P46" s="7" t="n">
        <v>129.5</v>
      </c>
      <c r="R46" s="7" t="n">
        <v>65.90000000000001</v>
      </c>
      <c r="T46" s="7" t="n">
        <v>114.2</v>
      </c>
      <c r="V46" s="7" t="n">
        <v>62.8</v>
      </c>
      <c r="X46" s="7" t="n">
        <v>52.5</v>
      </c>
      <c r="Z46" s="7" t="n">
        <v>56.8</v>
      </c>
      <c r="AB46" s="7" t="n">
        <v>964.8</v>
      </c>
    </row>
    <row r="47">
      <c r="A47" s="4" t="inlineStr">
        <is>
          <t>生日礼品</t>
        </is>
      </c>
      <c r="D47" s="7" t="n">
        <v>231.8</v>
      </c>
      <c r="F47" s="7" t="n">
        <v>299</v>
      </c>
      <c r="H47" s="7" t="n">
        <v>551.2</v>
      </c>
      <c r="J47" s="7" t="n">
        <v>805</v>
      </c>
      <c r="L47" s="7" t="n">
        <v>738.1</v>
      </c>
      <c r="N47" s="7" t="n">
        <v>1003.6</v>
      </c>
      <c r="P47" s="7" t="n">
        <v>824.9</v>
      </c>
      <c r="R47" s="7" t="n">
        <v>524.5</v>
      </c>
      <c r="T47" s="7" t="n">
        <v>1079.2</v>
      </c>
      <c r="V47" s="7" t="n">
        <v>581.5</v>
      </c>
      <c r="X47" s="7" t="n">
        <v>402.3</v>
      </c>
      <c r="Z47" s="7" t="n">
        <v>380.6</v>
      </c>
      <c r="AB47" s="7" t="n">
        <v>7421.7</v>
      </c>
    </row>
    <row r="48">
      <c r="A48" s="4" t="inlineStr">
        <is>
          <t>体检</t>
        </is>
      </c>
      <c r="D48" s="7" t="n">
        <v>375.2</v>
      </c>
      <c r="F48" s="7" t="n">
        <v>629</v>
      </c>
      <c r="H48" s="7" t="n">
        <v>1677.8</v>
      </c>
      <c r="J48" s="7" t="n">
        <v>1288.6</v>
      </c>
      <c r="L48" s="7" t="n">
        <v>1263.5</v>
      </c>
      <c r="N48" s="7" t="n">
        <v>2197.7</v>
      </c>
      <c r="P48" s="7" t="n">
        <v>1942.6</v>
      </c>
      <c r="R48" s="7" t="n">
        <v>1365.3</v>
      </c>
      <c r="T48" s="7" t="n">
        <v>1351.2</v>
      </c>
      <c r="V48" s="7" t="n">
        <v>1231.6</v>
      </c>
      <c r="X48" s="7" t="n">
        <v>827.3</v>
      </c>
      <c r="Z48" s="7" t="n">
        <v>706.4</v>
      </c>
      <c r="AB48" s="7" t="n">
        <v>14856.2</v>
      </c>
    </row>
    <row r="49">
      <c r="A49" s="4" t="inlineStr">
        <is>
          <t>其他福利支出</t>
        </is>
      </c>
      <c r="D49" s="7" t="n">
        <v>269.9</v>
      </c>
      <c r="F49" s="7" t="n">
        <v>365.8</v>
      </c>
      <c r="H49" s="7" t="n">
        <v>803.5</v>
      </c>
      <c r="J49" s="7" t="n">
        <v>624.8</v>
      </c>
      <c r="L49" s="7" t="n">
        <v>560.1</v>
      </c>
      <c r="N49" s="7" t="n">
        <v>1198.9</v>
      </c>
      <c r="P49" s="7" t="n">
        <v>1158.1</v>
      </c>
      <c r="R49" s="7" t="n">
        <v>650.6</v>
      </c>
      <c r="T49" s="7" t="n">
        <v>835.3</v>
      </c>
      <c r="V49" s="7" t="n">
        <v>697.9</v>
      </c>
      <c r="X49" s="7" t="n">
        <v>484.9</v>
      </c>
      <c r="Z49" s="7" t="n">
        <v>565.1</v>
      </c>
      <c r="AB49" s="7" t="n">
        <v>8214.9</v>
      </c>
    </row>
    <row r="50">
      <c r="A50" s="4" t="inlineStr">
        <is>
          <t>招聘费</t>
        </is>
      </c>
      <c r="D50" s="7" t="n">
        <v>66.2</v>
      </c>
      <c r="F50" s="7" t="n">
        <v>107.4</v>
      </c>
      <c r="H50" s="7" t="n">
        <v>278.8</v>
      </c>
      <c r="J50" s="7" t="n">
        <v>247.5</v>
      </c>
      <c r="L50" s="7" t="n">
        <v>207.8</v>
      </c>
      <c r="N50" s="7" t="n">
        <v>458.5</v>
      </c>
      <c r="P50" s="7" t="n">
        <v>247.3</v>
      </c>
      <c r="R50" s="7" t="n">
        <v>176.1</v>
      </c>
      <c r="T50" s="7" t="n">
        <v>258.8</v>
      </c>
      <c r="V50" s="7" t="n">
        <v>193.8</v>
      </c>
      <c r="X50" s="7" t="n">
        <v>156.2</v>
      </c>
      <c r="Z50" s="7" t="n">
        <v>151.9</v>
      </c>
      <c r="AB50" s="7" t="n">
        <v>2550.3</v>
      </c>
    </row>
    <row r="51">
      <c r="A51" s="4" t="inlineStr">
        <is>
          <t>办公费</t>
        </is>
      </c>
      <c r="D51" s="7" t="n">
        <v>2470.6</v>
      </c>
      <c r="F51" s="7" t="n">
        <v>1988.2</v>
      </c>
      <c r="H51" s="7" t="n">
        <v>6499.3</v>
      </c>
      <c r="J51" s="7" t="n">
        <v>5339.4</v>
      </c>
      <c r="L51" s="7" t="n">
        <v>5578.7</v>
      </c>
      <c r="N51" s="7" t="n">
        <v>8649.9</v>
      </c>
      <c r="P51" s="7" t="n">
        <v>9391.1</v>
      </c>
      <c r="R51" s="7" t="n">
        <v>7200.1</v>
      </c>
      <c r="T51" s="7" t="n">
        <v>8150.6</v>
      </c>
      <c r="V51" s="7" t="n">
        <v>4713.2</v>
      </c>
      <c r="X51" s="7" t="n">
        <v>3959.8</v>
      </c>
      <c r="Z51" s="7" t="n">
        <v>4998.6</v>
      </c>
      <c r="AB51" s="7" t="n">
        <v>68939.5</v>
      </c>
    </row>
    <row r="52">
      <c r="A52" s="4" t="inlineStr">
        <is>
          <t>市内交通费</t>
        </is>
      </c>
      <c r="D52" s="7" t="n">
        <v>65.7</v>
      </c>
      <c r="F52" s="7" t="n">
        <v>58.1</v>
      </c>
      <c r="H52" s="7" t="n">
        <v>130.9</v>
      </c>
      <c r="J52" s="7" t="n">
        <v>86.90000000000001</v>
      </c>
      <c r="L52" s="7" t="n">
        <v>151.1</v>
      </c>
      <c r="N52" s="7" t="n">
        <v>215</v>
      </c>
      <c r="P52" s="7" t="n">
        <v>152.3</v>
      </c>
      <c r="R52" s="7" t="n">
        <v>121.9</v>
      </c>
      <c r="T52" s="7" t="n">
        <v>171.8</v>
      </c>
      <c r="V52" s="7" t="n">
        <v>118.7</v>
      </c>
      <c r="X52" s="7" t="n">
        <v>72.09999999999999</v>
      </c>
      <c r="Z52" s="7" t="n">
        <v>111.8</v>
      </c>
      <c r="AB52" s="7" t="n">
        <v>1456.3</v>
      </c>
    </row>
    <row r="53">
      <c r="A53" s="4" t="inlineStr">
        <is>
          <t>差旅费</t>
        </is>
      </c>
      <c r="D53" s="7" t="n">
        <v>5976.7</v>
      </c>
      <c r="F53" s="7" t="n">
        <v>3543.1</v>
      </c>
      <c r="H53" s="7" t="n">
        <v>16544.5</v>
      </c>
      <c r="J53" s="7" t="n">
        <v>10513.1</v>
      </c>
      <c r="L53" s="7" t="n">
        <v>10508.1</v>
      </c>
      <c r="N53" s="7" t="n">
        <v>24373.9</v>
      </c>
      <c r="P53" s="7" t="n">
        <v>13863.4</v>
      </c>
      <c r="R53" s="7" t="n">
        <v>14277.5</v>
      </c>
      <c r="T53" s="7" t="n">
        <v>15531</v>
      </c>
      <c r="V53" s="7" t="n">
        <v>11234.2</v>
      </c>
      <c r="X53" s="7" t="n">
        <v>9241.299999999999</v>
      </c>
      <c r="Z53" s="7" t="n">
        <v>7783.3</v>
      </c>
      <c r="AB53" s="7" t="n">
        <v>143390.1</v>
      </c>
    </row>
    <row r="54">
      <c r="A54" s="4" t="inlineStr">
        <is>
          <t>交通费</t>
        </is>
      </c>
      <c r="D54" s="7" t="n">
        <v>36</v>
      </c>
      <c r="F54" s="7" t="n">
        <v>43.8</v>
      </c>
      <c r="H54" s="7" t="n">
        <v>79.09999999999999</v>
      </c>
      <c r="J54" s="7" t="n">
        <v>78.90000000000001</v>
      </c>
      <c r="L54" s="7" t="n">
        <v>123.3</v>
      </c>
      <c r="N54" s="7" t="n">
        <v>143.1</v>
      </c>
      <c r="P54" s="7" t="n">
        <v>115</v>
      </c>
      <c r="R54" s="7" t="n">
        <v>72</v>
      </c>
      <c r="T54" s="7" t="n">
        <v>104</v>
      </c>
      <c r="V54" s="7" t="n">
        <v>97.59999999999999</v>
      </c>
      <c r="X54" s="7" t="n">
        <v>63.3</v>
      </c>
      <c r="Z54" s="7" t="n">
        <v>56.5</v>
      </c>
      <c r="AB54" s="7" t="n">
        <v>1012.6</v>
      </c>
    </row>
    <row r="55">
      <c r="A55" s="4" t="inlineStr">
        <is>
          <t>住宿费</t>
        </is>
      </c>
      <c r="D55" s="7" t="n">
        <v>523.6</v>
      </c>
      <c r="F55" s="7" t="n">
        <v>522.9</v>
      </c>
      <c r="H55" s="7" t="n">
        <v>1386.8</v>
      </c>
      <c r="J55" s="7" t="n">
        <v>1431.8</v>
      </c>
      <c r="L55" s="7" t="n">
        <v>1594.7</v>
      </c>
      <c r="N55" s="7" t="n">
        <v>2209.5</v>
      </c>
      <c r="P55" s="7" t="n">
        <v>1991.5</v>
      </c>
      <c r="R55" s="7" t="n">
        <v>1033.9</v>
      </c>
      <c r="T55" s="7" t="n">
        <v>1976.8</v>
      </c>
      <c r="V55" s="7" t="n">
        <v>1308.8</v>
      </c>
      <c r="X55" s="7" t="n">
        <v>1078.7</v>
      </c>
      <c r="Z55" s="7" t="n">
        <v>1073.3</v>
      </c>
      <c r="AB55" s="7" t="n">
        <v>16132.3</v>
      </c>
    </row>
    <row r="56">
      <c r="A56" s="4" t="inlineStr">
        <is>
          <t>餐补</t>
        </is>
      </c>
      <c r="D56" s="7" t="n">
        <v>329.1</v>
      </c>
      <c r="F56" s="7" t="n">
        <v>327.8</v>
      </c>
      <c r="H56" s="7" t="n">
        <v>556.4</v>
      </c>
      <c r="J56" s="7" t="n">
        <v>731.3</v>
      </c>
      <c r="L56" s="7" t="n">
        <v>678.6</v>
      </c>
      <c r="N56" s="7" t="n">
        <v>819.7</v>
      </c>
      <c r="P56" s="7" t="n">
        <v>684.1</v>
      </c>
      <c r="R56" s="7" t="n">
        <v>723.9</v>
      </c>
      <c r="T56" s="7" t="n">
        <v>907.3</v>
      </c>
      <c r="V56" s="7" t="n">
        <v>696.5</v>
      </c>
      <c r="X56" s="7" t="n">
        <v>356.6</v>
      </c>
      <c r="Z56" s="7" t="n">
        <v>546.5</v>
      </c>
      <c r="AB56" s="7" t="n">
        <v>7357.8</v>
      </c>
    </row>
    <row r="57">
      <c r="A57" s="4" t="inlineStr">
        <is>
          <t>交通补助</t>
        </is>
      </c>
      <c r="D57" s="7" t="n">
        <v>33.3</v>
      </c>
      <c r="F57" s="7" t="n">
        <v>25.4</v>
      </c>
      <c r="H57" s="7" t="n">
        <v>70.5</v>
      </c>
      <c r="J57" s="7" t="n">
        <v>93.40000000000001</v>
      </c>
      <c r="L57" s="7" t="n">
        <v>100.4</v>
      </c>
      <c r="N57" s="7" t="n">
        <v>118.8</v>
      </c>
      <c r="P57" s="7" t="n">
        <v>94.2</v>
      </c>
      <c r="R57" s="7" t="n">
        <v>92</v>
      </c>
      <c r="T57" s="7" t="n">
        <v>108.2</v>
      </c>
      <c r="V57" s="7" t="n">
        <v>89.8</v>
      </c>
      <c r="X57" s="7" t="n">
        <v>72.90000000000001</v>
      </c>
      <c r="Z57" s="7" t="n">
        <v>55.7</v>
      </c>
      <c r="AB57" s="7" t="n">
        <v>954.6</v>
      </c>
    </row>
    <row r="58">
      <c r="A58" s="4" t="inlineStr">
        <is>
          <t>通讯补助</t>
        </is>
      </c>
      <c r="D58" s="7" t="n">
        <v>446.3</v>
      </c>
      <c r="F58" s="7" t="n">
        <v>404</v>
      </c>
      <c r="H58" s="7" t="n">
        <v>982.8</v>
      </c>
      <c r="J58" s="7" t="n">
        <v>821.4</v>
      </c>
      <c r="L58" s="7" t="n">
        <v>1099</v>
      </c>
      <c r="N58" s="7" t="n">
        <v>1762</v>
      </c>
      <c r="P58" s="7" t="n">
        <v>1446.6</v>
      </c>
      <c r="R58" s="7" t="n">
        <v>1107.7</v>
      </c>
      <c r="T58" s="7" t="n">
        <v>1471.3</v>
      </c>
      <c r="V58" s="7" t="n">
        <v>863.8</v>
      </c>
      <c r="X58" s="7" t="n">
        <v>641.5</v>
      </c>
      <c r="Z58" s="7" t="n">
        <v>646.8</v>
      </c>
      <c r="AB58" s="7" t="n">
        <v>11693.2</v>
      </c>
    </row>
    <row r="59">
      <c r="A59" s="4" t="inlineStr">
        <is>
          <t>招待费</t>
        </is>
      </c>
      <c r="D59" s="7" t="n">
        <v>3163.9</v>
      </c>
      <c r="F59" s="7" t="n">
        <v>3778.2</v>
      </c>
      <c r="H59" s="7" t="n">
        <v>9031.799999999999</v>
      </c>
      <c r="J59" s="7" t="n">
        <v>9012</v>
      </c>
      <c r="L59" s="7" t="n">
        <v>8301.700000000001</v>
      </c>
      <c r="N59" s="7" t="n">
        <v>13227.8</v>
      </c>
      <c r="P59" s="7" t="n">
        <v>10047.5</v>
      </c>
      <c r="R59" s="7" t="n">
        <v>8791.299999999999</v>
      </c>
      <c r="T59" s="7" t="n">
        <v>12256.8</v>
      </c>
      <c r="V59" s="7" t="n">
        <v>6697.7</v>
      </c>
      <c r="X59" s="7" t="n">
        <v>6865.1</v>
      </c>
      <c r="Z59" s="7" t="n">
        <v>4968.9</v>
      </c>
      <c r="AB59" s="7" t="n">
        <v>96142.7</v>
      </c>
    </row>
    <row r="60">
      <c r="A60" s="4" t="inlineStr">
        <is>
          <t>通讯费</t>
        </is>
      </c>
      <c r="D60" s="7" t="n">
        <v>309.7</v>
      </c>
      <c r="F60" s="7" t="n">
        <v>458.1</v>
      </c>
      <c r="H60" s="7" t="n">
        <v>1104.5</v>
      </c>
      <c r="J60" s="7" t="n">
        <v>788.5</v>
      </c>
      <c r="L60" s="7" t="n">
        <v>1344.9</v>
      </c>
      <c r="N60" s="7" t="n">
        <v>1508.3</v>
      </c>
      <c r="P60" s="7" t="n">
        <v>1144.8</v>
      </c>
      <c r="R60" s="7" t="n">
        <v>1165.2</v>
      </c>
      <c r="T60" s="7" t="n">
        <v>1531</v>
      </c>
      <c r="V60" s="7" t="n">
        <v>848.1</v>
      </c>
      <c r="X60" s="7" t="n">
        <v>844.4</v>
      </c>
      <c r="Z60" s="7" t="n">
        <v>834.7</v>
      </c>
      <c r="AB60" s="7" t="n">
        <v>11882.2</v>
      </c>
    </row>
    <row r="61">
      <c r="A61" s="4" t="inlineStr">
        <is>
          <t>网络费</t>
        </is>
      </c>
      <c r="D61" s="7" t="n">
        <v>434.1</v>
      </c>
      <c r="F61" s="7" t="n">
        <v>633.3</v>
      </c>
      <c r="H61" s="7" t="n">
        <v>1545.5</v>
      </c>
      <c r="J61" s="7" t="n">
        <v>1405.6</v>
      </c>
      <c r="L61" s="7" t="n">
        <v>1170.9</v>
      </c>
      <c r="N61" s="7" t="n">
        <v>2291.3</v>
      </c>
      <c r="P61" s="7" t="n">
        <v>1271.9</v>
      </c>
      <c r="R61" s="7" t="n">
        <v>923.8</v>
      </c>
      <c r="T61" s="7" t="n">
        <v>1892.6</v>
      </c>
      <c r="V61" s="7" t="n">
        <v>1119.5</v>
      </c>
      <c r="X61" s="7" t="n">
        <v>751.4</v>
      </c>
      <c r="Z61" s="7" t="n">
        <v>696.8</v>
      </c>
      <c r="AB61" s="7" t="n">
        <v>14136.7</v>
      </c>
    </row>
    <row r="62">
      <c r="A62" s="4" t="inlineStr">
        <is>
          <t>修理费</t>
        </is>
      </c>
      <c r="D62" s="7" t="n">
        <v>63.6</v>
      </c>
      <c r="F62" s="7" t="n">
        <v>68</v>
      </c>
      <c r="H62" s="7" t="n">
        <v>135.1</v>
      </c>
      <c r="J62" s="7" t="n">
        <v>180.3</v>
      </c>
      <c r="L62" s="7" t="n">
        <v>147.9</v>
      </c>
      <c r="N62" s="7" t="n">
        <v>291.4</v>
      </c>
      <c r="P62" s="7" t="n">
        <v>162.1</v>
      </c>
      <c r="R62" s="7" t="n">
        <v>114.5</v>
      </c>
      <c r="T62" s="7" t="n">
        <v>227.3</v>
      </c>
      <c r="V62" s="7" t="n">
        <v>168.3</v>
      </c>
      <c r="X62" s="7" t="n">
        <v>100.7</v>
      </c>
      <c r="Z62" s="7" t="n">
        <v>81.7</v>
      </c>
      <c r="AB62" s="7" t="n">
        <v>1740.9</v>
      </c>
    </row>
    <row r="63">
      <c r="A63" s="4" t="inlineStr">
        <is>
          <t>车辆费</t>
        </is>
      </c>
      <c r="D63" s="7" t="n">
        <v>17.2</v>
      </c>
      <c r="F63" s="7" t="n">
        <v>18.6</v>
      </c>
      <c r="H63" s="7" t="n">
        <v>57</v>
      </c>
      <c r="J63" s="7" t="n">
        <v>45.8</v>
      </c>
      <c r="L63" s="7" t="n">
        <v>57</v>
      </c>
      <c r="N63" s="7" t="n">
        <v>90.8</v>
      </c>
      <c r="P63" s="7" t="n">
        <v>65</v>
      </c>
      <c r="R63" s="7" t="n">
        <v>53.9</v>
      </c>
      <c r="T63" s="7" t="n">
        <v>72.5</v>
      </c>
      <c r="V63" s="7" t="n">
        <v>31.8</v>
      </c>
      <c r="X63" s="7" t="n">
        <v>27</v>
      </c>
      <c r="Z63" s="7" t="n">
        <v>32.8</v>
      </c>
      <c r="AB63" s="7" t="n">
        <v>569.4</v>
      </c>
    </row>
    <row r="64">
      <c r="A64" s="4" t="inlineStr">
        <is>
          <t>租赁费</t>
        </is>
      </c>
      <c r="D64" s="7" t="n">
        <v>4820</v>
      </c>
      <c r="F64" s="7" t="n">
        <v>3837.8</v>
      </c>
      <c r="H64" s="7" t="n">
        <v>14532.7</v>
      </c>
      <c r="J64" s="7" t="n">
        <v>10266.9</v>
      </c>
      <c r="L64" s="7" t="n">
        <v>8427.5</v>
      </c>
      <c r="N64" s="7" t="n">
        <v>17709.2</v>
      </c>
      <c r="P64" s="7" t="n">
        <v>14070.6</v>
      </c>
      <c r="R64" s="7" t="n">
        <v>7792.8</v>
      </c>
      <c r="T64" s="7" t="n">
        <v>11500.9</v>
      </c>
      <c r="V64" s="7" t="n">
        <v>7639.4</v>
      </c>
      <c r="X64" s="7" t="n">
        <v>8757.700000000001</v>
      </c>
      <c r="Z64" s="7" t="n">
        <v>7628</v>
      </c>
      <c r="AB64" s="7" t="n">
        <v>116983.5</v>
      </c>
    </row>
    <row r="65">
      <c r="A65" s="4" t="inlineStr">
        <is>
          <t>能源费</t>
        </is>
      </c>
      <c r="D65" s="7" t="n">
        <v>960.1</v>
      </c>
      <c r="F65" s="7" t="n">
        <v>1042.9</v>
      </c>
      <c r="H65" s="7" t="n">
        <v>2119.3</v>
      </c>
      <c r="J65" s="7" t="n">
        <v>2000</v>
      </c>
      <c r="L65" s="7" t="n">
        <v>2280.8</v>
      </c>
      <c r="N65" s="7" t="n">
        <v>3712.7</v>
      </c>
      <c r="P65" s="7" t="n">
        <v>3425.2</v>
      </c>
      <c r="R65" s="7" t="n">
        <v>2445.6</v>
      </c>
      <c r="T65" s="7" t="n">
        <v>2954.4</v>
      </c>
      <c r="V65" s="7" t="n">
        <v>2032.3</v>
      </c>
      <c r="X65" s="7" t="n">
        <v>1433.2</v>
      </c>
      <c r="Z65" s="7" t="n">
        <v>1747.6</v>
      </c>
      <c r="AB65" s="7" t="n">
        <v>26154.1</v>
      </c>
    </row>
    <row r="66">
      <c r="A66" s="4" t="inlineStr">
        <is>
          <t>水费</t>
        </is>
      </c>
      <c r="D66" s="7" t="n">
        <v>186.8</v>
      </c>
      <c r="F66" s="7" t="n">
        <v>235.4</v>
      </c>
      <c r="H66" s="7" t="n">
        <v>578.1</v>
      </c>
      <c r="J66" s="7" t="n">
        <v>550.1</v>
      </c>
      <c r="L66" s="7" t="n">
        <v>525.1</v>
      </c>
      <c r="N66" s="7" t="n">
        <v>1163.3</v>
      </c>
      <c r="P66" s="7" t="n">
        <v>985.9</v>
      </c>
      <c r="R66" s="7" t="n">
        <v>741.1</v>
      </c>
      <c r="T66" s="7" t="n">
        <v>749.1</v>
      </c>
      <c r="V66" s="7" t="n">
        <v>389.8</v>
      </c>
      <c r="X66" s="7" t="n">
        <v>275.6</v>
      </c>
      <c r="Z66" s="7" t="n">
        <v>500.8</v>
      </c>
      <c r="AB66" s="7" t="n">
        <v>6881.1</v>
      </c>
    </row>
    <row r="67">
      <c r="A67" s="4" t="inlineStr">
        <is>
          <t>电费</t>
        </is>
      </c>
      <c r="D67" s="7" t="n">
        <v>440.5</v>
      </c>
      <c r="F67" s="7" t="n">
        <v>415.1</v>
      </c>
      <c r="H67" s="7" t="n">
        <v>756.8</v>
      </c>
      <c r="J67" s="7" t="n">
        <v>818.2</v>
      </c>
      <c r="L67" s="7" t="n">
        <v>727</v>
      </c>
      <c r="N67" s="7" t="n">
        <v>1355.3</v>
      </c>
      <c r="P67" s="7" t="n">
        <v>1484.7</v>
      </c>
      <c r="R67" s="7" t="n">
        <v>1095.6</v>
      </c>
      <c r="T67" s="7" t="n">
        <v>1089</v>
      </c>
      <c r="V67" s="7" t="n">
        <v>860.4</v>
      </c>
      <c r="X67" s="7" t="n">
        <v>662.4</v>
      </c>
      <c r="Z67" s="7" t="n">
        <v>620.4</v>
      </c>
      <c r="AB67" s="7" t="n">
        <v>10325.4</v>
      </c>
    </row>
    <row r="68">
      <c r="A68" s="4" t="inlineStr">
        <is>
          <t>燃气费</t>
        </is>
      </c>
      <c r="D68" s="7" t="n">
        <v>91.8</v>
      </c>
      <c r="F68" s="7" t="n">
        <v>140.7</v>
      </c>
      <c r="H68" s="7" t="n">
        <v>302.1</v>
      </c>
      <c r="J68" s="7" t="n">
        <v>288.9</v>
      </c>
      <c r="L68" s="7" t="n">
        <v>342.8</v>
      </c>
      <c r="N68" s="7" t="n">
        <v>570.2</v>
      </c>
      <c r="P68" s="7" t="n">
        <v>437.3</v>
      </c>
      <c r="R68" s="7" t="n">
        <v>231.2</v>
      </c>
      <c r="T68" s="7" t="n">
        <v>310.5</v>
      </c>
      <c r="V68" s="7" t="n">
        <v>306.1</v>
      </c>
      <c r="X68" s="7" t="n">
        <v>233.5</v>
      </c>
      <c r="Z68" s="7" t="n">
        <v>259</v>
      </c>
      <c r="AB68" s="7" t="n">
        <v>3514.1</v>
      </c>
    </row>
    <row r="69">
      <c r="A69" s="4" t="inlineStr">
        <is>
          <t>蒸汽费</t>
        </is>
      </c>
      <c r="D69" s="7" t="n">
        <v>241</v>
      </c>
      <c r="F69" s="7" t="n">
        <v>251.7</v>
      </c>
      <c r="H69" s="7" t="n">
        <v>482.3</v>
      </c>
      <c r="J69" s="7" t="n">
        <v>342.8</v>
      </c>
      <c r="L69" s="7" t="n">
        <v>685.9</v>
      </c>
      <c r="N69" s="7" t="n">
        <v>623.9</v>
      </c>
      <c r="P69" s="7" t="n">
        <v>517.3</v>
      </c>
      <c r="R69" s="7" t="n">
        <v>377.7</v>
      </c>
      <c r="T69" s="7" t="n">
        <v>805.8</v>
      </c>
      <c r="V69" s="7" t="n">
        <v>476</v>
      </c>
      <c r="X69" s="7" t="n">
        <v>261.7</v>
      </c>
      <c r="Z69" s="7" t="n">
        <v>367.4</v>
      </c>
      <c r="AB69" s="7" t="n">
        <v>5433.5</v>
      </c>
    </row>
    <row r="70">
      <c r="A70" s="4" t="inlineStr">
        <is>
          <t>物业费</t>
        </is>
      </c>
      <c r="D70" s="7" t="n">
        <v>44.8</v>
      </c>
      <c r="F70" s="7" t="n">
        <v>79.3</v>
      </c>
      <c r="H70" s="7" t="n">
        <v>212.9</v>
      </c>
      <c r="J70" s="7" t="n">
        <v>147.5</v>
      </c>
      <c r="L70" s="7" t="n">
        <v>119.7</v>
      </c>
      <c r="N70" s="7" t="n">
        <v>258</v>
      </c>
      <c r="P70" s="7" t="n">
        <v>275.8</v>
      </c>
      <c r="R70" s="7" t="n">
        <v>129.4</v>
      </c>
      <c r="T70" s="7" t="n">
        <v>226</v>
      </c>
      <c r="V70" s="7" t="n">
        <v>117.1</v>
      </c>
      <c r="X70" s="7" t="n">
        <v>95.3</v>
      </c>
      <c r="Z70" s="7" t="n">
        <v>139.6</v>
      </c>
      <c r="AB70" s="7" t="n">
        <v>1845.4</v>
      </c>
    </row>
    <row r="71">
      <c r="A71" s="4" t="inlineStr">
        <is>
          <t>劳动保护费</t>
        </is>
      </c>
      <c r="D71" s="7" t="n">
        <v>271.6</v>
      </c>
      <c r="F71" s="7" t="n">
        <v>366.4</v>
      </c>
      <c r="H71" s="7" t="n">
        <v>992.4</v>
      </c>
      <c r="J71" s="7" t="n">
        <v>638.8</v>
      </c>
      <c r="L71" s="7" t="n">
        <v>1087.8</v>
      </c>
      <c r="N71" s="7" t="n">
        <v>1502.8</v>
      </c>
      <c r="P71" s="7" t="n">
        <v>1216.5</v>
      </c>
      <c r="R71" s="7" t="n">
        <v>772.2</v>
      </c>
      <c r="T71" s="7" t="n">
        <v>800.8</v>
      </c>
      <c r="V71" s="7" t="n">
        <v>826.5</v>
      </c>
      <c r="X71" s="7" t="n">
        <v>521.4</v>
      </c>
      <c r="Z71" s="7" t="n">
        <v>610.6</v>
      </c>
      <c r="AB71" s="7" t="n">
        <v>9607.799999999999</v>
      </c>
    </row>
    <row r="72">
      <c r="A72" s="4" t="inlineStr">
        <is>
          <t>顾问费</t>
        </is>
      </c>
      <c r="D72" s="7" t="n">
        <v>362.7</v>
      </c>
      <c r="F72" s="7" t="n">
        <v>419.5</v>
      </c>
      <c r="H72" s="7" t="n">
        <v>776.8</v>
      </c>
      <c r="J72" s="7" t="n">
        <v>638.6</v>
      </c>
      <c r="L72" s="7" t="n">
        <v>1004.3</v>
      </c>
      <c r="N72" s="7" t="n">
        <v>1449.2</v>
      </c>
      <c r="P72" s="7" t="n">
        <v>1096.8</v>
      </c>
      <c r="R72" s="7" t="n">
        <v>1123</v>
      </c>
      <c r="T72" s="7" t="n">
        <v>1317.1</v>
      </c>
      <c r="V72" s="7" t="n">
        <v>671.6</v>
      </c>
      <c r="X72" s="7" t="n">
        <v>581.7</v>
      </c>
      <c r="Z72" s="7" t="n">
        <v>716.8</v>
      </c>
      <c r="AB72" s="7" t="n">
        <v>10158.1</v>
      </c>
    </row>
    <row r="73">
      <c r="A73" s="4" t="inlineStr">
        <is>
          <t>快递费</t>
        </is>
      </c>
      <c r="D73" s="7" t="n">
        <v>140.1</v>
      </c>
      <c r="F73" s="7" t="n">
        <v>99.09999999999999</v>
      </c>
      <c r="H73" s="7" t="n">
        <v>359</v>
      </c>
      <c r="J73" s="7" t="n">
        <v>368.3</v>
      </c>
      <c r="L73" s="7" t="n">
        <v>275.8</v>
      </c>
      <c r="N73" s="7" t="n">
        <v>683.9</v>
      </c>
      <c r="P73" s="7" t="n">
        <v>625.1</v>
      </c>
      <c r="R73" s="7" t="n">
        <v>250.6</v>
      </c>
      <c r="T73" s="7" t="n">
        <v>413.1</v>
      </c>
      <c r="V73" s="7" t="n">
        <v>312.7</v>
      </c>
      <c r="X73" s="7" t="n">
        <v>196.9</v>
      </c>
      <c r="Z73" s="7" t="n">
        <v>298.6</v>
      </c>
      <c r="AB73" s="7" t="n">
        <v>4023.2</v>
      </c>
    </row>
    <row r="74">
      <c r="A74" s="4" t="inlineStr">
        <is>
          <t>诉讼费</t>
        </is>
      </c>
      <c r="D74" s="7" t="n">
        <v>166.7</v>
      </c>
      <c r="F74" s="7" t="n">
        <v>129.1</v>
      </c>
      <c r="H74" s="7" t="n">
        <v>474</v>
      </c>
      <c r="J74" s="7" t="n">
        <v>330.1</v>
      </c>
      <c r="L74" s="7" t="n">
        <v>378.6</v>
      </c>
      <c r="N74" s="7" t="n">
        <v>476.3</v>
      </c>
      <c r="P74" s="7" t="n">
        <v>359.6</v>
      </c>
      <c r="R74" s="7" t="n">
        <v>342.5</v>
      </c>
      <c r="T74" s="7" t="n">
        <v>559.9</v>
      </c>
      <c r="V74" s="7" t="n">
        <v>332.7</v>
      </c>
      <c r="X74" s="7" t="n">
        <v>177.9</v>
      </c>
      <c r="Z74" s="7" t="n">
        <v>232.4</v>
      </c>
      <c r="AB74" s="7" t="n">
        <v>3959.8</v>
      </c>
    </row>
    <row r="75">
      <c r="A75" s="4" t="inlineStr">
        <is>
          <t>会员费</t>
        </is>
      </c>
      <c r="D75" s="7" t="n">
        <v>169.4</v>
      </c>
      <c r="F75" s="7" t="n">
        <v>146</v>
      </c>
      <c r="H75" s="7" t="n">
        <v>327.8</v>
      </c>
      <c r="J75" s="7" t="n">
        <v>212.1</v>
      </c>
      <c r="L75" s="7" t="n">
        <v>382.6</v>
      </c>
      <c r="N75" s="7" t="n">
        <v>489.3</v>
      </c>
      <c r="P75" s="7" t="n">
        <v>433.2</v>
      </c>
      <c r="R75" s="7" t="n">
        <v>311.2</v>
      </c>
      <c r="T75" s="7" t="n">
        <v>503.2</v>
      </c>
      <c r="V75" s="7" t="n">
        <v>277.3</v>
      </c>
      <c r="X75" s="7" t="n">
        <v>213.2</v>
      </c>
      <c r="Z75" s="7" t="n">
        <v>283.6</v>
      </c>
      <c r="AB75" s="7" t="n">
        <v>3748.9</v>
      </c>
    </row>
    <row r="76">
      <c r="A76" s="4" t="inlineStr">
        <is>
          <t>广告宣传费</t>
        </is>
      </c>
      <c r="D76" s="7" t="n">
        <v>1987</v>
      </c>
      <c r="F76" s="7" t="n">
        <v>2563.3</v>
      </c>
      <c r="H76" s="7" t="n">
        <v>8364.5</v>
      </c>
      <c r="J76" s="7" t="n">
        <v>4823.4</v>
      </c>
      <c r="L76" s="7" t="n">
        <v>8306.1</v>
      </c>
      <c r="N76" s="7" t="n">
        <v>9781.299999999999</v>
      </c>
      <c r="P76" s="7" t="n">
        <v>8720.4</v>
      </c>
      <c r="R76" s="7" t="n">
        <v>6807.4</v>
      </c>
      <c r="T76" s="7" t="n">
        <v>7413.1</v>
      </c>
      <c r="V76" s="7" t="n">
        <v>4080.5</v>
      </c>
      <c r="X76" s="7" t="n">
        <v>4639.5</v>
      </c>
      <c r="Z76" s="7" t="n">
        <v>5599.9</v>
      </c>
      <c r="AB76" s="7" t="n">
        <v>73086.39999999999</v>
      </c>
    </row>
    <row r="77">
      <c r="A77" s="4" t="inlineStr">
        <is>
          <t>会务费</t>
        </is>
      </c>
      <c r="D77" s="7" t="n">
        <v>349.3</v>
      </c>
      <c r="F77" s="7" t="n">
        <v>539.9</v>
      </c>
      <c r="H77" s="7" t="n">
        <v>968.3</v>
      </c>
      <c r="J77" s="7" t="n">
        <v>790.3</v>
      </c>
      <c r="L77" s="7" t="n">
        <v>1079.9</v>
      </c>
      <c r="N77" s="7" t="n">
        <v>1675.2</v>
      </c>
      <c r="P77" s="7" t="n">
        <v>1481.3</v>
      </c>
      <c r="R77" s="7" t="n">
        <v>1180.8</v>
      </c>
      <c r="T77" s="7" t="n">
        <v>979.6</v>
      </c>
      <c r="V77" s="7" t="n">
        <v>1037.9</v>
      </c>
      <c r="X77" s="7" t="n">
        <v>593</v>
      </c>
      <c r="Z77" s="7" t="n">
        <v>847.3</v>
      </c>
      <c r="AB77" s="7" t="n">
        <v>11522.8</v>
      </c>
    </row>
    <row r="78">
      <c r="A78" s="4" t="inlineStr">
        <is>
          <t>装修费</t>
        </is>
      </c>
      <c r="D78" s="7" t="n">
        <v>45</v>
      </c>
      <c r="F78" s="7" t="n">
        <v>56.1</v>
      </c>
      <c r="H78" s="7" t="n">
        <v>105.8</v>
      </c>
      <c r="J78" s="7" t="n">
        <v>112</v>
      </c>
      <c r="L78" s="7" t="n">
        <v>134.2</v>
      </c>
      <c r="N78" s="7" t="n">
        <v>210.9</v>
      </c>
      <c r="P78" s="7" t="n">
        <v>181.4</v>
      </c>
      <c r="R78" s="7" t="n">
        <v>148.5</v>
      </c>
      <c r="T78" s="7" t="n">
        <v>106.3</v>
      </c>
      <c r="V78" s="7" t="n">
        <v>88.8</v>
      </c>
      <c r="X78" s="7" t="n">
        <v>83.40000000000001</v>
      </c>
      <c r="Z78" s="7" t="n">
        <v>101.2</v>
      </c>
      <c r="AB78" s="7" t="n">
        <v>1373.6</v>
      </c>
    </row>
    <row r="79">
      <c r="A79" s="4" t="inlineStr">
        <is>
          <t>推广费</t>
        </is>
      </c>
      <c r="D79" s="7" t="n">
        <v>242</v>
      </c>
      <c r="F79" s="7" t="n">
        <v>278.2</v>
      </c>
      <c r="H79" s="7" t="n">
        <v>935.8</v>
      </c>
      <c r="J79" s="7" t="n">
        <v>709.9</v>
      </c>
      <c r="L79" s="7" t="n">
        <v>647</v>
      </c>
      <c r="N79" s="7" t="n">
        <v>1126.3</v>
      </c>
      <c r="P79" s="7" t="n">
        <v>1127.3</v>
      </c>
      <c r="R79" s="7" t="n">
        <v>764</v>
      </c>
      <c r="T79" s="7" t="n">
        <v>879.7</v>
      </c>
      <c r="V79" s="7" t="n">
        <v>690</v>
      </c>
      <c r="X79" s="7" t="n">
        <v>426.6</v>
      </c>
      <c r="Z79" s="7" t="n">
        <v>583.3</v>
      </c>
      <c r="AB79" s="7" t="n">
        <v>8410.1</v>
      </c>
    </row>
    <row r="80">
      <c r="A80" s="4" t="inlineStr">
        <is>
          <t>展会费</t>
        </is>
      </c>
      <c r="D80" s="7" t="n">
        <v>548</v>
      </c>
      <c r="F80" s="7" t="n">
        <v>470</v>
      </c>
      <c r="H80" s="7" t="n">
        <v>1855.4</v>
      </c>
      <c r="J80" s="7" t="n">
        <v>1524.9</v>
      </c>
      <c r="L80" s="7" t="n">
        <v>1754.1</v>
      </c>
      <c r="N80" s="7" t="n">
        <v>1870</v>
      </c>
      <c r="P80" s="7" t="n">
        <v>2096.3</v>
      </c>
      <c r="R80" s="7" t="n">
        <v>994.8</v>
      </c>
      <c r="T80" s="7" t="n">
        <v>2156.4</v>
      </c>
      <c r="V80" s="7" t="n">
        <v>1060.4</v>
      </c>
      <c r="X80" s="7" t="n">
        <v>881.3</v>
      </c>
      <c r="Z80" s="7" t="n">
        <v>1004.4</v>
      </c>
      <c r="AB80" s="7" t="n">
        <v>16216</v>
      </c>
    </row>
    <row r="81">
      <c r="A81" s="4" t="inlineStr">
        <is>
          <t>设计费</t>
        </is>
      </c>
      <c r="D81" s="7" t="n">
        <v>407.4</v>
      </c>
      <c r="F81" s="7" t="n">
        <v>246.4</v>
      </c>
      <c r="H81" s="7" t="n">
        <v>1122.8</v>
      </c>
      <c r="J81" s="7" t="n">
        <v>884.2</v>
      </c>
      <c r="L81" s="7" t="n">
        <v>1008.4</v>
      </c>
      <c r="N81" s="7" t="n">
        <v>1159.9</v>
      </c>
      <c r="P81" s="7" t="n">
        <v>810.8</v>
      </c>
      <c r="R81" s="7" t="n">
        <v>789.3</v>
      </c>
      <c r="T81" s="7" t="n">
        <v>757.8</v>
      </c>
      <c r="V81" s="7" t="n">
        <v>520.6</v>
      </c>
      <c r="X81" s="7" t="n">
        <v>682.3</v>
      </c>
      <c r="Z81" s="7" t="n">
        <v>578.8</v>
      </c>
      <c r="AB81" s="7" t="n">
        <v>8968.700000000001</v>
      </c>
    </row>
    <row r="82">
      <c r="A82" s="4" t="inlineStr">
        <is>
          <t>折旧费</t>
        </is>
      </c>
      <c r="D82" s="7" t="n">
        <v>2473.2</v>
      </c>
      <c r="F82" s="7" t="n">
        <v>4106.9</v>
      </c>
      <c r="H82" s="7" t="n">
        <v>8617.5</v>
      </c>
      <c r="J82" s="7" t="n">
        <v>5626.3</v>
      </c>
      <c r="L82" s="7" t="n">
        <v>9972.1</v>
      </c>
      <c r="N82" s="7" t="n">
        <v>11012.6</v>
      </c>
      <c r="P82" s="7" t="n">
        <v>9867.4</v>
      </c>
      <c r="R82" s="7" t="n">
        <v>9270.799999999999</v>
      </c>
      <c r="T82" s="7" t="n">
        <v>8739</v>
      </c>
      <c r="V82" s="7" t="n">
        <v>9171</v>
      </c>
      <c r="X82" s="7" t="n">
        <v>5868.2</v>
      </c>
      <c r="Z82" s="7" t="n">
        <v>7502.6</v>
      </c>
      <c r="AB82" s="7" t="n">
        <v>92227.60000000001</v>
      </c>
    </row>
    <row r="83">
      <c r="A83" s="4" t="inlineStr">
        <is>
          <t>认证费</t>
        </is>
      </c>
      <c r="D83" s="7" t="n">
        <v>191.5</v>
      </c>
      <c r="F83" s="7" t="n">
        <v>140.4</v>
      </c>
      <c r="H83" s="7" t="n">
        <v>452.4</v>
      </c>
      <c r="J83" s="7" t="n">
        <v>315.3</v>
      </c>
      <c r="L83" s="7" t="n">
        <v>396.5</v>
      </c>
      <c r="N83" s="7" t="n">
        <v>637</v>
      </c>
      <c r="P83" s="7" t="n">
        <v>507.9</v>
      </c>
      <c r="R83" s="7" t="n">
        <v>539</v>
      </c>
      <c r="T83" s="7" t="n">
        <v>489.3</v>
      </c>
      <c r="V83" s="7" t="n">
        <v>447.5</v>
      </c>
      <c r="X83" s="7" t="n">
        <v>239.5</v>
      </c>
      <c r="Z83" s="7" t="n">
        <v>350.1</v>
      </c>
      <c r="AB83" s="7" t="n">
        <v>4706.4</v>
      </c>
    </row>
    <row r="84">
      <c r="A84" s="4" t="inlineStr">
        <is>
          <t>样品费</t>
        </is>
      </c>
      <c r="D84" s="7" t="n">
        <v>2053</v>
      </c>
      <c r="F84" s="7" t="n">
        <v>1210.9</v>
      </c>
      <c r="H84" s="7" t="n">
        <v>4066.7</v>
      </c>
      <c r="J84" s="7" t="n">
        <v>4040.5</v>
      </c>
      <c r="L84" s="7" t="n">
        <v>5649</v>
      </c>
      <c r="N84" s="7" t="n">
        <v>6394.7</v>
      </c>
      <c r="P84" s="7" t="n">
        <v>6216</v>
      </c>
      <c r="R84" s="7" t="n">
        <v>3744.9</v>
      </c>
      <c r="T84" s="7" t="n">
        <v>7010.5</v>
      </c>
      <c r="V84" s="7" t="n">
        <v>2881.4</v>
      </c>
      <c r="X84" s="7" t="n">
        <v>3426.2</v>
      </c>
      <c r="Z84" s="7" t="n">
        <v>2873.7</v>
      </c>
      <c r="AB84" s="7" t="n">
        <v>49567.5</v>
      </c>
    </row>
    <row r="85">
      <c r="A85" s="4" t="inlineStr">
        <is>
          <t>劳务费</t>
        </is>
      </c>
      <c r="D85" s="7" t="n">
        <v>91.09999999999999</v>
      </c>
      <c r="F85" s="7" t="n">
        <v>120.2</v>
      </c>
      <c r="H85" s="7" t="n">
        <v>302.4</v>
      </c>
      <c r="J85" s="7" t="n">
        <v>329.9</v>
      </c>
      <c r="L85" s="7" t="n">
        <v>215.8</v>
      </c>
      <c r="N85" s="7" t="n">
        <v>597.2</v>
      </c>
      <c r="P85" s="7" t="n">
        <v>428.7</v>
      </c>
      <c r="R85" s="7" t="n">
        <v>203.2</v>
      </c>
      <c r="T85" s="7" t="n">
        <v>292</v>
      </c>
      <c r="V85" s="7" t="n">
        <v>214.1</v>
      </c>
      <c r="X85" s="7" t="n">
        <v>157.2</v>
      </c>
      <c r="Z85" s="7" t="n">
        <v>195.7</v>
      </c>
      <c r="AB85" s="7" t="n">
        <v>3147.5</v>
      </c>
    </row>
    <row r="86">
      <c r="A86" s="4" t="inlineStr">
        <is>
          <t>销售佣金</t>
        </is>
      </c>
      <c r="D86" s="7" t="n">
        <v>311.9</v>
      </c>
      <c r="F86" s="7" t="n">
        <v>438.2</v>
      </c>
      <c r="H86" s="7" t="n">
        <v>1143.9</v>
      </c>
      <c r="J86" s="7" t="n">
        <v>828.6</v>
      </c>
      <c r="L86" s="7" t="n">
        <v>1008.3</v>
      </c>
      <c r="N86" s="7" t="n">
        <v>1861.4</v>
      </c>
      <c r="P86" s="7" t="n">
        <v>1441.7</v>
      </c>
      <c r="R86" s="7" t="n">
        <v>1247.4</v>
      </c>
      <c r="T86" s="7" t="n">
        <v>1408</v>
      </c>
      <c r="V86" s="7" t="n">
        <v>754.5</v>
      </c>
      <c r="X86" s="7" t="n">
        <v>811.4</v>
      </c>
      <c r="Z86" s="7" t="n">
        <v>789.5</v>
      </c>
      <c r="AB86" s="7" t="n">
        <v>12044.8</v>
      </c>
    </row>
    <row r="87">
      <c r="A87" s="4" t="inlineStr">
        <is>
          <t>检测费</t>
        </is>
      </c>
      <c r="D87" s="7" t="n">
        <v>523.2</v>
      </c>
      <c r="F87" s="7" t="n">
        <v>391.9</v>
      </c>
      <c r="H87" s="7" t="n">
        <v>1576.1</v>
      </c>
      <c r="J87" s="7" t="n">
        <v>1308.2</v>
      </c>
      <c r="L87" s="7" t="n">
        <v>1073.3</v>
      </c>
      <c r="N87" s="7" t="n">
        <v>1698.5</v>
      </c>
      <c r="P87" s="7" t="n">
        <v>1765.8</v>
      </c>
      <c r="R87" s="7" t="n">
        <v>1089.8</v>
      </c>
      <c r="T87" s="7" t="n">
        <v>1043.2</v>
      </c>
      <c r="V87" s="7" t="n">
        <v>887.4</v>
      </c>
      <c r="X87" s="7" t="n">
        <v>929.7</v>
      </c>
      <c r="Z87" s="7" t="n">
        <v>944</v>
      </c>
      <c r="AB87" s="7" t="n">
        <v>13231.1</v>
      </c>
    </row>
    <row r="88">
      <c r="A88" s="4" t="inlineStr">
        <is>
          <t>质量赔偿</t>
        </is>
      </c>
      <c r="D88" s="7" t="n">
        <v>178.9</v>
      </c>
      <c r="F88" s="7" t="n">
        <v>251.6</v>
      </c>
      <c r="H88" s="7" t="n">
        <v>463.7</v>
      </c>
      <c r="J88" s="7" t="n">
        <v>412.9</v>
      </c>
      <c r="L88" s="7" t="n">
        <v>386.7</v>
      </c>
      <c r="N88" s="7" t="n">
        <v>748.7</v>
      </c>
      <c r="P88" s="7" t="n">
        <v>650.3</v>
      </c>
      <c r="R88" s="7" t="n">
        <v>504.4</v>
      </c>
      <c r="T88" s="7" t="n">
        <v>655.2</v>
      </c>
      <c r="V88" s="7" t="n">
        <v>511.9</v>
      </c>
      <c r="X88" s="7" t="n">
        <v>306.4</v>
      </c>
      <c r="Z88" s="7" t="n">
        <v>441.8</v>
      </c>
      <c r="AB88" s="7" t="n">
        <v>5512.5</v>
      </c>
    </row>
    <row r="89">
      <c r="A89" s="4" t="inlineStr">
        <is>
          <t>保险费</t>
        </is>
      </c>
      <c r="D89" s="7" t="n">
        <v>127.8</v>
      </c>
      <c r="F89" s="7" t="n">
        <v>94</v>
      </c>
      <c r="H89" s="7" t="n">
        <v>250.7</v>
      </c>
      <c r="J89" s="7" t="n">
        <v>221.5</v>
      </c>
      <c r="L89" s="7" t="n">
        <v>328.7</v>
      </c>
      <c r="N89" s="7" t="n">
        <v>370.5</v>
      </c>
      <c r="P89" s="7" t="n">
        <v>471.2</v>
      </c>
      <c r="R89" s="7" t="n">
        <v>245.3</v>
      </c>
      <c r="T89" s="7" t="n">
        <v>361.9</v>
      </c>
      <c r="V89" s="7" t="n">
        <v>225.3</v>
      </c>
      <c r="X89" s="7" t="n">
        <v>146.7</v>
      </c>
      <c r="Z89" s="7" t="n">
        <v>188.1</v>
      </c>
      <c r="AB89" s="7" t="n">
        <v>3031.7</v>
      </c>
    </row>
    <row r="90">
      <c r="A90" s="4" t="inlineStr">
        <is>
          <t>清洁费</t>
        </is>
      </c>
      <c r="D90" s="7" t="n">
        <v>266.1</v>
      </c>
      <c r="F90" s="7" t="n">
        <v>254.4</v>
      </c>
      <c r="H90" s="7" t="n">
        <v>670.6</v>
      </c>
      <c r="J90" s="7" t="n">
        <v>557.7</v>
      </c>
      <c r="L90" s="7" t="n">
        <v>566.5</v>
      </c>
      <c r="N90" s="7" t="n">
        <v>1340.4</v>
      </c>
      <c r="P90" s="7" t="n">
        <v>1101.6</v>
      </c>
      <c r="R90" s="7" t="n">
        <v>658.7</v>
      </c>
      <c r="T90" s="7" t="n">
        <v>889.1</v>
      </c>
      <c r="V90" s="7" t="n">
        <v>411.8</v>
      </c>
      <c r="X90" s="7" t="n">
        <v>461.1</v>
      </c>
      <c r="Z90" s="7" t="n">
        <v>525.4</v>
      </c>
      <c r="AB90" s="7" t="n">
        <v>7703.4</v>
      </c>
    </row>
    <row r="91">
      <c r="A91" s="4" t="inlineStr">
        <is>
          <t>低值易耗品</t>
        </is>
      </c>
      <c r="D91" s="7" t="n">
        <v>158.9</v>
      </c>
      <c r="F91" s="7" t="n">
        <v>146.2</v>
      </c>
      <c r="H91" s="7" t="n">
        <v>436.8</v>
      </c>
      <c r="J91" s="7" t="n">
        <v>330</v>
      </c>
      <c r="L91" s="7" t="n">
        <v>292.7</v>
      </c>
      <c r="N91" s="7" t="n">
        <v>650.3</v>
      </c>
      <c r="P91" s="7" t="n">
        <v>389.3</v>
      </c>
      <c r="R91" s="7" t="n">
        <v>279.3</v>
      </c>
      <c r="T91" s="7" t="n">
        <v>555</v>
      </c>
      <c r="V91" s="7" t="n">
        <v>276.8</v>
      </c>
      <c r="X91" s="7" t="n">
        <v>239.3</v>
      </c>
      <c r="Z91" s="7" t="n">
        <v>219.3</v>
      </c>
      <c r="AB91" s="7" t="n">
        <v>3973.9</v>
      </c>
    </row>
    <row r="92">
      <c r="A92" s="4" t="inlineStr">
        <is>
          <t>物料消耗</t>
        </is>
      </c>
      <c r="D92" s="7" t="n">
        <v>274.2</v>
      </c>
      <c r="F92" s="7" t="n">
        <v>341.2</v>
      </c>
      <c r="H92" s="7" t="n">
        <v>969.3</v>
      </c>
      <c r="J92" s="7" t="n">
        <v>606.4</v>
      </c>
      <c r="L92" s="7" t="n">
        <v>569.5</v>
      </c>
      <c r="N92" s="7" t="n">
        <v>1547.5</v>
      </c>
      <c r="P92" s="7" t="n">
        <v>722.9</v>
      </c>
      <c r="R92" s="7" t="n">
        <v>583.7</v>
      </c>
      <c r="T92" s="7" t="n">
        <v>817.5</v>
      </c>
      <c r="V92" s="7" t="n">
        <v>620.7</v>
      </c>
      <c r="X92" s="7" t="n">
        <v>566.4</v>
      </c>
      <c r="Z92" s="7" t="n">
        <v>376.5</v>
      </c>
      <c r="AB92" s="7" t="n">
        <v>7995.8</v>
      </c>
    </row>
    <row r="93">
      <c r="A93" s="4" t="inlineStr">
        <is>
          <t>盘盈盘亏</t>
        </is>
      </c>
      <c r="D93" s="7" t="n">
        <v>222.7</v>
      </c>
      <c r="F93" s="7" t="n">
        <v>315</v>
      </c>
      <c r="H93" s="7" t="n">
        <v>815</v>
      </c>
      <c r="J93" s="7" t="n">
        <v>671.8</v>
      </c>
      <c r="L93" s="7" t="n">
        <v>688.5</v>
      </c>
      <c r="N93" s="7" t="n">
        <v>1140.9</v>
      </c>
      <c r="P93" s="7" t="n">
        <v>832</v>
      </c>
      <c r="R93" s="7" t="n">
        <v>774.3</v>
      </c>
      <c r="T93" s="7" t="n">
        <v>806.4</v>
      </c>
      <c r="V93" s="7" t="n">
        <v>426</v>
      </c>
      <c r="X93" s="7" t="n">
        <v>545.2</v>
      </c>
      <c r="Z93" s="7" t="n">
        <v>405.8</v>
      </c>
      <c r="AB93" s="7" t="n">
        <v>7643.6</v>
      </c>
    </row>
    <row r="94">
      <c r="A94" s="4" t="inlineStr">
        <is>
          <t>平台服务费</t>
        </is>
      </c>
      <c r="D94" s="7" t="n">
        <v>445.8</v>
      </c>
      <c r="F94" s="7" t="n">
        <v>384.3</v>
      </c>
      <c r="H94" s="7" t="n">
        <v>1254.2</v>
      </c>
      <c r="J94" s="7" t="n">
        <v>566.9</v>
      </c>
      <c r="L94" s="7" t="n">
        <v>952</v>
      </c>
      <c r="N94" s="7" t="n">
        <v>1014.6</v>
      </c>
      <c r="P94" s="7" t="n">
        <v>1135.7</v>
      </c>
      <c r="R94" s="7" t="n">
        <v>774.7</v>
      </c>
      <c r="T94" s="7" t="n">
        <v>1457.6</v>
      </c>
      <c r="V94" s="7" t="n">
        <v>576.3</v>
      </c>
      <c r="X94" s="7" t="n">
        <v>426</v>
      </c>
      <c r="Z94" s="7" t="n">
        <v>493.6</v>
      </c>
      <c r="AB94" s="7" t="n">
        <v>9481.700000000001</v>
      </c>
    </row>
    <row r="95">
      <c r="A95" s="4" t="inlineStr">
        <is>
          <t>无形资产摊销</t>
        </is>
      </c>
      <c r="D95" s="7" t="n">
        <v>274.6</v>
      </c>
      <c r="F95" s="7" t="n">
        <v>496.9</v>
      </c>
      <c r="H95" s="7" t="n">
        <v>767.1</v>
      </c>
      <c r="J95" s="7" t="n">
        <v>718.2</v>
      </c>
      <c r="L95" s="7" t="n">
        <v>1045.4</v>
      </c>
      <c r="N95" s="7" t="n">
        <v>1378</v>
      </c>
      <c r="P95" s="7" t="n">
        <v>1185.6</v>
      </c>
      <c r="R95" s="7" t="n">
        <v>1162</v>
      </c>
      <c r="T95" s="7" t="n">
        <v>967.9</v>
      </c>
      <c r="V95" s="7" t="n">
        <v>808.3</v>
      </c>
      <c r="X95" s="7" t="n">
        <v>555.7</v>
      </c>
      <c r="Z95" s="7" t="n">
        <v>771.9</v>
      </c>
      <c r="AB95" s="7" t="n">
        <v>10131.6</v>
      </c>
    </row>
    <row r="96">
      <c r="A96" s="4" t="inlineStr">
        <is>
          <t>研发材料</t>
        </is>
      </c>
      <c r="D96" s="7" t="n">
        <v>316.2</v>
      </c>
      <c r="F96" s="7" t="n">
        <v>308.6</v>
      </c>
      <c r="H96" s="7" t="n">
        <v>1030.9</v>
      </c>
      <c r="J96" s="7" t="n">
        <v>1037.7</v>
      </c>
      <c r="L96" s="7" t="n">
        <v>1122.5</v>
      </c>
      <c r="N96" s="7" t="n">
        <v>1217.8</v>
      </c>
      <c r="P96" s="7" t="n">
        <v>1487.1</v>
      </c>
      <c r="R96" s="7" t="n">
        <v>1033.2</v>
      </c>
      <c r="T96" s="7" t="n">
        <v>905.7</v>
      </c>
      <c r="V96" s="7" t="n">
        <v>625.7</v>
      </c>
      <c r="X96" s="7" t="n">
        <v>682.6</v>
      </c>
      <c r="Z96" s="7" t="n">
        <v>701.1</v>
      </c>
      <c r="AB96" s="7" t="n">
        <v>10469.1</v>
      </c>
    </row>
    <row r="97">
      <c r="A97" s="4" t="inlineStr">
        <is>
          <t>项目名称</t>
        </is>
      </c>
      <c r="D97" s="7" t="n">
        <v>188</v>
      </c>
      <c r="F97" s="7" t="n">
        <v>142.2</v>
      </c>
      <c r="H97" s="7" t="n">
        <v>343.3</v>
      </c>
      <c r="J97" s="7" t="n">
        <v>340.8</v>
      </c>
      <c r="L97" s="7" t="n">
        <v>341</v>
      </c>
      <c r="N97" s="7" t="n">
        <v>631.1</v>
      </c>
      <c r="P97" s="7" t="n">
        <v>621.1</v>
      </c>
      <c r="R97" s="7" t="n">
        <v>345.3</v>
      </c>
      <c r="T97" s="7" t="n">
        <v>394.3</v>
      </c>
      <c r="V97" s="7" t="n">
        <v>358.4</v>
      </c>
      <c r="X97" s="7" t="n">
        <v>195.5</v>
      </c>
      <c r="Z97" s="7" t="n">
        <v>200.2</v>
      </c>
      <c r="AB97" s="7" t="n">
        <v>4101.2</v>
      </c>
    </row>
    <row r="98">
      <c r="A98" s="4" t="inlineStr">
        <is>
          <t>研发费</t>
        </is>
      </c>
      <c r="D98" s="7" t="n">
        <v>169.9</v>
      </c>
      <c r="F98" s="7" t="n">
        <v>163.1</v>
      </c>
      <c r="H98" s="7" t="n">
        <v>632.4</v>
      </c>
      <c r="J98" s="7" t="n">
        <v>420.2</v>
      </c>
      <c r="L98" s="7" t="n">
        <v>460</v>
      </c>
      <c r="N98" s="7" t="n">
        <v>1030.8</v>
      </c>
      <c r="P98" s="7" t="n">
        <v>583.8</v>
      </c>
      <c r="R98" s="7" t="n">
        <v>567.9</v>
      </c>
      <c r="T98" s="7" t="n">
        <v>828.2</v>
      </c>
      <c r="V98" s="7" t="n">
        <v>507.8</v>
      </c>
      <c r="X98" s="7" t="n">
        <v>402.8</v>
      </c>
      <c r="Z98" s="7" t="n">
        <v>389.8</v>
      </c>
      <c r="AB98" s="7" t="n">
        <v>6156.7</v>
      </c>
    </row>
    <row r="99">
      <c r="A99" s="4" t="inlineStr">
        <is>
          <t>残保金</t>
        </is>
      </c>
      <c r="D99" s="7" t="n">
        <v>293</v>
      </c>
      <c r="F99" s="7" t="n">
        <v>240.3</v>
      </c>
      <c r="H99" s="7" t="n">
        <v>990.5</v>
      </c>
      <c r="J99" s="7" t="n">
        <v>931.1</v>
      </c>
      <c r="L99" s="7" t="n">
        <v>765.9</v>
      </c>
      <c r="N99" s="7" t="n">
        <v>1191.3</v>
      </c>
      <c r="P99" s="7" t="n">
        <v>1265.6</v>
      </c>
      <c r="R99" s="7" t="n">
        <v>658.6</v>
      </c>
      <c r="T99" s="7" t="n">
        <v>1007.1</v>
      </c>
      <c r="V99" s="7" t="n">
        <v>497.9</v>
      </c>
      <c r="X99" s="7" t="n">
        <v>628.7</v>
      </c>
      <c r="Z99" s="7" t="n">
        <v>455.5</v>
      </c>
      <c r="AB99" s="7" t="n">
        <v>8925.5</v>
      </c>
    </row>
    <row r="100">
      <c r="A100" s="4" t="inlineStr">
        <is>
          <t>环保费</t>
        </is>
      </c>
      <c r="D100" s="7" t="n">
        <v>126.1</v>
      </c>
      <c r="F100" s="7" t="n">
        <v>97.40000000000001</v>
      </c>
      <c r="H100" s="7" t="n">
        <v>235.6</v>
      </c>
      <c r="J100" s="7" t="n">
        <v>228.7</v>
      </c>
      <c r="L100" s="7" t="n">
        <v>251</v>
      </c>
      <c r="N100" s="7" t="n">
        <v>539.6</v>
      </c>
      <c r="P100" s="7" t="n">
        <v>274.5</v>
      </c>
      <c r="R100" s="7" t="n">
        <v>189.9</v>
      </c>
      <c r="T100" s="7" t="n">
        <v>294.2</v>
      </c>
      <c r="V100" s="7" t="n">
        <v>217.7</v>
      </c>
      <c r="X100" s="7" t="n">
        <v>221.1</v>
      </c>
      <c r="Z100" s="7" t="n">
        <v>210.4</v>
      </c>
      <c r="AB100" s="7" t="n">
        <v>2886.2</v>
      </c>
    </row>
    <row r="101">
      <c r="A101" s="4" t="inlineStr">
        <is>
          <t>报废损失</t>
        </is>
      </c>
      <c r="D101" s="7" t="n">
        <v>490.6</v>
      </c>
      <c r="F101" s="7" t="n">
        <v>485.2</v>
      </c>
      <c r="H101" s="7" t="n">
        <v>1004</v>
      </c>
      <c r="J101" s="7" t="n">
        <v>736.9</v>
      </c>
      <c r="L101" s="7" t="n">
        <v>1269.6</v>
      </c>
      <c r="N101" s="7" t="n">
        <v>1218.7</v>
      </c>
      <c r="P101" s="7" t="n">
        <v>1222.9</v>
      </c>
      <c r="R101" s="7" t="n">
        <v>796.2</v>
      </c>
      <c r="T101" s="7" t="n">
        <v>1736.6</v>
      </c>
      <c r="V101" s="7" t="n">
        <v>987.6</v>
      </c>
      <c r="X101" s="7" t="n">
        <v>661.8</v>
      </c>
      <c r="Z101" s="7" t="n">
        <v>538.7</v>
      </c>
      <c r="AB101" s="7" t="n">
        <v>11148.8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68453.2</v>
      </c>
      <c r="D102" s="7" t="n">
        <v>50546</v>
      </c>
      <c r="E102" s="7" t="n">
        <v>57022.6</v>
      </c>
      <c r="F102" s="7" t="n">
        <v>26502.8</v>
      </c>
      <c r="G102" s="7" t="n">
        <v>51975.6</v>
      </c>
      <c r="H102" s="7" t="n">
        <v>64921.4</v>
      </c>
      <c r="I102" s="7" t="n">
        <v>57370.2</v>
      </c>
      <c r="J102" s="7" t="n">
        <v>39414.7</v>
      </c>
      <c r="K102" s="7" t="n">
        <v>62550.2</v>
      </c>
      <c r="L102" s="7" t="n">
        <v>104884.2</v>
      </c>
      <c r="M102" s="7" t="n">
        <v>62090.1</v>
      </c>
      <c r="N102" s="7" t="n">
        <v>60448.1</v>
      </c>
      <c r="O102" s="7" t="n">
        <v>53977</v>
      </c>
      <c r="P102" s="7" t="n">
        <v>107262.2</v>
      </c>
      <c r="Q102" s="7" t="n">
        <v>66274.39999999999</v>
      </c>
      <c r="R102" s="7" t="n">
        <v>47707.4</v>
      </c>
      <c r="S102" s="7" t="n">
        <v>67970</v>
      </c>
      <c r="T102" s="7" t="n">
        <v>69698.60000000001</v>
      </c>
      <c r="U102" s="7" t="n">
        <v>64152.6</v>
      </c>
      <c r="V102" s="7" t="n">
        <v>69168.2</v>
      </c>
      <c r="W102" s="7" t="n">
        <v>58981.5</v>
      </c>
      <c r="X102" s="7" t="n">
        <v>34926</v>
      </c>
      <c r="Y102" s="7" t="n">
        <v>55513.6</v>
      </c>
      <c r="Z102" s="7" t="n">
        <v>49976.1</v>
      </c>
      <c r="AA102" s="8" t="n">
        <v>726331</v>
      </c>
      <c r="AB102" s="8" t="n">
        <v>725455.7</v>
      </c>
    </row>
    <row r="103">
      <c r="A103" s="4" t="inlineStr">
        <is>
          <t>职工薪酬</t>
        </is>
      </c>
      <c r="D103" s="7" t="n">
        <v>27306.7</v>
      </c>
      <c r="F103" s="7" t="n">
        <v>14159.9</v>
      </c>
      <c r="H103" s="7" t="n">
        <v>29654.3</v>
      </c>
      <c r="J103" s="7" t="n">
        <v>19244.5</v>
      </c>
      <c r="L103" s="7" t="n">
        <v>57935.5</v>
      </c>
      <c r="N103" s="7" t="n">
        <v>31239.2</v>
      </c>
      <c r="P103" s="7" t="n">
        <v>48649.1</v>
      </c>
      <c r="R103" s="7" t="n">
        <v>28921.9</v>
      </c>
      <c r="T103" s="7" t="n">
        <v>28864.1</v>
      </c>
      <c r="V103" s="7" t="n">
        <v>27625.4</v>
      </c>
      <c r="X103" s="7" t="n">
        <v>18942.3</v>
      </c>
      <c r="Z103" s="7" t="n">
        <v>20272.8</v>
      </c>
      <c r="AB103" s="7" t="n">
        <v>352815.7</v>
      </c>
    </row>
    <row r="104">
      <c r="A104" s="4" t="inlineStr">
        <is>
          <t>工资</t>
        </is>
      </c>
      <c r="D104" s="7" t="n">
        <v>16597.4</v>
      </c>
      <c r="F104" s="7" t="n">
        <v>8667.4</v>
      </c>
      <c r="H104" s="7" t="n">
        <v>14301.7</v>
      </c>
      <c r="J104" s="7" t="n">
        <v>10897.1</v>
      </c>
      <c r="L104" s="7" t="n">
        <v>37429.4</v>
      </c>
      <c r="N104" s="7" t="n">
        <v>17054.4</v>
      </c>
      <c r="P104" s="7" t="n">
        <v>29596.7</v>
      </c>
      <c r="R104" s="7" t="n">
        <v>17395.3</v>
      </c>
      <c r="T104" s="7" t="n">
        <v>16452.7</v>
      </c>
      <c r="V104" s="7" t="n">
        <v>16712.9</v>
      </c>
      <c r="X104" s="7" t="n">
        <v>11875.7</v>
      </c>
      <c r="Z104" s="7" t="n">
        <v>11458.1</v>
      </c>
      <c r="AB104" s="7" t="n">
        <v>208438.8</v>
      </c>
    </row>
    <row r="105">
      <c r="A105" s="4" t="inlineStr">
        <is>
          <t>奖金及提成</t>
        </is>
      </c>
      <c r="D105" s="7" t="n">
        <v>4312.6</v>
      </c>
      <c r="F105" s="7" t="n">
        <v>2604.8</v>
      </c>
      <c r="H105" s="7" t="n">
        <v>7532.6</v>
      </c>
      <c r="J105" s="7" t="n">
        <v>3803.3</v>
      </c>
      <c r="L105" s="7" t="n">
        <v>10278</v>
      </c>
      <c r="N105" s="7" t="n">
        <v>6430.6</v>
      </c>
      <c r="P105" s="7" t="n">
        <v>7919.7</v>
      </c>
      <c r="R105" s="7" t="n">
        <v>5395.7</v>
      </c>
      <c r="T105" s="7" t="n">
        <v>6103.4</v>
      </c>
      <c r="V105" s="7" t="n">
        <v>4942.6</v>
      </c>
      <c r="X105" s="7" t="n">
        <v>3042.6</v>
      </c>
      <c r="Z105" s="7" t="n">
        <v>4274.2</v>
      </c>
      <c r="AB105" s="7" t="n">
        <v>66640.10000000001</v>
      </c>
    </row>
    <row r="106">
      <c r="A106" s="4" t="inlineStr">
        <is>
          <t>社保</t>
        </is>
      </c>
      <c r="D106" s="7" t="n">
        <v>5002.8</v>
      </c>
      <c r="F106" s="7" t="n">
        <v>2147.4</v>
      </c>
      <c r="H106" s="7" t="n">
        <v>5839.5</v>
      </c>
      <c r="J106" s="7" t="n">
        <v>3431.1</v>
      </c>
      <c r="L106" s="7" t="n">
        <v>7125.7</v>
      </c>
      <c r="N106" s="7" t="n">
        <v>5946.9</v>
      </c>
      <c r="P106" s="7" t="n">
        <v>7924.6</v>
      </c>
      <c r="R106" s="7" t="n">
        <v>4767.7</v>
      </c>
      <c r="T106" s="7" t="n">
        <v>4186</v>
      </c>
      <c r="V106" s="7" t="n">
        <v>4000</v>
      </c>
      <c r="X106" s="7" t="n">
        <v>3050.9</v>
      </c>
      <c r="Z106" s="7" t="n">
        <v>3174.8</v>
      </c>
      <c r="AB106" s="7" t="n">
        <v>56597.4</v>
      </c>
    </row>
    <row r="107">
      <c r="A107" s="4" t="inlineStr">
        <is>
          <t>养老</t>
        </is>
      </c>
      <c r="D107" s="7" t="n">
        <v>322.1</v>
      </c>
      <c r="F107" s="7" t="n">
        <v>131.5</v>
      </c>
      <c r="H107" s="7" t="n">
        <v>453.5</v>
      </c>
      <c r="J107" s="7" t="n">
        <v>226.3</v>
      </c>
      <c r="L107" s="7" t="n">
        <v>637.7</v>
      </c>
      <c r="N107" s="7" t="n">
        <v>431.8</v>
      </c>
      <c r="P107" s="7" t="n">
        <v>530.7</v>
      </c>
      <c r="R107" s="7" t="n">
        <v>338.9</v>
      </c>
      <c r="T107" s="7" t="n">
        <v>439.8</v>
      </c>
      <c r="V107" s="7" t="n">
        <v>345.3</v>
      </c>
      <c r="X107" s="7" t="n">
        <v>279.1</v>
      </c>
      <c r="Z107" s="7" t="n">
        <v>410.3</v>
      </c>
      <c r="AB107" s="7" t="n">
        <v>4547</v>
      </c>
    </row>
    <row r="108">
      <c r="A108" s="4" t="inlineStr">
        <is>
          <t>医疗</t>
        </is>
      </c>
      <c r="D108" s="7" t="n">
        <v>334</v>
      </c>
      <c r="F108" s="7" t="n">
        <v>116.4</v>
      </c>
      <c r="H108" s="7" t="n">
        <v>274.5</v>
      </c>
      <c r="J108" s="7" t="n">
        <v>160.3</v>
      </c>
      <c r="L108" s="7" t="n">
        <v>532.1</v>
      </c>
      <c r="N108" s="7" t="n">
        <v>356.3</v>
      </c>
      <c r="P108" s="7" t="n">
        <v>426.7</v>
      </c>
      <c r="R108" s="7" t="n">
        <v>185.3</v>
      </c>
      <c r="T108" s="7" t="n">
        <v>370.5</v>
      </c>
      <c r="V108" s="7" t="n">
        <v>307.1</v>
      </c>
      <c r="X108" s="7" t="n">
        <v>198.4</v>
      </c>
      <c r="Z108" s="7" t="n">
        <v>210.5</v>
      </c>
      <c r="AB108" s="7" t="n">
        <v>3472.1</v>
      </c>
    </row>
    <row r="109">
      <c r="A109" s="4" t="inlineStr">
        <is>
          <t>工伤</t>
        </is>
      </c>
      <c r="D109" s="7" t="n">
        <v>166.8</v>
      </c>
      <c r="F109" s="7" t="n">
        <v>107.3</v>
      </c>
      <c r="H109" s="7" t="n">
        <v>188.4</v>
      </c>
      <c r="J109" s="7" t="n">
        <v>137.1</v>
      </c>
      <c r="L109" s="7" t="n">
        <v>339.2</v>
      </c>
      <c r="N109" s="7" t="n">
        <v>229.8</v>
      </c>
      <c r="P109" s="7" t="n">
        <v>487.2</v>
      </c>
      <c r="R109" s="7" t="n">
        <v>142.7</v>
      </c>
      <c r="T109" s="7" t="n">
        <v>194.3</v>
      </c>
      <c r="V109" s="7" t="n">
        <v>210.6</v>
      </c>
      <c r="X109" s="7" t="n">
        <v>137.1</v>
      </c>
      <c r="Z109" s="7" t="n">
        <v>188.9</v>
      </c>
      <c r="AB109" s="7" t="n">
        <v>2529.4</v>
      </c>
    </row>
    <row r="110">
      <c r="A110" s="4" t="inlineStr">
        <is>
          <t>失业</t>
        </is>
      </c>
      <c r="D110" s="7" t="n">
        <v>0.4</v>
      </c>
      <c r="F110" s="7" t="n">
        <v>0.2</v>
      </c>
      <c r="H110" s="7" t="n">
        <v>0.4</v>
      </c>
      <c r="J110" s="7" t="n">
        <v>0.3</v>
      </c>
      <c r="L110" s="7" t="n">
        <v>0.8</v>
      </c>
      <c r="N110" s="7" t="n">
        <v>0.4</v>
      </c>
      <c r="P110" s="7" t="n">
        <v>0.6</v>
      </c>
      <c r="R110" s="7" t="n">
        <v>0.3</v>
      </c>
      <c r="T110" s="7" t="n">
        <v>0.4</v>
      </c>
      <c r="V110" s="7" t="n">
        <v>0.3</v>
      </c>
      <c r="X110" s="7" t="n">
        <v>0.3</v>
      </c>
      <c r="Z110" s="7" t="n">
        <v>0.2</v>
      </c>
      <c r="AB110" s="7" t="n">
        <v>4.6</v>
      </c>
    </row>
    <row r="111">
      <c r="A111" s="4" t="inlineStr">
        <is>
          <t>生育</t>
        </is>
      </c>
      <c r="D111" s="7" t="n">
        <v>238.3</v>
      </c>
      <c r="F111" s="7" t="n">
        <v>159.7</v>
      </c>
      <c r="H111" s="7" t="n">
        <v>279.7</v>
      </c>
      <c r="J111" s="7" t="n">
        <v>199.9</v>
      </c>
      <c r="L111" s="7" t="n">
        <v>569.9</v>
      </c>
      <c r="N111" s="7" t="n">
        <v>379.1</v>
      </c>
      <c r="P111" s="7" t="n">
        <v>626.1</v>
      </c>
      <c r="R111" s="7" t="n">
        <v>215.1</v>
      </c>
      <c r="T111" s="7" t="n">
        <v>322</v>
      </c>
      <c r="V111" s="7" t="n">
        <v>258.1</v>
      </c>
      <c r="X111" s="7" t="n">
        <v>187.8</v>
      </c>
      <c r="Z111" s="7" t="n">
        <v>254.8</v>
      </c>
      <c r="AB111" s="7" t="n">
        <v>3690.5</v>
      </c>
    </row>
    <row r="112">
      <c r="A112" s="4" t="inlineStr">
        <is>
          <t>公积金</t>
        </is>
      </c>
      <c r="D112" s="7" t="n">
        <v>140.7</v>
      </c>
      <c r="F112" s="7" t="n">
        <v>66.3</v>
      </c>
      <c r="H112" s="7" t="n">
        <v>224.9</v>
      </c>
      <c r="J112" s="7" t="n">
        <v>101</v>
      </c>
      <c r="L112" s="7" t="n">
        <v>330.8</v>
      </c>
      <c r="N112" s="7" t="n">
        <v>203</v>
      </c>
      <c r="P112" s="7" t="n">
        <v>262.1</v>
      </c>
      <c r="R112" s="7" t="n">
        <v>133.8</v>
      </c>
      <c r="T112" s="7" t="n">
        <v>230.4</v>
      </c>
      <c r="V112" s="7" t="n">
        <v>227.4</v>
      </c>
      <c r="X112" s="7" t="n">
        <v>91.09999999999999</v>
      </c>
      <c r="Z112" s="7" t="n">
        <v>109.9</v>
      </c>
      <c r="AB112" s="7" t="n">
        <v>2121.4</v>
      </c>
    </row>
    <row r="113">
      <c r="A113" s="4" t="inlineStr">
        <is>
          <t>工会经费</t>
        </is>
      </c>
      <c r="D113" s="7" t="n">
        <v>185.6</v>
      </c>
      <c r="F113" s="7" t="n">
        <v>145</v>
      </c>
      <c r="H113" s="7" t="n">
        <v>310.2</v>
      </c>
      <c r="J113" s="7" t="n">
        <v>139.2</v>
      </c>
      <c r="L113" s="7" t="n">
        <v>364.4</v>
      </c>
      <c r="N113" s="7" t="n">
        <v>238.5</v>
      </c>
      <c r="P113" s="7" t="n">
        <v>514.9</v>
      </c>
      <c r="R113" s="7" t="n">
        <v>173.3</v>
      </c>
      <c r="T113" s="7" t="n">
        <v>261.1</v>
      </c>
      <c r="V113" s="7" t="n">
        <v>235.1</v>
      </c>
      <c r="X113" s="7" t="n">
        <v>187.3</v>
      </c>
      <c r="Z113" s="7" t="n">
        <v>177.1</v>
      </c>
      <c r="AB113" s="7" t="n">
        <v>2931.7</v>
      </c>
    </row>
    <row r="114">
      <c r="A114" s="4" t="inlineStr">
        <is>
          <t>职工教育经费</t>
        </is>
      </c>
      <c r="D114" s="7" t="n">
        <v>75</v>
      </c>
      <c r="F114" s="7" t="n">
        <v>32.3</v>
      </c>
      <c r="H114" s="7" t="n">
        <v>92.3</v>
      </c>
      <c r="J114" s="7" t="n">
        <v>49.9</v>
      </c>
      <c r="L114" s="7" t="n">
        <v>127.7</v>
      </c>
      <c r="N114" s="7" t="n">
        <v>99</v>
      </c>
      <c r="P114" s="7" t="n">
        <v>176.9</v>
      </c>
      <c r="R114" s="7" t="n">
        <v>70.2</v>
      </c>
      <c r="T114" s="7" t="n">
        <v>94.09999999999999</v>
      </c>
      <c r="V114" s="7" t="n">
        <v>79.7</v>
      </c>
      <c r="X114" s="7" t="n">
        <v>57.7</v>
      </c>
      <c r="Z114" s="7" t="n">
        <v>65.59999999999999</v>
      </c>
      <c r="AB114" s="7" t="n">
        <v>1020.4</v>
      </c>
    </row>
    <row r="115">
      <c r="A115" s="4" t="inlineStr">
        <is>
          <t>福利费</t>
        </is>
      </c>
      <c r="D115" s="7" t="n">
        <v>992.6</v>
      </c>
      <c r="F115" s="7" t="n">
        <v>496.7</v>
      </c>
      <c r="H115" s="7" t="n">
        <v>1353.1</v>
      </c>
      <c r="J115" s="7" t="n">
        <v>822.9</v>
      </c>
      <c r="L115" s="7" t="n">
        <v>2279.5</v>
      </c>
      <c r="N115" s="7" t="n">
        <v>1266.8</v>
      </c>
      <c r="P115" s="7" t="n">
        <v>2254.2</v>
      </c>
      <c r="R115" s="7" t="n">
        <v>985.9</v>
      </c>
      <c r="T115" s="7" t="n">
        <v>1536.4</v>
      </c>
      <c r="V115" s="7" t="n">
        <v>1427.7</v>
      </c>
      <c r="X115" s="7" t="n">
        <v>637</v>
      </c>
      <c r="Z115" s="7" t="n">
        <v>1013.1</v>
      </c>
      <c r="AB115" s="7" t="n">
        <v>15065.9</v>
      </c>
    </row>
    <row r="116">
      <c r="A116" s="4" t="inlineStr">
        <is>
          <t>职工房租</t>
        </is>
      </c>
      <c r="D116" s="7" t="n">
        <v>307.1</v>
      </c>
      <c r="F116" s="7" t="n">
        <v>138.2</v>
      </c>
      <c r="H116" s="7" t="n">
        <v>370.8</v>
      </c>
      <c r="J116" s="7" t="n">
        <v>171.6</v>
      </c>
      <c r="L116" s="7" t="n">
        <v>741.9</v>
      </c>
      <c r="N116" s="7" t="n">
        <v>392.6</v>
      </c>
      <c r="P116" s="7" t="n">
        <v>583.3</v>
      </c>
      <c r="R116" s="7" t="n">
        <v>291.1</v>
      </c>
      <c r="T116" s="7" t="n">
        <v>424.3</v>
      </c>
      <c r="V116" s="7" t="n">
        <v>309.7</v>
      </c>
      <c r="X116" s="7" t="n">
        <v>153.4</v>
      </c>
      <c r="Z116" s="7" t="n">
        <v>239.1</v>
      </c>
      <c r="AB116" s="7" t="n">
        <v>4123.1</v>
      </c>
    </row>
    <row r="117">
      <c r="A117" s="4" t="inlineStr">
        <is>
          <t>水电物业费</t>
        </is>
      </c>
      <c r="D117" s="7" t="n">
        <v>96.3</v>
      </c>
      <c r="F117" s="7" t="n">
        <v>52.2</v>
      </c>
      <c r="H117" s="7" t="n">
        <v>140</v>
      </c>
      <c r="J117" s="7" t="n">
        <v>82.90000000000001</v>
      </c>
      <c r="L117" s="7" t="n">
        <v>172.2</v>
      </c>
      <c r="N117" s="7" t="n">
        <v>97.8</v>
      </c>
      <c r="P117" s="7" t="n">
        <v>155.7</v>
      </c>
      <c r="R117" s="7" t="n">
        <v>73.90000000000001</v>
      </c>
      <c r="T117" s="7" t="n">
        <v>138.2</v>
      </c>
      <c r="V117" s="7" t="n">
        <v>137.1</v>
      </c>
      <c r="X117" s="7" t="n">
        <v>64.90000000000001</v>
      </c>
      <c r="Z117" s="7" t="n">
        <v>101.3</v>
      </c>
      <c r="AB117" s="7" t="n">
        <v>1312.5</v>
      </c>
    </row>
    <row r="118">
      <c r="A118" s="4" t="inlineStr">
        <is>
          <t>员工餐</t>
        </is>
      </c>
      <c r="D118" s="7" t="n">
        <v>85.90000000000001</v>
      </c>
      <c r="F118" s="7" t="n">
        <v>54.3</v>
      </c>
      <c r="H118" s="7" t="n">
        <v>138.9</v>
      </c>
      <c r="J118" s="7" t="n">
        <v>62</v>
      </c>
      <c r="L118" s="7" t="n">
        <v>168.9</v>
      </c>
      <c r="N118" s="7" t="n">
        <v>148.5</v>
      </c>
      <c r="P118" s="7" t="n">
        <v>259.8</v>
      </c>
      <c r="R118" s="7" t="n">
        <v>107.7</v>
      </c>
      <c r="T118" s="7" t="n">
        <v>172.8</v>
      </c>
      <c r="V118" s="7" t="n">
        <v>128.3</v>
      </c>
      <c r="X118" s="7" t="n">
        <v>62.8</v>
      </c>
      <c r="Z118" s="7" t="n">
        <v>96.5</v>
      </c>
      <c r="AB118" s="7" t="n">
        <v>1486.4</v>
      </c>
    </row>
    <row r="119">
      <c r="A119" s="4" t="inlineStr">
        <is>
          <t>节日礼品</t>
        </is>
      </c>
      <c r="D119" s="7" t="n">
        <v>157.6</v>
      </c>
      <c r="F119" s="7" t="n">
        <v>98.59999999999999</v>
      </c>
      <c r="H119" s="7" t="n">
        <v>232.8</v>
      </c>
      <c r="J119" s="7" t="n">
        <v>186.8</v>
      </c>
      <c r="L119" s="7" t="n">
        <v>441.4</v>
      </c>
      <c r="N119" s="7" t="n">
        <v>233.3</v>
      </c>
      <c r="P119" s="7" t="n">
        <v>425.5</v>
      </c>
      <c r="R119" s="7" t="n">
        <v>159.5</v>
      </c>
      <c r="T119" s="7" t="n">
        <v>267.8</v>
      </c>
      <c r="V119" s="7" t="n">
        <v>305</v>
      </c>
      <c r="X119" s="7" t="n">
        <v>106.8</v>
      </c>
      <c r="Z119" s="7" t="n">
        <v>228.8</v>
      </c>
      <c r="AB119" s="7" t="n">
        <v>2843.9</v>
      </c>
    </row>
    <row r="120">
      <c r="A120" s="4" t="inlineStr">
        <is>
          <t>生日礼品</t>
        </is>
      </c>
      <c r="D120" s="7" t="n">
        <v>157.6</v>
      </c>
      <c r="F120" s="7" t="n">
        <v>68.3</v>
      </c>
      <c r="H120" s="7" t="n">
        <v>203.8</v>
      </c>
      <c r="J120" s="7" t="n">
        <v>136.1</v>
      </c>
      <c r="L120" s="7" t="n">
        <v>324.1</v>
      </c>
      <c r="N120" s="7" t="n">
        <v>155</v>
      </c>
      <c r="P120" s="7" t="n">
        <v>331.6</v>
      </c>
      <c r="R120" s="7" t="n">
        <v>187.7</v>
      </c>
      <c r="T120" s="7" t="n">
        <v>287.2</v>
      </c>
      <c r="V120" s="7" t="n">
        <v>219.1</v>
      </c>
      <c r="X120" s="7" t="n">
        <v>95.40000000000001</v>
      </c>
      <c r="Z120" s="7" t="n">
        <v>117.4</v>
      </c>
      <c r="AB120" s="7" t="n">
        <v>2283.3</v>
      </c>
    </row>
    <row r="121">
      <c r="A121" s="4" t="inlineStr">
        <is>
          <t>体检</t>
        </is>
      </c>
      <c r="D121" s="7" t="n">
        <v>99.3</v>
      </c>
      <c r="F121" s="7" t="n">
        <v>47.9</v>
      </c>
      <c r="H121" s="7" t="n">
        <v>158.9</v>
      </c>
      <c r="J121" s="7" t="n">
        <v>113.8</v>
      </c>
      <c r="L121" s="7" t="n">
        <v>246.6</v>
      </c>
      <c r="N121" s="7" t="n">
        <v>125.6</v>
      </c>
      <c r="P121" s="7" t="n">
        <v>331.2</v>
      </c>
      <c r="R121" s="7" t="n">
        <v>90.90000000000001</v>
      </c>
      <c r="T121" s="7" t="n">
        <v>130.2</v>
      </c>
      <c r="V121" s="7" t="n">
        <v>183.4</v>
      </c>
      <c r="X121" s="7" t="n">
        <v>104.6</v>
      </c>
      <c r="Z121" s="7" t="n">
        <v>137.8</v>
      </c>
      <c r="AB121" s="7" t="n">
        <v>1770.2</v>
      </c>
    </row>
    <row r="122">
      <c r="A122" s="4" t="inlineStr">
        <is>
          <t>其他福利支出</t>
        </is>
      </c>
      <c r="D122" s="7" t="n">
        <v>88.8</v>
      </c>
      <c r="F122" s="7" t="n">
        <v>37.2</v>
      </c>
      <c r="H122" s="7" t="n">
        <v>107.9</v>
      </c>
      <c r="J122" s="7" t="n">
        <v>69.7</v>
      </c>
      <c r="L122" s="7" t="n">
        <v>184.4</v>
      </c>
      <c r="N122" s="7" t="n">
        <v>114</v>
      </c>
      <c r="P122" s="7" t="n">
        <v>167.1</v>
      </c>
      <c r="R122" s="7" t="n">
        <v>75.09999999999999</v>
      </c>
      <c r="T122" s="7" t="n">
        <v>115.9</v>
      </c>
      <c r="V122" s="7" t="n">
        <v>145.1</v>
      </c>
      <c r="X122" s="7" t="n">
        <v>49.1</v>
      </c>
      <c r="Z122" s="7" t="n">
        <v>92.2</v>
      </c>
      <c r="AB122" s="7" t="n">
        <v>1246.5</v>
      </c>
    </row>
    <row r="123">
      <c r="A123" s="4" t="inlineStr">
        <is>
          <t>招聘费</t>
        </is>
      </c>
      <c r="D123" s="7" t="n">
        <v>286.8</v>
      </c>
      <c r="F123" s="7" t="n">
        <v>108.9</v>
      </c>
      <c r="H123" s="7" t="n">
        <v>365.7</v>
      </c>
      <c r="J123" s="7" t="n">
        <v>186.2</v>
      </c>
      <c r="L123" s="7" t="n">
        <v>470.1</v>
      </c>
      <c r="N123" s="7" t="n">
        <v>258.2</v>
      </c>
      <c r="P123" s="7" t="n">
        <v>581.2</v>
      </c>
      <c r="R123" s="7" t="n">
        <v>315.5</v>
      </c>
      <c r="T123" s="7" t="n">
        <v>406.8</v>
      </c>
      <c r="V123" s="7" t="n">
        <v>291.3</v>
      </c>
      <c r="X123" s="7" t="n">
        <v>223.7</v>
      </c>
      <c r="Z123" s="7" t="n">
        <v>218.9</v>
      </c>
      <c r="AB123" s="7" t="n">
        <v>3713.3</v>
      </c>
    </row>
    <row r="124">
      <c r="A124" s="4" t="inlineStr">
        <is>
          <t>办公费</t>
        </is>
      </c>
      <c r="D124" s="7" t="n">
        <v>1086.2</v>
      </c>
      <c r="F124" s="7" t="n">
        <v>675.9</v>
      </c>
      <c r="H124" s="7" t="n">
        <v>1729.3</v>
      </c>
      <c r="J124" s="7" t="n">
        <v>1209.9</v>
      </c>
      <c r="L124" s="7" t="n">
        <v>3270</v>
      </c>
      <c r="N124" s="7" t="n">
        <v>1914.8</v>
      </c>
      <c r="P124" s="7" t="n">
        <v>3994.8</v>
      </c>
      <c r="R124" s="7" t="n">
        <v>1797.9</v>
      </c>
      <c r="T124" s="7" t="n">
        <v>1735.2</v>
      </c>
      <c r="V124" s="7" t="n">
        <v>2138.8</v>
      </c>
      <c r="X124" s="7" t="n">
        <v>1223.4</v>
      </c>
      <c r="Z124" s="7" t="n">
        <v>1257.6</v>
      </c>
      <c r="AB124" s="7" t="n">
        <v>22033.8</v>
      </c>
    </row>
    <row r="125">
      <c r="A125" s="4" t="inlineStr">
        <is>
          <t>市内交通费</t>
        </is>
      </c>
      <c r="D125" s="7" t="n">
        <v>9.6</v>
      </c>
      <c r="F125" s="7" t="n">
        <v>4.9</v>
      </c>
      <c r="H125" s="7" t="n">
        <v>12.8</v>
      </c>
      <c r="J125" s="7" t="n">
        <v>7.9</v>
      </c>
      <c r="L125" s="7" t="n">
        <v>18.3</v>
      </c>
      <c r="N125" s="7" t="n">
        <v>9.4</v>
      </c>
      <c r="P125" s="7" t="n">
        <v>24</v>
      </c>
      <c r="R125" s="7" t="n">
        <v>10.3</v>
      </c>
      <c r="T125" s="7" t="n">
        <v>13.5</v>
      </c>
      <c r="V125" s="7" t="n">
        <v>10.4</v>
      </c>
      <c r="X125" s="7" t="n">
        <v>8.199999999999999</v>
      </c>
      <c r="Z125" s="7" t="n">
        <v>10.8</v>
      </c>
      <c r="AB125" s="7" t="n">
        <v>140.1</v>
      </c>
    </row>
    <row r="126">
      <c r="A126" s="4" t="inlineStr">
        <is>
          <t>差旅费</t>
        </is>
      </c>
      <c r="D126" s="7" t="n">
        <v>3409.3</v>
      </c>
      <c r="F126" s="7" t="n">
        <v>2017.6</v>
      </c>
      <c r="H126" s="7" t="n">
        <v>2992.2</v>
      </c>
      <c r="J126" s="7" t="n">
        <v>2569</v>
      </c>
      <c r="L126" s="7" t="n">
        <v>6227.2</v>
      </c>
      <c r="N126" s="7" t="n">
        <v>2664.3</v>
      </c>
      <c r="P126" s="7" t="n">
        <v>5778.6</v>
      </c>
      <c r="R126" s="7" t="n">
        <v>2386.8</v>
      </c>
      <c r="T126" s="7" t="n">
        <v>3089</v>
      </c>
      <c r="V126" s="7" t="n">
        <v>5165.6</v>
      </c>
      <c r="X126" s="7" t="n">
        <v>1529.6</v>
      </c>
      <c r="Z126" s="7" t="n">
        <v>3435.4</v>
      </c>
      <c r="AB126" s="7" t="n">
        <v>41264.6</v>
      </c>
    </row>
    <row r="127">
      <c r="A127" s="4" t="inlineStr">
        <is>
          <t>交通费</t>
        </is>
      </c>
      <c r="D127" s="7" t="n">
        <v>238</v>
      </c>
      <c r="F127" s="7" t="n">
        <v>89.3</v>
      </c>
      <c r="H127" s="7" t="n">
        <v>283.4</v>
      </c>
      <c r="J127" s="7" t="n">
        <v>137.7</v>
      </c>
      <c r="L127" s="7" t="n">
        <v>374.5</v>
      </c>
      <c r="N127" s="7" t="n">
        <v>268.5</v>
      </c>
      <c r="P127" s="7" t="n">
        <v>487.6</v>
      </c>
      <c r="R127" s="7" t="n">
        <v>152.8</v>
      </c>
      <c r="T127" s="7" t="n">
        <v>320.2</v>
      </c>
      <c r="V127" s="7" t="n">
        <v>300.9</v>
      </c>
      <c r="X127" s="7" t="n">
        <v>164.9</v>
      </c>
      <c r="Z127" s="7" t="n">
        <v>290.6</v>
      </c>
      <c r="AB127" s="7" t="n">
        <v>3108.4</v>
      </c>
    </row>
    <row r="128">
      <c r="A128" s="4" t="inlineStr">
        <is>
          <t>住宿费</t>
        </is>
      </c>
      <c r="D128" s="7" t="n">
        <v>97.2</v>
      </c>
      <c r="F128" s="7" t="n">
        <v>83.3</v>
      </c>
      <c r="H128" s="7" t="n">
        <v>153.6</v>
      </c>
      <c r="J128" s="7" t="n">
        <v>100.3</v>
      </c>
      <c r="L128" s="7" t="n">
        <v>294.1</v>
      </c>
      <c r="N128" s="7" t="n">
        <v>186.4</v>
      </c>
      <c r="P128" s="7" t="n">
        <v>320.1</v>
      </c>
      <c r="R128" s="7" t="n">
        <v>137</v>
      </c>
      <c r="T128" s="7" t="n">
        <v>219.6</v>
      </c>
      <c r="V128" s="7" t="n">
        <v>179.1</v>
      </c>
      <c r="X128" s="7" t="n">
        <v>79.90000000000001</v>
      </c>
      <c r="Z128" s="7" t="n">
        <v>140.2</v>
      </c>
      <c r="AB128" s="7" t="n">
        <v>1990.8</v>
      </c>
    </row>
    <row r="129">
      <c r="A129" s="4" t="inlineStr">
        <is>
          <t>餐补</t>
        </is>
      </c>
      <c r="D129" s="7" t="n">
        <v>151.9</v>
      </c>
      <c r="F129" s="7" t="n">
        <v>86.40000000000001</v>
      </c>
      <c r="H129" s="7" t="n">
        <v>324.5</v>
      </c>
      <c r="J129" s="7" t="n">
        <v>123.3</v>
      </c>
      <c r="L129" s="7" t="n">
        <v>332.6</v>
      </c>
      <c r="N129" s="7" t="n">
        <v>214.7</v>
      </c>
      <c r="P129" s="7" t="n">
        <v>532.3</v>
      </c>
      <c r="R129" s="7" t="n">
        <v>229.3</v>
      </c>
      <c r="T129" s="7" t="n">
        <v>368.8</v>
      </c>
      <c r="V129" s="7" t="n">
        <v>258.7</v>
      </c>
      <c r="X129" s="7" t="n">
        <v>163.4</v>
      </c>
      <c r="Z129" s="7" t="n">
        <v>211.1</v>
      </c>
      <c r="AB129" s="7" t="n">
        <v>2997</v>
      </c>
    </row>
    <row r="130">
      <c r="A130" s="4" t="inlineStr">
        <is>
          <t>交通补助</t>
        </is>
      </c>
      <c r="D130" s="7" t="n">
        <v>134.9</v>
      </c>
      <c r="F130" s="7" t="n">
        <v>117.4</v>
      </c>
      <c r="H130" s="7" t="n">
        <v>291.4</v>
      </c>
      <c r="J130" s="7" t="n">
        <v>132.6</v>
      </c>
      <c r="L130" s="7" t="n">
        <v>366</v>
      </c>
      <c r="N130" s="7" t="n">
        <v>228.6</v>
      </c>
      <c r="P130" s="7" t="n">
        <v>417.6</v>
      </c>
      <c r="R130" s="7" t="n">
        <v>213.1</v>
      </c>
      <c r="T130" s="7" t="n">
        <v>274.6</v>
      </c>
      <c r="V130" s="7" t="n">
        <v>228.8</v>
      </c>
      <c r="X130" s="7" t="n">
        <v>103.6</v>
      </c>
      <c r="Z130" s="7" t="n">
        <v>227</v>
      </c>
      <c r="AB130" s="7" t="n">
        <v>2735.6</v>
      </c>
    </row>
    <row r="131">
      <c r="A131" s="4" t="inlineStr">
        <is>
          <t>通讯补助</t>
        </is>
      </c>
      <c r="D131" s="7" t="n">
        <v>50.2</v>
      </c>
      <c r="F131" s="7" t="n">
        <v>36.8</v>
      </c>
      <c r="H131" s="7" t="n">
        <v>109.8</v>
      </c>
      <c r="J131" s="7" t="n">
        <v>47.6</v>
      </c>
      <c r="L131" s="7" t="n">
        <v>125.4</v>
      </c>
      <c r="N131" s="7" t="n">
        <v>94.5</v>
      </c>
      <c r="P131" s="7" t="n">
        <v>161.4</v>
      </c>
      <c r="R131" s="7" t="n">
        <v>72.09999999999999</v>
      </c>
      <c r="T131" s="7" t="n">
        <v>69.7</v>
      </c>
      <c r="V131" s="7" t="n">
        <v>96</v>
      </c>
      <c r="X131" s="7" t="n">
        <v>48.8</v>
      </c>
      <c r="Z131" s="7" t="n">
        <v>54.5</v>
      </c>
      <c r="AB131" s="7" t="n">
        <v>966.8</v>
      </c>
    </row>
    <row r="132">
      <c r="A132" s="4" t="inlineStr">
        <is>
          <t>招待费</t>
        </is>
      </c>
      <c r="D132" s="7" t="n">
        <v>2523.9</v>
      </c>
      <c r="F132" s="7" t="n">
        <v>1064.6</v>
      </c>
      <c r="H132" s="7" t="n">
        <v>1956</v>
      </c>
      <c r="J132" s="7" t="n">
        <v>1897.4</v>
      </c>
      <c r="L132" s="7" t="n">
        <v>3468.5</v>
      </c>
      <c r="N132" s="7" t="n">
        <v>2930</v>
      </c>
      <c r="P132" s="7" t="n">
        <v>4832.4</v>
      </c>
      <c r="R132" s="7" t="n">
        <v>2078.1</v>
      </c>
      <c r="T132" s="7" t="n">
        <v>3435.4</v>
      </c>
      <c r="V132" s="7" t="n">
        <v>2025.6</v>
      </c>
      <c r="X132" s="7" t="n">
        <v>1422.5</v>
      </c>
      <c r="Z132" s="7" t="n">
        <v>2536.1</v>
      </c>
      <c r="AB132" s="7" t="n">
        <v>30170.5</v>
      </c>
    </row>
    <row r="133">
      <c r="A133" s="4" t="inlineStr">
        <is>
          <t>通讯费</t>
        </is>
      </c>
      <c r="D133" s="7" t="n">
        <v>177.7</v>
      </c>
      <c r="F133" s="7" t="n">
        <v>99.90000000000001</v>
      </c>
      <c r="H133" s="7" t="n">
        <v>354.6</v>
      </c>
      <c r="J133" s="7" t="n">
        <v>180.3</v>
      </c>
      <c r="L133" s="7" t="n">
        <v>458.6</v>
      </c>
      <c r="N133" s="7" t="n">
        <v>275.5</v>
      </c>
      <c r="P133" s="7" t="n">
        <v>399</v>
      </c>
      <c r="R133" s="7" t="n">
        <v>242.3</v>
      </c>
      <c r="T133" s="7" t="n">
        <v>256.1</v>
      </c>
      <c r="V133" s="7" t="n">
        <v>295.4</v>
      </c>
      <c r="X133" s="7" t="n">
        <v>188.8</v>
      </c>
      <c r="Z133" s="7" t="n">
        <v>254.9</v>
      </c>
      <c r="AB133" s="7" t="n">
        <v>3183.1</v>
      </c>
    </row>
    <row r="134">
      <c r="A134" s="4" t="inlineStr">
        <is>
          <t>网络费</t>
        </is>
      </c>
      <c r="D134" s="7" t="n">
        <v>107.9</v>
      </c>
      <c r="F134" s="7" t="n">
        <v>88.09999999999999</v>
      </c>
      <c r="H134" s="7" t="n">
        <v>133.9</v>
      </c>
      <c r="J134" s="7" t="n">
        <v>116.4</v>
      </c>
      <c r="L134" s="7" t="n">
        <v>294.6</v>
      </c>
      <c r="N134" s="7" t="n">
        <v>143.8</v>
      </c>
      <c r="P134" s="7" t="n">
        <v>214.1</v>
      </c>
      <c r="R134" s="7" t="n">
        <v>159.4</v>
      </c>
      <c r="T134" s="7" t="n">
        <v>170.8</v>
      </c>
      <c r="V134" s="7" t="n">
        <v>202.9</v>
      </c>
      <c r="X134" s="7" t="n">
        <v>70.8</v>
      </c>
      <c r="Z134" s="7" t="n">
        <v>136.2</v>
      </c>
      <c r="AB134" s="7" t="n">
        <v>1838.9</v>
      </c>
    </row>
    <row r="135">
      <c r="A135" s="4" t="inlineStr">
        <is>
          <t>修理费</t>
        </is>
      </c>
      <c r="D135" s="7" t="n">
        <v>49.5</v>
      </c>
      <c r="F135" s="7" t="n">
        <v>24.9</v>
      </c>
      <c r="H135" s="7" t="n">
        <v>70.2</v>
      </c>
      <c r="J135" s="7" t="n">
        <v>38</v>
      </c>
      <c r="L135" s="7" t="n">
        <v>93.8</v>
      </c>
      <c r="N135" s="7" t="n">
        <v>72.3</v>
      </c>
      <c r="P135" s="7" t="n">
        <v>142.7</v>
      </c>
      <c r="R135" s="7" t="n">
        <v>60.9</v>
      </c>
      <c r="T135" s="7" t="n">
        <v>62.8</v>
      </c>
      <c r="V135" s="7" t="n">
        <v>78.40000000000001</v>
      </c>
      <c r="X135" s="7" t="n">
        <v>39.3</v>
      </c>
      <c r="Z135" s="7" t="n">
        <v>61.8</v>
      </c>
      <c r="AB135" s="7" t="n">
        <v>794.6</v>
      </c>
    </row>
    <row r="136">
      <c r="A136" s="4" t="inlineStr">
        <is>
          <t>车辆费</t>
        </is>
      </c>
      <c r="D136" s="7" t="n">
        <v>40.5</v>
      </c>
      <c r="F136" s="7" t="n">
        <v>18.6</v>
      </c>
      <c r="H136" s="7" t="n">
        <v>60</v>
      </c>
      <c r="J136" s="7" t="n">
        <v>34</v>
      </c>
      <c r="L136" s="7" t="n">
        <v>67.40000000000001</v>
      </c>
      <c r="N136" s="7" t="n">
        <v>61.1</v>
      </c>
      <c r="P136" s="7" t="n">
        <v>101.4</v>
      </c>
      <c r="R136" s="7" t="n">
        <v>47.8</v>
      </c>
      <c r="T136" s="7" t="n">
        <v>43.2</v>
      </c>
      <c r="V136" s="7" t="n">
        <v>66.5</v>
      </c>
      <c r="X136" s="7" t="n">
        <v>21</v>
      </c>
      <c r="Z136" s="7" t="n">
        <v>43</v>
      </c>
      <c r="AB136" s="7" t="n">
        <v>604.5</v>
      </c>
    </row>
    <row r="137">
      <c r="A137" s="4" t="inlineStr">
        <is>
          <t>租赁费</t>
        </is>
      </c>
      <c r="D137" s="7" t="n">
        <v>2890.9</v>
      </c>
      <c r="F137" s="7" t="n">
        <v>1184.1</v>
      </c>
      <c r="H137" s="7" t="n">
        <v>3987.3</v>
      </c>
      <c r="J137" s="7" t="n">
        <v>1458.5</v>
      </c>
      <c r="L137" s="7" t="n">
        <v>5996.4</v>
      </c>
      <c r="N137" s="7" t="n">
        <v>3895.5</v>
      </c>
      <c r="P137" s="7" t="n">
        <v>6806.9</v>
      </c>
      <c r="R137" s="7" t="n">
        <v>2033.4</v>
      </c>
      <c r="T137" s="7" t="n">
        <v>3471.4</v>
      </c>
      <c r="V137" s="7" t="n">
        <v>3294.4</v>
      </c>
      <c r="X137" s="7" t="n">
        <v>1410.5</v>
      </c>
      <c r="Z137" s="7" t="n">
        <v>3151.1</v>
      </c>
      <c r="AB137" s="7" t="n">
        <v>39580.4</v>
      </c>
    </row>
    <row r="138">
      <c r="A138" s="4" t="inlineStr">
        <is>
          <t>能源费</t>
        </is>
      </c>
      <c r="D138" s="7" t="n">
        <v>708.3</v>
      </c>
      <c r="F138" s="7" t="n">
        <v>374.2</v>
      </c>
      <c r="H138" s="7" t="n">
        <v>918.4</v>
      </c>
      <c r="J138" s="7" t="n">
        <v>583.2</v>
      </c>
      <c r="L138" s="7" t="n">
        <v>1588</v>
      </c>
      <c r="N138" s="7" t="n">
        <v>847.1</v>
      </c>
      <c r="P138" s="7" t="n">
        <v>1423.3</v>
      </c>
      <c r="R138" s="7" t="n">
        <v>775.3</v>
      </c>
      <c r="T138" s="7" t="n">
        <v>868.4</v>
      </c>
      <c r="V138" s="7" t="n">
        <v>1027.5</v>
      </c>
      <c r="X138" s="7" t="n">
        <v>564.4</v>
      </c>
      <c r="Z138" s="7" t="n">
        <v>825.8</v>
      </c>
      <c r="AB138" s="7" t="n">
        <v>10503.9</v>
      </c>
    </row>
    <row r="139">
      <c r="A139" s="4" t="inlineStr">
        <is>
          <t>水费</t>
        </is>
      </c>
      <c r="D139" s="7" t="n">
        <v>163.9</v>
      </c>
      <c r="F139" s="7" t="n">
        <v>72.90000000000001</v>
      </c>
      <c r="H139" s="7" t="n">
        <v>220.6</v>
      </c>
      <c r="J139" s="7" t="n">
        <v>167.2</v>
      </c>
      <c r="L139" s="7" t="n">
        <v>405.2</v>
      </c>
      <c r="N139" s="7" t="n">
        <v>155.1</v>
      </c>
      <c r="P139" s="7" t="n">
        <v>453.9</v>
      </c>
      <c r="R139" s="7" t="n">
        <v>170.5</v>
      </c>
      <c r="T139" s="7" t="n">
        <v>238.4</v>
      </c>
      <c r="V139" s="7" t="n">
        <v>276</v>
      </c>
      <c r="X139" s="7" t="n">
        <v>114.7</v>
      </c>
      <c r="Z139" s="7" t="n">
        <v>231.8</v>
      </c>
      <c r="AB139" s="7" t="n">
        <v>2670.2</v>
      </c>
    </row>
    <row r="140">
      <c r="A140" s="4" t="inlineStr">
        <is>
          <t>电费</t>
        </is>
      </c>
      <c r="D140" s="7" t="n">
        <v>16.1</v>
      </c>
      <c r="F140" s="7" t="n">
        <v>9</v>
      </c>
      <c r="H140" s="7" t="n">
        <v>17.4</v>
      </c>
      <c r="J140" s="7" t="n">
        <v>14.7</v>
      </c>
      <c r="L140" s="7" t="n">
        <v>33.2</v>
      </c>
      <c r="N140" s="7" t="n">
        <v>17.9</v>
      </c>
      <c r="P140" s="7" t="n">
        <v>35</v>
      </c>
      <c r="R140" s="7" t="n">
        <v>18</v>
      </c>
      <c r="T140" s="7" t="n">
        <v>15.2</v>
      </c>
      <c r="V140" s="7" t="n">
        <v>27</v>
      </c>
      <c r="X140" s="7" t="n">
        <v>11.3</v>
      </c>
      <c r="Z140" s="7" t="n">
        <v>18.4</v>
      </c>
      <c r="AB140" s="7" t="n">
        <v>233.2</v>
      </c>
    </row>
    <row r="141">
      <c r="A141" s="4" t="inlineStr">
        <is>
          <t>燃气费</t>
        </is>
      </c>
      <c r="D141" s="7" t="n">
        <v>227.4</v>
      </c>
      <c r="F141" s="7" t="n">
        <v>132.1</v>
      </c>
      <c r="H141" s="7" t="n">
        <v>369.5</v>
      </c>
      <c r="J141" s="7" t="n">
        <v>162.9</v>
      </c>
      <c r="L141" s="7" t="n">
        <v>612.5</v>
      </c>
      <c r="N141" s="7" t="n">
        <v>349.6</v>
      </c>
      <c r="P141" s="7" t="n">
        <v>470</v>
      </c>
      <c r="R141" s="7" t="n">
        <v>220.9</v>
      </c>
      <c r="T141" s="7" t="n">
        <v>237.6</v>
      </c>
      <c r="V141" s="7" t="n">
        <v>262.5</v>
      </c>
      <c r="X141" s="7" t="n">
        <v>205.6</v>
      </c>
      <c r="Z141" s="7" t="n">
        <v>226.2</v>
      </c>
      <c r="AB141" s="7" t="n">
        <v>3476.8</v>
      </c>
    </row>
    <row r="142">
      <c r="A142" s="4" t="inlineStr">
        <is>
          <t>蒸汽费</t>
        </is>
      </c>
      <c r="D142" s="7" t="n">
        <v>300.9</v>
      </c>
      <c r="F142" s="7" t="n">
        <v>160.2</v>
      </c>
      <c r="H142" s="7" t="n">
        <v>310.9</v>
      </c>
      <c r="J142" s="7" t="n">
        <v>238.4</v>
      </c>
      <c r="L142" s="7" t="n">
        <v>537.1</v>
      </c>
      <c r="N142" s="7" t="n">
        <v>324.5</v>
      </c>
      <c r="P142" s="7" t="n">
        <v>464.4</v>
      </c>
      <c r="R142" s="7" t="n">
        <v>365.9</v>
      </c>
      <c r="T142" s="7" t="n">
        <v>377.2</v>
      </c>
      <c r="V142" s="7" t="n">
        <v>462</v>
      </c>
      <c r="X142" s="7" t="n">
        <v>232.8</v>
      </c>
      <c r="Z142" s="7" t="n">
        <v>349.4</v>
      </c>
      <c r="AB142" s="7" t="n">
        <v>4123.7</v>
      </c>
    </row>
    <row r="143">
      <c r="A143" s="4" t="inlineStr">
        <is>
          <t>物业费</t>
        </is>
      </c>
      <c r="D143" s="7" t="n">
        <v>237</v>
      </c>
      <c r="F143" s="7" t="n">
        <v>175.8</v>
      </c>
      <c r="H143" s="7" t="n">
        <v>494</v>
      </c>
      <c r="J143" s="7" t="n">
        <v>294</v>
      </c>
      <c r="L143" s="7" t="n">
        <v>544.5</v>
      </c>
      <c r="N143" s="7" t="n">
        <v>444.2</v>
      </c>
      <c r="P143" s="7" t="n">
        <v>629.6</v>
      </c>
      <c r="R143" s="7" t="n">
        <v>368.8</v>
      </c>
      <c r="T143" s="7" t="n">
        <v>350.3</v>
      </c>
      <c r="V143" s="7" t="n">
        <v>360.4</v>
      </c>
      <c r="X143" s="7" t="n">
        <v>192.1</v>
      </c>
      <c r="Z143" s="7" t="n">
        <v>384.4</v>
      </c>
      <c r="AB143" s="7" t="n">
        <v>4475.1</v>
      </c>
    </row>
    <row r="144">
      <c r="A144" s="4" t="inlineStr">
        <is>
          <t>劳动保护费</t>
        </is>
      </c>
      <c r="D144" s="7" t="n">
        <v>32</v>
      </c>
      <c r="F144" s="7" t="n">
        <v>17.8</v>
      </c>
      <c r="H144" s="7" t="n">
        <v>35.5</v>
      </c>
      <c r="J144" s="7" t="n">
        <v>21</v>
      </c>
      <c r="L144" s="7" t="n">
        <v>56.8</v>
      </c>
      <c r="N144" s="7" t="n">
        <v>47.9</v>
      </c>
      <c r="P144" s="7" t="n">
        <v>81</v>
      </c>
      <c r="R144" s="7" t="n">
        <v>25.4</v>
      </c>
      <c r="T144" s="7" t="n">
        <v>47.4</v>
      </c>
      <c r="V144" s="7" t="n">
        <v>47</v>
      </c>
      <c r="X144" s="7" t="n">
        <v>17.1</v>
      </c>
      <c r="Z144" s="7" t="n">
        <v>26.8</v>
      </c>
      <c r="AB144" s="7" t="n">
        <v>455.7</v>
      </c>
    </row>
    <row r="145">
      <c r="A145" s="4" t="inlineStr">
        <is>
          <t>顾问费</t>
        </is>
      </c>
      <c r="D145" s="7" t="n">
        <v>308.8</v>
      </c>
      <c r="F145" s="7" t="n">
        <v>99</v>
      </c>
      <c r="H145" s="7" t="n">
        <v>365</v>
      </c>
      <c r="J145" s="7" t="n">
        <v>201.3</v>
      </c>
      <c r="L145" s="7" t="n">
        <v>506.4</v>
      </c>
      <c r="N145" s="7" t="n">
        <v>396.3</v>
      </c>
      <c r="P145" s="7" t="n">
        <v>429.1</v>
      </c>
      <c r="R145" s="7" t="n">
        <v>278.5</v>
      </c>
      <c r="T145" s="7" t="n">
        <v>372.8</v>
      </c>
      <c r="V145" s="7" t="n">
        <v>401.3</v>
      </c>
      <c r="X145" s="7" t="n">
        <v>238.5</v>
      </c>
      <c r="Z145" s="7" t="n">
        <v>251.7</v>
      </c>
      <c r="AB145" s="7" t="n">
        <v>3848.7</v>
      </c>
    </row>
    <row r="146">
      <c r="A146" s="4" t="inlineStr">
        <is>
          <t>快递费</t>
        </is>
      </c>
      <c r="D146" s="7" t="n">
        <v>96.90000000000001</v>
      </c>
      <c r="F146" s="7" t="n">
        <v>49.8</v>
      </c>
      <c r="H146" s="7" t="n">
        <v>88.90000000000001</v>
      </c>
      <c r="J146" s="7" t="n">
        <v>70.59999999999999</v>
      </c>
      <c r="L146" s="7" t="n">
        <v>153.6</v>
      </c>
      <c r="N146" s="7" t="n">
        <v>111.1</v>
      </c>
      <c r="P146" s="7" t="n">
        <v>216.6</v>
      </c>
      <c r="R146" s="7" t="n">
        <v>106.1</v>
      </c>
      <c r="T146" s="7" t="n">
        <v>122.8</v>
      </c>
      <c r="V146" s="7" t="n">
        <v>110.8</v>
      </c>
      <c r="X146" s="7" t="n">
        <v>75.2</v>
      </c>
      <c r="Z146" s="7" t="n">
        <v>70.09999999999999</v>
      </c>
      <c r="AB146" s="7" t="n">
        <v>1272.5</v>
      </c>
    </row>
    <row r="147">
      <c r="A147" s="4" t="inlineStr">
        <is>
          <t>诉讼费</t>
        </is>
      </c>
      <c r="D147" s="7" t="n">
        <v>359.8</v>
      </c>
      <c r="F147" s="7" t="n">
        <v>161.9</v>
      </c>
      <c r="H147" s="7" t="n">
        <v>383.6</v>
      </c>
      <c r="J147" s="7" t="n">
        <v>217.9</v>
      </c>
      <c r="L147" s="7" t="n">
        <v>689.2</v>
      </c>
      <c r="N147" s="7" t="n">
        <v>309.6</v>
      </c>
      <c r="P147" s="7" t="n">
        <v>439.9</v>
      </c>
      <c r="R147" s="7" t="n">
        <v>325.7</v>
      </c>
      <c r="T147" s="7" t="n">
        <v>447.7</v>
      </c>
      <c r="V147" s="7" t="n">
        <v>272.5</v>
      </c>
      <c r="X147" s="7" t="n">
        <v>157.5</v>
      </c>
      <c r="Z147" s="7" t="n">
        <v>255.6</v>
      </c>
      <c r="AB147" s="7" t="n">
        <v>4020.9</v>
      </c>
    </row>
    <row r="148">
      <c r="A148" s="4" t="inlineStr">
        <is>
          <t>会员费</t>
        </is>
      </c>
      <c r="D148" s="7" t="n">
        <v>165.3</v>
      </c>
      <c r="F148" s="7" t="n">
        <v>112.1</v>
      </c>
      <c r="H148" s="7" t="n">
        <v>339.6</v>
      </c>
      <c r="J148" s="7" t="n">
        <v>114.9</v>
      </c>
      <c r="L148" s="7" t="n">
        <v>540.2</v>
      </c>
      <c r="N148" s="7" t="n">
        <v>206.5</v>
      </c>
      <c r="P148" s="7" t="n">
        <v>403</v>
      </c>
      <c r="R148" s="7" t="n">
        <v>179.2</v>
      </c>
      <c r="T148" s="7" t="n">
        <v>295.8</v>
      </c>
      <c r="V148" s="7" t="n">
        <v>352.9</v>
      </c>
      <c r="X148" s="7" t="n">
        <v>134.7</v>
      </c>
      <c r="Z148" s="7" t="n">
        <v>162.4</v>
      </c>
      <c r="AB148" s="7" t="n">
        <v>3006.6</v>
      </c>
    </row>
    <row r="149">
      <c r="A149" s="4" t="inlineStr">
        <is>
          <t>广告宣传费</t>
        </is>
      </c>
      <c r="D149" s="7" t="n">
        <v>1214.2</v>
      </c>
      <c r="F149" s="7" t="n">
        <v>722.1</v>
      </c>
      <c r="H149" s="7" t="n">
        <v>1634.1</v>
      </c>
      <c r="J149" s="7" t="n">
        <v>1099.9</v>
      </c>
      <c r="L149" s="7" t="n">
        <v>3276.2</v>
      </c>
      <c r="N149" s="7" t="n">
        <v>1370.5</v>
      </c>
      <c r="P149" s="7" t="n">
        <v>2378.8</v>
      </c>
      <c r="R149" s="7" t="n">
        <v>1708.4</v>
      </c>
      <c r="T149" s="7" t="n">
        <v>2445.3</v>
      </c>
      <c r="V149" s="7" t="n">
        <v>1691.4</v>
      </c>
      <c r="X149" s="7" t="n">
        <v>1158.9</v>
      </c>
      <c r="Z149" s="7" t="n">
        <v>1801.3</v>
      </c>
      <c r="AB149" s="7" t="n">
        <v>20501.1</v>
      </c>
    </row>
    <row r="150">
      <c r="A150" s="4" t="inlineStr">
        <is>
          <t>会务费</t>
        </is>
      </c>
      <c r="D150" s="7" t="n">
        <v>307.6</v>
      </c>
      <c r="F150" s="7" t="n">
        <v>121.7</v>
      </c>
      <c r="H150" s="7" t="n">
        <v>293.1</v>
      </c>
      <c r="J150" s="7" t="n">
        <v>221.1</v>
      </c>
      <c r="L150" s="7" t="n">
        <v>430.5</v>
      </c>
      <c r="N150" s="7" t="n">
        <v>220.5</v>
      </c>
      <c r="P150" s="7" t="n">
        <v>532.6</v>
      </c>
      <c r="R150" s="7" t="n">
        <v>200.1</v>
      </c>
      <c r="T150" s="7" t="n">
        <v>415.7</v>
      </c>
      <c r="V150" s="7" t="n">
        <v>310.1</v>
      </c>
      <c r="X150" s="7" t="n">
        <v>148</v>
      </c>
      <c r="Z150" s="7" t="n">
        <v>307.6</v>
      </c>
      <c r="AB150" s="7" t="n">
        <v>3508.6</v>
      </c>
    </row>
    <row r="151">
      <c r="A151" s="4" t="inlineStr">
        <is>
          <t>装修费</t>
        </is>
      </c>
      <c r="D151" s="7" t="n">
        <v>228.8</v>
      </c>
      <c r="F151" s="7" t="n">
        <v>98.2</v>
      </c>
      <c r="H151" s="7" t="n">
        <v>242</v>
      </c>
      <c r="J151" s="7" t="n">
        <v>143.9</v>
      </c>
      <c r="L151" s="7" t="n">
        <v>428</v>
      </c>
      <c r="N151" s="7" t="n">
        <v>337.8</v>
      </c>
      <c r="P151" s="7" t="n">
        <v>542.1</v>
      </c>
      <c r="R151" s="7" t="n">
        <v>196</v>
      </c>
      <c r="T151" s="7" t="n">
        <v>382.8</v>
      </c>
      <c r="V151" s="7" t="n">
        <v>260.9</v>
      </c>
      <c r="X151" s="7" t="n">
        <v>111.6</v>
      </c>
      <c r="Z151" s="7" t="n">
        <v>212.4</v>
      </c>
      <c r="AB151" s="7" t="n">
        <v>3184.5</v>
      </c>
    </row>
    <row r="152">
      <c r="A152" s="4" t="inlineStr">
        <is>
          <t>推广费</t>
        </is>
      </c>
      <c r="D152" s="7" t="n">
        <v>318.1</v>
      </c>
      <c r="F152" s="7" t="n">
        <v>113.2</v>
      </c>
      <c r="H152" s="7" t="n">
        <v>292.3</v>
      </c>
      <c r="J152" s="7" t="n">
        <v>216.7</v>
      </c>
      <c r="L152" s="7" t="n">
        <v>517.2</v>
      </c>
      <c r="N152" s="7" t="n">
        <v>343.5</v>
      </c>
      <c r="P152" s="7" t="n">
        <v>443.6</v>
      </c>
      <c r="R152" s="7" t="n">
        <v>227.1</v>
      </c>
      <c r="T152" s="7" t="n">
        <v>263.2</v>
      </c>
      <c r="V152" s="7" t="n">
        <v>315.8</v>
      </c>
      <c r="X152" s="7" t="n">
        <v>167.4</v>
      </c>
      <c r="Z152" s="7" t="n">
        <v>317.8</v>
      </c>
      <c r="AB152" s="7" t="n">
        <v>3535.9</v>
      </c>
    </row>
    <row r="153">
      <c r="A153" s="4" t="inlineStr">
        <is>
          <t>展会费</t>
        </is>
      </c>
      <c r="D153" s="7" t="n">
        <v>173.9</v>
      </c>
      <c r="F153" s="7" t="n">
        <v>128.9</v>
      </c>
      <c r="H153" s="7" t="n">
        <v>297.9</v>
      </c>
      <c r="J153" s="7" t="n">
        <v>161.3</v>
      </c>
      <c r="L153" s="7" t="n">
        <v>501.2</v>
      </c>
      <c r="N153" s="7" t="n">
        <v>271.1</v>
      </c>
      <c r="P153" s="7" t="n">
        <v>525.4</v>
      </c>
      <c r="R153" s="7" t="n">
        <v>192.5</v>
      </c>
      <c r="T153" s="7" t="n">
        <v>324</v>
      </c>
      <c r="V153" s="7" t="n">
        <v>328.2</v>
      </c>
      <c r="X153" s="7" t="n">
        <v>159.6</v>
      </c>
      <c r="Z153" s="7" t="n">
        <v>230.8</v>
      </c>
      <c r="AB153" s="7" t="n">
        <v>3294.8</v>
      </c>
    </row>
    <row r="154">
      <c r="A154" s="4" t="inlineStr">
        <is>
          <t>设计费</t>
        </is>
      </c>
      <c r="D154" s="7" t="n">
        <v>78.8</v>
      </c>
      <c r="F154" s="7" t="n">
        <v>53.7</v>
      </c>
      <c r="H154" s="7" t="n">
        <v>129.6</v>
      </c>
      <c r="J154" s="7" t="n">
        <v>61.3</v>
      </c>
      <c r="L154" s="7" t="n">
        <v>153.3</v>
      </c>
      <c r="N154" s="7" t="n">
        <v>88.09999999999999</v>
      </c>
      <c r="P154" s="7" t="n">
        <v>132.6</v>
      </c>
      <c r="R154" s="7" t="n">
        <v>94.7</v>
      </c>
      <c r="T154" s="7" t="n">
        <v>107.2</v>
      </c>
      <c r="V154" s="7" t="n">
        <v>82</v>
      </c>
      <c r="X154" s="7" t="n">
        <v>55.5</v>
      </c>
      <c r="Z154" s="7" t="n">
        <v>96.3</v>
      </c>
      <c r="AB154" s="7" t="n">
        <v>1133.1</v>
      </c>
    </row>
    <row r="155">
      <c r="A155" s="4" t="inlineStr">
        <is>
          <t>折旧费</t>
        </is>
      </c>
      <c r="D155" s="7" t="n">
        <v>2049.8</v>
      </c>
      <c r="F155" s="7" t="n">
        <v>745</v>
      </c>
      <c r="H155" s="7" t="n">
        <v>3005.1</v>
      </c>
      <c r="J155" s="7" t="n">
        <v>1858.6</v>
      </c>
      <c r="L155" s="7" t="n">
        <v>3793.2</v>
      </c>
      <c r="N155" s="7" t="n">
        <v>1890.4</v>
      </c>
      <c r="P155" s="7" t="n">
        <v>4312.8</v>
      </c>
      <c r="R155" s="7" t="n">
        <v>1857.1</v>
      </c>
      <c r="T155" s="7" t="n">
        <v>3514.9</v>
      </c>
      <c r="V155" s="7" t="n">
        <v>3573.4</v>
      </c>
      <c r="X155" s="7" t="n">
        <v>1597.9</v>
      </c>
      <c r="Z155" s="7" t="n">
        <v>2131.6</v>
      </c>
      <c r="AB155" s="7" t="n">
        <v>30329.8</v>
      </c>
    </row>
    <row r="156">
      <c r="A156" s="4" t="inlineStr">
        <is>
          <t>认证费</t>
        </is>
      </c>
      <c r="D156" s="7" t="n">
        <v>123.4</v>
      </c>
      <c r="F156" s="7" t="n">
        <v>89.3</v>
      </c>
      <c r="H156" s="7" t="n">
        <v>163.9</v>
      </c>
      <c r="J156" s="7" t="n">
        <v>109.4</v>
      </c>
      <c r="L156" s="7" t="n">
        <v>294.9</v>
      </c>
      <c r="N156" s="7" t="n">
        <v>136.2</v>
      </c>
      <c r="P156" s="7" t="n">
        <v>200.7</v>
      </c>
      <c r="R156" s="7" t="n">
        <v>140.9</v>
      </c>
      <c r="T156" s="7" t="n">
        <v>179</v>
      </c>
      <c r="V156" s="7" t="n">
        <v>221</v>
      </c>
      <c r="X156" s="7" t="n">
        <v>99.90000000000001</v>
      </c>
      <c r="Z156" s="7" t="n">
        <v>161.1</v>
      </c>
      <c r="AB156" s="7" t="n">
        <v>1919.7</v>
      </c>
    </row>
    <row r="157">
      <c r="A157" s="4" t="inlineStr">
        <is>
          <t>样品费</t>
        </is>
      </c>
      <c r="D157" s="7" t="n">
        <v>1233.2</v>
      </c>
      <c r="F157" s="7" t="n">
        <v>508.8</v>
      </c>
      <c r="H157" s="7" t="n">
        <v>949</v>
      </c>
      <c r="J157" s="7" t="n">
        <v>952.1</v>
      </c>
      <c r="L157" s="7" t="n">
        <v>2250.3</v>
      </c>
      <c r="N157" s="7" t="n">
        <v>1505.1</v>
      </c>
      <c r="P157" s="7" t="n">
        <v>1605.7</v>
      </c>
      <c r="R157" s="7" t="n">
        <v>1219.4</v>
      </c>
      <c r="T157" s="7" t="n">
        <v>1155.5</v>
      </c>
      <c r="V157" s="7" t="n">
        <v>1403</v>
      </c>
      <c r="X157" s="7" t="n">
        <v>822.6</v>
      </c>
      <c r="Z157" s="7" t="n">
        <v>1270</v>
      </c>
      <c r="AB157" s="7" t="n">
        <v>14874.7</v>
      </c>
    </row>
    <row r="158">
      <c r="A158" s="4" t="inlineStr">
        <is>
          <t>劳务费</t>
        </is>
      </c>
      <c r="D158" s="7" t="n">
        <v>299.4</v>
      </c>
      <c r="F158" s="7" t="n">
        <v>146.2</v>
      </c>
      <c r="H158" s="7" t="n">
        <v>392.3</v>
      </c>
      <c r="J158" s="7" t="n">
        <v>220.5</v>
      </c>
      <c r="L158" s="7" t="n">
        <v>615.1</v>
      </c>
      <c r="N158" s="7" t="n">
        <v>330.9</v>
      </c>
      <c r="P158" s="7" t="n">
        <v>715.8</v>
      </c>
      <c r="R158" s="7" t="n">
        <v>217.6</v>
      </c>
      <c r="T158" s="7" t="n">
        <v>484.4</v>
      </c>
      <c r="V158" s="7" t="n">
        <v>403.2</v>
      </c>
      <c r="X158" s="7" t="n">
        <v>152</v>
      </c>
      <c r="Z158" s="7" t="n">
        <v>231.5</v>
      </c>
      <c r="AB158" s="7" t="n">
        <v>4208.9</v>
      </c>
    </row>
    <row r="159">
      <c r="A159" s="4" t="inlineStr">
        <is>
          <t>销售佣金</t>
        </is>
      </c>
      <c r="D159" s="7" t="n">
        <v>142.6</v>
      </c>
      <c r="F159" s="7" t="n">
        <v>88.59999999999999</v>
      </c>
      <c r="H159" s="7" t="n">
        <v>237.2</v>
      </c>
      <c r="J159" s="7" t="n">
        <v>102.7</v>
      </c>
      <c r="L159" s="7" t="n">
        <v>294.2</v>
      </c>
      <c r="N159" s="7" t="n">
        <v>160.6</v>
      </c>
      <c r="P159" s="7" t="n">
        <v>442.2</v>
      </c>
      <c r="R159" s="7" t="n">
        <v>163.9</v>
      </c>
      <c r="T159" s="7" t="n">
        <v>243.4</v>
      </c>
      <c r="V159" s="7" t="n">
        <v>214.2</v>
      </c>
      <c r="X159" s="7" t="n">
        <v>113.7</v>
      </c>
      <c r="Z159" s="7" t="n">
        <v>114.5</v>
      </c>
      <c r="AB159" s="7" t="n">
        <v>2317.8</v>
      </c>
    </row>
    <row r="160">
      <c r="A160" s="4" t="inlineStr">
        <is>
          <t>检测费</t>
        </is>
      </c>
      <c r="D160" s="7" t="n">
        <v>406.4</v>
      </c>
      <c r="F160" s="7" t="n">
        <v>151.8</v>
      </c>
      <c r="H160" s="7" t="n">
        <v>517.8</v>
      </c>
      <c r="J160" s="7" t="n">
        <v>274.4</v>
      </c>
      <c r="L160" s="7" t="n">
        <v>785</v>
      </c>
      <c r="N160" s="7" t="n">
        <v>365.8</v>
      </c>
      <c r="P160" s="7" t="n">
        <v>772.2</v>
      </c>
      <c r="R160" s="7" t="n">
        <v>358.8</v>
      </c>
      <c r="T160" s="7" t="n">
        <v>373.8</v>
      </c>
      <c r="V160" s="7" t="n">
        <v>401.2</v>
      </c>
      <c r="X160" s="7" t="n">
        <v>162.6</v>
      </c>
      <c r="Z160" s="7" t="n">
        <v>382.3</v>
      </c>
      <c r="AB160" s="7" t="n">
        <v>4952.1</v>
      </c>
    </row>
    <row r="161">
      <c r="A161" s="4" t="inlineStr">
        <is>
          <t>质量赔偿</t>
        </is>
      </c>
      <c r="D161" s="7" t="n">
        <v>213.3</v>
      </c>
      <c r="F161" s="7" t="n">
        <v>105.1</v>
      </c>
      <c r="H161" s="7" t="n">
        <v>330.7</v>
      </c>
      <c r="J161" s="7" t="n">
        <v>144</v>
      </c>
      <c r="L161" s="7" t="n">
        <v>617.9</v>
      </c>
      <c r="N161" s="7" t="n">
        <v>303.6</v>
      </c>
      <c r="P161" s="7" t="n">
        <v>422</v>
      </c>
      <c r="R161" s="7" t="n">
        <v>210.7</v>
      </c>
      <c r="T161" s="7" t="n">
        <v>331.3</v>
      </c>
      <c r="V161" s="7" t="n">
        <v>299.2</v>
      </c>
      <c r="X161" s="7" t="n">
        <v>123.6</v>
      </c>
      <c r="Z161" s="7" t="n">
        <v>191.1</v>
      </c>
      <c r="AB161" s="7" t="n">
        <v>3292.5</v>
      </c>
    </row>
    <row r="162">
      <c r="A162" s="4" t="inlineStr">
        <is>
          <t>保险费</t>
        </is>
      </c>
      <c r="D162" s="7" t="n">
        <v>22.5</v>
      </c>
      <c r="F162" s="7" t="n">
        <v>11.8</v>
      </c>
      <c r="H162" s="7" t="n">
        <v>24.3</v>
      </c>
      <c r="J162" s="7" t="n">
        <v>17.6</v>
      </c>
      <c r="L162" s="7" t="n">
        <v>49.8</v>
      </c>
      <c r="N162" s="7" t="n">
        <v>21.1</v>
      </c>
      <c r="P162" s="7" t="n">
        <v>31.5</v>
      </c>
      <c r="R162" s="7" t="n">
        <v>16.1</v>
      </c>
      <c r="T162" s="7" t="n">
        <v>30.5</v>
      </c>
      <c r="V162" s="7" t="n">
        <v>25.5</v>
      </c>
      <c r="X162" s="7" t="n">
        <v>15</v>
      </c>
      <c r="Z162" s="7" t="n">
        <v>19.7</v>
      </c>
      <c r="AB162" s="7" t="n">
        <v>285.4</v>
      </c>
    </row>
    <row r="163">
      <c r="A163" s="4" t="inlineStr">
        <is>
          <t>清洁费</t>
        </is>
      </c>
      <c r="D163" s="7" t="n">
        <v>214.2</v>
      </c>
      <c r="F163" s="7" t="n">
        <v>143.8</v>
      </c>
      <c r="H163" s="7" t="n">
        <v>338</v>
      </c>
      <c r="J163" s="7" t="n">
        <v>227.1</v>
      </c>
      <c r="L163" s="7" t="n">
        <v>494</v>
      </c>
      <c r="N163" s="7" t="n">
        <v>312.2</v>
      </c>
      <c r="P163" s="7" t="n">
        <v>391.1</v>
      </c>
      <c r="R163" s="7" t="n">
        <v>221.6</v>
      </c>
      <c r="T163" s="7" t="n">
        <v>310.7</v>
      </c>
      <c r="V163" s="7" t="n">
        <v>314.1</v>
      </c>
      <c r="X163" s="7" t="n">
        <v>123.9</v>
      </c>
      <c r="Z163" s="7" t="n">
        <v>300.1</v>
      </c>
      <c r="AB163" s="7" t="n">
        <v>3390.8</v>
      </c>
    </row>
    <row r="164">
      <c r="A164" s="4" t="inlineStr">
        <is>
          <t>低值易耗品</t>
        </is>
      </c>
      <c r="D164" s="7" t="n">
        <v>5.4</v>
      </c>
      <c r="F164" s="7" t="n">
        <v>4.4</v>
      </c>
      <c r="H164" s="7" t="n">
        <v>8.9</v>
      </c>
      <c r="J164" s="7" t="n">
        <v>5.9</v>
      </c>
      <c r="L164" s="7" t="n">
        <v>15.9</v>
      </c>
      <c r="N164" s="7" t="n">
        <v>6.5</v>
      </c>
      <c r="P164" s="7" t="n">
        <v>18.1</v>
      </c>
      <c r="R164" s="7" t="n">
        <v>7.4</v>
      </c>
      <c r="T164" s="7" t="n">
        <v>7</v>
      </c>
      <c r="V164" s="7" t="n">
        <v>8.6</v>
      </c>
      <c r="X164" s="7" t="n">
        <v>6.2</v>
      </c>
      <c r="Z164" s="7" t="n">
        <v>8.699999999999999</v>
      </c>
      <c r="AB164" s="7" t="n">
        <v>103</v>
      </c>
    </row>
    <row r="165">
      <c r="A165" s="4" t="inlineStr">
        <is>
          <t>物料消耗</t>
        </is>
      </c>
      <c r="D165" s="7" t="n">
        <v>59.7</v>
      </c>
      <c r="F165" s="7" t="n">
        <v>28.8</v>
      </c>
      <c r="H165" s="7" t="n">
        <v>61.2</v>
      </c>
      <c r="J165" s="7" t="n">
        <v>38.7</v>
      </c>
      <c r="L165" s="7" t="n">
        <v>117.2</v>
      </c>
      <c r="N165" s="7" t="n">
        <v>42.6</v>
      </c>
      <c r="P165" s="7" t="n">
        <v>86</v>
      </c>
      <c r="R165" s="7" t="n">
        <v>41.3</v>
      </c>
      <c r="T165" s="7" t="n">
        <v>53.1</v>
      </c>
      <c r="V165" s="7" t="n">
        <v>84.7</v>
      </c>
      <c r="X165" s="7" t="n">
        <v>38.8</v>
      </c>
      <c r="Z165" s="7" t="n">
        <v>40.1</v>
      </c>
      <c r="AB165" s="7" t="n">
        <v>692.2</v>
      </c>
    </row>
    <row r="166">
      <c r="A166" s="4" t="inlineStr">
        <is>
          <t>盘盈盘亏</t>
        </is>
      </c>
      <c r="D166" s="7" t="n">
        <v>87.5</v>
      </c>
      <c r="F166" s="7" t="n">
        <v>56.9</v>
      </c>
      <c r="H166" s="7" t="n">
        <v>110.7</v>
      </c>
      <c r="J166" s="7" t="n">
        <v>79</v>
      </c>
      <c r="L166" s="7" t="n">
        <v>221.4</v>
      </c>
      <c r="N166" s="7" t="n">
        <v>138.4</v>
      </c>
      <c r="P166" s="7" t="n">
        <v>241.9</v>
      </c>
      <c r="R166" s="7" t="n">
        <v>79.90000000000001</v>
      </c>
      <c r="T166" s="7" t="n">
        <v>142.1</v>
      </c>
      <c r="V166" s="7" t="n">
        <v>152.3</v>
      </c>
      <c r="X166" s="7" t="n">
        <v>55</v>
      </c>
      <c r="Z166" s="7" t="n">
        <v>83</v>
      </c>
      <c r="AB166" s="7" t="n">
        <v>1448.1</v>
      </c>
    </row>
    <row r="167">
      <c r="A167" s="4" t="inlineStr">
        <is>
          <t>平台服务费</t>
        </is>
      </c>
      <c r="D167" s="7" t="n">
        <v>138.9</v>
      </c>
      <c r="F167" s="7" t="n">
        <v>75.40000000000001</v>
      </c>
      <c r="H167" s="7" t="n">
        <v>225.6</v>
      </c>
      <c r="J167" s="7" t="n">
        <v>141.1</v>
      </c>
      <c r="L167" s="7" t="n">
        <v>293.1</v>
      </c>
      <c r="N167" s="7" t="n">
        <v>145</v>
      </c>
      <c r="P167" s="7" t="n">
        <v>239.5</v>
      </c>
      <c r="R167" s="7" t="n">
        <v>133.2</v>
      </c>
      <c r="T167" s="7" t="n">
        <v>174.4</v>
      </c>
      <c r="V167" s="7" t="n">
        <v>182.4</v>
      </c>
      <c r="X167" s="7" t="n">
        <v>98.40000000000001</v>
      </c>
      <c r="Z167" s="7" t="n">
        <v>137.9</v>
      </c>
      <c r="AB167" s="7" t="n">
        <v>1984.9</v>
      </c>
    </row>
    <row r="168">
      <c r="A168" s="4" t="inlineStr">
        <is>
          <t>无形资产摊销</t>
        </is>
      </c>
      <c r="D168" s="7" t="n">
        <v>276.2</v>
      </c>
      <c r="F168" s="7" t="n">
        <v>109.5</v>
      </c>
      <c r="H168" s="7" t="n">
        <v>363.9</v>
      </c>
      <c r="J168" s="7" t="n">
        <v>168.7</v>
      </c>
      <c r="L168" s="7" t="n">
        <v>412.3</v>
      </c>
      <c r="N168" s="7" t="n">
        <v>194</v>
      </c>
      <c r="P168" s="7" t="n">
        <v>507.5</v>
      </c>
      <c r="R168" s="7" t="n">
        <v>263.1</v>
      </c>
      <c r="T168" s="7" t="n">
        <v>385.4</v>
      </c>
      <c r="V168" s="7" t="n">
        <v>325.6</v>
      </c>
      <c r="X168" s="7" t="n">
        <v>183.7</v>
      </c>
      <c r="Z168" s="7" t="n">
        <v>190.1</v>
      </c>
      <c r="AB168" s="7" t="n">
        <v>3380</v>
      </c>
    </row>
    <row r="169">
      <c r="A169" s="4" t="inlineStr">
        <is>
          <t>研发材料</t>
        </is>
      </c>
      <c r="D169" s="7" t="n">
        <v>191.3</v>
      </c>
      <c r="F169" s="7" t="n">
        <v>79.7</v>
      </c>
      <c r="H169" s="7" t="n">
        <v>182.3</v>
      </c>
      <c r="J169" s="7" t="n">
        <v>111.8</v>
      </c>
      <c r="L169" s="7" t="n">
        <v>287.7</v>
      </c>
      <c r="N169" s="7" t="n">
        <v>171.2</v>
      </c>
      <c r="P169" s="7" t="n">
        <v>349.2</v>
      </c>
      <c r="R169" s="7" t="n">
        <v>139.7</v>
      </c>
      <c r="T169" s="7" t="n">
        <v>238.5</v>
      </c>
      <c r="V169" s="7" t="n">
        <v>271.9</v>
      </c>
      <c r="X169" s="7" t="n">
        <v>109.9</v>
      </c>
      <c r="Z169" s="7" t="n">
        <v>158.5</v>
      </c>
      <c r="AB169" s="7" t="n">
        <v>2291.7</v>
      </c>
    </row>
    <row r="170">
      <c r="A170" s="4" t="inlineStr">
        <is>
          <t>项目名称</t>
        </is>
      </c>
      <c r="D170" s="7" t="n">
        <v>100.5</v>
      </c>
      <c r="F170" s="7" t="n">
        <v>31.6</v>
      </c>
      <c r="H170" s="7" t="n">
        <v>124.4</v>
      </c>
      <c r="J170" s="7" t="n">
        <v>55.4</v>
      </c>
      <c r="L170" s="7" t="n">
        <v>162.9</v>
      </c>
      <c r="N170" s="7" t="n">
        <v>95.7</v>
      </c>
      <c r="P170" s="7" t="n">
        <v>175.8</v>
      </c>
      <c r="R170" s="7" t="n">
        <v>56.8</v>
      </c>
      <c r="T170" s="7" t="n">
        <v>141.9</v>
      </c>
      <c r="V170" s="7" t="n">
        <v>82.09999999999999</v>
      </c>
      <c r="X170" s="7" t="n">
        <v>70.90000000000001</v>
      </c>
      <c r="Z170" s="7" t="n">
        <v>79.2</v>
      </c>
      <c r="AB170" s="7" t="n">
        <v>1177.2</v>
      </c>
    </row>
    <row r="171">
      <c r="A171" s="4" t="inlineStr">
        <is>
          <t>研发费</t>
        </is>
      </c>
      <c r="D171" s="7" t="n">
        <v>104</v>
      </c>
      <c r="F171" s="7" t="n">
        <v>59.6</v>
      </c>
      <c r="H171" s="7" t="n">
        <v>123.8</v>
      </c>
      <c r="J171" s="7" t="n">
        <v>69</v>
      </c>
      <c r="L171" s="7" t="n">
        <v>217.2</v>
      </c>
      <c r="N171" s="7" t="n">
        <v>138.2</v>
      </c>
      <c r="P171" s="7" t="n">
        <v>205.7</v>
      </c>
      <c r="R171" s="7" t="n">
        <v>129.4</v>
      </c>
      <c r="T171" s="7" t="n">
        <v>119.3</v>
      </c>
      <c r="V171" s="7" t="n">
        <v>169.4</v>
      </c>
      <c r="X171" s="7" t="n">
        <v>95.3</v>
      </c>
      <c r="Z171" s="7" t="n">
        <v>126.2</v>
      </c>
      <c r="AB171" s="7" t="n">
        <v>1557.1</v>
      </c>
    </row>
    <row r="172">
      <c r="A172" s="4" t="inlineStr">
        <is>
          <t>残保金</t>
        </is>
      </c>
      <c r="D172" s="7" t="n">
        <v>18.7</v>
      </c>
      <c r="F172" s="7" t="n">
        <v>9.199999999999999</v>
      </c>
      <c r="H172" s="7" t="n">
        <v>23.3</v>
      </c>
      <c r="J172" s="7" t="n">
        <v>11.1</v>
      </c>
      <c r="L172" s="7" t="n">
        <v>29.2</v>
      </c>
      <c r="N172" s="7" t="n">
        <v>18.5</v>
      </c>
      <c r="P172" s="7" t="n">
        <v>27.7</v>
      </c>
      <c r="R172" s="7" t="n">
        <v>12.7</v>
      </c>
      <c r="T172" s="7" t="n">
        <v>18.2</v>
      </c>
      <c r="V172" s="7" t="n">
        <v>17.9</v>
      </c>
      <c r="X172" s="7" t="n">
        <v>13.7</v>
      </c>
      <c r="Z172" s="7" t="n">
        <v>18</v>
      </c>
      <c r="AB172" s="7" t="n">
        <v>218.2</v>
      </c>
    </row>
    <row r="173">
      <c r="A173" s="4" t="inlineStr">
        <is>
          <t>环保费</t>
        </is>
      </c>
      <c r="D173" s="7" t="n">
        <v>206.9</v>
      </c>
      <c r="F173" s="7" t="n">
        <v>96.40000000000001</v>
      </c>
      <c r="H173" s="7" t="n">
        <v>354.6</v>
      </c>
      <c r="J173" s="7" t="n">
        <v>211.2</v>
      </c>
      <c r="L173" s="7" t="n">
        <v>548.9</v>
      </c>
      <c r="N173" s="7" t="n">
        <v>201.9</v>
      </c>
      <c r="P173" s="7" t="n">
        <v>436.1</v>
      </c>
      <c r="R173" s="7" t="n">
        <v>264.3</v>
      </c>
      <c r="T173" s="7" t="n">
        <v>322.8</v>
      </c>
      <c r="V173" s="7" t="n">
        <v>371</v>
      </c>
      <c r="X173" s="7" t="n">
        <v>165.3</v>
      </c>
      <c r="Z173" s="7" t="n">
        <v>151.9</v>
      </c>
      <c r="AB173" s="7" t="n">
        <v>3331.3</v>
      </c>
    </row>
    <row r="174">
      <c r="A174" s="4" t="inlineStr">
        <is>
          <t>报废损失</t>
        </is>
      </c>
      <c r="D174" s="7" t="n">
        <v>271.8</v>
      </c>
      <c r="F174" s="7" t="n">
        <v>119.4</v>
      </c>
      <c r="H174" s="7" t="n">
        <v>530.1</v>
      </c>
      <c r="J174" s="7" t="n">
        <v>282.8</v>
      </c>
      <c r="L174" s="7" t="n">
        <v>488.9</v>
      </c>
      <c r="N174" s="7" t="n">
        <v>433.4</v>
      </c>
      <c r="P174" s="7" t="n">
        <v>801.1</v>
      </c>
      <c r="R174" s="7" t="n">
        <v>315</v>
      </c>
      <c r="T174" s="7" t="n">
        <v>504.4</v>
      </c>
      <c r="V174" s="7" t="n">
        <v>398.4</v>
      </c>
      <c r="X174" s="7" t="n">
        <v>209.1</v>
      </c>
      <c r="Z174" s="7" t="n">
        <v>234.6</v>
      </c>
      <c r="AB174" s="7" t="n">
        <v>4589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36467.9</v>
      </c>
      <c r="D175" s="7" t="n">
        <v>25394.8</v>
      </c>
      <c r="E175" s="7" t="n">
        <v>31356.5</v>
      </c>
      <c r="F175" s="7" t="n">
        <v>22462.4</v>
      </c>
      <c r="G175" s="7" t="n">
        <v>28203.6</v>
      </c>
      <c r="H175" s="7" t="n">
        <v>29971.9</v>
      </c>
      <c r="I175" s="7" t="n">
        <v>34539.2</v>
      </c>
      <c r="J175" s="7" t="n">
        <v>36966.4</v>
      </c>
      <c r="K175" s="7" t="n">
        <v>32021.3</v>
      </c>
      <c r="L175" s="7" t="n">
        <v>51270.4</v>
      </c>
      <c r="M175" s="7" t="n">
        <v>31581.9</v>
      </c>
      <c r="N175" s="7" t="n">
        <v>57260.1</v>
      </c>
      <c r="O175" s="7" t="n">
        <v>28363.6</v>
      </c>
      <c r="P175" s="7" t="n">
        <v>19449.2</v>
      </c>
      <c r="Q175" s="7" t="n">
        <v>33692.8</v>
      </c>
      <c r="R175" s="7" t="n">
        <v>14919.1</v>
      </c>
      <c r="S175" s="7" t="n">
        <v>33742</v>
      </c>
      <c r="T175" s="7" t="n">
        <v>41874</v>
      </c>
      <c r="U175" s="7" t="n">
        <v>32416.1</v>
      </c>
      <c r="V175" s="7" t="n">
        <v>37053.4</v>
      </c>
      <c r="W175" s="7" t="n">
        <v>33945.7</v>
      </c>
      <c r="X175" s="7" t="n">
        <v>33659.7</v>
      </c>
      <c r="Y175" s="7" t="n">
        <v>30182.4</v>
      </c>
      <c r="Z175" s="7" t="n">
        <v>17418.7</v>
      </c>
      <c r="AA175" s="8" t="n">
        <v>386513</v>
      </c>
      <c r="AB175" s="8" t="n">
        <v>387700.1</v>
      </c>
    </row>
    <row r="176">
      <c r="A176" s="4" t="inlineStr">
        <is>
          <t>职工薪酬</t>
        </is>
      </c>
      <c r="D176" s="7" t="n">
        <v>16011.9</v>
      </c>
      <c r="F176" s="7" t="n">
        <v>12235.3</v>
      </c>
      <c r="H176" s="7" t="n">
        <v>12099.1</v>
      </c>
      <c r="J176" s="7" t="n">
        <v>20267.8</v>
      </c>
      <c r="L176" s="7" t="n">
        <v>23761</v>
      </c>
      <c r="N176" s="7" t="n">
        <v>31227.4</v>
      </c>
      <c r="P176" s="7" t="n">
        <v>10693.6</v>
      </c>
      <c r="R176" s="7" t="n">
        <v>8247.799999999999</v>
      </c>
      <c r="T176" s="7" t="n">
        <v>16506.4</v>
      </c>
      <c r="V176" s="7" t="n">
        <v>16445.9</v>
      </c>
      <c r="X176" s="7" t="n">
        <v>17437.4</v>
      </c>
      <c r="Z176" s="7" t="n">
        <v>9078.6</v>
      </c>
      <c r="AB176" s="7" t="n">
        <v>194012.2</v>
      </c>
    </row>
    <row r="177">
      <c r="A177" s="4" t="inlineStr">
        <is>
          <t>工资</t>
        </is>
      </c>
      <c r="D177" s="7" t="n">
        <v>9803.200000000001</v>
      </c>
      <c r="F177" s="7" t="n">
        <v>7087.1</v>
      </c>
      <c r="H177" s="7" t="n">
        <v>6384.6</v>
      </c>
      <c r="J177" s="7" t="n">
        <v>12034.1</v>
      </c>
      <c r="L177" s="7" t="n">
        <v>11392.5</v>
      </c>
      <c r="N177" s="7" t="n">
        <v>19428.3</v>
      </c>
      <c r="P177" s="7" t="n">
        <v>6539.8</v>
      </c>
      <c r="R177" s="7" t="n">
        <v>4990.4</v>
      </c>
      <c r="T177" s="7" t="n">
        <v>8820.700000000001</v>
      </c>
      <c r="V177" s="7" t="n">
        <v>8984.9</v>
      </c>
      <c r="X177" s="7" t="n">
        <v>11336.1</v>
      </c>
      <c r="Z177" s="7" t="n">
        <v>5214.3</v>
      </c>
      <c r="AB177" s="7" t="n">
        <v>112016</v>
      </c>
    </row>
    <row r="178">
      <c r="A178" s="4" t="inlineStr">
        <is>
          <t>奖金及提成</t>
        </is>
      </c>
      <c r="D178" s="7" t="n">
        <v>3161.6</v>
      </c>
      <c r="F178" s="7" t="n">
        <v>2725.2</v>
      </c>
      <c r="H178" s="7" t="n">
        <v>2665.5</v>
      </c>
      <c r="J178" s="7" t="n">
        <v>4446.7</v>
      </c>
      <c r="L178" s="7" t="n">
        <v>5682</v>
      </c>
      <c r="N178" s="7" t="n">
        <v>6149.1</v>
      </c>
      <c r="P178" s="7" t="n">
        <v>1854.3</v>
      </c>
      <c r="R178" s="7" t="n">
        <v>1863.1</v>
      </c>
      <c r="T178" s="7" t="n">
        <v>3099.7</v>
      </c>
      <c r="V178" s="7" t="n">
        <v>2715.6</v>
      </c>
      <c r="X178" s="7" t="n">
        <v>2492</v>
      </c>
      <c r="Z178" s="7" t="n">
        <v>2134.5</v>
      </c>
      <c r="AB178" s="7" t="n">
        <v>38989.3</v>
      </c>
    </row>
    <row r="179">
      <c r="A179" s="4" t="inlineStr">
        <is>
          <t>社保</t>
        </is>
      </c>
      <c r="D179" s="7" t="n">
        <v>2070.5</v>
      </c>
      <c r="F179" s="7" t="n">
        <v>1663.4</v>
      </c>
      <c r="H179" s="7" t="n">
        <v>2122</v>
      </c>
      <c r="J179" s="7" t="n">
        <v>2615.8</v>
      </c>
      <c r="L179" s="7" t="n">
        <v>5006.3</v>
      </c>
      <c r="N179" s="7" t="n">
        <v>3792.6</v>
      </c>
      <c r="P179" s="7" t="n">
        <v>1640.7</v>
      </c>
      <c r="R179" s="7" t="n">
        <v>900.1</v>
      </c>
      <c r="T179" s="7" t="n">
        <v>3257</v>
      </c>
      <c r="V179" s="7" t="n">
        <v>3392.3</v>
      </c>
      <c r="X179" s="7" t="n">
        <v>2433.6</v>
      </c>
      <c r="Z179" s="7" t="n">
        <v>1193.8</v>
      </c>
      <c r="AB179" s="7" t="n">
        <v>30088.1</v>
      </c>
    </row>
    <row r="180">
      <c r="A180" s="4" t="inlineStr">
        <is>
          <t>养老</t>
        </is>
      </c>
      <c r="D180" s="7" t="n">
        <v>43.9</v>
      </c>
      <c r="F180" s="7" t="n">
        <v>34.2</v>
      </c>
      <c r="H180" s="7" t="n">
        <v>47.8</v>
      </c>
      <c r="J180" s="7" t="n">
        <v>77.09999999999999</v>
      </c>
      <c r="L180" s="7" t="n">
        <v>87.40000000000001</v>
      </c>
      <c r="N180" s="7" t="n">
        <v>79.8</v>
      </c>
      <c r="P180" s="7" t="n">
        <v>47.3</v>
      </c>
      <c r="R180" s="7" t="n">
        <v>35.8</v>
      </c>
      <c r="T180" s="7" t="n">
        <v>65.7</v>
      </c>
      <c r="V180" s="7" t="n">
        <v>82.40000000000001</v>
      </c>
      <c r="X180" s="7" t="n">
        <v>77.3</v>
      </c>
      <c r="Z180" s="7" t="n">
        <v>33.8</v>
      </c>
      <c r="AB180" s="7" t="n">
        <v>712.5</v>
      </c>
    </row>
    <row r="181">
      <c r="A181" s="4" t="inlineStr">
        <is>
          <t>医疗</t>
        </is>
      </c>
      <c r="D181" s="7" t="n">
        <v>34.4</v>
      </c>
      <c r="F181" s="7" t="n">
        <v>24.9</v>
      </c>
      <c r="H181" s="7" t="n">
        <v>55.4</v>
      </c>
      <c r="J181" s="7" t="n">
        <v>60.7</v>
      </c>
      <c r="L181" s="7" t="n">
        <v>87.5</v>
      </c>
      <c r="N181" s="7" t="n">
        <v>80</v>
      </c>
      <c r="P181" s="7" t="n">
        <v>25.5</v>
      </c>
      <c r="R181" s="7" t="n">
        <v>26.9</v>
      </c>
      <c r="T181" s="7" t="n">
        <v>61.8</v>
      </c>
      <c r="V181" s="7" t="n">
        <v>48.3</v>
      </c>
      <c r="X181" s="7" t="n">
        <v>41</v>
      </c>
      <c r="Z181" s="7" t="n">
        <v>33</v>
      </c>
      <c r="AB181" s="7" t="n">
        <v>579.4</v>
      </c>
    </row>
    <row r="182">
      <c r="A182" s="4" t="inlineStr">
        <is>
          <t>工伤</t>
        </is>
      </c>
      <c r="D182" s="7" t="n">
        <v>114.1</v>
      </c>
      <c r="F182" s="7" t="n">
        <v>149.5</v>
      </c>
      <c r="H182" s="7" t="n">
        <v>127.3</v>
      </c>
      <c r="J182" s="7" t="n">
        <v>203.4</v>
      </c>
      <c r="L182" s="7" t="n">
        <v>285.5</v>
      </c>
      <c r="N182" s="7" t="n">
        <v>296.8</v>
      </c>
      <c r="P182" s="7" t="n">
        <v>148.4</v>
      </c>
      <c r="R182" s="7" t="n">
        <v>85.5</v>
      </c>
      <c r="T182" s="7" t="n">
        <v>224.7</v>
      </c>
      <c r="V182" s="7" t="n">
        <v>265.4</v>
      </c>
      <c r="X182" s="7" t="n">
        <v>184.4</v>
      </c>
      <c r="Z182" s="7" t="n">
        <v>133.3</v>
      </c>
      <c r="AB182" s="7" t="n">
        <v>2218.3</v>
      </c>
    </row>
    <row r="183">
      <c r="A183" s="4" t="inlineStr">
        <is>
          <t>失业</t>
        </is>
      </c>
      <c r="D183" s="7" t="n">
        <v>181.6</v>
      </c>
      <c r="F183" s="7" t="n">
        <v>126.6</v>
      </c>
      <c r="H183" s="7" t="n">
        <v>147.2</v>
      </c>
      <c r="J183" s="7" t="n">
        <v>174.9</v>
      </c>
      <c r="L183" s="7" t="n">
        <v>324.1</v>
      </c>
      <c r="N183" s="7" t="n">
        <v>315</v>
      </c>
      <c r="P183" s="7" t="n">
        <v>146.3</v>
      </c>
      <c r="R183" s="7" t="n">
        <v>108.4</v>
      </c>
      <c r="T183" s="7" t="n">
        <v>188.8</v>
      </c>
      <c r="V183" s="7" t="n">
        <v>237.9</v>
      </c>
      <c r="X183" s="7" t="n">
        <v>182.2</v>
      </c>
      <c r="Z183" s="7" t="n">
        <v>131.6</v>
      </c>
      <c r="AB183" s="7" t="n">
        <v>2264.6</v>
      </c>
    </row>
    <row r="184">
      <c r="A184" s="4" t="inlineStr">
        <is>
          <t>生育</t>
        </is>
      </c>
      <c r="D184" s="7" t="n">
        <v>98.5</v>
      </c>
      <c r="F184" s="7" t="n">
        <v>93.8</v>
      </c>
      <c r="H184" s="7" t="n">
        <v>202.6</v>
      </c>
      <c r="J184" s="7" t="n">
        <v>247.7</v>
      </c>
      <c r="L184" s="7" t="n">
        <v>239.7</v>
      </c>
      <c r="N184" s="7" t="n">
        <v>353</v>
      </c>
      <c r="P184" s="7" t="n">
        <v>121.8</v>
      </c>
      <c r="R184" s="7" t="n">
        <v>99.7</v>
      </c>
      <c r="T184" s="7" t="n">
        <v>167</v>
      </c>
      <c r="V184" s="7" t="n">
        <v>188.3</v>
      </c>
      <c r="X184" s="7" t="n">
        <v>202.3</v>
      </c>
      <c r="Z184" s="7" t="n">
        <v>73.09999999999999</v>
      </c>
      <c r="AB184" s="7" t="n">
        <v>2087.5</v>
      </c>
    </row>
    <row r="185">
      <c r="A185" s="4" t="inlineStr">
        <is>
          <t>公积金</t>
        </is>
      </c>
      <c r="D185" s="7" t="n">
        <v>113.4</v>
      </c>
      <c r="F185" s="7" t="n">
        <v>60.1</v>
      </c>
      <c r="H185" s="7" t="n">
        <v>88</v>
      </c>
      <c r="J185" s="7" t="n">
        <v>133</v>
      </c>
      <c r="L185" s="7" t="n">
        <v>230.2</v>
      </c>
      <c r="N185" s="7" t="n">
        <v>152.5</v>
      </c>
      <c r="P185" s="7" t="n">
        <v>84.7</v>
      </c>
      <c r="R185" s="7" t="n">
        <v>61</v>
      </c>
      <c r="T185" s="7" t="n">
        <v>168.3</v>
      </c>
      <c r="V185" s="7" t="n">
        <v>169.4</v>
      </c>
      <c r="X185" s="7" t="n">
        <v>151.6</v>
      </c>
      <c r="Z185" s="7" t="n">
        <v>45.4</v>
      </c>
      <c r="AB185" s="7" t="n">
        <v>1457.6</v>
      </c>
    </row>
    <row r="186">
      <c r="A186" s="4" t="inlineStr">
        <is>
          <t>工会经费</t>
        </is>
      </c>
      <c r="D186" s="7" t="n">
        <v>40</v>
      </c>
      <c r="F186" s="7" t="n">
        <v>32.5</v>
      </c>
      <c r="H186" s="7" t="n">
        <v>56.9</v>
      </c>
      <c r="J186" s="7" t="n">
        <v>80.7</v>
      </c>
      <c r="L186" s="7" t="n">
        <v>69.8</v>
      </c>
      <c r="N186" s="7" t="n">
        <v>121.1</v>
      </c>
      <c r="P186" s="7" t="n">
        <v>25.1</v>
      </c>
      <c r="R186" s="7" t="n">
        <v>26.9</v>
      </c>
      <c r="T186" s="7" t="n">
        <v>65.40000000000001</v>
      </c>
      <c r="V186" s="7" t="n">
        <v>61.4</v>
      </c>
      <c r="X186" s="7" t="n">
        <v>68.7</v>
      </c>
      <c r="Z186" s="7" t="n">
        <v>38</v>
      </c>
      <c r="AB186" s="7" t="n">
        <v>686.5</v>
      </c>
    </row>
    <row r="187">
      <c r="A187" s="4" t="inlineStr">
        <is>
          <t>职工教育经费</t>
        </is>
      </c>
      <c r="D187" s="7" t="n">
        <v>169.9</v>
      </c>
      <c r="F187" s="7" t="n">
        <v>142.4</v>
      </c>
      <c r="H187" s="7" t="n">
        <v>126.7</v>
      </c>
      <c r="J187" s="7" t="n">
        <v>151.5</v>
      </c>
      <c r="L187" s="7" t="n">
        <v>253</v>
      </c>
      <c r="N187" s="7" t="n">
        <v>312.7</v>
      </c>
      <c r="P187" s="7" t="n">
        <v>88.09999999999999</v>
      </c>
      <c r="R187" s="7" t="n">
        <v>62.5</v>
      </c>
      <c r="T187" s="7" t="n">
        <v>175</v>
      </c>
      <c r="V187" s="7" t="n">
        <v>233.4</v>
      </c>
      <c r="X187" s="7" t="n">
        <v>140.7</v>
      </c>
      <c r="Z187" s="7" t="n">
        <v>82.2</v>
      </c>
      <c r="AB187" s="7" t="n">
        <v>1938.1</v>
      </c>
    </row>
    <row r="188">
      <c r="A188" s="4" t="inlineStr">
        <is>
          <t>福利费</t>
        </is>
      </c>
      <c r="D188" s="7" t="n">
        <v>653.3</v>
      </c>
      <c r="F188" s="7" t="n">
        <v>524.6</v>
      </c>
      <c r="H188" s="7" t="n">
        <v>655.4</v>
      </c>
      <c r="J188" s="7" t="n">
        <v>806</v>
      </c>
      <c r="L188" s="7" t="n">
        <v>1127.2</v>
      </c>
      <c r="N188" s="7" t="n">
        <v>1271.1</v>
      </c>
      <c r="P188" s="7" t="n">
        <v>460.9</v>
      </c>
      <c r="R188" s="7" t="n">
        <v>343.8</v>
      </c>
      <c r="T188" s="7" t="n">
        <v>920.3</v>
      </c>
      <c r="V188" s="7" t="n">
        <v>888.9</v>
      </c>
      <c r="X188" s="7" t="n">
        <v>814.7</v>
      </c>
      <c r="Z188" s="7" t="n">
        <v>370.4</v>
      </c>
      <c r="AB188" s="7" t="n">
        <v>8836.6</v>
      </c>
    </row>
    <row r="189">
      <c r="A189" s="4" t="inlineStr">
        <is>
          <t>职工房租</t>
        </is>
      </c>
      <c r="D189" s="7" t="n">
        <v>146.6</v>
      </c>
      <c r="F189" s="7" t="n">
        <v>112.2</v>
      </c>
      <c r="H189" s="7" t="n">
        <v>172.6</v>
      </c>
      <c r="J189" s="7" t="n">
        <v>163</v>
      </c>
      <c r="L189" s="7" t="n">
        <v>255.8</v>
      </c>
      <c r="N189" s="7" t="n">
        <v>235.8</v>
      </c>
      <c r="P189" s="7" t="n">
        <v>105.4</v>
      </c>
      <c r="R189" s="7" t="n">
        <v>62.1</v>
      </c>
      <c r="T189" s="7" t="n">
        <v>184.6</v>
      </c>
      <c r="V189" s="7" t="n">
        <v>208.3</v>
      </c>
      <c r="X189" s="7" t="n">
        <v>150.8</v>
      </c>
      <c r="Z189" s="7" t="n">
        <v>93.5</v>
      </c>
      <c r="AB189" s="7" t="n">
        <v>1890.7</v>
      </c>
    </row>
    <row r="190">
      <c r="A190" s="4" t="inlineStr">
        <is>
          <t>水电物业费</t>
        </is>
      </c>
      <c r="D190" s="7" t="n">
        <v>65.8</v>
      </c>
      <c r="F190" s="7" t="n">
        <v>39.7</v>
      </c>
      <c r="H190" s="7" t="n">
        <v>70.2</v>
      </c>
      <c r="J190" s="7" t="n">
        <v>84.8</v>
      </c>
      <c r="L190" s="7" t="n">
        <v>83.2</v>
      </c>
      <c r="N190" s="7" t="n">
        <v>120.9</v>
      </c>
      <c r="P190" s="7" t="n">
        <v>30.6</v>
      </c>
      <c r="R190" s="7" t="n">
        <v>37.7</v>
      </c>
      <c r="T190" s="7" t="n">
        <v>101.9</v>
      </c>
      <c r="V190" s="7" t="n">
        <v>78.59999999999999</v>
      </c>
      <c r="X190" s="7" t="n">
        <v>61</v>
      </c>
      <c r="Z190" s="7" t="n">
        <v>25.6</v>
      </c>
      <c r="AB190" s="7" t="n">
        <v>800</v>
      </c>
    </row>
    <row r="191">
      <c r="A191" s="4" t="inlineStr">
        <is>
          <t>员工餐</t>
        </is>
      </c>
      <c r="D191" s="7" t="n">
        <v>38.3</v>
      </c>
      <c r="F191" s="7" t="n">
        <v>48.4</v>
      </c>
      <c r="H191" s="7" t="n">
        <v>68.8</v>
      </c>
      <c r="J191" s="7" t="n">
        <v>56.7</v>
      </c>
      <c r="L191" s="7" t="n">
        <v>98.2</v>
      </c>
      <c r="N191" s="7" t="n">
        <v>87.90000000000001</v>
      </c>
      <c r="P191" s="7" t="n">
        <v>43.7</v>
      </c>
      <c r="R191" s="7" t="n">
        <v>27.9</v>
      </c>
      <c r="T191" s="7" t="n">
        <v>91.40000000000001</v>
      </c>
      <c r="V191" s="7" t="n">
        <v>83</v>
      </c>
      <c r="X191" s="7" t="n">
        <v>51.2</v>
      </c>
      <c r="Z191" s="7" t="n">
        <v>25.8</v>
      </c>
      <c r="AB191" s="7" t="n">
        <v>721.3</v>
      </c>
    </row>
    <row r="192">
      <c r="A192" s="4" t="inlineStr">
        <is>
          <t>节日礼品</t>
        </is>
      </c>
      <c r="D192" s="7" t="n">
        <v>151.1</v>
      </c>
      <c r="F192" s="7" t="n">
        <v>124.5</v>
      </c>
      <c r="H192" s="7" t="n">
        <v>150.5</v>
      </c>
      <c r="J192" s="7" t="n">
        <v>142.4</v>
      </c>
      <c r="L192" s="7" t="n">
        <v>278.4</v>
      </c>
      <c r="N192" s="7" t="n">
        <v>220.9</v>
      </c>
      <c r="P192" s="7" t="n">
        <v>110</v>
      </c>
      <c r="R192" s="7" t="n">
        <v>69.5</v>
      </c>
      <c r="T192" s="7" t="n">
        <v>162.4</v>
      </c>
      <c r="V192" s="7" t="n">
        <v>218.8</v>
      </c>
      <c r="X192" s="7" t="n">
        <v>208.8</v>
      </c>
      <c r="Z192" s="7" t="n">
        <v>68.09999999999999</v>
      </c>
      <c r="AB192" s="7" t="n">
        <v>1905.4</v>
      </c>
    </row>
    <row r="193">
      <c r="A193" s="4" t="inlineStr">
        <is>
          <t>生日礼品</t>
        </is>
      </c>
      <c r="D193" s="7" t="n">
        <v>16.5</v>
      </c>
      <c r="F193" s="7" t="n">
        <v>11.3</v>
      </c>
      <c r="H193" s="7" t="n">
        <v>17.8</v>
      </c>
      <c r="J193" s="7" t="n">
        <v>16.3</v>
      </c>
      <c r="L193" s="7" t="n">
        <v>32.9</v>
      </c>
      <c r="N193" s="7" t="n">
        <v>37.8</v>
      </c>
      <c r="P193" s="7" t="n">
        <v>11.1</v>
      </c>
      <c r="R193" s="7" t="n">
        <v>7.6</v>
      </c>
      <c r="T193" s="7" t="n">
        <v>18.1</v>
      </c>
      <c r="V193" s="7" t="n">
        <v>20.7</v>
      </c>
      <c r="X193" s="7" t="n">
        <v>19.9</v>
      </c>
      <c r="Z193" s="7" t="n">
        <v>9.5</v>
      </c>
      <c r="AB193" s="7" t="n">
        <v>219.5</v>
      </c>
    </row>
    <row r="194">
      <c r="A194" s="4" t="inlineStr">
        <is>
          <t>体检</t>
        </is>
      </c>
      <c r="D194" s="7" t="n">
        <v>149.8</v>
      </c>
      <c r="F194" s="7" t="n">
        <v>135.1</v>
      </c>
      <c r="H194" s="7" t="n">
        <v>111.1</v>
      </c>
      <c r="J194" s="7" t="n">
        <v>201.8</v>
      </c>
      <c r="L194" s="7" t="n">
        <v>210.6</v>
      </c>
      <c r="N194" s="7" t="n">
        <v>354.2</v>
      </c>
      <c r="P194" s="7" t="n">
        <v>110.1</v>
      </c>
      <c r="R194" s="7" t="n">
        <v>98.7</v>
      </c>
      <c r="T194" s="7" t="n">
        <v>237.2</v>
      </c>
      <c r="V194" s="7" t="n">
        <v>193.4</v>
      </c>
      <c r="X194" s="7" t="n">
        <v>204</v>
      </c>
      <c r="Z194" s="7" t="n">
        <v>94.09999999999999</v>
      </c>
      <c r="AB194" s="7" t="n">
        <v>2100.1</v>
      </c>
    </row>
    <row r="195">
      <c r="A195" s="4" t="inlineStr">
        <is>
          <t>其他福利支出</t>
        </is>
      </c>
      <c r="D195" s="7" t="n">
        <v>85.2</v>
      </c>
      <c r="F195" s="7" t="n">
        <v>53.4</v>
      </c>
      <c r="H195" s="7" t="n">
        <v>64.40000000000001</v>
      </c>
      <c r="J195" s="7" t="n">
        <v>141</v>
      </c>
      <c r="L195" s="7" t="n">
        <v>168.1</v>
      </c>
      <c r="N195" s="7" t="n">
        <v>213.6</v>
      </c>
      <c r="P195" s="7" t="n">
        <v>50</v>
      </c>
      <c r="R195" s="7" t="n">
        <v>40.3</v>
      </c>
      <c r="T195" s="7" t="n">
        <v>124.7</v>
      </c>
      <c r="V195" s="7" t="n">
        <v>86.09999999999999</v>
      </c>
      <c r="X195" s="7" t="n">
        <v>119</v>
      </c>
      <c r="Z195" s="7" t="n">
        <v>53.8</v>
      </c>
      <c r="AB195" s="7" t="n">
        <v>1199.6</v>
      </c>
    </row>
    <row r="196">
      <c r="A196" s="4" t="inlineStr">
        <is>
          <t>招聘费</t>
        </is>
      </c>
      <c r="D196" s="7" t="n">
        <v>123.1</v>
      </c>
      <c r="F196" s="7" t="n">
        <v>125.9</v>
      </c>
      <c r="H196" s="7" t="n">
        <v>161.9</v>
      </c>
      <c r="J196" s="7" t="n">
        <v>184.8</v>
      </c>
      <c r="L196" s="7" t="n">
        <v>356.9</v>
      </c>
      <c r="N196" s="7" t="n">
        <v>256.3</v>
      </c>
      <c r="P196" s="7" t="n">
        <v>132.5</v>
      </c>
      <c r="R196" s="7" t="n">
        <v>92.5</v>
      </c>
      <c r="T196" s="7" t="n">
        <v>323.8</v>
      </c>
      <c r="V196" s="7" t="n">
        <v>247.7</v>
      </c>
      <c r="X196" s="7" t="n">
        <v>233</v>
      </c>
      <c r="Z196" s="7" t="n">
        <v>84.59999999999999</v>
      </c>
      <c r="AB196" s="7" t="n">
        <v>2323</v>
      </c>
    </row>
    <row r="197">
      <c r="A197" s="4" t="inlineStr">
        <is>
          <t>办公费</t>
        </is>
      </c>
      <c r="D197" s="7" t="n">
        <v>822.1</v>
      </c>
      <c r="F197" s="7" t="n">
        <v>680.3</v>
      </c>
      <c r="H197" s="7" t="n">
        <v>638</v>
      </c>
      <c r="J197" s="7" t="n">
        <v>1029.2</v>
      </c>
      <c r="L197" s="7" t="n">
        <v>1342.5</v>
      </c>
      <c r="N197" s="7" t="n">
        <v>1232</v>
      </c>
      <c r="P197" s="7" t="n">
        <v>685.5</v>
      </c>
      <c r="R197" s="7" t="n">
        <v>536.7</v>
      </c>
      <c r="T197" s="7" t="n">
        <v>1076.9</v>
      </c>
      <c r="V197" s="7" t="n">
        <v>1057.3</v>
      </c>
      <c r="X197" s="7" t="n">
        <v>924.1</v>
      </c>
      <c r="Z197" s="7" t="n">
        <v>460</v>
      </c>
      <c r="AB197" s="7" t="n">
        <v>10484.6</v>
      </c>
    </row>
    <row r="198">
      <c r="A198" s="4" t="inlineStr">
        <is>
          <t>市内交通费</t>
        </is>
      </c>
      <c r="D198" s="7" t="n">
        <v>77.09999999999999</v>
      </c>
      <c r="F198" s="7" t="n">
        <v>83.09999999999999</v>
      </c>
      <c r="H198" s="7" t="n">
        <v>104.6</v>
      </c>
      <c r="J198" s="7" t="n">
        <v>123.1</v>
      </c>
      <c r="L198" s="7" t="n">
        <v>145.1</v>
      </c>
      <c r="N198" s="7" t="n">
        <v>202.6</v>
      </c>
      <c r="P198" s="7" t="n">
        <v>43.4</v>
      </c>
      <c r="R198" s="7" t="n">
        <v>57.1</v>
      </c>
      <c r="T198" s="7" t="n">
        <v>141.6</v>
      </c>
      <c r="V198" s="7" t="n">
        <v>148.8</v>
      </c>
      <c r="X198" s="7" t="n">
        <v>110.6</v>
      </c>
      <c r="Z198" s="7" t="n">
        <v>49</v>
      </c>
      <c r="AB198" s="7" t="n">
        <v>1286.1</v>
      </c>
    </row>
    <row r="199">
      <c r="A199" s="4" t="inlineStr">
        <is>
          <t>差旅费</t>
        </is>
      </c>
      <c r="D199" s="7" t="n">
        <v>1425.1</v>
      </c>
      <c r="F199" s="7" t="n">
        <v>1499.6</v>
      </c>
      <c r="H199" s="7" t="n">
        <v>1479.2</v>
      </c>
      <c r="J199" s="7" t="n">
        <v>1677.4</v>
      </c>
      <c r="L199" s="7" t="n">
        <v>2871.2</v>
      </c>
      <c r="N199" s="7" t="n">
        <v>3697.4</v>
      </c>
      <c r="P199" s="7" t="n">
        <v>1065</v>
      </c>
      <c r="R199" s="7" t="n">
        <v>1059.1</v>
      </c>
      <c r="T199" s="7" t="n">
        <v>2091.2</v>
      </c>
      <c r="V199" s="7" t="n">
        <v>2301.7</v>
      </c>
      <c r="X199" s="7" t="n">
        <v>2057</v>
      </c>
      <c r="Z199" s="7" t="n">
        <v>1312.7</v>
      </c>
      <c r="AB199" s="7" t="n">
        <v>22536.6</v>
      </c>
    </row>
    <row r="200">
      <c r="A200" s="4" t="inlineStr">
        <is>
          <t>交通费</t>
        </is>
      </c>
      <c r="D200" s="7" t="n">
        <v>90.59999999999999</v>
      </c>
      <c r="F200" s="7" t="n">
        <v>59.3</v>
      </c>
      <c r="H200" s="7" t="n">
        <v>97.3</v>
      </c>
      <c r="J200" s="7" t="n">
        <v>133.8</v>
      </c>
      <c r="L200" s="7" t="n">
        <v>159</v>
      </c>
      <c r="N200" s="7" t="n">
        <v>199.1</v>
      </c>
      <c r="P200" s="7" t="n">
        <v>42</v>
      </c>
      <c r="R200" s="7" t="n">
        <v>40.4</v>
      </c>
      <c r="T200" s="7" t="n">
        <v>155.1</v>
      </c>
      <c r="V200" s="7" t="n">
        <v>102.2</v>
      </c>
      <c r="X200" s="7" t="n">
        <v>75.90000000000001</v>
      </c>
      <c r="Z200" s="7" t="n">
        <v>63.5</v>
      </c>
      <c r="AB200" s="7" t="n">
        <v>1218.2</v>
      </c>
    </row>
    <row r="201">
      <c r="A201" s="4" t="inlineStr">
        <is>
          <t>住宿费</t>
        </is>
      </c>
      <c r="D201" s="7" t="n">
        <v>100.2</v>
      </c>
      <c r="F201" s="7" t="n">
        <v>93.5</v>
      </c>
      <c r="H201" s="7" t="n">
        <v>125.7</v>
      </c>
      <c r="J201" s="7" t="n">
        <v>232.3</v>
      </c>
      <c r="L201" s="7" t="n">
        <v>231.4</v>
      </c>
      <c r="N201" s="7" t="n">
        <v>294.3</v>
      </c>
      <c r="P201" s="7" t="n">
        <v>134.8</v>
      </c>
      <c r="R201" s="7" t="n">
        <v>81.59999999999999</v>
      </c>
      <c r="T201" s="7" t="n">
        <v>244</v>
      </c>
      <c r="V201" s="7" t="n">
        <v>225.2</v>
      </c>
      <c r="X201" s="7" t="n">
        <v>180.2</v>
      </c>
      <c r="Z201" s="7" t="n">
        <v>118.4</v>
      </c>
      <c r="AB201" s="7" t="n">
        <v>2061.6</v>
      </c>
    </row>
    <row r="202">
      <c r="A202" s="4" t="inlineStr">
        <is>
          <t>餐补</t>
        </is>
      </c>
      <c r="D202" s="7" t="n">
        <v>134.2</v>
      </c>
      <c r="F202" s="7" t="n">
        <v>92</v>
      </c>
      <c r="H202" s="7" t="n">
        <v>105.2</v>
      </c>
      <c r="J202" s="7" t="n">
        <v>164</v>
      </c>
      <c r="L202" s="7" t="n">
        <v>292.9</v>
      </c>
      <c r="N202" s="7" t="n">
        <v>322.1</v>
      </c>
      <c r="P202" s="7" t="n">
        <v>116.7</v>
      </c>
      <c r="R202" s="7" t="n">
        <v>74.7</v>
      </c>
      <c r="T202" s="7" t="n">
        <v>243.9</v>
      </c>
      <c r="V202" s="7" t="n">
        <v>212.3</v>
      </c>
      <c r="X202" s="7" t="n">
        <v>189.3</v>
      </c>
      <c r="Z202" s="7" t="n">
        <v>89.2</v>
      </c>
      <c r="AB202" s="7" t="n">
        <v>2036.5</v>
      </c>
    </row>
    <row r="203">
      <c r="A203" s="4" t="inlineStr">
        <is>
          <t>交通补助</t>
        </is>
      </c>
      <c r="D203" s="7" t="n">
        <v>164.9</v>
      </c>
      <c r="F203" s="7" t="n">
        <v>123.9</v>
      </c>
      <c r="H203" s="7" t="n">
        <v>196.8</v>
      </c>
      <c r="J203" s="7" t="n">
        <v>265.5</v>
      </c>
      <c r="L203" s="7" t="n">
        <v>273.5</v>
      </c>
      <c r="N203" s="7" t="n">
        <v>423.1</v>
      </c>
      <c r="P203" s="7" t="n">
        <v>138.1</v>
      </c>
      <c r="R203" s="7" t="n">
        <v>118.5</v>
      </c>
      <c r="T203" s="7" t="n">
        <v>219.3</v>
      </c>
      <c r="V203" s="7" t="n">
        <v>222.8</v>
      </c>
      <c r="X203" s="7" t="n">
        <v>217.5</v>
      </c>
      <c r="Z203" s="7" t="n">
        <v>114.4</v>
      </c>
      <c r="AB203" s="7" t="n">
        <v>2478.3</v>
      </c>
    </row>
    <row r="204">
      <c r="A204" s="4" t="inlineStr">
        <is>
          <t>通讯补助</t>
        </is>
      </c>
      <c r="D204" s="7" t="n">
        <v>187.3</v>
      </c>
      <c r="F204" s="7" t="n">
        <v>122.9</v>
      </c>
      <c r="H204" s="7" t="n">
        <v>143.8</v>
      </c>
      <c r="J204" s="7" t="n">
        <v>157</v>
      </c>
      <c r="L204" s="7" t="n">
        <v>308.2</v>
      </c>
      <c r="N204" s="7" t="n">
        <v>376.9</v>
      </c>
      <c r="P204" s="7" t="n">
        <v>87.3</v>
      </c>
      <c r="R204" s="7" t="n">
        <v>98.3</v>
      </c>
      <c r="T204" s="7" t="n">
        <v>241.4</v>
      </c>
      <c r="V204" s="7" t="n">
        <v>254.1</v>
      </c>
      <c r="X204" s="7" t="n">
        <v>166.3</v>
      </c>
      <c r="Z204" s="7" t="n">
        <v>101.5</v>
      </c>
      <c r="AB204" s="7" t="n">
        <v>2245</v>
      </c>
    </row>
    <row r="205">
      <c r="A205" s="4" t="inlineStr">
        <is>
          <t>招待费</t>
        </is>
      </c>
      <c r="D205" s="7" t="n">
        <v>1026.2</v>
      </c>
      <c r="F205" s="7" t="n">
        <v>1068.1</v>
      </c>
      <c r="H205" s="7" t="n">
        <v>1219.5</v>
      </c>
      <c r="J205" s="7" t="n">
        <v>1718.4</v>
      </c>
      <c r="L205" s="7" t="n">
        <v>2462.7</v>
      </c>
      <c r="N205" s="7" t="n">
        <v>2059.2</v>
      </c>
      <c r="P205" s="7" t="n">
        <v>866.1</v>
      </c>
      <c r="R205" s="7" t="n">
        <v>471.2</v>
      </c>
      <c r="T205" s="7" t="n">
        <v>2067.8</v>
      </c>
      <c r="V205" s="7" t="n">
        <v>1364.4</v>
      </c>
      <c r="X205" s="7" t="n">
        <v>1478.5</v>
      </c>
      <c r="Z205" s="7" t="n">
        <v>764.7</v>
      </c>
      <c r="AB205" s="7" t="n">
        <v>16566.8</v>
      </c>
    </row>
    <row r="206">
      <c r="A206" s="4" t="inlineStr">
        <is>
          <t>通讯费</t>
        </is>
      </c>
      <c r="D206" s="7" t="n">
        <v>135.2</v>
      </c>
      <c r="F206" s="7" t="n">
        <v>77.7</v>
      </c>
      <c r="H206" s="7" t="n">
        <v>162.2</v>
      </c>
      <c r="J206" s="7" t="n">
        <v>181.8</v>
      </c>
      <c r="L206" s="7" t="n">
        <v>276.8</v>
      </c>
      <c r="N206" s="7" t="n">
        <v>288</v>
      </c>
      <c r="P206" s="7" t="n">
        <v>64.90000000000001</v>
      </c>
      <c r="R206" s="7" t="n">
        <v>53.9</v>
      </c>
      <c r="T206" s="7" t="n">
        <v>154.4</v>
      </c>
      <c r="V206" s="7" t="n">
        <v>133.1</v>
      </c>
      <c r="X206" s="7" t="n">
        <v>140.9</v>
      </c>
      <c r="Z206" s="7" t="n">
        <v>76.2</v>
      </c>
      <c r="AB206" s="7" t="n">
        <v>1745.1</v>
      </c>
    </row>
    <row r="207">
      <c r="A207" s="4" t="inlineStr">
        <is>
          <t>网络费</t>
        </is>
      </c>
      <c r="D207" s="7" t="n">
        <v>58.3</v>
      </c>
      <c r="F207" s="7" t="n">
        <v>44.4</v>
      </c>
      <c r="H207" s="7" t="n">
        <v>85.3</v>
      </c>
      <c r="J207" s="7" t="n">
        <v>79.2</v>
      </c>
      <c r="L207" s="7" t="n">
        <v>143.4</v>
      </c>
      <c r="N207" s="7" t="n">
        <v>139.5</v>
      </c>
      <c r="P207" s="7" t="n">
        <v>43.8</v>
      </c>
      <c r="R207" s="7" t="n">
        <v>35.8</v>
      </c>
      <c r="T207" s="7" t="n">
        <v>88.40000000000001</v>
      </c>
      <c r="V207" s="7" t="n">
        <v>74.5</v>
      </c>
      <c r="X207" s="7" t="n">
        <v>78</v>
      </c>
      <c r="Z207" s="7" t="n">
        <v>38.7</v>
      </c>
      <c r="AB207" s="7" t="n">
        <v>909.3</v>
      </c>
    </row>
    <row r="208">
      <c r="A208" s="4" t="inlineStr">
        <is>
          <t>修理费</t>
        </is>
      </c>
      <c r="D208" s="7" t="n">
        <v>38.9</v>
      </c>
      <c r="F208" s="7" t="n">
        <v>35.4</v>
      </c>
      <c r="H208" s="7" t="n">
        <v>55.2</v>
      </c>
      <c r="J208" s="7" t="n">
        <v>58.7</v>
      </c>
      <c r="L208" s="7" t="n">
        <v>67.59999999999999</v>
      </c>
      <c r="N208" s="7" t="n">
        <v>92.3</v>
      </c>
      <c r="P208" s="7" t="n">
        <v>28.1</v>
      </c>
      <c r="R208" s="7" t="n">
        <v>33.2</v>
      </c>
      <c r="T208" s="7" t="n">
        <v>65.90000000000001</v>
      </c>
      <c r="V208" s="7" t="n">
        <v>59.2</v>
      </c>
      <c r="X208" s="7" t="n">
        <v>69.59999999999999</v>
      </c>
      <c r="Z208" s="7" t="n">
        <v>27.6</v>
      </c>
      <c r="AB208" s="7" t="n">
        <v>631.7</v>
      </c>
    </row>
    <row r="209">
      <c r="A209" s="4" t="inlineStr">
        <is>
          <t>车辆费</t>
        </is>
      </c>
      <c r="D209" s="7" t="n">
        <v>131.3</v>
      </c>
      <c r="F209" s="7" t="n">
        <v>103.7</v>
      </c>
      <c r="H209" s="7" t="n">
        <v>122.7</v>
      </c>
      <c r="J209" s="7" t="n">
        <v>155.8</v>
      </c>
      <c r="L209" s="7" t="n">
        <v>205.9</v>
      </c>
      <c r="N209" s="7" t="n">
        <v>204.3</v>
      </c>
      <c r="P209" s="7" t="n">
        <v>102.6</v>
      </c>
      <c r="R209" s="7" t="n">
        <v>45.4</v>
      </c>
      <c r="T209" s="7" t="n">
        <v>186.7</v>
      </c>
      <c r="V209" s="7" t="n">
        <v>195.8</v>
      </c>
      <c r="X209" s="7" t="n">
        <v>129.2</v>
      </c>
      <c r="Z209" s="7" t="n">
        <v>88.5</v>
      </c>
      <c r="AB209" s="7" t="n">
        <v>1671.9</v>
      </c>
    </row>
    <row r="210">
      <c r="A210" s="4" t="inlineStr">
        <is>
          <t>租赁费</t>
        </is>
      </c>
      <c r="D210" s="7" t="n">
        <v>1596.2</v>
      </c>
      <c r="F210" s="7" t="n">
        <v>1075</v>
      </c>
      <c r="H210" s="7" t="n">
        <v>1339.7</v>
      </c>
      <c r="J210" s="7" t="n">
        <v>1427.2</v>
      </c>
      <c r="L210" s="7" t="n">
        <v>2945.3</v>
      </c>
      <c r="N210" s="7" t="n">
        <v>2206.5</v>
      </c>
      <c r="P210" s="7" t="n">
        <v>1040.8</v>
      </c>
      <c r="R210" s="7" t="n">
        <v>742.8</v>
      </c>
      <c r="T210" s="7" t="n">
        <v>1788.7</v>
      </c>
      <c r="V210" s="7" t="n">
        <v>1545.9</v>
      </c>
      <c r="X210" s="7" t="n">
        <v>1797.2</v>
      </c>
      <c r="Z210" s="7" t="n">
        <v>795.5</v>
      </c>
      <c r="AB210" s="7" t="n">
        <v>18300.8</v>
      </c>
    </row>
    <row r="211">
      <c r="A211" s="4" t="inlineStr">
        <is>
          <t>能源费</t>
        </is>
      </c>
      <c r="D211" s="7" t="n">
        <v>322.5</v>
      </c>
      <c r="F211" s="7" t="n">
        <v>325.3</v>
      </c>
      <c r="H211" s="7" t="n">
        <v>435.3</v>
      </c>
      <c r="J211" s="7" t="n">
        <v>615.6</v>
      </c>
      <c r="L211" s="7" t="n">
        <v>712.5</v>
      </c>
      <c r="N211" s="7" t="n">
        <v>707</v>
      </c>
      <c r="P211" s="7" t="n">
        <v>236.2</v>
      </c>
      <c r="R211" s="7" t="n">
        <v>250.1</v>
      </c>
      <c r="T211" s="7" t="n">
        <v>614.8</v>
      </c>
      <c r="V211" s="7" t="n">
        <v>493.6</v>
      </c>
      <c r="X211" s="7" t="n">
        <v>548.5</v>
      </c>
      <c r="Z211" s="7" t="n">
        <v>246.1</v>
      </c>
      <c r="AB211" s="7" t="n">
        <v>5507.5</v>
      </c>
    </row>
    <row r="212">
      <c r="A212" s="4" t="inlineStr">
        <is>
          <t>水费</t>
        </is>
      </c>
      <c r="D212" s="7" t="n">
        <v>144.9</v>
      </c>
      <c r="F212" s="7" t="n">
        <v>141.1</v>
      </c>
      <c r="H212" s="7" t="n">
        <v>152.1</v>
      </c>
      <c r="J212" s="7" t="n">
        <v>278.2</v>
      </c>
      <c r="L212" s="7" t="n">
        <v>301.2</v>
      </c>
      <c r="N212" s="7" t="n">
        <v>292.4</v>
      </c>
      <c r="P212" s="7" t="n">
        <v>88</v>
      </c>
      <c r="R212" s="7" t="n">
        <v>108</v>
      </c>
      <c r="T212" s="7" t="n">
        <v>235.2</v>
      </c>
      <c r="V212" s="7" t="n">
        <v>228.7</v>
      </c>
      <c r="X212" s="7" t="n">
        <v>228.5</v>
      </c>
      <c r="Z212" s="7" t="n">
        <v>87.7</v>
      </c>
      <c r="AB212" s="7" t="n">
        <v>2286</v>
      </c>
    </row>
    <row r="213">
      <c r="A213" s="4" t="inlineStr">
        <is>
          <t>电费</t>
        </is>
      </c>
      <c r="D213" s="7" t="n">
        <v>36.3</v>
      </c>
      <c r="F213" s="7" t="n">
        <v>35.9</v>
      </c>
      <c r="H213" s="7" t="n">
        <v>56.6</v>
      </c>
      <c r="J213" s="7" t="n">
        <v>78.09999999999999</v>
      </c>
      <c r="L213" s="7" t="n">
        <v>83.40000000000001</v>
      </c>
      <c r="N213" s="7" t="n">
        <v>115.7</v>
      </c>
      <c r="P213" s="7" t="n">
        <v>28.7</v>
      </c>
      <c r="R213" s="7" t="n">
        <v>25.5</v>
      </c>
      <c r="T213" s="7" t="n">
        <v>79.59999999999999</v>
      </c>
      <c r="V213" s="7" t="n">
        <v>71</v>
      </c>
      <c r="X213" s="7" t="n">
        <v>62.7</v>
      </c>
      <c r="Z213" s="7" t="n">
        <v>27.3</v>
      </c>
      <c r="AB213" s="7" t="n">
        <v>700.8</v>
      </c>
    </row>
    <row r="214">
      <c r="A214" s="4" t="inlineStr">
        <is>
          <t>燃气费</t>
        </is>
      </c>
      <c r="D214" s="7" t="n">
        <v>79.59999999999999</v>
      </c>
      <c r="F214" s="7" t="n">
        <v>72.3</v>
      </c>
      <c r="H214" s="7" t="n">
        <v>139</v>
      </c>
      <c r="J214" s="7" t="n">
        <v>159.3</v>
      </c>
      <c r="L214" s="7" t="n">
        <v>158.6</v>
      </c>
      <c r="N214" s="7" t="n">
        <v>173.3</v>
      </c>
      <c r="P214" s="7" t="n">
        <v>68.7</v>
      </c>
      <c r="R214" s="7" t="n">
        <v>79.8</v>
      </c>
      <c r="T214" s="7" t="n">
        <v>185.6</v>
      </c>
      <c r="V214" s="7" t="n">
        <v>118.3</v>
      </c>
      <c r="X214" s="7" t="n">
        <v>175.3</v>
      </c>
      <c r="Z214" s="7" t="n">
        <v>91.40000000000001</v>
      </c>
      <c r="AB214" s="7" t="n">
        <v>1501.2</v>
      </c>
    </row>
    <row r="215">
      <c r="A215" s="4" t="inlineStr">
        <is>
          <t>蒸汽费</t>
        </is>
      </c>
      <c r="D215" s="7" t="n">
        <v>61.7</v>
      </c>
      <c r="F215" s="7" t="n">
        <v>76</v>
      </c>
      <c r="H215" s="7" t="n">
        <v>87.59999999999999</v>
      </c>
      <c r="J215" s="7" t="n">
        <v>100</v>
      </c>
      <c r="L215" s="7" t="n">
        <v>169.3</v>
      </c>
      <c r="N215" s="7" t="n">
        <v>125.6</v>
      </c>
      <c r="P215" s="7" t="n">
        <v>50.8</v>
      </c>
      <c r="R215" s="7" t="n">
        <v>36.8</v>
      </c>
      <c r="T215" s="7" t="n">
        <v>114.4</v>
      </c>
      <c r="V215" s="7" t="n">
        <v>75.59999999999999</v>
      </c>
      <c r="X215" s="7" t="n">
        <v>82</v>
      </c>
      <c r="Z215" s="7" t="n">
        <v>39.7</v>
      </c>
      <c r="AB215" s="7" t="n">
        <v>1019.5</v>
      </c>
    </row>
    <row r="216">
      <c r="A216" s="4" t="inlineStr">
        <is>
          <t>物业费</t>
        </is>
      </c>
      <c r="D216" s="7" t="n">
        <v>70</v>
      </c>
      <c r="F216" s="7" t="n">
        <v>55.7</v>
      </c>
      <c r="H216" s="7" t="n">
        <v>93.7</v>
      </c>
      <c r="J216" s="7" t="n">
        <v>119.9</v>
      </c>
      <c r="L216" s="7" t="n">
        <v>157.8</v>
      </c>
      <c r="N216" s="7" t="n">
        <v>138.9</v>
      </c>
      <c r="P216" s="7" t="n">
        <v>56.1</v>
      </c>
      <c r="R216" s="7" t="n">
        <v>38.3</v>
      </c>
      <c r="T216" s="7" t="n">
        <v>78.59999999999999</v>
      </c>
      <c r="V216" s="7" t="n">
        <v>85.90000000000001</v>
      </c>
      <c r="X216" s="7" t="n">
        <v>71.40000000000001</v>
      </c>
      <c r="Z216" s="7" t="n">
        <v>56.3</v>
      </c>
      <c r="AB216" s="7" t="n">
        <v>1022.6</v>
      </c>
    </row>
    <row r="217">
      <c r="A217" s="4" t="inlineStr">
        <is>
          <t>劳动保护费</t>
        </is>
      </c>
      <c r="D217" s="7" t="n">
        <v>124.8</v>
      </c>
      <c r="F217" s="7" t="n">
        <v>131.1</v>
      </c>
      <c r="H217" s="7" t="n">
        <v>128.1</v>
      </c>
      <c r="J217" s="7" t="n">
        <v>230.3</v>
      </c>
      <c r="L217" s="7" t="n">
        <v>322.9</v>
      </c>
      <c r="N217" s="7" t="n">
        <v>381.8</v>
      </c>
      <c r="P217" s="7" t="n">
        <v>98.90000000000001</v>
      </c>
      <c r="R217" s="7" t="n">
        <v>80.59999999999999</v>
      </c>
      <c r="T217" s="7" t="n">
        <v>251.9</v>
      </c>
      <c r="V217" s="7" t="n">
        <v>229.9</v>
      </c>
      <c r="X217" s="7" t="n">
        <v>222.4</v>
      </c>
      <c r="Z217" s="7" t="n">
        <v>89.5</v>
      </c>
      <c r="AB217" s="7" t="n">
        <v>2292.2</v>
      </c>
    </row>
    <row r="218">
      <c r="A218" s="4" t="inlineStr">
        <is>
          <t>顾问费</t>
        </is>
      </c>
      <c r="D218" s="7" t="n">
        <v>9.1</v>
      </c>
      <c r="F218" s="7" t="n">
        <v>7.7</v>
      </c>
      <c r="H218" s="7" t="n">
        <v>10.6</v>
      </c>
      <c r="J218" s="7" t="n">
        <v>13.2</v>
      </c>
      <c r="L218" s="7" t="n">
        <v>16.2</v>
      </c>
      <c r="N218" s="7" t="n">
        <v>19.3</v>
      </c>
      <c r="P218" s="7" t="n">
        <v>5.9</v>
      </c>
      <c r="R218" s="7" t="n">
        <v>4.6</v>
      </c>
      <c r="T218" s="7" t="n">
        <v>12.1</v>
      </c>
      <c r="V218" s="7" t="n">
        <v>12.6</v>
      </c>
      <c r="X218" s="7" t="n">
        <v>10.4</v>
      </c>
      <c r="Z218" s="7" t="n">
        <v>4.7</v>
      </c>
      <c r="AB218" s="7" t="n">
        <v>126.4</v>
      </c>
    </row>
    <row r="219">
      <c r="A219" s="4" t="inlineStr">
        <is>
          <t>快递费</t>
        </is>
      </c>
      <c r="D219" s="7" t="n">
        <v>150</v>
      </c>
      <c r="F219" s="7" t="n">
        <v>97.09999999999999</v>
      </c>
      <c r="H219" s="7" t="n">
        <v>136.7</v>
      </c>
      <c r="J219" s="7" t="n">
        <v>171.6</v>
      </c>
      <c r="L219" s="7" t="n">
        <v>251.7</v>
      </c>
      <c r="N219" s="7" t="n">
        <v>415.6</v>
      </c>
      <c r="P219" s="7" t="n">
        <v>102.9</v>
      </c>
      <c r="R219" s="7" t="n">
        <v>84.40000000000001</v>
      </c>
      <c r="T219" s="7" t="n">
        <v>241.9</v>
      </c>
      <c r="V219" s="7" t="n">
        <v>185.6</v>
      </c>
      <c r="X219" s="7" t="n">
        <v>181</v>
      </c>
      <c r="Z219" s="7" t="n">
        <v>96.7</v>
      </c>
      <c r="AB219" s="7" t="n">
        <v>2115.2</v>
      </c>
    </row>
    <row r="220">
      <c r="A220" s="4" t="inlineStr">
        <is>
          <t>诉讼费</t>
        </is>
      </c>
      <c r="D220" s="7" t="n">
        <v>121.7</v>
      </c>
      <c r="F220" s="7" t="n">
        <v>107.6</v>
      </c>
      <c r="H220" s="7" t="n">
        <v>143.5</v>
      </c>
      <c r="J220" s="7" t="n">
        <v>110.7</v>
      </c>
      <c r="L220" s="7" t="n">
        <v>239.5</v>
      </c>
      <c r="N220" s="7" t="n">
        <v>237.4</v>
      </c>
      <c r="P220" s="7" t="n">
        <v>81</v>
      </c>
      <c r="R220" s="7" t="n">
        <v>45.3</v>
      </c>
      <c r="T220" s="7" t="n">
        <v>167.9</v>
      </c>
      <c r="V220" s="7" t="n">
        <v>144.2</v>
      </c>
      <c r="X220" s="7" t="n">
        <v>124.4</v>
      </c>
      <c r="Z220" s="7" t="n">
        <v>51.6</v>
      </c>
      <c r="AB220" s="7" t="n">
        <v>1574.8</v>
      </c>
    </row>
    <row r="221">
      <c r="A221" s="4" t="inlineStr">
        <is>
          <t>会员费</t>
        </is>
      </c>
      <c r="D221" s="7" t="n">
        <v>106.1</v>
      </c>
      <c r="F221" s="7" t="n">
        <v>74.2</v>
      </c>
      <c r="H221" s="7" t="n">
        <v>132.3</v>
      </c>
      <c r="J221" s="7" t="n">
        <v>147.5</v>
      </c>
      <c r="L221" s="7" t="n">
        <v>153.8</v>
      </c>
      <c r="N221" s="7" t="n">
        <v>177.1</v>
      </c>
      <c r="P221" s="7" t="n">
        <v>55.5</v>
      </c>
      <c r="R221" s="7" t="n">
        <v>70.09999999999999</v>
      </c>
      <c r="T221" s="7" t="n">
        <v>168.5</v>
      </c>
      <c r="V221" s="7" t="n">
        <v>112.2</v>
      </c>
      <c r="X221" s="7" t="n">
        <v>146</v>
      </c>
      <c r="Z221" s="7" t="n">
        <v>75.59999999999999</v>
      </c>
      <c r="AB221" s="7" t="n">
        <v>1418.9</v>
      </c>
    </row>
    <row r="222">
      <c r="A222" s="4" t="inlineStr">
        <is>
          <t>广告宣传费</t>
        </is>
      </c>
      <c r="D222" s="7" t="n">
        <v>769.8</v>
      </c>
      <c r="F222" s="7" t="n">
        <v>732.1</v>
      </c>
      <c r="H222" s="7" t="n">
        <v>987.1</v>
      </c>
      <c r="J222" s="7" t="n">
        <v>1092.9</v>
      </c>
      <c r="L222" s="7" t="n">
        <v>1482.7</v>
      </c>
      <c r="N222" s="7" t="n">
        <v>1650.2</v>
      </c>
      <c r="P222" s="7" t="n">
        <v>541.2</v>
      </c>
      <c r="R222" s="7" t="n">
        <v>399</v>
      </c>
      <c r="T222" s="7" t="n">
        <v>1556.1</v>
      </c>
      <c r="V222" s="7" t="n">
        <v>1099.2</v>
      </c>
      <c r="X222" s="7" t="n">
        <v>926</v>
      </c>
      <c r="Z222" s="7" t="n">
        <v>460.8</v>
      </c>
      <c r="AB222" s="7" t="n">
        <v>11697.1</v>
      </c>
    </row>
    <row r="223">
      <c r="A223" s="4" t="inlineStr">
        <is>
          <t>会务费</t>
        </is>
      </c>
      <c r="D223" s="7" t="n">
        <v>111.1</v>
      </c>
      <c r="F223" s="7" t="n">
        <v>101.5</v>
      </c>
      <c r="H223" s="7" t="n">
        <v>130.4</v>
      </c>
      <c r="J223" s="7" t="n">
        <v>131.2</v>
      </c>
      <c r="L223" s="7" t="n">
        <v>265.8</v>
      </c>
      <c r="N223" s="7" t="n">
        <v>220.7</v>
      </c>
      <c r="P223" s="7" t="n">
        <v>76.8</v>
      </c>
      <c r="R223" s="7" t="n">
        <v>59.7</v>
      </c>
      <c r="T223" s="7" t="n">
        <v>151.7</v>
      </c>
      <c r="V223" s="7" t="n">
        <v>140.9</v>
      </c>
      <c r="X223" s="7" t="n">
        <v>140.4</v>
      </c>
      <c r="Z223" s="7" t="n">
        <v>88.90000000000001</v>
      </c>
      <c r="AB223" s="7" t="n">
        <v>1619.1</v>
      </c>
    </row>
    <row r="224">
      <c r="A224" s="4" t="inlineStr">
        <is>
          <t>装修费</t>
        </is>
      </c>
      <c r="D224" s="7" t="n">
        <v>144.8</v>
      </c>
      <c r="F224" s="7" t="n">
        <v>91.90000000000001</v>
      </c>
      <c r="H224" s="7" t="n">
        <v>152.3</v>
      </c>
      <c r="J224" s="7" t="n">
        <v>217.9</v>
      </c>
      <c r="L224" s="7" t="n">
        <v>242.1</v>
      </c>
      <c r="N224" s="7" t="n">
        <v>345.6</v>
      </c>
      <c r="P224" s="7" t="n">
        <v>103.4</v>
      </c>
      <c r="R224" s="7" t="n">
        <v>62.4</v>
      </c>
      <c r="T224" s="7" t="n">
        <v>153</v>
      </c>
      <c r="V224" s="7" t="n">
        <v>145.7</v>
      </c>
      <c r="X224" s="7" t="n">
        <v>169.2</v>
      </c>
      <c r="Z224" s="7" t="n">
        <v>81.3</v>
      </c>
      <c r="AB224" s="7" t="n">
        <v>1909.6</v>
      </c>
    </row>
    <row r="225">
      <c r="A225" s="4" t="inlineStr">
        <is>
          <t>推广费</t>
        </is>
      </c>
      <c r="D225" s="7" t="n">
        <v>181.8</v>
      </c>
      <c r="F225" s="7" t="n">
        <v>112.1</v>
      </c>
      <c r="H225" s="7" t="n">
        <v>248.1</v>
      </c>
      <c r="J225" s="7" t="n">
        <v>261.7</v>
      </c>
      <c r="L225" s="7" t="n">
        <v>326.7</v>
      </c>
      <c r="N225" s="7" t="n">
        <v>453.6</v>
      </c>
      <c r="P225" s="7" t="n">
        <v>147.1</v>
      </c>
      <c r="R225" s="7" t="n">
        <v>103.9</v>
      </c>
      <c r="T225" s="7" t="n">
        <v>234.1</v>
      </c>
      <c r="V225" s="7" t="n">
        <v>265.2</v>
      </c>
      <c r="X225" s="7" t="n">
        <v>261.4</v>
      </c>
      <c r="Z225" s="7" t="n">
        <v>124.4</v>
      </c>
      <c r="AB225" s="7" t="n">
        <v>2720.1</v>
      </c>
    </row>
    <row r="226">
      <c r="A226" s="4" t="inlineStr">
        <is>
          <t>展会费</t>
        </is>
      </c>
      <c r="D226" s="7" t="n">
        <v>114.5</v>
      </c>
      <c r="F226" s="7" t="n">
        <v>82.2</v>
      </c>
      <c r="H226" s="7" t="n">
        <v>172.7</v>
      </c>
      <c r="J226" s="7" t="n">
        <v>165.1</v>
      </c>
      <c r="L226" s="7" t="n">
        <v>233.5</v>
      </c>
      <c r="N226" s="7" t="n">
        <v>245.2</v>
      </c>
      <c r="P226" s="7" t="n">
        <v>67.5</v>
      </c>
      <c r="R226" s="7" t="n">
        <v>61.5</v>
      </c>
      <c r="T226" s="7" t="n">
        <v>207.6</v>
      </c>
      <c r="V226" s="7" t="n">
        <v>192.1</v>
      </c>
      <c r="X226" s="7" t="n">
        <v>152.1</v>
      </c>
      <c r="Z226" s="7" t="n">
        <v>60</v>
      </c>
      <c r="AB226" s="7" t="n">
        <v>1754</v>
      </c>
    </row>
    <row r="227">
      <c r="A227" s="4" t="inlineStr">
        <is>
          <t>设计费</t>
        </is>
      </c>
      <c r="D227" s="7" t="n">
        <v>109</v>
      </c>
      <c r="F227" s="7" t="n">
        <v>72.7</v>
      </c>
      <c r="H227" s="7" t="n">
        <v>86.90000000000001</v>
      </c>
      <c r="J227" s="7" t="n">
        <v>142.3</v>
      </c>
      <c r="L227" s="7" t="n">
        <v>142</v>
      </c>
      <c r="N227" s="7" t="n">
        <v>243.9</v>
      </c>
      <c r="P227" s="7" t="n">
        <v>69.59999999999999</v>
      </c>
      <c r="R227" s="7" t="n">
        <v>66.90000000000001</v>
      </c>
      <c r="T227" s="7" t="n">
        <v>133.4</v>
      </c>
      <c r="V227" s="7" t="n">
        <v>92.2</v>
      </c>
      <c r="X227" s="7" t="n">
        <v>137.3</v>
      </c>
      <c r="Z227" s="7" t="n">
        <v>70.09999999999999</v>
      </c>
      <c r="AB227" s="7" t="n">
        <v>1366.3</v>
      </c>
    </row>
    <row r="228">
      <c r="A228" s="4" t="inlineStr">
        <is>
          <t>折旧费</t>
        </is>
      </c>
      <c r="D228" s="7" t="n">
        <v>1190</v>
      </c>
      <c r="F228" s="7" t="n">
        <v>1080</v>
      </c>
      <c r="H228" s="7" t="n">
        <v>1188.8</v>
      </c>
      <c r="J228" s="7" t="n">
        <v>1565.4</v>
      </c>
      <c r="L228" s="7" t="n">
        <v>2460.4</v>
      </c>
      <c r="N228" s="7" t="n">
        <v>2100.9</v>
      </c>
      <c r="P228" s="7" t="n">
        <v>778.7</v>
      </c>
      <c r="R228" s="7" t="n">
        <v>651.8</v>
      </c>
      <c r="T228" s="7" t="n">
        <v>1576.9</v>
      </c>
      <c r="V228" s="7" t="n">
        <v>1175.7</v>
      </c>
      <c r="X228" s="7" t="n">
        <v>1667.8</v>
      </c>
      <c r="Z228" s="7" t="n">
        <v>709.7</v>
      </c>
      <c r="AB228" s="7" t="n">
        <v>16146.1</v>
      </c>
    </row>
    <row r="229">
      <c r="A229" s="4" t="inlineStr">
        <is>
          <t>认证费</t>
        </is>
      </c>
      <c r="D229" s="7" t="n">
        <v>163</v>
      </c>
      <c r="F229" s="7" t="n">
        <v>103.2</v>
      </c>
      <c r="H229" s="7" t="n">
        <v>145.8</v>
      </c>
      <c r="J229" s="7" t="n">
        <v>176.4</v>
      </c>
      <c r="L229" s="7" t="n">
        <v>253.1</v>
      </c>
      <c r="N229" s="7" t="n">
        <v>389.7</v>
      </c>
      <c r="P229" s="7" t="n">
        <v>135.9</v>
      </c>
      <c r="R229" s="7" t="n">
        <v>96.3</v>
      </c>
      <c r="T229" s="7" t="n">
        <v>241.2</v>
      </c>
      <c r="V229" s="7" t="n">
        <v>194.5</v>
      </c>
      <c r="X229" s="7" t="n">
        <v>196.4</v>
      </c>
      <c r="Z229" s="7" t="n">
        <v>88.40000000000001</v>
      </c>
      <c r="AB229" s="7" t="n">
        <v>2183.9</v>
      </c>
    </row>
    <row r="230">
      <c r="A230" s="4" t="inlineStr">
        <is>
          <t>样品费</t>
        </is>
      </c>
      <c r="D230" s="7" t="n">
        <v>601.4</v>
      </c>
      <c r="F230" s="7" t="n">
        <v>583.2</v>
      </c>
      <c r="H230" s="7" t="n">
        <v>579.5</v>
      </c>
      <c r="J230" s="7" t="n">
        <v>835.3</v>
      </c>
      <c r="L230" s="7" t="n">
        <v>874.4</v>
      </c>
      <c r="N230" s="7" t="n">
        <v>1474.4</v>
      </c>
      <c r="P230" s="7" t="n">
        <v>428.5</v>
      </c>
      <c r="R230" s="7" t="n">
        <v>296.4</v>
      </c>
      <c r="T230" s="7" t="n">
        <v>992.9</v>
      </c>
      <c r="V230" s="7" t="n">
        <v>883.6</v>
      </c>
      <c r="X230" s="7" t="n">
        <v>570.4</v>
      </c>
      <c r="Z230" s="7" t="n">
        <v>304.7</v>
      </c>
      <c r="AB230" s="7" t="n">
        <v>8424.700000000001</v>
      </c>
    </row>
    <row r="231">
      <c r="A231" s="4" t="inlineStr">
        <is>
          <t>劳务费</t>
        </is>
      </c>
      <c r="D231" s="7" t="n">
        <v>104.4</v>
      </c>
      <c r="F231" s="7" t="n">
        <v>85.40000000000001</v>
      </c>
      <c r="H231" s="7" t="n">
        <v>141.7</v>
      </c>
      <c r="J231" s="7" t="n">
        <v>136.2</v>
      </c>
      <c r="L231" s="7" t="n">
        <v>155.2</v>
      </c>
      <c r="N231" s="7" t="n">
        <v>263.7</v>
      </c>
      <c r="P231" s="7" t="n">
        <v>65.5</v>
      </c>
      <c r="R231" s="7" t="n">
        <v>63.1</v>
      </c>
      <c r="T231" s="7" t="n">
        <v>110.3</v>
      </c>
      <c r="V231" s="7" t="n">
        <v>132</v>
      </c>
      <c r="X231" s="7" t="n">
        <v>100</v>
      </c>
      <c r="Z231" s="7" t="n">
        <v>75.90000000000001</v>
      </c>
      <c r="AB231" s="7" t="n">
        <v>1433.4</v>
      </c>
    </row>
    <row r="232">
      <c r="A232" s="4" t="inlineStr">
        <is>
          <t>销售佣金</t>
        </is>
      </c>
      <c r="D232" s="7" t="n">
        <v>12.5</v>
      </c>
      <c r="F232" s="7" t="n">
        <v>13.5</v>
      </c>
      <c r="H232" s="7" t="n">
        <v>21.9</v>
      </c>
      <c r="J232" s="7" t="n">
        <v>26.8</v>
      </c>
      <c r="L232" s="7" t="n">
        <v>24.5</v>
      </c>
      <c r="N232" s="7" t="n">
        <v>28.9</v>
      </c>
      <c r="P232" s="7" t="n">
        <v>14.8</v>
      </c>
      <c r="R232" s="7" t="n">
        <v>12.5</v>
      </c>
      <c r="T232" s="7" t="n">
        <v>27</v>
      </c>
      <c r="V232" s="7" t="n">
        <v>28.8</v>
      </c>
      <c r="X232" s="7" t="n">
        <v>19.2</v>
      </c>
      <c r="Z232" s="7" t="n">
        <v>8.300000000000001</v>
      </c>
      <c r="AB232" s="7" t="n">
        <v>238.7</v>
      </c>
    </row>
    <row r="233">
      <c r="A233" s="4" t="inlineStr">
        <is>
          <t>检测费</t>
        </is>
      </c>
      <c r="D233" s="7" t="n">
        <v>101.3</v>
      </c>
      <c r="F233" s="7" t="n">
        <v>64.5</v>
      </c>
      <c r="H233" s="7" t="n">
        <v>108.6</v>
      </c>
      <c r="J233" s="7" t="n">
        <v>116.9</v>
      </c>
      <c r="L233" s="7" t="n">
        <v>138.5</v>
      </c>
      <c r="N233" s="7" t="n">
        <v>253.3</v>
      </c>
      <c r="P233" s="7" t="n">
        <v>55</v>
      </c>
      <c r="R233" s="7" t="n">
        <v>61.1</v>
      </c>
      <c r="T233" s="7" t="n">
        <v>137</v>
      </c>
      <c r="V233" s="7" t="n">
        <v>156.5</v>
      </c>
      <c r="X233" s="7" t="n">
        <v>100.9</v>
      </c>
      <c r="Z233" s="7" t="n">
        <v>63.9</v>
      </c>
      <c r="AB233" s="7" t="n">
        <v>1357.5</v>
      </c>
    </row>
    <row r="234">
      <c r="A234" s="4" t="inlineStr">
        <is>
          <t>质量赔偿</t>
        </is>
      </c>
      <c r="D234" s="7" t="n">
        <v>138.5</v>
      </c>
      <c r="F234" s="7" t="n">
        <v>112.7</v>
      </c>
      <c r="H234" s="7" t="n">
        <v>172.1</v>
      </c>
      <c r="J234" s="7" t="n">
        <v>174.9</v>
      </c>
      <c r="L234" s="7" t="n">
        <v>217.9</v>
      </c>
      <c r="N234" s="7" t="n">
        <v>284.4</v>
      </c>
      <c r="P234" s="7" t="n">
        <v>131.2</v>
      </c>
      <c r="R234" s="7" t="n">
        <v>71.3</v>
      </c>
      <c r="T234" s="7" t="n">
        <v>240</v>
      </c>
      <c r="V234" s="7" t="n">
        <v>175.7</v>
      </c>
      <c r="X234" s="7" t="n">
        <v>177.5</v>
      </c>
      <c r="Z234" s="7" t="n">
        <v>85.40000000000001</v>
      </c>
      <c r="AB234" s="7" t="n">
        <v>1981.6</v>
      </c>
    </row>
    <row r="235">
      <c r="A235" s="4" t="inlineStr">
        <is>
          <t>保险费</t>
        </is>
      </c>
      <c r="D235" s="7" t="n">
        <v>79.2</v>
      </c>
      <c r="F235" s="7" t="n">
        <v>56.2</v>
      </c>
      <c r="H235" s="7" t="n">
        <v>98.3</v>
      </c>
      <c r="J235" s="7" t="n">
        <v>102.2</v>
      </c>
      <c r="L235" s="7" t="n">
        <v>123.5</v>
      </c>
      <c r="N235" s="7" t="n">
        <v>152.1</v>
      </c>
      <c r="P235" s="7" t="n">
        <v>73.59999999999999</v>
      </c>
      <c r="R235" s="7" t="n">
        <v>57</v>
      </c>
      <c r="T235" s="7" t="n">
        <v>154.7</v>
      </c>
      <c r="V235" s="7" t="n">
        <v>126.8</v>
      </c>
      <c r="X235" s="7" t="n">
        <v>80.40000000000001</v>
      </c>
      <c r="Z235" s="7" t="n">
        <v>45.5</v>
      </c>
      <c r="AB235" s="7" t="n">
        <v>1149.5</v>
      </c>
    </row>
    <row r="236">
      <c r="A236" s="4" t="inlineStr">
        <is>
          <t>清洁费</t>
        </is>
      </c>
      <c r="D236" s="7" t="n">
        <v>125.3</v>
      </c>
      <c r="F236" s="7" t="n">
        <v>78.8</v>
      </c>
      <c r="H236" s="7" t="n">
        <v>118.1</v>
      </c>
      <c r="J236" s="7" t="n">
        <v>129.6</v>
      </c>
      <c r="L236" s="7" t="n">
        <v>216.9</v>
      </c>
      <c r="N236" s="7" t="n">
        <v>217.4</v>
      </c>
      <c r="P236" s="7" t="n">
        <v>93.2</v>
      </c>
      <c r="R236" s="7" t="n">
        <v>74</v>
      </c>
      <c r="T236" s="7" t="n">
        <v>147.2</v>
      </c>
      <c r="V236" s="7" t="n">
        <v>165.3</v>
      </c>
      <c r="X236" s="7" t="n">
        <v>151.4</v>
      </c>
      <c r="Z236" s="7" t="n">
        <v>65.40000000000001</v>
      </c>
      <c r="AB236" s="7" t="n">
        <v>1582.6</v>
      </c>
    </row>
    <row r="237">
      <c r="A237" s="4" t="inlineStr">
        <is>
          <t>低值易耗品</t>
        </is>
      </c>
      <c r="D237" s="7" t="n">
        <v>157.5</v>
      </c>
      <c r="F237" s="7" t="n">
        <v>143.8</v>
      </c>
      <c r="H237" s="7" t="n">
        <v>130</v>
      </c>
      <c r="J237" s="7" t="n">
        <v>238.1</v>
      </c>
      <c r="L237" s="7" t="n">
        <v>211.3</v>
      </c>
      <c r="N237" s="7" t="n">
        <v>334.9</v>
      </c>
      <c r="P237" s="7" t="n">
        <v>125.9</v>
      </c>
      <c r="R237" s="7" t="n">
        <v>82.8</v>
      </c>
      <c r="T237" s="7" t="n">
        <v>231.8</v>
      </c>
      <c r="V237" s="7" t="n">
        <v>233.2</v>
      </c>
      <c r="X237" s="7" t="n">
        <v>187.3</v>
      </c>
      <c r="Z237" s="7" t="n">
        <v>73.5</v>
      </c>
      <c r="AB237" s="7" t="n">
        <v>2150.1</v>
      </c>
    </row>
    <row r="238">
      <c r="A238" s="4" t="inlineStr">
        <is>
          <t>物料消耗</t>
        </is>
      </c>
      <c r="D238" s="7" t="n">
        <v>65.3</v>
      </c>
      <c r="F238" s="7" t="n">
        <v>64.7</v>
      </c>
      <c r="H238" s="7" t="n">
        <v>74.2</v>
      </c>
      <c r="J238" s="7" t="n">
        <v>69.90000000000001</v>
      </c>
      <c r="L238" s="7" t="n">
        <v>146.3</v>
      </c>
      <c r="N238" s="7" t="n">
        <v>137.9</v>
      </c>
      <c r="P238" s="7" t="n">
        <v>59.7</v>
      </c>
      <c r="R238" s="7" t="n">
        <v>32.3</v>
      </c>
      <c r="T238" s="7" t="n">
        <v>126.9</v>
      </c>
      <c r="V238" s="7" t="n">
        <v>97.5</v>
      </c>
      <c r="X238" s="7" t="n">
        <v>67.7</v>
      </c>
      <c r="Z238" s="7" t="n">
        <v>47.3</v>
      </c>
      <c r="AB238" s="7" t="n">
        <v>989.7</v>
      </c>
    </row>
    <row r="239">
      <c r="A239" s="4" t="inlineStr">
        <is>
          <t>盘盈盘亏</t>
        </is>
      </c>
      <c r="D239" s="7" t="n">
        <v>170.9</v>
      </c>
      <c r="F239" s="7" t="n">
        <v>134.1</v>
      </c>
      <c r="H239" s="7" t="n">
        <v>187.8</v>
      </c>
      <c r="J239" s="7" t="n">
        <v>154.1</v>
      </c>
      <c r="L239" s="7" t="n">
        <v>273.3</v>
      </c>
      <c r="N239" s="7" t="n">
        <v>352.1</v>
      </c>
      <c r="P239" s="7" t="n">
        <v>96.5</v>
      </c>
      <c r="R239" s="7" t="n">
        <v>100.1</v>
      </c>
      <c r="T239" s="7" t="n">
        <v>169.5</v>
      </c>
      <c r="V239" s="7" t="n">
        <v>233.4</v>
      </c>
      <c r="X239" s="7" t="n">
        <v>197.2</v>
      </c>
      <c r="Z239" s="7" t="n">
        <v>117.9</v>
      </c>
      <c r="AB239" s="7" t="n">
        <v>2186.9</v>
      </c>
    </row>
    <row r="240">
      <c r="A240" s="4" t="inlineStr">
        <is>
          <t>平台服务费</t>
        </is>
      </c>
      <c r="D240" s="7" t="n">
        <v>106.1</v>
      </c>
      <c r="F240" s="7" t="n">
        <v>100.7</v>
      </c>
      <c r="H240" s="7" t="n">
        <v>171.4</v>
      </c>
      <c r="J240" s="7" t="n">
        <v>172.5</v>
      </c>
      <c r="L240" s="7" t="n">
        <v>213.1</v>
      </c>
      <c r="N240" s="7" t="n">
        <v>277.2</v>
      </c>
      <c r="P240" s="7" t="n">
        <v>127.4</v>
      </c>
      <c r="R240" s="7" t="n">
        <v>82</v>
      </c>
      <c r="T240" s="7" t="n">
        <v>256.8</v>
      </c>
      <c r="V240" s="7" t="n">
        <v>199</v>
      </c>
      <c r="X240" s="7" t="n">
        <v>208.2</v>
      </c>
      <c r="Z240" s="7" t="n">
        <v>71.7</v>
      </c>
      <c r="AB240" s="7" t="n">
        <v>1986.1</v>
      </c>
    </row>
    <row r="241">
      <c r="A241" s="4" t="inlineStr">
        <is>
          <t>无形资产摊销</t>
        </is>
      </c>
      <c r="D241" s="7" t="n">
        <v>59.4</v>
      </c>
      <c r="F241" s="7" t="n">
        <v>43.4</v>
      </c>
      <c r="H241" s="7" t="n">
        <v>84.2</v>
      </c>
      <c r="J241" s="7" t="n">
        <v>93.3</v>
      </c>
      <c r="L241" s="7" t="n">
        <v>108.7</v>
      </c>
      <c r="N241" s="7" t="n">
        <v>107.4</v>
      </c>
      <c r="P241" s="7" t="n">
        <v>45.8</v>
      </c>
      <c r="R241" s="7" t="n">
        <v>30.2</v>
      </c>
      <c r="T241" s="7" t="n">
        <v>84.5</v>
      </c>
      <c r="V241" s="7" t="n">
        <v>67.09999999999999</v>
      </c>
      <c r="X241" s="7" t="n">
        <v>68</v>
      </c>
      <c r="Z241" s="7" t="n">
        <v>45.3</v>
      </c>
      <c r="AB241" s="7" t="n">
        <v>837.3</v>
      </c>
    </row>
    <row r="242">
      <c r="A242" s="4" t="inlineStr">
        <is>
          <t>研发材料</t>
        </is>
      </c>
      <c r="D242" s="7" t="n">
        <v>58.5</v>
      </c>
      <c r="F242" s="7" t="n">
        <v>31.6</v>
      </c>
      <c r="H242" s="7" t="n">
        <v>41.8</v>
      </c>
      <c r="J242" s="7" t="n">
        <v>79</v>
      </c>
      <c r="L242" s="7" t="n">
        <v>96</v>
      </c>
      <c r="N242" s="7" t="n">
        <v>127.3</v>
      </c>
      <c r="P242" s="7" t="n">
        <v>44.4</v>
      </c>
      <c r="R242" s="7" t="n">
        <v>24.8</v>
      </c>
      <c r="T242" s="7" t="n">
        <v>63.7</v>
      </c>
      <c r="V242" s="7" t="n">
        <v>85.3</v>
      </c>
      <c r="X242" s="7" t="n">
        <v>50.2</v>
      </c>
      <c r="Z242" s="7" t="n">
        <v>41</v>
      </c>
      <c r="AB242" s="7" t="n">
        <v>743.6</v>
      </c>
    </row>
    <row r="243">
      <c r="A243" s="4" t="inlineStr">
        <is>
          <t>项目名称</t>
        </is>
      </c>
      <c r="D243" s="7" t="n">
        <v>90</v>
      </c>
      <c r="F243" s="7" t="n">
        <v>83.40000000000001</v>
      </c>
      <c r="H243" s="7" t="n">
        <v>161.4</v>
      </c>
      <c r="J243" s="7" t="n">
        <v>180.9</v>
      </c>
      <c r="L243" s="7" t="n">
        <v>175.6</v>
      </c>
      <c r="N243" s="7" t="n">
        <v>272.4</v>
      </c>
      <c r="P243" s="7" t="n">
        <v>84.7</v>
      </c>
      <c r="R243" s="7" t="n">
        <v>85.40000000000001</v>
      </c>
      <c r="T243" s="7" t="n">
        <v>180.6</v>
      </c>
      <c r="V243" s="7" t="n">
        <v>147</v>
      </c>
      <c r="X243" s="7" t="n">
        <v>115.2</v>
      </c>
      <c r="Z243" s="7" t="n">
        <v>91.59999999999999</v>
      </c>
      <c r="AB243" s="7" t="n">
        <v>1668.2</v>
      </c>
    </row>
    <row r="244">
      <c r="A244" s="4" t="inlineStr">
        <is>
          <t>研发费</t>
        </is>
      </c>
      <c r="D244" s="7" t="n">
        <v>46.4</v>
      </c>
      <c r="F244" s="7" t="n">
        <v>30.8</v>
      </c>
      <c r="H244" s="7" t="n">
        <v>51</v>
      </c>
      <c r="J244" s="7" t="n">
        <v>52.9</v>
      </c>
      <c r="L244" s="7" t="n">
        <v>67.3</v>
      </c>
      <c r="N244" s="7" t="n">
        <v>78.09999999999999</v>
      </c>
      <c r="P244" s="7" t="n">
        <v>39.1</v>
      </c>
      <c r="R244" s="7" t="n">
        <v>23.1</v>
      </c>
      <c r="T244" s="7" t="n">
        <v>64.90000000000001</v>
      </c>
      <c r="V244" s="7" t="n">
        <v>58.4</v>
      </c>
      <c r="X244" s="7" t="n">
        <v>45.4</v>
      </c>
      <c r="Z244" s="7" t="n">
        <v>24.2</v>
      </c>
      <c r="AB244" s="7" t="n">
        <v>581.6</v>
      </c>
    </row>
    <row r="245">
      <c r="A245" s="4" t="inlineStr">
        <is>
          <t>残保金</t>
        </is>
      </c>
      <c r="D245" s="7" t="n">
        <v>24.6</v>
      </c>
      <c r="F245" s="7" t="n">
        <v>22.4</v>
      </c>
      <c r="H245" s="7" t="n">
        <v>33.9</v>
      </c>
      <c r="J245" s="7" t="n">
        <v>36.6</v>
      </c>
      <c r="L245" s="7" t="n">
        <v>62.4</v>
      </c>
      <c r="N245" s="7" t="n">
        <v>85</v>
      </c>
      <c r="P245" s="7" t="n">
        <v>22.1</v>
      </c>
      <c r="R245" s="7" t="n">
        <v>15.8</v>
      </c>
      <c r="T245" s="7" t="n">
        <v>63.1</v>
      </c>
      <c r="V245" s="7" t="n">
        <v>32.6</v>
      </c>
      <c r="X245" s="7" t="n">
        <v>42.5</v>
      </c>
      <c r="Z245" s="7" t="n">
        <v>27.3</v>
      </c>
      <c r="AB245" s="7" t="n">
        <v>468.3</v>
      </c>
    </row>
    <row r="246">
      <c r="A246" s="4" t="inlineStr">
        <is>
          <t>环保费</t>
        </is>
      </c>
      <c r="D246" s="7" t="n">
        <v>109</v>
      </c>
      <c r="F246" s="7" t="n">
        <v>74.5</v>
      </c>
      <c r="H246" s="7" t="n">
        <v>133.4</v>
      </c>
      <c r="J246" s="7" t="n">
        <v>186.8</v>
      </c>
      <c r="L246" s="7" t="n">
        <v>206</v>
      </c>
      <c r="N246" s="7" t="n">
        <v>284.2</v>
      </c>
      <c r="P246" s="7" t="n">
        <v>77.90000000000001</v>
      </c>
      <c r="R246" s="7" t="n">
        <v>64.09999999999999</v>
      </c>
      <c r="T246" s="7" t="n">
        <v>198.4</v>
      </c>
      <c r="V246" s="7" t="n">
        <v>178.9</v>
      </c>
      <c r="X246" s="7" t="n">
        <v>107.9</v>
      </c>
      <c r="Z246" s="7" t="n">
        <v>71.7</v>
      </c>
      <c r="AB246" s="7" t="n">
        <v>1692.8</v>
      </c>
    </row>
    <row r="247">
      <c r="A247" s="4" t="inlineStr">
        <is>
          <t>报废损失</t>
        </is>
      </c>
      <c r="D247" s="7" t="n">
        <v>159.5</v>
      </c>
      <c r="F247" s="7" t="n">
        <v>102.4</v>
      </c>
      <c r="H247" s="7" t="n">
        <v>193.5</v>
      </c>
      <c r="J247" s="7" t="n">
        <v>280.5</v>
      </c>
      <c r="L247" s="7" t="n">
        <v>301.9</v>
      </c>
      <c r="N247" s="7" t="n">
        <v>262.6</v>
      </c>
      <c r="P247" s="7" t="n">
        <v>107.6</v>
      </c>
      <c r="R247" s="7" t="n">
        <v>93.8</v>
      </c>
      <c r="T247" s="7" t="n">
        <v>312.7</v>
      </c>
      <c r="V247" s="7" t="n">
        <v>194.1</v>
      </c>
      <c r="X247" s="7" t="n">
        <v>176.8</v>
      </c>
      <c r="Z247" s="7" t="n">
        <v>131</v>
      </c>
      <c r="AB247" s="7" t="n">
        <v>2316.4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6038.7</v>
      </c>
      <c r="D248" s="7" t="n">
        <v>-954.1</v>
      </c>
      <c r="E248" s="7" t="n">
        <v>6927.6</v>
      </c>
      <c r="F248" s="7" t="n">
        <v>16123.8</v>
      </c>
      <c r="G248" s="7" t="n">
        <v>6346.6</v>
      </c>
      <c r="H248" s="7" t="n">
        <v>11358.5</v>
      </c>
      <c r="I248" s="7" t="n">
        <v>7380.9</v>
      </c>
      <c r="J248" s="7" t="n">
        <v>14896.1</v>
      </c>
      <c r="K248" s="7" t="n">
        <v>7153</v>
      </c>
      <c r="L248" s="7" t="n">
        <v>1417.6</v>
      </c>
      <c r="M248" s="7" t="n">
        <v>6705.7</v>
      </c>
      <c r="N248" s="7" t="n">
        <v>5735</v>
      </c>
      <c r="O248" s="7" t="n">
        <v>7486.4</v>
      </c>
      <c r="P248" s="7" t="n">
        <v>2462.8</v>
      </c>
      <c r="Q248" s="7" t="n">
        <v>7001.7</v>
      </c>
      <c r="R248" s="7" t="n">
        <v>9720.6</v>
      </c>
      <c r="S248" s="7" t="n">
        <v>7063.5</v>
      </c>
      <c r="T248" s="7" t="n">
        <v>-2917.1</v>
      </c>
      <c r="U248" s="7" t="n">
        <v>6855.6</v>
      </c>
      <c r="V248" s="7" t="n">
        <v>-4074.9</v>
      </c>
      <c r="W248" s="7" t="n">
        <v>6036.3</v>
      </c>
      <c r="X248" s="7" t="n">
        <v>12948.1</v>
      </c>
      <c r="Y248" s="7" t="n">
        <v>5841.6</v>
      </c>
      <c r="Z248" s="7" t="n">
        <v>12117.2</v>
      </c>
      <c r="AA248" s="8" t="n">
        <v>80837.60000000001</v>
      </c>
      <c r="AB248" s="8" t="n">
        <v>78833.60000000001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3143.5</v>
      </c>
      <c r="E250" s="7" t="n">
        <v>0</v>
      </c>
      <c r="F250" s="7" t="n">
        <v>4980.5</v>
      </c>
      <c r="G250" s="7" t="n">
        <v>0</v>
      </c>
      <c r="H250" s="7" t="n">
        <v>2051.7</v>
      </c>
      <c r="I250" s="7" t="n">
        <v>0</v>
      </c>
      <c r="J250" s="7" t="n">
        <v>961.8</v>
      </c>
      <c r="K250" s="7" t="n">
        <v>0</v>
      </c>
      <c r="L250" s="7" t="n">
        <v>1826.8</v>
      </c>
      <c r="M250" s="7" t="n">
        <v>0</v>
      </c>
      <c r="N250" s="7" t="n">
        <v>-3766.2</v>
      </c>
      <c r="O250" s="7" t="n">
        <v>0</v>
      </c>
      <c r="P250" s="7" t="n">
        <v>-4308.5</v>
      </c>
      <c r="Q250" s="7" t="n">
        <v>0</v>
      </c>
      <c r="R250" s="7" t="n">
        <v>3633.8</v>
      </c>
      <c r="S250" s="7" t="n">
        <v>0</v>
      </c>
      <c r="T250" s="7" t="n">
        <v>586.5</v>
      </c>
      <c r="U250" s="7" t="n">
        <v>0</v>
      </c>
      <c r="V250" s="7" t="n">
        <v>-4001.6</v>
      </c>
      <c r="W250" s="7" t="n">
        <v>0</v>
      </c>
      <c r="X250" s="7" t="n">
        <v>-1028.9</v>
      </c>
      <c r="Y250" s="7" t="n">
        <v>0</v>
      </c>
      <c r="Z250" s="7" t="n">
        <v>448.3</v>
      </c>
      <c r="AA250" s="7" t="n">
        <v>0</v>
      </c>
      <c r="AB250" s="7" t="n">
        <v>4527.7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13276.9</v>
      </c>
      <c r="D255" s="7" t="n">
        <v>17387.3</v>
      </c>
      <c r="E255" s="7" t="n">
        <v>11344.4</v>
      </c>
      <c r="F255" s="7" t="n">
        <v>13936.4</v>
      </c>
      <c r="G255" s="7" t="n">
        <v>9948.299999999999</v>
      </c>
      <c r="H255" s="7" t="n">
        <v>323.2</v>
      </c>
      <c r="I255" s="7" t="n">
        <v>10547.3</v>
      </c>
      <c r="J255" s="7" t="n">
        <v>8318.200000000001</v>
      </c>
      <c r="K255" s="7" t="n">
        <v>11421.2</v>
      </c>
      <c r="L255" s="7" t="n">
        <v>3536</v>
      </c>
      <c r="M255" s="7" t="n">
        <v>12513.7</v>
      </c>
      <c r="N255" s="7" t="n">
        <v>9963.4</v>
      </c>
      <c r="O255" s="7" t="n">
        <v>12590</v>
      </c>
      <c r="P255" s="7" t="n">
        <v>7398.1</v>
      </c>
      <c r="Q255" s="7" t="n">
        <v>11866.5</v>
      </c>
      <c r="R255" s="7" t="n">
        <v>17950.8</v>
      </c>
      <c r="S255" s="7" t="n">
        <v>11724.9</v>
      </c>
      <c r="T255" s="7" t="n">
        <v>19128.5</v>
      </c>
      <c r="U255" s="7" t="n">
        <v>11222.7</v>
      </c>
      <c r="V255" s="7" t="n">
        <v>11939.2</v>
      </c>
      <c r="W255" s="7" t="n">
        <v>10905.4</v>
      </c>
      <c r="X255" s="7" t="n">
        <v>4156.4</v>
      </c>
      <c r="Y255" s="7" t="n">
        <v>9972.9</v>
      </c>
      <c r="Z255" s="7" t="n">
        <v>26238.9</v>
      </c>
      <c r="AA255" s="7" t="n">
        <v>137334.2</v>
      </c>
      <c r="AB255" s="7" t="n">
        <v>140276.4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130533.9</v>
      </c>
      <c r="D256" s="7" t="n">
        <v>126759.1</v>
      </c>
      <c r="E256" s="7" t="n">
        <v>147905</v>
      </c>
      <c r="F256" s="7" t="n">
        <v>128331.6</v>
      </c>
      <c r="G256" s="7" t="n">
        <v>125667.2</v>
      </c>
      <c r="H256" s="7" t="n">
        <v>101664.7</v>
      </c>
      <c r="I256" s="7" t="n">
        <v>116049.6</v>
      </c>
      <c r="J256" s="7" t="n">
        <v>156794.1</v>
      </c>
      <c r="K256" s="7" t="n">
        <v>125079.6</v>
      </c>
      <c r="L256" s="7" t="n">
        <v>162224.5</v>
      </c>
      <c r="M256" s="7" t="n">
        <v>149213</v>
      </c>
      <c r="N256" s="7" t="n">
        <v>130944.4</v>
      </c>
      <c r="O256" s="7" t="n">
        <v>127700</v>
      </c>
      <c r="P256" s="7" t="n">
        <v>179085.6</v>
      </c>
      <c r="Q256" s="7" t="n">
        <v>121347.8</v>
      </c>
      <c r="R256" s="7" t="n">
        <v>116271.9</v>
      </c>
      <c r="S256" s="7" t="n">
        <v>140144.4</v>
      </c>
      <c r="T256" s="7" t="n">
        <v>152778.1</v>
      </c>
      <c r="U256" s="7" t="n">
        <v>126418.5</v>
      </c>
      <c r="V256" s="7" t="n">
        <v>183547.6</v>
      </c>
      <c r="W256" s="7" t="n">
        <v>113724.4</v>
      </c>
      <c r="X256" s="7" t="n">
        <v>75291.8</v>
      </c>
      <c r="Y256" s="7" t="n">
        <v>119170.4</v>
      </c>
      <c r="Z256" s="7" t="n">
        <v>77229.3</v>
      </c>
      <c r="AA256" s="8" t="n">
        <v>1542953.8</v>
      </c>
      <c r="AB256" s="8" t="n">
        <v>1590922.7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407.4</v>
      </c>
      <c r="E257" s="7" t="n">
        <v>0</v>
      </c>
      <c r="F257" s="7" t="n">
        <v>235.4</v>
      </c>
      <c r="G257" s="7" t="n">
        <v>0</v>
      </c>
      <c r="H257" s="7" t="n">
        <v>4039</v>
      </c>
      <c r="I257" s="7" t="n">
        <v>0</v>
      </c>
      <c r="J257" s="7" t="n">
        <v>442.1</v>
      </c>
      <c r="K257" s="7" t="n">
        <v>0</v>
      </c>
      <c r="L257" s="7" t="n">
        <v>4554.4</v>
      </c>
      <c r="M257" s="7" t="n">
        <v>0</v>
      </c>
      <c r="N257" s="7" t="n">
        <v>1222.7</v>
      </c>
      <c r="O257" s="7" t="n">
        <v>0</v>
      </c>
      <c r="P257" s="7" t="n">
        <v>433.9</v>
      </c>
      <c r="Q257" s="7" t="n">
        <v>0</v>
      </c>
      <c r="R257" s="7" t="n">
        <v>1652.1</v>
      </c>
      <c r="S257" s="7" t="n">
        <v>0</v>
      </c>
      <c r="T257" s="7" t="n">
        <v>2566.1</v>
      </c>
      <c r="U257" s="7" t="n">
        <v>0</v>
      </c>
      <c r="V257" s="7" t="n">
        <v>3173.9</v>
      </c>
      <c r="W257" s="7" t="n">
        <v>0</v>
      </c>
      <c r="X257" s="7" t="n">
        <v>3532.7</v>
      </c>
      <c r="Y257" s="7" t="n">
        <v>0</v>
      </c>
      <c r="Z257" s="7" t="n">
        <v>2831.3</v>
      </c>
      <c r="AA257" s="7" t="n">
        <v>0</v>
      </c>
      <c r="AB257" s="7" t="n">
        <v>25091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35.8</v>
      </c>
      <c r="E258" s="7" t="n">
        <v>0</v>
      </c>
      <c r="F258" s="7" t="n">
        <v>661.6</v>
      </c>
      <c r="G258" s="7" t="n">
        <v>0</v>
      </c>
      <c r="H258" s="7" t="n">
        <v>2424.1</v>
      </c>
      <c r="I258" s="7" t="n">
        <v>0</v>
      </c>
      <c r="J258" s="7" t="n">
        <v>2587</v>
      </c>
      <c r="K258" s="7" t="n">
        <v>0</v>
      </c>
      <c r="L258" s="7" t="n">
        <v>1361.4</v>
      </c>
      <c r="M258" s="7" t="n">
        <v>0</v>
      </c>
      <c r="N258" s="7" t="n">
        <v>1478.3</v>
      </c>
      <c r="O258" s="7" t="n">
        <v>0</v>
      </c>
      <c r="P258" s="7" t="n">
        <v>1478.8</v>
      </c>
      <c r="Q258" s="7" t="n">
        <v>0</v>
      </c>
      <c r="R258" s="7" t="n">
        <v>2571.1</v>
      </c>
      <c r="S258" s="7" t="n">
        <v>0</v>
      </c>
      <c r="T258" s="7" t="n">
        <v>2097.8</v>
      </c>
      <c r="U258" s="7" t="n">
        <v>0</v>
      </c>
      <c r="V258" s="7" t="n">
        <v>576.7</v>
      </c>
      <c r="W258" s="7" t="n">
        <v>0</v>
      </c>
      <c r="X258" s="7" t="n">
        <v>1036.2</v>
      </c>
      <c r="Y258" s="7" t="n">
        <v>0</v>
      </c>
      <c r="Z258" s="7" t="n">
        <v>1501</v>
      </c>
      <c r="AA258" s="7" t="n">
        <v>0</v>
      </c>
      <c r="AB258" s="7" t="n">
        <v>17809.8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134129.3</v>
      </c>
      <c r="D259" s="7" t="n">
        <v>137091.4</v>
      </c>
      <c r="E259" s="7" t="n">
        <v>124846.4</v>
      </c>
      <c r="F259" s="7" t="n">
        <v>138424.9</v>
      </c>
      <c r="G259" s="7" t="n">
        <v>121612.8</v>
      </c>
      <c r="H259" s="7" t="n">
        <v>97668.60000000001</v>
      </c>
      <c r="I259" s="7" t="n">
        <v>127396.5</v>
      </c>
      <c r="J259" s="7" t="n">
        <v>145177.8</v>
      </c>
      <c r="K259" s="7" t="n">
        <v>122396.6</v>
      </c>
      <c r="L259" s="7" t="n">
        <v>175529.4</v>
      </c>
      <c r="M259" s="7" t="n">
        <v>142076.4</v>
      </c>
      <c r="N259" s="7" t="n">
        <v>136146.7</v>
      </c>
      <c r="O259" s="7" t="n">
        <v>130102.4</v>
      </c>
      <c r="P259" s="7" t="n">
        <v>161349.4</v>
      </c>
      <c r="Q259" s="7" t="n">
        <v>145111.3</v>
      </c>
      <c r="R259" s="7" t="n">
        <v>106812.5</v>
      </c>
      <c r="S259" s="7" t="n">
        <v>130259.1</v>
      </c>
      <c r="T259" s="7" t="n">
        <v>149483</v>
      </c>
      <c r="U259" s="7" t="n">
        <v>146415.2</v>
      </c>
      <c r="V259" s="7" t="n">
        <v>185047.9</v>
      </c>
      <c r="W259" s="7" t="n">
        <v>129391.4</v>
      </c>
      <c r="X259" s="7" t="n">
        <v>71254</v>
      </c>
      <c r="Y259" s="7" t="n">
        <v>114550.3</v>
      </c>
      <c r="Z259" s="7" t="n">
        <v>79308.2</v>
      </c>
      <c r="AA259" s="8" t="n">
        <v>1568287.7</v>
      </c>
      <c r="AB259" s="8" t="n">
        <v>1583293.8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31874.7</v>
      </c>
      <c r="D260" s="7" t="n">
        <v>34272.8</v>
      </c>
      <c r="E260" s="7" t="n">
        <v>30258.5</v>
      </c>
      <c r="F260" s="7" t="n">
        <v>34606.2</v>
      </c>
      <c r="G260" s="7" t="n">
        <v>31249.6</v>
      </c>
      <c r="H260" s="7" t="n">
        <v>24417.2</v>
      </c>
      <c r="I260" s="7" t="n">
        <v>37479.5</v>
      </c>
      <c r="J260" s="7" t="n">
        <v>36294.4</v>
      </c>
      <c r="K260" s="7" t="n">
        <v>36377.4</v>
      </c>
      <c r="L260" s="7" t="n">
        <v>43882.3</v>
      </c>
      <c r="M260" s="7" t="n">
        <v>37252.4</v>
      </c>
      <c r="N260" s="7" t="n">
        <v>34036.7</v>
      </c>
      <c r="O260" s="7" t="n">
        <v>35944.4</v>
      </c>
      <c r="P260" s="7" t="n">
        <v>40337.3</v>
      </c>
      <c r="Q260" s="7" t="n">
        <v>32540.4</v>
      </c>
      <c r="R260" s="7" t="n">
        <v>26703.1</v>
      </c>
      <c r="S260" s="7" t="n">
        <v>34321.4</v>
      </c>
      <c r="T260" s="7" t="n">
        <v>37370.8</v>
      </c>
      <c r="U260" s="7" t="n">
        <v>36369.9</v>
      </c>
      <c r="V260" s="7" t="n">
        <v>46262</v>
      </c>
      <c r="W260" s="7" t="n">
        <v>36377.1</v>
      </c>
      <c r="X260" s="7" t="n">
        <v>17813.5</v>
      </c>
      <c r="Y260" s="7" t="n">
        <v>34361.3</v>
      </c>
      <c r="Z260" s="7" t="n">
        <v>19827</v>
      </c>
      <c r="AA260" s="7" t="n">
        <v>414406.6</v>
      </c>
      <c r="AB260" s="7" t="n">
        <v>395823.3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113376.9</v>
      </c>
      <c r="D261" s="7" t="n">
        <v>102818.6</v>
      </c>
      <c r="E261" s="7" t="n">
        <v>108253.3</v>
      </c>
      <c r="F261" s="7" t="n">
        <v>103818.7</v>
      </c>
      <c r="G261" s="7" t="n">
        <v>105221.8</v>
      </c>
      <c r="H261" s="7" t="n">
        <v>73251.39999999999</v>
      </c>
      <c r="I261" s="7" t="n">
        <v>96187.3</v>
      </c>
      <c r="J261" s="7" t="n">
        <v>108883.4</v>
      </c>
      <c r="K261" s="7" t="n">
        <v>102983.9</v>
      </c>
      <c r="L261" s="7" t="n">
        <v>131647.1</v>
      </c>
      <c r="M261" s="7" t="n">
        <v>90336.39999999999</v>
      </c>
      <c r="N261" s="7" t="n">
        <v>102110</v>
      </c>
      <c r="O261" s="7" t="n">
        <v>86837.89999999999</v>
      </c>
      <c r="P261" s="7" t="n">
        <v>121012.1</v>
      </c>
      <c r="Q261" s="7" t="n">
        <v>86881.7</v>
      </c>
      <c r="R261" s="7" t="n">
        <v>80109.39999999999</v>
      </c>
      <c r="S261" s="7" t="n">
        <v>76522.7</v>
      </c>
      <c r="T261" s="7" t="n">
        <v>112112.2</v>
      </c>
      <c r="U261" s="7" t="n">
        <v>78450.39999999999</v>
      </c>
      <c r="V261" s="7" t="n">
        <v>138785.9</v>
      </c>
      <c r="W261" s="7" t="n">
        <v>120121.1</v>
      </c>
      <c r="X261" s="7" t="n">
        <v>53440.5</v>
      </c>
      <c r="Y261" s="7" t="n">
        <v>93907.89999999999</v>
      </c>
      <c r="Z261" s="7" t="n">
        <v>59481.2</v>
      </c>
      <c r="AA261" s="8" t="n">
        <v>1159081.3</v>
      </c>
      <c r="AB261" s="8" t="n">
        <v>1187470.5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14572</v>
      </c>
      <c r="E262" s="7" t="n">
        <v>0</v>
      </c>
      <c r="F262" s="7" t="n">
        <v>7360.8</v>
      </c>
      <c r="G262" s="7" t="n">
        <v>0</v>
      </c>
      <c r="H262" s="7" t="n">
        <v>5002.6</v>
      </c>
      <c r="I262" s="7" t="n">
        <v>0</v>
      </c>
      <c r="J262" s="7" t="n">
        <v>5783.2</v>
      </c>
      <c r="K262" s="7" t="n">
        <v>0</v>
      </c>
      <c r="L262" s="7" t="n">
        <v>22912.3</v>
      </c>
      <c r="M262" s="7" t="n">
        <v>0</v>
      </c>
      <c r="N262" s="7" t="n">
        <v>12872</v>
      </c>
      <c r="O262" s="7" t="n">
        <v>0</v>
      </c>
      <c r="P262" s="7" t="n">
        <v>30085.4</v>
      </c>
      <c r="Q262" s="7" t="n">
        <v>0</v>
      </c>
      <c r="R262" s="7" t="n">
        <v>17430.9</v>
      </c>
      <c r="S262" s="7" t="n">
        <v>0</v>
      </c>
      <c r="T262" s="7" t="n">
        <v>11211.1</v>
      </c>
      <c r="U262" s="7" t="n">
        <v>0</v>
      </c>
      <c r="V262" s="7" t="n">
        <v>31432.1</v>
      </c>
      <c r="W262" s="7" t="n">
        <v>0</v>
      </c>
      <c r="X262" s="7" t="n">
        <v>8014</v>
      </c>
      <c r="Y262" s="7" t="n">
        <v>0</v>
      </c>
      <c r="Z262" s="7" t="n">
        <v>17487.9</v>
      </c>
      <c r="AA262" s="7" t="n">
        <v>0</v>
      </c>
      <c r="AB262" s="7" t="n">
        <v>184164.3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113376.9</v>
      </c>
      <c r="D263" s="7" t="n">
        <v>88246.60000000001</v>
      </c>
      <c r="E263" s="7" t="n">
        <v>108253.3</v>
      </c>
      <c r="F263" s="7" t="n">
        <v>96457.89999999999</v>
      </c>
      <c r="G263" s="7" t="n">
        <v>105221.8</v>
      </c>
      <c r="H263" s="7" t="n">
        <v>68248.8</v>
      </c>
      <c r="I263" s="7" t="n">
        <v>96187.3</v>
      </c>
      <c r="J263" s="7" t="n">
        <v>103100.2</v>
      </c>
      <c r="K263" s="7" t="n">
        <v>102983.9</v>
      </c>
      <c r="L263" s="7" t="n">
        <v>108734.8</v>
      </c>
      <c r="M263" s="7" t="n">
        <v>90336.39999999999</v>
      </c>
      <c r="N263" s="7" t="n">
        <v>89238</v>
      </c>
      <c r="O263" s="7" t="n">
        <v>86837.89999999999</v>
      </c>
      <c r="P263" s="7" t="n">
        <v>90926.7</v>
      </c>
      <c r="Q263" s="7" t="n">
        <v>86881.7</v>
      </c>
      <c r="R263" s="7" t="n">
        <v>62678.5</v>
      </c>
      <c r="S263" s="7" t="n">
        <v>76522.7</v>
      </c>
      <c r="T263" s="7" t="n">
        <v>100901.1</v>
      </c>
      <c r="U263" s="7" t="n">
        <v>78450.39999999999</v>
      </c>
      <c r="V263" s="7" t="n">
        <v>107353.8</v>
      </c>
      <c r="W263" s="7" t="n">
        <v>120121.1</v>
      </c>
      <c r="X263" s="7" t="n">
        <v>45426.5</v>
      </c>
      <c r="Y263" s="7" t="n">
        <v>93907.89999999999</v>
      </c>
      <c r="Z263" s="7" t="n">
        <v>41993.3</v>
      </c>
      <c r="AA263" s="8" t="n">
        <v>1159081.3</v>
      </c>
      <c r="AB263" s="8" t="n">
        <v>1003306.2</v>
      </c>
    </row>
    <row r="264">
      <c r="A264" s="4" t="inlineStr">
        <is>
          <t>净利率</t>
        </is>
      </c>
      <c r="D264" s="13" t="n">
        <v>12.4</v>
      </c>
      <c r="F264" s="13" t="n">
        <v>12.9</v>
      </c>
      <c r="H264" s="13" t="n">
        <v>6.6</v>
      </c>
      <c r="J264" s="13" t="n">
        <v>9.4</v>
      </c>
      <c r="L264" s="13" t="n">
        <v>9</v>
      </c>
      <c r="N264" s="13" t="n">
        <v>7.1</v>
      </c>
      <c r="P264" s="13" t="n">
        <v>7.8</v>
      </c>
      <c r="R264" s="13" t="n">
        <v>7</v>
      </c>
      <c r="T264" s="13" t="n">
        <v>9.800000000000001</v>
      </c>
      <c r="V264" s="13" t="n">
        <v>9.4</v>
      </c>
      <c r="X264" s="13" t="n">
        <v>5.2</v>
      </c>
      <c r="Z264" s="13" t="n">
        <v>8</v>
      </c>
    </row>
    <row r="265">
      <c r="A265" s="4" t="inlineStr">
        <is>
          <t>销售达成率</t>
        </is>
      </c>
      <c r="D265" s="13" t="n">
        <v>65.09999999999999</v>
      </c>
      <c r="F265" s="13" t="n">
        <v>65.8</v>
      </c>
      <c r="H265" s="13" t="n">
        <v>109</v>
      </c>
      <c r="J265" s="13" t="n">
        <v>112.2</v>
      </c>
      <c r="L265" s="13" t="n">
        <v>118.9</v>
      </c>
      <c r="N265" s="13" t="n">
        <v>131.5</v>
      </c>
      <c r="P265" s="13" t="n">
        <v>123.6</v>
      </c>
      <c r="R265" s="13" t="n">
        <v>93.3</v>
      </c>
      <c r="T265" s="13" t="n">
        <v>87.2</v>
      </c>
      <c r="V265" s="13" t="n">
        <v>113.6</v>
      </c>
      <c r="X265" s="13" t="n">
        <v>93.3</v>
      </c>
      <c r="Z265" s="13" t="n">
        <v>62</v>
      </c>
    </row>
    <row r="266">
      <c r="A266" s="4" t="inlineStr">
        <is>
          <t>净利达成率</t>
        </is>
      </c>
      <c r="D266" s="13" t="n">
        <v>90.7</v>
      </c>
      <c r="F266" s="13" t="n">
        <v>95.90000000000001</v>
      </c>
      <c r="H266" s="13" t="n">
        <v>69.59999999999999</v>
      </c>
      <c r="J266" s="13" t="n">
        <v>113.2</v>
      </c>
      <c r="L266" s="13" t="n">
        <v>127.8</v>
      </c>
      <c r="N266" s="13" t="n">
        <v>113</v>
      </c>
      <c r="P266" s="13" t="n">
        <v>139.4</v>
      </c>
      <c r="R266" s="13" t="n">
        <v>92.2</v>
      </c>
      <c r="T266" s="13" t="n">
        <v>146.5</v>
      </c>
      <c r="V266" s="13" t="n">
        <v>176.9</v>
      </c>
      <c r="X266" s="13" t="n">
        <v>44.5</v>
      </c>
      <c r="Z266" s="13" t="n">
        <v>63.3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月份</t>
        </is>
      </c>
      <c r="C1" s="2" t="inlineStr">
        <is>
          <t>摘要</t>
        </is>
      </c>
      <c r="D1" s="2" t="inlineStr">
        <is>
          <t>贷方金额</t>
        </is>
      </c>
      <c r="E1" s="2" t="inlineStr">
        <is>
          <t>区域</t>
        </is>
      </c>
      <c r="F1" s="2" t="inlineStr">
        <is>
          <t>业务员</t>
        </is>
      </c>
    </row>
    <row r="2">
      <c r="A2" s="14" t="n">
        <v>45295</v>
      </c>
      <c r="B2" s="4" t="inlineStr">
        <is>
          <t>2024-01</t>
        </is>
      </c>
      <c r="C2" s="4" t="inlineStr">
        <is>
          <t>吴中实业有限公司经销商返点实现14727</t>
        </is>
      </c>
      <c r="D2" s="15" t="n">
        <v>-14727.64</v>
      </c>
      <c r="E2" s="4" t="inlineStr">
        <is>
          <t>上海分部</t>
        </is>
      </c>
      <c r="F2" s="4" t="inlineStr">
        <is>
          <t>王秀英</t>
        </is>
      </c>
    </row>
    <row r="3">
      <c r="A3" s="14" t="n">
        <v>45307</v>
      </c>
      <c r="B3" s="4" t="inlineStr">
        <is>
          <t>2024-01</t>
        </is>
      </c>
      <c r="C3" s="4" t="inlineStr">
        <is>
          <t>冲减计提吴中食品有限公司经销商返点实现10341</t>
        </is>
      </c>
      <c r="D3" s="15" t="n">
        <v>10341.67</v>
      </c>
      <c r="E3" s="4" t="inlineStr">
        <is>
          <t>赣皖区域</t>
        </is>
      </c>
      <c r="F3" s="4" t="inlineStr">
        <is>
          <t>何明秀</t>
        </is>
      </c>
    </row>
    <row r="4">
      <c r="A4" s="14" t="n">
        <v>45336</v>
      </c>
      <c r="B4" s="4" t="inlineStr">
        <is>
          <t>2024-02</t>
        </is>
      </c>
      <c r="C4" s="4" t="inlineStr">
        <is>
          <t>冲减计提海宁食品有限公司经销商返点实现596</t>
        </is>
      </c>
      <c r="D4" s="15" t="n">
        <v>596.12</v>
      </c>
      <c r="E4" s="4" t="inlineStr">
        <is>
          <t>江苏分部</t>
        </is>
      </c>
      <c r="F4" s="4" t="inlineStr">
        <is>
          <t>黄静芳</t>
        </is>
      </c>
    </row>
    <row r="5">
      <c r="A5" s="14" t="n">
        <v>45361</v>
      </c>
      <c r="B5" s="4" t="inlineStr">
        <is>
          <t>2024-03</t>
        </is>
      </c>
      <c r="C5" s="4" t="inlineStr">
        <is>
          <t>冲减计提吴中市大匠食品商行经销商返点实现5514</t>
        </is>
      </c>
      <c r="D5" s="15" t="n">
        <v>5514.49</v>
      </c>
      <c r="E5" s="4" t="inlineStr">
        <is>
          <t>赣皖区域</t>
        </is>
      </c>
      <c r="F5" s="4" t="inlineStr">
        <is>
          <t>黄秀秀</t>
        </is>
      </c>
    </row>
    <row r="6">
      <c r="A6" s="14" t="n">
        <v>45364</v>
      </c>
      <c r="B6" s="4" t="inlineStr">
        <is>
          <t>2024-03</t>
        </is>
      </c>
      <c r="C6" s="4" t="inlineStr">
        <is>
          <t>海宁供应链管理有限公司经销商返点实现1945</t>
        </is>
      </c>
      <c r="D6" s="15" t="n">
        <v>-1945.98</v>
      </c>
      <c r="E6" s="4" t="inlineStr">
        <is>
          <t>赣皖区域</t>
        </is>
      </c>
      <c r="F6" s="4" t="inlineStr">
        <is>
          <t>李强英</t>
        </is>
      </c>
    </row>
    <row r="7">
      <c r="A7" s="14" t="n">
        <v>45367</v>
      </c>
      <c r="B7" s="4" t="inlineStr">
        <is>
          <t>2024-03</t>
        </is>
      </c>
      <c r="C7" s="4" t="inlineStr">
        <is>
          <t>余杭供应链管理有限公司经销商返点实现10912</t>
        </is>
      </c>
      <c r="D7" s="15" t="n">
        <v>-10912.73</v>
      </c>
      <c r="E7" s="4" t="inlineStr">
        <is>
          <t>江苏分部</t>
        </is>
      </c>
      <c r="F7" s="4" t="inlineStr">
        <is>
          <t>胡兰英</t>
        </is>
      </c>
    </row>
    <row r="8">
      <c r="A8" s="14" t="n">
        <v>45368</v>
      </c>
      <c r="B8" s="4" t="inlineStr">
        <is>
          <t>2024-03</t>
        </is>
      </c>
      <c r="C8" s="4" t="inlineStr">
        <is>
          <t>余杭实业有限公司经销商返点实现14574</t>
        </is>
      </c>
      <c r="D8" s="15" t="n">
        <v>-14574.03</v>
      </c>
      <c r="E8" s="4" t="inlineStr">
        <is>
          <t>江苏分部</t>
        </is>
      </c>
      <c r="F8" s="4" t="inlineStr">
        <is>
          <t>徐丽秀</t>
        </is>
      </c>
    </row>
    <row r="9">
      <c r="A9" s="14" t="n">
        <v>45369</v>
      </c>
      <c r="B9" s="4" t="inlineStr">
        <is>
          <t>2024-03</t>
        </is>
      </c>
      <c r="C9" s="4" t="inlineStr">
        <is>
          <t>冲减计提武进商贸有限公司经销商返点实现7024</t>
        </is>
      </c>
      <c r="D9" s="15" t="n">
        <v>7024.47</v>
      </c>
      <c r="E9" s="4" t="inlineStr">
        <is>
          <t>上海分部</t>
        </is>
      </c>
      <c r="F9" s="4" t="inlineStr">
        <is>
          <t>陈丽芳</t>
        </is>
      </c>
    </row>
    <row r="10">
      <c r="A10" s="14" t="n">
        <v>45373</v>
      </c>
      <c r="B10" s="4" t="inlineStr">
        <is>
          <t>2024-03</t>
        </is>
      </c>
      <c r="C10" s="4" t="inlineStr">
        <is>
          <t>武进供应链管理有限公司经销商返点实现3861</t>
        </is>
      </c>
      <c r="D10" s="15" t="n">
        <v>-3861.51</v>
      </c>
      <c r="E10" s="4" t="inlineStr">
        <is>
          <t>江苏分部</t>
        </is>
      </c>
      <c r="F10" s="4" t="inlineStr">
        <is>
          <t>朱超芳</t>
        </is>
      </c>
    </row>
    <row r="11">
      <c r="A11" s="14" t="n">
        <v>45373</v>
      </c>
      <c r="B11" s="4" t="inlineStr">
        <is>
          <t>2024-03</t>
        </is>
      </c>
      <c r="C11" s="4" t="inlineStr">
        <is>
          <t>冲减计提姑苏供应链管理有限公司经销商返点实现14233</t>
        </is>
      </c>
      <c r="D11" s="15" t="n">
        <v>14233.17</v>
      </c>
      <c r="E11" s="4" t="inlineStr">
        <is>
          <t>浙江分部</t>
        </is>
      </c>
      <c r="F11" s="4" t="inlineStr">
        <is>
          <t>张娜秀</t>
        </is>
      </c>
    </row>
    <row r="12">
      <c r="A12" s="14" t="n">
        <v>45378</v>
      </c>
      <c r="B12" s="4" t="inlineStr">
        <is>
          <t>2024-03</t>
        </is>
      </c>
      <c r="C12" s="4" t="inlineStr">
        <is>
          <t>海宁实业有限公司经销商返点实现4739</t>
        </is>
      </c>
      <c r="D12" s="15" t="n">
        <v>-4739.14</v>
      </c>
      <c r="E12" s="4" t="inlineStr">
        <is>
          <t>江苏分部</t>
        </is>
      </c>
      <c r="F12" s="4" t="inlineStr">
        <is>
          <t>黄艳伟</t>
        </is>
      </c>
    </row>
    <row r="13">
      <c r="A13" s="14" t="n">
        <v>45384</v>
      </c>
      <c r="B13" s="4" t="inlineStr">
        <is>
          <t>2024-04</t>
        </is>
      </c>
      <c r="C13" s="4" t="inlineStr">
        <is>
          <t>姑苏市优鲜食品商行经销商返点实现5996</t>
        </is>
      </c>
      <c r="D13" s="15" t="n">
        <v>-5996.74</v>
      </c>
      <c r="E13" s="4" t="inlineStr">
        <is>
          <t>浙江分部</t>
        </is>
      </c>
      <c r="F13" s="4" t="inlineStr">
        <is>
          <t>杨兰英</t>
        </is>
      </c>
    </row>
    <row r="14">
      <c r="A14" s="14" t="n">
        <v>45384</v>
      </c>
      <c r="B14" s="4" t="inlineStr">
        <is>
          <t>2024-04</t>
        </is>
      </c>
      <c r="C14" s="4" t="inlineStr">
        <is>
          <t>衢州区优鲜冷冻食品批发部经销商返点实现2650</t>
        </is>
      </c>
      <c r="D14" s="15" t="n">
        <v>-2650.47</v>
      </c>
      <c r="E14" s="4" t="inlineStr">
        <is>
          <t>江苏分部</t>
        </is>
      </c>
      <c r="F14" s="4" t="inlineStr">
        <is>
          <t>周霞伟</t>
        </is>
      </c>
    </row>
    <row r="15">
      <c r="A15" s="14" t="n">
        <v>45389</v>
      </c>
      <c r="B15" s="4" t="inlineStr">
        <is>
          <t>2024-04</t>
        </is>
      </c>
      <c r="C15" s="4" t="inlineStr">
        <is>
          <t>武进实业有限公司经销商返点实现10487</t>
        </is>
      </c>
      <c r="D15" s="15" t="n">
        <v>-10487.52</v>
      </c>
      <c r="E15" s="4" t="inlineStr">
        <is>
          <t>江苏分部</t>
        </is>
      </c>
      <c r="F15" s="4" t="inlineStr">
        <is>
          <t>高勇英</t>
        </is>
      </c>
    </row>
    <row r="16">
      <c r="A16" s="14" t="n">
        <v>45393</v>
      </c>
      <c r="B16" s="4" t="inlineStr">
        <is>
          <t>2024-04</t>
        </is>
      </c>
      <c r="C16" s="4" t="inlineStr">
        <is>
          <t>海宁市优鲜食品商行经销商返点实现1809</t>
        </is>
      </c>
      <c r="D16" s="15" t="n">
        <v>-1809.99</v>
      </c>
      <c r="E16" s="4" t="inlineStr">
        <is>
          <t>赣皖区域</t>
        </is>
      </c>
      <c r="F16" s="4" t="inlineStr">
        <is>
          <t>何艳娜</t>
        </is>
      </c>
    </row>
    <row r="17">
      <c r="A17" s="14" t="n">
        <v>45398</v>
      </c>
      <c r="B17" s="4" t="inlineStr">
        <is>
          <t>2024-04</t>
        </is>
      </c>
      <c r="C17" s="4" t="inlineStr">
        <is>
          <t>海宁供应链管理有限公司经销商返点实现5376</t>
        </is>
      </c>
      <c r="D17" s="15" t="n">
        <v>-5376.81</v>
      </c>
      <c r="E17" s="4" t="inlineStr">
        <is>
          <t>江苏分部</t>
        </is>
      </c>
      <c r="F17" s="4" t="inlineStr">
        <is>
          <t>王艳娜</t>
        </is>
      </c>
    </row>
    <row r="18">
      <c r="A18" s="14" t="n">
        <v>45429</v>
      </c>
      <c r="B18" s="4" t="inlineStr">
        <is>
          <t>2024-05</t>
        </is>
      </c>
      <c r="C18" s="4" t="inlineStr">
        <is>
          <t>冲减计提余杭区优鲜冷冻食品批发部经销商返点实现6383</t>
        </is>
      </c>
      <c r="D18" s="15" t="n">
        <v>6383.97</v>
      </c>
      <c r="E18" s="4" t="inlineStr">
        <is>
          <t>赣皖区域</t>
        </is>
      </c>
      <c r="F18" s="4" t="inlineStr">
        <is>
          <t>罗英伟</t>
        </is>
      </c>
    </row>
    <row r="19">
      <c r="A19" s="14" t="n">
        <v>45431</v>
      </c>
      <c r="B19" s="4" t="inlineStr">
        <is>
          <t>2024-05</t>
        </is>
      </c>
      <c r="C19" s="4" t="inlineStr">
        <is>
          <t>吴中区淼沃冷冻食品批发部经销商返点实现8872</t>
        </is>
      </c>
      <c r="D19" s="15" t="n">
        <v>-8872.84</v>
      </c>
      <c r="E19" s="4" t="inlineStr">
        <is>
          <t>上海分部</t>
        </is>
      </c>
      <c r="F19" s="4" t="inlineStr">
        <is>
          <t>朱敏英</t>
        </is>
      </c>
    </row>
    <row r="20">
      <c r="A20" s="14" t="n">
        <v>45431</v>
      </c>
      <c r="B20" s="4" t="inlineStr">
        <is>
          <t>2024-05</t>
        </is>
      </c>
      <c r="C20" s="4" t="inlineStr">
        <is>
          <t>武进食品有限公司经销商返点实现13687</t>
        </is>
      </c>
      <c r="D20" s="15" t="n">
        <v>-13687.62</v>
      </c>
      <c r="E20" s="4" t="inlineStr">
        <is>
          <t>浙江分部</t>
        </is>
      </c>
      <c r="F20" s="4" t="inlineStr">
        <is>
          <t>林秀娜</t>
        </is>
      </c>
    </row>
    <row r="21">
      <c r="A21" s="14" t="n">
        <v>45446</v>
      </c>
      <c r="B21" s="4" t="inlineStr">
        <is>
          <t>2024-06</t>
        </is>
      </c>
      <c r="C21" s="4" t="inlineStr">
        <is>
          <t>姑苏供应链管理有限公司经销商返点实现1649</t>
        </is>
      </c>
      <c r="D21" s="15" t="n">
        <v>-1649.68</v>
      </c>
      <c r="E21" s="4" t="inlineStr">
        <is>
          <t>江苏分部</t>
        </is>
      </c>
      <c r="F21" s="4" t="inlineStr">
        <is>
          <t>刘明秀</t>
        </is>
      </c>
    </row>
    <row r="22">
      <c r="A22" s="14" t="n">
        <v>45447</v>
      </c>
      <c r="B22" s="4" t="inlineStr">
        <is>
          <t>2024-06</t>
        </is>
      </c>
      <c r="C22" s="4" t="inlineStr">
        <is>
          <t>余杭食品有限公司经销商返点实现9006</t>
        </is>
      </c>
      <c r="D22" s="15" t="n">
        <v>-9006.41</v>
      </c>
      <c r="E22" s="4" t="inlineStr">
        <is>
          <t>江苏分部</t>
        </is>
      </c>
      <c r="F22" s="4" t="inlineStr">
        <is>
          <t>吴超娜</t>
        </is>
      </c>
    </row>
    <row r="23">
      <c r="A23" s="14" t="n">
        <v>45451</v>
      </c>
      <c r="B23" s="4" t="inlineStr">
        <is>
          <t>2024-06</t>
        </is>
      </c>
      <c r="C23" s="4" t="inlineStr">
        <is>
          <t>姑苏区大匠冷冻食品批发部经销商返点实现5750</t>
        </is>
      </c>
      <c r="D23" s="15" t="n">
        <v>-5750.59</v>
      </c>
      <c r="E23" s="4" t="inlineStr">
        <is>
          <t>江苏分部</t>
        </is>
      </c>
      <c r="F23" s="4" t="inlineStr">
        <is>
          <t>赵秀英</t>
        </is>
      </c>
    </row>
    <row r="24">
      <c r="A24" s="14" t="n">
        <v>45453</v>
      </c>
      <c r="B24" s="4" t="inlineStr">
        <is>
          <t>2024-06</t>
        </is>
      </c>
      <c r="C24" s="4" t="inlineStr">
        <is>
          <t>海宁市食佳食品商行经销商返点实现11958</t>
        </is>
      </c>
      <c r="D24" s="15" t="n">
        <v>-11958.61</v>
      </c>
      <c r="E24" s="4" t="inlineStr">
        <is>
          <t>上海分部</t>
        </is>
      </c>
      <c r="F24" s="4" t="inlineStr">
        <is>
          <t>朱洋秀</t>
        </is>
      </c>
    </row>
    <row r="25">
      <c r="A25" s="14" t="n">
        <v>45471</v>
      </c>
      <c r="B25" s="4" t="inlineStr">
        <is>
          <t>2024-06</t>
        </is>
      </c>
      <c r="C25" s="4" t="inlineStr">
        <is>
          <t>武进实业有限公司经销商返点实现14630</t>
        </is>
      </c>
      <c r="D25" s="15" t="n">
        <v>-14630.05</v>
      </c>
      <c r="E25" s="4" t="inlineStr">
        <is>
          <t>上海分部</t>
        </is>
      </c>
      <c r="F25" s="4" t="inlineStr">
        <is>
          <t>罗娟英</t>
        </is>
      </c>
    </row>
    <row r="26">
      <c r="A26" s="14" t="n">
        <v>45492</v>
      </c>
      <c r="B26" s="4" t="inlineStr">
        <is>
          <t>2024-07</t>
        </is>
      </c>
      <c r="C26" s="4" t="inlineStr">
        <is>
          <t>姑苏食品有限公司经销商返点实现13816</t>
        </is>
      </c>
      <c r="D26" s="15" t="n">
        <v>-13816.89</v>
      </c>
      <c r="E26" s="4" t="inlineStr">
        <is>
          <t>江苏分部</t>
        </is>
      </c>
      <c r="F26" s="4" t="inlineStr">
        <is>
          <t>张霞伟</t>
        </is>
      </c>
    </row>
    <row r="27">
      <c r="A27" s="14" t="n">
        <v>45495</v>
      </c>
      <c r="B27" s="4" t="inlineStr">
        <is>
          <t>2024-07</t>
        </is>
      </c>
      <c r="C27" s="4" t="inlineStr">
        <is>
          <t>衢州供应链管理有限公司经销商返点实现11494</t>
        </is>
      </c>
      <c r="D27" s="15" t="n">
        <v>-11494.07</v>
      </c>
      <c r="E27" s="4" t="inlineStr">
        <is>
          <t>浙江分部</t>
        </is>
      </c>
      <c r="F27" s="4" t="inlineStr">
        <is>
          <t>吴明娜</t>
        </is>
      </c>
    </row>
    <row r="28">
      <c r="A28" s="14" t="n">
        <v>45496</v>
      </c>
      <c r="B28" s="4" t="inlineStr">
        <is>
          <t>2024-07</t>
        </is>
      </c>
      <c r="C28" s="4" t="inlineStr">
        <is>
          <t>武进供应链管理有限公司经销商返点实现4932</t>
        </is>
      </c>
      <c r="D28" s="15" t="n">
        <v>-4932.89</v>
      </c>
      <c r="E28" s="4" t="inlineStr">
        <is>
          <t>赣皖区域</t>
        </is>
      </c>
      <c r="F28" s="4" t="inlineStr">
        <is>
          <t>林敏娜</t>
        </is>
      </c>
    </row>
    <row r="29">
      <c r="A29" s="14" t="n">
        <v>45496</v>
      </c>
      <c r="B29" s="4" t="inlineStr">
        <is>
          <t>2024-07</t>
        </is>
      </c>
      <c r="C29" s="4" t="inlineStr">
        <is>
          <t>武进实业有限公司经销商返点实现13245</t>
        </is>
      </c>
      <c r="D29" s="15" t="n">
        <v>-13245.23</v>
      </c>
      <c r="E29" s="4" t="inlineStr">
        <is>
          <t>上海分部</t>
        </is>
      </c>
      <c r="F29" s="4" t="inlineStr">
        <is>
          <t>林丽秀</t>
        </is>
      </c>
    </row>
    <row r="30">
      <c r="A30" s="14" t="n">
        <v>45507</v>
      </c>
      <c r="B30" s="4" t="inlineStr">
        <is>
          <t>2024-08</t>
        </is>
      </c>
      <c r="C30" s="4" t="inlineStr">
        <is>
          <t>钟楼供应链管理有限公司经销商返点实现8531</t>
        </is>
      </c>
      <c r="D30" s="15" t="n">
        <v>-8531.530000000001</v>
      </c>
      <c r="E30" s="4" t="inlineStr">
        <is>
          <t>江苏分部</t>
        </is>
      </c>
      <c r="F30" s="4" t="inlineStr">
        <is>
          <t>王娟芳</t>
        </is>
      </c>
    </row>
    <row r="31">
      <c r="A31" s="14" t="n">
        <v>45508</v>
      </c>
      <c r="B31" s="4" t="inlineStr">
        <is>
          <t>2024-08</t>
        </is>
      </c>
      <c r="C31" s="4" t="inlineStr">
        <is>
          <t>余杭食品有限公司经销商返点实现9890</t>
        </is>
      </c>
      <c r="D31" s="15" t="n">
        <v>-9890.049999999999</v>
      </c>
      <c r="E31" s="4" t="inlineStr">
        <is>
          <t>上海分部</t>
        </is>
      </c>
      <c r="F31" s="4" t="inlineStr">
        <is>
          <t>马磊芳</t>
        </is>
      </c>
    </row>
    <row r="32">
      <c r="A32" s="14" t="n">
        <v>45515</v>
      </c>
      <c r="B32" s="4" t="inlineStr">
        <is>
          <t>2024-08</t>
        </is>
      </c>
      <c r="C32" s="4" t="inlineStr">
        <is>
          <t>衢州实业有限公司经销商返点实现8781</t>
        </is>
      </c>
      <c r="D32" s="15" t="n">
        <v>-8781.709999999999</v>
      </c>
      <c r="E32" s="4" t="inlineStr">
        <is>
          <t>江苏分部</t>
        </is>
      </c>
      <c r="F32" s="4" t="inlineStr">
        <is>
          <t>赵勇芳</t>
        </is>
      </c>
    </row>
    <row r="33">
      <c r="A33" s="14" t="n">
        <v>45518</v>
      </c>
      <c r="B33" s="4" t="inlineStr">
        <is>
          <t>2024-08</t>
        </is>
      </c>
      <c r="C33" s="4" t="inlineStr">
        <is>
          <t>海宁实业有限公司经销商返点实现6186</t>
        </is>
      </c>
      <c r="D33" s="15" t="n">
        <v>-6186.97</v>
      </c>
      <c r="E33" s="4" t="inlineStr">
        <is>
          <t>江苏分部</t>
        </is>
      </c>
      <c r="F33" s="4" t="inlineStr">
        <is>
          <t>赵秀伟</t>
        </is>
      </c>
    </row>
    <row r="34">
      <c r="A34" s="14" t="n">
        <v>45528</v>
      </c>
      <c r="B34" s="4" t="inlineStr">
        <is>
          <t>2024-08</t>
        </is>
      </c>
      <c r="C34" s="4" t="inlineStr">
        <is>
          <t>吴中供应链管理有限公司经销商返点实现12918</t>
        </is>
      </c>
      <c r="D34" s="15" t="n">
        <v>-12918.46</v>
      </c>
      <c r="E34" s="4" t="inlineStr">
        <is>
          <t>浙江分部</t>
        </is>
      </c>
      <c r="F34" s="4" t="inlineStr">
        <is>
          <t>赵超伟</t>
        </is>
      </c>
    </row>
    <row r="35">
      <c r="A35" s="14" t="n">
        <v>45543</v>
      </c>
      <c r="B35" s="4" t="inlineStr">
        <is>
          <t>2024-09</t>
        </is>
      </c>
      <c r="C35" s="4" t="inlineStr">
        <is>
          <t>衢州实业有限公司经销商返点实现3916</t>
        </is>
      </c>
      <c r="D35" s="15" t="n">
        <v>-3916.7</v>
      </c>
      <c r="E35" s="4" t="inlineStr">
        <is>
          <t>江苏分部</t>
        </is>
      </c>
      <c r="F35" s="4" t="inlineStr">
        <is>
          <t>刘磊英</t>
        </is>
      </c>
    </row>
    <row r="36">
      <c r="A36" s="14" t="n">
        <v>45558</v>
      </c>
      <c r="B36" s="4" t="inlineStr">
        <is>
          <t>2024-09</t>
        </is>
      </c>
      <c r="C36" s="4" t="inlineStr">
        <is>
          <t>姑苏供应链管理有限公司经销商返点实现14678</t>
        </is>
      </c>
      <c r="D36" s="15" t="n">
        <v>-14678.44</v>
      </c>
      <c r="E36" s="4" t="inlineStr">
        <is>
          <t>江苏分部</t>
        </is>
      </c>
      <c r="F36" s="4" t="inlineStr">
        <is>
          <t>朱芳伟</t>
        </is>
      </c>
    </row>
    <row r="37">
      <c r="A37" s="14" t="n">
        <v>45560</v>
      </c>
      <c r="B37" s="4" t="inlineStr">
        <is>
          <t>2024-09</t>
        </is>
      </c>
      <c r="C37" s="4" t="inlineStr">
        <is>
          <t>余杭市淼沃食品商行经销商返点实现1606</t>
        </is>
      </c>
      <c r="D37" s="15" t="n">
        <v>-1606.19</v>
      </c>
      <c r="E37" s="4" t="inlineStr">
        <is>
          <t>赣皖区域</t>
        </is>
      </c>
      <c r="F37" s="4" t="inlineStr">
        <is>
          <t>刘明秀</t>
        </is>
      </c>
    </row>
    <row r="38">
      <c r="A38" s="14" t="n">
        <v>45571</v>
      </c>
      <c r="B38" s="4" t="inlineStr">
        <is>
          <t>2024-10</t>
        </is>
      </c>
      <c r="C38" s="4" t="inlineStr">
        <is>
          <t>衢州供应链管理有限公司经销商返点实现14926</t>
        </is>
      </c>
      <c r="D38" s="15" t="n">
        <v>-14926.33</v>
      </c>
      <c r="E38" s="4" t="inlineStr">
        <is>
          <t>江苏分部</t>
        </is>
      </c>
      <c r="F38" s="4" t="inlineStr">
        <is>
          <t>胡洋秀</t>
        </is>
      </c>
    </row>
    <row r="39">
      <c r="A39" s="14" t="n">
        <v>45582</v>
      </c>
      <c r="B39" s="4" t="inlineStr">
        <is>
          <t>2024-10</t>
        </is>
      </c>
      <c r="C39" s="4" t="inlineStr">
        <is>
          <t>吴中商贸有限公司经销商返点实现12721</t>
        </is>
      </c>
      <c r="D39" s="15" t="n">
        <v>-12721.34</v>
      </c>
      <c r="E39" s="4" t="inlineStr">
        <is>
          <t>上海分部</t>
        </is>
      </c>
      <c r="F39" s="4" t="inlineStr">
        <is>
          <t>马明娜</t>
        </is>
      </c>
    </row>
    <row r="40">
      <c r="A40" s="14" t="n">
        <v>45584</v>
      </c>
      <c r="B40" s="4" t="inlineStr">
        <is>
          <t>2024-10</t>
        </is>
      </c>
      <c r="C40" s="4" t="inlineStr">
        <is>
          <t>吴中实业有限公司经销商返点实现3164</t>
        </is>
      </c>
      <c r="D40" s="15" t="n">
        <v>-3164.2</v>
      </c>
      <c r="E40" s="4" t="inlineStr">
        <is>
          <t>赣皖区域</t>
        </is>
      </c>
      <c r="F40" s="4" t="inlineStr">
        <is>
          <t>陈艳芳</t>
        </is>
      </c>
    </row>
    <row r="41">
      <c r="A41" s="14" t="n">
        <v>45584</v>
      </c>
      <c r="B41" s="4" t="inlineStr">
        <is>
          <t>2024-10</t>
        </is>
      </c>
      <c r="C41" s="4" t="inlineStr">
        <is>
          <t>钟楼商贸有限公司经销商返点实现4804</t>
        </is>
      </c>
      <c r="D41" s="15" t="n">
        <v>-4804.02</v>
      </c>
      <c r="E41" s="4" t="inlineStr">
        <is>
          <t>江苏分部</t>
        </is>
      </c>
      <c r="F41" s="4" t="inlineStr">
        <is>
          <t>黄强英</t>
        </is>
      </c>
    </row>
    <row r="42">
      <c r="A42" s="14" t="n">
        <v>45589</v>
      </c>
      <c r="B42" s="4" t="inlineStr">
        <is>
          <t>2024-10</t>
        </is>
      </c>
      <c r="C42" s="4" t="inlineStr">
        <is>
          <t>武进食品有限公司经销商返点实现11835</t>
        </is>
      </c>
      <c r="D42" s="15" t="n">
        <v>-11835.92</v>
      </c>
      <c r="E42" s="4" t="inlineStr">
        <is>
          <t>浙江分部</t>
        </is>
      </c>
      <c r="F42" s="4" t="inlineStr">
        <is>
          <t>朱娜芳</t>
        </is>
      </c>
    </row>
    <row r="43">
      <c r="A43" s="14" t="n">
        <v>45590</v>
      </c>
      <c r="B43" s="4" t="inlineStr">
        <is>
          <t>2024-10</t>
        </is>
      </c>
      <c r="C43" s="4" t="inlineStr">
        <is>
          <t>姑苏食品有限公司经销商返点实现1092</t>
        </is>
      </c>
      <c r="D43" s="15" t="n">
        <v>-1092.76</v>
      </c>
      <c r="E43" s="4" t="inlineStr">
        <is>
          <t>赣皖区域</t>
        </is>
      </c>
      <c r="F43" s="4" t="inlineStr">
        <is>
          <t>胡娟秀</t>
        </is>
      </c>
    </row>
    <row r="44">
      <c r="A44" s="14" t="n">
        <v>45593</v>
      </c>
      <c r="B44" s="4" t="inlineStr">
        <is>
          <t>2024-10</t>
        </is>
      </c>
      <c r="C44" s="4" t="inlineStr">
        <is>
          <t>钟楼商贸有限公司经销商返点实现4662</t>
        </is>
      </c>
      <c r="D44" s="15" t="n">
        <v>-4662.67</v>
      </c>
      <c r="E44" s="4" t="inlineStr">
        <is>
          <t>赣皖区域</t>
        </is>
      </c>
      <c r="F44" s="4" t="inlineStr">
        <is>
          <t>王霞伟</t>
        </is>
      </c>
    </row>
    <row r="45">
      <c r="A45" s="14" t="n">
        <v>45601</v>
      </c>
      <c r="B45" s="4" t="inlineStr">
        <is>
          <t>2024-11</t>
        </is>
      </c>
      <c r="C45" s="4" t="inlineStr">
        <is>
          <t>海宁区大匠冷冻食品批发部经销商返点实现1170</t>
        </is>
      </c>
      <c r="D45" s="15" t="n">
        <v>-1170.19</v>
      </c>
      <c r="E45" s="4" t="inlineStr">
        <is>
          <t>江苏分部</t>
        </is>
      </c>
      <c r="F45" s="4" t="inlineStr">
        <is>
          <t>罗英娜</t>
        </is>
      </c>
    </row>
    <row r="46">
      <c r="A46" s="14" t="n">
        <v>45608</v>
      </c>
      <c r="B46" s="4" t="inlineStr">
        <is>
          <t>2024-11</t>
        </is>
      </c>
      <c r="C46" s="4" t="inlineStr">
        <is>
          <t>冲减计提余杭市食佳食品商行经销商返点实现9865</t>
        </is>
      </c>
      <c r="D46" s="15" t="n">
        <v>9865.9</v>
      </c>
      <c r="E46" s="4" t="inlineStr">
        <is>
          <t>上海分部</t>
        </is>
      </c>
      <c r="F46" s="4" t="inlineStr">
        <is>
          <t>赵娜秀</t>
        </is>
      </c>
    </row>
    <row r="47">
      <c r="A47" s="14" t="n">
        <v>45627</v>
      </c>
      <c r="B47" s="4" t="inlineStr">
        <is>
          <t>2024-12</t>
        </is>
      </c>
      <c r="C47" s="4" t="inlineStr">
        <is>
          <t>钟楼商贸有限公司经销商返点实现9373</t>
        </is>
      </c>
      <c r="D47" s="15" t="n">
        <v>-9373.59</v>
      </c>
      <c r="E47" s="4" t="inlineStr">
        <is>
          <t>赣皖区域</t>
        </is>
      </c>
      <c r="F47" s="4" t="inlineStr">
        <is>
          <t>高强芳</t>
        </is>
      </c>
    </row>
    <row r="48">
      <c r="A48" s="14" t="n">
        <v>45630</v>
      </c>
      <c r="B48" s="4" t="inlineStr">
        <is>
          <t>2024-12</t>
        </is>
      </c>
      <c r="C48" s="4" t="inlineStr">
        <is>
          <t>钟楼供应链管理有限公司经销商返点实现7624</t>
        </is>
      </c>
      <c r="D48" s="15" t="n">
        <v>-7624.46</v>
      </c>
      <c r="E48" s="4" t="inlineStr">
        <is>
          <t>赣皖区域</t>
        </is>
      </c>
      <c r="F48" s="4" t="inlineStr">
        <is>
          <t>刘敏秀</t>
        </is>
      </c>
    </row>
    <row r="49">
      <c r="A49" s="14" t="n">
        <v>45637</v>
      </c>
      <c r="B49" s="4" t="inlineStr">
        <is>
          <t>2024-12</t>
        </is>
      </c>
      <c r="C49" s="4" t="inlineStr">
        <is>
          <t>衢州食品有限公司经销商返点实现8329</t>
        </is>
      </c>
      <c r="D49" s="15" t="n">
        <v>-8329.209999999999</v>
      </c>
      <c r="E49" s="4" t="inlineStr">
        <is>
          <t>赣皖区域</t>
        </is>
      </c>
      <c r="F49" s="4" t="inlineStr">
        <is>
          <t>朱静英</t>
        </is>
      </c>
    </row>
    <row r="50">
      <c r="A50" s="14" t="n">
        <v>45645</v>
      </c>
      <c r="B50" s="4" t="inlineStr">
        <is>
          <t>2024-12</t>
        </is>
      </c>
      <c r="C50" s="4" t="inlineStr">
        <is>
          <t>冲减计提吴中区京功冷冻食品批发部经销商返点实现13578</t>
        </is>
      </c>
      <c r="D50" s="15" t="n">
        <v>13578.48</v>
      </c>
      <c r="E50" s="4" t="inlineStr">
        <is>
          <t>浙江分部</t>
        </is>
      </c>
      <c r="F50" s="4" t="inlineStr">
        <is>
          <t>刘秀芳</t>
        </is>
      </c>
    </row>
    <row r="51">
      <c r="A51" s="14" t="n">
        <v>45651</v>
      </c>
      <c r="B51" s="4" t="inlineStr">
        <is>
          <t>2024-12</t>
        </is>
      </c>
      <c r="C51" s="4" t="inlineStr">
        <is>
          <t>武进食品有限公司经销商返点实现3701</t>
        </is>
      </c>
      <c r="D51" s="15" t="n">
        <v>-3701.94</v>
      </c>
      <c r="E51" s="4" t="inlineStr">
        <is>
          <t>浙江分部</t>
        </is>
      </c>
      <c r="F51" s="4" t="inlineStr">
        <is>
          <t>陈勇娜</t>
        </is>
      </c>
    </row>
    <row r="52">
      <c r="C52" s="6" t="inlineStr">
        <is>
          <t>合计</t>
        </is>
      </c>
      <c r="D52" s="16" t="n">
        <v>-268505.85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江苏美鑫食品科技有限公司资产负债表</t>
        </is>
      </c>
    </row>
    <row r="2">
      <c r="A2" s="17" t="inlineStr">
        <is>
          <t>编制日期：2025年12月31日</t>
        </is>
      </c>
      <c r="H2" t="inlineStr">
        <is>
          <t>单位：元</t>
        </is>
      </c>
    </row>
    <row r="3">
      <c r="A3" s="2" t="inlineStr">
        <is>
          <t>资产</t>
        </is>
      </c>
      <c r="B3" s="2" t="inlineStr">
        <is>
          <t>行次</t>
        </is>
      </c>
      <c r="C3" s="2" t="inlineStr">
        <is>
          <t>期末余额</t>
        </is>
      </c>
      <c r="D3" s="2" t="inlineStr">
        <is>
          <t>年初余额</t>
        </is>
      </c>
      <c r="E3" s="2" t="inlineStr">
        <is>
          <t>负债和所有者权益</t>
        </is>
      </c>
      <c r="F3" s="2" t="inlineStr">
        <is>
          <t>行次</t>
        </is>
      </c>
      <c r="G3" s="2" t="inlineStr">
        <is>
          <t>期末余额</t>
        </is>
      </c>
      <c r="H3" s="2" t="inlineStr">
        <is>
          <t>年初余额</t>
        </is>
      </c>
    </row>
    <row r="4">
      <c r="A4" s="6" t="inlineStr">
        <is>
          <t>流动资产：</t>
        </is>
      </c>
      <c r="E4" s="6" t="inlineStr">
        <is>
          <t>流动负债：</t>
        </is>
      </c>
    </row>
    <row r="5">
      <c r="A5" s="4" t="inlineStr">
        <is>
          <t>货币资金</t>
        </is>
      </c>
      <c r="B5" s="3" t="n">
        <v>1</v>
      </c>
      <c r="C5" s="15" t="n">
        <v>2478167.61</v>
      </c>
      <c r="D5" s="15" t="n">
        <v>2184742.4</v>
      </c>
      <c r="E5" s="4" t="inlineStr">
        <is>
          <t>短期借款</t>
        </is>
      </c>
      <c r="F5" s="3" t="n">
        <v>21</v>
      </c>
      <c r="G5" s="15" t="n">
        <v>461260.57</v>
      </c>
      <c r="H5" s="15" t="n">
        <v>1799893.91</v>
      </c>
    </row>
    <row r="6">
      <c r="A6" s="4" t="inlineStr">
        <is>
          <t>交易性金融资产</t>
        </is>
      </c>
      <c r="B6" s="3" t="n">
        <v>2</v>
      </c>
      <c r="C6" s="15" t="n">
        <v>3291057</v>
      </c>
      <c r="D6" s="15" t="n">
        <v>2388738.04</v>
      </c>
      <c r="E6" s="4" t="inlineStr">
        <is>
          <t>应付票据</t>
        </is>
      </c>
      <c r="F6" s="3" t="n">
        <v>22</v>
      </c>
      <c r="G6" s="15" t="n">
        <v>2457328.17</v>
      </c>
      <c r="H6" s="15" t="n">
        <v>861783.24</v>
      </c>
    </row>
    <row r="7">
      <c r="A7" s="4" t="inlineStr">
        <is>
          <t>应收票据</t>
        </is>
      </c>
      <c r="B7" s="3" t="n">
        <v>3</v>
      </c>
      <c r="C7" s="15" t="n">
        <v>2171159.09</v>
      </c>
      <c r="D7" s="15" t="n">
        <v>3070980.38</v>
      </c>
      <c r="E7" s="4" t="inlineStr">
        <is>
          <t>应付账款</t>
        </is>
      </c>
      <c r="F7" s="3" t="n">
        <v>23</v>
      </c>
      <c r="G7" s="15" t="n">
        <v>1091741</v>
      </c>
      <c r="H7" s="15" t="n">
        <v>1640508.81</v>
      </c>
    </row>
    <row r="8">
      <c r="A8" s="4" t="inlineStr">
        <is>
          <t>应收账款</t>
        </is>
      </c>
      <c r="B8" s="3" t="n">
        <v>4</v>
      </c>
      <c r="C8" s="15" t="n">
        <v>1619332.37</v>
      </c>
      <c r="D8" s="15" t="n">
        <v>1778891.76</v>
      </c>
      <c r="E8" s="4" t="inlineStr">
        <is>
          <t>预收款项</t>
        </is>
      </c>
      <c r="F8" s="3" t="n">
        <v>24</v>
      </c>
      <c r="G8" s="15" t="n">
        <v>662879.9300000001</v>
      </c>
      <c r="H8" s="15" t="n">
        <v>514674.34</v>
      </c>
    </row>
    <row r="9">
      <c r="A9" s="4" t="inlineStr">
        <is>
          <t>预付款项</t>
        </is>
      </c>
      <c r="B9" s="3" t="n">
        <v>5</v>
      </c>
      <c r="C9" s="15" t="n">
        <v>1043989.37</v>
      </c>
      <c r="D9" s="15" t="n">
        <v>1764979.21</v>
      </c>
      <c r="E9" s="4" t="inlineStr">
        <is>
          <t>合同负债</t>
        </is>
      </c>
      <c r="F9" s="3" t="n">
        <v>25</v>
      </c>
      <c r="G9" s="15" t="n">
        <v>1586071.19</v>
      </c>
      <c r="H9" s="15" t="n">
        <v>1592422.58</v>
      </c>
    </row>
    <row r="10">
      <c r="A10" s="4" t="inlineStr">
        <is>
          <t>其他应收款</t>
        </is>
      </c>
      <c r="B10" s="3" t="n">
        <v>6</v>
      </c>
      <c r="C10" s="15" t="n">
        <v>2521692.05</v>
      </c>
      <c r="D10" s="15" t="n">
        <v>3138980.22</v>
      </c>
      <c r="E10" s="4" t="inlineStr">
        <is>
          <t>应付职工薪酬</t>
        </is>
      </c>
      <c r="F10" s="3" t="n">
        <v>26</v>
      </c>
      <c r="G10" s="15" t="n">
        <v>930785.36</v>
      </c>
      <c r="H10" s="15" t="n">
        <v>1547611.75</v>
      </c>
    </row>
    <row r="11">
      <c r="A11" s="4" t="inlineStr">
        <is>
          <t>存货</t>
        </is>
      </c>
      <c r="B11" s="3" t="n">
        <v>7</v>
      </c>
      <c r="C11" s="15" t="n">
        <v>1371679.38</v>
      </c>
      <c r="D11" s="15" t="n">
        <v>3285213.25</v>
      </c>
      <c r="E11" s="4" t="inlineStr">
        <is>
          <t>应交税费</t>
        </is>
      </c>
      <c r="F11" s="3" t="n">
        <v>27</v>
      </c>
      <c r="G11" s="15" t="n">
        <v>2190985.12</v>
      </c>
      <c r="H11" s="15" t="n">
        <v>1821086.41</v>
      </c>
    </row>
    <row r="12">
      <c r="A12" s="4" t="inlineStr">
        <is>
          <t>其中：原材料</t>
        </is>
      </c>
      <c r="C12" s="15" t="n">
        <v>418847.32</v>
      </c>
      <c r="D12" s="15" t="n">
        <v>443291.61</v>
      </c>
      <c r="E12" s="4" t="inlineStr">
        <is>
          <t>其他应付款</t>
        </is>
      </c>
      <c r="F12" s="3" t="n">
        <v>28</v>
      </c>
      <c r="G12" s="15" t="n">
        <v>1125617.94</v>
      </c>
      <c r="H12" s="15" t="n">
        <v>1877353.72</v>
      </c>
    </row>
    <row r="13">
      <c r="A13" s="4" t="inlineStr">
        <is>
          <t>在制品</t>
        </is>
      </c>
      <c r="C13" s="15" t="n">
        <v>259210.14</v>
      </c>
      <c r="D13" s="15" t="n">
        <v>387731.84</v>
      </c>
      <c r="E13" s="4" t="inlineStr">
        <is>
          <t>一年内到期的非流动负债</t>
        </is>
      </c>
      <c r="F13" s="3" t="n">
        <v>29</v>
      </c>
      <c r="G13" s="15" t="n">
        <v>957604.3100000001</v>
      </c>
      <c r="H13" s="15" t="n">
        <v>1844174</v>
      </c>
    </row>
    <row r="14">
      <c r="A14" s="4" t="inlineStr">
        <is>
          <t>库存商品</t>
        </is>
      </c>
      <c r="C14" s="15" t="n">
        <v>273304.36</v>
      </c>
      <c r="D14" s="15" t="n">
        <v>575086.77</v>
      </c>
      <c r="E14" s="4" t="inlineStr">
        <is>
          <t>其他流动负债</t>
        </is>
      </c>
      <c r="F14" s="3" t="n">
        <v>30</v>
      </c>
      <c r="G14" s="15" t="n">
        <v>2709378.79</v>
      </c>
      <c r="H14" s="15" t="n">
        <v>1207878.69</v>
      </c>
    </row>
    <row r="15">
      <c r="A15" s="4" t="inlineStr">
        <is>
          <t>合同资产</t>
        </is>
      </c>
      <c r="B15" s="3" t="n">
        <v>8</v>
      </c>
      <c r="C15" s="15" t="n">
        <v>3512150.2</v>
      </c>
      <c r="D15" s="15" t="n">
        <v>1081931.87</v>
      </c>
      <c r="E15" s="6" t="inlineStr">
        <is>
          <t>流动负债合计</t>
        </is>
      </c>
      <c r="F15" s="3" t="n">
        <v>31</v>
      </c>
      <c r="G15" s="16" t="n">
        <v>14173652.38</v>
      </c>
      <c r="H15" s="16" t="n">
        <v>14707387.45</v>
      </c>
    </row>
    <row r="16">
      <c r="A16" s="4" t="inlineStr">
        <is>
          <t>一年内到期的非流动资产</t>
        </is>
      </c>
      <c r="B16" s="3" t="n">
        <v>9</v>
      </c>
      <c r="C16" s="15" t="n">
        <v>3386897.42</v>
      </c>
      <c r="D16" s="15" t="n">
        <v>2120697.68</v>
      </c>
      <c r="E16" s="6" t="inlineStr">
        <is>
          <t>非流动负债：</t>
        </is>
      </c>
    </row>
    <row r="17">
      <c r="A17" s="4" t="inlineStr">
        <is>
          <t>其他流动资产</t>
        </is>
      </c>
      <c r="B17" s="3" t="n">
        <v>10</v>
      </c>
      <c r="C17" s="15" t="n">
        <v>3388119.68</v>
      </c>
      <c r="D17" s="15" t="n">
        <v>2704789.08</v>
      </c>
      <c r="E17" s="4" t="inlineStr">
        <is>
          <t>长期借款</t>
        </is>
      </c>
      <c r="F17" s="3" t="n">
        <v>32</v>
      </c>
      <c r="G17" s="15" t="n">
        <v>1014841.22</v>
      </c>
      <c r="H17" s="15" t="n">
        <v>723095.65</v>
      </c>
    </row>
    <row r="18">
      <c r="A18" s="6" t="inlineStr">
        <is>
          <t>流动资产合计</t>
        </is>
      </c>
      <c r="B18" s="3" t="n">
        <v>11</v>
      </c>
      <c r="C18" s="16" t="n">
        <v>24784244.17</v>
      </c>
      <c r="D18" s="16" t="n">
        <v>23519943.89</v>
      </c>
      <c r="E18" s="4" t="inlineStr">
        <is>
          <t>长期应付款</t>
        </is>
      </c>
      <c r="F18" s="3" t="n">
        <v>33</v>
      </c>
      <c r="G18" s="15" t="n">
        <v>2082263.02</v>
      </c>
      <c r="H18" s="15" t="n">
        <v>2508722.9</v>
      </c>
    </row>
    <row r="19">
      <c r="A19" s="6" t="inlineStr">
        <is>
          <t>非流动资产：</t>
        </is>
      </c>
      <c r="E19" s="4" t="inlineStr">
        <is>
          <t>递延收益</t>
        </is>
      </c>
      <c r="F19" s="3" t="n">
        <v>34</v>
      </c>
      <c r="G19" s="15" t="n">
        <v>2259688.06</v>
      </c>
      <c r="H19" s="15" t="n">
        <v>1869127.06</v>
      </c>
    </row>
    <row r="20">
      <c r="A20" s="4" t="inlineStr">
        <is>
          <t>长期股权投资</t>
        </is>
      </c>
      <c r="B20" s="3" t="n">
        <v>12</v>
      </c>
      <c r="C20" s="15" t="n">
        <v>1321372.88</v>
      </c>
      <c r="D20" s="15" t="n">
        <v>890237.92</v>
      </c>
      <c r="E20" s="4" t="inlineStr">
        <is>
          <t>递延所得税负债</t>
        </is>
      </c>
      <c r="F20" s="3" t="n">
        <v>35</v>
      </c>
      <c r="G20" s="15" t="n">
        <v>717630.14</v>
      </c>
      <c r="H20" s="15" t="n">
        <v>1202220.44</v>
      </c>
    </row>
    <row r="21">
      <c r="A21" s="4" t="inlineStr">
        <is>
          <t>固定资产</t>
        </is>
      </c>
      <c r="B21" s="3" t="n">
        <v>13</v>
      </c>
      <c r="C21" s="15" t="n">
        <v>4194931.79</v>
      </c>
      <c r="D21" s="15" t="n">
        <v>1816759.31</v>
      </c>
      <c r="E21" s="6" t="inlineStr">
        <is>
          <t>非流动负债合计</t>
        </is>
      </c>
      <c r="F21" s="3" t="n">
        <v>36</v>
      </c>
      <c r="G21" s="16" t="n">
        <v>6074422.44</v>
      </c>
      <c r="H21" s="16" t="n">
        <v>6303166.05</v>
      </c>
    </row>
    <row r="22">
      <c r="A22" s="4" t="inlineStr">
        <is>
          <t>在建工程</t>
        </is>
      </c>
      <c r="B22" s="3" t="n">
        <v>14</v>
      </c>
      <c r="C22" s="15" t="n">
        <v>1308799.79</v>
      </c>
      <c r="D22" s="15" t="n">
        <v>4145250.12</v>
      </c>
      <c r="E22" s="6" t="inlineStr">
        <is>
          <t>负债合计</t>
        </is>
      </c>
      <c r="F22" s="3" t="n">
        <v>37</v>
      </c>
      <c r="G22" s="16" t="n">
        <v>20248074.82</v>
      </c>
      <c r="H22" s="16" t="n">
        <v>21010553.49</v>
      </c>
    </row>
    <row r="23">
      <c r="A23" s="4" t="inlineStr">
        <is>
          <t>无形资产</t>
        </is>
      </c>
      <c r="B23" s="3" t="n">
        <v>15</v>
      </c>
      <c r="C23" s="15" t="n">
        <v>1964870.78</v>
      </c>
      <c r="D23" s="15" t="n">
        <v>735089.72</v>
      </c>
      <c r="E23" s="6" t="inlineStr">
        <is>
          <t>所有者权益：</t>
        </is>
      </c>
    </row>
    <row r="24">
      <c r="A24" s="4" t="inlineStr">
        <is>
          <t>长期待摊费用</t>
        </is>
      </c>
      <c r="B24" s="3" t="n">
        <v>16</v>
      </c>
      <c r="C24" s="15" t="n">
        <v>4001669.31</v>
      </c>
      <c r="D24" s="15" t="n">
        <v>862628.16</v>
      </c>
      <c r="E24" s="4" t="inlineStr">
        <is>
          <t>实收资本</t>
        </is>
      </c>
      <c r="F24" s="3" t="n">
        <v>38</v>
      </c>
      <c r="G24" s="15" t="n">
        <v>1548061.82</v>
      </c>
      <c r="H24" s="15" t="n">
        <v>4989602.85</v>
      </c>
    </row>
    <row r="25">
      <c r="A25" s="4" t="inlineStr">
        <is>
          <t>递延所得税资产</t>
        </is>
      </c>
      <c r="B25" s="3" t="n">
        <v>17</v>
      </c>
      <c r="C25" s="15" t="n">
        <v>1655503.42</v>
      </c>
      <c r="D25" s="15" t="n">
        <v>6265121.74</v>
      </c>
      <c r="E25" s="4" t="inlineStr">
        <is>
          <t>资本公积</t>
        </is>
      </c>
      <c r="F25" s="3" t="n">
        <v>39</v>
      </c>
      <c r="G25" s="15" t="n">
        <v>5114157.78</v>
      </c>
      <c r="H25" s="15" t="n">
        <v>2094809.56</v>
      </c>
    </row>
    <row r="26">
      <c r="A26" s="4" t="inlineStr">
        <is>
          <t>其他非流动资产</t>
        </is>
      </c>
      <c r="B26" s="3" t="n">
        <v>18</v>
      </c>
      <c r="C26" s="15" t="n">
        <v>2075681.49</v>
      </c>
      <c r="D26" s="15" t="n">
        <v>964875.63</v>
      </c>
      <c r="E26" s="4" t="inlineStr">
        <is>
          <t>盈余公积</t>
        </is>
      </c>
      <c r="F26" s="3" t="n">
        <v>40</v>
      </c>
      <c r="G26" s="15" t="n">
        <v>3837885.94</v>
      </c>
      <c r="H26" s="15" t="n">
        <v>7846241.08</v>
      </c>
    </row>
    <row r="27">
      <c r="A27" s="6" t="inlineStr">
        <is>
          <t>非流动资产合计</t>
        </is>
      </c>
      <c r="B27" s="3" t="n">
        <v>19</v>
      </c>
      <c r="C27" s="16" t="n">
        <v>16522829.46</v>
      </c>
      <c r="D27" s="16" t="n">
        <v>15679962.6</v>
      </c>
      <c r="E27" s="4" t="inlineStr">
        <is>
          <t>未分配利润</t>
        </is>
      </c>
      <c r="F27" s="3" t="n">
        <v>41</v>
      </c>
      <c r="G27" s="15" t="n">
        <v>10558893.27</v>
      </c>
      <c r="H27" s="15" t="n">
        <v>3258699.5</v>
      </c>
    </row>
    <row r="28">
      <c r="A28" s="6" t="inlineStr">
        <is>
          <t>资产总计</t>
        </is>
      </c>
      <c r="B28" s="3" t="n">
        <v>20</v>
      </c>
      <c r="C28" s="16" t="n">
        <v>41307073.63</v>
      </c>
      <c r="D28" s="16" t="n">
        <v>39199906.49</v>
      </c>
      <c r="E28" s="6" t="inlineStr">
        <is>
          <t>所有者权益合计</t>
        </is>
      </c>
      <c r="F28" s="3" t="n">
        <v>42</v>
      </c>
      <c r="G28" s="16" t="n">
        <v>21058998.81</v>
      </c>
      <c r="H28" s="16" t="n">
        <v>18189353</v>
      </c>
    </row>
    <row r="29">
      <c r="E29" s="6" t="inlineStr">
        <is>
          <t>负债和所有者权益总计</t>
        </is>
      </c>
      <c r="F29" s="3" t="n">
        <v>43</v>
      </c>
      <c r="G29" s="16" t="n">
        <v>41307073.63</v>
      </c>
      <c r="H29" s="16" t="n">
        <v>39199906.49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4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江苏美鑫食品科技有限公司2025年销售明细表</t>
        </is>
      </c>
    </row>
    <row r="2">
      <c r="A2" s="2" t="inlineStr">
        <is>
          <t>日期</t>
        </is>
      </c>
      <c r="B2" s="2" t="inlineStr">
        <is>
          <t>订单号</t>
        </is>
      </c>
      <c r="C2" s="2" t="inlineStr">
        <is>
          <t>客户名称</t>
        </is>
      </c>
      <c r="D2" s="2" t="inlineStr">
        <is>
          <t>产品</t>
        </is>
      </c>
      <c r="E2" s="2" t="inlineStr">
        <is>
          <t>规格型号</t>
        </is>
      </c>
      <c r="F2" s="2" t="inlineStr">
        <is>
          <t>数量</t>
        </is>
      </c>
      <c r="G2" s="2" t="inlineStr">
        <is>
          <t>单价(元)</t>
        </is>
      </c>
      <c r="H2" s="2" t="inlineStr">
        <is>
          <t>金额(元)</t>
        </is>
      </c>
      <c r="I2" s="2" t="inlineStr">
        <is>
          <t>区域</t>
        </is>
      </c>
      <c r="J2" s="2" t="inlineStr">
        <is>
          <t>业务员</t>
        </is>
      </c>
    </row>
    <row r="3">
      <c r="A3" s="14" t="n">
        <v>45658</v>
      </c>
      <c r="B3" s="4" t="inlineStr">
        <is>
          <t>SO202510121</t>
        </is>
      </c>
      <c r="C3" s="4" t="inlineStr">
        <is>
          <t>合肥淼沃酒店管理集团</t>
        </is>
      </c>
      <c r="D3" s="4" t="inlineStr">
        <is>
          <t>复合调味粉</t>
        </is>
      </c>
      <c r="E3" s="4" t="inlineStr">
        <is>
          <t>1kg</t>
        </is>
      </c>
      <c r="F3" s="18" t="n">
        <v>1010</v>
      </c>
      <c r="G3" s="15" t="n">
        <v>29.05</v>
      </c>
      <c r="H3" s="15" t="n">
        <v>29340.5</v>
      </c>
      <c r="I3" s="4" t="inlineStr">
        <is>
          <t>浙江分部</t>
        </is>
      </c>
      <c r="J3" s="4" t="inlineStr">
        <is>
          <t>李英敏</t>
        </is>
      </c>
    </row>
    <row r="4">
      <c r="A4" s="14" t="n">
        <v>45658</v>
      </c>
      <c r="B4" s="4" t="inlineStr">
        <is>
          <t>SO202510146</t>
        </is>
      </c>
      <c r="C4" s="4" t="inlineStr">
        <is>
          <t>杭州食佳餐饮管理有限公司</t>
        </is>
      </c>
      <c r="D4" s="4" t="inlineStr">
        <is>
          <t>复合调味粉</t>
        </is>
      </c>
      <c r="E4" s="4" t="inlineStr">
        <is>
          <t>2.5kg</t>
        </is>
      </c>
      <c r="F4" s="18" t="n">
        <v>920</v>
      </c>
      <c r="G4" s="15" t="n">
        <v>70.19</v>
      </c>
      <c r="H4" s="15" t="n">
        <v>64574.8</v>
      </c>
      <c r="I4" s="4" t="inlineStr">
        <is>
          <t>江苏分部</t>
        </is>
      </c>
      <c r="J4" s="4" t="inlineStr">
        <is>
          <t>马英秀</t>
        </is>
      </c>
    </row>
    <row r="5">
      <c r="A5" s="14" t="n">
        <v>45658</v>
      </c>
      <c r="B5" s="4" t="inlineStr">
        <is>
          <t>SO202510162</t>
        </is>
      </c>
      <c r="C5" s="4" t="inlineStr">
        <is>
          <t>苏州食佳酒店管理集团</t>
        </is>
      </c>
      <c r="D5" s="4" t="inlineStr">
        <is>
          <t>川味底料</t>
        </is>
      </c>
      <c r="E5" s="4" t="inlineStr">
        <is>
          <t>简装</t>
        </is>
      </c>
      <c r="F5" s="18" t="n">
        <v>1010</v>
      </c>
      <c r="G5" s="15" t="n">
        <v>86.90000000000001</v>
      </c>
      <c r="H5" s="15" t="n">
        <v>87769</v>
      </c>
      <c r="I5" s="4" t="inlineStr">
        <is>
          <t>赣皖区域</t>
        </is>
      </c>
      <c r="J5" s="4" t="inlineStr">
        <is>
          <t>朱芳娜</t>
        </is>
      </c>
    </row>
    <row r="6">
      <c r="A6" s="14" t="n">
        <v>45659</v>
      </c>
      <c r="B6" s="4" t="inlineStr">
        <is>
          <t>SO202510059</t>
        </is>
      </c>
      <c r="C6" s="4" t="inlineStr">
        <is>
          <t>苏州优鲜超市</t>
        </is>
      </c>
      <c r="D6" s="4" t="inlineStr">
        <is>
          <t>川味底料</t>
        </is>
      </c>
      <c r="E6" s="4" t="inlineStr">
        <is>
          <t>精装</t>
        </is>
      </c>
      <c r="F6" s="18" t="n">
        <v>3160</v>
      </c>
      <c r="G6" s="15" t="n">
        <v>4.8</v>
      </c>
      <c r="H6" s="15" t="n">
        <v>15168</v>
      </c>
      <c r="I6" s="4" t="inlineStr">
        <is>
          <t>赣皖区域</t>
        </is>
      </c>
      <c r="J6" s="4" t="inlineStr">
        <is>
          <t>吴娜娜</t>
        </is>
      </c>
    </row>
    <row r="7">
      <c r="A7" s="14" t="n">
        <v>45660</v>
      </c>
      <c r="B7" s="4" t="inlineStr">
        <is>
          <t>SO202510235</t>
        </is>
      </c>
      <c r="C7" s="4" t="inlineStr">
        <is>
          <t>苏州优鲜商贸有限公司</t>
        </is>
      </c>
      <c r="D7" s="4" t="inlineStr">
        <is>
          <t>复合调味粉</t>
        </is>
      </c>
      <c r="E7" s="4" t="inlineStr">
        <is>
          <t>10kg</t>
        </is>
      </c>
      <c r="F7" s="18" t="n">
        <v>4610</v>
      </c>
      <c r="G7" s="15" t="n">
        <v>60.45</v>
      </c>
      <c r="H7" s="15" t="n">
        <v>278674.5</v>
      </c>
      <c r="I7" s="4" t="inlineStr">
        <is>
          <t>上海分部</t>
        </is>
      </c>
      <c r="J7" s="4" t="inlineStr">
        <is>
          <t>黄强英</t>
        </is>
      </c>
    </row>
    <row r="8">
      <c r="A8" s="14" t="n">
        <v>45661</v>
      </c>
      <c r="B8" s="4" t="inlineStr">
        <is>
          <t>SO202510260</t>
        </is>
      </c>
      <c r="C8" s="4" t="inlineStr">
        <is>
          <t>南京京功供应链有限公司</t>
        </is>
      </c>
      <c r="D8" s="4" t="inlineStr">
        <is>
          <t>川味底料</t>
        </is>
      </c>
      <c r="E8" s="4" t="inlineStr">
        <is>
          <t>25kg</t>
        </is>
      </c>
      <c r="F8" s="18" t="n">
        <v>1840</v>
      </c>
      <c r="G8" s="15" t="n">
        <v>52.56</v>
      </c>
      <c r="H8" s="15" t="n">
        <v>96710.39999999999</v>
      </c>
      <c r="I8" s="4" t="inlineStr">
        <is>
          <t>江苏分部</t>
        </is>
      </c>
      <c r="J8" s="4" t="inlineStr">
        <is>
          <t>赵强娜</t>
        </is>
      </c>
    </row>
    <row r="9">
      <c r="A9" s="14" t="n">
        <v>45661</v>
      </c>
      <c r="B9" s="4" t="inlineStr">
        <is>
          <t>SO202510342</t>
        </is>
      </c>
      <c r="C9" s="4" t="inlineStr">
        <is>
          <t>上海京功酒店管理集团</t>
        </is>
      </c>
      <c r="D9" s="4" t="inlineStr">
        <is>
          <t>预制菜</t>
        </is>
      </c>
      <c r="E9" s="4" t="inlineStr">
        <is>
          <t>精装</t>
        </is>
      </c>
      <c r="F9" s="18" t="n">
        <v>1150</v>
      </c>
      <c r="G9" s="15" t="n">
        <v>52.77</v>
      </c>
      <c r="H9" s="15" t="n">
        <v>60685.5</v>
      </c>
      <c r="I9" s="4" t="inlineStr">
        <is>
          <t>赣皖区域</t>
        </is>
      </c>
      <c r="J9" s="4" t="inlineStr">
        <is>
          <t>张敏英</t>
        </is>
      </c>
    </row>
    <row r="10">
      <c r="A10" s="14" t="n">
        <v>45662</v>
      </c>
      <c r="B10" s="4" t="inlineStr">
        <is>
          <t>SO202510034</t>
        </is>
      </c>
      <c r="C10" s="4" t="inlineStr">
        <is>
          <t>南京百味超市</t>
        </is>
      </c>
      <c r="D10" s="4" t="inlineStr">
        <is>
          <t>酱料</t>
        </is>
      </c>
      <c r="E10" s="4" t="inlineStr">
        <is>
          <t>C级</t>
        </is>
      </c>
      <c r="F10" s="18" t="n">
        <v>4600</v>
      </c>
      <c r="G10" s="15" t="n">
        <v>95.51000000000001</v>
      </c>
      <c r="H10" s="15" t="n">
        <v>439346</v>
      </c>
      <c r="I10" s="4" t="inlineStr">
        <is>
          <t>上海分部</t>
        </is>
      </c>
      <c r="J10" s="4" t="inlineStr">
        <is>
          <t>胡娟伟</t>
        </is>
      </c>
    </row>
    <row r="11">
      <c r="A11" s="14" t="n">
        <v>45662</v>
      </c>
      <c r="B11" s="4" t="inlineStr">
        <is>
          <t>SO202510102</t>
        </is>
      </c>
      <c r="C11" s="4" t="inlineStr">
        <is>
          <t>南京大匠酒店管理集团</t>
        </is>
      </c>
      <c r="D11" s="4" t="inlineStr">
        <is>
          <t>团餐</t>
        </is>
      </c>
      <c r="E11" s="4" t="inlineStr">
        <is>
          <t>标准</t>
        </is>
      </c>
      <c r="F11" s="18" t="n">
        <v>3350</v>
      </c>
      <c r="G11" s="15" t="n">
        <v>54.07</v>
      </c>
      <c r="H11" s="15" t="n">
        <v>181134.5</v>
      </c>
      <c r="I11" s="4" t="inlineStr">
        <is>
          <t>浙江分部</t>
        </is>
      </c>
      <c r="J11" s="4" t="inlineStr">
        <is>
          <t>周英敏</t>
        </is>
      </c>
    </row>
    <row r="12">
      <c r="A12" s="14" t="n">
        <v>45662</v>
      </c>
      <c r="B12" s="4" t="inlineStr">
        <is>
          <t>SO202510139</t>
        </is>
      </c>
      <c r="C12" s="4" t="inlineStr">
        <is>
          <t>南昌京功超市</t>
        </is>
      </c>
      <c r="D12" s="4" t="inlineStr">
        <is>
          <t>中式汤底</t>
        </is>
      </c>
      <c r="E12" s="4" t="inlineStr">
        <is>
          <t>标准</t>
        </is>
      </c>
      <c r="F12" s="18" t="n">
        <v>210</v>
      </c>
      <c r="G12" s="15" t="n">
        <v>42.58</v>
      </c>
      <c r="H12" s="15" t="n">
        <v>8941.799999999999</v>
      </c>
      <c r="I12" s="4" t="inlineStr">
        <is>
          <t>上海分部</t>
        </is>
      </c>
      <c r="J12" s="4" t="inlineStr">
        <is>
          <t>杨杰娜</t>
        </is>
      </c>
    </row>
    <row r="13">
      <c r="A13" s="14" t="n">
        <v>45662</v>
      </c>
      <c r="B13" s="4" t="inlineStr">
        <is>
          <t>SO202510144</t>
        </is>
      </c>
      <c r="C13" s="4" t="inlineStr">
        <is>
          <t>合肥百味食品有限公司</t>
        </is>
      </c>
      <c r="D13" s="4" t="inlineStr">
        <is>
          <t>调味汁</t>
        </is>
      </c>
      <c r="E13" s="4" t="inlineStr">
        <is>
          <t>2.5kg</t>
        </is>
      </c>
      <c r="F13" s="18" t="n">
        <v>1090</v>
      </c>
      <c r="G13" s="15" t="n">
        <v>71.31</v>
      </c>
      <c r="H13" s="15" t="n">
        <v>77727.89999999999</v>
      </c>
      <c r="I13" s="4" t="inlineStr">
        <is>
          <t>上海分部</t>
        </is>
      </c>
      <c r="J13" s="4" t="inlineStr">
        <is>
          <t>林涛英</t>
        </is>
      </c>
    </row>
    <row r="14">
      <c r="A14" s="14" t="n">
        <v>45662</v>
      </c>
      <c r="B14" s="4" t="inlineStr">
        <is>
          <t>SO202510334</t>
        </is>
      </c>
      <c r="C14" s="4" t="inlineStr">
        <is>
          <t>常州食佳酒店管理集团</t>
        </is>
      </c>
      <c r="D14" s="4" t="inlineStr">
        <is>
          <t>酱料</t>
        </is>
      </c>
      <c r="E14" s="4" t="inlineStr">
        <is>
          <t>25kg</t>
        </is>
      </c>
      <c r="F14" s="18" t="n">
        <v>240</v>
      </c>
      <c r="G14" s="15" t="n">
        <v>52.37</v>
      </c>
      <c r="H14" s="15" t="n">
        <v>12568.8</v>
      </c>
      <c r="I14" s="4" t="inlineStr">
        <is>
          <t>浙江分部</t>
        </is>
      </c>
      <c r="J14" s="4" t="inlineStr">
        <is>
          <t>马强秀</t>
        </is>
      </c>
    </row>
    <row r="15">
      <c r="A15" s="14" t="n">
        <v>45664</v>
      </c>
      <c r="B15" s="4" t="inlineStr">
        <is>
          <t>SO202510248</t>
        </is>
      </c>
      <c r="C15" s="4" t="inlineStr">
        <is>
          <t>合肥大匠电商平台</t>
        </is>
      </c>
      <c r="D15" s="4" t="inlineStr">
        <is>
          <t>预制菜</t>
        </is>
      </c>
      <c r="E15" s="4" t="inlineStr">
        <is>
          <t>500g</t>
        </is>
      </c>
      <c r="F15" s="18" t="n">
        <v>4390</v>
      </c>
      <c r="G15" s="15" t="n">
        <v>58.4</v>
      </c>
      <c r="H15" s="15" t="n">
        <v>256376</v>
      </c>
      <c r="I15" s="4" t="inlineStr">
        <is>
          <t>江苏分部</t>
        </is>
      </c>
      <c r="J15" s="4" t="inlineStr">
        <is>
          <t>王杰秀</t>
        </is>
      </c>
    </row>
    <row r="16">
      <c r="A16" s="14" t="n">
        <v>45664</v>
      </c>
      <c r="B16" s="4" t="inlineStr">
        <is>
          <t>SO202510265</t>
        </is>
      </c>
      <c r="C16" s="4" t="inlineStr">
        <is>
          <t>宁波淼沃酒店管理集团</t>
        </is>
      </c>
      <c r="D16" s="4" t="inlineStr">
        <is>
          <t>川味底料</t>
        </is>
      </c>
      <c r="E16" s="4" t="inlineStr">
        <is>
          <t>2.5kg</t>
        </is>
      </c>
      <c r="F16" s="18" t="n">
        <v>4500</v>
      </c>
      <c r="G16" s="15" t="n">
        <v>80.43000000000001</v>
      </c>
      <c r="H16" s="15" t="n">
        <v>361935</v>
      </c>
      <c r="I16" s="4" t="inlineStr">
        <is>
          <t>上海分部</t>
        </is>
      </c>
      <c r="J16" s="4" t="inlineStr">
        <is>
          <t>徐强娜</t>
        </is>
      </c>
    </row>
    <row r="17">
      <c r="A17" s="14" t="n">
        <v>45664</v>
      </c>
      <c r="B17" s="4" t="inlineStr">
        <is>
          <t>SO202510292</t>
        </is>
      </c>
      <c r="C17" s="4" t="inlineStr">
        <is>
          <t>镇江京功供应链有限公司</t>
        </is>
      </c>
      <c r="D17" s="4" t="inlineStr">
        <is>
          <t>团餐</t>
        </is>
      </c>
      <c r="E17" s="4" t="inlineStr">
        <is>
          <t>500g</t>
        </is>
      </c>
      <c r="F17" s="18" t="n">
        <v>3820</v>
      </c>
      <c r="G17" s="15" t="n">
        <v>48.56</v>
      </c>
      <c r="H17" s="15" t="n">
        <v>185499.2</v>
      </c>
      <c r="I17" s="4" t="inlineStr">
        <is>
          <t>江苏分部</t>
        </is>
      </c>
      <c r="J17" s="4" t="inlineStr">
        <is>
          <t>胡芳芳</t>
        </is>
      </c>
    </row>
    <row r="18">
      <c r="A18" s="14" t="n">
        <v>45664</v>
      </c>
      <c r="B18" s="4" t="inlineStr">
        <is>
          <t>SO202510307</t>
        </is>
      </c>
      <c r="C18" s="4" t="inlineStr">
        <is>
          <t>杭州大匠商贸有限公司</t>
        </is>
      </c>
      <c r="D18" s="4" t="inlineStr">
        <is>
          <t>团餐</t>
        </is>
      </c>
      <c r="E18" s="4" t="inlineStr">
        <is>
          <t>5kg</t>
        </is>
      </c>
      <c r="F18" s="18" t="n">
        <v>2290</v>
      </c>
      <c r="G18" s="15" t="n">
        <v>3.59</v>
      </c>
      <c r="H18" s="15" t="n">
        <v>8221.1</v>
      </c>
      <c r="I18" s="4" t="inlineStr">
        <is>
          <t>浙江分部</t>
        </is>
      </c>
      <c r="J18" s="4" t="inlineStr">
        <is>
          <t>杨秀敏</t>
        </is>
      </c>
    </row>
    <row r="19">
      <c r="A19" s="14" t="n">
        <v>45665</v>
      </c>
      <c r="B19" s="4" t="inlineStr">
        <is>
          <t>SO202510105</t>
        </is>
      </c>
      <c r="C19" s="4" t="inlineStr">
        <is>
          <t>上海优鲜超市</t>
        </is>
      </c>
      <c r="D19" s="4" t="inlineStr">
        <is>
          <t>酱料</t>
        </is>
      </c>
      <c r="E19" s="4" t="inlineStr">
        <is>
          <t>B级</t>
        </is>
      </c>
      <c r="F19" s="18" t="n">
        <v>4400</v>
      </c>
      <c r="G19" s="15" t="n">
        <v>2.64</v>
      </c>
      <c r="H19" s="15" t="n">
        <v>11616</v>
      </c>
      <c r="I19" s="4" t="inlineStr">
        <is>
          <t>赣皖区域</t>
        </is>
      </c>
      <c r="J19" s="4" t="inlineStr">
        <is>
          <t>李伟秀</t>
        </is>
      </c>
    </row>
    <row r="20">
      <c r="A20" s="14" t="n">
        <v>45665</v>
      </c>
      <c r="B20" s="4" t="inlineStr">
        <is>
          <t>SO202510114</t>
        </is>
      </c>
      <c r="C20" s="4" t="inlineStr">
        <is>
          <t>常州大匠食品有限公司</t>
        </is>
      </c>
      <c r="D20" s="4" t="inlineStr">
        <is>
          <t>中式汤底</t>
        </is>
      </c>
      <c r="E20" s="4" t="inlineStr">
        <is>
          <t>25kg</t>
        </is>
      </c>
      <c r="F20" s="18" t="n">
        <v>2280</v>
      </c>
      <c r="G20" s="15" t="n">
        <v>29.45</v>
      </c>
      <c r="H20" s="15" t="n">
        <v>67146</v>
      </c>
      <c r="I20" s="4" t="inlineStr">
        <is>
          <t>江苏分部</t>
        </is>
      </c>
      <c r="J20" s="4" t="inlineStr">
        <is>
          <t>张强娜</t>
        </is>
      </c>
    </row>
    <row r="21">
      <c r="A21" s="14" t="n">
        <v>45667</v>
      </c>
      <c r="B21" s="4" t="inlineStr">
        <is>
          <t>SO202510175</t>
        </is>
      </c>
      <c r="C21" s="4" t="inlineStr">
        <is>
          <t>上海淼沃电商平台</t>
        </is>
      </c>
      <c r="D21" s="4" t="inlineStr">
        <is>
          <t>中式汤底</t>
        </is>
      </c>
      <c r="E21" s="4" t="inlineStr">
        <is>
          <t>A级</t>
        </is>
      </c>
      <c r="F21" s="18" t="n">
        <v>2080</v>
      </c>
      <c r="G21" s="15" t="n">
        <v>30.21</v>
      </c>
      <c r="H21" s="15" t="n">
        <v>62836.8</v>
      </c>
      <c r="I21" s="4" t="inlineStr">
        <is>
          <t>上海分部</t>
        </is>
      </c>
      <c r="J21" s="4" t="inlineStr">
        <is>
          <t>杨娟娜</t>
        </is>
      </c>
    </row>
    <row r="22">
      <c r="A22" s="14" t="n">
        <v>45668</v>
      </c>
      <c r="B22" s="4" t="inlineStr">
        <is>
          <t>SO202510012</t>
        </is>
      </c>
      <c r="C22" s="4" t="inlineStr">
        <is>
          <t>温州优鲜电商平台</t>
        </is>
      </c>
      <c r="D22" s="4" t="inlineStr">
        <is>
          <t>复合调味粉</t>
        </is>
      </c>
      <c r="E22" s="4" t="inlineStr">
        <is>
          <t>500g</t>
        </is>
      </c>
      <c r="F22" s="18" t="n">
        <v>2880</v>
      </c>
      <c r="G22" s="15" t="n">
        <v>66.8</v>
      </c>
      <c r="H22" s="15" t="n">
        <v>192384</v>
      </c>
      <c r="I22" s="4" t="inlineStr">
        <is>
          <t>江苏分部</t>
        </is>
      </c>
      <c r="J22" s="4" t="inlineStr">
        <is>
          <t>朱兰秀</t>
        </is>
      </c>
    </row>
    <row r="23">
      <c r="A23" s="14" t="n">
        <v>45669</v>
      </c>
      <c r="B23" s="4" t="inlineStr">
        <is>
          <t>SO202510067</t>
        </is>
      </c>
      <c r="C23" s="4" t="inlineStr">
        <is>
          <t>南昌大匠电商平台</t>
        </is>
      </c>
      <c r="D23" s="4" t="inlineStr">
        <is>
          <t>川味底料</t>
        </is>
      </c>
      <c r="E23" s="4" t="inlineStr">
        <is>
          <t>C级</t>
        </is>
      </c>
      <c r="F23" s="18" t="n">
        <v>2870</v>
      </c>
      <c r="G23" s="15" t="n">
        <v>65.01000000000001</v>
      </c>
      <c r="H23" s="15" t="n">
        <v>186578.7</v>
      </c>
      <c r="I23" s="4" t="inlineStr">
        <is>
          <t>江苏分部</t>
        </is>
      </c>
      <c r="J23" s="4" t="inlineStr">
        <is>
          <t>徐娟英</t>
        </is>
      </c>
    </row>
    <row r="24">
      <c r="A24" s="14" t="n">
        <v>45669</v>
      </c>
      <c r="B24" s="4" t="inlineStr">
        <is>
          <t>SO202510100</t>
        </is>
      </c>
      <c r="C24" s="4" t="inlineStr">
        <is>
          <t>常州淼沃超市</t>
        </is>
      </c>
      <c r="D24" s="4" t="inlineStr">
        <is>
          <t>中式汤底</t>
        </is>
      </c>
      <c r="E24" s="4" t="inlineStr">
        <is>
          <t>C级</t>
        </is>
      </c>
      <c r="F24" s="18" t="n">
        <v>170</v>
      </c>
      <c r="G24" s="15" t="n">
        <v>52.54</v>
      </c>
      <c r="H24" s="15" t="n">
        <v>8931.799999999999</v>
      </c>
      <c r="I24" s="4" t="inlineStr">
        <is>
          <t>浙江分部</t>
        </is>
      </c>
      <c r="J24" s="4" t="inlineStr">
        <is>
          <t>何强敏</t>
        </is>
      </c>
    </row>
    <row r="25">
      <c r="A25" s="14" t="n">
        <v>45669</v>
      </c>
      <c r="B25" s="4" t="inlineStr">
        <is>
          <t>SO202510249</t>
        </is>
      </c>
      <c r="C25" s="4" t="inlineStr">
        <is>
          <t>常州百味电商平台</t>
        </is>
      </c>
      <c r="D25" s="4" t="inlineStr">
        <is>
          <t>复合调味粉</t>
        </is>
      </c>
      <c r="E25" s="4" t="inlineStr">
        <is>
          <t>10kg</t>
        </is>
      </c>
      <c r="F25" s="18" t="n">
        <v>3120</v>
      </c>
      <c r="G25" s="15" t="n">
        <v>29.89</v>
      </c>
      <c r="H25" s="15" t="n">
        <v>93256.8</v>
      </c>
      <c r="I25" s="4" t="inlineStr">
        <is>
          <t>浙江分部</t>
        </is>
      </c>
      <c r="J25" s="4" t="inlineStr">
        <is>
          <t>马兰芳</t>
        </is>
      </c>
    </row>
    <row r="26">
      <c r="A26" s="14" t="n">
        <v>45672</v>
      </c>
      <c r="B26" s="4" t="inlineStr">
        <is>
          <t>SO202510159</t>
        </is>
      </c>
      <c r="C26" s="4" t="inlineStr">
        <is>
          <t>常州百味超市</t>
        </is>
      </c>
      <c r="D26" s="4" t="inlineStr">
        <is>
          <t>中式汤底</t>
        </is>
      </c>
      <c r="E26" s="4" t="inlineStr">
        <is>
          <t>500g</t>
        </is>
      </c>
      <c r="F26" s="18" t="n">
        <v>4150</v>
      </c>
      <c r="G26" s="15" t="n">
        <v>70.45</v>
      </c>
      <c r="H26" s="15" t="n">
        <v>292367.5</v>
      </c>
      <c r="I26" s="4" t="inlineStr">
        <is>
          <t>江苏分部</t>
        </is>
      </c>
      <c r="J26" s="4" t="inlineStr">
        <is>
          <t>徐涛秀</t>
        </is>
      </c>
    </row>
    <row r="27">
      <c r="A27" s="14" t="n">
        <v>45673</v>
      </c>
      <c r="B27" s="4" t="inlineStr">
        <is>
          <t>SO202510096</t>
        </is>
      </c>
      <c r="C27" s="4" t="inlineStr">
        <is>
          <t>杭州大匠食品有限公司</t>
        </is>
      </c>
      <c r="D27" s="4" t="inlineStr">
        <is>
          <t>团餐</t>
        </is>
      </c>
      <c r="E27" s="4" t="inlineStr">
        <is>
          <t>简装</t>
        </is>
      </c>
      <c r="F27" s="18" t="n">
        <v>3670</v>
      </c>
      <c r="G27" s="15" t="n">
        <v>53.37</v>
      </c>
      <c r="H27" s="15" t="n">
        <v>195867.9</v>
      </c>
      <c r="I27" s="4" t="inlineStr">
        <is>
          <t>上海分部</t>
        </is>
      </c>
      <c r="J27" s="4" t="inlineStr">
        <is>
          <t>胡丽敏</t>
        </is>
      </c>
    </row>
    <row r="28">
      <c r="A28" s="14" t="n">
        <v>45677</v>
      </c>
      <c r="B28" s="4" t="inlineStr">
        <is>
          <t>SO202510333</t>
        </is>
      </c>
      <c r="C28" s="4" t="inlineStr">
        <is>
          <t>常州食佳商贸有限公司</t>
        </is>
      </c>
      <c r="D28" s="4" t="inlineStr">
        <is>
          <t>预制菜</t>
        </is>
      </c>
      <c r="E28" s="4" t="inlineStr">
        <is>
          <t>10kg</t>
        </is>
      </c>
      <c r="F28" s="18" t="n">
        <v>2070</v>
      </c>
      <c r="G28" s="15" t="n">
        <v>52.04</v>
      </c>
      <c r="H28" s="15" t="n">
        <v>107722.8</v>
      </c>
      <c r="I28" s="4" t="inlineStr">
        <is>
          <t>上海分部</t>
        </is>
      </c>
      <c r="J28" s="4" t="inlineStr">
        <is>
          <t>王艳芳</t>
        </is>
      </c>
    </row>
    <row r="29">
      <c r="A29" s="14" t="n">
        <v>45679</v>
      </c>
      <c r="B29" s="4" t="inlineStr">
        <is>
          <t>SO202510028</t>
        </is>
      </c>
      <c r="C29" s="4" t="inlineStr">
        <is>
          <t>南京淼沃供应链有限公司</t>
        </is>
      </c>
      <c r="D29" s="4" t="inlineStr">
        <is>
          <t>中式汤底</t>
        </is>
      </c>
      <c r="E29" s="4" t="inlineStr">
        <is>
          <t>1kg</t>
        </is>
      </c>
      <c r="F29" s="18" t="n">
        <v>1760</v>
      </c>
      <c r="G29" s="15" t="n">
        <v>31.34</v>
      </c>
      <c r="H29" s="15" t="n">
        <v>55158.4</v>
      </c>
      <c r="I29" s="4" t="inlineStr">
        <is>
          <t>浙江分部</t>
        </is>
      </c>
      <c r="J29" s="4" t="inlineStr">
        <is>
          <t>王秀英</t>
        </is>
      </c>
    </row>
    <row r="30">
      <c r="A30" s="14" t="n">
        <v>45679</v>
      </c>
      <c r="B30" s="4" t="inlineStr">
        <is>
          <t>SO202510122</t>
        </is>
      </c>
      <c r="C30" s="4" t="inlineStr">
        <is>
          <t>苏州京功酒店管理集团</t>
        </is>
      </c>
      <c r="D30" s="4" t="inlineStr">
        <is>
          <t>调味汁</t>
        </is>
      </c>
      <c r="E30" s="4" t="inlineStr">
        <is>
          <t>25kg</t>
        </is>
      </c>
      <c r="F30" s="18" t="n">
        <v>1440</v>
      </c>
      <c r="G30" s="15" t="n">
        <v>40.57</v>
      </c>
      <c r="H30" s="15" t="n">
        <v>58420.8</v>
      </c>
      <c r="I30" s="4" t="inlineStr">
        <is>
          <t>赣皖区域</t>
        </is>
      </c>
      <c r="J30" s="4" t="inlineStr">
        <is>
          <t>黄秀英</t>
        </is>
      </c>
    </row>
    <row r="31">
      <c r="A31" s="14" t="n">
        <v>45679</v>
      </c>
      <c r="B31" s="4" t="inlineStr">
        <is>
          <t>SO202510172</t>
        </is>
      </c>
      <c r="C31" s="4" t="inlineStr">
        <is>
          <t>南昌食佳超市</t>
        </is>
      </c>
      <c r="D31" s="4" t="inlineStr">
        <is>
          <t>酱料</t>
        </is>
      </c>
      <c r="E31" s="4" t="inlineStr">
        <is>
          <t>5kg</t>
        </is>
      </c>
      <c r="F31" s="18" t="n">
        <v>3180</v>
      </c>
      <c r="G31" s="15" t="n">
        <v>90.37</v>
      </c>
      <c r="H31" s="15" t="n">
        <v>287376.6</v>
      </c>
      <c r="I31" s="4" t="inlineStr">
        <is>
          <t>赣皖区域</t>
        </is>
      </c>
      <c r="J31" s="4" t="inlineStr">
        <is>
          <t>罗涛娜</t>
        </is>
      </c>
    </row>
    <row r="32">
      <c r="A32" s="14" t="n">
        <v>45682</v>
      </c>
      <c r="B32" s="4" t="inlineStr">
        <is>
          <t>SO202510057</t>
        </is>
      </c>
      <c r="C32" s="4" t="inlineStr">
        <is>
          <t>杭州百味酒店管理集团</t>
        </is>
      </c>
      <c r="D32" s="4" t="inlineStr">
        <is>
          <t>中式汤底</t>
        </is>
      </c>
      <c r="E32" s="4" t="inlineStr">
        <is>
          <t>2.5kg</t>
        </is>
      </c>
      <c r="F32" s="18" t="n">
        <v>2280</v>
      </c>
      <c r="G32" s="15" t="n">
        <v>49.91</v>
      </c>
      <c r="H32" s="15" t="n">
        <v>113794.8</v>
      </c>
      <c r="I32" s="4" t="inlineStr">
        <is>
          <t>浙江分部</t>
        </is>
      </c>
      <c r="J32" s="4" t="inlineStr">
        <is>
          <t>徐秀娜</t>
        </is>
      </c>
    </row>
    <row r="33">
      <c r="A33" s="14" t="n">
        <v>45682</v>
      </c>
      <c r="B33" s="4" t="inlineStr">
        <is>
          <t>SO202510270</t>
        </is>
      </c>
      <c r="C33" s="4" t="inlineStr">
        <is>
          <t>合肥优鲜酒店管理集团</t>
        </is>
      </c>
      <c r="D33" s="4" t="inlineStr">
        <is>
          <t>团餐</t>
        </is>
      </c>
      <c r="E33" s="4" t="inlineStr">
        <is>
          <t>B级</t>
        </is>
      </c>
      <c r="F33" s="18" t="n">
        <v>3100</v>
      </c>
      <c r="G33" s="15" t="n">
        <v>58.42</v>
      </c>
      <c r="H33" s="15" t="n">
        <v>181102</v>
      </c>
      <c r="I33" s="4" t="inlineStr">
        <is>
          <t>浙江分部</t>
        </is>
      </c>
      <c r="J33" s="4" t="inlineStr">
        <is>
          <t>王超伟</t>
        </is>
      </c>
    </row>
    <row r="34">
      <c r="A34" s="14" t="n">
        <v>45683</v>
      </c>
      <c r="B34" s="4" t="inlineStr">
        <is>
          <t>SO202510005</t>
        </is>
      </c>
      <c r="C34" s="4" t="inlineStr">
        <is>
          <t>嘉兴京功酒店管理集团</t>
        </is>
      </c>
      <c r="D34" s="4" t="inlineStr">
        <is>
          <t>复合调味粉</t>
        </is>
      </c>
      <c r="E34" s="4" t="inlineStr">
        <is>
          <t>5kg</t>
        </is>
      </c>
      <c r="F34" s="18" t="n">
        <v>4900</v>
      </c>
      <c r="G34" s="15" t="n">
        <v>96.72</v>
      </c>
      <c r="H34" s="15" t="n">
        <v>473928</v>
      </c>
      <c r="I34" s="4" t="inlineStr">
        <is>
          <t>上海分部</t>
        </is>
      </c>
      <c r="J34" s="4" t="inlineStr">
        <is>
          <t>周英芳</t>
        </is>
      </c>
    </row>
    <row r="35">
      <c r="A35" s="14" t="n">
        <v>45683</v>
      </c>
      <c r="B35" s="4" t="inlineStr">
        <is>
          <t>SO202510120</t>
        </is>
      </c>
      <c r="C35" s="4" t="inlineStr">
        <is>
          <t>嘉兴大匠商贸有限公司</t>
        </is>
      </c>
      <c r="D35" s="4" t="inlineStr">
        <is>
          <t>预制菜</t>
        </is>
      </c>
      <c r="E35" s="4" t="inlineStr">
        <is>
          <t>简装</t>
        </is>
      </c>
      <c r="F35" s="18" t="n">
        <v>560</v>
      </c>
      <c r="G35" s="15" t="n">
        <v>88.12</v>
      </c>
      <c r="H35" s="15" t="n">
        <v>49347.2</v>
      </c>
      <c r="I35" s="4" t="inlineStr">
        <is>
          <t>赣皖区域</t>
        </is>
      </c>
      <c r="J35" s="4" t="inlineStr">
        <is>
          <t>赵静芳</t>
        </is>
      </c>
    </row>
    <row r="36">
      <c r="A36" s="14" t="n">
        <v>45683</v>
      </c>
      <c r="B36" s="4" t="inlineStr">
        <is>
          <t>SO202510325</t>
        </is>
      </c>
      <c r="C36" s="4" t="inlineStr">
        <is>
          <t>常州优鲜食品有限公司</t>
        </is>
      </c>
      <c r="D36" s="4" t="inlineStr">
        <is>
          <t>中式汤底</t>
        </is>
      </c>
      <c r="E36" s="4" t="inlineStr">
        <is>
          <t>简装</t>
        </is>
      </c>
      <c r="F36" s="18" t="n">
        <v>2980</v>
      </c>
      <c r="G36" s="15" t="n">
        <v>14.57</v>
      </c>
      <c r="H36" s="15" t="n">
        <v>43418.6</v>
      </c>
      <c r="I36" s="4" t="inlineStr">
        <is>
          <t>江苏分部</t>
        </is>
      </c>
      <c r="J36" s="4" t="inlineStr">
        <is>
          <t>何明秀</t>
        </is>
      </c>
    </row>
    <row r="37">
      <c r="A37" s="14" t="n">
        <v>45684</v>
      </c>
      <c r="B37" s="4" t="inlineStr">
        <is>
          <t>SO202510170</t>
        </is>
      </c>
      <c r="C37" s="4" t="inlineStr">
        <is>
          <t>上海淼沃食品有限公司</t>
        </is>
      </c>
      <c r="D37" s="4" t="inlineStr">
        <is>
          <t>中式汤底</t>
        </is>
      </c>
      <c r="E37" s="4" t="inlineStr">
        <is>
          <t>A级</t>
        </is>
      </c>
      <c r="F37" s="18" t="n">
        <v>2550</v>
      </c>
      <c r="G37" s="15" t="n">
        <v>56.64</v>
      </c>
      <c r="H37" s="15" t="n">
        <v>144432</v>
      </c>
      <c r="I37" s="4" t="inlineStr">
        <is>
          <t>浙江分部</t>
        </is>
      </c>
      <c r="J37" s="4" t="inlineStr">
        <is>
          <t>刘伟娜</t>
        </is>
      </c>
    </row>
    <row r="38">
      <c r="A38" s="14" t="n">
        <v>45684</v>
      </c>
      <c r="B38" s="4" t="inlineStr">
        <is>
          <t>SO202510184</t>
        </is>
      </c>
      <c r="C38" s="4" t="inlineStr">
        <is>
          <t>杭州优鲜酒店管理集团</t>
        </is>
      </c>
      <c r="D38" s="4" t="inlineStr">
        <is>
          <t>团餐</t>
        </is>
      </c>
      <c r="E38" s="4" t="inlineStr">
        <is>
          <t>C级</t>
        </is>
      </c>
      <c r="F38" s="18" t="n">
        <v>2330</v>
      </c>
      <c r="G38" s="15" t="n">
        <v>73.01000000000001</v>
      </c>
      <c r="H38" s="15" t="n">
        <v>170113.3</v>
      </c>
      <c r="I38" s="4" t="inlineStr">
        <is>
          <t>浙江分部</t>
        </is>
      </c>
      <c r="J38" s="4" t="inlineStr">
        <is>
          <t>何伟伟</t>
        </is>
      </c>
    </row>
    <row r="39">
      <c r="A39" s="14" t="n">
        <v>45691</v>
      </c>
      <c r="B39" s="4" t="inlineStr">
        <is>
          <t>SO202510085</t>
        </is>
      </c>
      <c r="C39" s="4" t="inlineStr">
        <is>
          <t>杭州百味食品有限公司</t>
        </is>
      </c>
      <c r="D39" s="4" t="inlineStr">
        <is>
          <t>川味底料</t>
        </is>
      </c>
      <c r="E39" s="4" t="inlineStr">
        <is>
          <t>10kg</t>
        </is>
      </c>
      <c r="F39" s="18" t="n">
        <v>4010</v>
      </c>
      <c r="G39" s="15" t="n">
        <v>97.18000000000001</v>
      </c>
      <c r="H39" s="15" t="n">
        <v>389691.8</v>
      </c>
      <c r="I39" s="4" t="inlineStr">
        <is>
          <t>江苏分部</t>
        </is>
      </c>
      <c r="J39" s="4" t="inlineStr">
        <is>
          <t>周伟英</t>
        </is>
      </c>
    </row>
    <row r="40">
      <c r="A40" s="14" t="n">
        <v>45692</v>
      </c>
      <c r="B40" s="4" t="inlineStr">
        <is>
          <t>SO202510262</t>
        </is>
      </c>
      <c r="C40" s="4" t="inlineStr">
        <is>
          <t>杭州京功餐饮管理有限公司</t>
        </is>
      </c>
      <c r="D40" s="4" t="inlineStr">
        <is>
          <t>川味底料</t>
        </is>
      </c>
      <c r="E40" s="4" t="inlineStr">
        <is>
          <t>C级</t>
        </is>
      </c>
      <c r="F40" s="18" t="n">
        <v>1980</v>
      </c>
      <c r="G40" s="15" t="n">
        <v>91.95</v>
      </c>
      <c r="H40" s="15" t="n">
        <v>182061</v>
      </c>
      <c r="I40" s="4" t="inlineStr">
        <is>
          <t>赣皖区域</t>
        </is>
      </c>
      <c r="J40" s="4" t="inlineStr">
        <is>
          <t>李明英</t>
        </is>
      </c>
    </row>
    <row r="41">
      <c r="A41" s="14" t="n">
        <v>45693</v>
      </c>
      <c r="B41" s="4" t="inlineStr">
        <is>
          <t>SO202510142</t>
        </is>
      </c>
      <c r="C41" s="4" t="inlineStr">
        <is>
          <t>温州大匠酒店管理集团</t>
        </is>
      </c>
      <c r="D41" s="4" t="inlineStr">
        <is>
          <t>酱料</t>
        </is>
      </c>
      <c r="E41" s="4" t="inlineStr">
        <is>
          <t>标准</t>
        </is>
      </c>
      <c r="F41" s="18" t="n">
        <v>4460</v>
      </c>
      <c r="G41" s="15" t="n">
        <v>17.07</v>
      </c>
      <c r="H41" s="15" t="n">
        <v>76132.2</v>
      </c>
      <c r="I41" s="4" t="inlineStr">
        <is>
          <t>上海分部</t>
        </is>
      </c>
      <c r="J41" s="4" t="inlineStr">
        <is>
          <t>张勇秀</t>
        </is>
      </c>
    </row>
    <row r="42">
      <c r="A42" s="14" t="n">
        <v>45693</v>
      </c>
      <c r="B42" s="4" t="inlineStr">
        <is>
          <t>SO202510259</t>
        </is>
      </c>
      <c r="C42" s="4" t="inlineStr">
        <is>
          <t>南昌优鲜超市</t>
        </is>
      </c>
      <c r="D42" s="4" t="inlineStr">
        <is>
          <t>中式汤底</t>
        </is>
      </c>
      <c r="E42" s="4" t="inlineStr">
        <is>
          <t>500g</t>
        </is>
      </c>
      <c r="F42" s="18" t="n">
        <v>2050</v>
      </c>
      <c r="G42" s="15" t="n">
        <v>24.73</v>
      </c>
      <c r="H42" s="15" t="n">
        <v>50696.5</v>
      </c>
      <c r="I42" s="4" t="inlineStr">
        <is>
          <t>赣皖区域</t>
        </is>
      </c>
      <c r="J42" s="4" t="inlineStr">
        <is>
          <t>刘秀秀</t>
        </is>
      </c>
    </row>
    <row r="43">
      <c r="A43" s="14" t="n">
        <v>45694</v>
      </c>
      <c r="B43" s="4" t="inlineStr">
        <is>
          <t>SO202510202</t>
        </is>
      </c>
      <c r="C43" s="4" t="inlineStr">
        <is>
          <t>合肥食佳餐饮管理有限公司</t>
        </is>
      </c>
      <c r="D43" s="4" t="inlineStr">
        <is>
          <t>团餐</t>
        </is>
      </c>
      <c r="E43" s="4" t="inlineStr">
        <is>
          <t>标准</t>
        </is>
      </c>
      <c r="F43" s="18" t="n">
        <v>2680</v>
      </c>
      <c r="G43" s="15" t="n">
        <v>71.23</v>
      </c>
      <c r="H43" s="15" t="n">
        <v>190896.4</v>
      </c>
      <c r="I43" s="4" t="inlineStr">
        <is>
          <t>赣皖区域</t>
        </is>
      </c>
      <c r="J43" s="4" t="inlineStr">
        <is>
          <t>王洋英</t>
        </is>
      </c>
    </row>
    <row r="44">
      <c r="A44" s="14" t="n">
        <v>45694</v>
      </c>
      <c r="B44" s="4" t="inlineStr">
        <is>
          <t>SO202510237</t>
        </is>
      </c>
      <c r="C44" s="4" t="inlineStr">
        <is>
          <t>无锡京功食品有限公司</t>
        </is>
      </c>
      <c r="D44" s="4" t="inlineStr">
        <is>
          <t>调味汁</t>
        </is>
      </c>
      <c r="E44" s="4" t="inlineStr">
        <is>
          <t>2.5kg</t>
        </is>
      </c>
      <c r="F44" s="18" t="n">
        <v>1230</v>
      </c>
      <c r="G44" s="15" t="n">
        <v>30.81</v>
      </c>
      <c r="H44" s="15" t="n">
        <v>37896.3</v>
      </c>
      <c r="I44" s="4" t="inlineStr">
        <is>
          <t>江苏分部</t>
        </is>
      </c>
      <c r="J44" s="4" t="inlineStr">
        <is>
          <t>陈伟芳</t>
        </is>
      </c>
    </row>
    <row r="45">
      <c r="A45" s="14" t="n">
        <v>45695</v>
      </c>
      <c r="B45" s="4" t="inlineStr">
        <is>
          <t>SO202510176</t>
        </is>
      </c>
      <c r="C45" s="4" t="inlineStr">
        <is>
          <t>常州大匠电商平台</t>
        </is>
      </c>
      <c r="D45" s="4" t="inlineStr">
        <is>
          <t>酱料</t>
        </is>
      </c>
      <c r="E45" s="4" t="inlineStr">
        <is>
          <t>10kg</t>
        </is>
      </c>
      <c r="F45" s="18" t="n">
        <v>2350</v>
      </c>
      <c r="G45" s="15" t="n">
        <v>93.90000000000001</v>
      </c>
      <c r="H45" s="15" t="n">
        <v>220665</v>
      </c>
      <c r="I45" s="4" t="inlineStr">
        <is>
          <t>赣皖区域</t>
        </is>
      </c>
      <c r="J45" s="4" t="inlineStr">
        <is>
          <t>胡杰秀</t>
        </is>
      </c>
    </row>
    <row r="46">
      <c r="A46" s="14" t="n">
        <v>45696</v>
      </c>
      <c r="B46" s="4" t="inlineStr">
        <is>
          <t>SO202510001</t>
        </is>
      </c>
      <c r="C46" s="4" t="inlineStr">
        <is>
          <t>杭州优鲜超市</t>
        </is>
      </c>
      <c r="D46" s="4" t="inlineStr">
        <is>
          <t>酱料</t>
        </is>
      </c>
      <c r="E46" s="4" t="inlineStr">
        <is>
          <t>C级</t>
        </is>
      </c>
      <c r="F46" s="18" t="n">
        <v>110</v>
      </c>
      <c r="G46" s="15" t="n">
        <v>93.59</v>
      </c>
      <c r="H46" s="15" t="n">
        <v>10294.9</v>
      </c>
      <c r="I46" s="4" t="inlineStr">
        <is>
          <t>浙江分部</t>
        </is>
      </c>
      <c r="J46" s="4" t="inlineStr">
        <is>
          <t>黄静伟</t>
        </is>
      </c>
    </row>
    <row r="47">
      <c r="A47" s="14" t="n">
        <v>45697</v>
      </c>
      <c r="B47" s="4" t="inlineStr">
        <is>
          <t>SO202510245</t>
        </is>
      </c>
      <c r="C47" s="4" t="inlineStr">
        <is>
          <t>上海淼沃食品有限公司</t>
        </is>
      </c>
      <c r="D47" s="4" t="inlineStr">
        <is>
          <t>复合调味粉</t>
        </is>
      </c>
      <c r="E47" s="4" t="inlineStr">
        <is>
          <t>25kg</t>
        </is>
      </c>
      <c r="F47" s="18" t="n">
        <v>2440</v>
      </c>
      <c r="G47" s="15" t="n">
        <v>77.56999999999999</v>
      </c>
      <c r="H47" s="15" t="n">
        <v>189270.8</v>
      </c>
      <c r="I47" s="4" t="inlineStr">
        <is>
          <t>浙江分部</t>
        </is>
      </c>
      <c r="J47" s="4" t="inlineStr">
        <is>
          <t>林娟娜</t>
        </is>
      </c>
    </row>
    <row r="48">
      <c r="A48" s="14" t="n">
        <v>45698</v>
      </c>
      <c r="B48" s="4" t="inlineStr">
        <is>
          <t>SO202510014</t>
        </is>
      </c>
      <c r="C48" s="4" t="inlineStr">
        <is>
          <t>苏州京功电商平台</t>
        </is>
      </c>
      <c r="D48" s="4" t="inlineStr">
        <is>
          <t>预制菜</t>
        </is>
      </c>
      <c r="E48" s="4" t="inlineStr">
        <is>
          <t>500g</t>
        </is>
      </c>
      <c r="F48" s="18" t="n">
        <v>3870</v>
      </c>
      <c r="G48" s="15" t="n">
        <v>43.22</v>
      </c>
      <c r="H48" s="15" t="n">
        <v>167261.4</v>
      </c>
      <c r="I48" s="4" t="inlineStr">
        <is>
          <t>江苏分部</t>
        </is>
      </c>
      <c r="J48" s="4" t="inlineStr">
        <is>
          <t>杨兰芳</t>
        </is>
      </c>
    </row>
    <row r="49">
      <c r="A49" s="14" t="n">
        <v>45699</v>
      </c>
      <c r="B49" s="4" t="inlineStr">
        <is>
          <t>SO202510341</t>
        </is>
      </c>
      <c r="C49" s="4" t="inlineStr">
        <is>
          <t>杭州大匠超市</t>
        </is>
      </c>
      <c r="D49" s="4" t="inlineStr">
        <is>
          <t>复合调味粉</t>
        </is>
      </c>
      <c r="E49" s="4" t="inlineStr">
        <is>
          <t>10kg</t>
        </is>
      </c>
      <c r="F49" s="18" t="n">
        <v>3090</v>
      </c>
      <c r="G49" s="15" t="n">
        <v>24.11</v>
      </c>
      <c r="H49" s="15" t="n">
        <v>74499.89999999999</v>
      </c>
      <c r="I49" s="4" t="inlineStr">
        <is>
          <t>赣皖区域</t>
        </is>
      </c>
      <c r="J49" s="4" t="inlineStr">
        <is>
          <t>何杰敏</t>
        </is>
      </c>
    </row>
    <row r="50">
      <c r="A50" s="14" t="n">
        <v>45700</v>
      </c>
      <c r="B50" s="4" t="inlineStr">
        <is>
          <t>SO202510311</t>
        </is>
      </c>
      <c r="C50" s="4" t="inlineStr">
        <is>
          <t>杭州食佳餐饮管理有限公司</t>
        </is>
      </c>
      <c r="D50" s="4" t="inlineStr">
        <is>
          <t>调味汁</t>
        </is>
      </c>
      <c r="E50" s="4" t="inlineStr">
        <is>
          <t>A级</t>
        </is>
      </c>
      <c r="F50" s="18" t="n">
        <v>3410</v>
      </c>
      <c r="G50" s="15" t="n">
        <v>70.43000000000001</v>
      </c>
      <c r="H50" s="15" t="n">
        <v>240166.3</v>
      </c>
      <c r="I50" s="4" t="inlineStr">
        <is>
          <t>上海分部</t>
        </is>
      </c>
      <c r="J50" s="4" t="inlineStr">
        <is>
          <t>刘杰娜</t>
        </is>
      </c>
    </row>
    <row r="51">
      <c r="A51" s="14" t="n">
        <v>45701</v>
      </c>
      <c r="B51" s="4" t="inlineStr">
        <is>
          <t>SO202510026</t>
        </is>
      </c>
      <c r="C51" s="4" t="inlineStr">
        <is>
          <t>苏州大匠供应链有限公司</t>
        </is>
      </c>
      <c r="D51" s="4" t="inlineStr">
        <is>
          <t>调味汁</t>
        </is>
      </c>
      <c r="E51" s="4" t="inlineStr">
        <is>
          <t>标准</t>
        </is>
      </c>
      <c r="F51" s="18" t="n">
        <v>3530</v>
      </c>
      <c r="G51" s="15" t="n">
        <v>56.83</v>
      </c>
      <c r="H51" s="15" t="n">
        <v>200609.9</v>
      </c>
      <c r="I51" s="4" t="inlineStr">
        <is>
          <t>赣皖区域</t>
        </is>
      </c>
      <c r="J51" s="4" t="inlineStr">
        <is>
          <t>朱秀娜</t>
        </is>
      </c>
    </row>
    <row r="52">
      <c r="A52" s="14" t="n">
        <v>45701</v>
      </c>
      <c r="B52" s="4" t="inlineStr">
        <is>
          <t>SO202510228</t>
        </is>
      </c>
      <c r="C52" s="4" t="inlineStr">
        <is>
          <t>苏州淼沃供应链有限公司</t>
        </is>
      </c>
      <c r="D52" s="4" t="inlineStr">
        <is>
          <t>团餐</t>
        </is>
      </c>
      <c r="E52" s="4" t="inlineStr">
        <is>
          <t>精装</t>
        </is>
      </c>
      <c r="F52" s="18" t="n">
        <v>1610</v>
      </c>
      <c r="G52" s="15" t="n">
        <v>11.89</v>
      </c>
      <c r="H52" s="15" t="n">
        <v>19142.9</v>
      </c>
      <c r="I52" s="4" t="inlineStr">
        <is>
          <t>赣皖区域</t>
        </is>
      </c>
      <c r="J52" s="4" t="inlineStr">
        <is>
          <t>刘娜娜</t>
        </is>
      </c>
    </row>
    <row r="53">
      <c r="A53" s="14" t="n">
        <v>45710</v>
      </c>
      <c r="B53" s="4" t="inlineStr">
        <is>
          <t>SO202510035</t>
        </is>
      </c>
      <c r="C53" s="4" t="inlineStr">
        <is>
          <t>南京优鲜电商平台</t>
        </is>
      </c>
      <c r="D53" s="4" t="inlineStr">
        <is>
          <t>川味底料</t>
        </is>
      </c>
      <c r="E53" s="4" t="inlineStr">
        <is>
          <t>C级</t>
        </is>
      </c>
      <c r="F53" s="18" t="n">
        <v>2660</v>
      </c>
      <c r="G53" s="15" t="n">
        <v>57.48</v>
      </c>
      <c r="H53" s="15" t="n">
        <v>152896.8</v>
      </c>
      <c r="I53" s="4" t="inlineStr">
        <is>
          <t>江苏分部</t>
        </is>
      </c>
      <c r="J53" s="4" t="inlineStr">
        <is>
          <t>赵明敏</t>
        </is>
      </c>
    </row>
    <row r="54">
      <c r="A54" s="14" t="n">
        <v>45710</v>
      </c>
      <c r="B54" s="4" t="inlineStr">
        <is>
          <t>SO202510241</t>
        </is>
      </c>
      <c r="C54" s="4" t="inlineStr">
        <is>
          <t>温州淼沃酒店管理集团</t>
        </is>
      </c>
      <c r="D54" s="4" t="inlineStr">
        <is>
          <t>酱料</t>
        </is>
      </c>
      <c r="E54" s="4" t="inlineStr">
        <is>
          <t>C级</t>
        </is>
      </c>
      <c r="F54" s="18" t="n">
        <v>990</v>
      </c>
      <c r="G54" s="15" t="n">
        <v>33.79</v>
      </c>
      <c r="H54" s="15" t="n">
        <v>33452.1</v>
      </c>
      <c r="I54" s="4" t="inlineStr">
        <is>
          <t>浙江分部</t>
        </is>
      </c>
      <c r="J54" s="4" t="inlineStr">
        <is>
          <t>杨秀秀</t>
        </is>
      </c>
    </row>
    <row r="55">
      <c r="A55" s="14" t="n">
        <v>45712</v>
      </c>
      <c r="B55" s="4" t="inlineStr">
        <is>
          <t>SO202510109</t>
        </is>
      </c>
      <c r="C55" s="4" t="inlineStr">
        <is>
          <t>上海大匠电商平台</t>
        </is>
      </c>
      <c r="D55" s="4" t="inlineStr">
        <is>
          <t>团餐</t>
        </is>
      </c>
      <c r="E55" s="4" t="inlineStr">
        <is>
          <t>10kg</t>
        </is>
      </c>
      <c r="F55" s="18" t="n">
        <v>3960</v>
      </c>
      <c r="G55" s="15" t="n">
        <v>21.53</v>
      </c>
      <c r="H55" s="15" t="n">
        <v>85258.8</v>
      </c>
      <c r="I55" s="4" t="inlineStr">
        <is>
          <t>浙江分部</t>
        </is>
      </c>
      <c r="J55" s="4" t="inlineStr">
        <is>
          <t>徐勇芳</t>
        </is>
      </c>
    </row>
    <row r="56">
      <c r="A56" s="14" t="n">
        <v>45712</v>
      </c>
      <c r="B56" s="4" t="inlineStr">
        <is>
          <t>SO202510284</t>
        </is>
      </c>
      <c r="C56" s="4" t="inlineStr">
        <is>
          <t>苏州百味食品有限公司</t>
        </is>
      </c>
      <c r="D56" s="4" t="inlineStr">
        <is>
          <t>中式汤底</t>
        </is>
      </c>
      <c r="E56" s="4" t="inlineStr">
        <is>
          <t>简装</t>
        </is>
      </c>
      <c r="F56" s="18" t="n">
        <v>2500</v>
      </c>
      <c r="G56" s="15" t="n">
        <v>73.45</v>
      </c>
      <c r="H56" s="15" t="n">
        <v>183625</v>
      </c>
      <c r="I56" s="4" t="inlineStr">
        <is>
          <t>上海分部</t>
        </is>
      </c>
      <c r="J56" s="4" t="inlineStr">
        <is>
          <t>赵娜娜</t>
        </is>
      </c>
    </row>
    <row r="57">
      <c r="A57" s="14" t="n">
        <v>45713</v>
      </c>
      <c r="B57" s="4" t="inlineStr">
        <is>
          <t>SO202510078</t>
        </is>
      </c>
      <c r="C57" s="4" t="inlineStr">
        <is>
          <t>无锡百味食品有限公司</t>
        </is>
      </c>
      <c r="D57" s="4" t="inlineStr">
        <is>
          <t>复合调味粉</t>
        </is>
      </c>
      <c r="E57" s="4" t="inlineStr">
        <is>
          <t>10kg</t>
        </is>
      </c>
      <c r="F57" s="18" t="n">
        <v>2810</v>
      </c>
      <c r="G57" s="15" t="n">
        <v>15.78</v>
      </c>
      <c r="H57" s="15" t="n">
        <v>44341.8</v>
      </c>
      <c r="I57" s="4" t="inlineStr">
        <is>
          <t>赣皖区域</t>
        </is>
      </c>
      <c r="J57" s="4" t="inlineStr">
        <is>
          <t>杨娜英</t>
        </is>
      </c>
    </row>
    <row r="58">
      <c r="A58" s="14" t="n">
        <v>45714</v>
      </c>
      <c r="B58" s="4" t="inlineStr">
        <is>
          <t>SO202510205</t>
        </is>
      </c>
      <c r="C58" s="4" t="inlineStr">
        <is>
          <t>杭州大匠酒店管理集团</t>
        </is>
      </c>
      <c r="D58" s="4" t="inlineStr">
        <is>
          <t>团餐</t>
        </is>
      </c>
      <c r="E58" s="4" t="inlineStr">
        <is>
          <t>简装</t>
        </is>
      </c>
      <c r="F58" s="18" t="n">
        <v>3870</v>
      </c>
      <c r="G58" s="15" t="n">
        <v>86.83</v>
      </c>
      <c r="H58" s="15" t="n">
        <v>336032.1</v>
      </c>
      <c r="I58" s="4" t="inlineStr">
        <is>
          <t>赣皖区域</t>
        </is>
      </c>
      <c r="J58" s="4" t="inlineStr">
        <is>
          <t>张静秀</t>
        </is>
      </c>
    </row>
    <row r="59">
      <c r="A59" s="14" t="n">
        <v>45715</v>
      </c>
      <c r="B59" s="4" t="inlineStr">
        <is>
          <t>SO202510043</t>
        </is>
      </c>
      <c r="C59" s="4" t="inlineStr">
        <is>
          <t>无锡优鲜酒店管理集团</t>
        </is>
      </c>
      <c r="D59" s="4" t="inlineStr">
        <is>
          <t>复合调味粉</t>
        </is>
      </c>
      <c r="E59" s="4" t="inlineStr">
        <is>
          <t>标准</t>
        </is>
      </c>
      <c r="F59" s="18" t="n">
        <v>4120</v>
      </c>
      <c r="G59" s="15" t="n">
        <v>80.45999999999999</v>
      </c>
      <c r="H59" s="15" t="n">
        <v>331495.2</v>
      </c>
      <c r="I59" s="4" t="inlineStr">
        <is>
          <t>赣皖区域</t>
        </is>
      </c>
      <c r="J59" s="4" t="inlineStr">
        <is>
          <t>马兰芳</t>
        </is>
      </c>
    </row>
    <row r="60">
      <c r="A60" s="14" t="n">
        <v>45715</v>
      </c>
      <c r="B60" s="4" t="inlineStr">
        <is>
          <t>SO202510073</t>
        </is>
      </c>
      <c r="C60" s="4" t="inlineStr">
        <is>
          <t>苏州食佳电商平台</t>
        </is>
      </c>
      <c r="D60" s="4" t="inlineStr">
        <is>
          <t>川味底料</t>
        </is>
      </c>
      <c r="E60" s="4" t="inlineStr">
        <is>
          <t>标准</t>
        </is>
      </c>
      <c r="F60" s="18" t="n">
        <v>2180</v>
      </c>
      <c r="G60" s="15" t="n">
        <v>9.699999999999999</v>
      </c>
      <c r="H60" s="15" t="n">
        <v>21146</v>
      </c>
      <c r="I60" s="4" t="inlineStr">
        <is>
          <t>上海分部</t>
        </is>
      </c>
      <c r="J60" s="4" t="inlineStr">
        <is>
          <t>胡静英</t>
        </is>
      </c>
    </row>
    <row r="61">
      <c r="A61" s="14" t="n">
        <v>45721</v>
      </c>
      <c r="B61" s="4" t="inlineStr">
        <is>
          <t>SO202510033</t>
        </is>
      </c>
      <c r="C61" s="4" t="inlineStr">
        <is>
          <t>上海百味酒店管理集团</t>
        </is>
      </c>
      <c r="D61" s="4" t="inlineStr">
        <is>
          <t>川味底料</t>
        </is>
      </c>
      <c r="E61" s="4" t="inlineStr">
        <is>
          <t>C级</t>
        </is>
      </c>
      <c r="F61" s="18" t="n">
        <v>800</v>
      </c>
      <c r="G61" s="15" t="n">
        <v>46.6</v>
      </c>
      <c r="H61" s="15" t="n">
        <v>37280</v>
      </c>
      <c r="I61" s="4" t="inlineStr">
        <is>
          <t>浙江分部</t>
        </is>
      </c>
      <c r="J61" s="4" t="inlineStr">
        <is>
          <t>王伟芳</t>
        </is>
      </c>
    </row>
    <row r="62">
      <c r="A62" s="14" t="n">
        <v>45722</v>
      </c>
      <c r="B62" s="4" t="inlineStr">
        <is>
          <t>SO202510039</t>
        </is>
      </c>
      <c r="C62" s="4" t="inlineStr">
        <is>
          <t>无锡食佳超市</t>
        </is>
      </c>
      <c r="D62" s="4" t="inlineStr">
        <is>
          <t>预制菜</t>
        </is>
      </c>
      <c r="E62" s="4" t="inlineStr">
        <is>
          <t>10kg</t>
        </is>
      </c>
      <c r="F62" s="18" t="n">
        <v>1330</v>
      </c>
      <c r="G62" s="15" t="n">
        <v>70.17</v>
      </c>
      <c r="H62" s="15" t="n">
        <v>93326.10000000001</v>
      </c>
      <c r="I62" s="4" t="inlineStr">
        <is>
          <t>江苏分部</t>
        </is>
      </c>
      <c r="J62" s="4" t="inlineStr">
        <is>
          <t>何艳芳</t>
        </is>
      </c>
    </row>
    <row r="63">
      <c r="A63" s="14" t="n">
        <v>45724</v>
      </c>
      <c r="B63" s="4" t="inlineStr">
        <is>
          <t>SO202510004</t>
        </is>
      </c>
      <c r="C63" s="4" t="inlineStr">
        <is>
          <t>南京淼沃餐饮管理有限公司</t>
        </is>
      </c>
      <c r="D63" s="4" t="inlineStr">
        <is>
          <t>预制菜</t>
        </is>
      </c>
      <c r="E63" s="4" t="inlineStr">
        <is>
          <t>精装</t>
        </is>
      </c>
      <c r="F63" s="18" t="n">
        <v>680</v>
      </c>
      <c r="G63" s="15" t="n">
        <v>34.35</v>
      </c>
      <c r="H63" s="15" t="n">
        <v>23358</v>
      </c>
      <c r="I63" s="4" t="inlineStr">
        <is>
          <t>赣皖区域</t>
        </is>
      </c>
      <c r="J63" s="4" t="inlineStr">
        <is>
          <t>李勇娜</t>
        </is>
      </c>
    </row>
    <row r="64">
      <c r="A64" s="14" t="n">
        <v>45724</v>
      </c>
      <c r="B64" s="4" t="inlineStr">
        <is>
          <t>SO202510061</t>
        </is>
      </c>
      <c r="C64" s="4" t="inlineStr">
        <is>
          <t>嘉兴大匠食品有限公司</t>
        </is>
      </c>
      <c r="D64" s="4" t="inlineStr">
        <is>
          <t>复合调味粉</t>
        </is>
      </c>
      <c r="E64" s="4" t="inlineStr">
        <is>
          <t>A级</t>
        </is>
      </c>
      <c r="F64" s="18" t="n">
        <v>560</v>
      </c>
      <c r="G64" s="15" t="n">
        <v>49.3</v>
      </c>
      <c r="H64" s="15" t="n">
        <v>27608</v>
      </c>
      <c r="I64" s="4" t="inlineStr">
        <is>
          <t>江苏分部</t>
        </is>
      </c>
      <c r="J64" s="4" t="inlineStr">
        <is>
          <t>黄勇芳</t>
        </is>
      </c>
    </row>
    <row r="65">
      <c r="A65" s="14" t="n">
        <v>45724</v>
      </c>
      <c r="B65" s="4" t="inlineStr">
        <is>
          <t>SO202510218</t>
        </is>
      </c>
      <c r="C65" s="4" t="inlineStr">
        <is>
          <t>上海食佳供应链有限公司</t>
        </is>
      </c>
      <c r="D65" s="4" t="inlineStr">
        <is>
          <t>团餐</t>
        </is>
      </c>
      <c r="E65" s="4" t="inlineStr">
        <is>
          <t>标准</t>
        </is>
      </c>
      <c r="F65" s="18" t="n">
        <v>3150</v>
      </c>
      <c r="G65" s="15" t="n">
        <v>28.02</v>
      </c>
      <c r="H65" s="15" t="n">
        <v>88263</v>
      </c>
      <c r="I65" s="4" t="inlineStr">
        <is>
          <t>江苏分部</t>
        </is>
      </c>
      <c r="J65" s="4" t="inlineStr">
        <is>
          <t>周敏秀</t>
        </is>
      </c>
    </row>
    <row r="66">
      <c r="A66" s="14" t="n">
        <v>45724</v>
      </c>
      <c r="B66" s="4" t="inlineStr">
        <is>
          <t>SO202510257</t>
        </is>
      </c>
      <c r="C66" s="4" t="inlineStr">
        <is>
          <t>镇江百味商贸有限公司</t>
        </is>
      </c>
      <c r="D66" s="4" t="inlineStr">
        <is>
          <t>复合调味粉</t>
        </is>
      </c>
      <c r="E66" s="4" t="inlineStr">
        <is>
          <t>1kg</t>
        </is>
      </c>
      <c r="F66" s="18" t="n">
        <v>90</v>
      </c>
      <c r="G66" s="15" t="n">
        <v>5.67</v>
      </c>
      <c r="H66" s="15" t="n">
        <v>510.3</v>
      </c>
      <c r="I66" s="4" t="inlineStr">
        <is>
          <t>上海分部</t>
        </is>
      </c>
      <c r="J66" s="4" t="inlineStr">
        <is>
          <t>周娟娜</t>
        </is>
      </c>
    </row>
    <row r="67">
      <c r="A67" s="14" t="n">
        <v>45725</v>
      </c>
      <c r="B67" s="4" t="inlineStr">
        <is>
          <t>SO202510137</t>
        </is>
      </c>
      <c r="C67" s="4" t="inlineStr">
        <is>
          <t>无锡大匠商贸有限公司</t>
        </is>
      </c>
      <c r="D67" s="4" t="inlineStr">
        <is>
          <t>复合调味粉</t>
        </is>
      </c>
      <c r="E67" s="4" t="inlineStr">
        <is>
          <t>B级</t>
        </is>
      </c>
      <c r="F67" s="18" t="n">
        <v>3540</v>
      </c>
      <c r="G67" s="15" t="n">
        <v>7.73</v>
      </c>
      <c r="H67" s="15" t="n">
        <v>27364.2</v>
      </c>
      <c r="I67" s="4" t="inlineStr">
        <is>
          <t>上海分部</t>
        </is>
      </c>
      <c r="J67" s="4" t="inlineStr">
        <is>
          <t>周涛秀</t>
        </is>
      </c>
    </row>
    <row r="68">
      <c r="A68" s="14" t="n">
        <v>45727</v>
      </c>
      <c r="B68" s="4" t="inlineStr">
        <is>
          <t>SO202510046</t>
        </is>
      </c>
      <c r="C68" s="4" t="inlineStr">
        <is>
          <t>常州京功酒店管理集团</t>
        </is>
      </c>
      <c r="D68" s="4" t="inlineStr">
        <is>
          <t>团餐</t>
        </is>
      </c>
      <c r="E68" s="4" t="inlineStr">
        <is>
          <t>A级</t>
        </is>
      </c>
      <c r="F68" s="18" t="n">
        <v>600</v>
      </c>
      <c r="G68" s="15" t="n">
        <v>45.88</v>
      </c>
      <c r="H68" s="15" t="n">
        <v>27528</v>
      </c>
      <c r="I68" s="4" t="inlineStr">
        <is>
          <t>上海分部</t>
        </is>
      </c>
      <c r="J68" s="4" t="inlineStr">
        <is>
          <t>吴磊秀</t>
        </is>
      </c>
    </row>
    <row r="69">
      <c r="A69" s="14" t="n">
        <v>45727</v>
      </c>
      <c r="B69" s="4" t="inlineStr">
        <is>
          <t>SO202510316</t>
        </is>
      </c>
      <c r="C69" s="4" t="inlineStr">
        <is>
          <t>镇江食佳酒店管理集团</t>
        </is>
      </c>
      <c r="D69" s="4" t="inlineStr">
        <is>
          <t>中式汤底</t>
        </is>
      </c>
      <c r="E69" s="4" t="inlineStr">
        <is>
          <t>5kg</t>
        </is>
      </c>
      <c r="F69" s="18" t="n">
        <v>2030</v>
      </c>
      <c r="G69" s="15" t="n">
        <v>45</v>
      </c>
      <c r="H69" s="15" t="n">
        <v>91350</v>
      </c>
      <c r="I69" s="4" t="inlineStr">
        <is>
          <t>赣皖区域</t>
        </is>
      </c>
      <c r="J69" s="4" t="inlineStr">
        <is>
          <t>马芳秀</t>
        </is>
      </c>
    </row>
    <row r="70">
      <c r="A70" s="14" t="n">
        <v>45728</v>
      </c>
      <c r="B70" s="4" t="inlineStr">
        <is>
          <t>SO202510093</t>
        </is>
      </c>
      <c r="C70" s="4" t="inlineStr">
        <is>
          <t>合肥京功食品有限公司</t>
        </is>
      </c>
      <c r="D70" s="4" t="inlineStr">
        <is>
          <t>调味汁</t>
        </is>
      </c>
      <c r="E70" s="4" t="inlineStr">
        <is>
          <t>标准</t>
        </is>
      </c>
      <c r="F70" s="18" t="n">
        <v>4910</v>
      </c>
      <c r="G70" s="15" t="n">
        <v>66.16</v>
      </c>
      <c r="H70" s="15" t="n">
        <v>324845.6</v>
      </c>
      <c r="I70" s="4" t="inlineStr">
        <is>
          <t>浙江分部</t>
        </is>
      </c>
      <c r="J70" s="4" t="inlineStr">
        <is>
          <t>刘勇英</t>
        </is>
      </c>
    </row>
    <row r="71">
      <c r="A71" s="14" t="n">
        <v>45728</v>
      </c>
      <c r="B71" s="4" t="inlineStr">
        <is>
          <t>SO202510300</t>
        </is>
      </c>
      <c r="C71" s="4" t="inlineStr">
        <is>
          <t>常州京功酒店管理集团</t>
        </is>
      </c>
      <c r="D71" s="4" t="inlineStr">
        <is>
          <t>调味汁</t>
        </is>
      </c>
      <c r="E71" s="4" t="inlineStr">
        <is>
          <t>10kg</t>
        </is>
      </c>
      <c r="F71" s="18" t="n">
        <v>1150</v>
      </c>
      <c r="G71" s="15" t="n">
        <v>26.05</v>
      </c>
      <c r="H71" s="15" t="n">
        <v>29957.5</v>
      </c>
      <c r="I71" s="4" t="inlineStr">
        <is>
          <t>赣皖区域</t>
        </is>
      </c>
      <c r="J71" s="4" t="inlineStr">
        <is>
          <t>胡强伟</t>
        </is>
      </c>
    </row>
    <row r="72">
      <c r="A72" s="14" t="n">
        <v>45731</v>
      </c>
      <c r="B72" s="4" t="inlineStr">
        <is>
          <t>SO202510049</t>
        </is>
      </c>
      <c r="C72" s="4" t="inlineStr">
        <is>
          <t>常州京功超市</t>
        </is>
      </c>
      <c r="D72" s="4" t="inlineStr">
        <is>
          <t>川味底料</t>
        </is>
      </c>
      <c r="E72" s="4" t="inlineStr">
        <is>
          <t>特级</t>
        </is>
      </c>
      <c r="F72" s="18" t="n">
        <v>3390</v>
      </c>
      <c r="G72" s="15" t="n">
        <v>97.73</v>
      </c>
      <c r="H72" s="15" t="n">
        <v>331304.7</v>
      </c>
      <c r="I72" s="4" t="inlineStr">
        <is>
          <t>浙江分部</t>
        </is>
      </c>
      <c r="J72" s="4" t="inlineStr">
        <is>
          <t>胡强伟</t>
        </is>
      </c>
    </row>
    <row r="73">
      <c r="A73" s="14" t="n">
        <v>45732</v>
      </c>
      <c r="B73" s="4" t="inlineStr">
        <is>
          <t>SO202510207</t>
        </is>
      </c>
      <c r="C73" s="4" t="inlineStr">
        <is>
          <t>合肥淼沃食品有限公司</t>
        </is>
      </c>
      <c r="D73" s="4" t="inlineStr">
        <is>
          <t>酱料</t>
        </is>
      </c>
      <c r="E73" s="4" t="inlineStr">
        <is>
          <t>1kg</t>
        </is>
      </c>
      <c r="F73" s="18" t="n">
        <v>2710</v>
      </c>
      <c r="G73" s="15" t="n">
        <v>47.62</v>
      </c>
      <c r="H73" s="15" t="n">
        <v>129050.2</v>
      </c>
      <c r="I73" s="4" t="inlineStr">
        <is>
          <t>赣皖区域</t>
        </is>
      </c>
      <c r="J73" s="4" t="inlineStr">
        <is>
          <t>黄英伟</t>
        </is>
      </c>
    </row>
    <row r="74">
      <c r="A74" s="14" t="n">
        <v>45732</v>
      </c>
      <c r="B74" s="4" t="inlineStr">
        <is>
          <t>SO202510267</t>
        </is>
      </c>
      <c r="C74" s="4" t="inlineStr">
        <is>
          <t>温州食佳餐饮管理有限公司</t>
        </is>
      </c>
      <c r="D74" s="4" t="inlineStr">
        <is>
          <t>预制菜</t>
        </is>
      </c>
      <c r="E74" s="4" t="inlineStr">
        <is>
          <t>C级</t>
        </is>
      </c>
      <c r="F74" s="18" t="n">
        <v>770</v>
      </c>
      <c r="G74" s="15" t="n">
        <v>95.75</v>
      </c>
      <c r="H74" s="15" t="n">
        <v>73727.5</v>
      </c>
      <c r="I74" s="4" t="inlineStr">
        <is>
          <t>江苏分部</t>
        </is>
      </c>
      <c r="J74" s="4" t="inlineStr">
        <is>
          <t>林强敏</t>
        </is>
      </c>
    </row>
    <row r="75">
      <c r="A75" s="14" t="n">
        <v>45733</v>
      </c>
      <c r="B75" s="4" t="inlineStr">
        <is>
          <t>SO202510275</t>
        </is>
      </c>
      <c r="C75" s="4" t="inlineStr">
        <is>
          <t>合肥淼沃酒店管理集团</t>
        </is>
      </c>
      <c r="D75" s="4" t="inlineStr">
        <is>
          <t>中式汤底</t>
        </is>
      </c>
      <c r="E75" s="4" t="inlineStr">
        <is>
          <t>标准</t>
        </is>
      </c>
      <c r="F75" s="18" t="n">
        <v>4960</v>
      </c>
      <c r="G75" s="15" t="n">
        <v>3.67</v>
      </c>
      <c r="H75" s="15" t="n">
        <v>18203.2</v>
      </c>
      <c r="I75" s="4" t="inlineStr">
        <is>
          <t>上海分部</t>
        </is>
      </c>
      <c r="J75" s="4" t="inlineStr">
        <is>
          <t>李娟芳</t>
        </is>
      </c>
    </row>
    <row r="76">
      <c r="A76" s="14" t="n">
        <v>45734</v>
      </c>
      <c r="B76" s="4" t="inlineStr">
        <is>
          <t>SO202510098</t>
        </is>
      </c>
      <c r="C76" s="4" t="inlineStr">
        <is>
          <t>苏州淼沃餐饮管理有限公司</t>
        </is>
      </c>
      <c r="D76" s="4" t="inlineStr">
        <is>
          <t>调味汁</t>
        </is>
      </c>
      <c r="E76" s="4" t="inlineStr">
        <is>
          <t>10kg</t>
        </is>
      </c>
      <c r="F76" s="18" t="n">
        <v>1300</v>
      </c>
      <c r="G76" s="15" t="n">
        <v>83.39</v>
      </c>
      <c r="H76" s="15" t="n">
        <v>108407</v>
      </c>
      <c r="I76" s="4" t="inlineStr">
        <is>
          <t>赣皖区域</t>
        </is>
      </c>
      <c r="J76" s="4" t="inlineStr">
        <is>
          <t>刘涛英</t>
        </is>
      </c>
    </row>
    <row r="77">
      <c r="A77" s="14" t="n">
        <v>45734</v>
      </c>
      <c r="B77" s="4" t="inlineStr">
        <is>
          <t>SO202510212</t>
        </is>
      </c>
      <c r="C77" s="4" t="inlineStr">
        <is>
          <t>南昌优鲜食品有限公司</t>
        </is>
      </c>
      <c r="D77" s="4" t="inlineStr">
        <is>
          <t>川味底料</t>
        </is>
      </c>
      <c r="E77" s="4" t="inlineStr">
        <is>
          <t>25kg</t>
        </is>
      </c>
      <c r="F77" s="18" t="n">
        <v>4180</v>
      </c>
      <c r="G77" s="15" t="n">
        <v>92.64</v>
      </c>
      <c r="H77" s="15" t="n">
        <v>387235.2</v>
      </c>
      <c r="I77" s="4" t="inlineStr">
        <is>
          <t>浙江分部</t>
        </is>
      </c>
      <c r="J77" s="4" t="inlineStr">
        <is>
          <t>刘强伟</t>
        </is>
      </c>
    </row>
    <row r="78">
      <c r="A78" s="14" t="n">
        <v>45736</v>
      </c>
      <c r="B78" s="4" t="inlineStr">
        <is>
          <t>SO202510239</t>
        </is>
      </c>
      <c r="C78" s="4" t="inlineStr">
        <is>
          <t>温州淼沃供应链有限公司</t>
        </is>
      </c>
      <c r="D78" s="4" t="inlineStr">
        <is>
          <t>复合调味粉</t>
        </is>
      </c>
      <c r="E78" s="4" t="inlineStr">
        <is>
          <t>简装</t>
        </is>
      </c>
      <c r="F78" s="18" t="n">
        <v>4870</v>
      </c>
      <c r="G78" s="15" t="n">
        <v>61.23</v>
      </c>
      <c r="H78" s="15" t="n">
        <v>298190.1</v>
      </c>
      <c r="I78" s="4" t="inlineStr">
        <is>
          <t>赣皖区域</t>
        </is>
      </c>
      <c r="J78" s="4" t="inlineStr">
        <is>
          <t>郭娜英</t>
        </is>
      </c>
    </row>
    <row r="79">
      <c r="A79" s="14" t="n">
        <v>45738</v>
      </c>
      <c r="B79" s="4" t="inlineStr">
        <is>
          <t>SO202510147</t>
        </is>
      </c>
      <c r="C79" s="4" t="inlineStr">
        <is>
          <t>南昌优鲜超市</t>
        </is>
      </c>
      <c r="D79" s="4" t="inlineStr">
        <is>
          <t>酱料</t>
        </is>
      </c>
      <c r="E79" s="4" t="inlineStr">
        <is>
          <t>500g</t>
        </is>
      </c>
      <c r="F79" s="18" t="n">
        <v>770</v>
      </c>
      <c r="G79" s="15" t="n">
        <v>8.550000000000001</v>
      </c>
      <c r="H79" s="15" t="n">
        <v>6583.5</v>
      </c>
      <c r="I79" s="4" t="inlineStr">
        <is>
          <t>江苏分部</t>
        </is>
      </c>
      <c r="J79" s="4" t="inlineStr">
        <is>
          <t>张艳伟</t>
        </is>
      </c>
    </row>
    <row r="80">
      <c r="A80" s="14" t="n">
        <v>45740</v>
      </c>
      <c r="B80" s="4" t="inlineStr">
        <is>
          <t>SO202510150</t>
        </is>
      </c>
      <c r="C80" s="4" t="inlineStr">
        <is>
          <t>嘉兴淼沃商贸有限公司</t>
        </is>
      </c>
      <c r="D80" s="4" t="inlineStr">
        <is>
          <t>中式汤底</t>
        </is>
      </c>
      <c r="E80" s="4" t="inlineStr">
        <is>
          <t>5kg</t>
        </is>
      </c>
      <c r="F80" s="18" t="n">
        <v>2830</v>
      </c>
      <c r="G80" s="15" t="n">
        <v>65.78</v>
      </c>
      <c r="H80" s="15" t="n">
        <v>186157.4</v>
      </c>
      <c r="I80" s="4" t="inlineStr">
        <is>
          <t>江苏分部</t>
        </is>
      </c>
      <c r="J80" s="4" t="inlineStr">
        <is>
          <t>黄秀敏</t>
        </is>
      </c>
    </row>
    <row r="81">
      <c r="A81" s="14" t="n">
        <v>45740</v>
      </c>
      <c r="B81" s="4" t="inlineStr">
        <is>
          <t>SO202510227</t>
        </is>
      </c>
      <c r="C81" s="4" t="inlineStr">
        <is>
          <t>无锡京功电商平台</t>
        </is>
      </c>
      <c r="D81" s="4" t="inlineStr">
        <is>
          <t>预制菜</t>
        </is>
      </c>
      <c r="E81" s="4" t="inlineStr">
        <is>
          <t>1kg</t>
        </is>
      </c>
      <c r="F81" s="18" t="n">
        <v>3400</v>
      </c>
      <c r="G81" s="15" t="n">
        <v>89.95</v>
      </c>
      <c r="H81" s="15" t="n">
        <v>305830</v>
      </c>
      <c r="I81" s="4" t="inlineStr">
        <is>
          <t>浙江分部</t>
        </is>
      </c>
      <c r="J81" s="4" t="inlineStr">
        <is>
          <t>胡明敏</t>
        </is>
      </c>
    </row>
    <row r="82">
      <c r="A82" s="14" t="n">
        <v>45740</v>
      </c>
      <c r="B82" s="4" t="inlineStr">
        <is>
          <t>SO202510231</t>
        </is>
      </c>
      <c r="C82" s="4" t="inlineStr">
        <is>
          <t>宁波京功超市</t>
        </is>
      </c>
      <c r="D82" s="4" t="inlineStr">
        <is>
          <t>中式汤底</t>
        </is>
      </c>
      <c r="E82" s="4" t="inlineStr">
        <is>
          <t>25kg</t>
        </is>
      </c>
      <c r="F82" s="18" t="n">
        <v>4030</v>
      </c>
      <c r="G82" s="15" t="n">
        <v>18.93</v>
      </c>
      <c r="H82" s="15" t="n">
        <v>76287.89999999999</v>
      </c>
      <c r="I82" s="4" t="inlineStr">
        <is>
          <t>赣皖区域</t>
        </is>
      </c>
      <c r="J82" s="4" t="inlineStr">
        <is>
          <t>刘秀芳</t>
        </is>
      </c>
    </row>
    <row r="83">
      <c r="A83" s="14" t="n">
        <v>45740</v>
      </c>
      <c r="B83" s="4" t="inlineStr">
        <is>
          <t>SO202510324</t>
        </is>
      </c>
      <c r="C83" s="4" t="inlineStr">
        <is>
          <t>南昌食佳超市</t>
        </is>
      </c>
      <c r="D83" s="4" t="inlineStr">
        <is>
          <t>酱料</t>
        </is>
      </c>
      <c r="E83" s="4" t="inlineStr">
        <is>
          <t>简装</t>
        </is>
      </c>
      <c r="F83" s="18" t="n">
        <v>1460</v>
      </c>
      <c r="G83" s="15" t="n">
        <v>92.02</v>
      </c>
      <c r="H83" s="15" t="n">
        <v>134349.2</v>
      </c>
      <c r="I83" s="4" t="inlineStr">
        <is>
          <t>赣皖区域</t>
        </is>
      </c>
      <c r="J83" s="4" t="inlineStr">
        <is>
          <t>杨兰伟</t>
        </is>
      </c>
    </row>
    <row r="84">
      <c r="A84" s="14" t="n">
        <v>45743</v>
      </c>
      <c r="B84" s="4" t="inlineStr">
        <is>
          <t>SO202510336</t>
        </is>
      </c>
      <c r="C84" s="4" t="inlineStr">
        <is>
          <t>南京大匠电商平台</t>
        </is>
      </c>
      <c r="D84" s="4" t="inlineStr">
        <is>
          <t>中式汤底</t>
        </is>
      </c>
      <c r="E84" s="4" t="inlineStr">
        <is>
          <t>A级</t>
        </is>
      </c>
      <c r="F84" s="18" t="n">
        <v>3520</v>
      </c>
      <c r="G84" s="15" t="n">
        <v>37.18</v>
      </c>
      <c r="H84" s="15" t="n">
        <v>130873.6</v>
      </c>
      <c r="I84" s="4" t="inlineStr">
        <is>
          <t>江苏分部</t>
        </is>
      </c>
      <c r="J84" s="4" t="inlineStr">
        <is>
          <t>郭娟伟</t>
        </is>
      </c>
    </row>
    <row r="85">
      <c r="A85" s="14" t="n">
        <v>45749</v>
      </c>
      <c r="B85" s="4" t="inlineStr">
        <is>
          <t>SO202510322</t>
        </is>
      </c>
      <c r="C85" s="4" t="inlineStr">
        <is>
          <t>苏州淼沃食品有限公司</t>
        </is>
      </c>
      <c r="D85" s="4" t="inlineStr">
        <is>
          <t>中式汤底</t>
        </is>
      </c>
      <c r="E85" s="4" t="inlineStr">
        <is>
          <t>简装</t>
        </is>
      </c>
      <c r="F85" s="18" t="n">
        <v>770</v>
      </c>
      <c r="G85" s="15" t="n">
        <v>74.48999999999999</v>
      </c>
      <c r="H85" s="15" t="n">
        <v>57357.3</v>
      </c>
      <c r="I85" s="4" t="inlineStr">
        <is>
          <t>赣皖区域</t>
        </is>
      </c>
      <c r="J85" s="4" t="inlineStr">
        <is>
          <t>陈娟芳</t>
        </is>
      </c>
    </row>
    <row r="86">
      <c r="A86" s="14" t="n">
        <v>45754</v>
      </c>
      <c r="B86" s="4" t="inlineStr">
        <is>
          <t>SO202510094</t>
        </is>
      </c>
      <c r="C86" s="4" t="inlineStr">
        <is>
          <t>南京百味超市</t>
        </is>
      </c>
      <c r="D86" s="4" t="inlineStr">
        <is>
          <t>中式汤底</t>
        </is>
      </c>
      <c r="E86" s="4" t="inlineStr">
        <is>
          <t>1kg</t>
        </is>
      </c>
      <c r="F86" s="18" t="n">
        <v>4080</v>
      </c>
      <c r="G86" s="15" t="n">
        <v>3.91</v>
      </c>
      <c r="H86" s="15" t="n">
        <v>15952.8</v>
      </c>
      <c r="I86" s="4" t="inlineStr">
        <is>
          <t>浙江分部</t>
        </is>
      </c>
      <c r="J86" s="4" t="inlineStr">
        <is>
          <t>黄芳敏</t>
        </is>
      </c>
    </row>
    <row r="87">
      <c r="A87" s="14" t="n">
        <v>45754</v>
      </c>
      <c r="B87" s="4" t="inlineStr">
        <is>
          <t>SO202510250</t>
        </is>
      </c>
      <c r="C87" s="4" t="inlineStr">
        <is>
          <t>南昌淼沃食品有限公司</t>
        </is>
      </c>
      <c r="D87" s="4" t="inlineStr">
        <is>
          <t>团餐</t>
        </is>
      </c>
      <c r="E87" s="4" t="inlineStr">
        <is>
          <t>25kg</t>
        </is>
      </c>
      <c r="F87" s="18" t="n">
        <v>2370</v>
      </c>
      <c r="G87" s="15" t="n">
        <v>8.279999999999999</v>
      </c>
      <c r="H87" s="15" t="n">
        <v>19623.6</v>
      </c>
      <c r="I87" s="4" t="inlineStr">
        <is>
          <t>江苏分部</t>
        </is>
      </c>
      <c r="J87" s="4" t="inlineStr">
        <is>
          <t>徐明伟</t>
        </is>
      </c>
    </row>
    <row r="88">
      <c r="A88" s="14" t="n">
        <v>45755</v>
      </c>
      <c r="B88" s="4" t="inlineStr">
        <is>
          <t>SO202510145</t>
        </is>
      </c>
      <c r="C88" s="4" t="inlineStr">
        <is>
          <t>杭州淼沃供应链有限公司</t>
        </is>
      </c>
      <c r="D88" s="4" t="inlineStr">
        <is>
          <t>团餐</t>
        </is>
      </c>
      <c r="E88" s="4" t="inlineStr">
        <is>
          <t>5kg</t>
        </is>
      </c>
      <c r="F88" s="18" t="n">
        <v>710</v>
      </c>
      <c r="G88" s="15" t="n">
        <v>50.1</v>
      </c>
      <c r="H88" s="15" t="n">
        <v>35571</v>
      </c>
      <c r="I88" s="4" t="inlineStr">
        <is>
          <t>赣皖区域</t>
        </is>
      </c>
      <c r="J88" s="4" t="inlineStr">
        <is>
          <t>罗芳娜</t>
        </is>
      </c>
    </row>
    <row r="89">
      <c r="A89" s="14" t="n">
        <v>45756</v>
      </c>
      <c r="B89" s="4" t="inlineStr">
        <is>
          <t>SO202510209</t>
        </is>
      </c>
      <c r="C89" s="4" t="inlineStr">
        <is>
          <t>嘉兴优鲜酒店管理集团</t>
        </is>
      </c>
      <c r="D89" s="4" t="inlineStr">
        <is>
          <t>团餐</t>
        </is>
      </c>
      <c r="E89" s="4" t="inlineStr">
        <is>
          <t>简装</t>
        </is>
      </c>
      <c r="F89" s="18" t="n">
        <v>3250</v>
      </c>
      <c r="G89" s="15" t="n">
        <v>36.33</v>
      </c>
      <c r="H89" s="15" t="n">
        <v>118072.5</v>
      </c>
      <c r="I89" s="4" t="inlineStr">
        <is>
          <t>浙江分部</t>
        </is>
      </c>
      <c r="J89" s="4" t="inlineStr">
        <is>
          <t>林丽娜</t>
        </is>
      </c>
    </row>
    <row r="90">
      <c r="A90" s="14" t="n">
        <v>45757</v>
      </c>
      <c r="B90" s="4" t="inlineStr">
        <is>
          <t>SO202510132</t>
        </is>
      </c>
      <c r="C90" s="4" t="inlineStr">
        <is>
          <t>镇江京功商贸有限公司</t>
        </is>
      </c>
      <c r="D90" s="4" t="inlineStr">
        <is>
          <t>团餐</t>
        </is>
      </c>
      <c r="E90" s="4" t="inlineStr">
        <is>
          <t>500g</t>
        </is>
      </c>
      <c r="F90" s="18" t="n">
        <v>200</v>
      </c>
      <c r="G90" s="15" t="n">
        <v>50.16</v>
      </c>
      <c r="H90" s="15" t="n">
        <v>10032</v>
      </c>
      <c r="I90" s="4" t="inlineStr">
        <is>
          <t>赣皖区域</t>
        </is>
      </c>
      <c r="J90" s="4" t="inlineStr">
        <is>
          <t>胡秀敏</t>
        </is>
      </c>
    </row>
    <row r="91">
      <c r="A91" s="14" t="n">
        <v>45757</v>
      </c>
      <c r="B91" s="4" t="inlineStr">
        <is>
          <t>SO202510232</t>
        </is>
      </c>
      <c r="C91" s="4" t="inlineStr">
        <is>
          <t>南京优鲜供应链有限公司</t>
        </is>
      </c>
      <c r="D91" s="4" t="inlineStr">
        <is>
          <t>团餐</t>
        </is>
      </c>
      <c r="E91" s="4" t="inlineStr">
        <is>
          <t>B级</t>
        </is>
      </c>
      <c r="F91" s="18" t="n">
        <v>4280</v>
      </c>
      <c r="G91" s="15" t="n">
        <v>79.94</v>
      </c>
      <c r="H91" s="15" t="n">
        <v>342143.2</v>
      </c>
      <c r="I91" s="4" t="inlineStr">
        <is>
          <t>江苏分部</t>
        </is>
      </c>
      <c r="J91" s="4" t="inlineStr">
        <is>
          <t>李敏敏</t>
        </is>
      </c>
    </row>
    <row r="92">
      <c r="A92" s="14" t="n">
        <v>45757</v>
      </c>
      <c r="B92" s="4" t="inlineStr">
        <is>
          <t>SO202510317</t>
        </is>
      </c>
      <c r="C92" s="4" t="inlineStr">
        <is>
          <t>宁波食佳电商平台</t>
        </is>
      </c>
      <c r="D92" s="4" t="inlineStr">
        <is>
          <t>调味汁</t>
        </is>
      </c>
      <c r="E92" s="4" t="inlineStr">
        <is>
          <t>特级</t>
        </is>
      </c>
      <c r="F92" s="18" t="n">
        <v>2140</v>
      </c>
      <c r="G92" s="15" t="n">
        <v>48.43</v>
      </c>
      <c r="H92" s="15" t="n">
        <v>103640.2</v>
      </c>
      <c r="I92" s="4" t="inlineStr">
        <is>
          <t>浙江分部</t>
        </is>
      </c>
      <c r="J92" s="4" t="inlineStr">
        <is>
          <t>高超秀</t>
        </is>
      </c>
    </row>
    <row r="93">
      <c r="A93" s="14" t="n">
        <v>45758</v>
      </c>
      <c r="B93" s="4" t="inlineStr">
        <is>
          <t>SO202510301</t>
        </is>
      </c>
      <c r="C93" s="4" t="inlineStr">
        <is>
          <t>无锡大匠酒店管理集团</t>
        </is>
      </c>
      <c r="D93" s="4" t="inlineStr">
        <is>
          <t>中式汤底</t>
        </is>
      </c>
      <c r="E93" s="4" t="inlineStr">
        <is>
          <t>10kg</t>
        </is>
      </c>
      <c r="F93" s="18" t="n">
        <v>2220</v>
      </c>
      <c r="G93" s="15" t="n">
        <v>52.71</v>
      </c>
      <c r="H93" s="15" t="n">
        <v>117016.2</v>
      </c>
      <c r="I93" s="4" t="inlineStr">
        <is>
          <t>赣皖区域</t>
        </is>
      </c>
      <c r="J93" s="4" t="inlineStr">
        <is>
          <t>周娟秀</t>
        </is>
      </c>
    </row>
    <row r="94">
      <c r="A94" s="14" t="n">
        <v>45758</v>
      </c>
      <c r="B94" s="4" t="inlineStr">
        <is>
          <t>SO202510337</t>
        </is>
      </c>
      <c r="C94" s="4" t="inlineStr">
        <is>
          <t>宁波百味餐饮管理有限公司</t>
        </is>
      </c>
      <c r="D94" s="4" t="inlineStr">
        <is>
          <t>预制菜</t>
        </is>
      </c>
      <c r="E94" s="4" t="inlineStr">
        <is>
          <t>25kg</t>
        </is>
      </c>
      <c r="F94" s="18" t="n">
        <v>1590</v>
      </c>
      <c r="G94" s="15" t="n">
        <v>43.41</v>
      </c>
      <c r="H94" s="15" t="n">
        <v>69021.89999999999</v>
      </c>
      <c r="I94" s="4" t="inlineStr">
        <is>
          <t>江苏分部</t>
        </is>
      </c>
      <c r="J94" s="4" t="inlineStr">
        <is>
          <t>张磊英</t>
        </is>
      </c>
    </row>
    <row r="95">
      <c r="A95" s="14" t="n">
        <v>45759</v>
      </c>
      <c r="B95" s="4" t="inlineStr">
        <is>
          <t>SO202510165</t>
        </is>
      </c>
      <c r="C95" s="4" t="inlineStr">
        <is>
          <t>合肥京功电商平台</t>
        </is>
      </c>
      <c r="D95" s="4" t="inlineStr">
        <is>
          <t>团餐</t>
        </is>
      </c>
      <c r="E95" s="4" t="inlineStr">
        <is>
          <t>B级</t>
        </is>
      </c>
      <c r="F95" s="18" t="n">
        <v>3520</v>
      </c>
      <c r="G95" s="15" t="n">
        <v>28.83</v>
      </c>
      <c r="H95" s="15" t="n">
        <v>101481.6</v>
      </c>
      <c r="I95" s="4" t="inlineStr">
        <is>
          <t>上海分部</t>
        </is>
      </c>
      <c r="J95" s="4" t="inlineStr">
        <is>
          <t>李秀英</t>
        </is>
      </c>
    </row>
    <row r="96">
      <c r="A96" s="14" t="n">
        <v>45759</v>
      </c>
      <c r="B96" s="4" t="inlineStr">
        <is>
          <t>SO202510221</t>
        </is>
      </c>
      <c r="C96" s="4" t="inlineStr">
        <is>
          <t>上海京功供应链有限公司</t>
        </is>
      </c>
      <c r="D96" s="4" t="inlineStr">
        <is>
          <t>调味汁</t>
        </is>
      </c>
      <c r="E96" s="4" t="inlineStr">
        <is>
          <t>A级</t>
        </is>
      </c>
      <c r="F96" s="18" t="n">
        <v>2820</v>
      </c>
      <c r="G96" s="15" t="n">
        <v>63.39</v>
      </c>
      <c r="H96" s="15" t="n">
        <v>178759.8</v>
      </c>
      <c r="I96" s="4" t="inlineStr">
        <is>
          <t>江苏分部</t>
        </is>
      </c>
      <c r="J96" s="4" t="inlineStr">
        <is>
          <t>王超敏</t>
        </is>
      </c>
    </row>
    <row r="97">
      <c r="A97" s="14" t="n">
        <v>45760</v>
      </c>
      <c r="B97" s="4" t="inlineStr">
        <is>
          <t>SO202510303</t>
        </is>
      </c>
      <c r="C97" s="4" t="inlineStr">
        <is>
          <t>常州大匠商贸有限公司</t>
        </is>
      </c>
      <c r="D97" s="4" t="inlineStr">
        <is>
          <t>团餐</t>
        </is>
      </c>
      <c r="E97" s="4" t="inlineStr">
        <is>
          <t>特级</t>
        </is>
      </c>
      <c r="F97" s="18" t="n">
        <v>4740</v>
      </c>
      <c r="G97" s="15" t="n">
        <v>77.29000000000001</v>
      </c>
      <c r="H97" s="15" t="n">
        <v>366354.6</v>
      </c>
      <c r="I97" s="4" t="inlineStr">
        <is>
          <t>浙江分部</t>
        </is>
      </c>
      <c r="J97" s="4" t="inlineStr">
        <is>
          <t>陈涛秀</t>
        </is>
      </c>
    </row>
    <row r="98">
      <c r="A98" s="14" t="n">
        <v>45760</v>
      </c>
      <c r="B98" s="4" t="inlineStr">
        <is>
          <t>SO202510345</t>
        </is>
      </c>
      <c r="C98" s="4" t="inlineStr">
        <is>
          <t>南京优鲜超市</t>
        </is>
      </c>
      <c r="D98" s="4" t="inlineStr">
        <is>
          <t>团餐</t>
        </is>
      </c>
      <c r="E98" s="4" t="inlineStr">
        <is>
          <t>5kg</t>
        </is>
      </c>
      <c r="F98" s="18" t="n">
        <v>4020</v>
      </c>
      <c r="G98" s="15" t="n">
        <v>73.09</v>
      </c>
      <c r="H98" s="15" t="n">
        <v>293821.8</v>
      </c>
      <c r="I98" s="4" t="inlineStr">
        <is>
          <t>浙江分部</t>
        </is>
      </c>
      <c r="J98" s="4" t="inlineStr">
        <is>
          <t>赵秀伟</t>
        </is>
      </c>
    </row>
    <row r="99">
      <c r="A99" s="14" t="n">
        <v>45763</v>
      </c>
      <c r="B99" s="4" t="inlineStr">
        <is>
          <t>SO202510338</t>
        </is>
      </c>
      <c r="C99" s="4" t="inlineStr">
        <is>
          <t>南昌淼沃餐饮管理有限公司</t>
        </is>
      </c>
      <c r="D99" s="4" t="inlineStr">
        <is>
          <t>调味汁</t>
        </is>
      </c>
      <c r="E99" s="4" t="inlineStr">
        <is>
          <t>10kg</t>
        </is>
      </c>
      <c r="F99" s="18" t="n">
        <v>1330</v>
      </c>
      <c r="G99" s="15" t="n">
        <v>45.53</v>
      </c>
      <c r="H99" s="15" t="n">
        <v>60554.9</v>
      </c>
      <c r="I99" s="4" t="inlineStr">
        <is>
          <t>江苏分部</t>
        </is>
      </c>
      <c r="J99" s="4" t="inlineStr">
        <is>
          <t>高秀敏</t>
        </is>
      </c>
    </row>
    <row r="100">
      <c r="A100" s="14" t="n">
        <v>45765</v>
      </c>
      <c r="B100" s="4" t="inlineStr">
        <is>
          <t>SO202510199</t>
        </is>
      </c>
      <c r="C100" s="4" t="inlineStr">
        <is>
          <t>无锡百味供应链有限公司</t>
        </is>
      </c>
      <c r="D100" s="4" t="inlineStr">
        <is>
          <t>团餐</t>
        </is>
      </c>
      <c r="E100" s="4" t="inlineStr">
        <is>
          <t>简装</t>
        </is>
      </c>
      <c r="F100" s="18" t="n">
        <v>80</v>
      </c>
      <c r="G100" s="15" t="n">
        <v>50.43</v>
      </c>
      <c r="H100" s="15" t="n">
        <v>4034.4</v>
      </c>
      <c r="I100" s="4" t="inlineStr">
        <is>
          <t>江苏分部</t>
        </is>
      </c>
      <c r="J100" s="4" t="inlineStr">
        <is>
          <t>何芳秀</t>
        </is>
      </c>
    </row>
    <row r="101">
      <c r="A101" s="14" t="n">
        <v>45766</v>
      </c>
      <c r="B101" s="4" t="inlineStr">
        <is>
          <t>SO202510220</t>
        </is>
      </c>
      <c r="C101" s="4" t="inlineStr">
        <is>
          <t>杭州食佳酒店管理集团</t>
        </is>
      </c>
      <c r="D101" s="4" t="inlineStr">
        <is>
          <t>复合调味粉</t>
        </is>
      </c>
      <c r="E101" s="4" t="inlineStr">
        <is>
          <t>C级</t>
        </is>
      </c>
      <c r="F101" s="18" t="n">
        <v>150</v>
      </c>
      <c r="G101" s="15" t="n">
        <v>70.15000000000001</v>
      </c>
      <c r="H101" s="15" t="n">
        <v>10522.5</v>
      </c>
      <c r="I101" s="4" t="inlineStr">
        <is>
          <t>浙江分部</t>
        </is>
      </c>
      <c r="J101" s="4" t="inlineStr">
        <is>
          <t>林娜秀</t>
        </is>
      </c>
    </row>
    <row r="102">
      <c r="A102" s="14" t="n">
        <v>45767</v>
      </c>
      <c r="B102" s="4" t="inlineStr">
        <is>
          <t>SO202510320</t>
        </is>
      </c>
      <c r="C102" s="4" t="inlineStr">
        <is>
          <t>常州京功超市</t>
        </is>
      </c>
      <c r="D102" s="4" t="inlineStr">
        <is>
          <t>复合调味粉</t>
        </is>
      </c>
      <c r="E102" s="4" t="inlineStr">
        <is>
          <t>精装</t>
        </is>
      </c>
      <c r="F102" s="18" t="n">
        <v>1320</v>
      </c>
      <c r="G102" s="15" t="n">
        <v>62.47</v>
      </c>
      <c r="H102" s="15" t="n">
        <v>82460.39999999999</v>
      </c>
      <c r="I102" s="4" t="inlineStr">
        <is>
          <t>上海分部</t>
        </is>
      </c>
      <c r="J102" s="4" t="inlineStr">
        <is>
          <t>杨超英</t>
        </is>
      </c>
    </row>
    <row r="103">
      <c r="A103" s="14" t="n">
        <v>45768</v>
      </c>
      <c r="B103" s="4" t="inlineStr">
        <is>
          <t>SO202510099</t>
        </is>
      </c>
      <c r="C103" s="4" t="inlineStr">
        <is>
          <t>常州淼沃酒店管理集团</t>
        </is>
      </c>
      <c r="D103" s="4" t="inlineStr">
        <is>
          <t>调味汁</t>
        </is>
      </c>
      <c r="E103" s="4" t="inlineStr">
        <is>
          <t>B级</t>
        </is>
      </c>
      <c r="F103" s="18" t="n">
        <v>1680</v>
      </c>
      <c r="G103" s="15" t="n">
        <v>8.960000000000001</v>
      </c>
      <c r="H103" s="15" t="n">
        <v>15052.8</v>
      </c>
      <c r="I103" s="4" t="inlineStr">
        <is>
          <t>江苏分部</t>
        </is>
      </c>
      <c r="J103" s="4" t="inlineStr">
        <is>
          <t>徐勇娜</t>
        </is>
      </c>
    </row>
    <row r="104">
      <c r="A104" s="14" t="n">
        <v>45768</v>
      </c>
      <c r="B104" s="4" t="inlineStr">
        <is>
          <t>SO202510210</t>
        </is>
      </c>
      <c r="C104" s="4" t="inlineStr">
        <is>
          <t>南昌淼沃餐饮管理有限公司</t>
        </is>
      </c>
      <c r="D104" s="4" t="inlineStr">
        <is>
          <t>酱料</t>
        </is>
      </c>
      <c r="E104" s="4" t="inlineStr">
        <is>
          <t>精装</t>
        </is>
      </c>
      <c r="F104" s="18" t="n">
        <v>4400</v>
      </c>
      <c r="G104" s="15" t="n">
        <v>80.91</v>
      </c>
      <c r="H104" s="15" t="n">
        <v>356004</v>
      </c>
      <c r="I104" s="4" t="inlineStr">
        <is>
          <t>浙江分部</t>
        </is>
      </c>
      <c r="J104" s="4" t="inlineStr">
        <is>
          <t>王芳娜</t>
        </is>
      </c>
    </row>
    <row r="105">
      <c r="A105" s="14" t="n">
        <v>45769</v>
      </c>
      <c r="B105" s="4" t="inlineStr">
        <is>
          <t>SO202510323</t>
        </is>
      </c>
      <c r="C105" s="4" t="inlineStr">
        <is>
          <t>镇江淼沃餐饮管理有限公司</t>
        </is>
      </c>
      <c r="D105" s="4" t="inlineStr">
        <is>
          <t>团餐</t>
        </is>
      </c>
      <c r="E105" s="4" t="inlineStr">
        <is>
          <t>10kg</t>
        </is>
      </c>
      <c r="F105" s="18" t="n">
        <v>4990</v>
      </c>
      <c r="G105" s="15" t="n">
        <v>18.86</v>
      </c>
      <c r="H105" s="15" t="n">
        <v>94111.39999999999</v>
      </c>
      <c r="I105" s="4" t="inlineStr">
        <is>
          <t>浙江分部</t>
        </is>
      </c>
      <c r="J105" s="4" t="inlineStr">
        <is>
          <t>胡静敏</t>
        </is>
      </c>
    </row>
    <row r="106">
      <c r="A106" s="14" t="n">
        <v>45770</v>
      </c>
      <c r="B106" s="4" t="inlineStr">
        <is>
          <t>SO202510003</t>
        </is>
      </c>
      <c r="C106" s="4" t="inlineStr">
        <is>
          <t>杭州优鲜商贸有限公司</t>
        </is>
      </c>
      <c r="D106" s="4" t="inlineStr">
        <is>
          <t>预制菜</t>
        </is>
      </c>
      <c r="E106" s="4" t="inlineStr">
        <is>
          <t>简装</t>
        </is>
      </c>
      <c r="F106" s="18" t="n">
        <v>2350</v>
      </c>
      <c r="G106" s="15" t="n">
        <v>17.84</v>
      </c>
      <c r="H106" s="15" t="n">
        <v>41924</v>
      </c>
      <c r="I106" s="4" t="inlineStr">
        <is>
          <t>江苏分部</t>
        </is>
      </c>
      <c r="J106" s="4" t="inlineStr">
        <is>
          <t>王洋伟</t>
        </is>
      </c>
    </row>
    <row r="107">
      <c r="A107" s="14" t="n">
        <v>45770</v>
      </c>
      <c r="B107" s="4" t="inlineStr">
        <is>
          <t>SO202510312</t>
        </is>
      </c>
      <c r="C107" s="4" t="inlineStr">
        <is>
          <t>杭州食佳酒店管理集团</t>
        </is>
      </c>
      <c r="D107" s="4" t="inlineStr">
        <is>
          <t>酱料</t>
        </is>
      </c>
      <c r="E107" s="4" t="inlineStr">
        <is>
          <t>精装</t>
        </is>
      </c>
      <c r="F107" s="18" t="n">
        <v>3230</v>
      </c>
      <c r="G107" s="15" t="n">
        <v>82.83</v>
      </c>
      <c r="H107" s="15" t="n">
        <v>267540.9</v>
      </c>
      <c r="I107" s="4" t="inlineStr">
        <is>
          <t>浙江分部</t>
        </is>
      </c>
      <c r="J107" s="4" t="inlineStr">
        <is>
          <t>朱明英</t>
        </is>
      </c>
    </row>
    <row r="108">
      <c r="A108" s="14" t="n">
        <v>45771</v>
      </c>
      <c r="B108" s="4" t="inlineStr">
        <is>
          <t>SO202510244</t>
        </is>
      </c>
      <c r="C108" s="4" t="inlineStr">
        <is>
          <t>杭州优鲜超市</t>
        </is>
      </c>
      <c r="D108" s="4" t="inlineStr">
        <is>
          <t>酱料</t>
        </is>
      </c>
      <c r="E108" s="4" t="inlineStr">
        <is>
          <t>A级</t>
        </is>
      </c>
      <c r="F108" s="18" t="n">
        <v>4010</v>
      </c>
      <c r="G108" s="15" t="n">
        <v>17.99</v>
      </c>
      <c r="H108" s="15" t="n">
        <v>72139.89999999999</v>
      </c>
      <c r="I108" s="4" t="inlineStr">
        <is>
          <t>赣皖区域</t>
        </is>
      </c>
      <c r="J108" s="4" t="inlineStr">
        <is>
          <t>高勇秀</t>
        </is>
      </c>
    </row>
    <row r="109">
      <c r="A109" s="14" t="n">
        <v>45772</v>
      </c>
      <c r="B109" s="4" t="inlineStr">
        <is>
          <t>SO202510045</t>
        </is>
      </c>
      <c r="C109" s="4" t="inlineStr">
        <is>
          <t>温州京功酒店管理集团</t>
        </is>
      </c>
      <c r="D109" s="4" t="inlineStr">
        <is>
          <t>中式汤底</t>
        </is>
      </c>
      <c r="E109" s="4" t="inlineStr">
        <is>
          <t>B级</t>
        </is>
      </c>
      <c r="F109" s="18" t="n">
        <v>2650</v>
      </c>
      <c r="G109" s="15" t="n">
        <v>12.61</v>
      </c>
      <c r="H109" s="15" t="n">
        <v>33416.5</v>
      </c>
      <c r="I109" s="4" t="inlineStr">
        <is>
          <t>浙江分部</t>
        </is>
      </c>
      <c r="J109" s="4" t="inlineStr">
        <is>
          <t>吴伟娜</t>
        </is>
      </c>
    </row>
    <row r="110">
      <c r="A110" s="14" t="n">
        <v>45773</v>
      </c>
      <c r="B110" s="4" t="inlineStr">
        <is>
          <t>SO202510343</t>
        </is>
      </c>
      <c r="C110" s="4" t="inlineStr">
        <is>
          <t>南京大匠食品有限公司</t>
        </is>
      </c>
      <c r="D110" s="4" t="inlineStr">
        <is>
          <t>复合调味粉</t>
        </is>
      </c>
      <c r="E110" s="4" t="inlineStr">
        <is>
          <t>B级</t>
        </is>
      </c>
      <c r="F110" s="18" t="n">
        <v>60</v>
      </c>
      <c r="G110" s="15" t="n">
        <v>12.83</v>
      </c>
      <c r="H110" s="15" t="n">
        <v>769.8</v>
      </c>
      <c r="I110" s="4" t="inlineStr">
        <is>
          <t>江苏分部</t>
        </is>
      </c>
      <c r="J110" s="4" t="inlineStr">
        <is>
          <t>吴勇秀</t>
        </is>
      </c>
    </row>
    <row r="111">
      <c r="A111" s="14" t="n">
        <v>45774</v>
      </c>
      <c r="B111" s="4" t="inlineStr">
        <is>
          <t>SO202510058</t>
        </is>
      </c>
      <c r="C111" s="4" t="inlineStr">
        <is>
          <t>苏州百味食品有限公司</t>
        </is>
      </c>
      <c r="D111" s="4" t="inlineStr">
        <is>
          <t>中式汤底</t>
        </is>
      </c>
      <c r="E111" s="4" t="inlineStr">
        <is>
          <t>25kg</t>
        </is>
      </c>
      <c r="F111" s="18" t="n">
        <v>2280</v>
      </c>
      <c r="G111" s="15" t="n">
        <v>53.96</v>
      </c>
      <c r="H111" s="15" t="n">
        <v>123028.8</v>
      </c>
      <c r="I111" s="4" t="inlineStr">
        <is>
          <t>赣皖区域</t>
        </is>
      </c>
      <c r="J111" s="4" t="inlineStr">
        <is>
          <t>赵秀敏</t>
        </is>
      </c>
    </row>
    <row r="112">
      <c r="A112" s="14" t="n">
        <v>45775</v>
      </c>
      <c r="B112" s="4" t="inlineStr">
        <is>
          <t>SO202510040</t>
        </is>
      </c>
      <c r="C112" s="4" t="inlineStr">
        <is>
          <t>宁波京功超市</t>
        </is>
      </c>
      <c r="D112" s="4" t="inlineStr">
        <is>
          <t>调味汁</t>
        </is>
      </c>
      <c r="E112" s="4" t="inlineStr">
        <is>
          <t>1kg</t>
        </is>
      </c>
      <c r="F112" s="18" t="n">
        <v>1210</v>
      </c>
      <c r="G112" s="15" t="n">
        <v>47.55</v>
      </c>
      <c r="H112" s="15" t="n">
        <v>57535.5</v>
      </c>
      <c r="I112" s="4" t="inlineStr">
        <is>
          <t>江苏分部</t>
        </is>
      </c>
      <c r="J112" s="4" t="inlineStr">
        <is>
          <t>黄娜伟</t>
        </is>
      </c>
    </row>
    <row r="113">
      <c r="A113" s="14" t="n">
        <v>45781</v>
      </c>
      <c r="B113" s="4" t="inlineStr">
        <is>
          <t>SO202510079</t>
        </is>
      </c>
      <c r="C113" s="4" t="inlineStr">
        <is>
          <t>嘉兴淼沃酒店管理集团</t>
        </is>
      </c>
      <c r="D113" s="4" t="inlineStr">
        <is>
          <t>调味汁</t>
        </is>
      </c>
      <c r="E113" s="4" t="inlineStr">
        <is>
          <t>特级</t>
        </is>
      </c>
      <c r="F113" s="18" t="n">
        <v>1970</v>
      </c>
      <c r="G113" s="15" t="n">
        <v>8.66</v>
      </c>
      <c r="H113" s="15" t="n">
        <v>17060.2</v>
      </c>
      <c r="I113" s="4" t="inlineStr">
        <is>
          <t>赣皖区域</t>
        </is>
      </c>
      <c r="J113" s="4" t="inlineStr">
        <is>
          <t>黄伟芳</t>
        </is>
      </c>
    </row>
    <row r="114">
      <c r="A114" s="14" t="n">
        <v>45781</v>
      </c>
      <c r="B114" s="4" t="inlineStr">
        <is>
          <t>SO202510108</t>
        </is>
      </c>
      <c r="C114" s="4" t="inlineStr">
        <is>
          <t>南京食佳酒店管理集团</t>
        </is>
      </c>
      <c r="D114" s="4" t="inlineStr">
        <is>
          <t>中式汤底</t>
        </is>
      </c>
      <c r="E114" s="4" t="inlineStr">
        <is>
          <t>10kg</t>
        </is>
      </c>
      <c r="F114" s="18" t="n">
        <v>1840</v>
      </c>
      <c r="G114" s="15" t="n">
        <v>3.09</v>
      </c>
      <c r="H114" s="15" t="n">
        <v>5685.6</v>
      </c>
      <c r="I114" s="4" t="inlineStr">
        <is>
          <t>赣皖区域</t>
        </is>
      </c>
      <c r="J114" s="4" t="inlineStr">
        <is>
          <t>朱兰英</t>
        </is>
      </c>
    </row>
    <row r="115">
      <c r="A115" s="14" t="n">
        <v>45781</v>
      </c>
      <c r="B115" s="4" t="inlineStr">
        <is>
          <t>SO202510214</t>
        </is>
      </c>
      <c r="C115" s="4" t="inlineStr">
        <is>
          <t>温州京功供应链有限公司</t>
        </is>
      </c>
      <c r="D115" s="4" t="inlineStr">
        <is>
          <t>中式汤底</t>
        </is>
      </c>
      <c r="E115" s="4" t="inlineStr">
        <is>
          <t>5kg</t>
        </is>
      </c>
      <c r="F115" s="18" t="n">
        <v>2130</v>
      </c>
      <c r="G115" s="15" t="n">
        <v>48.98</v>
      </c>
      <c r="H115" s="15" t="n">
        <v>104327.4</v>
      </c>
      <c r="I115" s="4" t="inlineStr">
        <is>
          <t>上海分部</t>
        </is>
      </c>
      <c r="J115" s="4" t="inlineStr">
        <is>
          <t>孙秀秀</t>
        </is>
      </c>
    </row>
    <row r="116">
      <c r="A116" s="14" t="n">
        <v>45782</v>
      </c>
      <c r="B116" s="4" t="inlineStr">
        <is>
          <t>SO202510206</t>
        </is>
      </c>
      <c r="C116" s="4" t="inlineStr">
        <is>
          <t>镇江食佳餐饮管理有限公司</t>
        </is>
      </c>
      <c r="D116" s="4" t="inlineStr">
        <is>
          <t>预制菜</t>
        </is>
      </c>
      <c r="E116" s="4" t="inlineStr">
        <is>
          <t>1kg</t>
        </is>
      </c>
      <c r="F116" s="18" t="n">
        <v>2270</v>
      </c>
      <c r="G116" s="15" t="n">
        <v>93.12</v>
      </c>
      <c r="H116" s="15" t="n">
        <v>211382.4</v>
      </c>
      <c r="I116" s="4" t="inlineStr">
        <is>
          <t>上海分部</t>
        </is>
      </c>
      <c r="J116" s="4" t="inlineStr">
        <is>
          <t>马英秀</t>
        </is>
      </c>
    </row>
    <row r="117">
      <c r="A117" s="14" t="n">
        <v>45782</v>
      </c>
      <c r="B117" s="4" t="inlineStr">
        <is>
          <t>SO202510274</t>
        </is>
      </c>
      <c r="C117" s="4" t="inlineStr">
        <is>
          <t>镇江淼沃餐饮管理有限公司</t>
        </is>
      </c>
      <c r="D117" s="4" t="inlineStr">
        <is>
          <t>预制菜</t>
        </is>
      </c>
      <c r="E117" s="4" t="inlineStr">
        <is>
          <t>500g</t>
        </is>
      </c>
      <c r="F117" s="18" t="n">
        <v>440</v>
      </c>
      <c r="G117" s="15" t="n">
        <v>98.14</v>
      </c>
      <c r="H117" s="15" t="n">
        <v>43181.6</v>
      </c>
      <c r="I117" s="4" t="inlineStr">
        <is>
          <t>上海分部</t>
        </is>
      </c>
      <c r="J117" s="4" t="inlineStr">
        <is>
          <t>孙杰芳</t>
        </is>
      </c>
    </row>
    <row r="118">
      <c r="A118" s="14" t="n">
        <v>45782</v>
      </c>
      <c r="B118" s="4" t="inlineStr">
        <is>
          <t>SO202510304</t>
        </is>
      </c>
      <c r="C118" s="4" t="inlineStr">
        <is>
          <t>镇江大匠餐饮管理有限公司</t>
        </is>
      </c>
      <c r="D118" s="4" t="inlineStr">
        <is>
          <t>酱料</t>
        </is>
      </c>
      <c r="E118" s="4" t="inlineStr">
        <is>
          <t>C级</t>
        </is>
      </c>
      <c r="F118" s="18" t="n">
        <v>2730</v>
      </c>
      <c r="G118" s="15" t="n">
        <v>94.51000000000001</v>
      </c>
      <c r="H118" s="15" t="n">
        <v>258012.3</v>
      </c>
      <c r="I118" s="4" t="inlineStr">
        <is>
          <t>浙江分部</t>
        </is>
      </c>
      <c r="J118" s="4" t="inlineStr">
        <is>
          <t>郭丽秀</t>
        </is>
      </c>
    </row>
    <row r="119">
      <c r="A119" s="14" t="n">
        <v>45783</v>
      </c>
      <c r="B119" s="4" t="inlineStr">
        <is>
          <t>SO202510286</t>
        </is>
      </c>
      <c r="C119" s="4" t="inlineStr">
        <is>
          <t>南昌淼沃商贸有限公司</t>
        </is>
      </c>
      <c r="D119" s="4" t="inlineStr">
        <is>
          <t>团餐</t>
        </is>
      </c>
      <c r="E119" s="4" t="inlineStr">
        <is>
          <t>25kg</t>
        </is>
      </c>
      <c r="F119" s="18" t="n">
        <v>3930</v>
      </c>
      <c r="G119" s="15" t="n">
        <v>31.94</v>
      </c>
      <c r="H119" s="15" t="n">
        <v>125524.2</v>
      </c>
      <c r="I119" s="4" t="inlineStr">
        <is>
          <t>上海分部</t>
        </is>
      </c>
      <c r="J119" s="4" t="inlineStr">
        <is>
          <t>郭超敏</t>
        </is>
      </c>
    </row>
    <row r="120">
      <c r="A120" s="14" t="n">
        <v>45784</v>
      </c>
      <c r="B120" s="4" t="inlineStr">
        <is>
          <t>SO202510013</t>
        </is>
      </c>
      <c r="C120" s="4" t="inlineStr">
        <is>
          <t>合肥食佳食品有限公司</t>
        </is>
      </c>
      <c r="D120" s="4" t="inlineStr">
        <is>
          <t>团餐</t>
        </is>
      </c>
      <c r="E120" s="4" t="inlineStr">
        <is>
          <t>B级</t>
        </is>
      </c>
      <c r="F120" s="18" t="n">
        <v>1110</v>
      </c>
      <c r="G120" s="15" t="n">
        <v>70.04000000000001</v>
      </c>
      <c r="H120" s="15" t="n">
        <v>77744.39999999999</v>
      </c>
      <c r="I120" s="4" t="inlineStr">
        <is>
          <t>江苏分部</t>
        </is>
      </c>
      <c r="J120" s="4" t="inlineStr">
        <is>
          <t>王秀伟</t>
        </is>
      </c>
    </row>
    <row r="121">
      <c r="A121" s="14" t="n">
        <v>45784</v>
      </c>
      <c r="B121" s="4" t="inlineStr">
        <is>
          <t>SO202510252</t>
        </is>
      </c>
      <c r="C121" s="4" t="inlineStr">
        <is>
          <t>合肥食佳超市</t>
        </is>
      </c>
      <c r="D121" s="4" t="inlineStr">
        <is>
          <t>预制菜</t>
        </is>
      </c>
      <c r="E121" s="4" t="inlineStr">
        <is>
          <t>10kg</t>
        </is>
      </c>
      <c r="F121" s="18" t="n">
        <v>160</v>
      </c>
      <c r="G121" s="15" t="n">
        <v>80.41</v>
      </c>
      <c r="H121" s="15" t="n">
        <v>12865.6</v>
      </c>
      <c r="I121" s="4" t="inlineStr">
        <is>
          <t>浙江分部</t>
        </is>
      </c>
      <c r="J121" s="4" t="inlineStr">
        <is>
          <t>林磊娜</t>
        </is>
      </c>
    </row>
    <row r="122">
      <c r="A122" s="14" t="n">
        <v>45785</v>
      </c>
      <c r="B122" s="4" t="inlineStr">
        <is>
          <t>SO202510031</t>
        </is>
      </c>
      <c r="C122" s="4" t="inlineStr">
        <is>
          <t>常州京功商贸有限公司</t>
        </is>
      </c>
      <c r="D122" s="4" t="inlineStr">
        <is>
          <t>川味底料</t>
        </is>
      </c>
      <c r="E122" s="4" t="inlineStr">
        <is>
          <t>500g</t>
        </is>
      </c>
      <c r="F122" s="18" t="n">
        <v>810</v>
      </c>
      <c r="G122" s="15" t="n">
        <v>62.47</v>
      </c>
      <c r="H122" s="15" t="n">
        <v>50600.7</v>
      </c>
      <c r="I122" s="4" t="inlineStr">
        <is>
          <t>赣皖区域</t>
        </is>
      </c>
      <c r="J122" s="4" t="inlineStr">
        <is>
          <t>林强伟</t>
        </is>
      </c>
    </row>
    <row r="123">
      <c r="A123" s="14" t="n">
        <v>45785</v>
      </c>
      <c r="B123" s="4" t="inlineStr">
        <is>
          <t>SO202510168</t>
        </is>
      </c>
      <c r="C123" s="4" t="inlineStr">
        <is>
          <t>常州淼沃超市</t>
        </is>
      </c>
      <c r="D123" s="4" t="inlineStr">
        <is>
          <t>酱料</t>
        </is>
      </c>
      <c r="E123" s="4" t="inlineStr">
        <is>
          <t>500g</t>
        </is>
      </c>
      <c r="F123" s="18" t="n">
        <v>2180</v>
      </c>
      <c r="G123" s="15" t="n">
        <v>97.56999999999999</v>
      </c>
      <c r="H123" s="15" t="n">
        <v>212702.6</v>
      </c>
      <c r="I123" s="4" t="inlineStr">
        <is>
          <t>浙江分部</t>
        </is>
      </c>
      <c r="J123" s="4" t="inlineStr">
        <is>
          <t>胡兰秀</t>
        </is>
      </c>
    </row>
    <row r="124">
      <c r="A124" s="14" t="n">
        <v>45785</v>
      </c>
      <c r="B124" s="4" t="inlineStr">
        <is>
          <t>SO202510335</t>
        </is>
      </c>
      <c r="C124" s="4" t="inlineStr">
        <is>
          <t>上海食佳超市</t>
        </is>
      </c>
      <c r="D124" s="4" t="inlineStr">
        <is>
          <t>川味底料</t>
        </is>
      </c>
      <c r="E124" s="4" t="inlineStr">
        <is>
          <t>C级</t>
        </is>
      </c>
      <c r="F124" s="18" t="n">
        <v>3970</v>
      </c>
      <c r="G124" s="15" t="n">
        <v>87.8</v>
      </c>
      <c r="H124" s="15" t="n">
        <v>348566</v>
      </c>
      <c r="I124" s="4" t="inlineStr">
        <is>
          <t>江苏分部</t>
        </is>
      </c>
      <c r="J124" s="4" t="inlineStr">
        <is>
          <t>马兰娜</t>
        </is>
      </c>
    </row>
    <row r="125">
      <c r="A125" s="14" t="n">
        <v>45786</v>
      </c>
      <c r="B125" s="4" t="inlineStr">
        <is>
          <t>SO202510084</t>
        </is>
      </c>
      <c r="C125" s="4" t="inlineStr">
        <is>
          <t>杭州淼沃电商平台</t>
        </is>
      </c>
      <c r="D125" s="4" t="inlineStr">
        <is>
          <t>川味底料</t>
        </is>
      </c>
      <c r="E125" s="4" t="inlineStr">
        <is>
          <t>1kg</t>
        </is>
      </c>
      <c r="F125" s="18" t="n">
        <v>3510</v>
      </c>
      <c r="G125" s="15" t="n">
        <v>53.22</v>
      </c>
      <c r="H125" s="15" t="n">
        <v>186802.2</v>
      </c>
      <c r="I125" s="4" t="inlineStr">
        <is>
          <t>江苏分部</t>
        </is>
      </c>
      <c r="J125" s="4" t="inlineStr">
        <is>
          <t>朱超秀</t>
        </is>
      </c>
    </row>
    <row r="126">
      <c r="A126" s="14" t="n">
        <v>45786</v>
      </c>
      <c r="B126" s="4" t="inlineStr">
        <is>
          <t>SO202510156</t>
        </is>
      </c>
      <c r="C126" s="4" t="inlineStr">
        <is>
          <t>温州优鲜供应链有限公司</t>
        </is>
      </c>
      <c r="D126" s="4" t="inlineStr">
        <is>
          <t>调味汁</t>
        </is>
      </c>
      <c r="E126" s="4" t="inlineStr">
        <is>
          <t>简装</t>
        </is>
      </c>
      <c r="F126" s="18" t="n">
        <v>3610</v>
      </c>
      <c r="G126" s="15" t="n">
        <v>43.36</v>
      </c>
      <c r="H126" s="15" t="n">
        <v>156529.6</v>
      </c>
      <c r="I126" s="4" t="inlineStr">
        <is>
          <t>江苏分部</t>
        </is>
      </c>
      <c r="J126" s="4" t="inlineStr">
        <is>
          <t>陈强秀</t>
        </is>
      </c>
    </row>
    <row r="127">
      <c r="A127" s="14" t="n">
        <v>45786</v>
      </c>
      <c r="B127" s="4" t="inlineStr">
        <is>
          <t>SO202510179</t>
        </is>
      </c>
      <c r="C127" s="4" t="inlineStr">
        <is>
          <t>南京优鲜商贸有限公司</t>
        </is>
      </c>
      <c r="D127" s="4" t="inlineStr">
        <is>
          <t>复合调味粉</t>
        </is>
      </c>
      <c r="E127" s="4" t="inlineStr">
        <is>
          <t>标准</t>
        </is>
      </c>
      <c r="F127" s="18" t="n">
        <v>3140</v>
      </c>
      <c r="G127" s="15" t="n">
        <v>5.9</v>
      </c>
      <c r="H127" s="15" t="n">
        <v>18526</v>
      </c>
      <c r="I127" s="4" t="inlineStr">
        <is>
          <t>江苏分部</t>
        </is>
      </c>
      <c r="J127" s="4" t="inlineStr">
        <is>
          <t>郭艳芳</t>
        </is>
      </c>
    </row>
    <row r="128">
      <c r="A128" s="14" t="n">
        <v>45789</v>
      </c>
      <c r="B128" s="4" t="inlineStr">
        <is>
          <t>SO202510181</t>
        </is>
      </c>
      <c r="C128" s="4" t="inlineStr">
        <is>
          <t>南昌食佳酒店管理集团</t>
        </is>
      </c>
      <c r="D128" s="4" t="inlineStr">
        <is>
          <t>预制菜</t>
        </is>
      </c>
      <c r="E128" s="4" t="inlineStr">
        <is>
          <t>B级</t>
        </is>
      </c>
      <c r="F128" s="18" t="n">
        <v>1250</v>
      </c>
      <c r="G128" s="15" t="n">
        <v>33.44</v>
      </c>
      <c r="H128" s="15" t="n">
        <v>41800</v>
      </c>
      <c r="I128" s="4" t="inlineStr">
        <is>
          <t>江苏分部</t>
        </is>
      </c>
      <c r="J128" s="4" t="inlineStr">
        <is>
          <t>赵秀伟</t>
        </is>
      </c>
    </row>
    <row r="129">
      <c r="A129" s="14" t="n">
        <v>45790</v>
      </c>
      <c r="B129" s="4" t="inlineStr">
        <is>
          <t>SO202510285</t>
        </is>
      </c>
      <c r="C129" s="4" t="inlineStr">
        <is>
          <t>苏州食佳供应链有限公司</t>
        </is>
      </c>
      <c r="D129" s="4" t="inlineStr">
        <is>
          <t>团餐</t>
        </is>
      </c>
      <c r="E129" s="4" t="inlineStr">
        <is>
          <t>500g</t>
        </is>
      </c>
      <c r="F129" s="18" t="n">
        <v>3330</v>
      </c>
      <c r="G129" s="15" t="n">
        <v>10.47</v>
      </c>
      <c r="H129" s="15" t="n">
        <v>34865.1</v>
      </c>
      <c r="I129" s="4" t="inlineStr">
        <is>
          <t>上海分部</t>
        </is>
      </c>
      <c r="J129" s="4" t="inlineStr">
        <is>
          <t>黄芳英</t>
        </is>
      </c>
    </row>
    <row r="130">
      <c r="A130" s="14" t="n">
        <v>45791</v>
      </c>
      <c r="B130" s="4" t="inlineStr">
        <is>
          <t>SO202510010</t>
        </is>
      </c>
      <c r="C130" s="4" t="inlineStr">
        <is>
          <t>合肥淼沃食品有限公司</t>
        </is>
      </c>
      <c r="D130" s="4" t="inlineStr">
        <is>
          <t>酱料</t>
        </is>
      </c>
      <c r="E130" s="4" t="inlineStr">
        <is>
          <t>5kg</t>
        </is>
      </c>
      <c r="F130" s="18" t="n">
        <v>90</v>
      </c>
      <c r="G130" s="15" t="n">
        <v>84.39</v>
      </c>
      <c r="H130" s="15" t="n">
        <v>7595.1</v>
      </c>
      <c r="I130" s="4" t="inlineStr">
        <is>
          <t>上海分部</t>
        </is>
      </c>
      <c r="J130" s="4" t="inlineStr">
        <is>
          <t>朱英伟</t>
        </is>
      </c>
    </row>
    <row r="131">
      <c r="A131" s="14" t="n">
        <v>45794</v>
      </c>
      <c r="B131" s="4" t="inlineStr">
        <is>
          <t>SO202510055</t>
        </is>
      </c>
      <c r="C131" s="4" t="inlineStr">
        <is>
          <t>温州淼沃餐饮管理有限公司</t>
        </is>
      </c>
      <c r="D131" s="4" t="inlineStr">
        <is>
          <t>调味汁</t>
        </is>
      </c>
      <c r="E131" s="4" t="inlineStr">
        <is>
          <t>标准</t>
        </is>
      </c>
      <c r="F131" s="18" t="n">
        <v>2380</v>
      </c>
      <c r="G131" s="15" t="n">
        <v>60.95</v>
      </c>
      <c r="H131" s="15" t="n">
        <v>145061</v>
      </c>
      <c r="I131" s="4" t="inlineStr">
        <is>
          <t>上海分部</t>
        </is>
      </c>
      <c r="J131" s="4" t="inlineStr">
        <is>
          <t>高明英</t>
        </is>
      </c>
    </row>
    <row r="132">
      <c r="A132" s="14" t="n">
        <v>45795</v>
      </c>
      <c r="B132" s="4" t="inlineStr">
        <is>
          <t>SO202510097</t>
        </is>
      </c>
      <c r="C132" s="4" t="inlineStr">
        <is>
          <t>南昌京功商贸有限公司</t>
        </is>
      </c>
      <c r="D132" s="4" t="inlineStr">
        <is>
          <t>川味底料</t>
        </is>
      </c>
      <c r="E132" s="4" t="inlineStr">
        <is>
          <t>A级</t>
        </is>
      </c>
      <c r="F132" s="18" t="n">
        <v>770</v>
      </c>
      <c r="G132" s="15" t="n">
        <v>20.43</v>
      </c>
      <c r="H132" s="15" t="n">
        <v>15731.1</v>
      </c>
      <c r="I132" s="4" t="inlineStr">
        <is>
          <t>上海分部</t>
        </is>
      </c>
      <c r="J132" s="4" t="inlineStr">
        <is>
          <t>李兰秀</t>
        </is>
      </c>
    </row>
    <row r="133">
      <c r="A133" s="14" t="n">
        <v>45797</v>
      </c>
      <c r="B133" s="4" t="inlineStr">
        <is>
          <t>SO202510062</t>
        </is>
      </c>
      <c r="C133" s="4" t="inlineStr">
        <is>
          <t>无锡淼沃餐饮管理有限公司</t>
        </is>
      </c>
      <c r="D133" s="4" t="inlineStr">
        <is>
          <t>团餐</t>
        </is>
      </c>
      <c r="E133" s="4" t="inlineStr">
        <is>
          <t>10kg</t>
        </is>
      </c>
      <c r="F133" s="18" t="n">
        <v>4090</v>
      </c>
      <c r="G133" s="15" t="n">
        <v>59.6</v>
      </c>
      <c r="H133" s="15" t="n">
        <v>243764</v>
      </c>
      <c r="I133" s="4" t="inlineStr">
        <is>
          <t>赣皖区域</t>
        </is>
      </c>
      <c r="J133" s="4" t="inlineStr">
        <is>
          <t>马勇芳</t>
        </is>
      </c>
    </row>
    <row r="134">
      <c r="A134" s="14" t="n">
        <v>45799</v>
      </c>
      <c r="B134" s="4" t="inlineStr">
        <is>
          <t>SO202510296</t>
        </is>
      </c>
      <c r="C134" s="4" t="inlineStr">
        <is>
          <t>合肥百味超市</t>
        </is>
      </c>
      <c r="D134" s="4" t="inlineStr">
        <is>
          <t>预制菜</t>
        </is>
      </c>
      <c r="E134" s="4" t="inlineStr">
        <is>
          <t>简装</t>
        </is>
      </c>
      <c r="F134" s="18" t="n">
        <v>1380</v>
      </c>
      <c r="G134" s="15" t="n">
        <v>81.68000000000001</v>
      </c>
      <c r="H134" s="15" t="n">
        <v>112718.4</v>
      </c>
      <c r="I134" s="4" t="inlineStr">
        <is>
          <t>上海分部</t>
        </is>
      </c>
      <c r="J134" s="4" t="inlineStr">
        <is>
          <t>陈杰秀</t>
        </is>
      </c>
    </row>
    <row r="135">
      <c r="A135" s="14" t="n">
        <v>45800</v>
      </c>
      <c r="B135" s="4" t="inlineStr">
        <is>
          <t>SO202510229</t>
        </is>
      </c>
      <c r="C135" s="4" t="inlineStr">
        <is>
          <t>杭州淼沃食品有限公司</t>
        </is>
      </c>
      <c r="D135" s="4" t="inlineStr">
        <is>
          <t>川味底料</t>
        </is>
      </c>
      <c r="E135" s="4" t="inlineStr">
        <is>
          <t>简装</t>
        </is>
      </c>
      <c r="F135" s="18" t="n">
        <v>1640</v>
      </c>
      <c r="G135" s="15" t="n">
        <v>17.02</v>
      </c>
      <c r="H135" s="15" t="n">
        <v>27912.8</v>
      </c>
      <c r="I135" s="4" t="inlineStr">
        <is>
          <t>上海分部</t>
        </is>
      </c>
      <c r="J135" s="4" t="inlineStr">
        <is>
          <t>陈涛敏</t>
        </is>
      </c>
    </row>
    <row r="136">
      <c r="A136" s="14" t="n">
        <v>45801</v>
      </c>
      <c r="B136" s="4" t="inlineStr">
        <is>
          <t>SO202510313</t>
        </is>
      </c>
      <c r="C136" s="4" t="inlineStr">
        <is>
          <t>杭州食佳酒店管理集团</t>
        </is>
      </c>
      <c r="D136" s="4" t="inlineStr">
        <is>
          <t>酱料</t>
        </is>
      </c>
      <c r="E136" s="4" t="inlineStr">
        <is>
          <t>500g</t>
        </is>
      </c>
      <c r="F136" s="18" t="n">
        <v>2700</v>
      </c>
      <c r="G136" s="15" t="n">
        <v>99.22</v>
      </c>
      <c r="H136" s="15" t="n">
        <v>267894</v>
      </c>
      <c r="I136" s="4" t="inlineStr">
        <is>
          <t>赣皖区域</t>
        </is>
      </c>
      <c r="J136" s="4" t="inlineStr">
        <is>
          <t>王丽英</t>
        </is>
      </c>
    </row>
    <row r="137">
      <c r="A137" s="14" t="n">
        <v>45802</v>
      </c>
      <c r="B137" s="4" t="inlineStr">
        <is>
          <t>SO202510080</t>
        </is>
      </c>
      <c r="C137" s="4" t="inlineStr">
        <is>
          <t>常州百味商贸有限公司</t>
        </is>
      </c>
      <c r="D137" s="4" t="inlineStr">
        <is>
          <t>中式汤底</t>
        </is>
      </c>
      <c r="E137" s="4" t="inlineStr">
        <is>
          <t>5kg</t>
        </is>
      </c>
      <c r="F137" s="18" t="n">
        <v>3540</v>
      </c>
      <c r="G137" s="15" t="n">
        <v>63.71</v>
      </c>
      <c r="H137" s="15" t="n">
        <v>225533.4</v>
      </c>
      <c r="I137" s="4" t="inlineStr">
        <is>
          <t>江苏分部</t>
        </is>
      </c>
      <c r="J137" s="4" t="inlineStr">
        <is>
          <t>郭静娜</t>
        </is>
      </c>
    </row>
    <row r="138">
      <c r="A138" s="14" t="n">
        <v>45803</v>
      </c>
      <c r="B138" s="4" t="inlineStr">
        <is>
          <t>SO202510240</t>
        </is>
      </c>
      <c r="C138" s="4" t="inlineStr">
        <is>
          <t>常州淼沃食品有限公司</t>
        </is>
      </c>
      <c r="D138" s="4" t="inlineStr">
        <is>
          <t>川味底料</t>
        </is>
      </c>
      <c r="E138" s="4" t="inlineStr">
        <is>
          <t>1kg</t>
        </is>
      </c>
      <c r="F138" s="18" t="n">
        <v>810</v>
      </c>
      <c r="G138" s="15" t="n">
        <v>20.85</v>
      </c>
      <c r="H138" s="15" t="n">
        <v>16888.5</v>
      </c>
      <c r="I138" s="4" t="inlineStr">
        <is>
          <t>浙江分部</t>
        </is>
      </c>
      <c r="J138" s="4" t="inlineStr">
        <is>
          <t>高秀伟</t>
        </is>
      </c>
    </row>
    <row r="139">
      <c r="A139" s="14" t="n">
        <v>45804</v>
      </c>
      <c r="B139" s="4" t="inlineStr">
        <is>
          <t>SO202510194</t>
        </is>
      </c>
      <c r="C139" s="4" t="inlineStr">
        <is>
          <t>南昌大匠供应链有限公司</t>
        </is>
      </c>
      <c r="D139" s="4" t="inlineStr">
        <is>
          <t>复合调味粉</t>
        </is>
      </c>
      <c r="E139" s="4" t="inlineStr">
        <is>
          <t>B级</t>
        </is>
      </c>
      <c r="F139" s="18" t="n">
        <v>1470</v>
      </c>
      <c r="G139" s="15" t="n">
        <v>79.29000000000001</v>
      </c>
      <c r="H139" s="15" t="n">
        <v>116556.3</v>
      </c>
      <c r="I139" s="4" t="inlineStr">
        <is>
          <t>江苏分部</t>
        </is>
      </c>
      <c r="J139" s="4" t="inlineStr">
        <is>
          <t>朱勇秀</t>
        </is>
      </c>
    </row>
    <row r="140">
      <c r="A140" s="14" t="n">
        <v>45804</v>
      </c>
      <c r="B140" s="4" t="inlineStr">
        <is>
          <t>SO202510234</t>
        </is>
      </c>
      <c r="C140" s="4" t="inlineStr">
        <is>
          <t>苏州淼沃商贸有限公司</t>
        </is>
      </c>
      <c r="D140" s="4" t="inlineStr">
        <is>
          <t>调味汁</t>
        </is>
      </c>
      <c r="E140" s="4" t="inlineStr">
        <is>
          <t>标准</t>
        </is>
      </c>
      <c r="F140" s="18" t="n">
        <v>3120</v>
      </c>
      <c r="G140" s="15" t="n">
        <v>91.53</v>
      </c>
      <c r="H140" s="15" t="n">
        <v>285573.6</v>
      </c>
      <c r="I140" s="4" t="inlineStr">
        <is>
          <t>赣皖区域</t>
        </is>
      </c>
      <c r="J140" s="4" t="inlineStr">
        <is>
          <t>黄英娜</t>
        </is>
      </c>
    </row>
    <row r="141">
      <c r="A141" s="14" t="n">
        <v>45809</v>
      </c>
      <c r="B141" s="4" t="inlineStr">
        <is>
          <t>SO202510072</t>
        </is>
      </c>
      <c r="C141" s="4" t="inlineStr">
        <is>
          <t>南京京功食品有限公司</t>
        </is>
      </c>
      <c r="D141" s="4" t="inlineStr">
        <is>
          <t>复合调味粉</t>
        </is>
      </c>
      <c r="E141" s="4" t="inlineStr">
        <is>
          <t>25kg</t>
        </is>
      </c>
      <c r="F141" s="18" t="n">
        <v>4740</v>
      </c>
      <c r="G141" s="15" t="n">
        <v>19.43</v>
      </c>
      <c r="H141" s="15" t="n">
        <v>92098.2</v>
      </c>
      <c r="I141" s="4" t="inlineStr">
        <is>
          <t>江苏分部</t>
        </is>
      </c>
      <c r="J141" s="4" t="inlineStr">
        <is>
          <t>李秀敏</t>
        </is>
      </c>
    </row>
    <row r="142">
      <c r="A142" s="14" t="n">
        <v>45809</v>
      </c>
      <c r="B142" s="4" t="inlineStr">
        <is>
          <t>SO202510225</t>
        </is>
      </c>
      <c r="C142" s="4" t="inlineStr">
        <is>
          <t>杭州淼沃酒店管理集团</t>
        </is>
      </c>
      <c r="D142" s="4" t="inlineStr">
        <is>
          <t>川味底料</t>
        </is>
      </c>
      <c r="E142" s="4" t="inlineStr">
        <is>
          <t>10kg</t>
        </is>
      </c>
      <c r="F142" s="18" t="n">
        <v>1660</v>
      </c>
      <c r="G142" s="15" t="n">
        <v>89.91</v>
      </c>
      <c r="H142" s="15" t="n">
        <v>149250.6</v>
      </c>
      <c r="I142" s="4" t="inlineStr">
        <is>
          <t>江苏分部</t>
        </is>
      </c>
      <c r="J142" s="4" t="inlineStr">
        <is>
          <t>马英英</t>
        </is>
      </c>
    </row>
    <row r="143">
      <c r="A143" s="14" t="n">
        <v>45811</v>
      </c>
      <c r="B143" s="4" t="inlineStr">
        <is>
          <t>SO202510036</t>
        </is>
      </c>
      <c r="C143" s="4" t="inlineStr">
        <is>
          <t>镇江京功供应链有限公司</t>
        </is>
      </c>
      <c r="D143" s="4" t="inlineStr">
        <is>
          <t>调味汁</t>
        </is>
      </c>
      <c r="E143" s="4" t="inlineStr">
        <is>
          <t>C级</t>
        </is>
      </c>
      <c r="F143" s="18" t="n">
        <v>2070</v>
      </c>
      <c r="G143" s="15" t="n">
        <v>44.56</v>
      </c>
      <c r="H143" s="15" t="n">
        <v>92239.2</v>
      </c>
      <c r="I143" s="4" t="inlineStr">
        <is>
          <t>赣皖区域</t>
        </is>
      </c>
      <c r="J143" s="4" t="inlineStr">
        <is>
          <t>刘静英</t>
        </is>
      </c>
    </row>
    <row r="144">
      <c r="A144" s="14" t="n">
        <v>45812</v>
      </c>
      <c r="B144" s="4" t="inlineStr">
        <is>
          <t>SO202510302</t>
        </is>
      </c>
      <c r="C144" s="4" t="inlineStr">
        <is>
          <t>杭州淼沃餐饮管理有限公司</t>
        </is>
      </c>
      <c r="D144" s="4" t="inlineStr">
        <is>
          <t>酱料</t>
        </is>
      </c>
      <c r="E144" s="4" t="inlineStr">
        <is>
          <t>A级</t>
        </is>
      </c>
      <c r="F144" s="18" t="n">
        <v>1760</v>
      </c>
      <c r="G144" s="15" t="n">
        <v>71.54000000000001</v>
      </c>
      <c r="H144" s="15" t="n">
        <v>125910.4</v>
      </c>
      <c r="I144" s="4" t="inlineStr">
        <is>
          <t>上海分部</t>
        </is>
      </c>
      <c r="J144" s="4" t="inlineStr">
        <is>
          <t>高秀伟</t>
        </is>
      </c>
    </row>
    <row r="145">
      <c r="A145" s="14" t="n">
        <v>45813</v>
      </c>
      <c r="B145" s="4" t="inlineStr">
        <is>
          <t>SO202510204</t>
        </is>
      </c>
      <c r="C145" s="4" t="inlineStr">
        <is>
          <t>杭州淼沃电商平台</t>
        </is>
      </c>
      <c r="D145" s="4" t="inlineStr">
        <is>
          <t>中式汤底</t>
        </is>
      </c>
      <c r="E145" s="4" t="inlineStr">
        <is>
          <t>1kg</t>
        </is>
      </c>
      <c r="F145" s="18" t="n">
        <v>1250</v>
      </c>
      <c r="G145" s="15" t="n">
        <v>10.23</v>
      </c>
      <c r="H145" s="15" t="n">
        <v>12787.5</v>
      </c>
      <c r="I145" s="4" t="inlineStr">
        <is>
          <t>赣皖区域</t>
        </is>
      </c>
      <c r="J145" s="4" t="inlineStr">
        <is>
          <t>刘兰英</t>
        </is>
      </c>
    </row>
    <row r="146">
      <c r="A146" s="14" t="n">
        <v>45814</v>
      </c>
      <c r="B146" s="4" t="inlineStr">
        <is>
          <t>SO202510158</t>
        </is>
      </c>
      <c r="C146" s="4" t="inlineStr">
        <is>
          <t>温州淼沃餐饮管理有限公司</t>
        </is>
      </c>
      <c r="D146" s="4" t="inlineStr">
        <is>
          <t>川味底料</t>
        </is>
      </c>
      <c r="E146" s="4" t="inlineStr">
        <is>
          <t>1kg</t>
        </is>
      </c>
      <c r="F146" s="18" t="n">
        <v>2370</v>
      </c>
      <c r="G146" s="15" t="n">
        <v>23.71</v>
      </c>
      <c r="H146" s="15" t="n">
        <v>56192.7</v>
      </c>
      <c r="I146" s="4" t="inlineStr">
        <is>
          <t>上海分部</t>
        </is>
      </c>
      <c r="J146" s="4" t="inlineStr">
        <is>
          <t>周涛秀</t>
        </is>
      </c>
    </row>
    <row r="147">
      <c r="A147" s="14" t="n">
        <v>45817</v>
      </c>
      <c r="B147" s="4" t="inlineStr">
        <is>
          <t>SO202510032</t>
        </is>
      </c>
      <c r="C147" s="4" t="inlineStr">
        <is>
          <t>温州百味供应链有限公司</t>
        </is>
      </c>
      <c r="D147" s="4" t="inlineStr">
        <is>
          <t>调味汁</t>
        </is>
      </c>
      <c r="E147" s="4" t="inlineStr">
        <is>
          <t>1kg</t>
        </is>
      </c>
      <c r="F147" s="18" t="n">
        <v>3870</v>
      </c>
      <c r="G147" s="15" t="n">
        <v>40.28</v>
      </c>
      <c r="H147" s="15" t="n">
        <v>155883.6</v>
      </c>
      <c r="I147" s="4" t="inlineStr">
        <is>
          <t>赣皖区域</t>
        </is>
      </c>
      <c r="J147" s="4" t="inlineStr">
        <is>
          <t>杨勇伟</t>
        </is>
      </c>
    </row>
    <row r="148">
      <c r="A148" s="14" t="n">
        <v>45818</v>
      </c>
      <c r="B148" s="4" t="inlineStr">
        <is>
          <t>SO202510021</t>
        </is>
      </c>
      <c r="C148" s="4" t="inlineStr">
        <is>
          <t>南昌优鲜食品有限公司</t>
        </is>
      </c>
      <c r="D148" s="4" t="inlineStr">
        <is>
          <t>复合调味粉</t>
        </is>
      </c>
      <c r="E148" s="4" t="inlineStr">
        <is>
          <t>2.5kg</t>
        </is>
      </c>
      <c r="F148" s="18" t="n">
        <v>2810</v>
      </c>
      <c r="G148" s="15" t="n">
        <v>22.43</v>
      </c>
      <c r="H148" s="15" t="n">
        <v>63028.3</v>
      </c>
      <c r="I148" s="4" t="inlineStr">
        <is>
          <t>江苏分部</t>
        </is>
      </c>
      <c r="J148" s="4" t="inlineStr">
        <is>
          <t>马涛娜</t>
        </is>
      </c>
    </row>
    <row r="149">
      <c r="A149" s="14" t="n">
        <v>45819</v>
      </c>
      <c r="B149" s="4" t="inlineStr">
        <is>
          <t>SO202510113</t>
        </is>
      </c>
      <c r="C149" s="4" t="inlineStr">
        <is>
          <t>无锡百味餐饮管理有限公司</t>
        </is>
      </c>
      <c r="D149" s="4" t="inlineStr">
        <is>
          <t>复合调味粉</t>
        </is>
      </c>
      <c r="E149" s="4" t="inlineStr">
        <is>
          <t>C级</t>
        </is>
      </c>
      <c r="F149" s="18" t="n">
        <v>3520</v>
      </c>
      <c r="G149" s="15" t="n">
        <v>44.95</v>
      </c>
      <c r="H149" s="15" t="n">
        <v>158224</v>
      </c>
      <c r="I149" s="4" t="inlineStr">
        <is>
          <t>赣皖区域</t>
        </is>
      </c>
      <c r="J149" s="4" t="inlineStr">
        <is>
          <t>何超英</t>
        </is>
      </c>
    </row>
    <row r="150">
      <c r="A150" s="14" t="n">
        <v>45819</v>
      </c>
      <c r="B150" s="4" t="inlineStr">
        <is>
          <t>SO202510213</t>
        </is>
      </c>
      <c r="C150" s="4" t="inlineStr">
        <is>
          <t>温州淼沃供应链有限公司</t>
        </is>
      </c>
      <c r="D150" s="4" t="inlineStr">
        <is>
          <t>川味底料</t>
        </is>
      </c>
      <c r="E150" s="4" t="inlineStr">
        <is>
          <t>500g</t>
        </is>
      </c>
      <c r="F150" s="18" t="n">
        <v>1490</v>
      </c>
      <c r="G150" s="15" t="n">
        <v>91.05</v>
      </c>
      <c r="H150" s="15" t="n">
        <v>135664.5</v>
      </c>
      <c r="I150" s="4" t="inlineStr">
        <is>
          <t>江苏分部</t>
        </is>
      </c>
      <c r="J150" s="4" t="inlineStr">
        <is>
          <t>黄秀秀</t>
        </is>
      </c>
    </row>
    <row r="151">
      <c r="A151" s="14" t="n">
        <v>45821</v>
      </c>
      <c r="B151" s="4" t="inlineStr">
        <is>
          <t>SO202510006</t>
        </is>
      </c>
      <c r="C151" s="4" t="inlineStr">
        <is>
          <t>常州优鲜商贸有限公司</t>
        </is>
      </c>
      <c r="D151" s="4" t="inlineStr">
        <is>
          <t>川味底料</t>
        </is>
      </c>
      <c r="E151" s="4" t="inlineStr">
        <is>
          <t>精装</t>
        </is>
      </c>
      <c r="F151" s="18" t="n">
        <v>370</v>
      </c>
      <c r="G151" s="15" t="n">
        <v>10.17</v>
      </c>
      <c r="H151" s="15" t="n">
        <v>3762.9</v>
      </c>
      <c r="I151" s="4" t="inlineStr">
        <is>
          <t>浙江分部</t>
        </is>
      </c>
      <c r="J151" s="4" t="inlineStr">
        <is>
          <t>孙娜芳</t>
        </is>
      </c>
    </row>
    <row r="152">
      <c r="A152" s="14" t="n">
        <v>45822</v>
      </c>
      <c r="B152" s="4" t="inlineStr">
        <is>
          <t>SO202510195</t>
        </is>
      </c>
      <c r="C152" s="4" t="inlineStr">
        <is>
          <t>镇江淼沃商贸有限公司</t>
        </is>
      </c>
      <c r="D152" s="4" t="inlineStr">
        <is>
          <t>复合调味粉</t>
        </is>
      </c>
      <c r="E152" s="4" t="inlineStr">
        <is>
          <t>A级</t>
        </is>
      </c>
      <c r="F152" s="18" t="n">
        <v>4120</v>
      </c>
      <c r="G152" s="15" t="n">
        <v>41.7</v>
      </c>
      <c r="H152" s="15" t="n">
        <v>171804</v>
      </c>
      <c r="I152" s="4" t="inlineStr">
        <is>
          <t>赣皖区域</t>
        </is>
      </c>
      <c r="J152" s="4" t="inlineStr">
        <is>
          <t>黄芳秀</t>
        </is>
      </c>
    </row>
    <row r="153">
      <c r="A153" s="14" t="n">
        <v>45823</v>
      </c>
      <c r="B153" s="4" t="inlineStr">
        <is>
          <t>SO202510261</t>
        </is>
      </c>
      <c r="C153" s="4" t="inlineStr">
        <is>
          <t>宁波大匠酒店管理集团</t>
        </is>
      </c>
      <c r="D153" s="4" t="inlineStr">
        <is>
          <t>酱料</t>
        </is>
      </c>
      <c r="E153" s="4" t="inlineStr">
        <is>
          <t>简装</t>
        </is>
      </c>
      <c r="F153" s="18" t="n">
        <v>2790</v>
      </c>
      <c r="G153" s="15" t="n">
        <v>13.49</v>
      </c>
      <c r="H153" s="15" t="n">
        <v>37637.1</v>
      </c>
      <c r="I153" s="4" t="inlineStr">
        <is>
          <t>赣皖区域</t>
        </is>
      </c>
      <c r="J153" s="4" t="inlineStr">
        <is>
          <t>马娜伟</t>
        </is>
      </c>
    </row>
    <row r="154">
      <c r="A154" s="14" t="n">
        <v>45824</v>
      </c>
      <c r="B154" s="4" t="inlineStr">
        <is>
          <t>SO202510070</t>
        </is>
      </c>
      <c r="C154" s="4" t="inlineStr">
        <is>
          <t>常州大匠酒店管理集团</t>
        </is>
      </c>
      <c r="D154" s="4" t="inlineStr">
        <is>
          <t>中式汤底</t>
        </is>
      </c>
      <c r="E154" s="4" t="inlineStr">
        <is>
          <t>10kg</t>
        </is>
      </c>
      <c r="F154" s="18" t="n">
        <v>4340</v>
      </c>
      <c r="G154" s="15" t="n">
        <v>87.70999999999999</v>
      </c>
      <c r="H154" s="15" t="n">
        <v>380661.4</v>
      </c>
      <c r="I154" s="4" t="inlineStr">
        <is>
          <t>江苏分部</t>
        </is>
      </c>
      <c r="J154" s="4" t="inlineStr">
        <is>
          <t>周英秀</t>
        </is>
      </c>
    </row>
    <row r="155">
      <c r="A155" s="14" t="n">
        <v>45825</v>
      </c>
      <c r="B155" s="4" t="inlineStr">
        <is>
          <t>SO202510191</t>
        </is>
      </c>
      <c r="C155" s="4" t="inlineStr">
        <is>
          <t>宁波大匠食品有限公司</t>
        </is>
      </c>
      <c r="D155" s="4" t="inlineStr">
        <is>
          <t>川味底料</t>
        </is>
      </c>
      <c r="E155" s="4" t="inlineStr">
        <is>
          <t>2.5kg</t>
        </is>
      </c>
      <c r="F155" s="18" t="n">
        <v>4530</v>
      </c>
      <c r="G155" s="15" t="n">
        <v>46.56</v>
      </c>
      <c r="H155" s="15" t="n">
        <v>210916.8</v>
      </c>
      <c r="I155" s="4" t="inlineStr">
        <is>
          <t>浙江分部</t>
        </is>
      </c>
      <c r="J155" s="4" t="inlineStr">
        <is>
          <t>周伟伟</t>
        </is>
      </c>
    </row>
    <row r="156">
      <c r="A156" s="14" t="n">
        <v>45825</v>
      </c>
      <c r="B156" s="4" t="inlineStr">
        <is>
          <t>SO202510211</t>
        </is>
      </c>
      <c r="C156" s="4" t="inlineStr">
        <is>
          <t>杭州大匠食品有限公司</t>
        </is>
      </c>
      <c r="D156" s="4" t="inlineStr">
        <is>
          <t>川味底料</t>
        </is>
      </c>
      <c r="E156" s="4" t="inlineStr">
        <is>
          <t>5kg</t>
        </is>
      </c>
      <c r="F156" s="18" t="n">
        <v>3620</v>
      </c>
      <c r="G156" s="15" t="n">
        <v>59.44</v>
      </c>
      <c r="H156" s="15" t="n">
        <v>215172.8</v>
      </c>
      <c r="I156" s="4" t="inlineStr">
        <is>
          <t>浙江分部</t>
        </is>
      </c>
      <c r="J156" s="4" t="inlineStr">
        <is>
          <t>胡丽敏</t>
        </is>
      </c>
    </row>
    <row r="157">
      <c r="A157" s="14" t="n">
        <v>45826</v>
      </c>
      <c r="B157" s="4" t="inlineStr">
        <is>
          <t>SO202510086</t>
        </is>
      </c>
      <c r="C157" s="4" t="inlineStr">
        <is>
          <t>上海淼沃超市</t>
        </is>
      </c>
      <c r="D157" s="4" t="inlineStr">
        <is>
          <t>调味汁</t>
        </is>
      </c>
      <c r="E157" s="4" t="inlineStr">
        <is>
          <t>5kg</t>
        </is>
      </c>
      <c r="F157" s="18" t="n">
        <v>2460</v>
      </c>
      <c r="G157" s="15" t="n">
        <v>10.8</v>
      </c>
      <c r="H157" s="15" t="n">
        <v>26568</v>
      </c>
      <c r="I157" s="4" t="inlineStr">
        <is>
          <t>江苏分部</t>
        </is>
      </c>
      <c r="J157" s="4" t="inlineStr">
        <is>
          <t>孙兰敏</t>
        </is>
      </c>
    </row>
    <row r="158">
      <c r="A158" s="14" t="n">
        <v>45826</v>
      </c>
      <c r="B158" s="4" t="inlineStr">
        <is>
          <t>SO202510344</t>
        </is>
      </c>
      <c r="C158" s="4" t="inlineStr">
        <is>
          <t>嘉兴京功电商平台</t>
        </is>
      </c>
      <c r="D158" s="4" t="inlineStr">
        <is>
          <t>中式汤底</t>
        </is>
      </c>
      <c r="E158" s="4" t="inlineStr">
        <is>
          <t>2.5kg</t>
        </is>
      </c>
      <c r="F158" s="18" t="n">
        <v>1980</v>
      </c>
      <c r="G158" s="15" t="n">
        <v>75.40000000000001</v>
      </c>
      <c r="H158" s="15" t="n">
        <v>149292</v>
      </c>
      <c r="I158" s="4" t="inlineStr">
        <is>
          <t>江苏分部</t>
        </is>
      </c>
      <c r="J158" s="4" t="inlineStr">
        <is>
          <t>罗磊英</t>
        </is>
      </c>
    </row>
    <row r="159">
      <c r="A159" s="14" t="n">
        <v>45828</v>
      </c>
      <c r="B159" s="4" t="inlineStr">
        <is>
          <t>SO202510196</t>
        </is>
      </c>
      <c r="C159" s="4" t="inlineStr">
        <is>
          <t>上海京功商贸有限公司</t>
        </is>
      </c>
      <c r="D159" s="4" t="inlineStr">
        <is>
          <t>川味底料</t>
        </is>
      </c>
      <c r="E159" s="4" t="inlineStr">
        <is>
          <t>10kg</t>
        </is>
      </c>
      <c r="F159" s="18" t="n">
        <v>2660</v>
      </c>
      <c r="G159" s="15" t="n">
        <v>5.45</v>
      </c>
      <c r="H159" s="15" t="n">
        <v>14497</v>
      </c>
      <c r="I159" s="4" t="inlineStr">
        <is>
          <t>浙江分部</t>
        </is>
      </c>
      <c r="J159" s="4" t="inlineStr">
        <is>
          <t>马芳芳</t>
        </is>
      </c>
    </row>
    <row r="160">
      <c r="A160" s="14" t="n">
        <v>45830</v>
      </c>
      <c r="B160" s="4" t="inlineStr">
        <is>
          <t>SO202510090</t>
        </is>
      </c>
      <c r="C160" s="4" t="inlineStr">
        <is>
          <t>南昌大匠餐饮管理有限公司</t>
        </is>
      </c>
      <c r="D160" s="4" t="inlineStr">
        <is>
          <t>复合调味粉</t>
        </is>
      </c>
      <c r="E160" s="4" t="inlineStr">
        <is>
          <t>2.5kg</t>
        </is>
      </c>
      <c r="F160" s="18" t="n">
        <v>3020</v>
      </c>
      <c r="G160" s="15" t="n">
        <v>57.86</v>
      </c>
      <c r="H160" s="15" t="n">
        <v>174737.2</v>
      </c>
      <c r="I160" s="4" t="inlineStr">
        <is>
          <t>上海分部</t>
        </is>
      </c>
      <c r="J160" s="4" t="inlineStr">
        <is>
          <t>胡秀芳</t>
        </is>
      </c>
    </row>
    <row r="161">
      <c r="A161" s="14" t="n">
        <v>45830</v>
      </c>
      <c r="B161" s="4" t="inlineStr">
        <is>
          <t>SO202510171</t>
        </is>
      </c>
      <c r="C161" s="4" t="inlineStr">
        <is>
          <t>嘉兴淼沃电商平台</t>
        </is>
      </c>
      <c r="D161" s="4" t="inlineStr">
        <is>
          <t>川味底料</t>
        </is>
      </c>
      <c r="E161" s="4" t="inlineStr">
        <is>
          <t>A级</t>
        </is>
      </c>
      <c r="F161" s="18" t="n">
        <v>2900</v>
      </c>
      <c r="G161" s="15" t="n">
        <v>48.67</v>
      </c>
      <c r="H161" s="15" t="n">
        <v>141143</v>
      </c>
      <c r="I161" s="4" t="inlineStr">
        <is>
          <t>江苏分部</t>
        </is>
      </c>
      <c r="J161" s="4" t="inlineStr">
        <is>
          <t>黄兰芳</t>
        </is>
      </c>
    </row>
    <row r="162">
      <c r="A162" s="14" t="n">
        <v>45830</v>
      </c>
      <c r="B162" s="4" t="inlineStr">
        <is>
          <t>SO202510193</t>
        </is>
      </c>
      <c r="C162" s="4" t="inlineStr">
        <is>
          <t>宁波大匠餐饮管理有限公司</t>
        </is>
      </c>
      <c r="D162" s="4" t="inlineStr">
        <is>
          <t>中式汤底</t>
        </is>
      </c>
      <c r="E162" s="4" t="inlineStr">
        <is>
          <t>B级</t>
        </is>
      </c>
      <c r="F162" s="18" t="n">
        <v>3580</v>
      </c>
      <c r="G162" s="15" t="n">
        <v>59.19</v>
      </c>
      <c r="H162" s="15" t="n">
        <v>211900.2</v>
      </c>
      <c r="I162" s="4" t="inlineStr">
        <is>
          <t>浙江分部</t>
        </is>
      </c>
      <c r="J162" s="4" t="inlineStr">
        <is>
          <t>郭兰伟</t>
        </is>
      </c>
    </row>
    <row r="163">
      <c r="A163" s="14" t="n">
        <v>45831</v>
      </c>
      <c r="B163" s="4" t="inlineStr">
        <is>
          <t>SO202510008</t>
        </is>
      </c>
      <c r="C163" s="4" t="inlineStr">
        <is>
          <t>宁波优鲜供应链有限公司</t>
        </is>
      </c>
      <c r="D163" s="4" t="inlineStr">
        <is>
          <t>团餐</t>
        </is>
      </c>
      <c r="E163" s="4" t="inlineStr">
        <is>
          <t>500g</t>
        </is>
      </c>
      <c r="F163" s="18" t="n">
        <v>1150</v>
      </c>
      <c r="G163" s="15" t="n">
        <v>73.59999999999999</v>
      </c>
      <c r="H163" s="15" t="n">
        <v>84640</v>
      </c>
      <c r="I163" s="4" t="inlineStr">
        <is>
          <t>江苏分部</t>
        </is>
      </c>
      <c r="J163" s="4" t="inlineStr">
        <is>
          <t>李兰敏</t>
        </is>
      </c>
    </row>
    <row r="164">
      <c r="A164" s="14" t="n">
        <v>45831</v>
      </c>
      <c r="B164" s="4" t="inlineStr">
        <is>
          <t>SO202510009</t>
        </is>
      </c>
      <c r="C164" s="4" t="inlineStr">
        <is>
          <t>上海京功餐饮管理有限公司</t>
        </is>
      </c>
      <c r="D164" s="4" t="inlineStr">
        <is>
          <t>调味汁</t>
        </is>
      </c>
      <c r="E164" s="4" t="inlineStr">
        <is>
          <t>C级</t>
        </is>
      </c>
      <c r="F164" s="18" t="n">
        <v>4400</v>
      </c>
      <c r="G164" s="15" t="n">
        <v>76.25</v>
      </c>
      <c r="H164" s="15" t="n">
        <v>335500</v>
      </c>
      <c r="I164" s="4" t="inlineStr">
        <is>
          <t>浙江分部</t>
        </is>
      </c>
      <c r="J164" s="4" t="inlineStr">
        <is>
          <t>马杰芳</t>
        </is>
      </c>
    </row>
    <row r="165">
      <c r="A165" s="14" t="n">
        <v>45831</v>
      </c>
      <c r="B165" s="4" t="inlineStr">
        <is>
          <t>SO202510116</t>
        </is>
      </c>
      <c r="C165" s="4" t="inlineStr">
        <is>
          <t>宁波淼沃酒店管理集团</t>
        </is>
      </c>
      <c r="D165" s="4" t="inlineStr">
        <is>
          <t>川味底料</t>
        </is>
      </c>
      <c r="E165" s="4" t="inlineStr">
        <is>
          <t>A级</t>
        </is>
      </c>
      <c r="F165" s="18" t="n">
        <v>4920</v>
      </c>
      <c r="G165" s="15" t="n">
        <v>69.98</v>
      </c>
      <c r="H165" s="15" t="n">
        <v>344301.6</v>
      </c>
      <c r="I165" s="4" t="inlineStr">
        <is>
          <t>上海分部</t>
        </is>
      </c>
      <c r="J165" s="4" t="inlineStr">
        <is>
          <t>孙兰芳</t>
        </is>
      </c>
    </row>
    <row r="166">
      <c r="A166" s="14" t="n">
        <v>45831</v>
      </c>
      <c r="B166" s="4" t="inlineStr">
        <is>
          <t>SO202510200</t>
        </is>
      </c>
      <c r="C166" s="4" t="inlineStr">
        <is>
          <t>温州食佳超市</t>
        </is>
      </c>
      <c r="D166" s="4" t="inlineStr">
        <is>
          <t>川味底料</t>
        </is>
      </c>
      <c r="E166" s="4" t="inlineStr">
        <is>
          <t>精装</t>
        </is>
      </c>
      <c r="F166" s="18" t="n">
        <v>1780</v>
      </c>
      <c r="G166" s="15" t="n">
        <v>63.2</v>
      </c>
      <c r="H166" s="15" t="n">
        <v>112496</v>
      </c>
      <c r="I166" s="4" t="inlineStr">
        <is>
          <t>赣皖区域</t>
        </is>
      </c>
      <c r="J166" s="4" t="inlineStr">
        <is>
          <t>马艳芳</t>
        </is>
      </c>
    </row>
    <row r="167">
      <c r="A167" s="14" t="n">
        <v>45831</v>
      </c>
      <c r="B167" s="4" t="inlineStr">
        <is>
          <t>SO202510201</t>
        </is>
      </c>
      <c r="C167" s="4" t="inlineStr">
        <is>
          <t>南京淼沃商贸有限公司</t>
        </is>
      </c>
      <c r="D167" s="4" t="inlineStr">
        <is>
          <t>预制菜</t>
        </is>
      </c>
      <c r="E167" s="4" t="inlineStr">
        <is>
          <t>精装</t>
        </is>
      </c>
      <c r="F167" s="18" t="n">
        <v>1520</v>
      </c>
      <c r="G167" s="15" t="n">
        <v>10.29</v>
      </c>
      <c r="H167" s="15" t="n">
        <v>15640.8</v>
      </c>
      <c r="I167" s="4" t="inlineStr">
        <is>
          <t>浙江分部</t>
        </is>
      </c>
      <c r="J167" s="4" t="inlineStr">
        <is>
          <t>何明芳</t>
        </is>
      </c>
    </row>
    <row r="168">
      <c r="A168" s="14" t="n">
        <v>45831</v>
      </c>
      <c r="B168" s="4" t="inlineStr">
        <is>
          <t>SO202510233</t>
        </is>
      </c>
      <c r="C168" s="4" t="inlineStr">
        <is>
          <t>南昌优鲜供应链有限公司</t>
        </is>
      </c>
      <c r="D168" s="4" t="inlineStr">
        <is>
          <t>预制菜</t>
        </is>
      </c>
      <c r="E168" s="4" t="inlineStr">
        <is>
          <t>10kg</t>
        </is>
      </c>
      <c r="F168" s="18" t="n">
        <v>3380</v>
      </c>
      <c r="G168" s="15" t="n">
        <v>18.56</v>
      </c>
      <c r="H168" s="15" t="n">
        <v>62732.8</v>
      </c>
      <c r="I168" s="4" t="inlineStr">
        <is>
          <t>江苏分部</t>
        </is>
      </c>
      <c r="J168" s="4" t="inlineStr">
        <is>
          <t>高秀伟</t>
        </is>
      </c>
    </row>
    <row r="169">
      <c r="A169" s="14" t="n">
        <v>45831</v>
      </c>
      <c r="B169" s="4" t="inlineStr">
        <is>
          <t>SO202510246</t>
        </is>
      </c>
      <c r="C169" s="4" t="inlineStr">
        <is>
          <t>杭州百味食品有限公司</t>
        </is>
      </c>
      <c r="D169" s="4" t="inlineStr">
        <is>
          <t>预制菜</t>
        </is>
      </c>
      <c r="E169" s="4" t="inlineStr">
        <is>
          <t>A级</t>
        </is>
      </c>
      <c r="F169" s="18" t="n">
        <v>3350</v>
      </c>
      <c r="G169" s="15" t="n">
        <v>47.27</v>
      </c>
      <c r="H169" s="15" t="n">
        <v>158354.5</v>
      </c>
      <c r="I169" s="4" t="inlineStr">
        <is>
          <t>浙江分部</t>
        </is>
      </c>
      <c r="J169" s="4" t="inlineStr">
        <is>
          <t>杨秀秀</t>
        </is>
      </c>
    </row>
    <row r="170">
      <c r="A170" s="14" t="n">
        <v>45832</v>
      </c>
      <c r="B170" s="4" t="inlineStr">
        <is>
          <t>SO202510107</t>
        </is>
      </c>
      <c r="C170" s="4" t="inlineStr">
        <is>
          <t>宁波食佳商贸有限公司</t>
        </is>
      </c>
      <c r="D170" s="4" t="inlineStr">
        <is>
          <t>团餐</t>
        </is>
      </c>
      <c r="E170" s="4" t="inlineStr">
        <is>
          <t>A级</t>
        </is>
      </c>
      <c r="F170" s="18" t="n">
        <v>490</v>
      </c>
      <c r="G170" s="15" t="n">
        <v>50.26</v>
      </c>
      <c r="H170" s="15" t="n">
        <v>24627.4</v>
      </c>
      <c r="I170" s="4" t="inlineStr">
        <is>
          <t>浙江分部</t>
        </is>
      </c>
      <c r="J170" s="4" t="inlineStr">
        <is>
          <t>朱敏英</t>
        </is>
      </c>
    </row>
    <row r="171">
      <c r="A171" s="14" t="n">
        <v>45833</v>
      </c>
      <c r="B171" s="4" t="inlineStr">
        <is>
          <t>SO202510119</t>
        </is>
      </c>
      <c r="C171" s="4" t="inlineStr">
        <is>
          <t>合肥食佳食品有限公司</t>
        </is>
      </c>
      <c r="D171" s="4" t="inlineStr">
        <is>
          <t>预制菜</t>
        </is>
      </c>
      <c r="E171" s="4" t="inlineStr">
        <is>
          <t>2.5kg</t>
        </is>
      </c>
      <c r="F171" s="18" t="n">
        <v>3500</v>
      </c>
      <c r="G171" s="15" t="n">
        <v>12.65</v>
      </c>
      <c r="H171" s="15" t="n">
        <v>44275</v>
      </c>
      <c r="I171" s="4" t="inlineStr">
        <is>
          <t>赣皖区域</t>
        </is>
      </c>
      <c r="J171" s="4" t="inlineStr">
        <is>
          <t>高勇英</t>
        </is>
      </c>
    </row>
    <row r="172">
      <c r="A172" s="14" t="n">
        <v>45833</v>
      </c>
      <c r="B172" s="4" t="inlineStr">
        <is>
          <t>SO202510329</t>
        </is>
      </c>
      <c r="C172" s="4" t="inlineStr">
        <is>
          <t>宁波百味餐饮管理有限公司</t>
        </is>
      </c>
      <c r="D172" s="4" t="inlineStr">
        <is>
          <t>调味汁</t>
        </is>
      </c>
      <c r="E172" s="4" t="inlineStr">
        <is>
          <t>500g</t>
        </is>
      </c>
      <c r="F172" s="18" t="n">
        <v>4180</v>
      </c>
      <c r="G172" s="15" t="n">
        <v>26.58</v>
      </c>
      <c r="H172" s="15" t="n">
        <v>111104.4</v>
      </c>
      <c r="I172" s="4" t="inlineStr">
        <is>
          <t>浙江分部</t>
        </is>
      </c>
      <c r="J172" s="4" t="inlineStr">
        <is>
          <t>高磊娜</t>
        </is>
      </c>
    </row>
    <row r="173">
      <c r="A173" s="14" t="n">
        <v>45835</v>
      </c>
      <c r="B173" s="4" t="inlineStr">
        <is>
          <t>SO202510222</t>
        </is>
      </c>
      <c r="C173" s="4" t="inlineStr">
        <is>
          <t>杭州百味超市</t>
        </is>
      </c>
      <c r="D173" s="4" t="inlineStr">
        <is>
          <t>酱料</t>
        </is>
      </c>
      <c r="E173" s="4" t="inlineStr">
        <is>
          <t>5kg</t>
        </is>
      </c>
      <c r="F173" s="18" t="n">
        <v>1060</v>
      </c>
      <c r="G173" s="15" t="n">
        <v>47.06</v>
      </c>
      <c r="H173" s="15" t="n">
        <v>49883.6</v>
      </c>
      <c r="I173" s="4" t="inlineStr">
        <is>
          <t>赣皖区域</t>
        </is>
      </c>
      <c r="J173" s="4" t="inlineStr">
        <is>
          <t>胡伟芳</t>
        </is>
      </c>
    </row>
    <row r="174">
      <c r="A174" s="14" t="n">
        <v>45839</v>
      </c>
      <c r="B174" s="4" t="inlineStr">
        <is>
          <t>SO202510047</t>
        </is>
      </c>
      <c r="C174" s="4" t="inlineStr">
        <is>
          <t>南京百味电商平台</t>
        </is>
      </c>
      <c r="D174" s="4" t="inlineStr">
        <is>
          <t>复合调味粉</t>
        </is>
      </c>
      <c r="E174" s="4" t="inlineStr">
        <is>
          <t>5kg</t>
        </is>
      </c>
      <c r="F174" s="18" t="n">
        <v>3820</v>
      </c>
      <c r="G174" s="15" t="n">
        <v>29.3</v>
      </c>
      <c r="H174" s="15" t="n">
        <v>111926</v>
      </c>
      <c r="I174" s="4" t="inlineStr">
        <is>
          <t>赣皖区域</t>
        </is>
      </c>
      <c r="J174" s="4" t="inlineStr">
        <is>
          <t>胡秀娜</t>
        </is>
      </c>
    </row>
    <row r="175">
      <c r="A175" s="14" t="n">
        <v>45839</v>
      </c>
      <c r="B175" s="4" t="inlineStr">
        <is>
          <t>SO202510052</t>
        </is>
      </c>
      <c r="C175" s="4" t="inlineStr">
        <is>
          <t>南昌大匠超市</t>
        </is>
      </c>
      <c r="D175" s="4" t="inlineStr">
        <is>
          <t>酱料</t>
        </is>
      </c>
      <c r="E175" s="4" t="inlineStr">
        <is>
          <t>精装</t>
        </is>
      </c>
      <c r="F175" s="18" t="n">
        <v>860</v>
      </c>
      <c r="G175" s="15" t="n">
        <v>44.1</v>
      </c>
      <c r="H175" s="15" t="n">
        <v>37926</v>
      </c>
      <c r="I175" s="4" t="inlineStr">
        <is>
          <t>赣皖区域</t>
        </is>
      </c>
      <c r="J175" s="4" t="inlineStr">
        <is>
          <t>李超伟</t>
        </is>
      </c>
    </row>
    <row r="176">
      <c r="A176" s="14" t="n">
        <v>45841</v>
      </c>
      <c r="B176" s="4" t="inlineStr">
        <is>
          <t>SO202510038</t>
        </is>
      </c>
      <c r="C176" s="4" t="inlineStr">
        <is>
          <t>常州食佳超市</t>
        </is>
      </c>
      <c r="D176" s="4" t="inlineStr">
        <is>
          <t>川味底料</t>
        </is>
      </c>
      <c r="E176" s="4" t="inlineStr">
        <is>
          <t>C级</t>
        </is>
      </c>
      <c r="F176" s="18" t="n">
        <v>720</v>
      </c>
      <c r="G176" s="15" t="n">
        <v>48.68</v>
      </c>
      <c r="H176" s="15" t="n">
        <v>35049.6</v>
      </c>
      <c r="I176" s="4" t="inlineStr">
        <is>
          <t>江苏分部</t>
        </is>
      </c>
      <c r="J176" s="4" t="inlineStr">
        <is>
          <t>吴磊娜</t>
        </is>
      </c>
    </row>
    <row r="177">
      <c r="A177" s="14" t="n">
        <v>45841</v>
      </c>
      <c r="B177" s="4" t="inlineStr">
        <is>
          <t>SO202510160</t>
        </is>
      </c>
      <c r="C177" s="4" t="inlineStr">
        <is>
          <t>温州百味供应链有限公司</t>
        </is>
      </c>
      <c r="D177" s="4" t="inlineStr">
        <is>
          <t>酱料</t>
        </is>
      </c>
      <c r="E177" s="4" t="inlineStr">
        <is>
          <t>C级</t>
        </is>
      </c>
      <c r="F177" s="18" t="n">
        <v>4640</v>
      </c>
      <c r="G177" s="15" t="n">
        <v>62.45</v>
      </c>
      <c r="H177" s="15" t="n">
        <v>289768</v>
      </c>
      <c r="I177" s="4" t="inlineStr">
        <is>
          <t>赣皖区域</t>
        </is>
      </c>
      <c r="J177" s="4" t="inlineStr">
        <is>
          <t>陈超娜</t>
        </is>
      </c>
    </row>
    <row r="178">
      <c r="A178" s="14" t="n">
        <v>45841</v>
      </c>
      <c r="B178" s="4" t="inlineStr">
        <is>
          <t>SO202510339</t>
        </is>
      </c>
      <c r="C178" s="4" t="inlineStr">
        <is>
          <t>上海大匠食品有限公司</t>
        </is>
      </c>
      <c r="D178" s="4" t="inlineStr">
        <is>
          <t>酱料</t>
        </is>
      </c>
      <c r="E178" s="4" t="inlineStr">
        <is>
          <t>精装</t>
        </is>
      </c>
      <c r="F178" s="18" t="n">
        <v>910</v>
      </c>
      <c r="G178" s="15" t="n">
        <v>13.79</v>
      </c>
      <c r="H178" s="15" t="n">
        <v>12548.9</v>
      </c>
      <c r="I178" s="4" t="inlineStr">
        <is>
          <t>上海分部</t>
        </is>
      </c>
      <c r="J178" s="4" t="inlineStr">
        <is>
          <t>高艳敏</t>
        </is>
      </c>
    </row>
    <row r="179">
      <c r="A179" s="14" t="n">
        <v>45842</v>
      </c>
      <c r="B179" s="4" t="inlineStr">
        <is>
          <t>SO202510133</t>
        </is>
      </c>
      <c r="C179" s="4" t="inlineStr">
        <is>
          <t>上海京功酒店管理集团</t>
        </is>
      </c>
      <c r="D179" s="4" t="inlineStr">
        <is>
          <t>团餐</t>
        </is>
      </c>
      <c r="E179" s="4" t="inlineStr">
        <is>
          <t>1kg</t>
        </is>
      </c>
      <c r="F179" s="18" t="n">
        <v>3270</v>
      </c>
      <c r="G179" s="15" t="n">
        <v>86.34</v>
      </c>
      <c r="H179" s="15" t="n">
        <v>282331.8</v>
      </c>
      <c r="I179" s="4" t="inlineStr">
        <is>
          <t>浙江分部</t>
        </is>
      </c>
      <c r="J179" s="4" t="inlineStr">
        <is>
          <t>张涛英</t>
        </is>
      </c>
    </row>
    <row r="180">
      <c r="A180" s="14" t="n">
        <v>45844</v>
      </c>
      <c r="B180" s="4" t="inlineStr">
        <is>
          <t>SO202510101</t>
        </is>
      </c>
      <c r="C180" s="4" t="inlineStr">
        <is>
          <t>杭州京功餐饮管理有限公司</t>
        </is>
      </c>
      <c r="D180" s="4" t="inlineStr">
        <is>
          <t>酱料</t>
        </is>
      </c>
      <c r="E180" s="4" t="inlineStr">
        <is>
          <t>特级</t>
        </is>
      </c>
      <c r="F180" s="18" t="n">
        <v>3540</v>
      </c>
      <c r="G180" s="15" t="n">
        <v>7.15</v>
      </c>
      <c r="H180" s="15" t="n">
        <v>25311</v>
      </c>
      <c r="I180" s="4" t="inlineStr">
        <is>
          <t>上海分部</t>
        </is>
      </c>
      <c r="J180" s="4" t="inlineStr">
        <is>
          <t>胡英芳</t>
        </is>
      </c>
    </row>
    <row r="181">
      <c r="A181" s="14" t="n">
        <v>45844</v>
      </c>
      <c r="B181" s="4" t="inlineStr">
        <is>
          <t>SO202510299</t>
        </is>
      </c>
      <c r="C181" s="4" t="inlineStr">
        <is>
          <t>杭州大匠食品有限公司</t>
        </is>
      </c>
      <c r="D181" s="4" t="inlineStr">
        <is>
          <t>调味汁</t>
        </is>
      </c>
      <c r="E181" s="4" t="inlineStr">
        <is>
          <t>标准</t>
        </is>
      </c>
      <c r="F181" s="18" t="n">
        <v>3140</v>
      </c>
      <c r="G181" s="15" t="n">
        <v>99.19</v>
      </c>
      <c r="H181" s="15" t="n">
        <v>311456.6</v>
      </c>
      <c r="I181" s="4" t="inlineStr">
        <is>
          <t>上海分部</t>
        </is>
      </c>
      <c r="J181" s="4" t="inlineStr">
        <is>
          <t>陈艳敏</t>
        </is>
      </c>
    </row>
    <row r="182">
      <c r="A182" s="14" t="n">
        <v>45845</v>
      </c>
      <c r="B182" s="4" t="inlineStr">
        <is>
          <t>SO202510030</t>
        </is>
      </c>
      <c r="C182" s="4" t="inlineStr">
        <is>
          <t>宁波食佳商贸有限公司</t>
        </is>
      </c>
      <c r="D182" s="4" t="inlineStr">
        <is>
          <t>中式汤底</t>
        </is>
      </c>
      <c r="E182" s="4" t="inlineStr">
        <is>
          <t>A级</t>
        </is>
      </c>
      <c r="F182" s="18" t="n">
        <v>1040</v>
      </c>
      <c r="G182" s="15" t="n">
        <v>80.34</v>
      </c>
      <c r="H182" s="15" t="n">
        <v>83553.60000000001</v>
      </c>
      <c r="I182" s="4" t="inlineStr">
        <is>
          <t>江苏分部</t>
        </is>
      </c>
      <c r="J182" s="4" t="inlineStr">
        <is>
          <t>黄芳伟</t>
        </is>
      </c>
    </row>
    <row r="183">
      <c r="A183" s="14" t="n">
        <v>45846</v>
      </c>
      <c r="B183" s="4" t="inlineStr">
        <is>
          <t>SO202510053</t>
        </is>
      </c>
      <c r="C183" s="4" t="inlineStr">
        <is>
          <t>苏州食佳食品有限公司</t>
        </is>
      </c>
      <c r="D183" s="4" t="inlineStr">
        <is>
          <t>中式汤底</t>
        </is>
      </c>
      <c r="E183" s="4" t="inlineStr">
        <is>
          <t>精装</t>
        </is>
      </c>
      <c r="F183" s="18" t="n">
        <v>3510</v>
      </c>
      <c r="G183" s="15" t="n">
        <v>84.06</v>
      </c>
      <c r="H183" s="15" t="n">
        <v>295050.6</v>
      </c>
      <c r="I183" s="4" t="inlineStr">
        <is>
          <t>上海分部</t>
        </is>
      </c>
      <c r="J183" s="4" t="inlineStr">
        <is>
          <t>罗艳敏</t>
        </is>
      </c>
    </row>
    <row r="184">
      <c r="A184" s="14" t="n">
        <v>45847</v>
      </c>
      <c r="B184" s="4" t="inlineStr">
        <is>
          <t>SO202510106</t>
        </is>
      </c>
      <c r="C184" s="4" t="inlineStr">
        <is>
          <t>嘉兴优鲜供应链有限公司</t>
        </is>
      </c>
      <c r="D184" s="4" t="inlineStr">
        <is>
          <t>复合调味粉</t>
        </is>
      </c>
      <c r="E184" s="4" t="inlineStr">
        <is>
          <t>A级</t>
        </is>
      </c>
      <c r="F184" s="18" t="n">
        <v>2380</v>
      </c>
      <c r="G184" s="15" t="n">
        <v>2.92</v>
      </c>
      <c r="H184" s="15" t="n">
        <v>6949.6</v>
      </c>
      <c r="I184" s="4" t="inlineStr">
        <is>
          <t>江苏分部</t>
        </is>
      </c>
      <c r="J184" s="4" t="inlineStr">
        <is>
          <t>吴洋英</t>
        </is>
      </c>
    </row>
    <row r="185">
      <c r="A185" s="14" t="n">
        <v>45848</v>
      </c>
      <c r="B185" s="4" t="inlineStr">
        <is>
          <t>SO202510002</t>
        </is>
      </c>
      <c r="C185" s="4" t="inlineStr">
        <is>
          <t>宁波百味电商平台</t>
        </is>
      </c>
      <c r="D185" s="4" t="inlineStr">
        <is>
          <t>中式汤底</t>
        </is>
      </c>
      <c r="E185" s="4" t="inlineStr">
        <is>
          <t>2.5kg</t>
        </is>
      </c>
      <c r="F185" s="18" t="n">
        <v>4330</v>
      </c>
      <c r="G185" s="15" t="n">
        <v>19.92</v>
      </c>
      <c r="H185" s="15" t="n">
        <v>86253.60000000001</v>
      </c>
      <c r="I185" s="4" t="inlineStr">
        <is>
          <t>上海分部</t>
        </is>
      </c>
      <c r="J185" s="4" t="inlineStr">
        <is>
          <t>周伟敏</t>
        </is>
      </c>
    </row>
    <row r="186">
      <c r="A186" s="14" t="n">
        <v>45848</v>
      </c>
      <c r="B186" s="4" t="inlineStr">
        <is>
          <t>SO202510023</t>
        </is>
      </c>
      <c r="C186" s="4" t="inlineStr">
        <is>
          <t>嘉兴优鲜供应链有限公司</t>
        </is>
      </c>
      <c r="D186" s="4" t="inlineStr">
        <is>
          <t>川味底料</t>
        </is>
      </c>
      <c r="E186" s="4" t="inlineStr">
        <is>
          <t>特级</t>
        </is>
      </c>
      <c r="F186" s="18" t="n">
        <v>2210</v>
      </c>
      <c r="G186" s="15" t="n">
        <v>6.93</v>
      </c>
      <c r="H186" s="15" t="n">
        <v>15315.3</v>
      </c>
      <c r="I186" s="4" t="inlineStr">
        <is>
          <t>江苏分部</t>
        </is>
      </c>
      <c r="J186" s="4" t="inlineStr">
        <is>
          <t>马静娜</t>
        </is>
      </c>
    </row>
    <row r="187">
      <c r="A187" s="14" t="n">
        <v>45848</v>
      </c>
      <c r="B187" s="4" t="inlineStr">
        <is>
          <t>SO202510069</t>
        </is>
      </c>
      <c r="C187" s="4" t="inlineStr">
        <is>
          <t>温州食佳酒店管理集团</t>
        </is>
      </c>
      <c r="D187" s="4" t="inlineStr">
        <is>
          <t>调味汁</t>
        </is>
      </c>
      <c r="E187" s="4" t="inlineStr">
        <is>
          <t>标准</t>
        </is>
      </c>
      <c r="F187" s="18" t="n">
        <v>1070</v>
      </c>
      <c r="G187" s="15" t="n">
        <v>82.41</v>
      </c>
      <c r="H187" s="15" t="n">
        <v>88178.7</v>
      </c>
      <c r="I187" s="4" t="inlineStr">
        <is>
          <t>上海分部</t>
        </is>
      </c>
      <c r="J187" s="4" t="inlineStr">
        <is>
          <t>胡伟伟</t>
        </is>
      </c>
    </row>
    <row r="188">
      <c r="A188" s="14" t="n">
        <v>45849</v>
      </c>
      <c r="B188" s="4" t="inlineStr">
        <is>
          <t>SO202510025</t>
        </is>
      </c>
      <c r="C188" s="4" t="inlineStr">
        <is>
          <t>南昌百味酒店管理集团</t>
        </is>
      </c>
      <c r="D188" s="4" t="inlineStr">
        <is>
          <t>预制菜</t>
        </is>
      </c>
      <c r="E188" s="4" t="inlineStr">
        <is>
          <t>5kg</t>
        </is>
      </c>
      <c r="F188" s="18" t="n">
        <v>4050</v>
      </c>
      <c r="G188" s="15" t="n">
        <v>23.36</v>
      </c>
      <c r="H188" s="15" t="n">
        <v>94608</v>
      </c>
      <c r="I188" s="4" t="inlineStr">
        <is>
          <t>浙江分部</t>
        </is>
      </c>
      <c r="J188" s="4" t="inlineStr">
        <is>
          <t>林丽伟</t>
        </is>
      </c>
    </row>
    <row r="189">
      <c r="A189" s="14" t="n">
        <v>45851</v>
      </c>
      <c r="B189" s="4" t="inlineStr">
        <is>
          <t>SO202510022</t>
        </is>
      </c>
      <c r="C189" s="4" t="inlineStr">
        <is>
          <t>南昌京功超市</t>
        </is>
      </c>
      <c r="D189" s="4" t="inlineStr">
        <is>
          <t>复合调味粉</t>
        </is>
      </c>
      <c r="E189" s="4" t="inlineStr">
        <is>
          <t>B级</t>
        </is>
      </c>
      <c r="F189" s="18" t="n">
        <v>2640</v>
      </c>
      <c r="G189" s="15" t="n">
        <v>73.01000000000001</v>
      </c>
      <c r="H189" s="15" t="n">
        <v>192746.4</v>
      </c>
      <c r="I189" s="4" t="inlineStr">
        <is>
          <t>江苏分部</t>
        </is>
      </c>
      <c r="J189" s="4" t="inlineStr">
        <is>
          <t>何洋秀</t>
        </is>
      </c>
    </row>
    <row r="190">
      <c r="A190" s="14" t="n">
        <v>45852</v>
      </c>
      <c r="B190" s="4" t="inlineStr">
        <is>
          <t>SO202510258</t>
        </is>
      </c>
      <c r="C190" s="4" t="inlineStr">
        <is>
          <t>镇江淼沃餐饮管理有限公司</t>
        </is>
      </c>
      <c r="D190" s="4" t="inlineStr">
        <is>
          <t>预制菜</t>
        </is>
      </c>
      <c r="E190" s="4" t="inlineStr">
        <is>
          <t>特级</t>
        </is>
      </c>
      <c r="F190" s="18" t="n">
        <v>1410</v>
      </c>
      <c r="G190" s="15" t="n">
        <v>52.93</v>
      </c>
      <c r="H190" s="15" t="n">
        <v>74631.3</v>
      </c>
      <c r="I190" s="4" t="inlineStr">
        <is>
          <t>赣皖区域</t>
        </is>
      </c>
      <c r="J190" s="4" t="inlineStr">
        <is>
          <t>周秀秀</t>
        </is>
      </c>
    </row>
    <row r="191">
      <c r="A191" s="14" t="n">
        <v>45854</v>
      </c>
      <c r="B191" s="4" t="inlineStr">
        <is>
          <t>SO202510256</t>
        </is>
      </c>
      <c r="C191" s="4" t="inlineStr">
        <is>
          <t>温州百味酒店管理集团</t>
        </is>
      </c>
      <c r="D191" s="4" t="inlineStr">
        <is>
          <t>复合调味粉</t>
        </is>
      </c>
      <c r="E191" s="4" t="inlineStr">
        <is>
          <t>5kg</t>
        </is>
      </c>
      <c r="F191" s="18" t="n">
        <v>2880</v>
      </c>
      <c r="G191" s="15" t="n">
        <v>91.12</v>
      </c>
      <c r="H191" s="15" t="n">
        <v>262425.6</v>
      </c>
      <c r="I191" s="4" t="inlineStr">
        <is>
          <t>浙江分部</t>
        </is>
      </c>
      <c r="J191" s="4" t="inlineStr">
        <is>
          <t>杨艳英</t>
        </is>
      </c>
    </row>
    <row r="192">
      <c r="A192" s="14" t="n">
        <v>45855</v>
      </c>
      <c r="B192" s="4" t="inlineStr">
        <is>
          <t>SO202510016</t>
        </is>
      </c>
      <c r="C192" s="4" t="inlineStr">
        <is>
          <t>上海食佳食品有限公司</t>
        </is>
      </c>
      <c r="D192" s="4" t="inlineStr">
        <is>
          <t>调味汁</t>
        </is>
      </c>
      <c r="E192" s="4" t="inlineStr">
        <is>
          <t>A级</t>
        </is>
      </c>
      <c r="F192" s="18" t="n">
        <v>3630</v>
      </c>
      <c r="G192" s="15" t="n">
        <v>54.73</v>
      </c>
      <c r="H192" s="15" t="n">
        <v>198669.9</v>
      </c>
      <c r="I192" s="4" t="inlineStr">
        <is>
          <t>上海分部</t>
        </is>
      </c>
      <c r="J192" s="4" t="inlineStr">
        <is>
          <t>孙杰英</t>
        </is>
      </c>
    </row>
    <row r="193">
      <c r="A193" s="14" t="n">
        <v>45856</v>
      </c>
      <c r="B193" s="4" t="inlineStr">
        <is>
          <t>SO202510044</t>
        </is>
      </c>
      <c r="C193" s="4" t="inlineStr">
        <is>
          <t>宁波京功食品有限公司</t>
        </is>
      </c>
      <c r="D193" s="4" t="inlineStr">
        <is>
          <t>复合调味粉</t>
        </is>
      </c>
      <c r="E193" s="4" t="inlineStr">
        <is>
          <t>标准</t>
        </is>
      </c>
      <c r="F193" s="18" t="n">
        <v>3430</v>
      </c>
      <c r="G193" s="15" t="n">
        <v>78.26000000000001</v>
      </c>
      <c r="H193" s="15" t="n">
        <v>268431.8</v>
      </c>
      <c r="I193" s="4" t="inlineStr">
        <is>
          <t>江苏分部</t>
        </is>
      </c>
      <c r="J193" s="4" t="inlineStr">
        <is>
          <t>黄强伟</t>
        </is>
      </c>
    </row>
    <row r="194">
      <c r="A194" s="14" t="n">
        <v>45856</v>
      </c>
      <c r="B194" s="4" t="inlineStr">
        <is>
          <t>SO202510143</t>
        </is>
      </c>
      <c r="C194" s="4" t="inlineStr">
        <is>
          <t>南京优鲜超市</t>
        </is>
      </c>
      <c r="D194" s="4" t="inlineStr">
        <is>
          <t>团餐</t>
        </is>
      </c>
      <c r="E194" s="4" t="inlineStr">
        <is>
          <t>2.5kg</t>
        </is>
      </c>
      <c r="F194" s="18" t="n">
        <v>1810</v>
      </c>
      <c r="G194" s="15" t="n">
        <v>26.71</v>
      </c>
      <c r="H194" s="15" t="n">
        <v>48345.1</v>
      </c>
      <c r="I194" s="4" t="inlineStr">
        <is>
          <t>上海分部</t>
        </is>
      </c>
      <c r="J194" s="4" t="inlineStr">
        <is>
          <t>孙洋娜</t>
        </is>
      </c>
    </row>
    <row r="195">
      <c r="A195" s="14" t="n">
        <v>45856</v>
      </c>
      <c r="B195" s="4" t="inlineStr">
        <is>
          <t>SO202510177</t>
        </is>
      </c>
      <c r="C195" s="4" t="inlineStr">
        <is>
          <t>合肥京功电商平台</t>
        </is>
      </c>
      <c r="D195" s="4" t="inlineStr">
        <is>
          <t>中式汤底</t>
        </is>
      </c>
      <c r="E195" s="4" t="inlineStr">
        <is>
          <t>500g</t>
        </is>
      </c>
      <c r="F195" s="18" t="n">
        <v>3810</v>
      </c>
      <c r="G195" s="15" t="n">
        <v>68.42</v>
      </c>
      <c r="H195" s="15" t="n">
        <v>260680.2</v>
      </c>
      <c r="I195" s="4" t="inlineStr">
        <is>
          <t>江苏分部</t>
        </is>
      </c>
      <c r="J195" s="4" t="inlineStr">
        <is>
          <t>郭洋娜</t>
        </is>
      </c>
    </row>
    <row r="196">
      <c r="A196" s="14" t="n">
        <v>45857</v>
      </c>
      <c r="B196" s="4" t="inlineStr">
        <is>
          <t>SO202510134</t>
        </is>
      </c>
      <c r="C196" s="4" t="inlineStr">
        <is>
          <t>镇江食佳酒店管理集团</t>
        </is>
      </c>
      <c r="D196" s="4" t="inlineStr">
        <is>
          <t>酱料</t>
        </is>
      </c>
      <c r="E196" s="4" t="inlineStr">
        <is>
          <t>特级</t>
        </is>
      </c>
      <c r="F196" s="18" t="n">
        <v>770</v>
      </c>
      <c r="G196" s="15" t="n">
        <v>21.1</v>
      </c>
      <c r="H196" s="15" t="n">
        <v>16247</v>
      </c>
      <c r="I196" s="4" t="inlineStr">
        <is>
          <t>浙江分部</t>
        </is>
      </c>
      <c r="J196" s="4" t="inlineStr">
        <is>
          <t>徐磊伟</t>
        </is>
      </c>
    </row>
    <row r="197">
      <c r="A197" s="14" t="n">
        <v>45857</v>
      </c>
      <c r="B197" s="4" t="inlineStr">
        <is>
          <t>SO202510135</t>
        </is>
      </c>
      <c r="C197" s="4" t="inlineStr">
        <is>
          <t>温州淼沃超市</t>
        </is>
      </c>
      <c r="D197" s="4" t="inlineStr">
        <is>
          <t>复合调味粉</t>
        </is>
      </c>
      <c r="E197" s="4" t="inlineStr">
        <is>
          <t>B级</t>
        </is>
      </c>
      <c r="F197" s="18" t="n">
        <v>3100</v>
      </c>
      <c r="G197" s="15" t="n">
        <v>35.66</v>
      </c>
      <c r="H197" s="15" t="n">
        <v>110546</v>
      </c>
      <c r="I197" s="4" t="inlineStr">
        <is>
          <t>浙江分部</t>
        </is>
      </c>
      <c r="J197" s="4" t="inlineStr">
        <is>
          <t>王敏芳</t>
        </is>
      </c>
    </row>
    <row r="198">
      <c r="A198" s="14" t="n">
        <v>45859</v>
      </c>
      <c r="B198" s="4" t="inlineStr">
        <is>
          <t>SO202510148</t>
        </is>
      </c>
      <c r="C198" s="4" t="inlineStr">
        <is>
          <t>苏州淼沃超市</t>
        </is>
      </c>
      <c r="D198" s="4" t="inlineStr">
        <is>
          <t>调味汁</t>
        </is>
      </c>
      <c r="E198" s="4" t="inlineStr">
        <is>
          <t>A级</t>
        </is>
      </c>
      <c r="F198" s="18" t="n">
        <v>130</v>
      </c>
      <c r="G198" s="15" t="n">
        <v>91.97</v>
      </c>
      <c r="H198" s="15" t="n">
        <v>11956.1</v>
      </c>
      <c r="I198" s="4" t="inlineStr">
        <is>
          <t>浙江分部</t>
        </is>
      </c>
      <c r="J198" s="4" t="inlineStr">
        <is>
          <t>赵敏伟</t>
        </is>
      </c>
    </row>
    <row r="199">
      <c r="A199" s="14" t="n">
        <v>45861</v>
      </c>
      <c r="B199" s="4" t="inlineStr">
        <is>
          <t>SO202510104</t>
        </is>
      </c>
      <c r="C199" s="4" t="inlineStr">
        <is>
          <t>合肥百味供应链有限公司</t>
        </is>
      </c>
      <c r="D199" s="4" t="inlineStr">
        <is>
          <t>调味汁</t>
        </is>
      </c>
      <c r="E199" s="4" t="inlineStr">
        <is>
          <t>5kg</t>
        </is>
      </c>
      <c r="F199" s="18" t="n">
        <v>1140</v>
      </c>
      <c r="G199" s="15" t="n">
        <v>14.59</v>
      </c>
      <c r="H199" s="15" t="n">
        <v>16632.6</v>
      </c>
      <c r="I199" s="4" t="inlineStr">
        <is>
          <t>上海分部</t>
        </is>
      </c>
      <c r="J199" s="4" t="inlineStr">
        <is>
          <t>何涛敏</t>
        </is>
      </c>
    </row>
    <row r="200">
      <c r="A200" s="14" t="n">
        <v>45862</v>
      </c>
      <c r="B200" s="4" t="inlineStr">
        <is>
          <t>SO202510089</t>
        </is>
      </c>
      <c r="C200" s="4" t="inlineStr">
        <is>
          <t>上海优鲜供应链有限公司</t>
        </is>
      </c>
      <c r="D200" s="4" t="inlineStr">
        <is>
          <t>中式汤底</t>
        </is>
      </c>
      <c r="E200" s="4" t="inlineStr">
        <is>
          <t>C级</t>
        </is>
      </c>
      <c r="F200" s="18" t="n">
        <v>1110</v>
      </c>
      <c r="G200" s="15" t="n">
        <v>16.71</v>
      </c>
      <c r="H200" s="15" t="n">
        <v>18548.1</v>
      </c>
      <c r="I200" s="4" t="inlineStr">
        <is>
          <t>上海分部</t>
        </is>
      </c>
      <c r="J200" s="4" t="inlineStr">
        <is>
          <t>李超伟</t>
        </is>
      </c>
    </row>
    <row r="201">
      <c r="A201" s="14" t="n">
        <v>45864</v>
      </c>
      <c r="B201" s="4" t="inlineStr">
        <is>
          <t>SO202510054</t>
        </is>
      </c>
      <c r="C201" s="4" t="inlineStr">
        <is>
          <t>合肥百味食品有限公司</t>
        </is>
      </c>
      <c r="D201" s="4" t="inlineStr">
        <is>
          <t>中式汤底</t>
        </is>
      </c>
      <c r="E201" s="4" t="inlineStr">
        <is>
          <t>标准</t>
        </is>
      </c>
      <c r="F201" s="18" t="n">
        <v>850</v>
      </c>
      <c r="G201" s="15" t="n">
        <v>33.91</v>
      </c>
      <c r="H201" s="15" t="n">
        <v>28823.5</v>
      </c>
      <c r="I201" s="4" t="inlineStr">
        <is>
          <t>赣皖区域</t>
        </is>
      </c>
      <c r="J201" s="4" t="inlineStr">
        <is>
          <t>吴伟伟</t>
        </is>
      </c>
    </row>
    <row r="202">
      <c r="A202" s="14" t="n">
        <v>45864</v>
      </c>
      <c r="B202" s="4" t="inlineStr">
        <is>
          <t>SO202510138</t>
        </is>
      </c>
      <c r="C202" s="4" t="inlineStr">
        <is>
          <t>常州淼沃商贸有限公司</t>
        </is>
      </c>
      <c r="D202" s="4" t="inlineStr">
        <is>
          <t>复合调味粉</t>
        </is>
      </c>
      <c r="E202" s="4" t="inlineStr">
        <is>
          <t>精装</t>
        </is>
      </c>
      <c r="F202" s="18" t="n">
        <v>1690</v>
      </c>
      <c r="G202" s="15" t="n">
        <v>88.91</v>
      </c>
      <c r="H202" s="15" t="n">
        <v>150257.9</v>
      </c>
      <c r="I202" s="4" t="inlineStr">
        <is>
          <t>赣皖区域</t>
        </is>
      </c>
      <c r="J202" s="4" t="inlineStr">
        <is>
          <t>孙洋娜</t>
        </is>
      </c>
    </row>
    <row r="203">
      <c r="A203" s="14" t="n">
        <v>45864</v>
      </c>
      <c r="B203" s="4" t="inlineStr">
        <is>
          <t>SO202510271</t>
        </is>
      </c>
      <c r="C203" s="4" t="inlineStr">
        <is>
          <t>南京优鲜商贸有限公司</t>
        </is>
      </c>
      <c r="D203" s="4" t="inlineStr">
        <is>
          <t>团餐</t>
        </is>
      </c>
      <c r="E203" s="4" t="inlineStr">
        <is>
          <t>标准</t>
        </is>
      </c>
      <c r="F203" s="18" t="n">
        <v>4050</v>
      </c>
      <c r="G203" s="15" t="n">
        <v>27.81</v>
      </c>
      <c r="H203" s="15" t="n">
        <v>112630.5</v>
      </c>
      <c r="I203" s="4" t="inlineStr">
        <is>
          <t>浙江分部</t>
        </is>
      </c>
      <c r="J203" s="4" t="inlineStr">
        <is>
          <t>郭强英</t>
        </is>
      </c>
    </row>
    <row r="204">
      <c r="A204" s="14" t="n">
        <v>45866</v>
      </c>
      <c r="B204" s="4" t="inlineStr">
        <is>
          <t>SO202510081</t>
        </is>
      </c>
      <c r="C204" s="4" t="inlineStr">
        <is>
          <t>杭州大匠商贸有限公司</t>
        </is>
      </c>
      <c r="D204" s="4" t="inlineStr">
        <is>
          <t>调味汁</t>
        </is>
      </c>
      <c r="E204" s="4" t="inlineStr">
        <is>
          <t>2.5kg</t>
        </is>
      </c>
      <c r="F204" s="18" t="n">
        <v>2230</v>
      </c>
      <c r="G204" s="15" t="n">
        <v>29.21</v>
      </c>
      <c r="H204" s="15" t="n">
        <v>65138.3</v>
      </c>
      <c r="I204" s="4" t="inlineStr">
        <is>
          <t>浙江分部</t>
        </is>
      </c>
      <c r="J204" s="4" t="inlineStr">
        <is>
          <t>高娜敏</t>
        </is>
      </c>
    </row>
    <row r="205">
      <c r="A205" s="14" t="n">
        <v>45866</v>
      </c>
      <c r="B205" s="4" t="inlineStr">
        <is>
          <t>SO202510215</t>
        </is>
      </c>
      <c r="C205" s="4" t="inlineStr">
        <is>
          <t>合肥优鲜电商平台</t>
        </is>
      </c>
      <c r="D205" s="4" t="inlineStr">
        <is>
          <t>团餐</t>
        </is>
      </c>
      <c r="E205" s="4" t="inlineStr">
        <is>
          <t>标准</t>
        </is>
      </c>
      <c r="F205" s="18" t="n">
        <v>2360</v>
      </c>
      <c r="G205" s="15" t="n">
        <v>25.2</v>
      </c>
      <c r="H205" s="15" t="n">
        <v>59472</v>
      </c>
      <c r="I205" s="4" t="inlineStr">
        <is>
          <t>上海分部</t>
        </is>
      </c>
      <c r="J205" s="4" t="inlineStr">
        <is>
          <t>马兰伟</t>
        </is>
      </c>
    </row>
    <row r="206">
      <c r="A206" s="14" t="n">
        <v>45866</v>
      </c>
      <c r="B206" s="4" t="inlineStr">
        <is>
          <t>SO202510242</t>
        </is>
      </c>
      <c r="C206" s="4" t="inlineStr">
        <is>
          <t>宁波淼沃酒店管理集团</t>
        </is>
      </c>
      <c r="D206" s="4" t="inlineStr">
        <is>
          <t>团餐</t>
        </is>
      </c>
      <c r="E206" s="4" t="inlineStr">
        <is>
          <t>A级</t>
        </is>
      </c>
      <c r="F206" s="18" t="n">
        <v>2050</v>
      </c>
      <c r="G206" s="15" t="n">
        <v>50.18</v>
      </c>
      <c r="H206" s="15" t="n">
        <v>102869</v>
      </c>
      <c r="I206" s="4" t="inlineStr">
        <is>
          <t>浙江分部</t>
        </is>
      </c>
      <c r="J206" s="4" t="inlineStr">
        <is>
          <t>李涛伟</t>
        </is>
      </c>
    </row>
    <row r="207">
      <c r="A207" s="14" t="n">
        <v>45872</v>
      </c>
      <c r="B207" s="4" t="inlineStr">
        <is>
          <t>SO202510152</t>
        </is>
      </c>
      <c r="C207" s="4" t="inlineStr">
        <is>
          <t>南京京功电商平台</t>
        </is>
      </c>
      <c r="D207" s="4" t="inlineStr">
        <is>
          <t>酱料</t>
        </is>
      </c>
      <c r="E207" s="4" t="inlineStr">
        <is>
          <t>1kg</t>
        </is>
      </c>
      <c r="F207" s="18" t="n">
        <v>890</v>
      </c>
      <c r="G207" s="15" t="n">
        <v>92.17</v>
      </c>
      <c r="H207" s="15" t="n">
        <v>82031.3</v>
      </c>
      <c r="I207" s="4" t="inlineStr">
        <is>
          <t>浙江分部</t>
        </is>
      </c>
      <c r="J207" s="4" t="inlineStr">
        <is>
          <t>何英芳</t>
        </is>
      </c>
    </row>
    <row r="208">
      <c r="A208" s="14" t="n">
        <v>45872</v>
      </c>
      <c r="B208" s="4" t="inlineStr">
        <is>
          <t>SO202510236</t>
        </is>
      </c>
      <c r="C208" s="4" t="inlineStr">
        <is>
          <t>嘉兴百味供应链有限公司</t>
        </is>
      </c>
      <c r="D208" s="4" t="inlineStr">
        <is>
          <t>酱料</t>
        </is>
      </c>
      <c r="E208" s="4" t="inlineStr">
        <is>
          <t>1kg</t>
        </is>
      </c>
      <c r="F208" s="18" t="n">
        <v>1100</v>
      </c>
      <c r="G208" s="15" t="n">
        <v>61.08</v>
      </c>
      <c r="H208" s="15" t="n">
        <v>67188</v>
      </c>
      <c r="I208" s="4" t="inlineStr">
        <is>
          <t>赣皖区域</t>
        </is>
      </c>
      <c r="J208" s="4" t="inlineStr">
        <is>
          <t>刘娟秀</t>
        </is>
      </c>
    </row>
    <row r="209">
      <c r="A209" s="14" t="n">
        <v>45872</v>
      </c>
      <c r="B209" s="4" t="inlineStr">
        <is>
          <t>SO202510332</t>
        </is>
      </c>
      <c r="C209" s="4" t="inlineStr">
        <is>
          <t>温州大匠供应链有限公司</t>
        </is>
      </c>
      <c r="D209" s="4" t="inlineStr">
        <is>
          <t>复合调味粉</t>
        </is>
      </c>
      <c r="E209" s="4" t="inlineStr">
        <is>
          <t>标准</t>
        </is>
      </c>
      <c r="F209" s="18" t="n">
        <v>2710</v>
      </c>
      <c r="G209" s="15" t="n">
        <v>92.43000000000001</v>
      </c>
      <c r="H209" s="15" t="n">
        <v>250485.3</v>
      </c>
      <c r="I209" s="4" t="inlineStr">
        <is>
          <t>上海分部</t>
        </is>
      </c>
      <c r="J209" s="4" t="inlineStr">
        <is>
          <t>胡强芳</t>
        </is>
      </c>
    </row>
    <row r="210">
      <c r="A210" s="14" t="n">
        <v>45873</v>
      </c>
      <c r="B210" s="4" t="inlineStr">
        <is>
          <t>SO202510188</t>
        </is>
      </c>
      <c r="C210" s="4" t="inlineStr">
        <is>
          <t>宁波百味酒店管理集团</t>
        </is>
      </c>
      <c r="D210" s="4" t="inlineStr">
        <is>
          <t>调味汁</t>
        </is>
      </c>
      <c r="E210" s="4" t="inlineStr">
        <is>
          <t>简装</t>
        </is>
      </c>
      <c r="F210" s="18" t="n">
        <v>3700</v>
      </c>
      <c r="G210" s="15" t="n">
        <v>55.9</v>
      </c>
      <c r="H210" s="15" t="n">
        <v>206830</v>
      </c>
      <c r="I210" s="4" t="inlineStr">
        <is>
          <t>江苏分部</t>
        </is>
      </c>
      <c r="J210" s="4" t="inlineStr">
        <is>
          <t>刘娜娜</t>
        </is>
      </c>
    </row>
    <row r="211">
      <c r="A211" s="14" t="n">
        <v>45873</v>
      </c>
      <c r="B211" s="4" t="inlineStr">
        <is>
          <t>SO202510226</t>
        </is>
      </c>
      <c r="C211" s="4" t="inlineStr">
        <is>
          <t>宁波食佳食品有限公司</t>
        </is>
      </c>
      <c r="D211" s="4" t="inlineStr">
        <is>
          <t>川味底料</t>
        </is>
      </c>
      <c r="E211" s="4" t="inlineStr">
        <is>
          <t>C级</t>
        </is>
      </c>
      <c r="F211" s="18" t="n">
        <v>2640</v>
      </c>
      <c r="G211" s="15" t="n">
        <v>38.04</v>
      </c>
      <c r="H211" s="15" t="n">
        <v>100425.6</v>
      </c>
      <c r="I211" s="4" t="inlineStr">
        <is>
          <t>上海分部</t>
        </is>
      </c>
      <c r="J211" s="4" t="inlineStr">
        <is>
          <t>黄兰娜</t>
        </is>
      </c>
    </row>
    <row r="212">
      <c r="A212" s="14" t="n">
        <v>45874</v>
      </c>
      <c r="B212" s="4" t="inlineStr">
        <is>
          <t>SO202510019</t>
        </is>
      </c>
      <c r="C212" s="4" t="inlineStr">
        <is>
          <t>上海优鲜餐饮管理有限公司</t>
        </is>
      </c>
      <c r="D212" s="4" t="inlineStr">
        <is>
          <t>团餐</t>
        </is>
      </c>
      <c r="E212" s="4" t="inlineStr">
        <is>
          <t>特级</t>
        </is>
      </c>
      <c r="F212" s="18" t="n">
        <v>990</v>
      </c>
      <c r="G212" s="15" t="n">
        <v>47.16</v>
      </c>
      <c r="H212" s="15" t="n">
        <v>46688.4</v>
      </c>
      <c r="I212" s="4" t="inlineStr">
        <is>
          <t>江苏分部</t>
        </is>
      </c>
      <c r="J212" s="4" t="inlineStr">
        <is>
          <t>张娟英</t>
        </is>
      </c>
    </row>
    <row r="213">
      <c r="A213" s="14" t="n">
        <v>45874</v>
      </c>
      <c r="B213" s="4" t="inlineStr">
        <is>
          <t>SO202510076</t>
        </is>
      </c>
      <c r="C213" s="4" t="inlineStr">
        <is>
          <t>苏州优鲜食品有限公司</t>
        </is>
      </c>
      <c r="D213" s="4" t="inlineStr">
        <is>
          <t>酱料</t>
        </is>
      </c>
      <c r="E213" s="4" t="inlineStr">
        <is>
          <t>500g</t>
        </is>
      </c>
      <c r="F213" s="18" t="n">
        <v>3460</v>
      </c>
      <c r="G213" s="15" t="n">
        <v>93.39</v>
      </c>
      <c r="H213" s="15" t="n">
        <v>323129.4</v>
      </c>
      <c r="I213" s="4" t="inlineStr">
        <is>
          <t>赣皖区域</t>
        </is>
      </c>
      <c r="J213" s="4" t="inlineStr">
        <is>
          <t>周明伟</t>
        </is>
      </c>
    </row>
    <row r="214">
      <c r="A214" s="14" t="n">
        <v>45875</v>
      </c>
      <c r="B214" s="4" t="inlineStr">
        <is>
          <t>SO202510189</t>
        </is>
      </c>
      <c r="C214" s="4" t="inlineStr">
        <is>
          <t>宁波大匠超市</t>
        </is>
      </c>
      <c r="D214" s="4" t="inlineStr">
        <is>
          <t>调味汁</t>
        </is>
      </c>
      <c r="E214" s="4" t="inlineStr">
        <is>
          <t>500g</t>
        </is>
      </c>
      <c r="F214" s="18" t="n">
        <v>1730</v>
      </c>
      <c r="G214" s="15" t="n">
        <v>54.7</v>
      </c>
      <c r="H214" s="15" t="n">
        <v>94631</v>
      </c>
      <c r="I214" s="4" t="inlineStr">
        <is>
          <t>赣皖区域</t>
        </is>
      </c>
      <c r="J214" s="4" t="inlineStr">
        <is>
          <t>罗敏秀</t>
        </is>
      </c>
    </row>
    <row r="215">
      <c r="A215" s="14" t="n">
        <v>45875</v>
      </c>
      <c r="B215" s="4" t="inlineStr">
        <is>
          <t>SO202510223</t>
        </is>
      </c>
      <c r="C215" s="4" t="inlineStr">
        <is>
          <t>上海优鲜餐饮管理有限公司</t>
        </is>
      </c>
      <c r="D215" s="4" t="inlineStr">
        <is>
          <t>复合调味粉</t>
        </is>
      </c>
      <c r="E215" s="4" t="inlineStr">
        <is>
          <t>2.5kg</t>
        </is>
      </c>
      <c r="F215" s="18" t="n">
        <v>3930</v>
      </c>
      <c r="G215" s="15" t="n">
        <v>47.43</v>
      </c>
      <c r="H215" s="15" t="n">
        <v>186399.9</v>
      </c>
      <c r="I215" s="4" t="inlineStr">
        <is>
          <t>上海分部</t>
        </is>
      </c>
      <c r="J215" s="4" t="inlineStr">
        <is>
          <t>罗杰敏</t>
        </is>
      </c>
    </row>
    <row r="216">
      <c r="A216" s="14" t="n">
        <v>45876</v>
      </c>
      <c r="B216" s="4" t="inlineStr">
        <is>
          <t>SO202510230</t>
        </is>
      </c>
      <c r="C216" s="4" t="inlineStr">
        <is>
          <t>温州优鲜商贸有限公司</t>
        </is>
      </c>
      <c r="D216" s="4" t="inlineStr">
        <is>
          <t>中式汤底</t>
        </is>
      </c>
      <c r="E216" s="4" t="inlineStr">
        <is>
          <t>精装</t>
        </is>
      </c>
      <c r="F216" s="18" t="n">
        <v>2630</v>
      </c>
      <c r="G216" s="15" t="n">
        <v>73.73999999999999</v>
      </c>
      <c r="H216" s="15" t="n">
        <v>193936.2</v>
      </c>
      <c r="I216" s="4" t="inlineStr">
        <is>
          <t>浙江分部</t>
        </is>
      </c>
      <c r="J216" s="4" t="inlineStr">
        <is>
          <t>王静敏</t>
        </is>
      </c>
    </row>
    <row r="217">
      <c r="A217" s="14" t="n">
        <v>45877</v>
      </c>
      <c r="B217" s="4" t="inlineStr">
        <is>
          <t>SO202510309</t>
        </is>
      </c>
      <c r="C217" s="4" t="inlineStr">
        <is>
          <t>镇江淼沃酒店管理集团</t>
        </is>
      </c>
      <c r="D217" s="4" t="inlineStr">
        <is>
          <t>调味汁</t>
        </is>
      </c>
      <c r="E217" s="4" t="inlineStr">
        <is>
          <t>简装</t>
        </is>
      </c>
      <c r="F217" s="18" t="n">
        <v>520</v>
      </c>
      <c r="G217" s="15" t="n">
        <v>60.26</v>
      </c>
      <c r="H217" s="15" t="n">
        <v>31335.2</v>
      </c>
      <c r="I217" s="4" t="inlineStr">
        <is>
          <t>赣皖区域</t>
        </is>
      </c>
      <c r="J217" s="4" t="inlineStr">
        <is>
          <t>孙秀秀</t>
        </is>
      </c>
    </row>
    <row r="218">
      <c r="A218" s="14" t="n">
        <v>45878</v>
      </c>
      <c r="B218" s="4" t="inlineStr">
        <is>
          <t>SO202510050</t>
        </is>
      </c>
      <c r="C218" s="4" t="inlineStr">
        <is>
          <t>常州百味供应链有限公司</t>
        </is>
      </c>
      <c r="D218" s="4" t="inlineStr">
        <is>
          <t>川味底料</t>
        </is>
      </c>
      <c r="E218" s="4" t="inlineStr">
        <is>
          <t>特级</t>
        </is>
      </c>
      <c r="F218" s="18" t="n">
        <v>3170</v>
      </c>
      <c r="G218" s="15" t="n">
        <v>63.67</v>
      </c>
      <c r="H218" s="15" t="n">
        <v>201833.9</v>
      </c>
      <c r="I218" s="4" t="inlineStr">
        <is>
          <t>江苏分部</t>
        </is>
      </c>
      <c r="J218" s="4" t="inlineStr">
        <is>
          <t>张兰芳</t>
        </is>
      </c>
    </row>
    <row r="219">
      <c r="A219" s="14" t="n">
        <v>45878</v>
      </c>
      <c r="B219" s="4" t="inlineStr">
        <is>
          <t>SO202510060</t>
        </is>
      </c>
      <c r="C219" s="4" t="inlineStr">
        <is>
          <t>嘉兴优鲜供应链有限公司</t>
        </is>
      </c>
      <c r="D219" s="4" t="inlineStr">
        <is>
          <t>酱料</t>
        </is>
      </c>
      <c r="E219" s="4" t="inlineStr">
        <is>
          <t>精装</t>
        </is>
      </c>
      <c r="F219" s="18" t="n">
        <v>1190</v>
      </c>
      <c r="G219" s="15" t="n">
        <v>25.25</v>
      </c>
      <c r="H219" s="15" t="n">
        <v>30047.5</v>
      </c>
      <c r="I219" s="4" t="inlineStr">
        <is>
          <t>上海分部</t>
        </is>
      </c>
      <c r="J219" s="4" t="inlineStr">
        <is>
          <t>高杰敏</t>
        </is>
      </c>
    </row>
    <row r="220">
      <c r="A220" s="14" t="n">
        <v>45879</v>
      </c>
      <c r="B220" s="4" t="inlineStr">
        <is>
          <t>SO202510178</t>
        </is>
      </c>
      <c r="C220" s="4" t="inlineStr">
        <is>
          <t>上海优鲜供应链有限公司</t>
        </is>
      </c>
      <c r="D220" s="4" t="inlineStr">
        <is>
          <t>复合调味粉</t>
        </is>
      </c>
      <c r="E220" s="4" t="inlineStr">
        <is>
          <t>1kg</t>
        </is>
      </c>
      <c r="F220" s="18" t="n">
        <v>3370</v>
      </c>
      <c r="G220" s="15" t="n">
        <v>7.03</v>
      </c>
      <c r="H220" s="15" t="n">
        <v>23691.1</v>
      </c>
      <c r="I220" s="4" t="inlineStr">
        <is>
          <t>江苏分部</t>
        </is>
      </c>
      <c r="J220" s="4" t="inlineStr">
        <is>
          <t>罗艳英</t>
        </is>
      </c>
    </row>
    <row r="221">
      <c r="A221" s="14" t="n">
        <v>45880</v>
      </c>
      <c r="B221" s="4" t="inlineStr">
        <is>
          <t>SO202510103</t>
        </is>
      </c>
      <c r="C221" s="4" t="inlineStr">
        <is>
          <t>合肥食佳电商平台</t>
        </is>
      </c>
      <c r="D221" s="4" t="inlineStr">
        <is>
          <t>预制菜</t>
        </is>
      </c>
      <c r="E221" s="4" t="inlineStr">
        <is>
          <t>2.5kg</t>
        </is>
      </c>
      <c r="F221" s="18" t="n">
        <v>1050</v>
      </c>
      <c r="G221" s="15" t="n">
        <v>58.5</v>
      </c>
      <c r="H221" s="15" t="n">
        <v>61425</v>
      </c>
      <c r="I221" s="4" t="inlineStr">
        <is>
          <t>江苏分部</t>
        </is>
      </c>
      <c r="J221" s="4" t="inlineStr">
        <is>
          <t>陈超伟</t>
        </is>
      </c>
    </row>
    <row r="222">
      <c r="A222" s="14" t="n">
        <v>45882</v>
      </c>
      <c r="B222" s="4" t="inlineStr">
        <is>
          <t>SO202510319</t>
        </is>
      </c>
      <c r="C222" s="4" t="inlineStr">
        <is>
          <t>上海百味供应链有限公司</t>
        </is>
      </c>
      <c r="D222" s="4" t="inlineStr">
        <is>
          <t>酱料</t>
        </is>
      </c>
      <c r="E222" s="4" t="inlineStr">
        <is>
          <t>特级</t>
        </is>
      </c>
      <c r="F222" s="18" t="n">
        <v>790</v>
      </c>
      <c r="G222" s="15" t="n">
        <v>12.56</v>
      </c>
      <c r="H222" s="15" t="n">
        <v>9922.4</v>
      </c>
      <c r="I222" s="4" t="inlineStr">
        <is>
          <t>赣皖区域</t>
        </is>
      </c>
      <c r="J222" s="4" t="inlineStr">
        <is>
          <t>黄娟娜</t>
        </is>
      </c>
    </row>
    <row r="223">
      <c r="A223" s="14" t="n">
        <v>45883</v>
      </c>
      <c r="B223" s="4" t="inlineStr">
        <is>
          <t>SO202510219</t>
        </is>
      </c>
      <c r="C223" s="4" t="inlineStr">
        <is>
          <t>上海京功商贸有限公司</t>
        </is>
      </c>
      <c r="D223" s="4" t="inlineStr">
        <is>
          <t>中式汤底</t>
        </is>
      </c>
      <c r="E223" s="4" t="inlineStr">
        <is>
          <t>A级</t>
        </is>
      </c>
      <c r="F223" s="18" t="n">
        <v>3260</v>
      </c>
      <c r="G223" s="15" t="n">
        <v>56.63</v>
      </c>
      <c r="H223" s="15" t="n">
        <v>184613.8</v>
      </c>
      <c r="I223" s="4" t="inlineStr">
        <is>
          <t>浙江分部</t>
        </is>
      </c>
      <c r="J223" s="4" t="inlineStr">
        <is>
          <t>李英敏</t>
        </is>
      </c>
    </row>
    <row r="224">
      <c r="A224" s="14" t="n">
        <v>45886</v>
      </c>
      <c r="B224" s="4" t="inlineStr">
        <is>
          <t>SO202510131</t>
        </is>
      </c>
      <c r="C224" s="4" t="inlineStr">
        <is>
          <t>南昌百味超市</t>
        </is>
      </c>
      <c r="D224" s="4" t="inlineStr">
        <is>
          <t>预制菜</t>
        </is>
      </c>
      <c r="E224" s="4" t="inlineStr">
        <is>
          <t>500g</t>
        </is>
      </c>
      <c r="F224" s="18" t="n">
        <v>1150</v>
      </c>
      <c r="G224" s="15" t="n">
        <v>92.39</v>
      </c>
      <c r="H224" s="15" t="n">
        <v>106248.5</v>
      </c>
      <c r="I224" s="4" t="inlineStr">
        <is>
          <t>上海分部</t>
        </is>
      </c>
      <c r="J224" s="4" t="inlineStr">
        <is>
          <t>何娜秀</t>
        </is>
      </c>
    </row>
    <row r="225">
      <c r="A225" s="14" t="n">
        <v>45887</v>
      </c>
      <c r="B225" s="4" t="inlineStr">
        <is>
          <t>SO202510208</t>
        </is>
      </c>
      <c r="C225" s="4" t="inlineStr">
        <is>
          <t>苏州京功酒店管理集团</t>
        </is>
      </c>
      <c r="D225" s="4" t="inlineStr">
        <is>
          <t>酱料</t>
        </is>
      </c>
      <c r="E225" s="4" t="inlineStr">
        <is>
          <t>1kg</t>
        </is>
      </c>
      <c r="F225" s="18" t="n">
        <v>4260</v>
      </c>
      <c r="G225" s="15" t="n">
        <v>28.69</v>
      </c>
      <c r="H225" s="15" t="n">
        <v>122219.4</v>
      </c>
      <c r="I225" s="4" t="inlineStr">
        <is>
          <t>浙江分部</t>
        </is>
      </c>
      <c r="J225" s="4" t="inlineStr">
        <is>
          <t>朱敏敏</t>
        </is>
      </c>
    </row>
    <row r="226">
      <c r="A226" s="14" t="n">
        <v>45887</v>
      </c>
      <c r="B226" s="4" t="inlineStr">
        <is>
          <t>SO202510288</t>
        </is>
      </c>
      <c r="C226" s="4" t="inlineStr">
        <is>
          <t>无锡大匠超市</t>
        </is>
      </c>
      <c r="D226" s="4" t="inlineStr">
        <is>
          <t>复合调味粉</t>
        </is>
      </c>
      <c r="E226" s="4" t="inlineStr">
        <is>
          <t>C级</t>
        </is>
      </c>
      <c r="F226" s="18" t="n">
        <v>4550</v>
      </c>
      <c r="G226" s="15" t="n">
        <v>14.3</v>
      </c>
      <c r="H226" s="15" t="n">
        <v>65065</v>
      </c>
      <c r="I226" s="4" t="inlineStr">
        <is>
          <t>江苏分部</t>
        </is>
      </c>
      <c r="J226" s="4" t="inlineStr">
        <is>
          <t>刘洋伟</t>
        </is>
      </c>
    </row>
    <row r="227">
      <c r="A227" s="14" t="n">
        <v>45888</v>
      </c>
      <c r="B227" s="4" t="inlineStr">
        <is>
          <t>SO202510118</t>
        </is>
      </c>
      <c r="C227" s="4" t="inlineStr">
        <is>
          <t>镇江优鲜超市</t>
        </is>
      </c>
      <c r="D227" s="4" t="inlineStr">
        <is>
          <t>预制菜</t>
        </is>
      </c>
      <c r="E227" s="4" t="inlineStr">
        <is>
          <t>500g</t>
        </is>
      </c>
      <c r="F227" s="18" t="n">
        <v>2810</v>
      </c>
      <c r="G227" s="15" t="n">
        <v>24.29</v>
      </c>
      <c r="H227" s="15" t="n">
        <v>68254.89999999999</v>
      </c>
      <c r="I227" s="4" t="inlineStr">
        <is>
          <t>上海分部</t>
        </is>
      </c>
      <c r="J227" s="4" t="inlineStr">
        <is>
          <t>胡杰芳</t>
        </is>
      </c>
    </row>
    <row r="228">
      <c r="A228" s="14" t="n">
        <v>45888</v>
      </c>
      <c r="B228" s="4" t="inlineStr">
        <is>
          <t>SO202510276</t>
        </is>
      </c>
      <c r="C228" s="4" t="inlineStr">
        <is>
          <t>上海大匠供应链有限公司</t>
        </is>
      </c>
      <c r="D228" s="4" t="inlineStr">
        <is>
          <t>团餐</t>
        </is>
      </c>
      <c r="E228" s="4" t="inlineStr">
        <is>
          <t>B级</t>
        </is>
      </c>
      <c r="F228" s="18" t="n">
        <v>4010</v>
      </c>
      <c r="G228" s="15" t="n">
        <v>30.25</v>
      </c>
      <c r="H228" s="15" t="n">
        <v>121302.5</v>
      </c>
      <c r="I228" s="4" t="inlineStr">
        <is>
          <t>赣皖区域</t>
        </is>
      </c>
      <c r="J228" s="4" t="inlineStr">
        <is>
          <t>黄洋敏</t>
        </is>
      </c>
    </row>
    <row r="229">
      <c r="A229" s="14" t="n">
        <v>45890</v>
      </c>
      <c r="B229" s="4" t="inlineStr">
        <is>
          <t>SO202510197</t>
        </is>
      </c>
      <c r="C229" s="4" t="inlineStr">
        <is>
          <t>杭州百味电商平台</t>
        </is>
      </c>
      <c r="D229" s="4" t="inlineStr">
        <is>
          <t>川味底料</t>
        </is>
      </c>
      <c r="E229" s="4" t="inlineStr">
        <is>
          <t>1kg</t>
        </is>
      </c>
      <c r="F229" s="18" t="n">
        <v>1240</v>
      </c>
      <c r="G229" s="15" t="n">
        <v>26.69</v>
      </c>
      <c r="H229" s="15" t="n">
        <v>33095.6</v>
      </c>
      <c r="I229" s="4" t="inlineStr">
        <is>
          <t>赣皖区域</t>
        </is>
      </c>
      <c r="J229" s="4" t="inlineStr">
        <is>
          <t>刘涛伟</t>
        </is>
      </c>
    </row>
    <row r="230">
      <c r="A230" s="14" t="n">
        <v>45891</v>
      </c>
      <c r="B230" s="4" t="inlineStr">
        <is>
          <t>SO202510187</t>
        </is>
      </c>
      <c r="C230" s="4" t="inlineStr">
        <is>
          <t>宁波优鲜餐饮管理有限公司</t>
        </is>
      </c>
      <c r="D230" s="4" t="inlineStr">
        <is>
          <t>川味底料</t>
        </is>
      </c>
      <c r="E230" s="4" t="inlineStr">
        <is>
          <t>C级</t>
        </is>
      </c>
      <c r="F230" s="18" t="n">
        <v>3120</v>
      </c>
      <c r="G230" s="15" t="n">
        <v>73.56</v>
      </c>
      <c r="H230" s="15" t="n">
        <v>229507.2</v>
      </c>
      <c r="I230" s="4" t="inlineStr">
        <is>
          <t>浙江分部</t>
        </is>
      </c>
      <c r="J230" s="4" t="inlineStr">
        <is>
          <t>马伟娜</t>
        </is>
      </c>
    </row>
    <row r="231">
      <c r="A231" s="14" t="n">
        <v>45891</v>
      </c>
      <c r="B231" s="4" t="inlineStr">
        <is>
          <t>SO202510305</t>
        </is>
      </c>
      <c r="C231" s="4" t="inlineStr">
        <is>
          <t>常州京功商贸有限公司</t>
        </is>
      </c>
      <c r="D231" s="4" t="inlineStr">
        <is>
          <t>酱料</t>
        </is>
      </c>
      <c r="E231" s="4" t="inlineStr">
        <is>
          <t>10kg</t>
        </is>
      </c>
      <c r="F231" s="18" t="n">
        <v>960</v>
      </c>
      <c r="G231" s="15" t="n">
        <v>35.36</v>
      </c>
      <c r="H231" s="15" t="n">
        <v>33945.6</v>
      </c>
      <c r="I231" s="4" t="inlineStr">
        <is>
          <t>赣皖区域</t>
        </is>
      </c>
      <c r="J231" s="4" t="inlineStr">
        <is>
          <t>王丽芳</t>
        </is>
      </c>
    </row>
    <row r="232">
      <c r="A232" s="14" t="n">
        <v>45892</v>
      </c>
      <c r="B232" s="4" t="inlineStr">
        <is>
          <t>SO202510224</t>
        </is>
      </c>
      <c r="C232" s="4" t="inlineStr">
        <is>
          <t>上海优鲜餐饮管理有限公司</t>
        </is>
      </c>
      <c r="D232" s="4" t="inlineStr">
        <is>
          <t>复合调味粉</t>
        </is>
      </c>
      <c r="E232" s="4" t="inlineStr">
        <is>
          <t>2.5kg</t>
        </is>
      </c>
      <c r="F232" s="18" t="n">
        <v>3420</v>
      </c>
      <c r="G232" s="15" t="n">
        <v>90.05</v>
      </c>
      <c r="H232" s="15" t="n">
        <v>307971</v>
      </c>
      <c r="I232" s="4" t="inlineStr">
        <is>
          <t>上海分部</t>
        </is>
      </c>
      <c r="J232" s="4" t="inlineStr">
        <is>
          <t>高洋英</t>
        </is>
      </c>
    </row>
    <row r="233">
      <c r="A233" s="14" t="n">
        <v>45893</v>
      </c>
      <c r="B233" s="4" t="inlineStr">
        <is>
          <t>SO202510154</t>
        </is>
      </c>
      <c r="C233" s="4" t="inlineStr">
        <is>
          <t>无锡大匠供应链有限公司</t>
        </is>
      </c>
      <c r="D233" s="4" t="inlineStr">
        <is>
          <t>复合调味粉</t>
        </is>
      </c>
      <c r="E233" s="4" t="inlineStr">
        <is>
          <t>C级</t>
        </is>
      </c>
      <c r="F233" s="18" t="n">
        <v>2750</v>
      </c>
      <c r="G233" s="15" t="n">
        <v>89.19</v>
      </c>
      <c r="H233" s="15" t="n">
        <v>245272.5</v>
      </c>
      <c r="I233" s="4" t="inlineStr">
        <is>
          <t>浙江分部</t>
        </is>
      </c>
      <c r="J233" s="4" t="inlineStr">
        <is>
          <t>王艳芳</t>
        </is>
      </c>
    </row>
    <row r="234">
      <c r="A234" s="14" t="n">
        <v>45893</v>
      </c>
      <c r="B234" s="4" t="inlineStr">
        <is>
          <t>SO202510295</t>
        </is>
      </c>
      <c r="C234" s="4" t="inlineStr">
        <is>
          <t>合肥大匠酒店管理集团</t>
        </is>
      </c>
      <c r="D234" s="4" t="inlineStr">
        <is>
          <t>川味底料</t>
        </is>
      </c>
      <c r="E234" s="4" t="inlineStr">
        <is>
          <t>A级</t>
        </is>
      </c>
      <c r="F234" s="18" t="n">
        <v>2770</v>
      </c>
      <c r="G234" s="15" t="n">
        <v>45.43</v>
      </c>
      <c r="H234" s="15" t="n">
        <v>125841.1</v>
      </c>
      <c r="I234" s="4" t="inlineStr">
        <is>
          <t>赣皖区域</t>
        </is>
      </c>
      <c r="J234" s="4" t="inlineStr">
        <is>
          <t>罗杰娜</t>
        </is>
      </c>
    </row>
    <row r="235">
      <c r="A235" s="14" t="n">
        <v>45897</v>
      </c>
      <c r="B235" s="4" t="inlineStr">
        <is>
          <t>SO202510091</t>
        </is>
      </c>
      <c r="C235" s="4" t="inlineStr">
        <is>
          <t>苏州淼沃供应链有限公司</t>
        </is>
      </c>
      <c r="D235" s="4" t="inlineStr">
        <is>
          <t>复合调味粉</t>
        </is>
      </c>
      <c r="E235" s="4" t="inlineStr">
        <is>
          <t>500g</t>
        </is>
      </c>
      <c r="F235" s="18" t="n">
        <v>1620</v>
      </c>
      <c r="G235" s="15" t="n">
        <v>76.95</v>
      </c>
      <c r="H235" s="15" t="n">
        <v>124659</v>
      </c>
      <c r="I235" s="4" t="inlineStr">
        <is>
          <t>上海分部</t>
        </is>
      </c>
      <c r="J235" s="4" t="inlineStr">
        <is>
          <t>陈强敏</t>
        </is>
      </c>
    </row>
    <row r="236">
      <c r="A236" s="14" t="n">
        <v>45897</v>
      </c>
      <c r="B236" s="4" t="inlineStr">
        <is>
          <t>SO202510167</t>
        </is>
      </c>
      <c r="C236" s="4" t="inlineStr">
        <is>
          <t>南昌淼沃餐饮管理有限公司</t>
        </is>
      </c>
      <c r="D236" s="4" t="inlineStr">
        <is>
          <t>中式汤底</t>
        </is>
      </c>
      <c r="E236" s="4" t="inlineStr">
        <is>
          <t>标准</t>
        </is>
      </c>
      <c r="F236" s="18" t="n">
        <v>1880</v>
      </c>
      <c r="G236" s="15" t="n">
        <v>19.13</v>
      </c>
      <c r="H236" s="15" t="n">
        <v>35964.4</v>
      </c>
      <c r="I236" s="4" t="inlineStr">
        <is>
          <t>江苏分部</t>
        </is>
      </c>
      <c r="J236" s="4" t="inlineStr">
        <is>
          <t>赵芳秀</t>
        </is>
      </c>
    </row>
    <row r="237">
      <c r="A237" s="14" t="n">
        <v>45901</v>
      </c>
      <c r="B237" s="4" t="inlineStr">
        <is>
          <t>SO202510166</t>
        </is>
      </c>
      <c r="C237" s="4" t="inlineStr">
        <is>
          <t>镇江百味食品有限公司</t>
        </is>
      </c>
      <c r="D237" s="4" t="inlineStr">
        <is>
          <t>复合调味粉</t>
        </is>
      </c>
      <c r="E237" s="4" t="inlineStr">
        <is>
          <t>5kg</t>
        </is>
      </c>
      <c r="F237" s="18" t="n">
        <v>2260</v>
      </c>
      <c r="G237" s="15" t="n">
        <v>2.77</v>
      </c>
      <c r="H237" s="15" t="n">
        <v>6260.2</v>
      </c>
      <c r="I237" s="4" t="inlineStr">
        <is>
          <t>赣皖区域</t>
        </is>
      </c>
      <c r="J237" s="4" t="inlineStr">
        <is>
          <t>张明敏</t>
        </is>
      </c>
    </row>
    <row r="238">
      <c r="A238" s="14" t="n">
        <v>45901</v>
      </c>
      <c r="B238" s="4" t="inlineStr">
        <is>
          <t>SO202510310</t>
        </is>
      </c>
      <c r="C238" s="4" t="inlineStr">
        <is>
          <t>上海淼沃电商平台</t>
        </is>
      </c>
      <c r="D238" s="4" t="inlineStr">
        <is>
          <t>团餐</t>
        </is>
      </c>
      <c r="E238" s="4" t="inlineStr">
        <is>
          <t>10kg</t>
        </is>
      </c>
      <c r="F238" s="18" t="n">
        <v>3220</v>
      </c>
      <c r="G238" s="15" t="n">
        <v>40.15</v>
      </c>
      <c r="H238" s="15" t="n">
        <v>129283</v>
      </c>
      <c r="I238" s="4" t="inlineStr">
        <is>
          <t>浙江分部</t>
        </is>
      </c>
      <c r="J238" s="4" t="inlineStr">
        <is>
          <t>孙磊娜</t>
        </is>
      </c>
    </row>
    <row r="239">
      <c r="A239" s="14" t="n">
        <v>45902</v>
      </c>
      <c r="B239" s="4" t="inlineStr">
        <is>
          <t>SO202510018</t>
        </is>
      </c>
      <c r="C239" s="4" t="inlineStr">
        <is>
          <t>镇江大匠餐饮管理有限公司</t>
        </is>
      </c>
      <c r="D239" s="4" t="inlineStr">
        <is>
          <t>中式汤底</t>
        </is>
      </c>
      <c r="E239" s="4" t="inlineStr">
        <is>
          <t>5kg</t>
        </is>
      </c>
      <c r="F239" s="18" t="n">
        <v>2460</v>
      </c>
      <c r="G239" s="15" t="n">
        <v>95.05</v>
      </c>
      <c r="H239" s="15" t="n">
        <v>233823</v>
      </c>
      <c r="I239" s="4" t="inlineStr">
        <is>
          <t>上海分部</t>
        </is>
      </c>
      <c r="J239" s="4" t="inlineStr">
        <is>
          <t>张超伟</t>
        </is>
      </c>
    </row>
    <row r="240">
      <c r="A240" s="14" t="n">
        <v>45902</v>
      </c>
      <c r="B240" s="4" t="inlineStr">
        <is>
          <t>SO202510024</t>
        </is>
      </c>
      <c r="C240" s="4" t="inlineStr">
        <is>
          <t>常州京功商贸有限公司</t>
        </is>
      </c>
      <c r="D240" s="4" t="inlineStr">
        <is>
          <t>团餐</t>
        </is>
      </c>
      <c r="E240" s="4" t="inlineStr">
        <is>
          <t>1kg</t>
        </is>
      </c>
      <c r="F240" s="18" t="n">
        <v>3360</v>
      </c>
      <c r="G240" s="15" t="n">
        <v>45.29</v>
      </c>
      <c r="H240" s="15" t="n">
        <v>152174.4</v>
      </c>
      <c r="I240" s="4" t="inlineStr">
        <is>
          <t>上海分部</t>
        </is>
      </c>
      <c r="J240" s="4" t="inlineStr">
        <is>
          <t>王英娜</t>
        </is>
      </c>
    </row>
    <row r="241">
      <c r="A241" s="14" t="n">
        <v>45902</v>
      </c>
      <c r="B241" s="4" t="inlineStr">
        <is>
          <t>SO202510161</t>
        </is>
      </c>
      <c r="C241" s="4" t="inlineStr">
        <is>
          <t>无锡淼沃餐饮管理有限公司</t>
        </is>
      </c>
      <c r="D241" s="4" t="inlineStr">
        <is>
          <t>预制菜</t>
        </is>
      </c>
      <c r="E241" s="4" t="inlineStr">
        <is>
          <t>B级</t>
        </is>
      </c>
      <c r="F241" s="18" t="n">
        <v>3070</v>
      </c>
      <c r="G241" s="15" t="n">
        <v>15.79</v>
      </c>
      <c r="H241" s="15" t="n">
        <v>48475.3</v>
      </c>
      <c r="I241" s="4" t="inlineStr">
        <is>
          <t>赣皖区域</t>
        </is>
      </c>
      <c r="J241" s="4" t="inlineStr">
        <is>
          <t>李艳娜</t>
        </is>
      </c>
    </row>
    <row r="242">
      <c r="A242" s="14" t="n">
        <v>45903</v>
      </c>
      <c r="B242" s="4" t="inlineStr">
        <is>
          <t>SO202510056</t>
        </is>
      </c>
      <c r="C242" s="4" t="inlineStr">
        <is>
          <t>杭州京功餐饮管理有限公司</t>
        </is>
      </c>
      <c r="D242" s="4" t="inlineStr">
        <is>
          <t>调味汁</t>
        </is>
      </c>
      <c r="E242" s="4" t="inlineStr">
        <is>
          <t>25kg</t>
        </is>
      </c>
      <c r="F242" s="18" t="n">
        <v>70</v>
      </c>
      <c r="G242" s="15" t="n">
        <v>90.06999999999999</v>
      </c>
      <c r="H242" s="15" t="n">
        <v>6304.9</v>
      </c>
      <c r="I242" s="4" t="inlineStr">
        <is>
          <t>赣皖区域</t>
        </is>
      </c>
      <c r="J242" s="4" t="inlineStr">
        <is>
          <t>张芳秀</t>
        </is>
      </c>
    </row>
    <row r="243">
      <c r="A243" s="14" t="n">
        <v>45907</v>
      </c>
      <c r="B243" s="4" t="inlineStr">
        <is>
          <t>SO202510048</t>
        </is>
      </c>
      <c r="C243" s="4" t="inlineStr">
        <is>
          <t>宁波优鲜电商平台</t>
        </is>
      </c>
      <c r="D243" s="4" t="inlineStr">
        <is>
          <t>中式汤底</t>
        </is>
      </c>
      <c r="E243" s="4" t="inlineStr">
        <is>
          <t>500g</t>
        </is>
      </c>
      <c r="F243" s="18" t="n">
        <v>120</v>
      </c>
      <c r="G243" s="15" t="n">
        <v>21.8</v>
      </c>
      <c r="H243" s="15" t="n">
        <v>2616</v>
      </c>
      <c r="I243" s="4" t="inlineStr">
        <is>
          <t>浙江分部</t>
        </is>
      </c>
      <c r="J243" s="4" t="inlineStr">
        <is>
          <t>马强娜</t>
        </is>
      </c>
    </row>
    <row r="244">
      <c r="A244" s="14" t="n">
        <v>45907</v>
      </c>
      <c r="B244" s="4" t="inlineStr">
        <is>
          <t>SO202510281</t>
        </is>
      </c>
      <c r="C244" s="4" t="inlineStr">
        <is>
          <t>嘉兴百味供应链有限公司</t>
        </is>
      </c>
      <c r="D244" s="4" t="inlineStr">
        <is>
          <t>团餐</t>
        </is>
      </c>
      <c r="E244" s="4" t="inlineStr">
        <is>
          <t>500g</t>
        </is>
      </c>
      <c r="F244" s="18" t="n">
        <v>1100</v>
      </c>
      <c r="G244" s="15" t="n">
        <v>49.63</v>
      </c>
      <c r="H244" s="15" t="n">
        <v>54593</v>
      </c>
      <c r="I244" s="4" t="inlineStr">
        <is>
          <t>江苏分部</t>
        </is>
      </c>
      <c r="J244" s="4" t="inlineStr">
        <is>
          <t>孙艳敏</t>
        </is>
      </c>
    </row>
    <row r="245">
      <c r="A245" s="14" t="n">
        <v>45908</v>
      </c>
      <c r="B245" s="4" t="inlineStr">
        <is>
          <t>SO202510020</t>
        </is>
      </c>
      <c r="C245" s="4" t="inlineStr">
        <is>
          <t>南昌食佳供应链有限公司</t>
        </is>
      </c>
      <c r="D245" s="4" t="inlineStr">
        <is>
          <t>中式汤底</t>
        </is>
      </c>
      <c r="E245" s="4" t="inlineStr">
        <is>
          <t>B级</t>
        </is>
      </c>
      <c r="F245" s="18" t="n">
        <v>3940</v>
      </c>
      <c r="G245" s="15" t="n">
        <v>41.53</v>
      </c>
      <c r="H245" s="15" t="n">
        <v>163628.2</v>
      </c>
      <c r="I245" s="4" t="inlineStr">
        <is>
          <t>上海分部</t>
        </is>
      </c>
      <c r="J245" s="4" t="inlineStr">
        <is>
          <t>高秀娜</t>
        </is>
      </c>
    </row>
    <row r="246">
      <c r="A246" s="14" t="n">
        <v>45909</v>
      </c>
      <c r="B246" s="4" t="inlineStr">
        <is>
          <t>SO202510308</t>
        </is>
      </c>
      <c r="C246" s="4" t="inlineStr">
        <is>
          <t>苏州优鲜商贸有限公司</t>
        </is>
      </c>
      <c r="D246" s="4" t="inlineStr">
        <is>
          <t>川味底料</t>
        </is>
      </c>
      <c r="E246" s="4" t="inlineStr">
        <is>
          <t>A级</t>
        </is>
      </c>
      <c r="F246" s="18" t="n">
        <v>2050</v>
      </c>
      <c r="G246" s="15" t="n">
        <v>64.38</v>
      </c>
      <c r="H246" s="15" t="n">
        <v>131979</v>
      </c>
      <c r="I246" s="4" t="inlineStr">
        <is>
          <t>上海分部</t>
        </is>
      </c>
      <c r="J246" s="4" t="inlineStr">
        <is>
          <t>林超敏</t>
        </is>
      </c>
    </row>
    <row r="247">
      <c r="A247" s="14" t="n">
        <v>45910</v>
      </c>
      <c r="B247" s="4" t="inlineStr">
        <is>
          <t>SO202510280</t>
        </is>
      </c>
      <c r="C247" s="4" t="inlineStr">
        <is>
          <t>宁波淼沃商贸有限公司</t>
        </is>
      </c>
      <c r="D247" s="4" t="inlineStr">
        <is>
          <t>中式汤底</t>
        </is>
      </c>
      <c r="E247" s="4" t="inlineStr">
        <is>
          <t>精装</t>
        </is>
      </c>
      <c r="F247" s="18" t="n">
        <v>3580</v>
      </c>
      <c r="G247" s="15" t="n">
        <v>92.3</v>
      </c>
      <c r="H247" s="15" t="n">
        <v>330434</v>
      </c>
      <c r="I247" s="4" t="inlineStr">
        <is>
          <t>浙江分部</t>
        </is>
      </c>
      <c r="J247" s="4" t="inlineStr">
        <is>
          <t>黄洋敏</t>
        </is>
      </c>
    </row>
    <row r="248">
      <c r="A248" s="14" t="n">
        <v>45917</v>
      </c>
      <c r="B248" s="4" t="inlineStr">
        <is>
          <t>SO202510163</t>
        </is>
      </c>
      <c r="C248" s="4" t="inlineStr">
        <is>
          <t>镇江淼沃电商平台</t>
        </is>
      </c>
      <c r="D248" s="4" t="inlineStr">
        <is>
          <t>中式汤底</t>
        </is>
      </c>
      <c r="E248" s="4" t="inlineStr">
        <is>
          <t>500g</t>
        </is>
      </c>
      <c r="F248" s="18" t="n">
        <v>4070</v>
      </c>
      <c r="G248" s="15" t="n">
        <v>22.12</v>
      </c>
      <c r="H248" s="15" t="n">
        <v>90028.39999999999</v>
      </c>
      <c r="I248" s="4" t="inlineStr">
        <is>
          <t>上海分部</t>
        </is>
      </c>
      <c r="J248" s="4" t="inlineStr">
        <is>
          <t>马艳娜</t>
        </is>
      </c>
    </row>
    <row r="249">
      <c r="A249" s="14" t="n">
        <v>45918</v>
      </c>
      <c r="B249" s="4" t="inlineStr">
        <is>
          <t>SO202510037</t>
        </is>
      </c>
      <c r="C249" s="4" t="inlineStr">
        <is>
          <t>嘉兴京功供应链有限公司</t>
        </is>
      </c>
      <c r="D249" s="4" t="inlineStr">
        <is>
          <t>川味底料</t>
        </is>
      </c>
      <c r="E249" s="4" t="inlineStr">
        <is>
          <t>25kg</t>
        </is>
      </c>
      <c r="F249" s="18" t="n">
        <v>3950</v>
      </c>
      <c r="G249" s="15" t="n">
        <v>29.35</v>
      </c>
      <c r="H249" s="15" t="n">
        <v>115932.5</v>
      </c>
      <c r="I249" s="4" t="inlineStr">
        <is>
          <t>浙江分部</t>
        </is>
      </c>
      <c r="J249" s="4" t="inlineStr">
        <is>
          <t>高超秀</t>
        </is>
      </c>
    </row>
    <row r="250">
      <c r="A250" s="14" t="n">
        <v>45918</v>
      </c>
      <c r="B250" s="4" t="inlineStr">
        <is>
          <t>SO202510283</t>
        </is>
      </c>
      <c r="C250" s="4" t="inlineStr">
        <is>
          <t>苏州食佳电商平台</t>
        </is>
      </c>
      <c r="D250" s="4" t="inlineStr">
        <is>
          <t>酱料</t>
        </is>
      </c>
      <c r="E250" s="4" t="inlineStr">
        <is>
          <t>1kg</t>
        </is>
      </c>
      <c r="F250" s="18" t="n">
        <v>4530</v>
      </c>
      <c r="G250" s="15" t="n">
        <v>73.55</v>
      </c>
      <c r="H250" s="15" t="n">
        <v>333181.5</v>
      </c>
      <c r="I250" s="4" t="inlineStr">
        <is>
          <t>上海分部</t>
        </is>
      </c>
      <c r="J250" s="4" t="inlineStr">
        <is>
          <t>胡芳敏</t>
        </is>
      </c>
    </row>
    <row r="251">
      <c r="A251" s="14" t="n">
        <v>45919</v>
      </c>
      <c r="B251" s="4" t="inlineStr">
        <is>
          <t>SO202510318</t>
        </is>
      </c>
      <c r="C251" s="4" t="inlineStr">
        <is>
          <t>镇江大匠食品有限公司</t>
        </is>
      </c>
      <c r="D251" s="4" t="inlineStr">
        <is>
          <t>川味底料</t>
        </is>
      </c>
      <c r="E251" s="4" t="inlineStr">
        <is>
          <t>标准</t>
        </is>
      </c>
      <c r="F251" s="18" t="n">
        <v>3710</v>
      </c>
      <c r="G251" s="15" t="n">
        <v>62.52</v>
      </c>
      <c r="H251" s="15" t="n">
        <v>231949.2</v>
      </c>
      <c r="I251" s="4" t="inlineStr">
        <is>
          <t>浙江分部</t>
        </is>
      </c>
      <c r="J251" s="4" t="inlineStr">
        <is>
          <t>郭洋芳</t>
        </is>
      </c>
    </row>
    <row r="252">
      <c r="A252" s="14" t="n">
        <v>45920</v>
      </c>
      <c r="B252" s="4" t="inlineStr">
        <is>
          <t>SO202510015</t>
        </is>
      </c>
      <c r="C252" s="4" t="inlineStr">
        <is>
          <t>合肥京功酒店管理集团</t>
        </is>
      </c>
      <c r="D252" s="4" t="inlineStr">
        <is>
          <t>酱料</t>
        </is>
      </c>
      <c r="E252" s="4" t="inlineStr">
        <is>
          <t>1kg</t>
        </is>
      </c>
      <c r="F252" s="18" t="n">
        <v>200</v>
      </c>
      <c r="G252" s="15" t="n">
        <v>29.9</v>
      </c>
      <c r="H252" s="15" t="n">
        <v>5980</v>
      </c>
      <c r="I252" s="4" t="inlineStr">
        <is>
          <t>江苏分部</t>
        </is>
      </c>
      <c r="J252" s="4" t="inlineStr">
        <is>
          <t>马丽英</t>
        </is>
      </c>
    </row>
    <row r="253">
      <c r="A253" s="14" t="n">
        <v>45921</v>
      </c>
      <c r="B253" s="4" t="inlineStr">
        <is>
          <t>SO202510293</t>
        </is>
      </c>
      <c r="C253" s="4" t="inlineStr">
        <is>
          <t>镇江百味酒店管理集团</t>
        </is>
      </c>
      <c r="D253" s="4" t="inlineStr">
        <is>
          <t>复合调味粉</t>
        </is>
      </c>
      <c r="E253" s="4" t="inlineStr">
        <is>
          <t>A级</t>
        </is>
      </c>
      <c r="F253" s="18" t="n">
        <v>3850</v>
      </c>
      <c r="G253" s="15" t="n">
        <v>73.98</v>
      </c>
      <c r="H253" s="15" t="n">
        <v>284823</v>
      </c>
      <c r="I253" s="4" t="inlineStr">
        <is>
          <t>赣皖区域</t>
        </is>
      </c>
      <c r="J253" s="4" t="inlineStr">
        <is>
          <t>高丽芳</t>
        </is>
      </c>
    </row>
    <row r="254">
      <c r="A254" s="14" t="n">
        <v>45922</v>
      </c>
      <c r="B254" s="4" t="inlineStr">
        <is>
          <t>SO202510216</t>
        </is>
      </c>
      <c r="C254" s="4" t="inlineStr">
        <is>
          <t>南昌大匠酒店管理集团</t>
        </is>
      </c>
      <c r="D254" s="4" t="inlineStr">
        <is>
          <t>川味底料</t>
        </is>
      </c>
      <c r="E254" s="4" t="inlineStr">
        <is>
          <t>C级</t>
        </is>
      </c>
      <c r="F254" s="18" t="n">
        <v>3830</v>
      </c>
      <c r="G254" s="15" t="n">
        <v>67.94</v>
      </c>
      <c r="H254" s="15" t="n">
        <v>260210.2</v>
      </c>
      <c r="I254" s="4" t="inlineStr">
        <is>
          <t>江苏分部</t>
        </is>
      </c>
      <c r="J254" s="4" t="inlineStr">
        <is>
          <t>杨敏敏</t>
        </is>
      </c>
    </row>
    <row r="255">
      <c r="A255" s="14" t="n">
        <v>45925</v>
      </c>
      <c r="B255" s="4" t="inlineStr">
        <is>
          <t>SO202510125</t>
        </is>
      </c>
      <c r="C255" s="4" t="inlineStr">
        <is>
          <t>常州百味餐饮管理有限公司</t>
        </is>
      </c>
      <c r="D255" s="4" t="inlineStr">
        <is>
          <t>预制菜</t>
        </is>
      </c>
      <c r="E255" s="4" t="inlineStr">
        <is>
          <t>2.5kg</t>
        </is>
      </c>
      <c r="F255" s="18" t="n">
        <v>1330</v>
      </c>
      <c r="G255" s="15" t="n">
        <v>78.15000000000001</v>
      </c>
      <c r="H255" s="15" t="n">
        <v>103939.5</v>
      </c>
      <c r="I255" s="4" t="inlineStr">
        <is>
          <t>江苏分部</t>
        </is>
      </c>
      <c r="J255" s="4" t="inlineStr">
        <is>
          <t>黄芳敏</t>
        </is>
      </c>
    </row>
    <row r="256">
      <c r="A256" s="14" t="n">
        <v>45926</v>
      </c>
      <c r="B256" s="4" t="inlineStr">
        <is>
          <t>SO202510007</t>
        </is>
      </c>
      <c r="C256" s="4" t="inlineStr">
        <is>
          <t>温州食佳食品有限公司</t>
        </is>
      </c>
      <c r="D256" s="4" t="inlineStr">
        <is>
          <t>预制菜</t>
        </is>
      </c>
      <c r="E256" s="4" t="inlineStr">
        <is>
          <t>精装</t>
        </is>
      </c>
      <c r="F256" s="18" t="n">
        <v>190</v>
      </c>
      <c r="G256" s="15" t="n">
        <v>94.28</v>
      </c>
      <c r="H256" s="15" t="n">
        <v>17913.2</v>
      </c>
      <c r="I256" s="4" t="inlineStr">
        <is>
          <t>江苏分部</t>
        </is>
      </c>
      <c r="J256" s="4" t="inlineStr">
        <is>
          <t>李丽敏</t>
        </is>
      </c>
    </row>
    <row r="257">
      <c r="A257" s="14" t="n">
        <v>45926</v>
      </c>
      <c r="B257" s="4" t="inlineStr">
        <is>
          <t>SO202510340</t>
        </is>
      </c>
      <c r="C257" s="4" t="inlineStr">
        <is>
          <t>镇江淼沃食品有限公司</t>
        </is>
      </c>
      <c r="D257" s="4" t="inlineStr">
        <is>
          <t>调味汁</t>
        </is>
      </c>
      <c r="E257" s="4" t="inlineStr">
        <is>
          <t>25kg</t>
        </is>
      </c>
      <c r="F257" s="18" t="n">
        <v>3640</v>
      </c>
      <c r="G257" s="15" t="n">
        <v>51.51</v>
      </c>
      <c r="H257" s="15" t="n">
        <v>187496.4</v>
      </c>
      <c r="I257" s="4" t="inlineStr">
        <is>
          <t>上海分部</t>
        </is>
      </c>
      <c r="J257" s="4" t="inlineStr">
        <is>
          <t>高芳伟</t>
        </is>
      </c>
    </row>
    <row r="258">
      <c r="A258" s="14" t="n">
        <v>45927</v>
      </c>
      <c r="B258" s="4" t="inlineStr">
        <is>
          <t>SO202510186</t>
        </is>
      </c>
      <c r="C258" s="4" t="inlineStr">
        <is>
          <t>南昌食佳电商平台</t>
        </is>
      </c>
      <c r="D258" s="4" t="inlineStr">
        <is>
          <t>酱料</t>
        </is>
      </c>
      <c r="E258" s="4" t="inlineStr">
        <is>
          <t>B级</t>
        </is>
      </c>
      <c r="F258" s="18" t="n">
        <v>4220</v>
      </c>
      <c r="G258" s="15" t="n">
        <v>58.51</v>
      </c>
      <c r="H258" s="15" t="n">
        <v>246912.2</v>
      </c>
      <c r="I258" s="4" t="inlineStr">
        <is>
          <t>上海分部</t>
        </is>
      </c>
      <c r="J258" s="4" t="inlineStr">
        <is>
          <t>赵兰芳</t>
        </is>
      </c>
    </row>
    <row r="259">
      <c r="A259" s="14" t="n">
        <v>45927</v>
      </c>
      <c r="B259" s="4" t="inlineStr">
        <is>
          <t>SO202510254</t>
        </is>
      </c>
      <c r="C259" s="4" t="inlineStr">
        <is>
          <t>温州淼沃超市</t>
        </is>
      </c>
      <c r="D259" s="4" t="inlineStr">
        <is>
          <t>团餐</t>
        </is>
      </c>
      <c r="E259" s="4" t="inlineStr">
        <is>
          <t>B级</t>
        </is>
      </c>
      <c r="F259" s="18" t="n">
        <v>730</v>
      </c>
      <c r="G259" s="15" t="n">
        <v>69.37</v>
      </c>
      <c r="H259" s="15" t="n">
        <v>50640.1</v>
      </c>
      <c r="I259" s="4" t="inlineStr">
        <is>
          <t>浙江分部</t>
        </is>
      </c>
      <c r="J259" s="4" t="inlineStr">
        <is>
          <t>周勇娜</t>
        </is>
      </c>
    </row>
    <row r="260">
      <c r="A260" s="14" t="n">
        <v>45936</v>
      </c>
      <c r="B260" s="4" t="inlineStr">
        <is>
          <t>SO202510095</t>
        </is>
      </c>
      <c r="C260" s="4" t="inlineStr">
        <is>
          <t>温州食佳商贸有限公司</t>
        </is>
      </c>
      <c r="D260" s="4" t="inlineStr">
        <is>
          <t>团餐</t>
        </is>
      </c>
      <c r="E260" s="4" t="inlineStr">
        <is>
          <t>25kg</t>
        </is>
      </c>
      <c r="F260" s="18" t="n">
        <v>1300</v>
      </c>
      <c r="G260" s="15" t="n">
        <v>99.44</v>
      </c>
      <c r="H260" s="15" t="n">
        <v>129272</v>
      </c>
      <c r="I260" s="4" t="inlineStr">
        <is>
          <t>江苏分部</t>
        </is>
      </c>
      <c r="J260" s="4" t="inlineStr">
        <is>
          <t>胡丽芳</t>
        </is>
      </c>
    </row>
    <row r="261">
      <c r="A261" s="14" t="n">
        <v>45937</v>
      </c>
      <c r="B261" s="4" t="inlineStr">
        <is>
          <t>SO202510328</t>
        </is>
      </c>
      <c r="C261" s="4" t="inlineStr">
        <is>
          <t>宁波淼沃电商平台</t>
        </is>
      </c>
      <c r="D261" s="4" t="inlineStr">
        <is>
          <t>调味汁</t>
        </is>
      </c>
      <c r="E261" s="4" t="inlineStr">
        <is>
          <t>A级</t>
        </is>
      </c>
      <c r="F261" s="18" t="n">
        <v>500</v>
      </c>
      <c r="G261" s="15" t="n">
        <v>92.05</v>
      </c>
      <c r="H261" s="15" t="n">
        <v>46025</v>
      </c>
      <c r="I261" s="4" t="inlineStr">
        <is>
          <t>上海分部</t>
        </is>
      </c>
      <c r="J261" s="4" t="inlineStr">
        <is>
          <t>孙超伟</t>
        </is>
      </c>
    </row>
    <row r="262">
      <c r="A262" s="14" t="n">
        <v>45938</v>
      </c>
      <c r="B262" s="4" t="inlineStr">
        <is>
          <t>SO202510083</t>
        </is>
      </c>
      <c r="C262" s="4" t="inlineStr">
        <is>
          <t>常州优鲜供应链有限公司</t>
        </is>
      </c>
      <c r="D262" s="4" t="inlineStr">
        <is>
          <t>调味汁</t>
        </is>
      </c>
      <c r="E262" s="4" t="inlineStr">
        <is>
          <t>C级</t>
        </is>
      </c>
      <c r="F262" s="18" t="n">
        <v>2990</v>
      </c>
      <c r="G262" s="15" t="n">
        <v>27.85</v>
      </c>
      <c r="H262" s="15" t="n">
        <v>83271.5</v>
      </c>
      <c r="I262" s="4" t="inlineStr">
        <is>
          <t>赣皖区域</t>
        </is>
      </c>
      <c r="J262" s="4" t="inlineStr">
        <is>
          <t>刘敏娜</t>
        </is>
      </c>
    </row>
    <row r="263">
      <c r="A263" s="14" t="n">
        <v>45938</v>
      </c>
      <c r="B263" s="4" t="inlineStr">
        <is>
          <t>SO202510183</t>
        </is>
      </c>
      <c r="C263" s="4" t="inlineStr">
        <is>
          <t>上海食佳电商平台</t>
        </is>
      </c>
      <c r="D263" s="4" t="inlineStr">
        <is>
          <t>预制菜</t>
        </is>
      </c>
      <c r="E263" s="4" t="inlineStr">
        <is>
          <t>5kg</t>
        </is>
      </c>
      <c r="F263" s="18" t="n">
        <v>850</v>
      </c>
      <c r="G263" s="15" t="n">
        <v>9.949999999999999</v>
      </c>
      <c r="H263" s="15" t="n">
        <v>8457.5</v>
      </c>
      <c r="I263" s="4" t="inlineStr">
        <is>
          <t>浙江分部</t>
        </is>
      </c>
      <c r="J263" s="4" t="inlineStr">
        <is>
          <t>朱秀英</t>
        </is>
      </c>
    </row>
    <row r="264">
      <c r="A264" s="14" t="n">
        <v>45939</v>
      </c>
      <c r="B264" s="4" t="inlineStr">
        <is>
          <t>SO202510140</t>
        </is>
      </c>
      <c r="C264" s="4" t="inlineStr">
        <is>
          <t>苏州大匠电商平台</t>
        </is>
      </c>
      <c r="D264" s="4" t="inlineStr">
        <is>
          <t>预制菜</t>
        </is>
      </c>
      <c r="E264" s="4" t="inlineStr">
        <is>
          <t>特级</t>
        </is>
      </c>
      <c r="F264" s="18" t="n">
        <v>2410</v>
      </c>
      <c r="G264" s="15" t="n">
        <v>80.42</v>
      </c>
      <c r="H264" s="15" t="n">
        <v>193812.2</v>
      </c>
      <c r="I264" s="4" t="inlineStr">
        <is>
          <t>江苏分部</t>
        </is>
      </c>
      <c r="J264" s="4" t="inlineStr">
        <is>
          <t>赵超英</t>
        </is>
      </c>
    </row>
    <row r="265">
      <c r="A265" s="14" t="n">
        <v>45942</v>
      </c>
      <c r="B265" s="4" t="inlineStr">
        <is>
          <t>SO202510298</t>
        </is>
      </c>
      <c r="C265" s="4" t="inlineStr">
        <is>
          <t>南京优鲜商贸有限公司</t>
        </is>
      </c>
      <c r="D265" s="4" t="inlineStr">
        <is>
          <t>中式汤底</t>
        </is>
      </c>
      <c r="E265" s="4" t="inlineStr">
        <is>
          <t>A级</t>
        </is>
      </c>
      <c r="F265" s="18" t="n">
        <v>4400</v>
      </c>
      <c r="G265" s="15" t="n">
        <v>92.15000000000001</v>
      </c>
      <c r="H265" s="15" t="n">
        <v>405460</v>
      </c>
      <c r="I265" s="4" t="inlineStr">
        <is>
          <t>浙江分部</t>
        </is>
      </c>
      <c r="J265" s="4" t="inlineStr">
        <is>
          <t>徐英芳</t>
        </is>
      </c>
    </row>
    <row r="266">
      <c r="A266" s="14" t="n">
        <v>45944</v>
      </c>
      <c r="B266" s="4" t="inlineStr">
        <is>
          <t>SO202510157</t>
        </is>
      </c>
      <c r="C266" s="4" t="inlineStr">
        <is>
          <t>嘉兴优鲜餐饮管理有限公司</t>
        </is>
      </c>
      <c r="D266" s="4" t="inlineStr">
        <is>
          <t>预制菜</t>
        </is>
      </c>
      <c r="E266" s="4" t="inlineStr">
        <is>
          <t>5kg</t>
        </is>
      </c>
      <c r="F266" s="18" t="n">
        <v>3550</v>
      </c>
      <c r="G266" s="15" t="n">
        <v>82.64</v>
      </c>
      <c r="H266" s="15" t="n">
        <v>293372</v>
      </c>
      <c r="I266" s="4" t="inlineStr">
        <is>
          <t>上海分部</t>
        </is>
      </c>
      <c r="J266" s="4" t="inlineStr">
        <is>
          <t>胡英敏</t>
        </is>
      </c>
    </row>
    <row r="267">
      <c r="A267" s="14" t="n">
        <v>45944</v>
      </c>
      <c r="B267" s="4" t="inlineStr">
        <is>
          <t>SO202510290</t>
        </is>
      </c>
      <c r="C267" s="4" t="inlineStr">
        <is>
          <t>南京食佳商贸有限公司</t>
        </is>
      </c>
      <c r="D267" s="4" t="inlineStr">
        <is>
          <t>团餐</t>
        </is>
      </c>
      <c r="E267" s="4" t="inlineStr">
        <is>
          <t>特级</t>
        </is>
      </c>
      <c r="F267" s="18" t="n">
        <v>2080</v>
      </c>
      <c r="G267" s="15" t="n">
        <v>42.66</v>
      </c>
      <c r="H267" s="15" t="n">
        <v>88732.8</v>
      </c>
      <c r="I267" s="4" t="inlineStr">
        <is>
          <t>浙江分部</t>
        </is>
      </c>
      <c r="J267" s="4" t="inlineStr">
        <is>
          <t>朱勇敏</t>
        </is>
      </c>
    </row>
    <row r="268">
      <c r="A268" s="14" t="n">
        <v>45946</v>
      </c>
      <c r="B268" s="4" t="inlineStr">
        <is>
          <t>SO202510251</t>
        </is>
      </c>
      <c r="C268" s="4" t="inlineStr">
        <is>
          <t>嘉兴食佳食品有限公司</t>
        </is>
      </c>
      <c r="D268" s="4" t="inlineStr">
        <is>
          <t>预制菜</t>
        </is>
      </c>
      <c r="E268" s="4" t="inlineStr">
        <is>
          <t>C级</t>
        </is>
      </c>
      <c r="F268" s="18" t="n">
        <v>4680</v>
      </c>
      <c r="G268" s="15" t="n">
        <v>8.91</v>
      </c>
      <c r="H268" s="15" t="n">
        <v>41698.8</v>
      </c>
      <c r="I268" s="4" t="inlineStr">
        <is>
          <t>浙江分部</t>
        </is>
      </c>
      <c r="J268" s="4" t="inlineStr">
        <is>
          <t>朱静芳</t>
        </is>
      </c>
    </row>
    <row r="269">
      <c r="A269" s="14" t="n">
        <v>45947</v>
      </c>
      <c r="B269" s="4" t="inlineStr">
        <is>
          <t>SO202510190</t>
        </is>
      </c>
      <c r="C269" s="4" t="inlineStr">
        <is>
          <t>常州食佳供应链有限公司</t>
        </is>
      </c>
      <c r="D269" s="4" t="inlineStr">
        <is>
          <t>复合调味粉</t>
        </is>
      </c>
      <c r="E269" s="4" t="inlineStr">
        <is>
          <t>标准</t>
        </is>
      </c>
      <c r="F269" s="18" t="n">
        <v>3330</v>
      </c>
      <c r="G269" s="15" t="n">
        <v>62.82</v>
      </c>
      <c r="H269" s="15" t="n">
        <v>209190.6</v>
      </c>
      <c r="I269" s="4" t="inlineStr">
        <is>
          <t>上海分部</t>
        </is>
      </c>
      <c r="J269" s="4" t="inlineStr">
        <is>
          <t>胡涛娜</t>
        </is>
      </c>
    </row>
    <row r="270">
      <c r="A270" s="14" t="n">
        <v>45947</v>
      </c>
      <c r="B270" s="4" t="inlineStr">
        <is>
          <t>SO202510315</t>
        </is>
      </c>
      <c r="C270" s="4" t="inlineStr">
        <is>
          <t>嘉兴优鲜餐饮管理有限公司</t>
        </is>
      </c>
      <c r="D270" s="4" t="inlineStr">
        <is>
          <t>川味底料</t>
        </is>
      </c>
      <c r="E270" s="4" t="inlineStr">
        <is>
          <t>5kg</t>
        </is>
      </c>
      <c r="F270" s="18" t="n">
        <v>3880</v>
      </c>
      <c r="G270" s="15" t="n">
        <v>59.21</v>
      </c>
      <c r="H270" s="15" t="n">
        <v>229734.8</v>
      </c>
      <c r="I270" s="4" t="inlineStr">
        <is>
          <t>江苏分部</t>
        </is>
      </c>
      <c r="J270" s="4" t="inlineStr">
        <is>
          <t>孙娜敏</t>
        </is>
      </c>
    </row>
    <row r="271">
      <c r="A271" s="14" t="n">
        <v>45951</v>
      </c>
      <c r="B271" s="4" t="inlineStr">
        <is>
          <t>SO202510253</t>
        </is>
      </c>
      <c r="C271" s="4" t="inlineStr">
        <is>
          <t>常州京功酒店管理集团</t>
        </is>
      </c>
      <c r="D271" s="4" t="inlineStr">
        <is>
          <t>酱料</t>
        </is>
      </c>
      <c r="E271" s="4" t="inlineStr">
        <is>
          <t>C级</t>
        </is>
      </c>
      <c r="F271" s="18" t="n">
        <v>1250</v>
      </c>
      <c r="G271" s="15" t="n">
        <v>48.14</v>
      </c>
      <c r="H271" s="15" t="n">
        <v>60175</v>
      </c>
      <c r="I271" s="4" t="inlineStr">
        <is>
          <t>上海分部</t>
        </is>
      </c>
      <c r="J271" s="4" t="inlineStr">
        <is>
          <t>高涛芳</t>
        </is>
      </c>
    </row>
    <row r="272">
      <c r="A272" s="14" t="n">
        <v>45951</v>
      </c>
      <c r="B272" s="4" t="inlineStr">
        <is>
          <t>SO202510291</t>
        </is>
      </c>
      <c r="C272" s="4" t="inlineStr">
        <is>
          <t>宁波淼沃餐饮管理有限公司</t>
        </is>
      </c>
      <c r="D272" s="4" t="inlineStr">
        <is>
          <t>川味底料</t>
        </is>
      </c>
      <c r="E272" s="4" t="inlineStr">
        <is>
          <t>25kg</t>
        </is>
      </c>
      <c r="F272" s="18" t="n">
        <v>2360</v>
      </c>
      <c r="G272" s="15" t="n">
        <v>8.66</v>
      </c>
      <c r="H272" s="15" t="n">
        <v>20437.6</v>
      </c>
      <c r="I272" s="4" t="inlineStr">
        <is>
          <t>江苏分部</t>
        </is>
      </c>
      <c r="J272" s="4" t="inlineStr">
        <is>
          <t>郭英伟</t>
        </is>
      </c>
    </row>
    <row r="273">
      <c r="A273" s="14" t="n">
        <v>45953</v>
      </c>
      <c r="B273" s="4" t="inlineStr">
        <is>
          <t>SO202510203</t>
        </is>
      </c>
      <c r="C273" s="4" t="inlineStr">
        <is>
          <t>无锡食佳供应链有限公司</t>
        </is>
      </c>
      <c r="D273" s="4" t="inlineStr">
        <is>
          <t>复合调味粉</t>
        </is>
      </c>
      <c r="E273" s="4" t="inlineStr">
        <is>
          <t>500g</t>
        </is>
      </c>
      <c r="F273" s="18" t="n">
        <v>2700</v>
      </c>
      <c r="G273" s="15" t="n">
        <v>76.72</v>
      </c>
      <c r="H273" s="15" t="n">
        <v>207144</v>
      </c>
      <c r="I273" s="4" t="inlineStr">
        <is>
          <t>江苏分部</t>
        </is>
      </c>
      <c r="J273" s="4" t="inlineStr">
        <is>
          <t>刘超娜</t>
        </is>
      </c>
    </row>
    <row r="274">
      <c r="A274" s="14" t="n">
        <v>45955</v>
      </c>
      <c r="B274" s="4" t="inlineStr">
        <is>
          <t>SO202510255</t>
        </is>
      </c>
      <c r="C274" s="4" t="inlineStr">
        <is>
          <t>合肥京功电商平台</t>
        </is>
      </c>
      <c r="D274" s="4" t="inlineStr">
        <is>
          <t>中式汤底</t>
        </is>
      </c>
      <c r="E274" s="4" t="inlineStr">
        <is>
          <t>C级</t>
        </is>
      </c>
      <c r="F274" s="18" t="n">
        <v>4580</v>
      </c>
      <c r="G274" s="15" t="n">
        <v>58.67</v>
      </c>
      <c r="H274" s="15" t="n">
        <v>268708.6</v>
      </c>
      <c r="I274" s="4" t="inlineStr">
        <is>
          <t>浙江分部</t>
        </is>
      </c>
      <c r="J274" s="4" t="inlineStr">
        <is>
          <t>杨磊英</t>
        </is>
      </c>
    </row>
    <row r="275">
      <c r="A275" s="14" t="n">
        <v>45958</v>
      </c>
      <c r="B275" s="4" t="inlineStr">
        <is>
          <t>SO202510029</t>
        </is>
      </c>
      <c r="C275" s="4" t="inlineStr">
        <is>
          <t>杭州食佳供应链有限公司</t>
        </is>
      </c>
      <c r="D275" s="4" t="inlineStr">
        <is>
          <t>调味汁</t>
        </is>
      </c>
      <c r="E275" s="4" t="inlineStr">
        <is>
          <t>简装</t>
        </is>
      </c>
      <c r="F275" s="18" t="n">
        <v>2060</v>
      </c>
      <c r="G275" s="15" t="n">
        <v>64.03</v>
      </c>
      <c r="H275" s="15" t="n">
        <v>131901.8</v>
      </c>
      <c r="I275" s="4" t="inlineStr">
        <is>
          <t>江苏分部</t>
        </is>
      </c>
      <c r="J275" s="4" t="inlineStr">
        <is>
          <t>林英娜</t>
        </is>
      </c>
    </row>
    <row r="276">
      <c r="A276" s="14" t="n">
        <v>45958</v>
      </c>
      <c r="B276" s="4" t="inlineStr">
        <is>
          <t>SO202510123</t>
        </is>
      </c>
      <c r="C276" s="4" t="inlineStr">
        <is>
          <t>苏州优鲜酒店管理集团</t>
        </is>
      </c>
      <c r="D276" s="4" t="inlineStr">
        <is>
          <t>预制菜</t>
        </is>
      </c>
      <c r="E276" s="4" t="inlineStr">
        <is>
          <t>特级</t>
        </is>
      </c>
      <c r="F276" s="18" t="n">
        <v>3050</v>
      </c>
      <c r="G276" s="15" t="n">
        <v>14.85</v>
      </c>
      <c r="H276" s="15" t="n">
        <v>45292.5</v>
      </c>
      <c r="I276" s="4" t="inlineStr">
        <is>
          <t>赣皖区域</t>
        </is>
      </c>
      <c r="J276" s="4" t="inlineStr">
        <is>
          <t>马芳芳</t>
        </is>
      </c>
    </row>
    <row r="277">
      <c r="A277" s="14" t="n">
        <v>45958</v>
      </c>
      <c r="B277" s="4" t="inlineStr">
        <is>
          <t>SO202510149</t>
        </is>
      </c>
      <c r="C277" s="4" t="inlineStr">
        <is>
          <t>南京百味餐饮管理有限公司</t>
        </is>
      </c>
      <c r="D277" s="4" t="inlineStr">
        <is>
          <t>酱料</t>
        </is>
      </c>
      <c r="E277" s="4" t="inlineStr">
        <is>
          <t>B级</t>
        </is>
      </c>
      <c r="F277" s="18" t="n">
        <v>1300</v>
      </c>
      <c r="G277" s="15" t="n">
        <v>32.66</v>
      </c>
      <c r="H277" s="15" t="n">
        <v>42458</v>
      </c>
      <c r="I277" s="4" t="inlineStr">
        <is>
          <t>赣皖区域</t>
        </is>
      </c>
      <c r="J277" s="4" t="inlineStr">
        <is>
          <t>罗涛芳</t>
        </is>
      </c>
    </row>
    <row r="278">
      <c r="A278" s="14" t="n">
        <v>45962</v>
      </c>
      <c r="B278" s="4" t="inlineStr">
        <is>
          <t>SO202510126</t>
        </is>
      </c>
      <c r="C278" s="4" t="inlineStr">
        <is>
          <t>宁波食佳供应链有限公司</t>
        </is>
      </c>
      <c r="D278" s="4" t="inlineStr">
        <is>
          <t>调味汁</t>
        </is>
      </c>
      <c r="E278" s="4" t="inlineStr">
        <is>
          <t>精装</t>
        </is>
      </c>
      <c r="F278" s="18" t="n">
        <v>1220</v>
      </c>
      <c r="G278" s="15" t="n">
        <v>50.9</v>
      </c>
      <c r="H278" s="15" t="n">
        <v>62098</v>
      </c>
      <c r="I278" s="4" t="inlineStr">
        <is>
          <t>赣皖区域</t>
        </is>
      </c>
      <c r="J278" s="4" t="inlineStr">
        <is>
          <t>罗磊娜</t>
        </is>
      </c>
    </row>
    <row r="279">
      <c r="A279" s="14" t="n">
        <v>45963</v>
      </c>
      <c r="B279" s="4" t="inlineStr">
        <is>
          <t>SO202510017</t>
        </is>
      </c>
      <c r="C279" s="4" t="inlineStr">
        <is>
          <t>合肥食佳电商平台</t>
        </is>
      </c>
      <c r="D279" s="4" t="inlineStr">
        <is>
          <t>团餐</t>
        </is>
      </c>
      <c r="E279" s="4" t="inlineStr">
        <is>
          <t>500g</t>
        </is>
      </c>
      <c r="F279" s="18" t="n">
        <v>3030</v>
      </c>
      <c r="G279" s="15" t="n">
        <v>39.73</v>
      </c>
      <c r="H279" s="15" t="n">
        <v>120381.9</v>
      </c>
      <c r="I279" s="4" t="inlineStr">
        <is>
          <t>浙江分部</t>
        </is>
      </c>
      <c r="J279" s="4" t="inlineStr">
        <is>
          <t>何敏秀</t>
        </is>
      </c>
    </row>
    <row r="280">
      <c r="A280" s="14" t="n">
        <v>45964</v>
      </c>
      <c r="B280" s="4" t="inlineStr">
        <is>
          <t>SO202510092</t>
        </is>
      </c>
      <c r="C280" s="4" t="inlineStr">
        <is>
          <t>杭州百味餐饮管理有限公司</t>
        </is>
      </c>
      <c r="D280" s="4" t="inlineStr">
        <is>
          <t>中式汤底</t>
        </is>
      </c>
      <c r="E280" s="4" t="inlineStr">
        <is>
          <t>1kg</t>
        </is>
      </c>
      <c r="F280" s="18" t="n">
        <v>330</v>
      </c>
      <c r="G280" s="15" t="n">
        <v>49.25</v>
      </c>
      <c r="H280" s="15" t="n">
        <v>16252.5</v>
      </c>
      <c r="I280" s="4" t="inlineStr">
        <is>
          <t>赣皖区域</t>
        </is>
      </c>
      <c r="J280" s="4" t="inlineStr">
        <is>
          <t>张静敏</t>
        </is>
      </c>
    </row>
    <row r="281">
      <c r="A281" s="14" t="n">
        <v>45964</v>
      </c>
      <c r="B281" s="4" t="inlineStr">
        <is>
          <t>SO202510164</t>
        </is>
      </c>
      <c r="C281" s="4" t="inlineStr">
        <is>
          <t>杭州大匠食品有限公司</t>
        </is>
      </c>
      <c r="D281" s="4" t="inlineStr">
        <is>
          <t>酱料</t>
        </is>
      </c>
      <c r="E281" s="4" t="inlineStr">
        <is>
          <t>5kg</t>
        </is>
      </c>
      <c r="F281" s="18" t="n">
        <v>2390</v>
      </c>
      <c r="G281" s="15" t="n">
        <v>59.31</v>
      </c>
      <c r="H281" s="15" t="n">
        <v>141750.9</v>
      </c>
      <c r="I281" s="4" t="inlineStr">
        <is>
          <t>上海分部</t>
        </is>
      </c>
      <c r="J281" s="4" t="inlineStr">
        <is>
          <t>周英英</t>
        </is>
      </c>
    </row>
    <row r="282">
      <c r="A282" s="14" t="n">
        <v>45966</v>
      </c>
      <c r="B282" s="4" t="inlineStr">
        <is>
          <t>SO202510027</t>
        </is>
      </c>
      <c r="C282" s="4" t="inlineStr">
        <is>
          <t>宁波京功酒店管理集团</t>
        </is>
      </c>
      <c r="D282" s="4" t="inlineStr">
        <is>
          <t>中式汤底</t>
        </is>
      </c>
      <c r="E282" s="4" t="inlineStr">
        <is>
          <t>精装</t>
        </is>
      </c>
      <c r="F282" s="18" t="n">
        <v>4370</v>
      </c>
      <c r="G282" s="15" t="n">
        <v>12.59</v>
      </c>
      <c r="H282" s="15" t="n">
        <v>55018.3</v>
      </c>
      <c r="I282" s="4" t="inlineStr">
        <is>
          <t>上海分部</t>
        </is>
      </c>
      <c r="J282" s="4" t="inlineStr">
        <is>
          <t>陈勇娜</t>
        </is>
      </c>
    </row>
    <row r="283">
      <c r="A283" s="14" t="n">
        <v>45966</v>
      </c>
      <c r="B283" s="4" t="inlineStr">
        <is>
          <t>SO202510141</t>
        </is>
      </c>
      <c r="C283" s="4" t="inlineStr">
        <is>
          <t>南京百味电商平台</t>
        </is>
      </c>
      <c r="D283" s="4" t="inlineStr">
        <is>
          <t>调味汁</t>
        </is>
      </c>
      <c r="E283" s="4" t="inlineStr">
        <is>
          <t>10kg</t>
        </is>
      </c>
      <c r="F283" s="18" t="n">
        <v>3470</v>
      </c>
      <c r="G283" s="15" t="n">
        <v>73.91</v>
      </c>
      <c r="H283" s="15" t="n">
        <v>256467.7</v>
      </c>
      <c r="I283" s="4" t="inlineStr">
        <is>
          <t>赣皖区域</t>
        </is>
      </c>
      <c r="J283" s="4" t="inlineStr">
        <is>
          <t>徐伟秀</t>
        </is>
      </c>
    </row>
    <row r="284">
      <c r="A284" s="14" t="n">
        <v>45967</v>
      </c>
      <c r="B284" s="4" t="inlineStr">
        <is>
          <t>SO202510082</t>
        </is>
      </c>
      <c r="C284" s="4" t="inlineStr">
        <is>
          <t>温州淼沃商贸有限公司</t>
        </is>
      </c>
      <c r="D284" s="4" t="inlineStr">
        <is>
          <t>川味底料</t>
        </is>
      </c>
      <c r="E284" s="4" t="inlineStr">
        <is>
          <t>C级</t>
        </is>
      </c>
      <c r="F284" s="18" t="n">
        <v>720</v>
      </c>
      <c r="G284" s="15" t="n">
        <v>79.37</v>
      </c>
      <c r="H284" s="15" t="n">
        <v>57146.4</v>
      </c>
      <c r="I284" s="4" t="inlineStr">
        <is>
          <t>赣皖区域</t>
        </is>
      </c>
      <c r="J284" s="4" t="inlineStr">
        <is>
          <t>马娟伟</t>
        </is>
      </c>
    </row>
    <row r="285">
      <c r="A285" s="14" t="n">
        <v>45968</v>
      </c>
      <c r="B285" s="4" t="inlineStr">
        <is>
          <t>SO202510282</t>
        </is>
      </c>
      <c r="C285" s="4" t="inlineStr">
        <is>
          <t>上海优鲜餐饮管理有限公司</t>
        </is>
      </c>
      <c r="D285" s="4" t="inlineStr">
        <is>
          <t>中式汤底</t>
        </is>
      </c>
      <c r="E285" s="4" t="inlineStr">
        <is>
          <t>B级</t>
        </is>
      </c>
      <c r="F285" s="18" t="n">
        <v>4710</v>
      </c>
      <c r="G285" s="15" t="n">
        <v>16.01</v>
      </c>
      <c r="H285" s="15" t="n">
        <v>75407.10000000001</v>
      </c>
      <c r="I285" s="4" t="inlineStr">
        <is>
          <t>上海分部</t>
        </is>
      </c>
      <c r="J285" s="4" t="inlineStr">
        <is>
          <t>胡涛伟</t>
        </is>
      </c>
    </row>
    <row r="286">
      <c r="A286" s="14" t="n">
        <v>45969</v>
      </c>
      <c r="B286" s="4" t="inlineStr">
        <is>
          <t>SO202510065</t>
        </is>
      </c>
      <c r="C286" s="4" t="inlineStr">
        <is>
          <t>南昌百味酒店管理集团</t>
        </is>
      </c>
      <c r="D286" s="4" t="inlineStr">
        <is>
          <t>预制菜</t>
        </is>
      </c>
      <c r="E286" s="4" t="inlineStr">
        <is>
          <t>B级</t>
        </is>
      </c>
      <c r="F286" s="18" t="n">
        <v>3190</v>
      </c>
      <c r="G286" s="15" t="n">
        <v>17.46</v>
      </c>
      <c r="H286" s="15" t="n">
        <v>55697.4</v>
      </c>
      <c r="I286" s="4" t="inlineStr">
        <is>
          <t>上海分部</t>
        </is>
      </c>
      <c r="J286" s="4" t="inlineStr">
        <is>
          <t>何娟敏</t>
        </is>
      </c>
    </row>
    <row r="287">
      <c r="A287" s="14" t="n">
        <v>45969</v>
      </c>
      <c r="B287" s="4" t="inlineStr">
        <is>
          <t>SO202510077</t>
        </is>
      </c>
      <c r="C287" s="4" t="inlineStr">
        <is>
          <t>上海淼沃超市</t>
        </is>
      </c>
      <c r="D287" s="4" t="inlineStr">
        <is>
          <t>团餐</t>
        </is>
      </c>
      <c r="E287" s="4" t="inlineStr">
        <is>
          <t>C级</t>
        </is>
      </c>
      <c r="F287" s="18" t="n">
        <v>2120</v>
      </c>
      <c r="G287" s="15" t="n">
        <v>85.97</v>
      </c>
      <c r="H287" s="15" t="n">
        <v>182256.4</v>
      </c>
      <c r="I287" s="4" t="inlineStr">
        <is>
          <t>浙江分部</t>
        </is>
      </c>
      <c r="J287" s="4" t="inlineStr">
        <is>
          <t>朱娜英</t>
        </is>
      </c>
    </row>
    <row r="288">
      <c r="A288" s="14" t="n">
        <v>45970</v>
      </c>
      <c r="B288" s="4" t="inlineStr">
        <is>
          <t>SO202510297</t>
        </is>
      </c>
      <c r="C288" s="4" t="inlineStr">
        <is>
          <t>无锡京功供应链有限公司</t>
        </is>
      </c>
      <c r="D288" s="4" t="inlineStr">
        <is>
          <t>中式汤底</t>
        </is>
      </c>
      <c r="E288" s="4" t="inlineStr">
        <is>
          <t>500g</t>
        </is>
      </c>
      <c r="F288" s="18" t="n">
        <v>3960</v>
      </c>
      <c r="G288" s="15" t="n">
        <v>60.81</v>
      </c>
      <c r="H288" s="15" t="n">
        <v>240807.6</v>
      </c>
      <c r="I288" s="4" t="inlineStr">
        <is>
          <t>赣皖区域</t>
        </is>
      </c>
      <c r="J288" s="4" t="inlineStr">
        <is>
          <t>胡秀娜</t>
        </is>
      </c>
    </row>
    <row r="289">
      <c r="A289" s="14" t="n">
        <v>45971</v>
      </c>
      <c r="B289" s="4" t="inlineStr">
        <is>
          <t>SO202510111</t>
        </is>
      </c>
      <c r="C289" s="4" t="inlineStr">
        <is>
          <t>镇江淼沃食品有限公司</t>
        </is>
      </c>
      <c r="D289" s="4" t="inlineStr">
        <is>
          <t>酱料</t>
        </is>
      </c>
      <c r="E289" s="4" t="inlineStr">
        <is>
          <t>C级</t>
        </is>
      </c>
      <c r="F289" s="18" t="n">
        <v>1800</v>
      </c>
      <c r="G289" s="15" t="n">
        <v>92.31999999999999</v>
      </c>
      <c r="H289" s="15" t="n">
        <v>166176</v>
      </c>
      <c r="I289" s="4" t="inlineStr">
        <is>
          <t>上海分部</t>
        </is>
      </c>
      <c r="J289" s="4" t="inlineStr">
        <is>
          <t>吴涛秀</t>
        </is>
      </c>
    </row>
    <row r="290">
      <c r="A290" s="14" t="n">
        <v>45971</v>
      </c>
      <c r="B290" s="4" t="inlineStr">
        <is>
          <t>SO202510169</t>
        </is>
      </c>
      <c r="C290" s="4" t="inlineStr">
        <is>
          <t>上海京功食品有限公司</t>
        </is>
      </c>
      <c r="D290" s="4" t="inlineStr">
        <is>
          <t>调味汁</t>
        </is>
      </c>
      <c r="E290" s="4" t="inlineStr">
        <is>
          <t>A级</t>
        </is>
      </c>
      <c r="F290" s="18" t="n">
        <v>430</v>
      </c>
      <c r="G290" s="15" t="n">
        <v>67.79000000000001</v>
      </c>
      <c r="H290" s="15" t="n">
        <v>29149.7</v>
      </c>
      <c r="I290" s="4" t="inlineStr">
        <is>
          <t>赣皖区域</t>
        </is>
      </c>
      <c r="J290" s="4" t="inlineStr">
        <is>
          <t>王秀伟</t>
        </is>
      </c>
    </row>
    <row r="291">
      <c r="A291" s="14" t="n">
        <v>45972</v>
      </c>
      <c r="B291" s="4" t="inlineStr">
        <is>
          <t>SO202510331</t>
        </is>
      </c>
      <c r="C291" s="4" t="inlineStr">
        <is>
          <t>苏州大匠供应链有限公司</t>
        </is>
      </c>
      <c r="D291" s="4" t="inlineStr">
        <is>
          <t>调味汁</t>
        </is>
      </c>
      <c r="E291" s="4" t="inlineStr">
        <is>
          <t>10kg</t>
        </is>
      </c>
      <c r="F291" s="18" t="n">
        <v>2240</v>
      </c>
      <c r="G291" s="15" t="n">
        <v>36.12</v>
      </c>
      <c r="H291" s="15" t="n">
        <v>80908.8</v>
      </c>
      <c r="I291" s="4" t="inlineStr">
        <is>
          <t>赣皖区域</t>
        </is>
      </c>
      <c r="J291" s="4" t="inlineStr">
        <is>
          <t>胡超娜</t>
        </is>
      </c>
    </row>
    <row r="292">
      <c r="A292" s="14" t="n">
        <v>45973</v>
      </c>
      <c r="B292" s="4" t="inlineStr">
        <is>
          <t>SO202510180</t>
        </is>
      </c>
      <c r="C292" s="4" t="inlineStr">
        <is>
          <t>南京食佳供应链有限公司</t>
        </is>
      </c>
      <c r="D292" s="4" t="inlineStr">
        <is>
          <t>调味汁</t>
        </is>
      </c>
      <c r="E292" s="4" t="inlineStr">
        <is>
          <t>特级</t>
        </is>
      </c>
      <c r="F292" s="18" t="n">
        <v>1310</v>
      </c>
      <c r="G292" s="15" t="n">
        <v>28.39</v>
      </c>
      <c r="H292" s="15" t="n">
        <v>37190.9</v>
      </c>
      <c r="I292" s="4" t="inlineStr">
        <is>
          <t>浙江分部</t>
        </is>
      </c>
      <c r="J292" s="4" t="inlineStr">
        <is>
          <t>高超秀</t>
        </is>
      </c>
    </row>
    <row r="293">
      <c r="A293" s="14" t="n">
        <v>45974</v>
      </c>
      <c r="B293" s="4" t="inlineStr">
        <is>
          <t>SO202510087</t>
        </is>
      </c>
      <c r="C293" s="4" t="inlineStr">
        <is>
          <t>南昌百味供应链有限公司</t>
        </is>
      </c>
      <c r="D293" s="4" t="inlineStr">
        <is>
          <t>团餐</t>
        </is>
      </c>
      <c r="E293" s="4" t="inlineStr">
        <is>
          <t>精装</t>
        </is>
      </c>
      <c r="F293" s="18" t="n">
        <v>4560</v>
      </c>
      <c r="G293" s="15" t="n">
        <v>18.77</v>
      </c>
      <c r="H293" s="15" t="n">
        <v>85591.2</v>
      </c>
      <c r="I293" s="4" t="inlineStr">
        <is>
          <t>江苏分部</t>
        </is>
      </c>
      <c r="J293" s="4" t="inlineStr">
        <is>
          <t>罗芳芳</t>
        </is>
      </c>
    </row>
    <row r="294">
      <c r="A294" s="14" t="n">
        <v>45975</v>
      </c>
      <c r="B294" s="4" t="inlineStr">
        <is>
          <t>SO202510266</t>
        </is>
      </c>
      <c r="C294" s="4" t="inlineStr">
        <is>
          <t>杭州京功食品有限公司</t>
        </is>
      </c>
      <c r="D294" s="4" t="inlineStr">
        <is>
          <t>预制菜</t>
        </is>
      </c>
      <c r="E294" s="4" t="inlineStr">
        <is>
          <t>5kg</t>
        </is>
      </c>
      <c r="F294" s="18" t="n">
        <v>2180</v>
      </c>
      <c r="G294" s="15" t="n">
        <v>5.29</v>
      </c>
      <c r="H294" s="15" t="n">
        <v>11532.2</v>
      </c>
      <c r="I294" s="4" t="inlineStr">
        <is>
          <t>浙江分部</t>
        </is>
      </c>
      <c r="J294" s="4" t="inlineStr">
        <is>
          <t>李兰秀</t>
        </is>
      </c>
    </row>
    <row r="295">
      <c r="A295" s="14" t="n">
        <v>45976</v>
      </c>
      <c r="B295" s="4" t="inlineStr">
        <is>
          <t>SO202510153</t>
        </is>
      </c>
      <c r="C295" s="4" t="inlineStr">
        <is>
          <t>南昌京功电商平台</t>
        </is>
      </c>
      <c r="D295" s="4" t="inlineStr">
        <is>
          <t>调味汁</t>
        </is>
      </c>
      <c r="E295" s="4" t="inlineStr">
        <is>
          <t>1kg</t>
        </is>
      </c>
      <c r="F295" s="18" t="n">
        <v>3840</v>
      </c>
      <c r="G295" s="15" t="n">
        <v>29.77</v>
      </c>
      <c r="H295" s="15" t="n">
        <v>114316.8</v>
      </c>
      <c r="I295" s="4" t="inlineStr">
        <is>
          <t>上海分部</t>
        </is>
      </c>
      <c r="J295" s="4" t="inlineStr">
        <is>
          <t>徐磊英</t>
        </is>
      </c>
    </row>
    <row r="296">
      <c r="A296" s="14" t="n">
        <v>45977</v>
      </c>
      <c r="B296" s="4" t="inlineStr">
        <is>
          <t>SO202510247</t>
        </is>
      </c>
      <c r="C296" s="4" t="inlineStr">
        <is>
          <t>苏州淼沃酒店管理集团</t>
        </is>
      </c>
      <c r="D296" s="4" t="inlineStr">
        <is>
          <t>团餐</t>
        </is>
      </c>
      <c r="E296" s="4" t="inlineStr">
        <is>
          <t>25kg</t>
        </is>
      </c>
      <c r="F296" s="18" t="n">
        <v>2580</v>
      </c>
      <c r="G296" s="15" t="n">
        <v>73.48999999999999</v>
      </c>
      <c r="H296" s="15" t="n">
        <v>189604.2</v>
      </c>
      <c r="I296" s="4" t="inlineStr">
        <is>
          <t>赣皖区域</t>
        </is>
      </c>
      <c r="J296" s="4" t="inlineStr">
        <is>
          <t>王洋敏</t>
        </is>
      </c>
    </row>
    <row r="297">
      <c r="A297" s="14" t="n">
        <v>45977</v>
      </c>
      <c r="B297" s="4" t="inlineStr">
        <is>
          <t>SO202510327</t>
        </is>
      </c>
      <c r="C297" s="4" t="inlineStr">
        <is>
          <t>嘉兴京功超市</t>
        </is>
      </c>
      <c r="D297" s="4" t="inlineStr">
        <is>
          <t>复合调味粉</t>
        </is>
      </c>
      <c r="E297" s="4" t="inlineStr">
        <is>
          <t>25kg</t>
        </is>
      </c>
      <c r="F297" s="18" t="n">
        <v>1830</v>
      </c>
      <c r="G297" s="15" t="n">
        <v>62.37</v>
      </c>
      <c r="H297" s="15" t="n">
        <v>114137.1</v>
      </c>
      <c r="I297" s="4" t="inlineStr">
        <is>
          <t>江苏分部</t>
        </is>
      </c>
      <c r="J297" s="4" t="inlineStr">
        <is>
          <t>林杰伟</t>
        </is>
      </c>
    </row>
    <row r="298">
      <c r="A298" s="14" t="n">
        <v>45980</v>
      </c>
      <c r="B298" s="4" t="inlineStr">
        <is>
          <t>SO202510042</t>
        </is>
      </c>
      <c r="C298" s="4" t="inlineStr">
        <is>
          <t>南京百味超市</t>
        </is>
      </c>
      <c r="D298" s="4" t="inlineStr">
        <is>
          <t>调味汁</t>
        </is>
      </c>
      <c r="E298" s="4" t="inlineStr">
        <is>
          <t>10kg</t>
        </is>
      </c>
      <c r="F298" s="18" t="n">
        <v>40</v>
      </c>
      <c r="G298" s="15" t="n">
        <v>39.87</v>
      </c>
      <c r="H298" s="15" t="n">
        <v>1594.8</v>
      </c>
      <c r="I298" s="4" t="inlineStr">
        <is>
          <t>江苏分部</t>
        </is>
      </c>
      <c r="J298" s="4" t="inlineStr">
        <is>
          <t>李明英</t>
        </is>
      </c>
    </row>
    <row r="299">
      <c r="A299" s="14" t="n">
        <v>45982</v>
      </c>
      <c r="B299" s="4" t="inlineStr">
        <is>
          <t>SO202510127</t>
        </is>
      </c>
      <c r="C299" s="4" t="inlineStr">
        <is>
          <t>宁波京功超市</t>
        </is>
      </c>
      <c r="D299" s="4" t="inlineStr">
        <is>
          <t>团餐</t>
        </is>
      </c>
      <c r="E299" s="4" t="inlineStr">
        <is>
          <t>2.5kg</t>
        </is>
      </c>
      <c r="F299" s="18" t="n">
        <v>1300</v>
      </c>
      <c r="G299" s="15" t="n">
        <v>87.28</v>
      </c>
      <c r="H299" s="15" t="n">
        <v>113464</v>
      </c>
      <c r="I299" s="4" t="inlineStr">
        <is>
          <t>浙江分部</t>
        </is>
      </c>
      <c r="J299" s="4" t="inlineStr">
        <is>
          <t>王娟秀</t>
        </is>
      </c>
    </row>
    <row r="300">
      <c r="A300" s="14" t="n">
        <v>45982</v>
      </c>
      <c r="B300" s="4" t="inlineStr">
        <is>
          <t>SO202510130</t>
        </is>
      </c>
      <c r="C300" s="4" t="inlineStr">
        <is>
          <t>南京食佳餐饮管理有限公司</t>
        </is>
      </c>
      <c r="D300" s="4" t="inlineStr">
        <is>
          <t>团餐</t>
        </is>
      </c>
      <c r="E300" s="4" t="inlineStr">
        <is>
          <t>1kg</t>
        </is>
      </c>
      <c r="F300" s="18" t="n">
        <v>4420</v>
      </c>
      <c r="G300" s="15" t="n">
        <v>57.85</v>
      </c>
      <c r="H300" s="15" t="n">
        <v>255697</v>
      </c>
      <c r="I300" s="4" t="inlineStr">
        <is>
          <t>上海分部</t>
        </is>
      </c>
      <c r="J300" s="4" t="inlineStr">
        <is>
          <t>高杰娜</t>
        </is>
      </c>
    </row>
    <row r="301">
      <c r="A301" s="14" t="n">
        <v>45982</v>
      </c>
      <c r="B301" s="4" t="inlineStr">
        <is>
          <t>SO202510198</t>
        </is>
      </c>
      <c r="C301" s="4" t="inlineStr">
        <is>
          <t>上海大匠餐饮管理有限公司</t>
        </is>
      </c>
      <c r="D301" s="4" t="inlineStr">
        <is>
          <t>酱料</t>
        </is>
      </c>
      <c r="E301" s="4" t="inlineStr">
        <is>
          <t>5kg</t>
        </is>
      </c>
      <c r="F301" s="18" t="n">
        <v>1460</v>
      </c>
      <c r="G301" s="15" t="n">
        <v>31.58</v>
      </c>
      <c r="H301" s="15" t="n">
        <v>46106.8</v>
      </c>
      <c r="I301" s="4" t="inlineStr">
        <is>
          <t>江苏分部</t>
        </is>
      </c>
      <c r="J301" s="4" t="inlineStr">
        <is>
          <t>李秀芳</t>
        </is>
      </c>
    </row>
    <row r="302">
      <c r="A302" s="14" t="n">
        <v>45982</v>
      </c>
      <c r="B302" s="4" t="inlineStr">
        <is>
          <t>SO202510279</t>
        </is>
      </c>
      <c r="C302" s="4" t="inlineStr">
        <is>
          <t>苏州淼沃酒店管理集团</t>
        </is>
      </c>
      <c r="D302" s="4" t="inlineStr">
        <is>
          <t>川味底料</t>
        </is>
      </c>
      <c r="E302" s="4" t="inlineStr">
        <is>
          <t>25kg</t>
        </is>
      </c>
      <c r="F302" s="18" t="n">
        <v>2300</v>
      </c>
      <c r="G302" s="15" t="n">
        <v>41.99</v>
      </c>
      <c r="H302" s="15" t="n">
        <v>96577</v>
      </c>
      <c r="I302" s="4" t="inlineStr">
        <is>
          <t>上海分部</t>
        </is>
      </c>
      <c r="J302" s="4" t="inlineStr">
        <is>
          <t>黄芳娜</t>
        </is>
      </c>
    </row>
    <row r="303">
      <c r="A303" s="14" t="n">
        <v>45983</v>
      </c>
      <c r="B303" s="4" t="inlineStr">
        <is>
          <t>SO202510278</t>
        </is>
      </c>
      <c r="C303" s="4" t="inlineStr">
        <is>
          <t>南昌百味食品有限公司</t>
        </is>
      </c>
      <c r="D303" s="4" t="inlineStr">
        <is>
          <t>预制菜</t>
        </is>
      </c>
      <c r="E303" s="4" t="inlineStr">
        <is>
          <t>5kg</t>
        </is>
      </c>
      <c r="F303" s="18" t="n">
        <v>240</v>
      </c>
      <c r="G303" s="15" t="n">
        <v>7.67</v>
      </c>
      <c r="H303" s="15" t="n">
        <v>1840.8</v>
      </c>
      <c r="I303" s="4" t="inlineStr">
        <is>
          <t>上海分部</t>
        </is>
      </c>
      <c r="J303" s="4" t="inlineStr">
        <is>
          <t>何秀芳</t>
        </is>
      </c>
    </row>
    <row r="304">
      <c r="A304" s="14" t="n">
        <v>45983</v>
      </c>
      <c r="B304" s="4" t="inlineStr">
        <is>
          <t>SO202510314</t>
        </is>
      </c>
      <c r="C304" s="4" t="inlineStr">
        <is>
          <t>杭州淼沃食品有限公司</t>
        </is>
      </c>
      <c r="D304" s="4" t="inlineStr">
        <is>
          <t>复合调味粉</t>
        </is>
      </c>
      <c r="E304" s="4" t="inlineStr">
        <is>
          <t>C级</t>
        </is>
      </c>
      <c r="F304" s="18" t="n">
        <v>4420</v>
      </c>
      <c r="G304" s="15" t="n">
        <v>23.73</v>
      </c>
      <c r="H304" s="15" t="n">
        <v>104886.6</v>
      </c>
      <c r="I304" s="4" t="inlineStr">
        <is>
          <t>江苏分部</t>
        </is>
      </c>
      <c r="J304" s="4" t="inlineStr">
        <is>
          <t>孙伟芳</t>
        </is>
      </c>
    </row>
    <row r="305">
      <c r="A305" s="14" t="n">
        <v>45984</v>
      </c>
      <c r="B305" s="4" t="inlineStr">
        <is>
          <t>SO202510173</t>
        </is>
      </c>
      <c r="C305" s="4" t="inlineStr">
        <is>
          <t>上海大匠酒店管理集团</t>
        </is>
      </c>
      <c r="D305" s="4" t="inlineStr">
        <is>
          <t>团餐</t>
        </is>
      </c>
      <c r="E305" s="4" t="inlineStr">
        <is>
          <t>2.5kg</t>
        </is>
      </c>
      <c r="F305" s="18" t="n">
        <v>3400</v>
      </c>
      <c r="G305" s="15" t="n">
        <v>86.36</v>
      </c>
      <c r="H305" s="15" t="n">
        <v>293624</v>
      </c>
      <c r="I305" s="4" t="inlineStr">
        <is>
          <t>赣皖区域</t>
        </is>
      </c>
      <c r="J305" s="4" t="inlineStr">
        <is>
          <t>罗杰娜</t>
        </is>
      </c>
    </row>
    <row r="306">
      <c r="A306" s="14" t="n">
        <v>45985</v>
      </c>
      <c r="B306" s="4" t="inlineStr">
        <is>
          <t>SO202510289</t>
        </is>
      </c>
      <c r="C306" s="4" t="inlineStr">
        <is>
          <t>温州大匠商贸有限公司</t>
        </is>
      </c>
      <c r="D306" s="4" t="inlineStr">
        <is>
          <t>预制菜</t>
        </is>
      </c>
      <c r="E306" s="4" t="inlineStr">
        <is>
          <t>2.5kg</t>
        </is>
      </c>
      <c r="F306" s="18" t="n">
        <v>2850</v>
      </c>
      <c r="G306" s="15" t="n">
        <v>83.26000000000001</v>
      </c>
      <c r="H306" s="15" t="n">
        <v>237291</v>
      </c>
      <c r="I306" s="4" t="inlineStr">
        <is>
          <t>江苏分部</t>
        </is>
      </c>
      <c r="J306" s="4" t="inlineStr">
        <is>
          <t>马涛英</t>
        </is>
      </c>
    </row>
    <row r="307">
      <c r="A307" s="14" t="n">
        <v>45986</v>
      </c>
      <c r="B307" s="4" t="inlineStr">
        <is>
          <t>SO202510075</t>
        </is>
      </c>
      <c r="C307" s="4" t="inlineStr">
        <is>
          <t>嘉兴食佳餐饮管理有限公司</t>
        </is>
      </c>
      <c r="D307" s="4" t="inlineStr">
        <is>
          <t>酱料</t>
        </is>
      </c>
      <c r="E307" s="4" t="inlineStr">
        <is>
          <t>5kg</t>
        </is>
      </c>
      <c r="F307" s="18" t="n">
        <v>2720</v>
      </c>
      <c r="G307" s="15" t="n">
        <v>85.73999999999999</v>
      </c>
      <c r="H307" s="15" t="n">
        <v>233212.8</v>
      </c>
      <c r="I307" s="4" t="inlineStr">
        <is>
          <t>赣皖区域</t>
        </is>
      </c>
      <c r="J307" s="4" t="inlineStr">
        <is>
          <t>罗芳敏</t>
        </is>
      </c>
    </row>
    <row r="308">
      <c r="A308" s="14" t="n">
        <v>45987</v>
      </c>
      <c r="B308" s="4" t="inlineStr">
        <is>
          <t>SO202510136</t>
        </is>
      </c>
      <c r="C308" s="4" t="inlineStr">
        <is>
          <t>南昌优鲜商贸有限公司</t>
        </is>
      </c>
      <c r="D308" s="4" t="inlineStr">
        <is>
          <t>调味汁</t>
        </is>
      </c>
      <c r="E308" s="4" t="inlineStr">
        <is>
          <t>2.5kg</t>
        </is>
      </c>
      <c r="F308" s="18" t="n">
        <v>1620</v>
      </c>
      <c r="G308" s="15" t="n">
        <v>21.57</v>
      </c>
      <c r="H308" s="15" t="n">
        <v>34943.4</v>
      </c>
      <c r="I308" s="4" t="inlineStr">
        <is>
          <t>赣皖区域</t>
        </is>
      </c>
      <c r="J308" s="4" t="inlineStr">
        <is>
          <t>徐秀娜</t>
        </is>
      </c>
    </row>
    <row r="309">
      <c r="A309" s="14" t="n">
        <v>45987</v>
      </c>
      <c r="B309" s="4" t="inlineStr">
        <is>
          <t>SO202510269</t>
        </is>
      </c>
      <c r="C309" s="4" t="inlineStr">
        <is>
          <t>上海淼沃电商平台</t>
        </is>
      </c>
      <c r="D309" s="4" t="inlineStr">
        <is>
          <t>预制菜</t>
        </is>
      </c>
      <c r="E309" s="4" t="inlineStr">
        <is>
          <t>特级</t>
        </is>
      </c>
      <c r="F309" s="18" t="n">
        <v>290</v>
      </c>
      <c r="G309" s="15" t="n">
        <v>94.37</v>
      </c>
      <c r="H309" s="15" t="n">
        <v>27367.3</v>
      </c>
      <c r="I309" s="4" t="inlineStr">
        <is>
          <t>上海分部</t>
        </is>
      </c>
      <c r="J309" s="4" t="inlineStr">
        <is>
          <t>胡伟英</t>
        </is>
      </c>
    </row>
    <row r="310">
      <c r="A310" s="14" t="n">
        <v>45989</v>
      </c>
      <c r="B310" s="4" t="inlineStr">
        <is>
          <t>SO202510185</t>
        </is>
      </c>
      <c r="C310" s="4" t="inlineStr">
        <is>
          <t>常州淼沃餐饮管理有限公司</t>
        </is>
      </c>
      <c r="D310" s="4" t="inlineStr">
        <is>
          <t>调味汁</t>
        </is>
      </c>
      <c r="E310" s="4" t="inlineStr">
        <is>
          <t>精装</t>
        </is>
      </c>
      <c r="F310" s="18" t="n">
        <v>1360</v>
      </c>
      <c r="G310" s="15" t="n">
        <v>17.6</v>
      </c>
      <c r="H310" s="15" t="n">
        <v>23936</v>
      </c>
      <c r="I310" s="4" t="inlineStr">
        <is>
          <t>上海分部</t>
        </is>
      </c>
      <c r="J310" s="4" t="inlineStr">
        <is>
          <t>陈伟娜</t>
        </is>
      </c>
    </row>
    <row r="311">
      <c r="A311" s="14" t="n">
        <v>45989</v>
      </c>
      <c r="B311" s="4" t="inlineStr">
        <is>
          <t>SO202510268</t>
        </is>
      </c>
      <c r="C311" s="4" t="inlineStr">
        <is>
          <t>镇江大匠电商平台</t>
        </is>
      </c>
      <c r="D311" s="4" t="inlineStr">
        <is>
          <t>团餐</t>
        </is>
      </c>
      <c r="E311" s="4" t="inlineStr">
        <is>
          <t>1kg</t>
        </is>
      </c>
      <c r="F311" s="18" t="n">
        <v>4950</v>
      </c>
      <c r="G311" s="15" t="n">
        <v>77.18000000000001</v>
      </c>
      <c r="H311" s="15" t="n">
        <v>382041</v>
      </c>
      <c r="I311" s="4" t="inlineStr">
        <is>
          <t>上海分部</t>
        </is>
      </c>
      <c r="J311" s="4" t="inlineStr">
        <is>
          <t>马明芳</t>
        </is>
      </c>
    </row>
    <row r="312">
      <c r="A312" s="14" t="n">
        <v>45993</v>
      </c>
      <c r="B312" s="4" t="inlineStr">
        <is>
          <t>SO202510294</t>
        </is>
      </c>
      <c r="C312" s="4" t="inlineStr">
        <is>
          <t>温州优鲜商贸有限公司</t>
        </is>
      </c>
      <c r="D312" s="4" t="inlineStr">
        <is>
          <t>复合调味粉</t>
        </is>
      </c>
      <c r="E312" s="4" t="inlineStr">
        <is>
          <t>C级</t>
        </is>
      </c>
      <c r="F312" s="18" t="n">
        <v>4940</v>
      </c>
      <c r="G312" s="15" t="n">
        <v>89.20999999999999</v>
      </c>
      <c r="H312" s="15" t="n">
        <v>440697.4</v>
      </c>
      <c r="I312" s="4" t="inlineStr">
        <is>
          <t>赣皖区域</t>
        </is>
      </c>
      <c r="J312" s="4" t="inlineStr">
        <is>
          <t>郭强英</t>
        </is>
      </c>
    </row>
    <row r="313">
      <c r="A313" s="14" t="n">
        <v>45994</v>
      </c>
      <c r="B313" s="4" t="inlineStr">
        <is>
          <t>SO202510066</t>
        </is>
      </c>
      <c r="C313" s="4" t="inlineStr">
        <is>
          <t>苏州百味电商平台</t>
        </is>
      </c>
      <c r="D313" s="4" t="inlineStr">
        <is>
          <t>酱料</t>
        </is>
      </c>
      <c r="E313" s="4" t="inlineStr">
        <is>
          <t>A级</t>
        </is>
      </c>
      <c r="F313" s="18" t="n">
        <v>1410</v>
      </c>
      <c r="G313" s="15" t="n">
        <v>58.71</v>
      </c>
      <c r="H313" s="15" t="n">
        <v>82781.10000000001</v>
      </c>
      <c r="I313" s="4" t="inlineStr">
        <is>
          <t>赣皖区域</t>
        </is>
      </c>
      <c r="J313" s="4" t="inlineStr">
        <is>
          <t>罗艳秀</t>
        </is>
      </c>
    </row>
    <row r="314">
      <c r="A314" s="14" t="n">
        <v>45995</v>
      </c>
      <c r="B314" s="4" t="inlineStr">
        <is>
          <t>SO202510063</t>
        </is>
      </c>
      <c r="C314" s="4" t="inlineStr">
        <is>
          <t>南昌京功商贸有限公司</t>
        </is>
      </c>
      <c r="D314" s="4" t="inlineStr">
        <is>
          <t>团餐</t>
        </is>
      </c>
      <c r="E314" s="4" t="inlineStr">
        <is>
          <t>标准</t>
        </is>
      </c>
      <c r="F314" s="18" t="n">
        <v>3150</v>
      </c>
      <c r="G314" s="15" t="n">
        <v>49.07</v>
      </c>
      <c r="H314" s="15" t="n">
        <v>154570.5</v>
      </c>
      <c r="I314" s="4" t="inlineStr">
        <is>
          <t>赣皖区域</t>
        </is>
      </c>
      <c r="J314" s="4" t="inlineStr">
        <is>
          <t>胡静英</t>
        </is>
      </c>
    </row>
    <row r="315">
      <c r="A315" s="14" t="n">
        <v>45995</v>
      </c>
      <c r="B315" s="4" t="inlineStr">
        <is>
          <t>SO202510068</t>
        </is>
      </c>
      <c r="C315" s="4" t="inlineStr">
        <is>
          <t>合肥食佳酒店管理集团</t>
        </is>
      </c>
      <c r="D315" s="4" t="inlineStr">
        <is>
          <t>调味汁</t>
        </is>
      </c>
      <c r="E315" s="4" t="inlineStr">
        <is>
          <t>精装</t>
        </is>
      </c>
      <c r="F315" s="18" t="n">
        <v>700</v>
      </c>
      <c r="G315" s="15" t="n">
        <v>35.55</v>
      </c>
      <c r="H315" s="15" t="n">
        <v>24885</v>
      </c>
      <c r="I315" s="4" t="inlineStr">
        <is>
          <t>上海分部</t>
        </is>
      </c>
      <c r="J315" s="4" t="inlineStr">
        <is>
          <t>何兰芳</t>
        </is>
      </c>
    </row>
    <row r="316">
      <c r="A316" s="14" t="n">
        <v>45995</v>
      </c>
      <c r="B316" s="4" t="inlineStr">
        <is>
          <t>SO202510273</t>
        </is>
      </c>
      <c r="C316" s="4" t="inlineStr">
        <is>
          <t>上海优鲜超市</t>
        </is>
      </c>
      <c r="D316" s="4" t="inlineStr">
        <is>
          <t>川味底料</t>
        </is>
      </c>
      <c r="E316" s="4" t="inlineStr">
        <is>
          <t>2.5kg</t>
        </is>
      </c>
      <c r="F316" s="18" t="n">
        <v>4160</v>
      </c>
      <c r="G316" s="15" t="n">
        <v>20.17</v>
      </c>
      <c r="H316" s="15" t="n">
        <v>83907.2</v>
      </c>
      <c r="I316" s="4" t="inlineStr">
        <is>
          <t>上海分部</t>
        </is>
      </c>
      <c r="J316" s="4" t="inlineStr">
        <is>
          <t>罗艳秀</t>
        </is>
      </c>
    </row>
    <row r="317">
      <c r="A317" s="14" t="n">
        <v>45996</v>
      </c>
      <c r="B317" s="4" t="inlineStr">
        <is>
          <t>SO202510041</t>
        </is>
      </c>
      <c r="C317" s="4" t="inlineStr">
        <is>
          <t>常州京功电商平台</t>
        </is>
      </c>
      <c r="D317" s="4" t="inlineStr">
        <is>
          <t>调味汁</t>
        </is>
      </c>
      <c r="E317" s="4" t="inlineStr">
        <is>
          <t>25kg</t>
        </is>
      </c>
      <c r="F317" s="18" t="n">
        <v>3480</v>
      </c>
      <c r="G317" s="15" t="n">
        <v>39.61</v>
      </c>
      <c r="H317" s="15" t="n">
        <v>137842.8</v>
      </c>
      <c r="I317" s="4" t="inlineStr">
        <is>
          <t>浙江分部</t>
        </is>
      </c>
      <c r="J317" s="4" t="inlineStr">
        <is>
          <t>周秀英</t>
        </is>
      </c>
    </row>
    <row r="318">
      <c r="A318" s="14" t="n">
        <v>45996</v>
      </c>
      <c r="B318" s="4" t="inlineStr">
        <is>
          <t>SO202510064</t>
        </is>
      </c>
      <c r="C318" s="4" t="inlineStr">
        <is>
          <t>镇江大匠商贸有限公司</t>
        </is>
      </c>
      <c r="D318" s="4" t="inlineStr">
        <is>
          <t>川味底料</t>
        </is>
      </c>
      <c r="E318" s="4" t="inlineStr">
        <is>
          <t>简装</t>
        </is>
      </c>
      <c r="F318" s="18" t="n">
        <v>2600</v>
      </c>
      <c r="G318" s="15" t="n">
        <v>50.79</v>
      </c>
      <c r="H318" s="15" t="n">
        <v>132054</v>
      </c>
      <c r="I318" s="4" t="inlineStr">
        <is>
          <t>上海分部</t>
        </is>
      </c>
      <c r="J318" s="4" t="inlineStr">
        <is>
          <t>何勇英</t>
        </is>
      </c>
    </row>
    <row r="319">
      <c r="A319" s="14" t="n">
        <v>45996</v>
      </c>
      <c r="B319" s="4" t="inlineStr">
        <is>
          <t>SO202510088</t>
        </is>
      </c>
      <c r="C319" s="4" t="inlineStr">
        <is>
          <t>合肥百味商贸有限公司</t>
        </is>
      </c>
      <c r="D319" s="4" t="inlineStr">
        <is>
          <t>中式汤底</t>
        </is>
      </c>
      <c r="E319" s="4" t="inlineStr">
        <is>
          <t>C级</t>
        </is>
      </c>
      <c r="F319" s="18" t="n">
        <v>3660</v>
      </c>
      <c r="G319" s="15" t="n">
        <v>73.65000000000001</v>
      </c>
      <c r="H319" s="15" t="n">
        <v>269559</v>
      </c>
      <c r="I319" s="4" t="inlineStr">
        <is>
          <t>赣皖区域</t>
        </is>
      </c>
      <c r="J319" s="4" t="inlineStr">
        <is>
          <t>刘秀秀</t>
        </is>
      </c>
    </row>
    <row r="320">
      <c r="A320" s="14" t="n">
        <v>45997</v>
      </c>
      <c r="B320" s="4" t="inlineStr">
        <is>
          <t>SO202510110</t>
        </is>
      </c>
      <c r="C320" s="4" t="inlineStr">
        <is>
          <t>温州优鲜食品有限公司</t>
        </is>
      </c>
      <c r="D320" s="4" t="inlineStr">
        <is>
          <t>酱料</t>
        </is>
      </c>
      <c r="E320" s="4" t="inlineStr">
        <is>
          <t>500g</t>
        </is>
      </c>
      <c r="F320" s="18" t="n">
        <v>3390</v>
      </c>
      <c r="G320" s="15" t="n">
        <v>79.84</v>
      </c>
      <c r="H320" s="15" t="n">
        <v>270657.6</v>
      </c>
      <c r="I320" s="4" t="inlineStr">
        <is>
          <t>赣皖区域</t>
        </is>
      </c>
      <c r="J320" s="4" t="inlineStr">
        <is>
          <t>郭超芳</t>
        </is>
      </c>
    </row>
    <row r="321">
      <c r="A321" s="14" t="n">
        <v>45997</v>
      </c>
      <c r="B321" s="4" t="inlineStr">
        <is>
          <t>SO202510217</t>
        </is>
      </c>
      <c r="C321" s="4" t="inlineStr">
        <is>
          <t>上海百味供应链有限公司</t>
        </is>
      </c>
      <c r="D321" s="4" t="inlineStr">
        <is>
          <t>川味底料</t>
        </is>
      </c>
      <c r="E321" s="4" t="inlineStr">
        <is>
          <t>5kg</t>
        </is>
      </c>
      <c r="F321" s="18" t="n">
        <v>2790</v>
      </c>
      <c r="G321" s="15" t="n">
        <v>61.22</v>
      </c>
      <c r="H321" s="15" t="n">
        <v>170803.8</v>
      </c>
      <c r="I321" s="4" t="inlineStr">
        <is>
          <t>赣皖区域</t>
        </is>
      </c>
      <c r="J321" s="4" t="inlineStr">
        <is>
          <t>胡伟伟</t>
        </is>
      </c>
    </row>
    <row r="322">
      <c r="A322" s="14" t="n">
        <v>45997</v>
      </c>
      <c r="B322" s="4" t="inlineStr">
        <is>
          <t>SO202510287</t>
        </is>
      </c>
      <c r="C322" s="4" t="inlineStr">
        <is>
          <t>嘉兴优鲜餐饮管理有限公司</t>
        </is>
      </c>
      <c r="D322" s="4" t="inlineStr">
        <is>
          <t>酱料</t>
        </is>
      </c>
      <c r="E322" s="4" t="inlineStr">
        <is>
          <t>A级</t>
        </is>
      </c>
      <c r="F322" s="18" t="n">
        <v>2550</v>
      </c>
      <c r="G322" s="15" t="n">
        <v>100</v>
      </c>
      <c r="H322" s="15" t="n">
        <v>255000</v>
      </c>
      <c r="I322" s="4" t="inlineStr">
        <is>
          <t>江苏分部</t>
        </is>
      </c>
      <c r="J322" s="4" t="inlineStr">
        <is>
          <t>何涛秀</t>
        </is>
      </c>
    </row>
    <row r="323">
      <c r="A323" s="14" t="n">
        <v>45998</v>
      </c>
      <c r="B323" s="4" t="inlineStr">
        <is>
          <t>SO202510277</t>
        </is>
      </c>
      <c r="C323" s="4" t="inlineStr">
        <is>
          <t>合肥淼沃超市</t>
        </is>
      </c>
      <c r="D323" s="4" t="inlineStr">
        <is>
          <t>复合调味粉</t>
        </is>
      </c>
      <c r="E323" s="4" t="inlineStr">
        <is>
          <t>10kg</t>
        </is>
      </c>
      <c r="F323" s="18" t="n">
        <v>1170</v>
      </c>
      <c r="G323" s="15" t="n">
        <v>82.77</v>
      </c>
      <c r="H323" s="15" t="n">
        <v>96840.89999999999</v>
      </c>
      <c r="I323" s="4" t="inlineStr">
        <is>
          <t>江苏分部</t>
        </is>
      </c>
      <c r="J323" s="4" t="inlineStr">
        <is>
          <t>郭兰秀</t>
        </is>
      </c>
    </row>
    <row r="324">
      <c r="A324" s="14" t="n">
        <v>45999</v>
      </c>
      <c r="B324" s="4" t="inlineStr">
        <is>
          <t>SO202510051</t>
        </is>
      </c>
      <c r="C324" s="4" t="inlineStr">
        <is>
          <t>常州京功超市</t>
        </is>
      </c>
      <c r="D324" s="4" t="inlineStr">
        <is>
          <t>调味汁</t>
        </is>
      </c>
      <c r="E324" s="4" t="inlineStr">
        <is>
          <t>B级</t>
        </is>
      </c>
      <c r="F324" s="18" t="n">
        <v>3830</v>
      </c>
      <c r="G324" s="15" t="n">
        <v>97.04000000000001</v>
      </c>
      <c r="H324" s="15" t="n">
        <v>371663.2</v>
      </c>
      <c r="I324" s="4" t="inlineStr">
        <is>
          <t>江苏分部</t>
        </is>
      </c>
      <c r="J324" s="4" t="inlineStr">
        <is>
          <t>刘艳娜</t>
        </is>
      </c>
    </row>
    <row r="325">
      <c r="A325" s="14" t="n">
        <v>45999</v>
      </c>
      <c r="B325" s="4" t="inlineStr">
        <is>
          <t>SO202510330</t>
        </is>
      </c>
      <c r="C325" s="4" t="inlineStr">
        <is>
          <t>南京淼沃酒店管理集团</t>
        </is>
      </c>
      <c r="D325" s="4" t="inlineStr">
        <is>
          <t>复合调味粉</t>
        </is>
      </c>
      <c r="E325" s="4" t="inlineStr">
        <is>
          <t>2.5kg</t>
        </is>
      </c>
      <c r="F325" s="18" t="n">
        <v>2260</v>
      </c>
      <c r="G325" s="15" t="n">
        <v>77.39</v>
      </c>
      <c r="H325" s="15" t="n">
        <v>174901.4</v>
      </c>
      <c r="I325" s="4" t="inlineStr">
        <is>
          <t>江苏分部</t>
        </is>
      </c>
      <c r="J325" s="4" t="inlineStr">
        <is>
          <t>徐英英</t>
        </is>
      </c>
    </row>
    <row r="326">
      <c r="A326" s="14" t="n">
        <v>46001</v>
      </c>
      <c r="B326" s="4" t="inlineStr">
        <is>
          <t>SO202510174</t>
        </is>
      </c>
      <c r="C326" s="4" t="inlineStr">
        <is>
          <t>上海百味商贸有限公司</t>
        </is>
      </c>
      <c r="D326" s="4" t="inlineStr">
        <is>
          <t>川味底料</t>
        </is>
      </c>
      <c r="E326" s="4" t="inlineStr">
        <is>
          <t>5kg</t>
        </is>
      </c>
      <c r="F326" s="18" t="n">
        <v>4260</v>
      </c>
      <c r="G326" s="15" t="n">
        <v>76.61</v>
      </c>
      <c r="H326" s="15" t="n">
        <v>326358.6</v>
      </c>
      <c r="I326" s="4" t="inlineStr">
        <is>
          <t>浙江分部</t>
        </is>
      </c>
      <c r="J326" s="4" t="inlineStr">
        <is>
          <t>罗强敏</t>
        </is>
      </c>
    </row>
    <row r="327">
      <c r="A327" s="14" t="n">
        <v>46001</v>
      </c>
      <c r="B327" s="4" t="inlineStr">
        <is>
          <t>SO202510321</t>
        </is>
      </c>
      <c r="C327" s="4" t="inlineStr">
        <is>
          <t>嘉兴优鲜酒店管理集团</t>
        </is>
      </c>
      <c r="D327" s="4" t="inlineStr">
        <is>
          <t>调味汁</t>
        </is>
      </c>
      <c r="E327" s="4" t="inlineStr">
        <is>
          <t>A级</t>
        </is>
      </c>
      <c r="F327" s="18" t="n">
        <v>1860</v>
      </c>
      <c r="G327" s="15" t="n">
        <v>44.96</v>
      </c>
      <c r="H327" s="15" t="n">
        <v>83625.60000000001</v>
      </c>
      <c r="I327" s="4" t="inlineStr">
        <is>
          <t>赣皖区域</t>
        </is>
      </c>
      <c r="J327" s="4" t="inlineStr">
        <is>
          <t>杨娜秀</t>
        </is>
      </c>
    </row>
    <row r="328">
      <c r="A328" s="14" t="n">
        <v>46004</v>
      </c>
      <c r="B328" s="4" t="inlineStr">
        <is>
          <t>SO202510129</t>
        </is>
      </c>
      <c r="C328" s="4" t="inlineStr">
        <is>
          <t>宁波优鲜商贸有限公司</t>
        </is>
      </c>
      <c r="D328" s="4" t="inlineStr">
        <is>
          <t>中式汤底</t>
        </is>
      </c>
      <c r="E328" s="4" t="inlineStr">
        <is>
          <t>2.5kg</t>
        </is>
      </c>
      <c r="F328" s="18" t="n">
        <v>4800</v>
      </c>
      <c r="G328" s="15" t="n">
        <v>80.53</v>
      </c>
      <c r="H328" s="15" t="n">
        <v>386544</v>
      </c>
      <c r="I328" s="4" t="inlineStr">
        <is>
          <t>上海分部</t>
        </is>
      </c>
      <c r="J328" s="4" t="inlineStr">
        <is>
          <t>高明芳</t>
        </is>
      </c>
    </row>
    <row r="329">
      <c r="A329" s="14" t="n">
        <v>46004</v>
      </c>
      <c r="B329" s="4" t="inlineStr">
        <is>
          <t>SO202510264</t>
        </is>
      </c>
      <c r="C329" s="4" t="inlineStr">
        <is>
          <t>温州优鲜电商平台</t>
        </is>
      </c>
      <c r="D329" s="4" t="inlineStr">
        <is>
          <t>复合调味粉</t>
        </is>
      </c>
      <c r="E329" s="4" t="inlineStr">
        <is>
          <t>B级</t>
        </is>
      </c>
      <c r="F329" s="18" t="n">
        <v>4970</v>
      </c>
      <c r="G329" s="15" t="n">
        <v>26.56</v>
      </c>
      <c r="H329" s="15" t="n">
        <v>132003.2</v>
      </c>
      <c r="I329" s="4" t="inlineStr">
        <is>
          <t>上海分部</t>
        </is>
      </c>
      <c r="J329" s="4" t="inlineStr">
        <is>
          <t>黄涛秀</t>
        </is>
      </c>
    </row>
    <row r="330">
      <c r="A330" s="14" t="n">
        <v>46005</v>
      </c>
      <c r="B330" s="4" t="inlineStr">
        <is>
          <t>SO202510011</t>
        </is>
      </c>
      <c r="C330" s="4" t="inlineStr">
        <is>
          <t>南京百味餐饮管理有限公司</t>
        </is>
      </c>
      <c r="D330" s="4" t="inlineStr">
        <is>
          <t>酱料</t>
        </is>
      </c>
      <c r="E330" s="4" t="inlineStr">
        <is>
          <t>标准</t>
        </is>
      </c>
      <c r="F330" s="18" t="n">
        <v>1620</v>
      </c>
      <c r="G330" s="15" t="n">
        <v>15.31</v>
      </c>
      <c r="H330" s="15" t="n">
        <v>24802.2</v>
      </c>
      <c r="I330" s="4" t="inlineStr">
        <is>
          <t>浙江分部</t>
        </is>
      </c>
      <c r="J330" s="4" t="inlineStr">
        <is>
          <t>李洋伟</t>
        </is>
      </c>
    </row>
    <row r="331">
      <c r="A331" s="14" t="n">
        <v>46005</v>
      </c>
      <c r="B331" s="4" t="inlineStr">
        <is>
          <t>SO202510128</t>
        </is>
      </c>
      <c r="C331" s="4" t="inlineStr">
        <is>
          <t>上海淼沃超市</t>
        </is>
      </c>
      <c r="D331" s="4" t="inlineStr">
        <is>
          <t>酱料</t>
        </is>
      </c>
      <c r="E331" s="4" t="inlineStr">
        <is>
          <t>精装</t>
        </is>
      </c>
      <c r="F331" s="18" t="n">
        <v>1980</v>
      </c>
      <c r="G331" s="15" t="n">
        <v>64.92</v>
      </c>
      <c r="H331" s="15" t="n">
        <v>128541.6</v>
      </c>
      <c r="I331" s="4" t="inlineStr">
        <is>
          <t>江苏分部</t>
        </is>
      </c>
      <c r="J331" s="4" t="inlineStr">
        <is>
          <t>黄磊秀</t>
        </is>
      </c>
    </row>
    <row r="332">
      <c r="A332" s="14" t="n">
        <v>46006</v>
      </c>
      <c r="B332" s="4" t="inlineStr">
        <is>
          <t>SO202510326</t>
        </is>
      </c>
      <c r="C332" s="4" t="inlineStr">
        <is>
          <t>无锡优鲜餐饮管理有限公司</t>
        </is>
      </c>
      <c r="D332" s="4" t="inlineStr">
        <is>
          <t>酱料</t>
        </is>
      </c>
      <c r="E332" s="4" t="inlineStr">
        <is>
          <t>2.5kg</t>
        </is>
      </c>
      <c r="F332" s="18" t="n">
        <v>5000</v>
      </c>
      <c r="G332" s="15" t="n">
        <v>86.23999999999999</v>
      </c>
      <c r="H332" s="15" t="n">
        <v>431200</v>
      </c>
      <c r="I332" s="4" t="inlineStr">
        <is>
          <t>浙江分部</t>
        </is>
      </c>
      <c r="J332" s="4" t="inlineStr">
        <is>
          <t>吴娟英</t>
        </is>
      </c>
    </row>
    <row r="333">
      <c r="A333" s="14" t="n">
        <v>46007</v>
      </c>
      <c r="B333" s="4" t="inlineStr">
        <is>
          <t>SO202510272</t>
        </is>
      </c>
      <c r="C333" s="4" t="inlineStr">
        <is>
          <t>镇江大匠餐饮管理有限公司</t>
        </is>
      </c>
      <c r="D333" s="4" t="inlineStr">
        <is>
          <t>预制菜</t>
        </is>
      </c>
      <c r="E333" s="4" t="inlineStr">
        <is>
          <t>10kg</t>
        </is>
      </c>
      <c r="F333" s="18" t="n">
        <v>2380</v>
      </c>
      <c r="G333" s="15" t="n">
        <v>5.81</v>
      </c>
      <c r="H333" s="15" t="n">
        <v>13827.8</v>
      </c>
      <c r="I333" s="4" t="inlineStr">
        <is>
          <t>上海分部</t>
        </is>
      </c>
      <c r="J333" s="4" t="inlineStr">
        <is>
          <t>林秀娜</t>
        </is>
      </c>
    </row>
    <row r="334">
      <c r="A334" s="14" t="n">
        <v>46008</v>
      </c>
      <c r="B334" s="4" t="inlineStr">
        <is>
          <t>SO202510182</t>
        </is>
      </c>
      <c r="C334" s="4" t="inlineStr">
        <is>
          <t>苏州优鲜供应链有限公司</t>
        </is>
      </c>
      <c r="D334" s="4" t="inlineStr">
        <is>
          <t>川味底料</t>
        </is>
      </c>
      <c r="E334" s="4" t="inlineStr">
        <is>
          <t>2.5kg</t>
        </is>
      </c>
      <c r="F334" s="18" t="n">
        <v>4100</v>
      </c>
      <c r="G334" s="15" t="n">
        <v>70.06999999999999</v>
      </c>
      <c r="H334" s="15" t="n">
        <v>287287</v>
      </c>
      <c r="I334" s="4" t="inlineStr">
        <is>
          <t>上海分部</t>
        </is>
      </c>
      <c r="J334" s="4" t="inlineStr">
        <is>
          <t>朱杰英</t>
        </is>
      </c>
    </row>
    <row r="335">
      <c r="A335" s="14" t="n">
        <v>46009</v>
      </c>
      <c r="B335" s="4" t="inlineStr">
        <is>
          <t>SO202510071</t>
        </is>
      </c>
      <c r="C335" s="4" t="inlineStr">
        <is>
          <t>常州优鲜商贸有限公司</t>
        </is>
      </c>
      <c r="D335" s="4" t="inlineStr">
        <is>
          <t>调味汁</t>
        </is>
      </c>
      <c r="E335" s="4" t="inlineStr">
        <is>
          <t>5kg</t>
        </is>
      </c>
      <c r="F335" s="18" t="n">
        <v>2040</v>
      </c>
      <c r="G335" s="15" t="n">
        <v>95.48999999999999</v>
      </c>
      <c r="H335" s="15" t="n">
        <v>194799.6</v>
      </c>
      <c r="I335" s="4" t="inlineStr">
        <is>
          <t>江苏分部</t>
        </is>
      </c>
      <c r="J335" s="4" t="inlineStr">
        <is>
          <t>徐英英</t>
        </is>
      </c>
    </row>
    <row r="336">
      <c r="A336" s="14" t="n">
        <v>46009</v>
      </c>
      <c r="B336" s="4" t="inlineStr">
        <is>
          <t>SO202510124</t>
        </is>
      </c>
      <c r="C336" s="4" t="inlineStr">
        <is>
          <t>无锡优鲜供应链有限公司</t>
        </is>
      </c>
      <c r="D336" s="4" t="inlineStr">
        <is>
          <t>复合调味粉</t>
        </is>
      </c>
      <c r="E336" s="4" t="inlineStr">
        <is>
          <t>简装</t>
        </is>
      </c>
      <c r="F336" s="18" t="n">
        <v>3470</v>
      </c>
      <c r="G336" s="15" t="n">
        <v>36.89</v>
      </c>
      <c r="H336" s="15" t="n">
        <v>128008.3</v>
      </c>
      <c r="I336" s="4" t="inlineStr">
        <is>
          <t>江苏分部</t>
        </is>
      </c>
      <c r="J336" s="4" t="inlineStr">
        <is>
          <t>何兰英</t>
        </is>
      </c>
    </row>
    <row r="337">
      <c r="A337" s="14" t="n">
        <v>46009</v>
      </c>
      <c r="B337" s="4" t="inlineStr">
        <is>
          <t>SO202510243</t>
        </is>
      </c>
      <c r="C337" s="4" t="inlineStr">
        <is>
          <t>温州百味电商平台</t>
        </is>
      </c>
      <c r="D337" s="4" t="inlineStr">
        <is>
          <t>复合调味粉</t>
        </is>
      </c>
      <c r="E337" s="4" t="inlineStr">
        <is>
          <t>A级</t>
        </is>
      </c>
      <c r="F337" s="18" t="n">
        <v>480</v>
      </c>
      <c r="G337" s="15" t="n">
        <v>62.79</v>
      </c>
      <c r="H337" s="15" t="n">
        <v>30139.2</v>
      </c>
      <c r="I337" s="4" t="inlineStr">
        <is>
          <t>江苏分部</t>
        </is>
      </c>
      <c r="J337" s="4" t="inlineStr">
        <is>
          <t>吴芳娜</t>
        </is>
      </c>
    </row>
    <row r="338">
      <c r="A338" s="14" t="n">
        <v>46010</v>
      </c>
      <c r="B338" s="4" t="inlineStr">
        <is>
          <t>SO202510192</t>
        </is>
      </c>
      <c r="C338" s="4" t="inlineStr">
        <is>
          <t>南京优鲜酒店管理集团</t>
        </is>
      </c>
      <c r="D338" s="4" t="inlineStr">
        <is>
          <t>团餐</t>
        </is>
      </c>
      <c r="E338" s="4" t="inlineStr">
        <is>
          <t>10kg</t>
        </is>
      </c>
      <c r="F338" s="18" t="n">
        <v>1100</v>
      </c>
      <c r="G338" s="15" t="n">
        <v>43.06</v>
      </c>
      <c r="H338" s="15" t="n">
        <v>47366</v>
      </c>
      <c r="I338" s="4" t="inlineStr">
        <is>
          <t>赣皖区域</t>
        </is>
      </c>
      <c r="J338" s="4" t="inlineStr">
        <is>
          <t>罗杰芳</t>
        </is>
      </c>
    </row>
    <row r="339">
      <c r="A339" s="14" t="n">
        <v>46011</v>
      </c>
      <c r="B339" s="4" t="inlineStr">
        <is>
          <t>SO202510074</t>
        </is>
      </c>
      <c r="C339" s="4" t="inlineStr">
        <is>
          <t>苏州大匠电商平台</t>
        </is>
      </c>
      <c r="D339" s="4" t="inlineStr">
        <is>
          <t>团餐</t>
        </is>
      </c>
      <c r="E339" s="4" t="inlineStr">
        <is>
          <t>10kg</t>
        </is>
      </c>
      <c r="F339" s="18" t="n">
        <v>2640</v>
      </c>
      <c r="G339" s="15" t="n">
        <v>10.49</v>
      </c>
      <c r="H339" s="15" t="n">
        <v>27693.6</v>
      </c>
      <c r="I339" s="4" t="inlineStr">
        <is>
          <t>浙江分部</t>
        </is>
      </c>
      <c r="J339" s="4" t="inlineStr">
        <is>
          <t>张芳敏</t>
        </is>
      </c>
    </row>
    <row r="340">
      <c r="A340" s="14" t="n">
        <v>46011</v>
      </c>
      <c r="B340" s="4" t="inlineStr">
        <is>
          <t>SO202510151</t>
        </is>
      </c>
      <c r="C340" s="4" t="inlineStr">
        <is>
          <t>嘉兴大匠供应链有限公司</t>
        </is>
      </c>
      <c r="D340" s="4" t="inlineStr">
        <is>
          <t>酱料</t>
        </is>
      </c>
      <c r="E340" s="4" t="inlineStr">
        <is>
          <t>特级</t>
        </is>
      </c>
      <c r="F340" s="18" t="n">
        <v>2960</v>
      </c>
      <c r="G340" s="15" t="n">
        <v>92.19</v>
      </c>
      <c r="H340" s="15" t="n">
        <v>272882.4</v>
      </c>
      <c r="I340" s="4" t="inlineStr">
        <is>
          <t>江苏分部</t>
        </is>
      </c>
      <c r="J340" s="4" t="inlineStr">
        <is>
          <t>赵伟娜</t>
        </is>
      </c>
    </row>
    <row r="341">
      <c r="A341" s="14" t="n">
        <v>46013</v>
      </c>
      <c r="B341" s="4" t="inlineStr">
        <is>
          <t>SO202510155</t>
        </is>
      </c>
      <c r="C341" s="4" t="inlineStr">
        <is>
          <t>镇江京功食品有限公司</t>
        </is>
      </c>
      <c r="D341" s="4" t="inlineStr">
        <is>
          <t>复合调味粉</t>
        </is>
      </c>
      <c r="E341" s="4" t="inlineStr">
        <is>
          <t>1kg</t>
        </is>
      </c>
      <c r="F341" s="18" t="n">
        <v>4260</v>
      </c>
      <c r="G341" s="15" t="n">
        <v>70.14</v>
      </c>
      <c r="H341" s="15" t="n">
        <v>298796.4</v>
      </c>
      <c r="I341" s="4" t="inlineStr">
        <is>
          <t>江苏分部</t>
        </is>
      </c>
      <c r="J341" s="4" t="inlineStr">
        <is>
          <t>刘杰英</t>
        </is>
      </c>
    </row>
    <row r="342">
      <c r="A342" s="14" t="n">
        <v>46014</v>
      </c>
      <c r="B342" s="4" t="inlineStr">
        <is>
          <t>SO202510238</t>
        </is>
      </c>
      <c r="C342" s="4" t="inlineStr">
        <is>
          <t>杭州京功食品有限公司</t>
        </is>
      </c>
      <c r="D342" s="4" t="inlineStr">
        <is>
          <t>酱料</t>
        </is>
      </c>
      <c r="E342" s="4" t="inlineStr">
        <is>
          <t>1kg</t>
        </is>
      </c>
      <c r="F342" s="18" t="n">
        <v>2580</v>
      </c>
      <c r="G342" s="15" t="n">
        <v>10.65</v>
      </c>
      <c r="H342" s="15" t="n">
        <v>27477</v>
      </c>
      <c r="I342" s="4" t="inlineStr">
        <is>
          <t>江苏分部</t>
        </is>
      </c>
      <c r="J342" s="4" t="inlineStr">
        <is>
          <t>吴秀娜</t>
        </is>
      </c>
    </row>
    <row r="343">
      <c r="A343" s="14" t="n">
        <v>46014</v>
      </c>
      <c r="B343" s="4" t="inlineStr">
        <is>
          <t>SO202510306</t>
        </is>
      </c>
      <c r="C343" s="4" t="inlineStr">
        <is>
          <t>温州食佳酒店管理集团</t>
        </is>
      </c>
      <c r="D343" s="4" t="inlineStr">
        <is>
          <t>团餐</t>
        </is>
      </c>
      <c r="E343" s="4" t="inlineStr">
        <is>
          <t>特级</t>
        </is>
      </c>
      <c r="F343" s="18" t="n">
        <v>4540</v>
      </c>
      <c r="G343" s="15" t="n">
        <v>7.69</v>
      </c>
      <c r="H343" s="15" t="n">
        <v>34912.6</v>
      </c>
      <c r="I343" s="4" t="inlineStr">
        <is>
          <t>上海分部</t>
        </is>
      </c>
      <c r="J343" s="4" t="inlineStr">
        <is>
          <t>吴英敏</t>
        </is>
      </c>
    </row>
    <row r="344">
      <c r="A344" s="14" t="n">
        <v>46015</v>
      </c>
      <c r="B344" s="4" t="inlineStr">
        <is>
          <t>SO202510263</t>
        </is>
      </c>
      <c r="C344" s="4" t="inlineStr">
        <is>
          <t>上海淼沃酒店管理集团</t>
        </is>
      </c>
      <c r="D344" s="4" t="inlineStr">
        <is>
          <t>中式汤底</t>
        </is>
      </c>
      <c r="E344" s="4" t="inlineStr">
        <is>
          <t>标准</t>
        </is>
      </c>
      <c r="F344" s="18" t="n">
        <v>4010</v>
      </c>
      <c r="G344" s="15" t="n">
        <v>34.95</v>
      </c>
      <c r="H344" s="15" t="n">
        <v>140149.5</v>
      </c>
      <c r="I344" s="4" t="inlineStr">
        <is>
          <t>浙江分部</t>
        </is>
      </c>
      <c r="J344" s="4" t="inlineStr">
        <is>
          <t>周艳娜</t>
        </is>
      </c>
    </row>
    <row r="345">
      <c r="A345" s="14" t="n">
        <v>46016</v>
      </c>
      <c r="B345" s="4" t="inlineStr">
        <is>
          <t>SO202510115</t>
        </is>
      </c>
      <c r="C345" s="4" t="inlineStr">
        <is>
          <t>温州京功餐饮管理有限公司</t>
        </is>
      </c>
      <c r="D345" s="4" t="inlineStr">
        <is>
          <t>复合调味粉</t>
        </is>
      </c>
      <c r="E345" s="4" t="inlineStr">
        <is>
          <t>2.5kg</t>
        </is>
      </c>
      <c r="F345" s="18" t="n">
        <v>2420</v>
      </c>
      <c r="G345" s="15" t="n">
        <v>13.98</v>
      </c>
      <c r="H345" s="15" t="n">
        <v>33831.6</v>
      </c>
      <c r="I345" s="4" t="inlineStr">
        <is>
          <t>浙江分部</t>
        </is>
      </c>
      <c r="J345" s="4" t="inlineStr">
        <is>
          <t>吴英芳</t>
        </is>
      </c>
    </row>
    <row r="346">
      <c r="A346" s="14" t="n">
        <v>46017</v>
      </c>
      <c r="B346" s="4" t="inlineStr">
        <is>
          <t>SO202510117</t>
        </is>
      </c>
      <c r="C346" s="4" t="inlineStr">
        <is>
          <t>上海百味餐饮管理有限公司</t>
        </is>
      </c>
      <c r="D346" s="4" t="inlineStr">
        <is>
          <t>川味底料</t>
        </is>
      </c>
      <c r="E346" s="4" t="inlineStr">
        <is>
          <t>B级</t>
        </is>
      </c>
      <c r="F346" s="18" t="n">
        <v>2890</v>
      </c>
      <c r="G346" s="15" t="n">
        <v>42.16</v>
      </c>
      <c r="H346" s="15" t="n">
        <v>121842.4</v>
      </c>
      <c r="I346" s="4" t="inlineStr">
        <is>
          <t>浙江分部</t>
        </is>
      </c>
      <c r="J346" s="4" t="inlineStr">
        <is>
          <t>罗兰伟</t>
        </is>
      </c>
    </row>
    <row r="347">
      <c r="A347" s="14" t="n">
        <v>46019</v>
      </c>
      <c r="B347" s="4" t="inlineStr">
        <is>
          <t>SO202510112</t>
        </is>
      </c>
      <c r="C347" s="4" t="inlineStr">
        <is>
          <t>南京京功电商平台</t>
        </is>
      </c>
      <c r="D347" s="4" t="inlineStr">
        <is>
          <t>团餐</t>
        </is>
      </c>
      <c r="E347" s="4" t="inlineStr">
        <is>
          <t>25kg</t>
        </is>
      </c>
      <c r="F347" s="18" t="n">
        <v>1020</v>
      </c>
      <c r="G347" s="15" t="n">
        <v>60.59</v>
      </c>
      <c r="H347" s="15" t="n">
        <v>61801.8</v>
      </c>
      <c r="I347" s="4" t="inlineStr">
        <is>
          <t>浙江分部</t>
        </is>
      </c>
      <c r="J347" s="4" t="inlineStr">
        <is>
          <t>李秀娜</t>
        </is>
      </c>
    </row>
    <row r="348">
      <c r="A348" s="6" t="inlineStr">
        <is>
          <t>合计</t>
        </is>
      </c>
      <c r="F348" s="19" t="n">
        <v>870480</v>
      </c>
      <c r="H348" s="16" t="n">
        <v>44725361.3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江苏美鑫食品科技有限公司应收账款账龄分析表</t>
        </is>
      </c>
    </row>
    <row r="2">
      <c r="A2" t="inlineStr">
        <is>
          <t>截止日期：2025年12月31日</t>
        </is>
      </c>
      <c r="H2" t="inlineStr">
        <is>
          <t>单位：元</t>
        </is>
      </c>
    </row>
    <row r="3">
      <c r="A3" s="2" t="inlineStr">
        <is>
          <t>客户名称</t>
        </is>
      </c>
      <c r="B3" s="2" t="inlineStr">
        <is>
          <t>应收余额</t>
        </is>
      </c>
      <c r="C3" s="2" t="inlineStr">
        <is>
          <t>账龄分布</t>
        </is>
      </c>
      <c r="H3" s="2" t="inlineStr">
        <is>
          <t>信用额度</t>
        </is>
      </c>
    </row>
    <row r="4">
      <c r="A4" s="12" t="n"/>
      <c r="B4" s="12" t="n"/>
      <c r="C4" s="2" t="inlineStr">
        <is>
          <t>0-30天</t>
        </is>
      </c>
      <c r="D4" s="2" t="inlineStr">
        <is>
          <t>31-60天</t>
        </is>
      </c>
      <c r="E4" s="2" t="inlineStr">
        <is>
          <t>61-90天</t>
        </is>
      </c>
      <c r="F4" s="2" t="inlineStr">
        <is>
          <t>91-180天</t>
        </is>
      </c>
      <c r="G4" s="2" t="inlineStr">
        <is>
          <t>180天以上</t>
        </is>
      </c>
      <c r="H4" s="12" t="n"/>
    </row>
    <row r="5">
      <c r="A5" s="4" t="inlineStr">
        <is>
          <t>西安永利商贸有限公司</t>
        </is>
      </c>
      <c r="B5" s="15" t="n">
        <v>521272.43</v>
      </c>
      <c r="C5" s="15" t="n">
        <v>306977.02</v>
      </c>
      <c r="D5" s="15" t="n">
        <v>111327.25</v>
      </c>
      <c r="E5" s="15" t="n">
        <v>12611.89</v>
      </c>
      <c r="F5" s="15" t="n">
        <v>63143.08</v>
      </c>
      <c r="G5" s="15" t="n">
        <v>27213.19</v>
      </c>
      <c r="H5" s="15" t="n">
        <v>531694.5600000001</v>
      </c>
    </row>
    <row r="6">
      <c r="A6" s="4" t="inlineStr">
        <is>
          <t>昆明荣泰电子商务有限公司</t>
        </is>
      </c>
      <c r="B6" s="15" t="n">
        <v>258833.24</v>
      </c>
      <c r="C6" s="15" t="n">
        <v>177862.05</v>
      </c>
      <c r="D6" s="15" t="n">
        <v>56590.13</v>
      </c>
      <c r="E6" s="15" t="n">
        <v>2165.62</v>
      </c>
      <c r="F6" s="15" t="n">
        <v>20679.13</v>
      </c>
      <c r="G6" s="15" t="n">
        <v>1536.31</v>
      </c>
      <c r="H6" s="15" t="n">
        <v>496125.65</v>
      </c>
    </row>
    <row r="7">
      <c r="A7" s="4" t="inlineStr">
        <is>
          <t>无锡永利食品有限公司</t>
        </is>
      </c>
      <c r="B7" s="15" t="n">
        <v>907501.53</v>
      </c>
      <c r="C7" s="15" t="n">
        <v>409414.49</v>
      </c>
      <c r="D7" s="15" t="n">
        <v>326261.23</v>
      </c>
      <c r="E7" s="15" t="n">
        <v>105489.15</v>
      </c>
      <c r="F7" s="15" t="n">
        <v>33849.22</v>
      </c>
      <c r="G7" s="15" t="n">
        <v>32487.44</v>
      </c>
      <c r="H7" s="15" t="n">
        <v>1350838.65</v>
      </c>
    </row>
    <row r="8">
      <c r="A8" s="4" t="inlineStr">
        <is>
          <t>西安京功供应链有限公司</t>
        </is>
      </c>
      <c r="B8" s="15" t="n">
        <v>284087</v>
      </c>
      <c r="C8" s="15" t="n">
        <v>193870.48</v>
      </c>
      <c r="D8" s="15" t="n">
        <v>28635.09</v>
      </c>
      <c r="E8" s="15" t="n">
        <v>21233.11</v>
      </c>
      <c r="F8" s="15" t="n">
        <v>23284.56</v>
      </c>
      <c r="G8" s="15" t="n">
        <v>17063.76</v>
      </c>
      <c r="H8" s="15" t="n">
        <v>599509.83</v>
      </c>
    </row>
    <row r="9">
      <c r="A9" s="4" t="inlineStr">
        <is>
          <t>天津优鲜连锁超市</t>
        </is>
      </c>
      <c r="B9" s="15" t="n">
        <v>829491.2</v>
      </c>
      <c r="C9" s="15" t="n">
        <v>534872.41</v>
      </c>
      <c r="D9" s="15" t="n">
        <v>78136.47</v>
      </c>
      <c r="E9" s="15" t="n">
        <v>117141.01</v>
      </c>
      <c r="F9" s="15" t="n">
        <v>73485.32000000001</v>
      </c>
      <c r="G9" s="15" t="n">
        <v>25855.99</v>
      </c>
      <c r="H9" s="15" t="n">
        <v>1253129.29</v>
      </c>
    </row>
    <row r="10">
      <c r="A10" s="4" t="inlineStr">
        <is>
          <t>上海汇通食品有限公司</t>
        </is>
      </c>
      <c r="B10" s="15" t="n">
        <v>435037.4</v>
      </c>
      <c r="C10" s="15" t="n">
        <v>213984.83</v>
      </c>
      <c r="D10" s="15" t="n">
        <v>112871.82</v>
      </c>
      <c r="E10" s="15" t="n">
        <v>47154.46</v>
      </c>
      <c r="F10" s="15" t="n">
        <v>50721.4</v>
      </c>
      <c r="G10" s="15" t="n">
        <v>10304.89</v>
      </c>
      <c r="H10" s="15" t="n">
        <v>861718.54</v>
      </c>
    </row>
    <row r="11">
      <c r="A11" s="4" t="inlineStr">
        <is>
          <t>福州大匠进出口有限公司</t>
        </is>
      </c>
      <c r="B11" s="15" t="n">
        <v>489676.01</v>
      </c>
      <c r="C11" s="15" t="n">
        <v>213064.74</v>
      </c>
      <c r="D11" s="15" t="n">
        <v>226860.45</v>
      </c>
      <c r="E11" s="15" t="n">
        <v>8983.17</v>
      </c>
      <c r="F11" s="15" t="n">
        <v>12330.84</v>
      </c>
      <c r="G11" s="15" t="n">
        <v>28436.81</v>
      </c>
      <c r="H11" s="15" t="n">
        <v>501484.21</v>
      </c>
    </row>
    <row r="12">
      <c r="A12" s="4" t="inlineStr">
        <is>
          <t>无锡优鲜连锁超市</t>
        </is>
      </c>
      <c r="B12" s="15" t="n">
        <v>622196.54</v>
      </c>
      <c r="C12" s="15" t="n">
        <v>281401.3</v>
      </c>
      <c r="D12" s="15" t="n">
        <v>191009.17</v>
      </c>
      <c r="E12" s="15" t="n">
        <v>69453.98</v>
      </c>
      <c r="F12" s="15" t="n">
        <v>72681.78999999999</v>
      </c>
      <c r="G12" s="15" t="n">
        <v>7650.3</v>
      </c>
      <c r="H12" s="15" t="n">
        <v>1413604.41</v>
      </c>
    </row>
    <row r="13">
      <c r="A13" s="4" t="inlineStr">
        <is>
          <t>合肥优鲜商贸有限公司</t>
        </is>
      </c>
      <c r="B13" s="15" t="n">
        <v>676110.51</v>
      </c>
      <c r="C13" s="15" t="n">
        <v>438266.22</v>
      </c>
      <c r="D13" s="15" t="n">
        <v>133073.72</v>
      </c>
      <c r="E13" s="15" t="n">
        <v>58035.88</v>
      </c>
      <c r="F13" s="15" t="n">
        <v>41844.5</v>
      </c>
      <c r="G13" s="15" t="n">
        <v>4890.19</v>
      </c>
      <c r="H13" s="15" t="n">
        <v>1285188.27</v>
      </c>
    </row>
    <row r="14">
      <c r="A14" s="4" t="inlineStr">
        <is>
          <t>合肥鑫达实业有限公司</t>
        </is>
      </c>
      <c r="B14" s="15" t="n">
        <v>348669.51</v>
      </c>
      <c r="C14" s="15" t="n">
        <v>146968.24</v>
      </c>
      <c r="D14" s="15" t="n">
        <v>99008.19</v>
      </c>
      <c r="E14" s="15" t="n">
        <v>78093.08</v>
      </c>
      <c r="F14" s="15" t="n">
        <v>19532.22</v>
      </c>
      <c r="G14" s="15" t="n">
        <v>5067.78</v>
      </c>
      <c r="H14" s="15" t="n">
        <v>861428.14</v>
      </c>
    </row>
    <row r="15">
      <c r="A15" s="4" t="inlineStr">
        <is>
          <t>上海优鲜食品有限公司</t>
        </is>
      </c>
      <c r="B15" s="15" t="n">
        <v>403849.95</v>
      </c>
      <c r="C15" s="15" t="n">
        <v>210812.47</v>
      </c>
      <c r="D15" s="15" t="n">
        <v>74139.44</v>
      </c>
      <c r="E15" s="15" t="n">
        <v>56158.12</v>
      </c>
      <c r="F15" s="15" t="n">
        <v>52641.57</v>
      </c>
      <c r="G15" s="15" t="n">
        <v>10098.35</v>
      </c>
      <c r="H15" s="15" t="n">
        <v>953067.67</v>
      </c>
    </row>
    <row r="16">
      <c r="A16" s="4" t="inlineStr">
        <is>
          <t>重庆鑫达食品有限公司</t>
        </is>
      </c>
      <c r="B16" s="15" t="n">
        <v>139076.93</v>
      </c>
      <c r="C16" s="15" t="n">
        <v>78754.89</v>
      </c>
      <c r="D16" s="15" t="n">
        <v>34857.77</v>
      </c>
      <c r="E16" s="15" t="n">
        <v>2950.69</v>
      </c>
      <c r="F16" s="15" t="n">
        <v>13786.99</v>
      </c>
      <c r="G16" s="15" t="n">
        <v>8726.59</v>
      </c>
      <c r="H16" s="15" t="n">
        <v>156768.01</v>
      </c>
    </row>
    <row r="17">
      <c r="A17" s="4" t="inlineStr">
        <is>
          <t>苏州百味电子商务有限公司</t>
        </is>
      </c>
      <c r="B17" s="15" t="n">
        <v>759762.1899999999</v>
      </c>
      <c r="C17" s="15" t="n">
        <v>354078.46</v>
      </c>
      <c r="D17" s="15" t="n">
        <v>237226.42</v>
      </c>
      <c r="E17" s="15" t="n">
        <v>77513.08</v>
      </c>
      <c r="F17" s="15" t="n">
        <v>46859.97</v>
      </c>
      <c r="G17" s="15" t="n">
        <v>44084.26</v>
      </c>
      <c r="H17" s="15" t="n">
        <v>1111275.49</v>
      </c>
    </row>
    <row r="18">
      <c r="A18" s="4" t="inlineStr">
        <is>
          <t>无锡永利电子商务有限公司</t>
        </is>
      </c>
      <c r="B18" s="15" t="n">
        <v>524482.92</v>
      </c>
      <c r="C18" s="15" t="n">
        <v>201506.77</v>
      </c>
      <c r="D18" s="15" t="n">
        <v>177112.27</v>
      </c>
      <c r="E18" s="15" t="n">
        <v>81164.19</v>
      </c>
      <c r="F18" s="15" t="n">
        <v>41305.37</v>
      </c>
      <c r="G18" s="15" t="n">
        <v>23394.32</v>
      </c>
      <c r="H18" s="15" t="n">
        <v>1142927.35</v>
      </c>
    </row>
    <row r="19">
      <c r="A19" s="4" t="inlineStr">
        <is>
          <t>长沙汇通进出口有限公司</t>
        </is>
      </c>
      <c r="B19" s="15" t="n">
        <v>415998.95</v>
      </c>
      <c r="C19" s="15" t="n">
        <v>288979.71</v>
      </c>
      <c r="D19" s="15" t="n">
        <v>63542.92</v>
      </c>
      <c r="E19" s="15" t="n">
        <v>34163.39</v>
      </c>
      <c r="F19" s="15" t="n">
        <v>10912.51</v>
      </c>
      <c r="G19" s="15" t="n">
        <v>18400.42</v>
      </c>
      <c r="H19" s="15" t="n">
        <v>722426.75</v>
      </c>
    </row>
    <row r="20">
      <c r="A20" s="4" t="inlineStr">
        <is>
          <t>宁波永利供应链有限公司</t>
        </is>
      </c>
      <c r="B20" s="15" t="n">
        <v>685396.7</v>
      </c>
      <c r="C20" s="15" t="n">
        <v>302529.62</v>
      </c>
      <c r="D20" s="15" t="n">
        <v>111544.37</v>
      </c>
      <c r="E20" s="15" t="n">
        <v>68298.12</v>
      </c>
      <c r="F20" s="15" t="n">
        <v>131570.71</v>
      </c>
      <c r="G20" s="15" t="n">
        <v>71453.88</v>
      </c>
      <c r="H20" s="15" t="n">
        <v>897473.9300000001</v>
      </c>
    </row>
    <row r="21">
      <c r="A21" s="4" t="inlineStr">
        <is>
          <t>西安京功进出口有限公司</t>
        </is>
      </c>
      <c r="B21" s="15" t="n">
        <v>718214.5</v>
      </c>
      <c r="C21" s="15" t="n">
        <v>449962.81</v>
      </c>
      <c r="D21" s="15" t="n">
        <v>173826.29</v>
      </c>
      <c r="E21" s="15" t="n">
        <v>43174.08</v>
      </c>
      <c r="F21" s="15" t="n">
        <v>36672.59</v>
      </c>
      <c r="G21" s="15" t="n">
        <v>14578.73</v>
      </c>
      <c r="H21" s="15" t="n">
        <v>1610025.48</v>
      </c>
    </row>
    <row r="22">
      <c r="A22" s="4" t="inlineStr">
        <is>
          <t>济南大匠商贸有限公司</t>
        </is>
      </c>
      <c r="B22" s="15" t="n">
        <v>393326.93</v>
      </c>
      <c r="C22" s="15" t="n">
        <v>146623.99</v>
      </c>
      <c r="D22" s="15" t="n">
        <v>118576.6</v>
      </c>
      <c r="E22" s="15" t="n">
        <v>68946.14999999999</v>
      </c>
      <c r="F22" s="15" t="n">
        <v>36258.7</v>
      </c>
      <c r="G22" s="15" t="n">
        <v>22921.49</v>
      </c>
      <c r="H22" s="15" t="n">
        <v>747441.1800000001</v>
      </c>
    </row>
    <row r="23">
      <c r="A23" s="4" t="inlineStr">
        <is>
          <t>上海荣泰餐饮集团</t>
        </is>
      </c>
      <c r="B23" s="15" t="n">
        <v>879177.24</v>
      </c>
      <c r="C23" s="15" t="n">
        <v>502862.52</v>
      </c>
      <c r="D23" s="15" t="n">
        <v>126502.08</v>
      </c>
      <c r="E23" s="15" t="n">
        <v>182642.43</v>
      </c>
      <c r="F23" s="15" t="n">
        <v>8106.83</v>
      </c>
      <c r="G23" s="15" t="n">
        <v>59063.38</v>
      </c>
      <c r="H23" s="15" t="n">
        <v>890063.25</v>
      </c>
    </row>
    <row r="24">
      <c r="A24" s="4" t="inlineStr">
        <is>
          <t>苏州百味食品有限公司</t>
        </is>
      </c>
      <c r="B24" s="15" t="n">
        <v>363180.63</v>
      </c>
      <c r="C24" s="15" t="n">
        <v>256015.9</v>
      </c>
      <c r="D24" s="15" t="n">
        <v>64688.02</v>
      </c>
      <c r="E24" s="15" t="n">
        <v>15314.48</v>
      </c>
      <c r="F24" s="15" t="n">
        <v>5053.82</v>
      </c>
      <c r="G24" s="15" t="n">
        <v>22108.41</v>
      </c>
      <c r="H24" s="15" t="n">
        <v>643757.02</v>
      </c>
    </row>
    <row r="25">
      <c r="A25" s="4" t="inlineStr">
        <is>
          <t>济南汇通商贸有限公司</t>
        </is>
      </c>
      <c r="B25" s="15" t="n">
        <v>374609.53</v>
      </c>
      <c r="C25" s="15" t="n">
        <v>187175.23</v>
      </c>
      <c r="D25" s="15" t="n">
        <v>73420.39999999999</v>
      </c>
      <c r="E25" s="15" t="n">
        <v>70953.5</v>
      </c>
      <c r="F25" s="15" t="n">
        <v>34547.42</v>
      </c>
      <c r="G25" s="15" t="n">
        <v>8512.98</v>
      </c>
      <c r="H25" s="15" t="n">
        <v>458567.2</v>
      </c>
    </row>
    <row r="26">
      <c r="A26" s="4" t="inlineStr">
        <is>
          <t>青岛汇通电子商务有限公司</t>
        </is>
      </c>
      <c r="B26" s="15" t="n">
        <v>153675.9</v>
      </c>
      <c r="C26" s="15" t="n">
        <v>101654.29</v>
      </c>
      <c r="D26" s="15" t="n">
        <v>48056.04</v>
      </c>
      <c r="E26" s="15" t="n">
        <v>203.33</v>
      </c>
      <c r="F26" s="15" t="n">
        <v>1960.02</v>
      </c>
      <c r="G26" s="15" t="n">
        <v>1802.22</v>
      </c>
      <c r="H26" s="15" t="n">
        <v>356108.71</v>
      </c>
    </row>
    <row r="27">
      <c r="A27" s="4" t="inlineStr">
        <is>
          <t>无锡优鲜商贸有限公司</t>
        </is>
      </c>
      <c r="B27" s="15" t="n">
        <v>274513.11</v>
      </c>
      <c r="C27" s="15" t="n">
        <v>113416.09</v>
      </c>
      <c r="D27" s="15" t="n">
        <v>85444.67</v>
      </c>
      <c r="E27" s="15" t="n">
        <v>38356.13</v>
      </c>
      <c r="F27" s="15" t="n">
        <v>31435.22</v>
      </c>
      <c r="G27" s="15" t="n">
        <v>5861</v>
      </c>
      <c r="H27" s="15" t="n">
        <v>562072.16</v>
      </c>
    </row>
    <row r="28">
      <c r="A28" s="4" t="inlineStr">
        <is>
          <t>杭州荣泰食品有限公司</t>
        </is>
      </c>
      <c r="B28" s="15" t="n">
        <v>799789.26</v>
      </c>
      <c r="C28" s="15" t="n">
        <v>387912.02</v>
      </c>
      <c r="D28" s="15" t="n">
        <v>96239.17999999999</v>
      </c>
      <c r="E28" s="15" t="n">
        <v>159093.9</v>
      </c>
      <c r="F28" s="15" t="n">
        <v>122344.01</v>
      </c>
      <c r="G28" s="15" t="n">
        <v>34200.15</v>
      </c>
      <c r="H28" s="15" t="n">
        <v>1066653.58</v>
      </c>
    </row>
    <row r="29">
      <c r="A29" s="4" t="inlineStr">
        <is>
          <t>无锡大匠商贸有限公司</t>
        </is>
      </c>
      <c r="B29" s="15" t="n">
        <v>696193.45</v>
      </c>
      <c r="C29" s="15" t="n">
        <v>418640.02</v>
      </c>
      <c r="D29" s="15" t="n">
        <v>95096.83</v>
      </c>
      <c r="E29" s="15" t="n">
        <v>100786.32</v>
      </c>
      <c r="F29" s="15" t="n">
        <v>41755.49</v>
      </c>
      <c r="G29" s="15" t="n">
        <v>39914.79</v>
      </c>
      <c r="H29" s="15" t="n">
        <v>1314142.63</v>
      </c>
    </row>
    <row r="30">
      <c r="A30" s="4" t="inlineStr">
        <is>
          <t>宁波百味连锁超市</t>
        </is>
      </c>
      <c r="B30" s="15" t="n">
        <v>546271.5600000001</v>
      </c>
      <c r="C30" s="15" t="n">
        <v>348407.69</v>
      </c>
      <c r="D30" s="15" t="n">
        <v>103303.38</v>
      </c>
      <c r="E30" s="15" t="n">
        <v>81760.66</v>
      </c>
      <c r="F30" s="15" t="n">
        <v>7837.61</v>
      </c>
      <c r="G30" s="15" t="n">
        <v>4962.22</v>
      </c>
      <c r="H30" s="15" t="n">
        <v>1308779.33</v>
      </c>
    </row>
    <row r="31">
      <c r="A31" s="4" t="inlineStr">
        <is>
          <t>合肥京功餐饮集团</t>
        </is>
      </c>
      <c r="B31" s="15" t="n">
        <v>151536.07</v>
      </c>
      <c r="C31" s="15" t="n">
        <v>53341.54</v>
      </c>
      <c r="D31" s="15" t="n">
        <v>38135.36</v>
      </c>
      <c r="E31" s="15" t="n">
        <v>28962.67</v>
      </c>
      <c r="F31" s="15" t="n">
        <v>19993.42</v>
      </c>
      <c r="G31" s="15" t="n">
        <v>11103.08</v>
      </c>
      <c r="H31" s="15" t="n">
        <v>269062.52</v>
      </c>
    </row>
    <row r="32">
      <c r="A32" s="4" t="inlineStr">
        <is>
          <t>武汉汇通电子商务有限公司</t>
        </is>
      </c>
      <c r="B32" s="15" t="n">
        <v>504737.01</v>
      </c>
      <c r="C32" s="15" t="n">
        <v>248532.12</v>
      </c>
      <c r="D32" s="15" t="n">
        <v>153915.28</v>
      </c>
      <c r="E32" s="15" t="n">
        <v>63783.4</v>
      </c>
      <c r="F32" s="15" t="n">
        <v>33727.2</v>
      </c>
      <c r="G32" s="15" t="n">
        <v>4779.01</v>
      </c>
      <c r="H32" s="15" t="n">
        <v>739994.12</v>
      </c>
    </row>
    <row r="33">
      <c r="A33" s="4" t="inlineStr">
        <is>
          <t>重庆优鲜食品有限公司</t>
        </is>
      </c>
      <c r="B33" s="15" t="n">
        <v>973556.96</v>
      </c>
      <c r="C33" s="15" t="n">
        <v>453364.96</v>
      </c>
      <c r="D33" s="15" t="n">
        <v>229563.03</v>
      </c>
      <c r="E33" s="15" t="n">
        <v>148403.56</v>
      </c>
      <c r="F33" s="15" t="n">
        <v>108775.55</v>
      </c>
      <c r="G33" s="15" t="n">
        <v>33449.86</v>
      </c>
      <c r="H33" s="15" t="n">
        <v>1290514.57</v>
      </c>
    </row>
    <row r="34">
      <c r="A34" s="4" t="inlineStr">
        <is>
          <t>青岛优鲜连锁超市</t>
        </is>
      </c>
      <c r="B34" s="15" t="n">
        <v>335833.59</v>
      </c>
      <c r="C34" s="15" t="n">
        <v>182939.15</v>
      </c>
      <c r="D34" s="15" t="n">
        <v>78051.21000000001</v>
      </c>
      <c r="E34" s="15" t="n">
        <v>18708.67</v>
      </c>
      <c r="F34" s="15" t="n">
        <v>46938.6</v>
      </c>
      <c r="G34" s="15" t="n">
        <v>9195.959999999999</v>
      </c>
      <c r="H34" s="15" t="n">
        <v>400060.05</v>
      </c>
    </row>
    <row r="35">
      <c r="A35" s="4" t="inlineStr">
        <is>
          <t>杭州鑫达实业有限公司</t>
        </is>
      </c>
      <c r="B35" s="15" t="n">
        <v>217140.9</v>
      </c>
      <c r="C35" s="15" t="n">
        <v>120498.45</v>
      </c>
      <c r="D35" s="15" t="n">
        <v>46390.67</v>
      </c>
      <c r="E35" s="15" t="n">
        <v>35174.15</v>
      </c>
      <c r="F35" s="15" t="n">
        <v>3989.11</v>
      </c>
      <c r="G35" s="15" t="n">
        <v>11088.52</v>
      </c>
      <c r="H35" s="15" t="n">
        <v>540292.33</v>
      </c>
    </row>
    <row r="36">
      <c r="A36" s="4" t="inlineStr">
        <is>
          <t>天津荣泰商贸有限公司</t>
        </is>
      </c>
      <c r="B36" s="15" t="n">
        <v>824845.1800000001</v>
      </c>
      <c r="C36" s="15" t="n">
        <v>405248.03</v>
      </c>
      <c r="D36" s="15" t="n">
        <v>209084.97</v>
      </c>
      <c r="E36" s="15" t="n">
        <v>161830.51</v>
      </c>
      <c r="F36" s="15" t="n">
        <v>20816.24</v>
      </c>
      <c r="G36" s="15" t="n">
        <v>27865.43</v>
      </c>
      <c r="H36" s="15" t="n">
        <v>1229352.05</v>
      </c>
    </row>
    <row r="37">
      <c r="A37" s="4" t="inlineStr">
        <is>
          <t>南京荣泰商贸有限公司</t>
        </is>
      </c>
      <c r="B37" s="15" t="n">
        <v>72270.39999999999</v>
      </c>
      <c r="C37" s="15" t="n">
        <v>41314.55</v>
      </c>
      <c r="D37" s="15" t="n">
        <v>19993.01</v>
      </c>
      <c r="E37" s="15" t="n">
        <v>8636.98</v>
      </c>
      <c r="F37" s="15" t="n">
        <v>2169.32</v>
      </c>
      <c r="G37" s="15" t="n">
        <v>156.54</v>
      </c>
      <c r="H37" s="15" t="n">
        <v>77263.83</v>
      </c>
    </row>
    <row r="38">
      <c r="A38" s="4" t="inlineStr">
        <is>
          <t>重庆荣泰食品有限公司</t>
        </is>
      </c>
      <c r="B38" s="15" t="n">
        <v>253280.35</v>
      </c>
      <c r="C38" s="15" t="n">
        <v>133311.84</v>
      </c>
      <c r="D38" s="15" t="n">
        <v>48153.62</v>
      </c>
      <c r="E38" s="15" t="n">
        <v>41924.57</v>
      </c>
      <c r="F38" s="15" t="n">
        <v>7973.34</v>
      </c>
      <c r="G38" s="15" t="n">
        <v>21916.98</v>
      </c>
      <c r="H38" s="15" t="n">
        <v>313626.1</v>
      </c>
    </row>
    <row r="39">
      <c r="A39" s="4" t="inlineStr">
        <is>
          <t>成都汇通食品有限公司</t>
        </is>
      </c>
      <c r="B39" s="15" t="n">
        <v>987076.35</v>
      </c>
      <c r="C39" s="15" t="n">
        <v>571802.72</v>
      </c>
      <c r="D39" s="15" t="n">
        <v>265584.63</v>
      </c>
      <c r="E39" s="15" t="n">
        <v>83392.47</v>
      </c>
      <c r="F39" s="15" t="n">
        <v>62408.08</v>
      </c>
      <c r="G39" s="15" t="n">
        <v>3888.45</v>
      </c>
      <c r="H39" s="15" t="n">
        <v>1177341.37</v>
      </c>
    </row>
    <row r="40">
      <c r="A40" s="4" t="inlineStr">
        <is>
          <t>长沙优鲜商贸有限公司</t>
        </is>
      </c>
      <c r="B40" s="15" t="n">
        <v>548252.05</v>
      </c>
      <c r="C40" s="15" t="n">
        <v>311249.75</v>
      </c>
      <c r="D40" s="15" t="n">
        <v>111572.42</v>
      </c>
      <c r="E40" s="15" t="n">
        <v>79157.52</v>
      </c>
      <c r="F40" s="15" t="n">
        <v>42678.58</v>
      </c>
      <c r="G40" s="15" t="n">
        <v>3593.78</v>
      </c>
      <c r="H40" s="15" t="n">
        <v>1095237.49</v>
      </c>
    </row>
    <row r="41">
      <c r="A41" s="4" t="inlineStr">
        <is>
          <t>无锡优鲜食品有限公司</t>
        </is>
      </c>
      <c r="B41" s="15" t="n">
        <v>60337.48</v>
      </c>
      <c r="C41" s="15" t="n">
        <v>31851.18</v>
      </c>
      <c r="D41" s="15" t="n">
        <v>9637.690000000001</v>
      </c>
      <c r="E41" s="15" t="n">
        <v>8124.52</v>
      </c>
      <c r="F41" s="15" t="n">
        <v>7318.6</v>
      </c>
      <c r="G41" s="15" t="n">
        <v>3405.49</v>
      </c>
      <c r="H41" s="15" t="n">
        <v>95637.25999999999</v>
      </c>
    </row>
    <row r="42">
      <c r="A42" s="4" t="inlineStr">
        <is>
          <t>合肥荣泰食品有限公司</t>
        </is>
      </c>
      <c r="B42" s="15" t="n">
        <v>363108.2</v>
      </c>
      <c r="C42" s="15" t="n">
        <v>182163.52</v>
      </c>
      <c r="D42" s="15" t="n">
        <v>97555.34</v>
      </c>
      <c r="E42" s="15" t="n">
        <v>69218.66</v>
      </c>
      <c r="F42" s="15" t="n">
        <v>9431.200000000001</v>
      </c>
      <c r="G42" s="15" t="n">
        <v>4739.48</v>
      </c>
      <c r="H42" s="15" t="n">
        <v>720769.96</v>
      </c>
    </row>
    <row r="43">
      <c r="A43" s="6" t="inlineStr">
        <is>
          <t>合计</t>
        </is>
      </c>
      <c r="B43" s="16" t="n">
        <v>18792369.66</v>
      </c>
      <c r="C43" s="16" t="n">
        <v>10001632.07</v>
      </c>
      <c r="D43" s="16" t="n">
        <v>4354987.43</v>
      </c>
      <c r="E43" s="16" t="n">
        <v>2349157.6</v>
      </c>
      <c r="F43" s="16" t="n">
        <v>1400820.13</v>
      </c>
      <c r="G43" s="16" t="n">
        <v>685772.4300000001</v>
      </c>
      <c r="H43" s="16" t="n">
        <v>31045422.94</v>
      </c>
    </row>
    <row r="44">
      <c r="A44" s="6" t="inlineStr">
        <is>
          <t>占比</t>
        </is>
      </c>
      <c r="B44" s="20" t="n">
        <v>1</v>
      </c>
      <c r="C44" s="20" t="n">
        <v>0.5322</v>
      </c>
      <c r="D44" s="20" t="n">
        <v>0.2317</v>
      </c>
      <c r="E44" s="20" t="n">
        <v>0.125</v>
      </c>
      <c r="F44" s="20" t="n">
        <v>0.0745</v>
      </c>
      <c r="G44" s="20" t="n">
        <v>0.0365</v>
      </c>
    </row>
  </sheetData>
  <mergeCells count="5">
    <mergeCell ref="B3:B4"/>
    <mergeCell ref="A3:A4"/>
    <mergeCell ref="H3:H4"/>
    <mergeCell ref="A1:H1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江苏美鑫食品科技有限公司2025年12月库存台账</t>
        </is>
      </c>
    </row>
    <row r="2">
      <c r="A2" s="2" t="inlineStr">
        <is>
          <t>产品名称</t>
        </is>
      </c>
      <c r="B2" s="2" t="inlineStr">
        <is>
          <t>规格</t>
        </is>
      </c>
      <c r="C2" s="2" t="inlineStr">
        <is>
          <t>成品仓</t>
        </is>
      </c>
      <c r="G2" s="2" t="inlineStr">
        <is>
          <t>原材料仓</t>
        </is>
      </c>
      <c r="K2" s="2" t="inlineStr">
        <is>
          <t>半成品仓</t>
        </is>
      </c>
      <c r="O2" s="2" t="inlineStr">
        <is>
          <t>冷链仓</t>
        </is>
      </c>
      <c r="S2" s="2" t="inlineStr">
        <is>
          <t>合计</t>
        </is>
      </c>
    </row>
    <row r="3">
      <c r="A3" s="12" t="n"/>
      <c r="B3" s="12" t="n"/>
      <c r="C3" s="2" t="inlineStr">
        <is>
          <t>期初</t>
        </is>
      </c>
      <c r="D3" s="2" t="inlineStr">
        <is>
          <t>入库</t>
        </is>
      </c>
      <c r="E3" s="2" t="inlineStr">
        <is>
          <t>出库</t>
        </is>
      </c>
      <c r="F3" s="2" t="inlineStr">
        <is>
          <t>期末</t>
        </is>
      </c>
      <c r="G3" s="2" t="inlineStr">
        <is>
          <t>期初</t>
        </is>
      </c>
      <c r="H3" s="2" t="inlineStr">
        <is>
          <t>入库</t>
        </is>
      </c>
      <c r="I3" s="2" t="inlineStr">
        <is>
          <t>出库</t>
        </is>
      </c>
      <c r="J3" s="2" t="inlineStr">
        <is>
          <t>期末</t>
        </is>
      </c>
      <c r="K3" s="2" t="inlineStr">
        <is>
          <t>期初</t>
        </is>
      </c>
      <c r="L3" s="2" t="inlineStr">
        <is>
          <t>入库</t>
        </is>
      </c>
      <c r="M3" s="2" t="inlineStr">
        <is>
          <t>出库</t>
        </is>
      </c>
      <c r="N3" s="2" t="inlineStr">
        <is>
          <t>期末</t>
        </is>
      </c>
      <c r="O3" s="2" t="inlineStr">
        <is>
          <t>期初</t>
        </is>
      </c>
      <c r="P3" s="2" t="inlineStr">
        <is>
          <t>入库</t>
        </is>
      </c>
      <c r="Q3" s="2" t="inlineStr">
        <is>
          <t>出库</t>
        </is>
      </c>
      <c r="R3" s="2" t="inlineStr">
        <is>
          <t>期末</t>
        </is>
      </c>
      <c r="S3" s="2" t="inlineStr">
        <is>
          <t>期初</t>
        </is>
      </c>
      <c r="T3" s="2" t="inlineStr">
        <is>
          <t>入库</t>
        </is>
      </c>
      <c r="U3" s="2" t="inlineStr">
        <is>
          <t>出库</t>
        </is>
      </c>
      <c r="V3" s="2" t="inlineStr">
        <is>
          <t>期末</t>
        </is>
      </c>
    </row>
    <row r="4">
      <c r="A4" s="4" t="inlineStr">
        <is>
          <t>中式汤底</t>
        </is>
      </c>
      <c r="B4" s="4" t="inlineStr">
        <is>
          <t>500g/袋</t>
        </is>
      </c>
      <c r="C4" s="18" t="n">
        <v>3988</v>
      </c>
      <c r="D4" s="18" t="n">
        <v>6992</v>
      </c>
      <c r="E4" s="18" t="n">
        <v>2501</v>
      </c>
      <c r="F4" s="18" t="n">
        <v>8479</v>
      </c>
      <c r="G4" s="18" t="n">
        <v>723</v>
      </c>
      <c r="H4" s="18" t="n">
        <v>2204</v>
      </c>
      <c r="I4" s="18" t="n">
        <v>1158</v>
      </c>
      <c r="J4" s="18" t="n">
        <v>1769</v>
      </c>
      <c r="K4" s="18" t="n">
        <v>1851</v>
      </c>
      <c r="L4" s="18" t="n">
        <v>131</v>
      </c>
      <c r="M4" s="18" t="n">
        <v>1381</v>
      </c>
      <c r="N4" s="18" t="n">
        <v>601</v>
      </c>
      <c r="O4" s="18" t="n">
        <v>1047</v>
      </c>
      <c r="P4" s="18" t="n">
        <v>224</v>
      </c>
      <c r="Q4" s="18" t="n">
        <v>873</v>
      </c>
      <c r="R4" s="18" t="n">
        <v>398</v>
      </c>
      <c r="S4" s="18" t="n">
        <v>7609</v>
      </c>
      <c r="T4" s="18" t="n">
        <v>9551</v>
      </c>
      <c r="U4" s="18" t="n">
        <v>5913</v>
      </c>
      <c r="V4" s="18" t="n">
        <v>11247</v>
      </c>
    </row>
    <row r="5">
      <c r="A5" s="4" t="inlineStr">
        <is>
          <t>酱料</t>
        </is>
      </c>
      <c r="B5" s="4" t="inlineStr">
        <is>
          <t>500g/袋</t>
        </is>
      </c>
      <c r="C5" s="18" t="n">
        <v>2322</v>
      </c>
      <c r="D5" s="18" t="n">
        <v>7652</v>
      </c>
      <c r="E5" s="18" t="n">
        <v>2424</v>
      </c>
      <c r="F5" s="18" t="n">
        <v>7550</v>
      </c>
      <c r="G5" s="18" t="n">
        <v>2962</v>
      </c>
      <c r="H5" s="18" t="n">
        <v>1266</v>
      </c>
      <c r="I5" s="18" t="n">
        <v>3208</v>
      </c>
      <c r="J5" s="18" t="n">
        <v>1020</v>
      </c>
      <c r="K5" s="18" t="n">
        <v>2555</v>
      </c>
      <c r="L5" s="18" t="n">
        <v>2987</v>
      </c>
      <c r="M5" s="18" t="n">
        <v>3859</v>
      </c>
      <c r="N5" s="18" t="n">
        <v>1683</v>
      </c>
      <c r="O5" s="18" t="n">
        <v>2604</v>
      </c>
      <c r="P5" s="18" t="n">
        <v>2321</v>
      </c>
      <c r="Q5" s="18" t="n">
        <v>1757</v>
      </c>
      <c r="R5" s="18" t="n">
        <v>3168</v>
      </c>
      <c r="S5" s="18" t="n">
        <v>10443</v>
      </c>
      <c r="T5" s="18" t="n">
        <v>14226</v>
      </c>
      <c r="U5" s="18" t="n">
        <v>11248</v>
      </c>
      <c r="V5" s="18" t="n">
        <v>13421</v>
      </c>
    </row>
    <row r="6">
      <c r="A6" s="4" t="inlineStr">
        <is>
          <t>川味底料</t>
        </is>
      </c>
      <c r="B6" s="4" t="inlineStr">
        <is>
          <t>1kg/箱</t>
        </is>
      </c>
      <c r="C6" s="18" t="n">
        <v>616</v>
      </c>
      <c r="D6" s="18" t="n">
        <v>4975</v>
      </c>
      <c r="E6" s="18" t="n">
        <v>5096</v>
      </c>
      <c r="F6" s="18" t="n">
        <v>495</v>
      </c>
      <c r="G6" s="18" t="n">
        <v>3972</v>
      </c>
      <c r="H6" s="18" t="n">
        <v>892</v>
      </c>
      <c r="I6" s="18" t="n">
        <v>1083</v>
      </c>
      <c r="J6" s="18" t="n">
        <v>3781</v>
      </c>
      <c r="K6" s="18" t="n">
        <v>3018</v>
      </c>
      <c r="L6" s="18" t="n">
        <v>1957</v>
      </c>
      <c r="M6" s="18" t="n">
        <v>1940</v>
      </c>
      <c r="N6" s="18" t="n">
        <v>3035</v>
      </c>
      <c r="O6" s="18" t="n">
        <v>2040</v>
      </c>
      <c r="P6" s="18" t="n">
        <v>7367</v>
      </c>
      <c r="Q6" s="18" t="n">
        <v>2346</v>
      </c>
      <c r="R6" s="18" t="n">
        <v>7061</v>
      </c>
      <c r="S6" s="18" t="n">
        <v>9646</v>
      </c>
      <c r="T6" s="18" t="n">
        <v>15191</v>
      </c>
      <c r="U6" s="18" t="n">
        <v>10465</v>
      </c>
      <c r="V6" s="18" t="n">
        <v>14372</v>
      </c>
    </row>
    <row r="7">
      <c r="A7" s="4" t="inlineStr">
        <is>
          <t>调味汁</t>
        </is>
      </c>
      <c r="B7" s="4" t="inlineStr">
        <is>
          <t>10kg/桶</t>
        </is>
      </c>
      <c r="C7" s="18" t="n">
        <v>3743</v>
      </c>
      <c r="D7" s="18" t="n">
        <v>1448</v>
      </c>
      <c r="E7" s="18" t="n">
        <v>5177</v>
      </c>
      <c r="F7" s="18" t="n">
        <v>14</v>
      </c>
      <c r="G7" s="18" t="n">
        <v>3590</v>
      </c>
      <c r="H7" s="18" t="n">
        <v>6997</v>
      </c>
      <c r="I7" s="18" t="n">
        <v>5120</v>
      </c>
      <c r="J7" s="18" t="n">
        <v>5467</v>
      </c>
      <c r="K7" s="18" t="n">
        <v>3878</v>
      </c>
      <c r="L7" s="18" t="n">
        <v>333</v>
      </c>
      <c r="M7" s="18" t="n">
        <v>835</v>
      </c>
      <c r="N7" s="18" t="n">
        <v>3376</v>
      </c>
      <c r="O7" s="18" t="n">
        <v>256</v>
      </c>
      <c r="P7" s="18" t="n">
        <v>6244</v>
      </c>
      <c r="Q7" s="18" t="n">
        <v>454</v>
      </c>
      <c r="R7" s="18" t="n">
        <v>6046</v>
      </c>
      <c r="S7" s="18" t="n">
        <v>11467</v>
      </c>
      <c r="T7" s="18" t="n">
        <v>15022</v>
      </c>
      <c r="U7" s="18" t="n">
        <v>11586</v>
      </c>
      <c r="V7" s="18" t="n">
        <v>14903</v>
      </c>
    </row>
    <row r="8">
      <c r="A8" s="4" t="inlineStr">
        <is>
          <t>复合调味粉</t>
        </is>
      </c>
      <c r="B8" s="4" t="inlineStr">
        <is>
          <t>25kg/袋</t>
        </is>
      </c>
      <c r="C8" s="18" t="n">
        <v>1737</v>
      </c>
      <c r="D8" s="18" t="n">
        <v>6586</v>
      </c>
      <c r="E8" s="18" t="n">
        <v>5267</v>
      </c>
      <c r="F8" s="18" t="n">
        <v>3056</v>
      </c>
      <c r="G8" s="18" t="n">
        <v>2528</v>
      </c>
      <c r="H8" s="18" t="n">
        <v>1953</v>
      </c>
      <c r="I8" s="18" t="n">
        <v>2492</v>
      </c>
      <c r="J8" s="18" t="n">
        <v>1989</v>
      </c>
      <c r="K8" s="18" t="n">
        <v>2520</v>
      </c>
      <c r="L8" s="18" t="n">
        <v>5013</v>
      </c>
      <c r="M8" s="18" t="n">
        <v>4992</v>
      </c>
      <c r="N8" s="18" t="n">
        <v>2541</v>
      </c>
      <c r="O8" s="18" t="n">
        <v>4115</v>
      </c>
      <c r="P8" s="18" t="n">
        <v>3084</v>
      </c>
      <c r="Q8" s="18" t="n">
        <v>6133</v>
      </c>
      <c r="R8" s="18" t="n">
        <v>1066</v>
      </c>
      <c r="S8" s="18" t="n">
        <v>10900</v>
      </c>
      <c r="T8" s="18" t="n">
        <v>16636</v>
      </c>
      <c r="U8" s="18" t="n">
        <v>18884</v>
      </c>
      <c r="V8" s="18" t="n">
        <v>8652</v>
      </c>
    </row>
    <row r="9">
      <c r="A9" s="4" t="inlineStr">
        <is>
          <t>团餐</t>
        </is>
      </c>
      <c r="B9" s="4" t="inlineStr">
        <is>
          <t>25kg/袋</t>
        </is>
      </c>
      <c r="C9" s="18" t="n">
        <v>4496</v>
      </c>
      <c r="D9" s="18" t="n">
        <v>5842</v>
      </c>
      <c r="E9" s="18" t="n">
        <v>2995</v>
      </c>
      <c r="F9" s="18" t="n">
        <v>7343</v>
      </c>
      <c r="G9" s="18" t="n">
        <v>4568</v>
      </c>
      <c r="H9" s="18" t="n">
        <v>5973</v>
      </c>
      <c r="I9" s="18" t="n">
        <v>3466</v>
      </c>
      <c r="J9" s="18" t="n">
        <v>7075</v>
      </c>
      <c r="K9" s="18" t="n">
        <v>613</v>
      </c>
      <c r="L9" s="18" t="n">
        <v>6110</v>
      </c>
      <c r="M9" s="18" t="n">
        <v>4427</v>
      </c>
      <c r="N9" s="18" t="n">
        <v>2296</v>
      </c>
      <c r="O9" s="18" t="n">
        <v>4338</v>
      </c>
      <c r="P9" s="18" t="n">
        <v>4249</v>
      </c>
      <c r="Q9" s="18" t="n">
        <v>836</v>
      </c>
      <c r="R9" s="18" t="n">
        <v>7751</v>
      </c>
      <c r="S9" s="18" t="n">
        <v>14015</v>
      </c>
      <c r="T9" s="18" t="n">
        <v>22174</v>
      </c>
      <c r="U9" s="18" t="n">
        <v>11724</v>
      </c>
      <c r="V9" s="18" t="n">
        <v>24465</v>
      </c>
    </row>
    <row r="10">
      <c r="A10" s="4" t="inlineStr">
        <is>
          <t>预制菜</t>
        </is>
      </c>
      <c r="B10" s="4" t="inlineStr">
        <is>
          <t>5kg/箱</t>
        </is>
      </c>
      <c r="C10" s="18" t="n">
        <v>4242</v>
      </c>
      <c r="D10" s="18" t="n">
        <v>3405</v>
      </c>
      <c r="E10" s="18" t="n">
        <v>519</v>
      </c>
      <c r="F10" s="18" t="n">
        <v>7128</v>
      </c>
      <c r="G10" s="18" t="n">
        <v>1121</v>
      </c>
      <c r="H10" s="18" t="n">
        <v>1047</v>
      </c>
      <c r="I10" s="18" t="n">
        <v>1580</v>
      </c>
      <c r="J10" s="18" t="n">
        <v>588</v>
      </c>
      <c r="K10" s="18" t="n">
        <v>4741</v>
      </c>
      <c r="L10" s="18" t="n">
        <v>4939</v>
      </c>
      <c r="M10" s="18" t="n">
        <v>1337</v>
      </c>
      <c r="N10" s="18" t="n">
        <v>8343</v>
      </c>
      <c r="O10" s="18" t="n">
        <v>4138</v>
      </c>
      <c r="P10" s="18" t="n">
        <v>5072</v>
      </c>
      <c r="Q10" s="18" t="n">
        <v>2170</v>
      </c>
      <c r="R10" s="18" t="n">
        <v>7040</v>
      </c>
      <c r="S10" s="18" t="n">
        <v>14242</v>
      </c>
      <c r="T10" s="18" t="n">
        <v>14463</v>
      </c>
      <c r="U10" s="18" t="n">
        <v>5606</v>
      </c>
      <c r="V10" s="18" t="n">
        <v>23099</v>
      </c>
    </row>
    <row r="11">
      <c r="A11" s="6" t="inlineStr">
        <is>
          <t>合计</t>
        </is>
      </c>
      <c r="C11" s="19" t="n">
        <v>21144</v>
      </c>
      <c r="D11" s="19" t="n">
        <v>36900</v>
      </c>
      <c r="E11" s="19" t="n">
        <v>23979</v>
      </c>
      <c r="F11" s="19" t="n">
        <v>34065</v>
      </c>
      <c r="G11" s="19" t="n">
        <v>19464</v>
      </c>
      <c r="H11" s="19" t="n">
        <v>20332</v>
      </c>
      <c r="I11" s="19" t="n">
        <v>18107</v>
      </c>
      <c r="J11" s="19" t="n">
        <v>21689</v>
      </c>
      <c r="K11" s="19" t="n">
        <v>19176</v>
      </c>
      <c r="L11" s="19" t="n">
        <v>21470</v>
      </c>
      <c r="M11" s="19" t="n">
        <v>18771</v>
      </c>
      <c r="N11" s="19" t="n">
        <v>21875</v>
      </c>
      <c r="O11" s="19" t="n">
        <v>18538</v>
      </c>
      <c r="P11" s="19" t="n">
        <v>28561</v>
      </c>
      <c r="Q11" s="19" t="n">
        <v>14569</v>
      </c>
      <c r="R11" s="19" t="n">
        <v>32530</v>
      </c>
      <c r="S11" s="19" t="n">
        <v>78322</v>
      </c>
      <c r="T11" s="19" t="n">
        <v>107263</v>
      </c>
      <c r="U11" s="19" t="n">
        <v>75426</v>
      </c>
      <c r="V11" s="19" t="n">
        <v>110159</v>
      </c>
    </row>
  </sheetData>
  <mergeCells count="8">
    <mergeCell ref="S2:V2"/>
    <mergeCell ref="G2:J2"/>
    <mergeCell ref="B2:B3"/>
    <mergeCell ref="A2:A3"/>
    <mergeCell ref="A1:R1"/>
    <mergeCell ref="K2:N2"/>
    <mergeCell ref="C2:F2"/>
    <mergeCell ref="O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江苏美鑫食品科技有限公司2025年度经营KPI</t>
        </is>
      </c>
    </row>
    <row r="2">
      <c r="A2" s="2" t="inlineStr">
        <is>
          <t>指标</t>
        </is>
      </c>
      <c r="B2" s="2" t="inlineStr">
        <is>
          <t>年度目标</t>
        </is>
      </c>
      <c r="C2" s="2" t="inlineStr">
        <is>
          <t>年度实际</t>
        </is>
      </c>
      <c r="D2" s="2" t="inlineStr">
        <is>
          <t>达成率</t>
        </is>
      </c>
      <c r="E2" s="2" t="inlineStr">
        <is>
          <t>去年同期</t>
        </is>
      </c>
      <c r="F2" s="2" t="inlineStr">
        <is>
          <t>同比增长</t>
        </is>
      </c>
    </row>
    <row r="3">
      <c r="A3" s="6" t="inlineStr">
        <is>
          <t>营业收入(万元)</t>
        </is>
      </c>
      <c r="B3" s="3" t="n">
        <v>10195.5</v>
      </c>
      <c r="C3" s="3" t="n">
        <v>10223.6</v>
      </c>
      <c r="D3" s="21" t="n">
        <v>1.0028</v>
      </c>
      <c r="E3" s="3" t="n">
        <v>8112.1</v>
      </c>
      <c r="F3" s="21" t="n">
        <v>0.2603</v>
      </c>
    </row>
    <row r="4">
      <c r="A4" s="6" t="inlineStr">
        <is>
          <t>净利润(万元)</t>
        </is>
      </c>
      <c r="B4" s="3" t="n">
        <v>743.4</v>
      </c>
      <c r="C4" s="3" t="n">
        <v>619.5</v>
      </c>
      <c r="D4" s="21" t="n">
        <v>0.8333</v>
      </c>
      <c r="E4" s="3" t="n">
        <v>495.6</v>
      </c>
      <c r="F4" s="21" t="n">
        <v>0.25</v>
      </c>
    </row>
    <row r="5">
      <c r="A5" s="6" t="inlineStr">
        <is>
          <t>毛利率</t>
        </is>
      </c>
      <c r="B5" s="21" t="n">
        <v>0.3</v>
      </c>
      <c r="C5" s="21" t="n">
        <v>0.3418</v>
      </c>
      <c r="D5" s="3" t="inlineStr">
        <is>
          <t>-</t>
        </is>
      </c>
      <c r="E5" s="21" t="n">
        <v>0.3015</v>
      </c>
      <c r="F5" s="3" t="inlineStr">
        <is>
          <t>-</t>
        </is>
      </c>
    </row>
    <row r="6">
      <c r="A6" s="6" t="inlineStr">
        <is>
          <t>净利率</t>
        </is>
      </c>
      <c r="B6" s="21" t="n">
        <v>0.05</v>
      </c>
      <c r="C6" s="21" t="n">
        <v>0.0606</v>
      </c>
      <c r="D6" s="3" t="inlineStr">
        <is>
          <t>-</t>
        </is>
      </c>
      <c r="E6" s="21" t="n">
        <v>0.0546</v>
      </c>
      <c r="F6" s="3" t="inlineStr">
        <is>
          <t>-</t>
        </is>
      </c>
    </row>
    <row r="7">
      <c r="A7" s="6" t="inlineStr">
        <is>
          <t>客户数(家)</t>
        </is>
      </c>
      <c r="B7" s="3" t="n">
        <v>373</v>
      </c>
      <c r="C7" s="3" t="n">
        <v>399</v>
      </c>
      <c r="D7" s="3" t="inlineStr">
        <is>
          <t>-</t>
        </is>
      </c>
      <c r="E7" s="3" t="n">
        <v>211</v>
      </c>
      <c r="F7" s="3" t="inlineStr">
        <is>
          <t>-</t>
        </is>
      </c>
    </row>
    <row r="10">
      <c r="A10" s="2" t="inlineStr">
        <is>
          <t>产品销售排名</t>
        </is>
      </c>
      <c r="H10" s="2" t="inlineStr">
        <is>
          <t>区域经营对比</t>
        </is>
      </c>
    </row>
    <row r="11">
      <c r="A11" s="2" t="inlineStr">
        <is>
          <t>排名</t>
        </is>
      </c>
      <c r="B11" s="2" t="inlineStr">
        <is>
          <t>产品</t>
        </is>
      </c>
      <c r="C11" s="2" t="inlineStr">
        <is>
          <t>销售额(万元)</t>
        </is>
      </c>
      <c r="D11" s="2" t="inlineStr">
        <is>
          <t>占比</t>
        </is>
      </c>
      <c r="E11" s="2" t="inlineStr">
        <is>
          <t>同比</t>
        </is>
      </c>
      <c r="F11" s="2" t="inlineStr">
        <is>
          <t>毛利率</t>
        </is>
      </c>
      <c r="H11" s="2" t="inlineStr">
        <is>
          <t>区域</t>
        </is>
      </c>
      <c r="I11" s="2" t="inlineStr">
        <is>
          <t>收入(万元)</t>
        </is>
      </c>
      <c r="J11" s="2" t="inlineStr">
        <is>
          <t>净利(万元)</t>
        </is>
      </c>
      <c r="K11" s="2" t="inlineStr">
        <is>
          <t>净利率</t>
        </is>
      </c>
      <c r="L11" s="2" t="inlineStr">
        <is>
          <t>达成率</t>
        </is>
      </c>
    </row>
    <row r="12">
      <c r="A12" s="3" t="n">
        <v>1</v>
      </c>
      <c r="B12" s="4" t="inlineStr">
        <is>
          <t>调味汁</t>
        </is>
      </c>
      <c r="C12" s="7" t="n">
        <v>1631.8</v>
      </c>
      <c r="D12" s="21" t="n">
        <v>0.1596</v>
      </c>
      <c r="E12" s="22" t="n">
        <v>0.2787</v>
      </c>
      <c r="F12" s="21" t="n">
        <v>0.2527</v>
      </c>
      <c r="H12" s="4" t="inlineStr">
        <is>
          <t>江苏分部</t>
        </is>
      </c>
      <c r="I12" s="7" t="n">
        <v>2212.1</v>
      </c>
      <c r="J12" s="7" t="n">
        <v>164.6</v>
      </c>
      <c r="K12" s="21" t="n">
        <v>0.07439999999999999</v>
      </c>
      <c r="L12" s="21" t="n">
        <v>1.0281</v>
      </c>
    </row>
    <row r="13">
      <c r="A13" s="3" t="n">
        <v>2</v>
      </c>
      <c r="B13" s="4" t="inlineStr">
        <is>
          <t>团餐</t>
        </is>
      </c>
      <c r="C13" s="7" t="n">
        <v>1622.6</v>
      </c>
      <c r="D13" s="21" t="n">
        <v>0.1587</v>
      </c>
      <c r="E13" s="22" t="n">
        <v>-0.09710000000000001</v>
      </c>
      <c r="F13" s="21" t="n">
        <v>0.2418</v>
      </c>
      <c r="H13" s="4" t="inlineStr">
        <is>
          <t>浙江分部</t>
        </is>
      </c>
      <c r="I13" s="7" t="n">
        <v>2147</v>
      </c>
      <c r="J13" s="7" t="n">
        <v>166</v>
      </c>
      <c r="K13" s="21" t="n">
        <v>0.07729999999999999</v>
      </c>
      <c r="L13" s="21" t="n">
        <v>0.9907</v>
      </c>
    </row>
    <row r="14">
      <c r="A14" s="3" t="n">
        <v>3</v>
      </c>
      <c r="B14" s="4" t="inlineStr">
        <is>
          <t>复合调味粉</t>
        </is>
      </c>
      <c r="C14" s="7" t="n">
        <v>1524.8</v>
      </c>
      <c r="D14" s="21" t="n">
        <v>0.1491</v>
      </c>
      <c r="E14" s="22" t="n">
        <v>-0.0469</v>
      </c>
      <c r="F14" s="21" t="n">
        <v>0.3505</v>
      </c>
      <c r="H14" s="4" t="inlineStr">
        <is>
          <t>上海分部</t>
        </is>
      </c>
      <c r="I14" s="7" t="n">
        <v>2218.6</v>
      </c>
      <c r="J14" s="7" t="n">
        <v>183.8</v>
      </c>
      <c r="K14" s="21" t="n">
        <v>0.0829</v>
      </c>
      <c r="L14" s="21" t="n">
        <v>1.0224</v>
      </c>
    </row>
    <row r="15">
      <c r="A15" s="3" t="n">
        <v>4</v>
      </c>
      <c r="B15" s="4" t="inlineStr">
        <is>
          <t>中式汤底</t>
        </is>
      </c>
      <c r="C15" s="7" t="n">
        <v>1460.8</v>
      </c>
      <c r="D15" s="21" t="n">
        <v>0.1429</v>
      </c>
      <c r="E15" s="22" t="n">
        <v>-0.0312</v>
      </c>
      <c r="F15" s="21" t="n">
        <v>0.2102</v>
      </c>
      <c r="H15" s="4" t="inlineStr">
        <is>
          <t>赣皖区域</t>
        </is>
      </c>
      <c r="I15" s="7" t="n">
        <v>1439.1</v>
      </c>
      <c r="J15" s="7" t="n">
        <v>115.6</v>
      </c>
      <c r="K15" s="21" t="n">
        <v>0.0803</v>
      </c>
      <c r="L15" s="21" t="n">
        <v>0.9679</v>
      </c>
    </row>
    <row r="16">
      <c r="A16" s="3" t="n">
        <v>5</v>
      </c>
      <c r="B16" s="4" t="inlineStr">
        <is>
          <t>酱料</t>
        </is>
      </c>
      <c r="C16" s="7" t="n">
        <v>1358.4</v>
      </c>
      <c r="D16" s="21" t="n">
        <v>0.1329</v>
      </c>
      <c r="E16" s="22" t="n">
        <v>0.2459</v>
      </c>
      <c r="F16" s="21" t="n">
        <v>0.2034</v>
      </c>
      <c r="H16" s="4" t="inlineStr">
        <is>
          <t>安徽省区</t>
        </is>
      </c>
      <c r="I16" s="7" t="n">
        <v>803.4</v>
      </c>
      <c r="J16" s="7" t="n">
        <v>60.4</v>
      </c>
      <c r="K16" s="21" t="n">
        <v>0.0752</v>
      </c>
      <c r="L16" s="21" t="n">
        <v>1.0118</v>
      </c>
    </row>
    <row r="17">
      <c r="A17" s="3" t="n">
        <v>6</v>
      </c>
      <c r="B17" s="4" t="inlineStr">
        <is>
          <t>川味底料</t>
        </is>
      </c>
      <c r="C17" s="7" t="n">
        <v>1350.9</v>
      </c>
      <c r="D17" s="21" t="n">
        <v>0.1321</v>
      </c>
      <c r="E17" s="22" t="n">
        <v>0.0527</v>
      </c>
      <c r="F17" s="21" t="n">
        <v>0.3714</v>
      </c>
      <c r="H17" s="4" t="inlineStr">
        <is>
          <t>江西省区</t>
        </is>
      </c>
      <c r="I17" s="7" t="n">
        <v>1403.5</v>
      </c>
      <c r="J17" s="7" t="n">
        <v>118.7</v>
      </c>
      <c r="K17" s="21" t="n">
        <v>0.08459999999999999</v>
      </c>
      <c r="L17" s="21" t="n">
        <v>0.9844000000000001</v>
      </c>
    </row>
    <row r="18">
      <c r="A18" s="3" t="n">
        <v>7</v>
      </c>
      <c r="B18" s="4" t="inlineStr">
        <is>
          <t>预制菜</t>
        </is>
      </c>
      <c r="C18" s="7" t="n">
        <v>1274.4</v>
      </c>
      <c r="D18" s="21" t="n">
        <v>0.1246</v>
      </c>
      <c r="E18" s="22" t="n">
        <v>0.2913</v>
      </c>
      <c r="F18" s="21" t="n">
        <v>0.383</v>
      </c>
    </row>
  </sheetData>
  <mergeCells count="3">
    <mergeCell ref="H10:L10"/>
    <mergeCell ref="A10:F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江苏美鑫食品科技有限公司2025年费用预算执行表</t>
        </is>
      </c>
    </row>
    <row r="2">
      <c r="A2" s="2" t="inlineStr">
        <is>
          <t>部门</t>
        </is>
      </c>
      <c r="B2" s="2" t="inlineStr">
        <is>
          <t>费用类别</t>
        </is>
      </c>
      <c r="C2" s="2" t="inlineStr">
        <is>
          <t>1月</t>
        </is>
      </c>
      <c r="F2" s="2" t="inlineStr">
        <is>
          <t>2月</t>
        </is>
      </c>
      <c r="I2" s="2" t="inlineStr">
        <is>
          <t>3月</t>
        </is>
      </c>
      <c r="L2" s="2" t="inlineStr">
        <is>
          <t>4月</t>
        </is>
      </c>
      <c r="O2" s="2" t="inlineStr">
        <is>
          <t>5月</t>
        </is>
      </c>
      <c r="R2" s="2" t="inlineStr">
        <is>
          <t>6月</t>
        </is>
      </c>
      <c r="U2" s="2" t="inlineStr">
        <is>
          <t>7月</t>
        </is>
      </c>
      <c r="X2" s="2" t="inlineStr">
        <is>
          <t>8月</t>
        </is>
      </c>
      <c r="AA2" s="2" t="inlineStr">
        <is>
          <t>9月</t>
        </is>
      </c>
      <c r="AD2" s="2" t="inlineStr">
        <is>
          <t>10月</t>
        </is>
      </c>
      <c r="AG2" s="2" t="inlineStr">
        <is>
          <t>11月</t>
        </is>
      </c>
      <c r="AJ2" s="2" t="inlineStr">
        <is>
          <t>12月</t>
        </is>
      </c>
    </row>
    <row r="3">
      <c r="A3" s="12" t="n"/>
      <c r="B3" s="12" t="n"/>
      <c r="C3" s="2" t="inlineStr">
        <is>
          <t>预算</t>
        </is>
      </c>
      <c r="D3" s="2" t="inlineStr">
        <is>
          <t>实际</t>
        </is>
      </c>
      <c r="E3" s="2" t="inlineStr">
        <is>
          <t>差异</t>
        </is>
      </c>
      <c r="F3" s="2" t="inlineStr">
        <is>
          <t>预算</t>
        </is>
      </c>
      <c r="G3" s="2" t="inlineStr">
        <is>
          <t>实际</t>
        </is>
      </c>
      <c r="H3" s="2" t="inlineStr">
        <is>
          <t>差异</t>
        </is>
      </c>
      <c r="I3" s="2" t="inlineStr">
        <is>
          <t>预算</t>
        </is>
      </c>
      <c r="J3" s="2" t="inlineStr">
        <is>
          <t>实际</t>
        </is>
      </c>
      <c r="K3" s="2" t="inlineStr">
        <is>
          <t>差异</t>
        </is>
      </c>
      <c r="L3" s="2" t="inlineStr">
        <is>
          <t>预算</t>
        </is>
      </c>
      <c r="M3" s="2" t="inlineStr">
        <is>
          <t>实际</t>
        </is>
      </c>
      <c r="N3" s="2" t="inlineStr">
        <is>
          <t>差异</t>
        </is>
      </c>
      <c r="O3" s="2" t="inlineStr">
        <is>
          <t>预算</t>
        </is>
      </c>
      <c r="P3" s="2" t="inlineStr">
        <is>
          <t>实际</t>
        </is>
      </c>
      <c r="Q3" s="2" t="inlineStr">
        <is>
          <t>差异</t>
        </is>
      </c>
      <c r="R3" s="2" t="inlineStr">
        <is>
          <t>预算</t>
        </is>
      </c>
      <c r="S3" s="2" t="inlineStr">
        <is>
          <t>实际</t>
        </is>
      </c>
      <c r="T3" s="2" t="inlineStr">
        <is>
          <t>差异</t>
        </is>
      </c>
      <c r="U3" s="2" t="inlineStr">
        <is>
          <t>预算</t>
        </is>
      </c>
      <c r="V3" s="2" t="inlineStr">
        <is>
          <t>实际</t>
        </is>
      </c>
      <c r="W3" s="2" t="inlineStr">
        <is>
          <t>差异</t>
        </is>
      </c>
      <c r="X3" s="2" t="inlineStr">
        <is>
          <t>预算</t>
        </is>
      </c>
      <c r="Y3" s="2" t="inlineStr">
        <is>
          <t>实际</t>
        </is>
      </c>
      <c r="Z3" s="2" t="inlineStr">
        <is>
          <t>差异</t>
        </is>
      </c>
      <c r="AA3" s="2" t="inlineStr">
        <is>
          <t>预算</t>
        </is>
      </c>
      <c r="AB3" s="2" t="inlineStr">
        <is>
          <t>实际</t>
        </is>
      </c>
      <c r="AC3" s="2" t="inlineStr">
        <is>
          <t>差异</t>
        </is>
      </c>
      <c r="AD3" s="2" t="inlineStr">
        <is>
          <t>预算</t>
        </is>
      </c>
      <c r="AE3" s="2" t="inlineStr">
        <is>
          <t>实际</t>
        </is>
      </c>
      <c r="AF3" s="2" t="inlineStr">
        <is>
          <t>差异</t>
        </is>
      </c>
      <c r="AG3" s="2" t="inlineStr">
        <is>
          <t>预算</t>
        </is>
      </c>
      <c r="AH3" s="2" t="inlineStr">
        <is>
          <t>实际</t>
        </is>
      </c>
      <c r="AI3" s="2" t="inlineStr">
        <is>
          <t>差异</t>
        </is>
      </c>
      <c r="AJ3" s="2" t="inlineStr">
        <is>
          <t>预算</t>
        </is>
      </c>
      <c r="AK3" s="2" t="inlineStr">
        <is>
          <t>实际</t>
        </is>
      </c>
      <c r="AL3" s="2" t="inlineStr">
        <is>
          <t>差异</t>
        </is>
      </c>
    </row>
    <row r="4">
      <c r="A4" s="23" t="inlineStr">
        <is>
          <t>销售部</t>
        </is>
      </c>
      <c r="B4" s="4" t="inlineStr">
        <is>
          <t>人工费用</t>
        </is>
      </c>
      <c r="C4" s="18" t="n">
        <v>52195</v>
      </c>
      <c r="D4" s="18" t="n">
        <v>52989</v>
      </c>
      <c r="E4" s="24" t="n">
        <v>794</v>
      </c>
      <c r="F4" s="18" t="n">
        <v>44988</v>
      </c>
      <c r="G4" s="18" t="n">
        <v>46488</v>
      </c>
      <c r="H4" s="24" t="n">
        <v>1500</v>
      </c>
      <c r="I4" s="18" t="n">
        <v>52515</v>
      </c>
      <c r="J4" s="18" t="n">
        <v>51620</v>
      </c>
      <c r="K4" s="18" t="n">
        <v>-895</v>
      </c>
      <c r="L4" s="18" t="n">
        <v>65008</v>
      </c>
      <c r="M4" s="18" t="n">
        <v>55485</v>
      </c>
      <c r="N4" s="18" t="n">
        <v>-9523</v>
      </c>
      <c r="O4" s="18" t="n">
        <v>60162</v>
      </c>
      <c r="P4" s="18" t="n">
        <v>50097</v>
      </c>
      <c r="Q4" s="18" t="n">
        <v>-10065</v>
      </c>
      <c r="R4" s="18" t="n">
        <v>65190</v>
      </c>
      <c r="S4" s="18" t="n">
        <v>79257</v>
      </c>
      <c r="T4" s="24" t="n">
        <v>14067</v>
      </c>
      <c r="U4" s="18" t="n">
        <v>79808</v>
      </c>
      <c r="V4" s="18" t="n">
        <v>72781</v>
      </c>
      <c r="W4" s="18" t="n">
        <v>-7027</v>
      </c>
      <c r="X4" s="18" t="n">
        <v>54745</v>
      </c>
      <c r="Y4" s="18" t="n">
        <v>60402</v>
      </c>
      <c r="Z4" s="24" t="n">
        <v>5657</v>
      </c>
      <c r="AA4" s="18" t="n">
        <v>54039</v>
      </c>
      <c r="AB4" s="18" t="n">
        <v>69030</v>
      </c>
      <c r="AC4" s="24" t="n">
        <v>14991</v>
      </c>
      <c r="AD4" s="18" t="n">
        <v>61910</v>
      </c>
      <c r="AE4" s="18" t="n">
        <v>75090</v>
      </c>
      <c r="AF4" s="24" t="n">
        <v>13180</v>
      </c>
      <c r="AG4" s="18" t="n">
        <v>61261</v>
      </c>
      <c r="AH4" s="18" t="n">
        <v>48567</v>
      </c>
      <c r="AI4" s="18" t="n">
        <v>-12694</v>
      </c>
      <c r="AJ4" s="18" t="n">
        <v>84620</v>
      </c>
      <c r="AK4" s="18" t="n">
        <v>68423</v>
      </c>
      <c r="AL4" s="18" t="n">
        <v>-16197</v>
      </c>
    </row>
    <row r="5">
      <c r="B5" s="4" t="inlineStr">
        <is>
          <t>差旅费</t>
        </is>
      </c>
      <c r="C5" s="18" t="n">
        <v>16782</v>
      </c>
      <c r="D5" s="18" t="n">
        <v>17172</v>
      </c>
      <c r="E5" s="24" t="n">
        <v>390</v>
      </c>
      <c r="F5" s="18" t="n">
        <v>13081</v>
      </c>
      <c r="G5" s="18" t="n">
        <v>15663</v>
      </c>
      <c r="H5" s="24" t="n">
        <v>2582</v>
      </c>
      <c r="I5" s="18" t="n">
        <v>17151</v>
      </c>
      <c r="J5" s="18" t="n">
        <v>20819</v>
      </c>
      <c r="K5" s="24" t="n">
        <v>3668</v>
      </c>
      <c r="L5" s="18" t="n">
        <v>19877</v>
      </c>
      <c r="M5" s="18" t="n">
        <v>25344</v>
      </c>
      <c r="N5" s="24" t="n">
        <v>5467</v>
      </c>
      <c r="O5" s="18" t="n">
        <v>18865</v>
      </c>
      <c r="P5" s="18" t="n">
        <v>19494</v>
      </c>
      <c r="Q5" s="24" t="n">
        <v>629</v>
      </c>
      <c r="R5" s="18" t="n">
        <v>21181</v>
      </c>
      <c r="S5" s="18" t="n">
        <v>20423</v>
      </c>
      <c r="T5" s="18" t="n">
        <v>-758</v>
      </c>
      <c r="U5" s="18" t="n">
        <v>23908</v>
      </c>
      <c r="V5" s="18" t="n">
        <v>26896</v>
      </c>
      <c r="W5" s="24" t="n">
        <v>2988</v>
      </c>
      <c r="X5" s="18" t="n">
        <v>19069</v>
      </c>
      <c r="Y5" s="18" t="n">
        <v>15705</v>
      </c>
      <c r="Z5" s="18" t="n">
        <v>-3364</v>
      </c>
      <c r="AA5" s="18" t="n">
        <v>19473</v>
      </c>
      <c r="AB5" s="18" t="n">
        <v>24220</v>
      </c>
      <c r="AC5" s="24" t="n">
        <v>4747</v>
      </c>
      <c r="AD5" s="18" t="n">
        <v>23229</v>
      </c>
      <c r="AE5" s="18" t="n">
        <v>21280</v>
      </c>
      <c r="AF5" s="18" t="n">
        <v>-1949</v>
      </c>
      <c r="AG5" s="18" t="n">
        <v>20568</v>
      </c>
      <c r="AH5" s="18" t="n">
        <v>24746</v>
      </c>
      <c r="AI5" s="24" t="n">
        <v>4178</v>
      </c>
      <c r="AJ5" s="18" t="n">
        <v>26653</v>
      </c>
      <c r="AK5" s="18" t="n">
        <v>29248</v>
      </c>
      <c r="AL5" s="24" t="n">
        <v>2595</v>
      </c>
    </row>
    <row r="6">
      <c r="B6" s="4" t="inlineStr">
        <is>
          <t>业务招待费</t>
        </is>
      </c>
      <c r="C6" s="18" t="n">
        <v>11741</v>
      </c>
      <c r="D6" s="18" t="n">
        <v>11053</v>
      </c>
      <c r="E6" s="18" t="n">
        <v>-688</v>
      </c>
      <c r="F6" s="18" t="n">
        <v>11686</v>
      </c>
      <c r="G6" s="18" t="n">
        <v>10964</v>
      </c>
      <c r="H6" s="18" t="n">
        <v>-722</v>
      </c>
      <c r="I6" s="18" t="n">
        <v>15686</v>
      </c>
      <c r="J6" s="18" t="n">
        <v>16091</v>
      </c>
      <c r="K6" s="24" t="n">
        <v>405</v>
      </c>
      <c r="L6" s="18" t="n">
        <v>17756</v>
      </c>
      <c r="M6" s="18" t="n">
        <v>13436</v>
      </c>
      <c r="N6" s="18" t="n">
        <v>-4320</v>
      </c>
      <c r="O6" s="18" t="n">
        <v>15213</v>
      </c>
      <c r="P6" s="18" t="n">
        <v>16613</v>
      </c>
      <c r="Q6" s="24" t="n">
        <v>1400</v>
      </c>
      <c r="R6" s="18" t="n">
        <v>16956</v>
      </c>
      <c r="S6" s="18" t="n">
        <v>22027</v>
      </c>
      <c r="T6" s="24" t="n">
        <v>5071</v>
      </c>
      <c r="U6" s="18" t="n">
        <v>19493</v>
      </c>
      <c r="V6" s="18" t="n">
        <v>22148</v>
      </c>
      <c r="W6" s="24" t="n">
        <v>2655</v>
      </c>
      <c r="X6" s="18" t="n">
        <v>16429</v>
      </c>
      <c r="Y6" s="18" t="n">
        <v>21354</v>
      </c>
      <c r="Z6" s="24" t="n">
        <v>4925</v>
      </c>
      <c r="AA6" s="18" t="n">
        <v>13369</v>
      </c>
      <c r="AB6" s="18" t="n">
        <v>17112</v>
      </c>
      <c r="AC6" s="24" t="n">
        <v>3743</v>
      </c>
      <c r="AD6" s="18" t="n">
        <v>18355</v>
      </c>
      <c r="AE6" s="18" t="n">
        <v>23657</v>
      </c>
      <c r="AF6" s="24" t="n">
        <v>5302</v>
      </c>
      <c r="AG6" s="18" t="n">
        <v>17141</v>
      </c>
      <c r="AH6" s="18" t="n">
        <v>15614</v>
      </c>
      <c r="AI6" s="18" t="n">
        <v>-1527</v>
      </c>
      <c r="AJ6" s="18" t="n">
        <v>19573</v>
      </c>
      <c r="AK6" s="18" t="n">
        <v>16771</v>
      </c>
      <c r="AL6" s="18" t="n">
        <v>-2802</v>
      </c>
    </row>
    <row r="7">
      <c r="B7" s="4" t="inlineStr">
        <is>
          <t>办公费</t>
        </is>
      </c>
      <c r="C7" s="18" t="n">
        <v>9961</v>
      </c>
      <c r="D7" s="18" t="n">
        <v>12190</v>
      </c>
      <c r="E7" s="24" t="n">
        <v>2229</v>
      </c>
      <c r="F7" s="18" t="n">
        <v>9906</v>
      </c>
      <c r="G7" s="18" t="n">
        <v>9714</v>
      </c>
      <c r="H7" s="18" t="n">
        <v>-192</v>
      </c>
      <c r="I7" s="18" t="n">
        <v>12574</v>
      </c>
      <c r="J7" s="18" t="n">
        <v>12377</v>
      </c>
      <c r="K7" s="18" t="n">
        <v>-197</v>
      </c>
      <c r="L7" s="18" t="n">
        <v>14039</v>
      </c>
      <c r="M7" s="18" t="n">
        <v>12413</v>
      </c>
      <c r="N7" s="18" t="n">
        <v>-1626</v>
      </c>
      <c r="O7" s="18" t="n">
        <v>14047</v>
      </c>
      <c r="P7" s="18" t="n">
        <v>17738</v>
      </c>
      <c r="Q7" s="24" t="n">
        <v>3691</v>
      </c>
      <c r="R7" s="18" t="n">
        <v>15686</v>
      </c>
      <c r="S7" s="18" t="n">
        <v>13356</v>
      </c>
      <c r="T7" s="18" t="n">
        <v>-2330</v>
      </c>
      <c r="U7" s="18" t="n">
        <v>17630</v>
      </c>
      <c r="V7" s="18" t="n">
        <v>13344</v>
      </c>
      <c r="W7" s="18" t="n">
        <v>-4286</v>
      </c>
      <c r="X7" s="18" t="n">
        <v>13990</v>
      </c>
      <c r="Y7" s="18" t="n">
        <v>15892</v>
      </c>
      <c r="Z7" s="24" t="n">
        <v>1902</v>
      </c>
      <c r="AA7" s="18" t="n">
        <v>12324</v>
      </c>
      <c r="AB7" s="18" t="n">
        <v>15472</v>
      </c>
      <c r="AC7" s="24" t="n">
        <v>3148</v>
      </c>
      <c r="AD7" s="18" t="n">
        <v>15534</v>
      </c>
      <c r="AE7" s="18" t="n">
        <v>18519</v>
      </c>
      <c r="AF7" s="24" t="n">
        <v>2985</v>
      </c>
      <c r="AG7" s="18" t="n">
        <v>14306</v>
      </c>
      <c r="AH7" s="18" t="n">
        <v>16106</v>
      </c>
      <c r="AI7" s="24" t="n">
        <v>1800</v>
      </c>
      <c r="AJ7" s="18" t="n">
        <v>17779</v>
      </c>
      <c r="AK7" s="18" t="n">
        <v>15198</v>
      </c>
      <c r="AL7" s="18" t="n">
        <v>-2581</v>
      </c>
    </row>
    <row r="8">
      <c r="B8" s="4" t="inlineStr">
        <is>
          <t>折旧费</t>
        </is>
      </c>
      <c r="C8" s="18" t="n">
        <v>7891</v>
      </c>
      <c r="D8" s="18" t="n">
        <v>6692</v>
      </c>
      <c r="E8" s="18" t="n">
        <v>-1199</v>
      </c>
      <c r="F8" s="18" t="n">
        <v>7660</v>
      </c>
      <c r="G8" s="18" t="n">
        <v>6269</v>
      </c>
      <c r="H8" s="18" t="n">
        <v>-1391</v>
      </c>
      <c r="I8" s="18" t="n">
        <v>8938</v>
      </c>
      <c r="J8" s="18" t="n">
        <v>10349</v>
      </c>
      <c r="K8" s="24" t="n">
        <v>1411</v>
      </c>
      <c r="L8" s="18" t="n">
        <v>10590</v>
      </c>
      <c r="M8" s="18" t="n">
        <v>13193</v>
      </c>
      <c r="N8" s="24" t="n">
        <v>2603</v>
      </c>
      <c r="O8" s="18" t="n">
        <v>10555</v>
      </c>
      <c r="P8" s="18" t="n">
        <v>11038</v>
      </c>
      <c r="Q8" s="24" t="n">
        <v>483</v>
      </c>
      <c r="R8" s="18" t="n">
        <v>11096</v>
      </c>
      <c r="S8" s="18" t="n">
        <v>10429</v>
      </c>
      <c r="T8" s="18" t="n">
        <v>-667</v>
      </c>
      <c r="U8" s="18" t="n">
        <v>12753</v>
      </c>
      <c r="V8" s="18" t="n">
        <v>12695</v>
      </c>
      <c r="W8" s="18" t="n">
        <v>-58</v>
      </c>
      <c r="X8" s="18" t="n">
        <v>10758</v>
      </c>
      <c r="Y8" s="18" t="n">
        <v>11197</v>
      </c>
      <c r="Z8" s="24" t="n">
        <v>439</v>
      </c>
      <c r="AA8" s="18" t="n">
        <v>9435</v>
      </c>
      <c r="AB8" s="18" t="n">
        <v>9769</v>
      </c>
      <c r="AC8" s="24" t="n">
        <v>334</v>
      </c>
      <c r="AD8" s="18" t="n">
        <v>10847</v>
      </c>
      <c r="AE8" s="18" t="n">
        <v>13017</v>
      </c>
      <c r="AF8" s="24" t="n">
        <v>2170</v>
      </c>
      <c r="AG8" s="18" t="n">
        <v>10371</v>
      </c>
      <c r="AH8" s="18" t="n">
        <v>10281</v>
      </c>
      <c r="AI8" s="18" t="n">
        <v>-90</v>
      </c>
      <c r="AJ8" s="18" t="n">
        <v>15416</v>
      </c>
      <c r="AK8" s="18" t="n">
        <v>11466</v>
      </c>
      <c r="AL8" s="18" t="n">
        <v>-3950</v>
      </c>
    </row>
    <row r="9">
      <c r="B9" s="6" t="inlineStr">
        <is>
          <t>小计</t>
        </is>
      </c>
      <c r="C9" s="19" t="n">
        <v>98570</v>
      </c>
      <c r="D9" s="19" t="n">
        <v>100096</v>
      </c>
      <c r="E9" s="19" t="n">
        <v>1526</v>
      </c>
      <c r="F9" s="19" t="n">
        <v>87321</v>
      </c>
      <c r="G9" s="19" t="n">
        <v>89098</v>
      </c>
      <c r="H9" s="19" t="n">
        <v>1777</v>
      </c>
      <c r="I9" s="19" t="n">
        <v>106864</v>
      </c>
      <c r="J9" s="19" t="n">
        <v>111256</v>
      </c>
      <c r="K9" s="19" t="n">
        <v>4392</v>
      </c>
      <c r="L9" s="19" t="n">
        <v>127270</v>
      </c>
      <c r="M9" s="19" t="n">
        <v>119871</v>
      </c>
      <c r="N9" s="19" t="n">
        <v>-7399</v>
      </c>
      <c r="O9" s="19" t="n">
        <v>118842</v>
      </c>
      <c r="P9" s="19" t="n">
        <v>114980</v>
      </c>
      <c r="Q9" s="19" t="n">
        <v>-3862</v>
      </c>
      <c r="R9" s="19" t="n">
        <v>130109</v>
      </c>
      <c r="S9" s="19" t="n">
        <v>145492</v>
      </c>
      <c r="T9" s="19" t="n">
        <v>15383</v>
      </c>
      <c r="U9" s="19" t="n">
        <v>153592</v>
      </c>
      <c r="V9" s="19" t="n">
        <v>147864</v>
      </c>
      <c r="W9" s="19" t="n">
        <v>-5728</v>
      </c>
      <c r="X9" s="19" t="n">
        <v>114991</v>
      </c>
      <c r="Y9" s="19" t="n">
        <v>124550</v>
      </c>
      <c r="Z9" s="19" t="n">
        <v>9559</v>
      </c>
      <c r="AA9" s="19" t="n">
        <v>108640</v>
      </c>
      <c r="AB9" s="19" t="n">
        <v>135603</v>
      </c>
      <c r="AC9" s="19" t="n">
        <v>26963</v>
      </c>
      <c r="AD9" s="19" t="n">
        <v>129875</v>
      </c>
      <c r="AE9" s="19" t="n">
        <v>151563</v>
      </c>
      <c r="AF9" s="19" t="n">
        <v>21688</v>
      </c>
      <c r="AG9" s="19" t="n">
        <v>123647</v>
      </c>
      <c r="AH9" s="19" t="n">
        <v>115314</v>
      </c>
      <c r="AI9" s="19" t="n">
        <v>-8333</v>
      </c>
      <c r="AJ9" s="19" t="n">
        <v>164041</v>
      </c>
      <c r="AK9" s="19" t="n">
        <v>141106</v>
      </c>
      <c r="AL9" s="19" t="n">
        <v>-22935</v>
      </c>
    </row>
    <row r="10">
      <c r="A10" s="23" t="inlineStr">
        <is>
          <t>市场部</t>
        </is>
      </c>
      <c r="B10" s="4" t="inlineStr">
        <is>
          <t>人工费用</t>
        </is>
      </c>
      <c r="C10" s="18" t="n">
        <v>25921</v>
      </c>
      <c r="D10" s="18" t="n">
        <v>33633</v>
      </c>
      <c r="E10" s="24" t="n">
        <v>7712</v>
      </c>
      <c r="F10" s="18" t="n">
        <v>19452</v>
      </c>
      <c r="G10" s="18" t="n">
        <v>20009</v>
      </c>
      <c r="H10" s="24" t="n">
        <v>557</v>
      </c>
      <c r="I10" s="18" t="n">
        <v>27889</v>
      </c>
      <c r="J10" s="18" t="n">
        <v>24505</v>
      </c>
      <c r="K10" s="18" t="n">
        <v>-3384</v>
      </c>
      <c r="L10" s="18" t="n">
        <v>30300</v>
      </c>
      <c r="M10" s="18" t="n">
        <v>30143</v>
      </c>
      <c r="N10" s="18" t="n">
        <v>-157</v>
      </c>
      <c r="O10" s="18" t="n">
        <v>28444</v>
      </c>
      <c r="P10" s="18" t="n">
        <v>23332</v>
      </c>
      <c r="Q10" s="18" t="n">
        <v>-5112</v>
      </c>
      <c r="R10" s="18" t="n">
        <v>34509</v>
      </c>
      <c r="S10" s="18" t="n">
        <v>38227</v>
      </c>
      <c r="T10" s="24" t="n">
        <v>3718</v>
      </c>
      <c r="U10" s="18" t="n">
        <v>36784</v>
      </c>
      <c r="V10" s="18" t="n">
        <v>34710</v>
      </c>
      <c r="W10" s="18" t="n">
        <v>-2074</v>
      </c>
      <c r="X10" s="18" t="n">
        <v>29875</v>
      </c>
      <c r="Y10" s="18" t="n">
        <v>21407</v>
      </c>
      <c r="Z10" s="18" t="n">
        <v>-8468</v>
      </c>
      <c r="AA10" s="18" t="n">
        <v>25399</v>
      </c>
      <c r="AB10" s="18" t="n">
        <v>19029</v>
      </c>
      <c r="AC10" s="18" t="n">
        <v>-6370</v>
      </c>
      <c r="AD10" s="18" t="n">
        <v>34528</v>
      </c>
      <c r="AE10" s="18" t="n">
        <v>31095</v>
      </c>
      <c r="AF10" s="18" t="n">
        <v>-3433</v>
      </c>
      <c r="AG10" s="18" t="n">
        <v>30873</v>
      </c>
      <c r="AH10" s="18" t="n">
        <v>21615</v>
      </c>
      <c r="AI10" s="18" t="n">
        <v>-9258</v>
      </c>
      <c r="AJ10" s="18" t="n">
        <v>38197</v>
      </c>
      <c r="AK10" s="18" t="n">
        <v>43912</v>
      </c>
      <c r="AL10" s="24" t="n">
        <v>5715</v>
      </c>
    </row>
    <row r="11">
      <c r="B11" s="4" t="inlineStr">
        <is>
          <t>差旅费</t>
        </is>
      </c>
      <c r="C11" s="18" t="n">
        <v>8048</v>
      </c>
      <c r="D11" s="18" t="n">
        <v>6846</v>
      </c>
      <c r="E11" s="18" t="n">
        <v>-1202</v>
      </c>
      <c r="F11" s="18" t="n">
        <v>7337</v>
      </c>
      <c r="G11" s="18" t="n">
        <v>8473</v>
      </c>
      <c r="H11" s="24" t="n">
        <v>1136</v>
      </c>
      <c r="I11" s="18" t="n">
        <v>8775</v>
      </c>
      <c r="J11" s="18" t="n">
        <v>9223</v>
      </c>
      <c r="K11" s="24" t="n">
        <v>448</v>
      </c>
      <c r="L11" s="18" t="n">
        <v>9241</v>
      </c>
      <c r="M11" s="18" t="n">
        <v>6483</v>
      </c>
      <c r="N11" s="18" t="n">
        <v>-2758</v>
      </c>
      <c r="O11" s="18" t="n">
        <v>10701</v>
      </c>
      <c r="P11" s="18" t="n">
        <v>13595</v>
      </c>
      <c r="Q11" s="24" t="n">
        <v>2894</v>
      </c>
      <c r="R11" s="18" t="n">
        <v>10355</v>
      </c>
      <c r="S11" s="18" t="n">
        <v>13050</v>
      </c>
      <c r="T11" s="24" t="n">
        <v>2695</v>
      </c>
      <c r="U11" s="18" t="n">
        <v>12968</v>
      </c>
      <c r="V11" s="18" t="n">
        <v>16138</v>
      </c>
      <c r="W11" s="24" t="n">
        <v>3170</v>
      </c>
      <c r="X11" s="18" t="n">
        <v>9727</v>
      </c>
      <c r="Y11" s="18" t="n">
        <v>9495</v>
      </c>
      <c r="Z11" s="18" t="n">
        <v>-232</v>
      </c>
      <c r="AA11" s="18" t="n">
        <v>9409</v>
      </c>
      <c r="AB11" s="18" t="n">
        <v>8347</v>
      </c>
      <c r="AC11" s="18" t="n">
        <v>-1062</v>
      </c>
      <c r="AD11" s="18" t="n">
        <v>11552</v>
      </c>
      <c r="AE11" s="18" t="n">
        <v>13636</v>
      </c>
      <c r="AF11" s="24" t="n">
        <v>2084</v>
      </c>
      <c r="AG11" s="18" t="n">
        <v>10449</v>
      </c>
      <c r="AH11" s="18" t="n">
        <v>13306</v>
      </c>
      <c r="AI11" s="24" t="n">
        <v>2857</v>
      </c>
      <c r="AJ11" s="18" t="n">
        <v>12891</v>
      </c>
      <c r="AK11" s="18" t="n">
        <v>16029</v>
      </c>
      <c r="AL11" s="24" t="n">
        <v>3138</v>
      </c>
    </row>
    <row r="12">
      <c r="B12" s="4" t="inlineStr">
        <is>
          <t>业务招待费</t>
        </is>
      </c>
      <c r="C12" s="18" t="n">
        <v>6191</v>
      </c>
      <c r="D12" s="18" t="n">
        <v>6791</v>
      </c>
      <c r="E12" s="24" t="n">
        <v>600</v>
      </c>
      <c r="F12" s="18" t="n">
        <v>5191</v>
      </c>
      <c r="G12" s="18" t="n">
        <v>5048</v>
      </c>
      <c r="H12" s="18" t="n">
        <v>-143</v>
      </c>
      <c r="I12" s="18" t="n">
        <v>8018</v>
      </c>
      <c r="J12" s="18" t="n">
        <v>7445</v>
      </c>
      <c r="K12" s="18" t="n">
        <v>-573</v>
      </c>
      <c r="L12" s="18" t="n">
        <v>8463</v>
      </c>
      <c r="M12" s="18" t="n">
        <v>7890</v>
      </c>
      <c r="N12" s="18" t="n">
        <v>-573</v>
      </c>
      <c r="O12" s="18" t="n">
        <v>7669</v>
      </c>
      <c r="P12" s="18" t="n">
        <v>5537</v>
      </c>
      <c r="Q12" s="18" t="n">
        <v>-2132</v>
      </c>
      <c r="R12" s="18" t="n">
        <v>9326</v>
      </c>
      <c r="S12" s="18" t="n">
        <v>7189</v>
      </c>
      <c r="T12" s="18" t="n">
        <v>-2137</v>
      </c>
      <c r="U12" s="18" t="n">
        <v>10420</v>
      </c>
      <c r="V12" s="18" t="n">
        <v>12056</v>
      </c>
      <c r="W12" s="24" t="n">
        <v>1636</v>
      </c>
      <c r="X12" s="18" t="n">
        <v>8122</v>
      </c>
      <c r="Y12" s="18" t="n">
        <v>7792</v>
      </c>
      <c r="Z12" s="18" t="n">
        <v>-330</v>
      </c>
      <c r="AA12" s="18" t="n">
        <v>6964</v>
      </c>
      <c r="AB12" s="18" t="n">
        <v>5600</v>
      </c>
      <c r="AC12" s="18" t="n">
        <v>-1364</v>
      </c>
      <c r="AD12" s="18" t="n">
        <v>8764</v>
      </c>
      <c r="AE12" s="18" t="n">
        <v>10333</v>
      </c>
      <c r="AF12" s="24" t="n">
        <v>1569</v>
      </c>
      <c r="AG12" s="18" t="n">
        <v>8301</v>
      </c>
      <c r="AH12" s="18" t="n">
        <v>7996</v>
      </c>
      <c r="AI12" s="18" t="n">
        <v>-305</v>
      </c>
      <c r="AJ12" s="18" t="n">
        <v>9920</v>
      </c>
      <c r="AK12" s="18" t="n">
        <v>8533</v>
      </c>
      <c r="AL12" s="18" t="n">
        <v>-1387</v>
      </c>
    </row>
    <row r="13">
      <c r="B13" s="4" t="inlineStr">
        <is>
          <t>办公费</t>
        </is>
      </c>
      <c r="C13" s="18" t="n">
        <v>5311</v>
      </c>
      <c r="D13" s="18" t="n">
        <v>6854</v>
      </c>
      <c r="E13" s="24" t="n">
        <v>1543</v>
      </c>
      <c r="F13" s="18" t="n">
        <v>4399</v>
      </c>
      <c r="G13" s="18" t="n">
        <v>5308</v>
      </c>
      <c r="H13" s="24" t="n">
        <v>909</v>
      </c>
      <c r="I13" s="18" t="n">
        <v>6322</v>
      </c>
      <c r="J13" s="18" t="n">
        <v>5798</v>
      </c>
      <c r="K13" s="18" t="n">
        <v>-524</v>
      </c>
      <c r="L13" s="18" t="n">
        <v>7074</v>
      </c>
      <c r="M13" s="18" t="n">
        <v>7575</v>
      </c>
      <c r="N13" s="24" t="n">
        <v>501</v>
      </c>
      <c r="O13" s="18" t="n">
        <v>6357</v>
      </c>
      <c r="P13" s="18" t="n">
        <v>7793</v>
      </c>
      <c r="Q13" s="24" t="n">
        <v>1436</v>
      </c>
      <c r="R13" s="18" t="n">
        <v>7458</v>
      </c>
      <c r="S13" s="18" t="n">
        <v>5751</v>
      </c>
      <c r="T13" s="18" t="n">
        <v>-1707</v>
      </c>
      <c r="U13" s="18" t="n">
        <v>8488</v>
      </c>
      <c r="V13" s="18" t="n">
        <v>7511</v>
      </c>
      <c r="W13" s="18" t="n">
        <v>-977</v>
      </c>
      <c r="X13" s="18" t="n">
        <v>6987</v>
      </c>
      <c r="Y13" s="18" t="n">
        <v>8385</v>
      </c>
      <c r="Z13" s="24" t="n">
        <v>1398</v>
      </c>
      <c r="AA13" s="18" t="n">
        <v>6102</v>
      </c>
      <c r="AB13" s="18" t="n">
        <v>6099</v>
      </c>
      <c r="AC13" s="18" t="n">
        <v>-3</v>
      </c>
      <c r="AD13" s="18" t="n">
        <v>7696</v>
      </c>
      <c r="AE13" s="18" t="n">
        <v>6232</v>
      </c>
      <c r="AF13" s="18" t="n">
        <v>-1464</v>
      </c>
      <c r="AG13" s="18" t="n">
        <v>7285</v>
      </c>
      <c r="AH13" s="18" t="n">
        <v>6908</v>
      </c>
      <c r="AI13" s="18" t="n">
        <v>-377</v>
      </c>
      <c r="AJ13" s="18" t="n">
        <v>9436</v>
      </c>
      <c r="AK13" s="18" t="n">
        <v>9924</v>
      </c>
      <c r="AL13" s="24" t="n">
        <v>488</v>
      </c>
    </row>
    <row r="14">
      <c r="B14" s="4" t="inlineStr">
        <is>
          <t>折旧费</t>
        </is>
      </c>
      <c r="C14" s="18" t="n">
        <v>4375</v>
      </c>
      <c r="D14" s="18" t="n">
        <v>4129</v>
      </c>
      <c r="E14" s="18" t="n">
        <v>-246</v>
      </c>
      <c r="F14" s="18" t="n">
        <v>3862</v>
      </c>
      <c r="G14" s="18" t="n">
        <v>3946</v>
      </c>
      <c r="H14" s="24" t="n">
        <v>84</v>
      </c>
      <c r="I14" s="18" t="n">
        <v>5053</v>
      </c>
      <c r="J14" s="18" t="n">
        <v>5205</v>
      </c>
      <c r="K14" s="24" t="n">
        <v>152</v>
      </c>
      <c r="L14" s="18" t="n">
        <v>5738</v>
      </c>
      <c r="M14" s="18" t="n">
        <v>4137</v>
      </c>
      <c r="N14" s="18" t="n">
        <v>-1601</v>
      </c>
      <c r="O14" s="18" t="n">
        <v>5740</v>
      </c>
      <c r="P14" s="18" t="n">
        <v>5199</v>
      </c>
      <c r="Q14" s="18" t="n">
        <v>-541</v>
      </c>
      <c r="R14" s="18" t="n">
        <v>6133</v>
      </c>
      <c r="S14" s="18" t="n">
        <v>5031</v>
      </c>
      <c r="T14" s="18" t="n">
        <v>-1102</v>
      </c>
      <c r="U14" s="18" t="n">
        <v>6352</v>
      </c>
      <c r="V14" s="18" t="n">
        <v>5889</v>
      </c>
      <c r="W14" s="18" t="n">
        <v>-463</v>
      </c>
      <c r="X14" s="18" t="n">
        <v>5972</v>
      </c>
      <c r="Y14" s="18" t="n">
        <v>7269</v>
      </c>
      <c r="Z14" s="24" t="n">
        <v>1297</v>
      </c>
      <c r="AA14" s="18" t="n">
        <v>5227</v>
      </c>
      <c r="AB14" s="18" t="n">
        <v>6264</v>
      </c>
      <c r="AC14" s="24" t="n">
        <v>1037</v>
      </c>
      <c r="AD14" s="18" t="n">
        <v>5758</v>
      </c>
      <c r="AE14" s="18" t="n">
        <v>4765</v>
      </c>
      <c r="AF14" s="18" t="n">
        <v>-993</v>
      </c>
      <c r="AG14" s="18" t="n">
        <v>5675</v>
      </c>
      <c r="AH14" s="18" t="n">
        <v>4635</v>
      </c>
      <c r="AI14" s="18" t="n">
        <v>-1040</v>
      </c>
      <c r="AJ14" s="18" t="n">
        <v>7603</v>
      </c>
      <c r="AK14" s="18" t="n">
        <v>6571</v>
      </c>
      <c r="AL14" s="18" t="n">
        <v>-1032</v>
      </c>
    </row>
    <row r="15">
      <c r="B15" s="6" t="inlineStr">
        <is>
          <t>小计</t>
        </is>
      </c>
      <c r="C15" s="19" t="n">
        <v>49846</v>
      </c>
      <c r="D15" s="19" t="n">
        <v>58253</v>
      </c>
      <c r="E15" s="19" t="n">
        <v>8407</v>
      </c>
      <c r="F15" s="19" t="n">
        <v>40241</v>
      </c>
      <c r="G15" s="19" t="n">
        <v>42784</v>
      </c>
      <c r="H15" s="19" t="n">
        <v>2543</v>
      </c>
      <c r="I15" s="19" t="n">
        <v>56057</v>
      </c>
      <c r="J15" s="19" t="n">
        <v>52176</v>
      </c>
      <c r="K15" s="19" t="n">
        <v>-3881</v>
      </c>
      <c r="L15" s="19" t="n">
        <v>60816</v>
      </c>
      <c r="M15" s="19" t="n">
        <v>56228</v>
      </c>
      <c r="N15" s="19" t="n">
        <v>-4588</v>
      </c>
      <c r="O15" s="19" t="n">
        <v>58911</v>
      </c>
      <c r="P15" s="19" t="n">
        <v>55456</v>
      </c>
      <c r="Q15" s="19" t="n">
        <v>-3455</v>
      </c>
      <c r="R15" s="19" t="n">
        <v>67781</v>
      </c>
      <c r="S15" s="19" t="n">
        <v>69248</v>
      </c>
      <c r="T15" s="19" t="n">
        <v>1467</v>
      </c>
      <c r="U15" s="19" t="n">
        <v>75012</v>
      </c>
      <c r="V15" s="19" t="n">
        <v>76304</v>
      </c>
      <c r="W15" s="19" t="n">
        <v>1292</v>
      </c>
      <c r="X15" s="19" t="n">
        <v>60683</v>
      </c>
      <c r="Y15" s="19" t="n">
        <v>54348</v>
      </c>
      <c r="Z15" s="19" t="n">
        <v>-6335</v>
      </c>
      <c r="AA15" s="19" t="n">
        <v>53101</v>
      </c>
      <c r="AB15" s="19" t="n">
        <v>45339</v>
      </c>
      <c r="AC15" s="19" t="n">
        <v>-7762</v>
      </c>
      <c r="AD15" s="19" t="n">
        <v>68298</v>
      </c>
      <c r="AE15" s="19" t="n">
        <v>66061</v>
      </c>
      <c r="AF15" s="19" t="n">
        <v>-2237</v>
      </c>
      <c r="AG15" s="19" t="n">
        <v>62583</v>
      </c>
      <c r="AH15" s="19" t="n">
        <v>54460</v>
      </c>
      <c r="AI15" s="19" t="n">
        <v>-8123</v>
      </c>
      <c r="AJ15" s="19" t="n">
        <v>78047</v>
      </c>
      <c r="AK15" s="19" t="n">
        <v>84969</v>
      </c>
      <c r="AL15" s="19" t="n">
        <v>6922</v>
      </c>
    </row>
    <row r="16">
      <c r="A16" s="23" t="inlineStr">
        <is>
          <t>研发部</t>
        </is>
      </c>
      <c r="B16" s="4" t="inlineStr">
        <is>
          <t>人工费用</t>
        </is>
      </c>
      <c r="C16" s="18" t="n">
        <v>44388</v>
      </c>
      <c r="D16" s="18" t="n">
        <v>41263</v>
      </c>
      <c r="E16" s="18" t="n">
        <v>-3125</v>
      </c>
      <c r="F16" s="18" t="n">
        <v>39687</v>
      </c>
      <c r="G16" s="18" t="n">
        <v>37201</v>
      </c>
      <c r="H16" s="18" t="n">
        <v>-2486</v>
      </c>
      <c r="I16" s="18" t="n">
        <v>54784</v>
      </c>
      <c r="J16" s="18" t="n">
        <v>52296</v>
      </c>
      <c r="K16" s="18" t="n">
        <v>-2488</v>
      </c>
      <c r="L16" s="18" t="n">
        <v>64640</v>
      </c>
      <c r="M16" s="18" t="n">
        <v>79165</v>
      </c>
      <c r="N16" s="24" t="n">
        <v>14525</v>
      </c>
      <c r="O16" s="18" t="n">
        <v>62111</v>
      </c>
      <c r="P16" s="18" t="n">
        <v>73607</v>
      </c>
      <c r="Q16" s="24" t="n">
        <v>11496</v>
      </c>
      <c r="R16" s="18" t="n">
        <v>71058</v>
      </c>
      <c r="S16" s="18" t="n">
        <v>81092</v>
      </c>
      <c r="T16" s="24" t="n">
        <v>10034</v>
      </c>
      <c r="U16" s="18" t="n">
        <v>73417</v>
      </c>
      <c r="V16" s="18" t="n">
        <v>80281</v>
      </c>
      <c r="W16" s="24" t="n">
        <v>6864</v>
      </c>
      <c r="X16" s="18" t="n">
        <v>59584</v>
      </c>
      <c r="Y16" s="18" t="n">
        <v>63839</v>
      </c>
      <c r="Z16" s="24" t="n">
        <v>4255</v>
      </c>
      <c r="AA16" s="18" t="n">
        <v>58366</v>
      </c>
      <c r="AB16" s="18" t="n">
        <v>63024</v>
      </c>
      <c r="AC16" s="24" t="n">
        <v>4658</v>
      </c>
      <c r="AD16" s="18" t="n">
        <v>73390</v>
      </c>
      <c r="AE16" s="18" t="n">
        <v>84160</v>
      </c>
      <c r="AF16" s="24" t="n">
        <v>10770</v>
      </c>
      <c r="AG16" s="18" t="n">
        <v>59116</v>
      </c>
      <c r="AH16" s="18" t="n">
        <v>71245</v>
      </c>
      <c r="AI16" s="24" t="n">
        <v>12129</v>
      </c>
      <c r="AJ16" s="18" t="n">
        <v>84146</v>
      </c>
      <c r="AK16" s="18" t="n">
        <v>70949</v>
      </c>
      <c r="AL16" s="18" t="n">
        <v>-13197</v>
      </c>
    </row>
    <row r="17">
      <c r="B17" s="4" t="inlineStr">
        <is>
          <t>差旅费</t>
        </is>
      </c>
      <c r="C17" s="18" t="n">
        <v>17405</v>
      </c>
      <c r="D17" s="18" t="n">
        <v>21657</v>
      </c>
      <c r="E17" s="24" t="n">
        <v>4252</v>
      </c>
      <c r="F17" s="18" t="n">
        <v>15258</v>
      </c>
      <c r="G17" s="18" t="n">
        <v>16611</v>
      </c>
      <c r="H17" s="24" t="n">
        <v>1353</v>
      </c>
      <c r="I17" s="18" t="n">
        <v>19081</v>
      </c>
      <c r="J17" s="18" t="n">
        <v>14842</v>
      </c>
      <c r="K17" s="18" t="n">
        <v>-4239</v>
      </c>
      <c r="L17" s="18" t="n">
        <v>18383</v>
      </c>
      <c r="M17" s="18" t="n">
        <v>16889</v>
      </c>
      <c r="N17" s="18" t="n">
        <v>-1494</v>
      </c>
      <c r="O17" s="18" t="n">
        <v>20087</v>
      </c>
      <c r="P17" s="18" t="n">
        <v>16106</v>
      </c>
      <c r="Q17" s="18" t="n">
        <v>-3981</v>
      </c>
      <c r="R17" s="18" t="n">
        <v>23011</v>
      </c>
      <c r="S17" s="18" t="n">
        <v>23828</v>
      </c>
      <c r="T17" s="24" t="n">
        <v>817</v>
      </c>
      <c r="U17" s="18" t="n">
        <v>23276</v>
      </c>
      <c r="V17" s="18" t="n">
        <v>27909</v>
      </c>
      <c r="W17" s="24" t="n">
        <v>4633</v>
      </c>
      <c r="X17" s="18" t="n">
        <v>20418</v>
      </c>
      <c r="Y17" s="18" t="n">
        <v>19173</v>
      </c>
      <c r="Z17" s="18" t="n">
        <v>-1245</v>
      </c>
      <c r="AA17" s="18" t="n">
        <v>19672</v>
      </c>
      <c r="AB17" s="18" t="n">
        <v>21344</v>
      </c>
      <c r="AC17" s="24" t="n">
        <v>1672</v>
      </c>
      <c r="AD17" s="18" t="n">
        <v>21273</v>
      </c>
      <c r="AE17" s="18" t="n">
        <v>26092</v>
      </c>
      <c r="AF17" s="24" t="n">
        <v>4819</v>
      </c>
      <c r="AG17" s="18" t="n">
        <v>19251</v>
      </c>
      <c r="AH17" s="18" t="n">
        <v>22771</v>
      </c>
      <c r="AI17" s="24" t="n">
        <v>3520</v>
      </c>
      <c r="AJ17" s="18" t="n">
        <v>25620</v>
      </c>
      <c r="AK17" s="18" t="n">
        <v>26450</v>
      </c>
      <c r="AL17" s="24" t="n">
        <v>830</v>
      </c>
    </row>
    <row r="18">
      <c r="B18" s="4" t="inlineStr">
        <is>
          <t>业务招待费</t>
        </is>
      </c>
      <c r="C18" s="18" t="n">
        <v>14154</v>
      </c>
      <c r="D18" s="18" t="n">
        <v>16471</v>
      </c>
      <c r="E18" s="24" t="n">
        <v>2317</v>
      </c>
      <c r="F18" s="18" t="n">
        <v>11338</v>
      </c>
      <c r="G18" s="18" t="n">
        <v>7986</v>
      </c>
      <c r="H18" s="18" t="n">
        <v>-3352</v>
      </c>
      <c r="I18" s="18" t="n">
        <v>13839</v>
      </c>
      <c r="J18" s="18" t="n">
        <v>11480</v>
      </c>
      <c r="K18" s="18" t="n">
        <v>-2359</v>
      </c>
      <c r="L18" s="18" t="n">
        <v>17001</v>
      </c>
      <c r="M18" s="18" t="n">
        <v>15694</v>
      </c>
      <c r="N18" s="18" t="n">
        <v>-1307</v>
      </c>
      <c r="O18" s="18" t="n">
        <v>15940</v>
      </c>
      <c r="P18" s="18" t="n">
        <v>12961</v>
      </c>
      <c r="Q18" s="18" t="n">
        <v>-2979</v>
      </c>
      <c r="R18" s="18" t="n">
        <v>18674</v>
      </c>
      <c r="S18" s="18" t="n">
        <v>14426</v>
      </c>
      <c r="T18" s="18" t="n">
        <v>-4248</v>
      </c>
      <c r="U18" s="18" t="n">
        <v>19144</v>
      </c>
      <c r="V18" s="18" t="n">
        <v>17763</v>
      </c>
      <c r="W18" s="18" t="n">
        <v>-1381</v>
      </c>
      <c r="X18" s="18" t="n">
        <v>17803</v>
      </c>
      <c r="Y18" s="18" t="n">
        <v>18069</v>
      </c>
      <c r="Z18" s="24" t="n">
        <v>266</v>
      </c>
      <c r="AA18" s="18" t="n">
        <v>15205</v>
      </c>
      <c r="AB18" s="18" t="n">
        <v>13168</v>
      </c>
      <c r="AC18" s="18" t="n">
        <v>-2037</v>
      </c>
      <c r="AD18" s="18" t="n">
        <v>18885</v>
      </c>
      <c r="AE18" s="18" t="n">
        <v>18599</v>
      </c>
      <c r="AF18" s="18" t="n">
        <v>-286</v>
      </c>
      <c r="AG18" s="18" t="n">
        <v>16121</v>
      </c>
      <c r="AH18" s="18" t="n">
        <v>11820</v>
      </c>
      <c r="AI18" s="18" t="n">
        <v>-4301</v>
      </c>
      <c r="AJ18" s="18" t="n">
        <v>22413</v>
      </c>
      <c r="AK18" s="18" t="n">
        <v>19385</v>
      </c>
      <c r="AL18" s="18" t="n">
        <v>-3028</v>
      </c>
    </row>
    <row r="19">
      <c r="B19" s="4" t="inlineStr">
        <is>
          <t>办公费</t>
        </is>
      </c>
      <c r="C19" s="18" t="n">
        <v>10516</v>
      </c>
      <c r="D19" s="18" t="n">
        <v>11915</v>
      </c>
      <c r="E19" s="24" t="n">
        <v>1399</v>
      </c>
      <c r="F19" s="18" t="n">
        <v>9267</v>
      </c>
      <c r="G19" s="18" t="n">
        <v>7469</v>
      </c>
      <c r="H19" s="18" t="n">
        <v>-1798</v>
      </c>
      <c r="I19" s="18" t="n">
        <v>13385</v>
      </c>
      <c r="J19" s="18" t="n">
        <v>11438</v>
      </c>
      <c r="K19" s="18" t="n">
        <v>-1947</v>
      </c>
      <c r="L19" s="18" t="n">
        <v>12271</v>
      </c>
      <c r="M19" s="18" t="n">
        <v>9351</v>
      </c>
      <c r="N19" s="18" t="n">
        <v>-2920</v>
      </c>
      <c r="O19" s="18" t="n">
        <v>14365</v>
      </c>
      <c r="P19" s="18" t="n">
        <v>17636</v>
      </c>
      <c r="Q19" s="24" t="n">
        <v>3271</v>
      </c>
      <c r="R19" s="18" t="n">
        <v>14626</v>
      </c>
      <c r="S19" s="18" t="n">
        <v>14771</v>
      </c>
      <c r="T19" s="24" t="n">
        <v>145</v>
      </c>
      <c r="U19" s="18" t="n">
        <v>17456</v>
      </c>
      <c r="V19" s="18" t="n">
        <v>16953</v>
      </c>
      <c r="W19" s="18" t="n">
        <v>-503</v>
      </c>
      <c r="X19" s="18" t="n">
        <v>13767</v>
      </c>
      <c r="Y19" s="18" t="n">
        <v>11338</v>
      </c>
      <c r="Z19" s="18" t="n">
        <v>-2429</v>
      </c>
      <c r="AA19" s="18" t="n">
        <v>13145</v>
      </c>
      <c r="AB19" s="18" t="n">
        <v>16493</v>
      </c>
      <c r="AC19" s="24" t="n">
        <v>3348</v>
      </c>
      <c r="AD19" s="18" t="n">
        <v>14803</v>
      </c>
      <c r="AE19" s="18" t="n">
        <v>16115</v>
      </c>
      <c r="AF19" s="24" t="n">
        <v>1312</v>
      </c>
      <c r="AG19" s="18" t="n">
        <v>12914</v>
      </c>
      <c r="AH19" s="18" t="n">
        <v>16660</v>
      </c>
      <c r="AI19" s="24" t="n">
        <v>3746</v>
      </c>
      <c r="AJ19" s="18" t="n">
        <v>18627</v>
      </c>
      <c r="AK19" s="18" t="n">
        <v>23106</v>
      </c>
      <c r="AL19" s="24" t="n">
        <v>4479</v>
      </c>
    </row>
    <row r="20">
      <c r="B20" s="4" t="inlineStr">
        <is>
          <t>折旧费</t>
        </is>
      </c>
      <c r="C20" s="18" t="n">
        <v>9300</v>
      </c>
      <c r="D20" s="18" t="n">
        <v>10670</v>
      </c>
      <c r="E20" s="24" t="n">
        <v>1370</v>
      </c>
      <c r="F20" s="18" t="n">
        <v>7203</v>
      </c>
      <c r="G20" s="18" t="n">
        <v>8719</v>
      </c>
      <c r="H20" s="24" t="n">
        <v>1516</v>
      </c>
      <c r="I20" s="18" t="n">
        <v>10634</v>
      </c>
      <c r="J20" s="18" t="n">
        <v>13208</v>
      </c>
      <c r="K20" s="24" t="n">
        <v>2574</v>
      </c>
      <c r="L20" s="18" t="n">
        <v>10179</v>
      </c>
      <c r="M20" s="18" t="n">
        <v>11912</v>
      </c>
      <c r="N20" s="24" t="n">
        <v>1733</v>
      </c>
      <c r="O20" s="18" t="n">
        <v>11096</v>
      </c>
      <c r="P20" s="18" t="n">
        <v>9528</v>
      </c>
      <c r="Q20" s="18" t="n">
        <v>-1568</v>
      </c>
      <c r="R20" s="18" t="n">
        <v>11529</v>
      </c>
      <c r="S20" s="18" t="n">
        <v>9085</v>
      </c>
      <c r="T20" s="18" t="n">
        <v>-2444</v>
      </c>
      <c r="U20" s="18" t="n">
        <v>11844</v>
      </c>
      <c r="V20" s="18" t="n">
        <v>15077</v>
      </c>
      <c r="W20" s="24" t="n">
        <v>3233</v>
      </c>
      <c r="X20" s="18" t="n">
        <v>11001</v>
      </c>
      <c r="Y20" s="18" t="n">
        <v>13101</v>
      </c>
      <c r="Z20" s="24" t="n">
        <v>2100</v>
      </c>
      <c r="AA20" s="18" t="n">
        <v>8914</v>
      </c>
      <c r="AB20" s="18" t="n">
        <v>10931</v>
      </c>
      <c r="AC20" s="24" t="n">
        <v>2017</v>
      </c>
      <c r="AD20" s="18" t="n">
        <v>10779</v>
      </c>
      <c r="AE20" s="18" t="n">
        <v>11609</v>
      </c>
      <c r="AF20" s="24" t="n">
        <v>830</v>
      </c>
      <c r="AG20" s="18" t="n">
        <v>10699</v>
      </c>
      <c r="AH20" s="18" t="n">
        <v>10589</v>
      </c>
      <c r="AI20" s="18" t="n">
        <v>-110</v>
      </c>
      <c r="AJ20" s="18" t="n">
        <v>14182</v>
      </c>
      <c r="AK20" s="18" t="n">
        <v>15731</v>
      </c>
      <c r="AL20" s="24" t="n">
        <v>1549</v>
      </c>
    </row>
    <row r="21">
      <c r="B21" s="6" t="inlineStr">
        <is>
          <t>小计</t>
        </is>
      </c>
      <c r="C21" s="19" t="n">
        <v>95763</v>
      </c>
      <c r="D21" s="19" t="n">
        <v>101976</v>
      </c>
      <c r="E21" s="19" t="n">
        <v>6213</v>
      </c>
      <c r="F21" s="19" t="n">
        <v>82753</v>
      </c>
      <c r="G21" s="19" t="n">
        <v>77986</v>
      </c>
      <c r="H21" s="19" t="n">
        <v>-4767</v>
      </c>
      <c r="I21" s="19" t="n">
        <v>111723</v>
      </c>
      <c r="J21" s="19" t="n">
        <v>103264</v>
      </c>
      <c r="K21" s="19" t="n">
        <v>-8459</v>
      </c>
      <c r="L21" s="19" t="n">
        <v>122474</v>
      </c>
      <c r="M21" s="19" t="n">
        <v>133011</v>
      </c>
      <c r="N21" s="19" t="n">
        <v>10537</v>
      </c>
      <c r="O21" s="19" t="n">
        <v>123599</v>
      </c>
      <c r="P21" s="19" t="n">
        <v>129838</v>
      </c>
      <c r="Q21" s="19" t="n">
        <v>6239</v>
      </c>
      <c r="R21" s="19" t="n">
        <v>138898</v>
      </c>
      <c r="S21" s="19" t="n">
        <v>143202</v>
      </c>
      <c r="T21" s="19" t="n">
        <v>4304</v>
      </c>
      <c r="U21" s="19" t="n">
        <v>145137</v>
      </c>
      <c r="V21" s="19" t="n">
        <v>157983</v>
      </c>
      <c r="W21" s="19" t="n">
        <v>12846</v>
      </c>
      <c r="X21" s="19" t="n">
        <v>122573</v>
      </c>
      <c r="Y21" s="19" t="n">
        <v>125520</v>
      </c>
      <c r="Z21" s="19" t="n">
        <v>2947</v>
      </c>
      <c r="AA21" s="19" t="n">
        <v>115302</v>
      </c>
      <c r="AB21" s="19" t="n">
        <v>124960</v>
      </c>
      <c r="AC21" s="19" t="n">
        <v>9658</v>
      </c>
      <c r="AD21" s="19" t="n">
        <v>139130</v>
      </c>
      <c r="AE21" s="19" t="n">
        <v>156575</v>
      </c>
      <c r="AF21" s="19" t="n">
        <v>17445</v>
      </c>
      <c r="AG21" s="19" t="n">
        <v>118101</v>
      </c>
      <c r="AH21" s="19" t="n">
        <v>133085</v>
      </c>
      <c r="AI21" s="19" t="n">
        <v>14984</v>
      </c>
      <c r="AJ21" s="19" t="n">
        <v>164988</v>
      </c>
      <c r="AK21" s="19" t="n">
        <v>155621</v>
      </c>
      <c r="AL21" s="19" t="n">
        <v>-9367</v>
      </c>
    </row>
    <row r="22">
      <c r="A22" s="23" t="inlineStr">
        <is>
          <t>生产部</t>
        </is>
      </c>
      <c r="B22" s="4" t="inlineStr">
        <is>
          <t>人工费用</t>
        </is>
      </c>
      <c r="C22" s="18" t="n">
        <v>33075</v>
      </c>
      <c r="D22" s="18" t="n">
        <v>29087</v>
      </c>
      <c r="E22" s="18" t="n">
        <v>-3988</v>
      </c>
      <c r="F22" s="18" t="n">
        <v>31467</v>
      </c>
      <c r="G22" s="18" t="n">
        <v>33202</v>
      </c>
      <c r="H22" s="24" t="n">
        <v>1735</v>
      </c>
      <c r="I22" s="18" t="n">
        <v>40003</v>
      </c>
      <c r="J22" s="18" t="n">
        <v>41582</v>
      </c>
      <c r="K22" s="24" t="n">
        <v>1579</v>
      </c>
      <c r="L22" s="18" t="n">
        <v>44519</v>
      </c>
      <c r="M22" s="18" t="n">
        <v>45010</v>
      </c>
      <c r="N22" s="24" t="n">
        <v>491</v>
      </c>
      <c r="O22" s="18" t="n">
        <v>49235</v>
      </c>
      <c r="P22" s="18" t="n">
        <v>59960</v>
      </c>
      <c r="Q22" s="24" t="n">
        <v>10725</v>
      </c>
      <c r="R22" s="18" t="n">
        <v>44559</v>
      </c>
      <c r="S22" s="18" t="n">
        <v>33522</v>
      </c>
      <c r="T22" s="18" t="n">
        <v>-11037</v>
      </c>
      <c r="U22" s="18" t="n">
        <v>51082</v>
      </c>
      <c r="V22" s="18" t="n">
        <v>63018</v>
      </c>
      <c r="W22" s="24" t="n">
        <v>11936</v>
      </c>
      <c r="X22" s="18" t="n">
        <v>44320</v>
      </c>
      <c r="Y22" s="18" t="n">
        <v>48450</v>
      </c>
      <c r="Z22" s="24" t="n">
        <v>4130</v>
      </c>
      <c r="AA22" s="18" t="n">
        <v>38456</v>
      </c>
      <c r="AB22" s="18" t="n">
        <v>48758</v>
      </c>
      <c r="AC22" s="24" t="n">
        <v>10302</v>
      </c>
      <c r="AD22" s="18" t="n">
        <v>49550</v>
      </c>
      <c r="AE22" s="18" t="n">
        <v>40939</v>
      </c>
      <c r="AF22" s="18" t="n">
        <v>-8611</v>
      </c>
      <c r="AG22" s="18" t="n">
        <v>43372</v>
      </c>
      <c r="AH22" s="18" t="n">
        <v>54974</v>
      </c>
      <c r="AI22" s="24" t="n">
        <v>11602</v>
      </c>
      <c r="AJ22" s="18" t="n">
        <v>63021</v>
      </c>
      <c r="AK22" s="18" t="n">
        <v>69399</v>
      </c>
      <c r="AL22" s="24" t="n">
        <v>6378</v>
      </c>
    </row>
    <row r="23">
      <c r="B23" s="4" t="inlineStr">
        <is>
          <t>差旅费</t>
        </is>
      </c>
      <c r="C23" s="18" t="n">
        <v>12586</v>
      </c>
      <c r="D23" s="18" t="n">
        <v>13993</v>
      </c>
      <c r="E23" s="24" t="n">
        <v>1407</v>
      </c>
      <c r="F23" s="18" t="n">
        <v>10263</v>
      </c>
      <c r="G23" s="18" t="n">
        <v>8328</v>
      </c>
      <c r="H23" s="18" t="n">
        <v>-1935</v>
      </c>
      <c r="I23" s="18" t="n">
        <v>13350</v>
      </c>
      <c r="J23" s="18" t="n">
        <v>15162</v>
      </c>
      <c r="K23" s="24" t="n">
        <v>1812</v>
      </c>
      <c r="L23" s="18" t="n">
        <v>16008</v>
      </c>
      <c r="M23" s="18" t="n">
        <v>15723</v>
      </c>
      <c r="N23" s="18" t="n">
        <v>-285</v>
      </c>
      <c r="O23" s="18" t="n">
        <v>14730</v>
      </c>
      <c r="P23" s="18" t="n">
        <v>14469</v>
      </c>
      <c r="Q23" s="18" t="n">
        <v>-261</v>
      </c>
      <c r="R23" s="18" t="n">
        <v>16361</v>
      </c>
      <c r="S23" s="18" t="n">
        <v>17701</v>
      </c>
      <c r="T23" s="24" t="n">
        <v>1340</v>
      </c>
      <c r="U23" s="18" t="n">
        <v>19402</v>
      </c>
      <c r="V23" s="18" t="n">
        <v>19888</v>
      </c>
      <c r="W23" s="24" t="n">
        <v>486</v>
      </c>
      <c r="X23" s="18" t="n">
        <v>16252</v>
      </c>
      <c r="Y23" s="18" t="n">
        <v>20557</v>
      </c>
      <c r="Z23" s="24" t="n">
        <v>4305</v>
      </c>
      <c r="AA23" s="18" t="n">
        <v>13706</v>
      </c>
      <c r="AB23" s="18" t="n">
        <v>11561</v>
      </c>
      <c r="AC23" s="18" t="n">
        <v>-2145</v>
      </c>
      <c r="AD23" s="18" t="n">
        <v>17143</v>
      </c>
      <c r="AE23" s="18" t="n">
        <v>21488</v>
      </c>
      <c r="AF23" s="24" t="n">
        <v>4345</v>
      </c>
      <c r="AG23" s="18" t="n">
        <v>16014</v>
      </c>
      <c r="AH23" s="18" t="n">
        <v>16686</v>
      </c>
      <c r="AI23" s="24" t="n">
        <v>672</v>
      </c>
      <c r="AJ23" s="18" t="n">
        <v>17964</v>
      </c>
      <c r="AK23" s="18" t="n">
        <v>17878</v>
      </c>
      <c r="AL23" s="18" t="n">
        <v>-86</v>
      </c>
    </row>
    <row r="24">
      <c r="B24" s="4" t="inlineStr">
        <is>
          <t>业务招待费</t>
        </is>
      </c>
      <c r="C24" s="18" t="n">
        <v>9085</v>
      </c>
      <c r="D24" s="18" t="n">
        <v>9620</v>
      </c>
      <c r="E24" s="24" t="n">
        <v>535</v>
      </c>
      <c r="F24" s="18" t="n">
        <v>8509</v>
      </c>
      <c r="G24" s="18" t="n">
        <v>10885</v>
      </c>
      <c r="H24" s="24" t="n">
        <v>2376</v>
      </c>
      <c r="I24" s="18" t="n">
        <v>11739</v>
      </c>
      <c r="J24" s="18" t="n">
        <v>8939</v>
      </c>
      <c r="K24" s="18" t="n">
        <v>-2800</v>
      </c>
      <c r="L24" s="18" t="n">
        <v>12510</v>
      </c>
      <c r="M24" s="18" t="n">
        <v>10312</v>
      </c>
      <c r="N24" s="18" t="n">
        <v>-2198</v>
      </c>
      <c r="O24" s="18" t="n">
        <v>12932</v>
      </c>
      <c r="P24" s="18" t="n">
        <v>12918</v>
      </c>
      <c r="Q24" s="18" t="n">
        <v>-14</v>
      </c>
      <c r="R24" s="18" t="n">
        <v>14283</v>
      </c>
      <c r="S24" s="18" t="n">
        <v>13819</v>
      </c>
      <c r="T24" s="18" t="n">
        <v>-464</v>
      </c>
      <c r="U24" s="18" t="n">
        <v>13859</v>
      </c>
      <c r="V24" s="18" t="n">
        <v>15467</v>
      </c>
      <c r="W24" s="24" t="n">
        <v>1608</v>
      </c>
      <c r="X24" s="18" t="n">
        <v>12610</v>
      </c>
      <c r="Y24" s="18" t="n">
        <v>8916</v>
      </c>
      <c r="Z24" s="18" t="n">
        <v>-3694</v>
      </c>
      <c r="AA24" s="18" t="n">
        <v>10920</v>
      </c>
      <c r="AB24" s="18" t="n">
        <v>12614</v>
      </c>
      <c r="AC24" s="24" t="n">
        <v>1694</v>
      </c>
      <c r="AD24" s="18" t="n">
        <v>13476</v>
      </c>
      <c r="AE24" s="18" t="n">
        <v>15528</v>
      </c>
      <c r="AF24" s="24" t="n">
        <v>2052</v>
      </c>
      <c r="AG24" s="18" t="n">
        <v>12769</v>
      </c>
      <c r="AH24" s="18" t="n">
        <v>11722</v>
      </c>
      <c r="AI24" s="18" t="n">
        <v>-1047</v>
      </c>
      <c r="AJ24" s="18" t="n">
        <v>16729</v>
      </c>
      <c r="AK24" s="18" t="n">
        <v>19928</v>
      </c>
      <c r="AL24" s="24" t="n">
        <v>3199</v>
      </c>
    </row>
    <row r="25">
      <c r="B25" s="4" t="inlineStr">
        <is>
          <t>办公费</t>
        </is>
      </c>
      <c r="C25" s="18" t="n">
        <v>7593</v>
      </c>
      <c r="D25" s="18" t="n">
        <v>7575</v>
      </c>
      <c r="E25" s="18" t="n">
        <v>-18</v>
      </c>
      <c r="F25" s="18" t="n">
        <v>7617</v>
      </c>
      <c r="G25" s="18" t="n">
        <v>7744</v>
      </c>
      <c r="H25" s="24" t="n">
        <v>127</v>
      </c>
      <c r="I25" s="18" t="n">
        <v>9427</v>
      </c>
      <c r="J25" s="18" t="n">
        <v>10449</v>
      </c>
      <c r="K25" s="24" t="n">
        <v>1022</v>
      </c>
      <c r="L25" s="18" t="n">
        <v>9559</v>
      </c>
      <c r="M25" s="18" t="n">
        <v>9736</v>
      </c>
      <c r="N25" s="24" t="n">
        <v>177</v>
      </c>
      <c r="O25" s="18" t="n">
        <v>9494</v>
      </c>
      <c r="P25" s="18" t="n">
        <v>12166</v>
      </c>
      <c r="Q25" s="24" t="n">
        <v>2672</v>
      </c>
      <c r="R25" s="18" t="n">
        <v>11619</v>
      </c>
      <c r="S25" s="18" t="n">
        <v>9723</v>
      </c>
      <c r="T25" s="18" t="n">
        <v>-1896</v>
      </c>
      <c r="U25" s="18" t="n">
        <v>11987</v>
      </c>
      <c r="V25" s="18" t="n">
        <v>13920</v>
      </c>
      <c r="W25" s="24" t="n">
        <v>1933</v>
      </c>
      <c r="X25" s="18" t="n">
        <v>9879</v>
      </c>
      <c r="Y25" s="18" t="n">
        <v>9481</v>
      </c>
      <c r="Z25" s="18" t="n">
        <v>-398</v>
      </c>
      <c r="AA25" s="18" t="n">
        <v>9615</v>
      </c>
      <c r="AB25" s="18" t="n">
        <v>10538</v>
      </c>
      <c r="AC25" s="24" t="n">
        <v>923</v>
      </c>
      <c r="AD25" s="18" t="n">
        <v>11366</v>
      </c>
      <c r="AE25" s="18" t="n">
        <v>8006</v>
      </c>
      <c r="AF25" s="18" t="n">
        <v>-3360</v>
      </c>
      <c r="AG25" s="18" t="n">
        <v>9538</v>
      </c>
      <c r="AH25" s="18" t="n">
        <v>8178</v>
      </c>
      <c r="AI25" s="18" t="n">
        <v>-1360</v>
      </c>
      <c r="AJ25" s="18" t="n">
        <v>11981</v>
      </c>
      <c r="AK25" s="18" t="n">
        <v>9714</v>
      </c>
      <c r="AL25" s="18" t="n">
        <v>-2267</v>
      </c>
    </row>
    <row r="26">
      <c r="B26" s="4" t="inlineStr">
        <is>
          <t>折旧费</t>
        </is>
      </c>
      <c r="C26" s="18" t="n">
        <v>5807</v>
      </c>
      <c r="D26" s="18" t="n">
        <v>4099</v>
      </c>
      <c r="E26" s="18" t="n">
        <v>-1708</v>
      </c>
      <c r="F26" s="18" t="n">
        <v>5148</v>
      </c>
      <c r="G26" s="18" t="n">
        <v>4999</v>
      </c>
      <c r="H26" s="18" t="n">
        <v>-149</v>
      </c>
      <c r="I26" s="18" t="n">
        <v>7696</v>
      </c>
      <c r="J26" s="18" t="n">
        <v>7724</v>
      </c>
      <c r="K26" s="24" t="n">
        <v>28</v>
      </c>
      <c r="L26" s="18" t="n">
        <v>8428</v>
      </c>
      <c r="M26" s="18" t="n">
        <v>9874</v>
      </c>
      <c r="N26" s="24" t="n">
        <v>1446</v>
      </c>
      <c r="O26" s="18" t="n">
        <v>8447</v>
      </c>
      <c r="P26" s="18" t="n">
        <v>7212</v>
      </c>
      <c r="Q26" s="18" t="n">
        <v>-1235</v>
      </c>
      <c r="R26" s="18" t="n">
        <v>9179</v>
      </c>
      <c r="S26" s="18" t="n">
        <v>6881</v>
      </c>
      <c r="T26" s="18" t="n">
        <v>-2298</v>
      </c>
      <c r="U26" s="18" t="n">
        <v>9541</v>
      </c>
      <c r="V26" s="18" t="n">
        <v>9651</v>
      </c>
      <c r="W26" s="24" t="n">
        <v>110</v>
      </c>
      <c r="X26" s="18" t="n">
        <v>8355</v>
      </c>
      <c r="Y26" s="18" t="n">
        <v>8368</v>
      </c>
      <c r="Z26" s="24" t="n">
        <v>13</v>
      </c>
      <c r="AA26" s="18" t="n">
        <v>6833</v>
      </c>
      <c r="AB26" s="18" t="n">
        <v>5854</v>
      </c>
      <c r="AC26" s="18" t="n">
        <v>-979</v>
      </c>
      <c r="AD26" s="18" t="n">
        <v>8352</v>
      </c>
      <c r="AE26" s="18" t="n">
        <v>6055</v>
      </c>
      <c r="AF26" s="18" t="n">
        <v>-2297</v>
      </c>
      <c r="AG26" s="18" t="n">
        <v>8062</v>
      </c>
      <c r="AH26" s="18" t="n">
        <v>8413</v>
      </c>
      <c r="AI26" s="24" t="n">
        <v>351</v>
      </c>
      <c r="AJ26" s="18" t="n">
        <v>9970</v>
      </c>
      <c r="AK26" s="18" t="n">
        <v>11420</v>
      </c>
      <c r="AL26" s="24" t="n">
        <v>1450</v>
      </c>
    </row>
    <row r="27">
      <c r="B27" s="6" t="inlineStr">
        <is>
          <t>小计</t>
        </is>
      </c>
      <c r="C27" s="19" t="n">
        <v>68146</v>
      </c>
      <c r="D27" s="19" t="n">
        <v>64374</v>
      </c>
      <c r="E27" s="19" t="n">
        <v>-3772</v>
      </c>
      <c r="F27" s="19" t="n">
        <v>63004</v>
      </c>
      <c r="G27" s="19" t="n">
        <v>65158</v>
      </c>
      <c r="H27" s="19" t="n">
        <v>2154</v>
      </c>
      <c r="I27" s="19" t="n">
        <v>82215</v>
      </c>
      <c r="J27" s="19" t="n">
        <v>83856</v>
      </c>
      <c r="K27" s="19" t="n">
        <v>1641</v>
      </c>
      <c r="L27" s="19" t="n">
        <v>91024</v>
      </c>
      <c r="M27" s="19" t="n">
        <v>90655</v>
      </c>
      <c r="N27" s="19" t="n">
        <v>-369</v>
      </c>
      <c r="O27" s="19" t="n">
        <v>94838</v>
      </c>
      <c r="P27" s="19" t="n">
        <v>106725</v>
      </c>
      <c r="Q27" s="19" t="n">
        <v>11887</v>
      </c>
      <c r="R27" s="19" t="n">
        <v>96001</v>
      </c>
      <c r="S27" s="19" t="n">
        <v>81646</v>
      </c>
      <c r="T27" s="19" t="n">
        <v>-14355</v>
      </c>
      <c r="U27" s="19" t="n">
        <v>105871</v>
      </c>
      <c r="V27" s="19" t="n">
        <v>121944</v>
      </c>
      <c r="W27" s="19" t="n">
        <v>16073</v>
      </c>
      <c r="X27" s="19" t="n">
        <v>91416</v>
      </c>
      <c r="Y27" s="19" t="n">
        <v>95772</v>
      </c>
      <c r="Z27" s="19" t="n">
        <v>4356</v>
      </c>
      <c r="AA27" s="19" t="n">
        <v>79530</v>
      </c>
      <c r="AB27" s="19" t="n">
        <v>89325</v>
      </c>
      <c r="AC27" s="19" t="n">
        <v>9795</v>
      </c>
      <c r="AD27" s="19" t="n">
        <v>99887</v>
      </c>
      <c r="AE27" s="19" t="n">
        <v>92016</v>
      </c>
      <c r="AF27" s="19" t="n">
        <v>-7871</v>
      </c>
      <c r="AG27" s="19" t="n">
        <v>89755</v>
      </c>
      <c r="AH27" s="19" t="n">
        <v>99973</v>
      </c>
      <c r="AI27" s="19" t="n">
        <v>10218</v>
      </c>
      <c r="AJ27" s="19" t="n">
        <v>119665</v>
      </c>
      <c r="AK27" s="19" t="n">
        <v>128339</v>
      </c>
      <c r="AL27" s="19" t="n">
        <v>8674</v>
      </c>
    </row>
    <row r="28">
      <c r="A28" s="23" t="inlineStr">
        <is>
          <t>采购部</t>
        </is>
      </c>
      <c r="B28" s="4" t="inlineStr">
        <is>
          <t>人工费用</t>
        </is>
      </c>
      <c r="C28" s="18" t="n">
        <v>17580</v>
      </c>
      <c r="D28" s="18" t="n">
        <v>14270</v>
      </c>
      <c r="E28" s="18" t="n">
        <v>-3310</v>
      </c>
      <c r="F28" s="18" t="n">
        <v>16776</v>
      </c>
      <c r="G28" s="18" t="n">
        <v>16385</v>
      </c>
      <c r="H28" s="18" t="n">
        <v>-391</v>
      </c>
      <c r="I28" s="18" t="n">
        <v>22671</v>
      </c>
      <c r="J28" s="18" t="n">
        <v>21797</v>
      </c>
      <c r="K28" s="18" t="n">
        <v>-874</v>
      </c>
      <c r="L28" s="18" t="n">
        <v>24990</v>
      </c>
      <c r="M28" s="18" t="n">
        <v>29861</v>
      </c>
      <c r="N28" s="24" t="n">
        <v>4871</v>
      </c>
      <c r="O28" s="18" t="n">
        <v>21763</v>
      </c>
      <c r="P28" s="18" t="n">
        <v>23321</v>
      </c>
      <c r="Q28" s="24" t="n">
        <v>1558</v>
      </c>
      <c r="R28" s="18" t="n">
        <v>27162</v>
      </c>
      <c r="S28" s="18" t="n">
        <v>21037</v>
      </c>
      <c r="T28" s="18" t="n">
        <v>-6125</v>
      </c>
      <c r="U28" s="18" t="n">
        <v>27277</v>
      </c>
      <c r="V28" s="18" t="n">
        <v>22477</v>
      </c>
      <c r="W28" s="18" t="n">
        <v>-4800</v>
      </c>
      <c r="X28" s="18" t="n">
        <v>25305</v>
      </c>
      <c r="Y28" s="18" t="n">
        <v>18287</v>
      </c>
      <c r="Z28" s="18" t="n">
        <v>-7018</v>
      </c>
      <c r="AA28" s="18" t="n">
        <v>19485</v>
      </c>
      <c r="AB28" s="18" t="n">
        <v>24718</v>
      </c>
      <c r="AC28" s="24" t="n">
        <v>5233</v>
      </c>
      <c r="AD28" s="18" t="n">
        <v>26531</v>
      </c>
      <c r="AE28" s="18" t="n">
        <v>24974</v>
      </c>
      <c r="AF28" s="18" t="n">
        <v>-1557</v>
      </c>
      <c r="AG28" s="18" t="n">
        <v>21956</v>
      </c>
      <c r="AH28" s="18" t="n">
        <v>15650</v>
      </c>
      <c r="AI28" s="18" t="n">
        <v>-6306</v>
      </c>
      <c r="AJ28" s="18" t="n">
        <v>31002</v>
      </c>
      <c r="AK28" s="18" t="n">
        <v>38285</v>
      </c>
      <c r="AL28" s="24" t="n">
        <v>7283</v>
      </c>
    </row>
    <row r="29">
      <c r="B29" s="4" t="inlineStr">
        <is>
          <t>差旅费</t>
        </is>
      </c>
      <c r="C29" s="18" t="n">
        <v>6746</v>
      </c>
      <c r="D29" s="18" t="n">
        <v>6172</v>
      </c>
      <c r="E29" s="18" t="n">
        <v>-574</v>
      </c>
      <c r="F29" s="18" t="n">
        <v>5961</v>
      </c>
      <c r="G29" s="18" t="n">
        <v>5434</v>
      </c>
      <c r="H29" s="18" t="n">
        <v>-527</v>
      </c>
      <c r="I29" s="18" t="n">
        <v>7671</v>
      </c>
      <c r="J29" s="18" t="n">
        <v>9873</v>
      </c>
      <c r="K29" s="24" t="n">
        <v>2202</v>
      </c>
      <c r="L29" s="18" t="n">
        <v>7059</v>
      </c>
      <c r="M29" s="18" t="n">
        <v>7471</v>
      </c>
      <c r="N29" s="24" t="n">
        <v>412</v>
      </c>
      <c r="O29" s="18" t="n">
        <v>7938</v>
      </c>
      <c r="P29" s="18" t="n">
        <v>9382</v>
      </c>
      <c r="Q29" s="24" t="n">
        <v>1444</v>
      </c>
      <c r="R29" s="18" t="n">
        <v>8187</v>
      </c>
      <c r="S29" s="18" t="n">
        <v>9635</v>
      </c>
      <c r="T29" s="24" t="n">
        <v>1448</v>
      </c>
      <c r="U29" s="18" t="n">
        <v>8529</v>
      </c>
      <c r="V29" s="18" t="n">
        <v>6891</v>
      </c>
      <c r="W29" s="18" t="n">
        <v>-1638</v>
      </c>
      <c r="X29" s="18" t="n">
        <v>7735</v>
      </c>
      <c r="Y29" s="18" t="n">
        <v>9705</v>
      </c>
      <c r="Z29" s="24" t="n">
        <v>1970</v>
      </c>
      <c r="AA29" s="18" t="n">
        <v>6348</v>
      </c>
      <c r="AB29" s="18" t="n">
        <v>5000</v>
      </c>
      <c r="AC29" s="18" t="n">
        <v>-1348</v>
      </c>
      <c r="AD29" s="18" t="n">
        <v>9386</v>
      </c>
      <c r="AE29" s="18" t="n">
        <v>10001</v>
      </c>
      <c r="AF29" s="24" t="n">
        <v>615</v>
      </c>
      <c r="AG29" s="18" t="n">
        <v>7349</v>
      </c>
      <c r="AH29" s="18" t="n">
        <v>7607</v>
      </c>
      <c r="AI29" s="24" t="n">
        <v>258</v>
      </c>
      <c r="AJ29" s="18" t="n">
        <v>10984</v>
      </c>
      <c r="AK29" s="18" t="n">
        <v>7718</v>
      </c>
      <c r="AL29" s="18" t="n">
        <v>-3266</v>
      </c>
    </row>
    <row r="30">
      <c r="B30" s="4" t="inlineStr">
        <is>
          <t>业务招待费</t>
        </is>
      </c>
      <c r="C30" s="18" t="n">
        <v>4780</v>
      </c>
      <c r="D30" s="18" t="n">
        <v>3921</v>
      </c>
      <c r="E30" s="18" t="n">
        <v>-859</v>
      </c>
      <c r="F30" s="18" t="n">
        <v>4507</v>
      </c>
      <c r="G30" s="18" t="n">
        <v>4593</v>
      </c>
      <c r="H30" s="24" t="n">
        <v>86</v>
      </c>
      <c r="I30" s="18" t="n">
        <v>5835</v>
      </c>
      <c r="J30" s="18" t="n">
        <v>6738</v>
      </c>
      <c r="K30" s="24" t="n">
        <v>903</v>
      </c>
      <c r="L30" s="18" t="n">
        <v>6475</v>
      </c>
      <c r="M30" s="18" t="n">
        <v>6026</v>
      </c>
      <c r="N30" s="18" t="n">
        <v>-449</v>
      </c>
      <c r="O30" s="18" t="n">
        <v>6256</v>
      </c>
      <c r="P30" s="18" t="n">
        <v>7411</v>
      </c>
      <c r="Q30" s="24" t="n">
        <v>1155</v>
      </c>
      <c r="R30" s="18" t="n">
        <v>6248</v>
      </c>
      <c r="S30" s="18" t="n">
        <v>6354</v>
      </c>
      <c r="T30" s="24" t="n">
        <v>106</v>
      </c>
      <c r="U30" s="18" t="n">
        <v>6919</v>
      </c>
      <c r="V30" s="18" t="n">
        <v>7721</v>
      </c>
      <c r="W30" s="24" t="n">
        <v>802</v>
      </c>
      <c r="X30" s="18" t="n">
        <v>6317</v>
      </c>
      <c r="Y30" s="18" t="n">
        <v>7871</v>
      </c>
      <c r="Z30" s="24" t="n">
        <v>1554</v>
      </c>
      <c r="AA30" s="18" t="n">
        <v>5112</v>
      </c>
      <c r="AB30" s="18" t="n">
        <v>6525</v>
      </c>
      <c r="AC30" s="24" t="n">
        <v>1413</v>
      </c>
      <c r="AD30" s="18" t="n">
        <v>6580</v>
      </c>
      <c r="AE30" s="18" t="n">
        <v>5743</v>
      </c>
      <c r="AF30" s="18" t="n">
        <v>-837</v>
      </c>
      <c r="AG30" s="18" t="n">
        <v>6170</v>
      </c>
      <c r="AH30" s="18" t="n">
        <v>7707</v>
      </c>
      <c r="AI30" s="24" t="n">
        <v>1537</v>
      </c>
      <c r="AJ30" s="18" t="n">
        <v>7876</v>
      </c>
      <c r="AK30" s="18" t="n">
        <v>9088</v>
      </c>
      <c r="AL30" s="24" t="n">
        <v>1212</v>
      </c>
    </row>
    <row r="31">
      <c r="B31" s="4" t="inlineStr">
        <is>
          <t>办公费</t>
        </is>
      </c>
      <c r="C31" s="18" t="n">
        <v>4144</v>
      </c>
      <c r="D31" s="18" t="n">
        <v>4012</v>
      </c>
      <c r="E31" s="18" t="n">
        <v>-132</v>
      </c>
      <c r="F31" s="18" t="n">
        <v>3422</v>
      </c>
      <c r="G31" s="18" t="n">
        <v>4061</v>
      </c>
      <c r="H31" s="24" t="n">
        <v>639</v>
      </c>
      <c r="I31" s="18" t="n">
        <v>5088</v>
      </c>
      <c r="J31" s="18" t="n">
        <v>4021</v>
      </c>
      <c r="K31" s="18" t="n">
        <v>-1067</v>
      </c>
      <c r="L31" s="18" t="n">
        <v>5539</v>
      </c>
      <c r="M31" s="18" t="n">
        <v>4972</v>
      </c>
      <c r="N31" s="18" t="n">
        <v>-567</v>
      </c>
      <c r="O31" s="18" t="n">
        <v>5382</v>
      </c>
      <c r="P31" s="18" t="n">
        <v>4532</v>
      </c>
      <c r="Q31" s="18" t="n">
        <v>-850</v>
      </c>
      <c r="R31" s="18" t="n">
        <v>6092</v>
      </c>
      <c r="S31" s="18" t="n">
        <v>5634</v>
      </c>
      <c r="T31" s="18" t="n">
        <v>-458</v>
      </c>
      <c r="U31" s="18" t="n">
        <v>5716</v>
      </c>
      <c r="V31" s="18" t="n">
        <v>4539</v>
      </c>
      <c r="W31" s="18" t="n">
        <v>-1177</v>
      </c>
      <c r="X31" s="18" t="n">
        <v>4827</v>
      </c>
      <c r="Y31" s="18" t="n">
        <v>5344</v>
      </c>
      <c r="Z31" s="24" t="n">
        <v>517</v>
      </c>
      <c r="AA31" s="18" t="n">
        <v>4923</v>
      </c>
      <c r="AB31" s="18" t="n">
        <v>6017</v>
      </c>
      <c r="AC31" s="24" t="n">
        <v>1094</v>
      </c>
      <c r="AD31" s="18" t="n">
        <v>5642</v>
      </c>
      <c r="AE31" s="18" t="n">
        <v>4879</v>
      </c>
      <c r="AF31" s="18" t="n">
        <v>-763</v>
      </c>
      <c r="AG31" s="18" t="n">
        <v>4812</v>
      </c>
      <c r="AH31" s="18" t="n">
        <v>4393</v>
      </c>
      <c r="AI31" s="18" t="n">
        <v>-419</v>
      </c>
      <c r="AJ31" s="18" t="n">
        <v>7371</v>
      </c>
      <c r="AK31" s="18" t="n">
        <v>7391</v>
      </c>
      <c r="AL31" s="24" t="n">
        <v>20</v>
      </c>
    </row>
    <row r="32">
      <c r="B32" s="4" t="inlineStr">
        <is>
          <t>折旧费</t>
        </is>
      </c>
      <c r="C32" s="18" t="n">
        <v>3115</v>
      </c>
      <c r="D32" s="18" t="n">
        <v>2858</v>
      </c>
      <c r="E32" s="18" t="n">
        <v>-257</v>
      </c>
      <c r="F32" s="18" t="n">
        <v>2995</v>
      </c>
      <c r="G32" s="18" t="n">
        <v>3328</v>
      </c>
      <c r="H32" s="24" t="n">
        <v>333</v>
      </c>
      <c r="I32" s="18" t="n">
        <v>3945</v>
      </c>
      <c r="J32" s="18" t="n">
        <v>4616</v>
      </c>
      <c r="K32" s="24" t="n">
        <v>671</v>
      </c>
      <c r="L32" s="18" t="n">
        <v>4290</v>
      </c>
      <c r="M32" s="18" t="n">
        <v>3207</v>
      </c>
      <c r="N32" s="18" t="n">
        <v>-1083</v>
      </c>
      <c r="O32" s="18" t="n">
        <v>4493</v>
      </c>
      <c r="P32" s="18" t="n">
        <v>4740</v>
      </c>
      <c r="Q32" s="24" t="n">
        <v>247</v>
      </c>
      <c r="R32" s="18" t="n">
        <v>4337</v>
      </c>
      <c r="S32" s="18" t="n">
        <v>5474</v>
      </c>
      <c r="T32" s="24" t="n">
        <v>1137</v>
      </c>
      <c r="U32" s="18" t="n">
        <v>4612</v>
      </c>
      <c r="V32" s="18" t="n">
        <v>4400</v>
      </c>
      <c r="W32" s="18" t="n">
        <v>-212</v>
      </c>
      <c r="X32" s="18" t="n">
        <v>4345</v>
      </c>
      <c r="Y32" s="18" t="n">
        <v>5207</v>
      </c>
      <c r="Z32" s="24" t="n">
        <v>862</v>
      </c>
      <c r="AA32" s="18" t="n">
        <v>3612</v>
      </c>
      <c r="AB32" s="18" t="n">
        <v>3186</v>
      </c>
      <c r="AC32" s="18" t="n">
        <v>-426</v>
      </c>
      <c r="AD32" s="18" t="n">
        <v>4793</v>
      </c>
      <c r="AE32" s="18" t="n">
        <v>4659</v>
      </c>
      <c r="AF32" s="18" t="n">
        <v>-134</v>
      </c>
      <c r="AG32" s="18" t="n">
        <v>3826</v>
      </c>
      <c r="AH32" s="18" t="n">
        <v>4513</v>
      </c>
      <c r="AI32" s="24" t="n">
        <v>687</v>
      </c>
      <c r="AJ32" s="18" t="n">
        <v>4879</v>
      </c>
      <c r="AK32" s="18" t="n">
        <v>5490</v>
      </c>
      <c r="AL32" s="24" t="n">
        <v>611</v>
      </c>
    </row>
    <row r="33">
      <c r="B33" s="6" t="inlineStr">
        <is>
          <t>小计</t>
        </is>
      </c>
      <c r="C33" s="19" t="n">
        <v>36365</v>
      </c>
      <c r="D33" s="19" t="n">
        <v>31233</v>
      </c>
      <c r="E33" s="19" t="n">
        <v>-5132</v>
      </c>
      <c r="F33" s="19" t="n">
        <v>33661</v>
      </c>
      <c r="G33" s="19" t="n">
        <v>33801</v>
      </c>
      <c r="H33" s="19" t="n">
        <v>140</v>
      </c>
      <c r="I33" s="19" t="n">
        <v>45210</v>
      </c>
      <c r="J33" s="19" t="n">
        <v>47045</v>
      </c>
      <c r="K33" s="19" t="n">
        <v>1835</v>
      </c>
      <c r="L33" s="19" t="n">
        <v>48353</v>
      </c>
      <c r="M33" s="19" t="n">
        <v>51537</v>
      </c>
      <c r="N33" s="19" t="n">
        <v>3184</v>
      </c>
      <c r="O33" s="19" t="n">
        <v>45832</v>
      </c>
      <c r="P33" s="19" t="n">
        <v>49386</v>
      </c>
      <c r="Q33" s="19" t="n">
        <v>3554</v>
      </c>
      <c r="R33" s="19" t="n">
        <v>52026</v>
      </c>
      <c r="S33" s="19" t="n">
        <v>48134</v>
      </c>
      <c r="T33" s="19" t="n">
        <v>-3892</v>
      </c>
      <c r="U33" s="19" t="n">
        <v>53053</v>
      </c>
      <c r="V33" s="19" t="n">
        <v>46028</v>
      </c>
      <c r="W33" s="19" t="n">
        <v>-7025</v>
      </c>
      <c r="X33" s="19" t="n">
        <v>48529</v>
      </c>
      <c r="Y33" s="19" t="n">
        <v>46414</v>
      </c>
      <c r="Z33" s="19" t="n">
        <v>-2115</v>
      </c>
      <c r="AA33" s="19" t="n">
        <v>39480</v>
      </c>
      <c r="AB33" s="19" t="n">
        <v>45446</v>
      </c>
      <c r="AC33" s="19" t="n">
        <v>5966</v>
      </c>
      <c r="AD33" s="19" t="n">
        <v>52932</v>
      </c>
      <c r="AE33" s="19" t="n">
        <v>50256</v>
      </c>
      <c r="AF33" s="19" t="n">
        <v>-2676</v>
      </c>
      <c r="AG33" s="19" t="n">
        <v>44113</v>
      </c>
      <c r="AH33" s="19" t="n">
        <v>39870</v>
      </c>
      <c r="AI33" s="19" t="n">
        <v>-4243</v>
      </c>
      <c r="AJ33" s="19" t="n">
        <v>62112</v>
      </c>
      <c r="AK33" s="19" t="n">
        <v>67972</v>
      </c>
      <c r="AL33" s="19" t="n">
        <v>5860</v>
      </c>
    </row>
    <row r="34">
      <c r="A34" s="23" t="inlineStr">
        <is>
          <t>人力资源部</t>
        </is>
      </c>
      <c r="B34" s="4" t="inlineStr">
        <is>
          <t>人工费用</t>
        </is>
      </c>
      <c r="C34" s="18" t="n">
        <v>22480</v>
      </c>
      <c r="D34" s="18" t="n">
        <v>23629</v>
      </c>
      <c r="E34" s="24" t="n">
        <v>1149</v>
      </c>
      <c r="F34" s="18" t="n">
        <v>17960</v>
      </c>
      <c r="G34" s="18" t="n">
        <v>20255</v>
      </c>
      <c r="H34" s="24" t="n">
        <v>2295</v>
      </c>
      <c r="I34" s="18" t="n">
        <v>24144</v>
      </c>
      <c r="J34" s="18" t="n">
        <v>17342</v>
      </c>
      <c r="K34" s="18" t="n">
        <v>-6802</v>
      </c>
      <c r="L34" s="18" t="n">
        <v>28198</v>
      </c>
      <c r="M34" s="18" t="n">
        <v>30810</v>
      </c>
      <c r="N34" s="24" t="n">
        <v>2612</v>
      </c>
      <c r="O34" s="18" t="n">
        <v>26619</v>
      </c>
      <c r="P34" s="18" t="n">
        <v>30002</v>
      </c>
      <c r="Q34" s="24" t="n">
        <v>3383</v>
      </c>
      <c r="R34" s="18" t="n">
        <v>27770</v>
      </c>
      <c r="S34" s="18" t="n">
        <v>34726</v>
      </c>
      <c r="T34" s="24" t="n">
        <v>6956</v>
      </c>
      <c r="U34" s="18" t="n">
        <v>30199</v>
      </c>
      <c r="V34" s="18" t="n">
        <v>38041</v>
      </c>
      <c r="W34" s="24" t="n">
        <v>7842</v>
      </c>
      <c r="X34" s="18" t="n">
        <v>27313</v>
      </c>
      <c r="Y34" s="18" t="n">
        <v>34364</v>
      </c>
      <c r="Z34" s="24" t="n">
        <v>7051</v>
      </c>
      <c r="AA34" s="18" t="n">
        <v>24250</v>
      </c>
      <c r="AB34" s="18" t="n">
        <v>22101</v>
      </c>
      <c r="AC34" s="18" t="n">
        <v>-2149</v>
      </c>
      <c r="AD34" s="18" t="n">
        <v>31786</v>
      </c>
      <c r="AE34" s="18" t="n">
        <v>37004</v>
      </c>
      <c r="AF34" s="24" t="n">
        <v>5218</v>
      </c>
      <c r="AG34" s="18" t="n">
        <v>26187</v>
      </c>
      <c r="AH34" s="18" t="n">
        <v>31858</v>
      </c>
      <c r="AI34" s="24" t="n">
        <v>5671</v>
      </c>
      <c r="AJ34" s="18" t="n">
        <v>36196</v>
      </c>
      <c r="AK34" s="18" t="n">
        <v>27027</v>
      </c>
      <c r="AL34" s="18" t="n">
        <v>-9169</v>
      </c>
    </row>
    <row r="35">
      <c r="B35" s="4" t="inlineStr">
        <is>
          <t>差旅费</t>
        </is>
      </c>
      <c r="C35" s="18" t="n">
        <v>6763</v>
      </c>
      <c r="D35" s="18" t="n">
        <v>7804</v>
      </c>
      <c r="E35" s="24" t="n">
        <v>1041</v>
      </c>
      <c r="F35" s="18" t="n">
        <v>6011</v>
      </c>
      <c r="G35" s="18" t="n">
        <v>4758</v>
      </c>
      <c r="H35" s="18" t="n">
        <v>-1253</v>
      </c>
      <c r="I35" s="18" t="n">
        <v>8237</v>
      </c>
      <c r="J35" s="18" t="n">
        <v>7396</v>
      </c>
      <c r="K35" s="18" t="n">
        <v>-841</v>
      </c>
      <c r="L35" s="18" t="n">
        <v>9168</v>
      </c>
      <c r="M35" s="18" t="n">
        <v>11018</v>
      </c>
      <c r="N35" s="24" t="n">
        <v>1850</v>
      </c>
      <c r="O35" s="18" t="n">
        <v>9502</v>
      </c>
      <c r="P35" s="18" t="n">
        <v>11975</v>
      </c>
      <c r="Q35" s="24" t="n">
        <v>2473</v>
      </c>
      <c r="R35" s="18" t="n">
        <v>9727</v>
      </c>
      <c r="S35" s="18" t="n">
        <v>10161</v>
      </c>
      <c r="T35" s="24" t="n">
        <v>434</v>
      </c>
      <c r="U35" s="18" t="n">
        <v>10407</v>
      </c>
      <c r="V35" s="18" t="n">
        <v>9057</v>
      </c>
      <c r="W35" s="18" t="n">
        <v>-1350</v>
      </c>
      <c r="X35" s="18" t="n">
        <v>9651</v>
      </c>
      <c r="Y35" s="18" t="n">
        <v>7486</v>
      </c>
      <c r="Z35" s="18" t="n">
        <v>-2165</v>
      </c>
      <c r="AA35" s="18" t="n">
        <v>8363</v>
      </c>
      <c r="AB35" s="18" t="n">
        <v>6599</v>
      </c>
      <c r="AC35" s="18" t="n">
        <v>-1764</v>
      </c>
      <c r="AD35" s="18" t="n">
        <v>9761</v>
      </c>
      <c r="AE35" s="18" t="n">
        <v>10269</v>
      </c>
      <c r="AF35" s="24" t="n">
        <v>508</v>
      </c>
      <c r="AG35" s="18" t="n">
        <v>9843</v>
      </c>
      <c r="AH35" s="18" t="n">
        <v>9740</v>
      </c>
      <c r="AI35" s="18" t="n">
        <v>-103</v>
      </c>
      <c r="AJ35" s="18" t="n">
        <v>11973</v>
      </c>
      <c r="AK35" s="18" t="n">
        <v>8658</v>
      </c>
      <c r="AL35" s="18" t="n">
        <v>-3315</v>
      </c>
    </row>
    <row r="36">
      <c r="B36" s="4" t="inlineStr">
        <is>
          <t>业务招待费</t>
        </is>
      </c>
      <c r="C36" s="18" t="n">
        <v>5922</v>
      </c>
      <c r="D36" s="18" t="n">
        <v>6671</v>
      </c>
      <c r="E36" s="24" t="n">
        <v>749</v>
      </c>
      <c r="F36" s="18" t="n">
        <v>5577</v>
      </c>
      <c r="G36" s="18" t="n">
        <v>6891</v>
      </c>
      <c r="H36" s="24" t="n">
        <v>1314</v>
      </c>
      <c r="I36" s="18" t="n">
        <v>6805</v>
      </c>
      <c r="J36" s="18" t="n">
        <v>5924</v>
      </c>
      <c r="K36" s="18" t="n">
        <v>-881</v>
      </c>
      <c r="L36" s="18" t="n">
        <v>7905</v>
      </c>
      <c r="M36" s="18" t="n">
        <v>8233</v>
      </c>
      <c r="N36" s="24" t="n">
        <v>328</v>
      </c>
      <c r="O36" s="18" t="n">
        <v>7764</v>
      </c>
      <c r="P36" s="18" t="n">
        <v>7586</v>
      </c>
      <c r="Q36" s="18" t="n">
        <v>-178</v>
      </c>
      <c r="R36" s="18" t="n">
        <v>7771</v>
      </c>
      <c r="S36" s="18" t="n">
        <v>8795</v>
      </c>
      <c r="T36" s="24" t="n">
        <v>1024</v>
      </c>
      <c r="U36" s="18" t="n">
        <v>9594</v>
      </c>
      <c r="V36" s="18" t="n">
        <v>9228</v>
      </c>
      <c r="W36" s="18" t="n">
        <v>-366</v>
      </c>
      <c r="X36" s="18" t="n">
        <v>6868</v>
      </c>
      <c r="Y36" s="18" t="n">
        <v>7600</v>
      </c>
      <c r="Z36" s="24" t="n">
        <v>732</v>
      </c>
      <c r="AA36" s="18" t="n">
        <v>6459</v>
      </c>
      <c r="AB36" s="18" t="n">
        <v>6156</v>
      </c>
      <c r="AC36" s="18" t="n">
        <v>-303</v>
      </c>
      <c r="AD36" s="18" t="n">
        <v>8717</v>
      </c>
      <c r="AE36" s="18" t="n">
        <v>6716</v>
      </c>
      <c r="AF36" s="18" t="n">
        <v>-2001</v>
      </c>
      <c r="AG36" s="18" t="n">
        <v>7160</v>
      </c>
      <c r="AH36" s="18" t="n">
        <v>7530</v>
      </c>
      <c r="AI36" s="24" t="n">
        <v>370</v>
      </c>
      <c r="AJ36" s="18" t="n">
        <v>9335</v>
      </c>
      <c r="AK36" s="18" t="n">
        <v>6702</v>
      </c>
      <c r="AL36" s="18" t="n">
        <v>-2633</v>
      </c>
    </row>
    <row r="37">
      <c r="B37" s="4" t="inlineStr">
        <is>
          <t>办公费</t>
        </is>
      </c>
      <c r="C37" s="18" t="n">
        <v>4614</v>
      </c>
      <c r="D37" s="18" t="n">
        <v>4477</v>
      </c>
      <c r="E37" s="18" t="n">
        <v>-137</v>
      </c>
      <c r="F37" s="18" t="n">
        <v>4278</v>
      </c>
      <c r="G37" s="18" t="n">
        <v>4596</v>
      </c>
      <c r="H37" s="24" t="n">
        <v>318</v>
      </c>
      <c r="I37" s="18" t="n">
        <v>5883</v>
      </c>
      <c r="J37" s="18" t="n">
        <v>5444</v>
      </c>
      <c r="K37" s="18" t="n">
        <v>-439</v>
      </c>
      <c r="L37" s="18" t="n">
        <v>5713</v>
      </c>
      <c r="M37" s="18" t="n">
        <v>4530</v>
      </c>
      <c r="N37" s="18" t="n">
        <v>-1183</v>
      </c>
      <c r="O37" s="18" t="n">
        <v>6518</v>
      </c>
      <c r="P37" s="18" t="n">
        <v>5161</v>
      </c>
      <c r="Q37" s="18" t="n">
        <v>-1357</v>
      </c>
      <c r="R37" s="18" t="n">
        <v>6316</v>
      </c>
      <c r="S37" s="18" t="n">
        <v>6250</v>
      </c>
      <c r="T37" s="18" t="n">
        <v>-66</v>
      </c>
      <c r="U37" s="18" t="n">
        <v>7206</v>
      </c>
      <c r="V37" s="18" t="n">
        <v>8526</v>
      </c>
      <c r="W37" s="24" t="n">
        <v>1320</v>
      </c>
      <c r="X37" s="18" t="n">
        <v>6723</v>
      </c>
      <c r="Y37" s="18" t="n">
        <v>8002</v>
      </c>
      <c r="Z37" s="24" t="n">
        <v>1279</v>
      </c>
      <c r="AA37" s="18" t="n">
        <v>6058</v>
      </c>
      <c r="AB37" s="18" t="n">
        <v>6761</v>
      </c>
      <c r="AC37" s="24" t="n">
        <v>703</v>
      </c>
      <c r="AD37" s="18" t="n">
        <v>6390</v>
      </c>
      <c r="AE37" s="18" t="n">
        <v>4869</v>
      </c>
      <c r="AF37" s="18" t="n">
        <v>-1521</v>
      </c>
      <c r="AG37" s="18" t="n">
        <v>6679</v>
      </c>
      <c r="AH37" s="18" t="n">
        <v>7228</v>
      </c>
      <c r="AI37" s="24" t="n">
        <v>549</v>
      </c>
      <c r="AJ37" s="18" t="n">
        <v>7307</v>
      </c>
      <c r="AK37" s="18" t="n">
        <v>6601</v>
      </c>
      <c r="AL37" s="18" t="n">
        <v>-706</v>
      </c>
    </row>
    <row r="38">
      <c r="B38" s="4" t="inlineStr">
        <is>
          <t>折旧费</t>
        </is>
      </c>
      <c r="C38" s="18" t="n">
        <v>4317</v>
      </c>
      <c r="D38" s="18" t="n">
        <v>3893</v>
      </c>
      <c r="E38" s="18" t="n">
        <v>-424</v>
      </c>
      <c r="F38" s="18" t="n">
        <v>3280</v>
      </c>
      <c r="G38" s="18" t="n">
        <v>2866</v>
      </c>
      <c r="H38" s="18" t="n">
        <v>-414</v>
      </c>
      <c r="I38" s="18" t="n">
        <v>4319</v>
      </c>
      <c r="J38" s="18" t="n">
        <v>5520</v>
      </c>
      <c r="K38" s="24" t="n">
        <v>1201</v>
      </c>
      <c r="L38" s="18" t="n">
        <v>5325</v>
      </c>
      <c r="M38" s="18" t="n">
        <v>4889</v>
      </c>
      <c r="N38" s="18" t="n">
        <v>-436</v>
      </c>
      <c r="O38" s="18" t="n">
        <v>4878</v>
      </c>
      <c r="P38" s="18" t="n">
        <v>3963</v>
      </c>
      <c r="Q38" s="18" t="n">
        <v>-915</v>
      </c>
      <c r="R38" s="18" t="n">
        <v>5026</v>
      </c>
      <c r="S38" s="18" t="n">
        <v>6510</v>
      </c>
      <c r="T38" s="24" t="n">
        <v>1484</v>
      </c>
      <c r="U38" s="18" t="n">
        <v>6471</v>
      </c>
      <c r="V38" s="18" t="n">
        <v>7106</v>
      </c>
      <c r="W38" s="24" t="n">
        <v>635</v>
      </c>
      <c r="X38" s="18" t="n">
        <v>4649</v>
      </c>
      <c r="Y38" s="18" t="n">
        <v>5470</v>
      </c>
      <c r="Z38" s="24" t="n">
        <v>821</v>
      </c>
      <c r="AA38" s="18" t="n">
        <v>4828</v>
      </c>
      <c r="AB38" s="18" t="n">
        <v>4781</v>
      </c>
      <c r="AC38" s="18" t="n">
        <v>-47</v>
      </c>
      <c r="AD38" s="18" t="n">
        <v>5947</v>
      </c>
      <c r="AE38" s="18" t="n">
        <v>6890</v>
      </c>
      <c r="AF38" s="24" t="n">
        <v>943</v>
      </c>
      <c r="AG38" s="18" t="n">
        <v>4857</v>
      </c>
      <c r="AH38" s="18" t="n">
        <v>3557</v>
      </c>
      <c r="AI38" s="18" t="n">
        <v>-1300</v>
      </c>
      <c r="AJ38" s="18" t="n">
        <v>6836</v>
      </c>
      <c r="AK38" s="18" t="n">
        <v>7299</v>
      </c>
      <c r="AL38" s="24" t="n">
        <v>463</v>
      </c>
    </row>
    <row r="39">
      <c r="B39" s="6" t="inlineStr">
        <is>
          <t>小计</t>
        </is>
      </c>
      <c r="C39" s="19" t="n">
        <v>44096</v>
      </c>
      <c r="D39" s="19" t="n">
        <v>46474</v>
      </c>
      <c r="E39" s="19" t="n">
        <v>2378</v>
      </c>
      <c r="F39" s="19" t="n">
        <v>37106</v>
      </c>
      <c r="G39" s="19" t="n">
        <v>39366</v>
      </c>
      <c r="H39" s="19" t="n">
        <v>2260</v>
      </c>
      <c r="I39" s="19" t="n">
        <v>49388</v>
      </c>
      <c r="J39" s="19" t="n">
        <v>41626</v>
      </c>
      <c r="K39" s="19" t="n">
        <v>-7762</v>
      </c>
      <c r="L39" s="19" t="n">
        <v>56309</v>
      </c>
      <c r="M39" s="19" t="n">
        <v>59480</v>
      </c>
      <c r="N39" s="19" t="n">
        <v>3171</v>
      </c>
      <c r="O39" s="19" t="n">
        <v>55281</v>
      </c>
      <c r="P39" s="19" t="n">
        <v>58687</v>
      </c>
      <c r="Q39" s="19" t="n">
        <v>3406</v>
      </c>
      <c r="R39" s="19" t="n">
        <v>56610</v>
      </c>
      <c r="S39" s="19" t="n">
        <v>66442</v>
      </c>
      <c r="T39" s="19" t="n">
        <v>9832</v>
      </c>
      <c r="U39" s="19" t="n">
        <v>63877</v>
      </c>
      <c r="V39" s="19" t="n">
        <v>71958</v>
      </c>
      <c r="W39" s="19" t="n">
        <v>8081</v>
      </c>
      <c r="X39" s="19" t="n">
        <v>55204</v>
      </c>
      <c r="Y39" s="19" t="n">
        <v>62922</v>
      </c>
      <c r="Z39" s="19" t="n">
        <v>7718</v>
      </c>
      <c r="AA39" s="19" t="n">
        <v>49958</v>
      </c>
      <c r="AB39" s="19" t="n">
        <v>46398</v>
      </c>
      <c r="AC39" s="19" t="n">
        <v>-3560</v>
      </c>
      <c r="AD39" s="19" t="n">
        <v>62601</v>
      </c>
      <c r="AE39" s="19" t="n">
        <v>65748</v>
      </c>
      <c r="AF39" s="19" t="n">
        <v>3147</v>
      </c>
      <c r="AG39" s="19" t="n">
        <v>54726</v>
      </c>
      <c r="AH39" s="19" t="n">
        <v>59913</v>
      </c>
      <c r="AI39" s="19" t="n">
        <v>5187</v>
      </c>
      <c r="AJ39" s="19" t="n">
        <v>71647</v>
      </c>
      <c r="AK39" s="19" t="n">
        <v>56287</v>
      </c>
      <c r="AL39" s="19" t="n">
        <v>-15360</v>
      </c>
    </row>
    <row r="40">
      <c r="A40" s="23" t="inlineStr">
        <is>
          <t>财务部</t>
        </is>
      </c>
      <c r="B40" s="4" t="inlineStr">
        <is>
          <t>人工费用</t>
        </is>
      </c>
      <c r="C40" s="18" t="n">
        <v>41426</v>
      </c>
      <c r="D40" s="18" t="n">
        <v>48970</v>
      </c>
      <c r="E40" s="24" t="n">
        <v>7544</v>
      </c>
      <c r="F40" s="18" t="n">
        <v>38354</v>
      </c>
      <c r="G40" s="18" t="n">
        <v>27537</v>
      </c>
      <c r="H40" s="18" t="n">
        <v>-10817</v>
      </c>
      <c r="I40" s="18" t="n">
        <v>47729</v>
      </c>
      <c r="J40" s="18" t="n">
        <v>53959</v>
      </c>
      <c r="K40" s="24" t="n">
        <v>6230</v>
      </c>
      <c r="L40" s="18" t="n">
        <v>51698</v>
      </c>
      <c r="M40" s="18" t="n">
        <v>38653</v>
      </c>
      <c r="N40" s="18" t="n">
        <v>-13045</v>
      </c>
      <c r="O40" s="18" t="n">
        <v>49488</v>
      </c>
      <c r="P40" s="18" t="n">
        <v>61683</v>
      </c>
      <c r="Q40" s="24" t="n">
        <v>12195</v>
      </c>
      <c r="R40" s="18" t="n">
        <v>61456</v>
      </c>
      <c r="S40" s="18" t="n">
        <v>63637</v>
      </c>
      <c r="T40" s="24" t="n">
        <v>2181</v>
      </c>
      <c r="U40" s="18" t="n">
        <v>68149</v>
      </c>
      <c r="V40" s="18" t="n">
        <v>51527</v>
      </c>
      <c r="W40" s="18" t="n">
        <v>-16622</v>
      </c>
      <c r="X40" s="18" t="n">
        <v>56276</v>
      </c>
      <c r="Y40" s="18" t="n">
        <v>54817</v>
      </c>
      <c r="Z40" s="18" t="n">
        <v>-1459</v>
      </c>
      <c r="AA40" s="18" t="n">
        <v>45925</v>
      </c>
      <c r="AB40" s="18" t="n">
        <v>42921</v>
      </c>
      <c r="AC40" s="18" t="n">
        <v>-3004</v>
      </c>
      <c r="AD40" s="18" t="n">
        <v>57936</v>
      </c>
      <c r="AE40" s="18" t="n">
        <v>42162</v>
      </c>
      <c r="AF40" s="18" t="n">
        <v>-15774</v>
      </c>
      <c r="AG40" s="18" t="n">
        <v>58648</v>
      </c>
      <c r="AH40" s="18" t="n">
        <v>65040</v>
      </c>
      <c r="AI40" s="24" t="n">
        <v>6392</v>
      </c>
      <c r="AJ40" s="18" t="n">
        <v>66490</v>
      </c>
      <c r="AK40" s="18" t="n">
        <v>49278</v>
      </c>
      <c r="AL40" s="18" t="n">
        <v>-17212</v>
      </c>
    </row>
    <row r="41">
      <c r="B41" s="4" t="inlineStr">
        <is>
          <t>差旅费</t>
        </is>
      </c>
      <c r="C41" s="18" t="n">
        <v>14897</v>
      </c>
      <c r="D41" s="18" t="n">
        <v>10750</v>
      </c>
      <c r="E41" s="18" t="n">
        <v>-4147</v>
      </c>
      <c r="F41" s="18" t="n">
        <v>12773</v>
      </c>
      <c r="G41" s="18" t="n">
        <v>16325</v>
      </c>
      <c r="H41" s="24" t="n">
        <v>3552</v>
      </c>
      <c r="I41" s="18" t="n">
        <v>16234</v>
      </c>
      <c r="J41" s="18" t="n">
        <v>16294</v>
      </c>
      <c r="K41" s="24" t="n">
        <v>60</v>
      </c>
      <c r="L41" s="18" t="n">
        <v>17436</v>
      </c>
      <c r="M41" s="18" t="n">
        <v>19311</v>
      </c>
      <c r="N41" s="24" t="n">
        <v>1875</v>
      </c>
      <c r="O41" s="18" t="n">
        <v>19698</v>
      </c>
      <c r="P41" s="18" t="n">
        <v>14183</v>
      </c>
      <c r="Q41" s="18" t="n">
        <v>-5515</v>
      </c>
      <c r="R41" s="18" t="n">
        <v>19265</v>
      </c>
      <c r="S41" s="18" t="n">
        <v>22299</v>
      </c>
      <c r="T41" s="24" t="n">
        <v>3034</v>
      </c>
      <c r="U41" s="18" t="n">
        <v>20262</v>
      </c>
      <c r="V41" s="18" t="n">
        <v>15135</v>
      </c>
      <c r="W41" s="18" t="n">
        <v>-5127</v>
      </c>
      <c r="X41" s="18" t="n">
        <v>16565</v>
      </c>
      <c r="Y41" s="18" t="n">
        <v>19956</v>
      </c>
      <c r="Z41" s="24" t="n">
        <v>3391</v>
      </c>
      <c r="AA41" s="18" t="n">
        <v>15120</v>
      </c>
      <c r="AB41" s="18" t="n">
        <v>12052</v>
      </c>
      <c r="AC41" s="18" t="n">
        <v>-3068</v>
      </c>
      <c r="AD41" s="18" t="n">
        <v>18922</v>
      </c>
      <c r="AE41" s="18" t="n">
        <v>13620</v>
      </c>
      <c r="AF41" s="18" t="n">
        <v>-5302</v>
      </c>
      <c r="AG41" s="18" t="n">
        <v>18723</v>
      </c>
      <c r="AH41" s="18" t="n">
        <v>20812</v>
      </c>
      <c r="AI41" s="24" t="n">
        <v>2089</v>
      </c>
      <c r="AJ41" s="18" t="n">
        <v>24458</v>
      </c>
      <c r="AK41" s="18" t="n">
        <v>27505</v>
      </c>
      <c r="AL41" s="24" t="n">
        <v>3047</v>
      </c>
    </row>
    <row r="42">
      <c r="B42" s="4" t="inlineStr">
        <is>
          <t>业务招待费</t>
        </is>
      </c>
      <c r="C42" s="18" t="n">
        <v>12517</v>
      </c>
      <c r="D42" s="18" t="n">
        <v>12017</v>
      </c>
      <c r="E42" s="18" t="n">
        <v>-500</v>
      </c>
      <c r="F42" s="18" t="n">
        <v>10065</v>
      </c>
      <c r="G42" s="18" t="n">
        <v>7303</v>
      </c>
      <c r="H42" s="18" t="n">
        <v>-2762</v>
      </c>
      <c r="I42" s="18" t="n">
        <v>14002</v>
      </c>
      <c r="J42" s="18" t="n">
        <v>15394</v>
      </c>
      <c r="K42" s="24" t="n">
        <v>1392</v>
      </c>
      <c r="L42" s="18" t="n">
        <v>15499</v>
      </c>
      <c r="M42" s="18" t="n">
        <v>15902</v>
      </c>
      <c r="N42" s="24" t="n">
        <v>403</v>
      </c>
      <c r="O42" s="18" t="n">
        <v>14771</v>
      </c>
      <c r="P42" s="18" t="n">
        <v>14937</v>
      </c>
      <c r="Q42" s="24" t="n">
        <v>166</v>
      </c>
      <c r="R42" s="18" t="n">
        <v>17221</v>
      </c>
      <c r="S42" s="18" t="n">
        <v>22328</v>
      </c>
      <c r="T42" s="24" t="n">
        <v>5107</v>
      </c>
      <c r="U42" s="18" t="n">
        <v>15746</v>
      </c>
      <c r="V42" s="18" t="n">
        <v>16051</v>
      </c>
      <c r="W42" s="24" t="n">
        <v>305</v>
      </c>
      <c r="X42" s="18" t="n">
        <v>13549</v>
      </c>
      <c r="Y42" s="18" t="n">
        <v>11900</v>
      </c>
      <c r="Z42" s="18" t="n">
        <v>-1649</v>
      </c>
      <c r="AA42" s="18" t="n">
        <v>14113</v>
      </c>
      <c r="AB42" s="18" t="n">
        <v>13688</v>
      </c>
      <c r="AC42" s="18" t="n">
        <v>-425</v>
      </c>
      <c r="AD42" s="18" t="n">
        <v>14550</v>
      </c>
      <c r="AE42" s="18" t="n">
        <v>16784</v>
      </c>
      <c r="AF42" s="24" t="n">
        <v>2234</v>
      </c>
      <c r="AG42" s="18" t="n">
        <v>15164</v>
      </c>
      <c r="AH42" s="18" t="n">
        <v>14548</v>
      </c>
      <c r="AI42" s="18" t="n">
        <v>-616</v>
      </c>
      <c r="AJ42" s="18" t="n">
        <v>17753</v>
      </c>
      <c r="AK42" s="18" t="n">
        <v>21822</v>
      </c>
      <c r="AL42" s="24" t="n">
        <v>4069</v>
      </c>
    </row>
    <row r="43">
      <c r="B43" s="4" t="inlineStr">
        <is>
          <t>办公费</t>
        </is>
      </c>
      <c r="C43" s="18" t="n">
        <v>10316</v>
      </c>
      <c r="D43" s="18" t="n">
        <v>12200</v>
      </c>
      <c r="E43" s="24" t="n">
        <v>1884</v>
      </c>
      <c r="F43" s="18" t="n">
        <v>8789</v>
      </c>
      <c r="G43" s="18" t="n">
        <v>9019</v>
      </c>
      <c r="H43" s="24" t="n">
        <v>230</v>
      </c>
      <c r="I43" s="18" t="n">
        <v>10351</v>
      </c>
      <c r="J43" s="18" t="n">
        <v>11589</v>
      </c>
      <c r="K43" s="24" t="n">
        <v>1238</v>
      </c>
      <c r="L43" s="18" t="n">
        <v>11229</v>
      </c>
      <c r="M43" s="18" t="n">
        <v>9116</v>
      </c>
      <c r="N43" s="18" t="n">
        <v>-2113</v>
      </c>
      <c r="O43" s="18" t="n">
        <v>12620</v>
      </c>
      <c r="P43" s="18" t="n">
        <v>12128</v>
      </c>
      <c r="Q43" s="18" t="n">
        <v>-492</v>
      </c>
      <c r="R43" s="18" t="n">
        <v>13130</v>
      </c>
      <c r="S43" s="18" t="n">
        <v>10364</v>
      </c>
      <c r="T43" s="18" t="n">
        <v>-2766</v>
      </c>
      <c r="U43" s="18" t="n">
        <v>15289</v>
      </c>
      <c r="V43" s="18" t="n">
        <v>13518</v>
      </c>
      <c r="W43" s="18" t="n">
        <v>-1771</v>
      </c>
      <c r="X43" s="18" t="n">
        <v>12817</v>
      </c>
      <c r="Y43" s="18" t="n">
        <v>10953</v>
      </c>
      <c r="Z43" s="18" t="n">
        <v>-1864</v>
      </c>
      <c r="AA43" s="18" t="n">
        <v>11104</v>
      </c>
      <c r="AB43" s="18" t="n">
        <v>9066</v>
      </c>
      <c r="AC43" s="18" t="n">
        <v>-2038</v>
      </c>
      <c r="AD43" s="18" t="n">
        <v>13667</v>
      </c>
      <c r="AE43" s="18" t="n">
        <v>10932</v>
      </c>
      <c r="AF43" s="18" t="n">
        <v>-2735</v>
      </c>
      <c r="AG43" s="18" t="n">
        <v>11971</v>
      </c>
      <c r="AH43" s="18" t="n">
        <v>14273</v>
      </c>
      <c r="AI43" s="24" t="n">
        <v>2302</v>
      </c>
      <c r="AJ43" s="18" t="n">
        <v>15286</v>
      </c>
      <c r="AK43" s="18" t="n">
        <v>14757</v>
      </c>
      <c r="AL43" s="18" t="n">
        <v>-529</v>
      </c>
    </row>
    <row r="44">
      <c r="B44" s="4" t="inlineStr">
        <is>
          <t>折旧费</t>
        </is>
      </c>
      <c r="C44" s="18" t="n">
        <v>8106</v>
      </c>
      <c r="D44" s="18" t="n">
        <v>7266</v>
      </c>
      <c r="E44" s="18" t="n">
        <v>-840</v>
      </c>
      <c r="F44" s="18" t="n">
        <v>6164</v>
      </c>
      <c r="G44" s="18" t="n">
        <v>6878</v>
      </c>
      <c r="H44" s="24" t="n">
        <v>714</v>
      </c>
      <c r="I44" s="18" t="n">
        <v>8583</v>
      </c>
      <c r="J44" s="18" t="n">
        <v>10256</v>
      </c>
      <c r="K44" s="24" t="n">
        <v>1673</v>
      </c>
      <c r="L44" s="18" t="n">
        <v>9207</v>
      </c>
      <c r="M44" s="18" t="n">
        <v>9811</v>
      </c>
      <c r="N44" s="24" t="n">
        <v>604</v>
      </c>
      <c r="O44" s="18" t="n">
        <v>8951</v>
      </c>
      <c r="P44" s="18" t="n">
        <v>8350</v>
      </c>
      <c r="Q44" s="18" t="n">
        <v>-601</v>
      </c>
      <c r="R44" s="18" t="n">
        <v>10431</v>
      </c>
      <c r="S44" s="18" t="n">
        <v>7854</v>
      </c>
      <c r="T44" s="18" t="n">
        <v>-2577</v>
      </c>
      <c r="U44" s="18" t="n">
        <v>12498</v>
      </c>
      <c r="V44" s="18" t="n">
        <v>10678</v>
      </c>
      <c r="W44" s="18" t="n">
        <v>-1820</v>
      </c>
      <c r="X44" s="18" t="n">
        <v>10191</v>
      </c>
      <c r="Y44" s="18" t="n">
        <v>8462</v>
      </c>
      <c r="Z44" s="18" t="n">
        <v>-1729</v>
      </c>
      <c r="AA44" s="18" t="n">
        <v>9134</v>
      </c>
      <c r="AB44" s="18" t="n">
        <v>9773</v>
      </c>
      <c r="AC44" s="24" t="n">
        <v>639</v>
      </c>
      <c r="AD44" s="18" t="n">
        <v>10197</v>
      </c>
      <c r="AE44" s="18" t="n">
        <v>7700</v>
      </c>
      <c r="AF44" s="18" t="n">
        <v>-2497</v>
      </c>
      <c r="AG44" s="18" t="n">
        <v>9255</v>
      </c>
      <c r="AH44" s="18" t="n">
        <v>10966</v>
      </c>
      <c r="AI44" s="24" t="n">
        <v>1711</v>
      </c>
      <c r="AJ44" s="18" t="n">
        <v>12221</v>
      </c>
      <c r="AK44" s="18" t="n">
        <v>13347</v>
      </c>
      <c r="AL44" s="24" t="n">
        <v>1126</v>
      </c>
    </row>
    <row r="45">
      <c r="B45" s="6" t="inlineStr">
        <is>
          <t>小计</t>
        </is>
      </c>
      <c r="C45" s="19" t="n">
        <v>87262</v>
      </c>
      <c r="D45" s="19" t="n">
        <v>91203</v>
      </c>
      <c r="E45" s="19" t="n">
        <v>3941</v>
      </c>
      <c r="F45" s="19" t="n">
        <v>76145</v>
      </c>
      <c r="G45" s="19" t="n">
        <v>67062</v>
      </c>
      <c r="H45" s="19" t="n">
        <v>-9083</v>
      </c>
      <c r="I45" s="19" t="n">
        <v>96899</v>
      </c>
      <c r="J45" s="19" t="n">
        <v>107492</v>
      </c>
      <c r="K45" s="19" t="n">
        <v>10593</v>
      </c>
      <c r="L45" s="19" t="n">
        <v>105069</v>
      </c>
      <c r="M45" s="19" t="n">
        <v>92793</v>
      </c>
      <c r="N45" s="19" t="n">
        <v>-12276</v>
      </c>
      <c r="O45" s="19" t="n">
        <v>105528</v>
      </c>
      <c r="P45" s="19" t="n">
        <v>111281</v>
      </c>
      <c r="Q45" s="19" t="n">
        <v>5753</v>
      </c>
      <c r="R45" s="19" t="n">
        <v>121503</v>
      </c>
      <c r="S45" s="19" t="n">
        <v>126482</v>
      </c>
      <c r="T45" s="19" t="n">
        <v>4979</v>
      </c>
      <c r="U45" s="19" t="n">
        <v>131944</v>
      </c>
      <c r="V45" s="19" t="n">
        <v>106909</v>
      </c>
      <c r="W45" s="19" t="n">
        <v>-25035</v>
      </c>
      <c r="X45" s="19" t="n">
        <v>109398</v>
      </c>
      <c r="Y45" s="19" t="n">
        <v>106088</v>
      </c>
      <c r="Z45" s="19" t="n">
        <v>-3310</v>
      </c>
      <c r="AA45" s="19" t="n">
        <v>95396</v>
      </c>
      <c r="AB45" s="19" t="n">
        <v>87500</v>
      </c>
      <c r="AC45" s="19" t="n">
        <v>-7896</v>
      </c>
      <c r="AD45" s="19" t="n">
        <v>115272</v>
      </c>
      <c r="AE45" s="19" t="n">
        <v>91198</v>
      </c>
      <c r="AF45" s="19" t="n">
        <v>-24074</v>
      </c>
      <c r="AG45" s="19" t="n">
        <v>113761</v>
      </c>
      <c r="AH45" s="19" t="n">
        <v>125639</v>
      </c>
      <c r="AI45" s="19" t="n">
        <v>11878</v>
      </c>
      <c r="AJ45" s="19" t="n">
        <v>136208</v>
      </c>
      <c r="AK45" s="19" t="n">
        <v>126709</v>
      </c>
      <c r="AL45" s="19" t="n">
        <v>-9499</v>
      </c>
    </row>
    <row r="46">
      <c r="A46" s="23" t="inlineStr">
        <is>
          <t>行政部</t>
        </is>
      </c>
      <c r="B46" s="4" t="inlineStr">
        <is>
          <t>人工费用</t>
        </is>
      </c>
      <c r="C46" s="18" t="n">
        <v>17032</v>
      </c>
      <c r="D46" s="18" t="n">
        <v>21544</v>
      </c>
      <c r="E46" s="24" t="n">
        <v>4512</v>
      </c>
      <c r="F46" s="18" t="n">
        <v>15987</v>
      </c>
      <c r="G46" s="18" t="n">
        <v>18790</v>
      </c>
      <c r="H46" s="24" t="n">
        <v>2803</v>
      </c>
      <c r="I46" s="18" t="n">
        <v>20381</v>
      </c>
      <c r="J46" s="18" t="n">
        <v>14403</v>
      </c>
      <c r="K46" s="18" t="n">
        <v>-5978</v>
      </c>
      <c r="L46" s="18" t="n">
        <v>22521</v>
      </c>
      <c r="M46" s="18" t="n">
        <v>23404</v>
      </c>
      <c r="N46" s="24" t="n">
        <v>883</v>
      </c>
      <c r="O46" s="18" t="n">
        <v>21717</v>
      </c>
      <c r="P46" s="18" t="n">
        <v>25179</v>
      </c>
      <c r="Q46" s="24" t="n">
        <v>3462</v>
      </c>
      <c r="R46" s="18" t="n">
        <v>24938</v>
      </c>
      <c r="S46" s="18" t="n">
        <v>23299</v>
      </c>
      <c r="T46" s="18" t="n">
        <v>-1639</v>
      </c>
      <c r="U46" s="18" t="n">
        <v>27625</v>
      </c>
      <c r="V46" s="18" t="n">
        <v>32727</v>
      </c>
      <c r="W46" s="24" t="n">
        <v>5102</v>
      </c>
      <c r="X46" s="18" t="n">
        <v>20331</v>
      </c>
      <c r="Y46" s="18" t="n">
        <v>25178</v>
      </c>
      <c r="Z46" s="24" t="n">
        <v>4847</v>
      </c>
      <c r="AA46" s="18" t="n">
        <v>20693</v>
      </c>
      <c r="AB46" s="18" t="n">
        <v>21162</v>
      </c>
      <c r="AC46" s="24" t="n">
        <v>469</v>
      </c>
      <c r="AD46" s="18" t="n">
        <v>26167</v>
      </c>
      <c r="AE46" s="18" t="n">
        <v>27369</v>
      </c>
      <c r="AF46" s="24" t="n">
        <v>1202</v>
      </c>
      <c r="AG46" s="18" t="n">
        <v>23569</v>
      </c>
      <c r="AH46" s="18" t="n">
        <v>19935</v>
      </c>
      <c r="AI46" s="18" t="n">
        <v>-3634</v>
      </c>
      <c r="AJ46" s="18" t="n">
        <v>30532</v>
      </c>
      <c r="AK46" s="18" t="n">
        <v>32916</v>
      </c>
      <c r="AL46" s="24" t="n">
        <v>2384</v>
      </c>
    </row>
    <row r="47">
      <c r="B47" s="4" t="inlineStr">
        <is>
          <t>差旅费</t>
        </is>
      </c>
      <c r="C47" s="18" t="n">
        <v>6392</v>
      </c>
      <c r="D47" s="18" t="n">
        <v>4998</v>
      </c>
      <c r="E47" s="18" t="n">
        <v>-1394</v>
      </c>
      <c r="F47" s="18" t="n">
        <v>5076</v>
      </c>
      <c r="G47" s="18" t="n">
        <v>5048</v>
      </c>
      <c r="H47" s="18" t="n">
        <v>-28</v>
      </c>
      <c r="I47" s="18" t="n">
        <v>6262</v>
      </c>
      <c r="J47" s="18" t="n">
        <v>4580</v>
      </c>
      <c r="K47" s="18" t="n">
        <v>-1682</v>
      </c>
      <c r="L47" s="18" t="n">
        <v>7377</v>
      </c>
      <c r="M47" s="18" t="n">
        <v>6184</v>
      </c>
      <c r="N47" s="18" t="n">
        <v>-1193</v>
      </c>
      <c r="O47" s="18" t="n">
        <v>7732</v>
      </c>
      <c r="P47" s="18" t="n">
        <v>9001</v>
      </c>
      <c r="Q47" s="24" t="n">
        <v>1269</v>
      </c>
      <c r="R47" s="18" t="n">
        <v>7437</v>
      </c>
      <c r="S47" s="18" t="n">
        <v>6932</v>
      </c>
      <c r="T47" s="18" t="n">
        <v>-505</v>
      </c>
      <c r="U47" s="18" t="n">
        <v>9288</v>
      </c>
      <c r="V47" s="18" t="n">
        <v>7637</v>
      </c>
      <c r="W47" s="18" t="n">
        <v>-1651</v>
      </c>
      <c r="X47" s="18" t="n">
        <v>7297</v>
      </c>
      <c r="Y47" s="18" t="n">
        <v>9135</v>
      </c>
      <c r="Z47" s="24" t="n">
        <v>1838</v>
      </c>
      <c r="AA47" s="18" t="n">
        <v>6959</v>
      </c>
      <c r="AB47" s="18" t="n">
        <v>9002</v>
      </c>
      <c r="AC47" s="24" t="n">
        <v>2043</v>
      </c>
      <c r="AD47" s="18" t="n">
        <v>8925</v>
      </c>
      <c r="AE47" s="18" t="n">
        <v>8902</v>
      </c>
      <c r="AF47" s="18" t="n">
        <v>-23</v>
      </c>
      <c r="AG47" s="18" t="n">
        <v>7045</v>
      </c>
      <c r="AH47" s="18" t="n">
        <v>8855</v>
      </c>
      <c r="AI47" s="24" t="n">
        <v>1810</v>
      </c>
      <c r="AJ47" s="18" t="n">
        <v>10207</v>
      </c>
      <c r="AK47" s="18" t="n">
        <v>9153</v>
      </c>
      <c r="AL47" s="18" t="n">
        <v>-1054</v>
      </c>
    </row>
    <row r="48">
      <c r="B48" s="4" t="inlineStr">
        <is>
          <t>业务招待费</t>
        </is>
      </c>
      <c r="C48" s="18" t="n">
        <v>4643</v>
      </c>
      <c r="D48" s="18" t="n">
        <v>5479</v>
      </c>
      <c r="E48" s="24" t="n">
        <v>836</v>
      </c>
      <c r="F48" s="18" t="n">
        <v>4482</v>
      </c>
      <c r="G48" s="18" t="n">
        <v>4955</v>
      </c>
      <c r="H48" s="24" t="n">
        <v>473</v>
      </c>
      <c r="I48" s="18" t="n">
        <v>5292</v>
      </c>
      <c r="J48" s="18" t="n">
        <v>4973</v>
      </c>
      <c r="K48" s="18" t="n">
        <v>-319</v>
      </c>
      <c r="L48" s="18" t="n">
        <v>6319</v>
      </c>
      <c r="M48" s="18" t="n">
        <v>7896</v>
      </c>
      <c r="N48" s="24" t="n">
        <v>1577</v>
      </c>
      <c r="O48" s="18" t="n">
        <v>6511</v>
      </c>
      <c r="P48" s="18" t="n">
        <v>7783</v>
      </c>
      <c r="Q48" s="24" t="n">
        <v>1272</v>
      </c>
      <c r="R48" s="18" t="n">
        <v>6482</v>
      </c>
      <c r="S48" s="18" t="n">
        <v>6036</v>
      </c>
      <c r="T48" s="18" t="n">
        <v>-446</v>
      </c>
      <c r="U48" s="18" t="n">
        <v>7380</v>
      </c>
      <c r="V48" s="18" t="n">
        <v>5406</v>
      </c>
      <c r="W48" s="18" t="n">
        <v>-1974</v>
      </c>
      <c r="X48" s="18" t="n">
        <v>5765</v>
      </c>
      <c r="Y48" s="18" t="n">
        <v>4268</v>
      </c>
      <c r="Z48" s="18" t="n">
        <v>-1497</v>
      </c>
      <c r="AA48" s="18" t="n">
        <v>5597</v>
      </c>
      <c r="AB48" s="18" t="n">
        <v>6996</v>
      </c>
      <c r="AC48" s="24" t="n">
        <v>1399</v>
      </c>
      <c r="AD48" s="18" t="n">
        <v>6713</v>
      </c>
      <c r="AE48" s="18" t="n">
        <v>6628</v>
      </c>
      <c r="AF48" s="18" t="n">
        <v>-85</v>
      </c>
      <c r="AG48" s="18" t="n">
        <v>5850</v>
      </c>
      <c r="AH48" s="18" t="n">
        <v>6338</v>
      </c>
      <c r="AI48" s="24" t="n">
        <v>488</v>
      </c>
      <c r="AJ48" s="18" t="n">
        <v>8402</v>
      </c>
      <c r="AK48" s="18" t="n">
        <v>7212</v>
      </c>
      <c r="AL48" s="18" t="n">
        <v>-1190</v>
      </c>
    </row>
    <row r="49">
      <c r="B49" s="4" t="inlineStr">
        <is>
          <t>办公费</t>
        </is>
      </c>
      <c r="C49" s="18" t="n">
        <v>4331</v>
      </c>
      <c r="D49" s="18" t="n">
        <v>5411</v>
      </c>
      <c r="E49" s="24" t="n">
        <v>1080</v>
      </c>
      <c r="F49" s="18" t="n">
        <v>3233</v>
      </c>
      <c r="G49" s="18" t="n">
        <v>2334</v>
      </c>
      <c r="H49" s="18" t="n">
        <v>-899</v>
      </c>
      <c r="I49" s="18" t="n">
        <v>4376</v>
      </c>
      <c r="J49" s="18" t="n">
        <v>3734</v>
      </c>
      <c r="K49" s="18" t="n">
        <v>-642</v>
      </c>
      <c r="L49" s="18" t="n">
        <v>4885</v>
      </c>
      <c r="M49" s="18" t="n">
        <v>3985</v>
      </c>
      <c r="N49" s="18" t="n">
        <v>-900</v>
      </c>
      <c r="O49" s="18" t="n">
        <v>4704</v>
      </c>
      <c r="P49" s="18" t="n">
        <v>4007</v>
      </c>
      <c r="Q49" s="18" t="n">
        <v>-697</v>
      </c>
      <c r="R49" s="18" t="n">
        <v>4946</v>
      </c>
      <c r="S49" s="18" t="n">
        <v>4328</v>
      </c>
      <c r="T49" s="18" t="n">
        <v>-618</v>
      </c>
      <c r="U49" s="18" t="n">
        <v>5450</v>
      </c>
      <c r="V49" s="18" t="n">
        <v>6055</v>
      </c>
      <c r="W49" s="24" t="n">
        <v>605</v>
      </c>
      <c r="X49" s="18" t="n">
        <v>4882</v>
      </c>
      <c r="Y49" s="18" t="n">
        <v>4150</v>
      </c>
      <c r="Z49" s="18" t="n">
        <v>-732</v>
      </c>
      <c r="AA49" s="18" t="n">
        <v>4647</v>
      </c>
      <c r="AB49" s="18" t="n">
        <v>5666</v>
      </c>
      <c r="AC49" s="24" t="n">
        <v>1019</v>
      </c>
      <c r="AD49" s="18" t="n">
        <v>5050</v>
      </c>
      <c r="AE49" s="18" t="n">
        <v>4291</v>
      </c>
      <c r="AF49" s="18" t="n">
        <v>-759</v>
      </c>
      <c r="AG49" s="18" t="n">
        <v>4537</v>
      </c>
      <c r="AH49" s="18" t="n">
        <v>4740</v>
      </c>
      <c r="AI49" s="24" t="n">
        <v>203</v>
      </c>
      <c r="AJ49" s="18" t="n">
        <v>6527</v>
      </c>
      <c r="AK49" s="18" t="n">
        <v>6635</v>
      </c>
      <c r="AL49" s="24" t="n">
        <v>108</v>
      </c>
    </row>
    <row r="50">
      <c r="B50" s="4" t="inlineStr">
        <is>
          <t>折旧费</t>
        </is>
      </c>
      <c r="C50" s="18" t="n">
        <v>3276</v>
      </c>
      <c r="D50" s="18" t="n">
        <v>3585</v>
      </c>
      <c r="E50" s="24" t="n">
        <v>309</v>
      </c>
      <c r="F50" s="18" t="n">
        <v>2941</v>
      </c>
      <c r="G50" s="18" t="n">
        <v>2780</v>
      </c>
      <c r="H50" s="18" t="n">
        <v>-161</v>
      </c>
      <c r="I50" s="18" t="n">
        <v>3655</v>
      </c>
      <c r="J50" s="18" t="n">
        <v>3075</v>
      </c>
      <c r="K50" s="18" t="n">
        <v>-580</v>
      </c>
      <c r="L50" s="18" t="n">
        <v>3815</v>
      </c>
      <c r="M50" s="18" t="n">
        <v>4621</v>
      </c>
      <c r="N50" s="24" t="n">
        <v>806</v>
      </c>
      <c r="O50" s="18" t="n">
        <v>3817</v>
      </c>
      <c r="P50" s="18" t="n">
        <v>3916</v>
      </c>
      <c r="Q50" s="24" t="n">
        <v>99</v>
      </c>
      <c r="R50" s="18" t="n">
        <v>4466</v>
      </c>
      <c r="S50" s="18" t="n">
        <v>5776</v>
      </c>
      <c r="T50" s="24" t="n">
        <v>1310</v>
      </c>
      <c r="U50" s="18" t="n">
        <v>5144</v>
      </c>
      <c r="V50" s="18" t="n">
        <v>6172</v>
      </c>
      <c r="W50" s="24" t="n">
        <v>1028</v>
      </c>
      <c r="X50" s="18" t="n">
        <v>4126</v>
      </c>
      <c r="Y50" s="18" t="n">
        <v>4128</v>
      </c>
      <c r="Z50" s="24" t="n">
        <v>2</v>
      </c>
      <c r="AA50" s="18" t="n">
        <v>3870</v>
      </c>
      <c r="AB50" s="18" t="n">
        <v>4797</v>
      </c>
      <c r="AC50" s="24" t="n">
        <v>927</v>
      </c>
      <c r="AD50" s="18" t="n">
        <v>4278</v>
      </c>
      <c r="AE50" s="18" t="n">
        <v>5549</v>
      </c>
      <c r="AF50" s="24" t="n">
        <v>1271</v>
      </c>
      <c r="AG50" s="18" t="n">
        <v>3711</v>
      </c>
      <c r="AH50" s="18" t="n">
        <v>3689</v>
      </c>
      <c r="AI50" s="18" t="n">
        <v>-22</v>
      </c>
      <c r="AJ50" s="18" t="n">
        <v>5242</v>
      </c>
      <c r="AK50" s="18" t="n">
        <v>5923</v>
      </c>
      <c r="AL50" s="24" t="n">
        <v>681</v>
      </c>
    </row>
    <row r="51">
      <c r="B51" s="6" t="inlineStr">
        <is>
          <t>小计</t>
        </is>
      </c>
      <c r="C51" s="19" t="n">
        <v>35674</v>
      </c>
      <c r="D51" s="19" t="n">
        <v>41017</v>
      </c>
      <c r="E51" s="19" t="n">
        <v>5343</v>
      </c>
      <c r="F51" s="19" t="n">
        <v>31719</v>
      </c>
      <c r="G51" s="19" t="n">
        <v>33907</v>
      </c>
      <c r="H51" s="19" t="n">
        <v>2188</v>
      </c>
      <c r="I51" s="19" t="n">
        <v>39966</v>
      </c>
      <c r="J51" s="19" t="n">
        <v>30765</v>
      </c>
      <c r="K51" s="19" t="n">
        <v>-9201</v>
      </c>
      <c r="L51" s="19" t="n">
        <v>44917</v>
      </c>
      <c r="M51" s="19" t="n">
        <v>46090</v>
      </c>
      <c r="N51" s="19" t="n">
        <v>1173</v>
      </c>
      <c r="O51" s="19" t="n">
        <v>44481</v>
      </c>
      <c r="P51" s="19" t="n">
        <v>49886</v>
      </c>
      <c r="Q51" s="19" t="n">
        <v>5405</v>
      </c>
      <c r="R51" s="19" t="n">
        <v>48269</v>
      </c>
      <c r="S51" s="19" t="n">
        <v>46371</v>
      </c>
      <c r="T51" s="19" t="n">
        <v>-1898</v>
      </c>
      <c r="U51" s="19" t="n">
        <v>54887</v>
      </c>
      <c r="V51" s="19" t="n">
        <v>57997</v>
      </c>
      <c r="W51" s="19" t="n">
        <v>3110</v>
      </c>
      <c r="X51" s="19" t="n">
        <v>42401</v>
      </c>
      <c r="Y51" s="19" t="n">
        <v>46859</v>
      </c>
      <c r="Z51" s="19" t="n">
        <v>4458</v>
      </c>
      <c r="AA51" s="19" t="n">
        <v>41766</v>
      </c>
      <c r="AB51" s="19" t="n">
        <v>47623</v>
      </c>
      <c r="AC51" s="19" t="n">
        <v>5857</v>
      </c>
      <c r="AD51" s="19" t="n">
        <v>51133</v>
      </c>
      <c r="AE51" s="19" t="n">
        <v>52739</v>
      </c>
      <c r="AF51" s="19" t="n">
        <v>1606</v>
      </c>
      <c r="AG51" s="19" t="n">
        <v>44712</v>
      </c>
      <c r="AH51" s="19" t="n">
        <v>43557</v>
      </c>
      <c r="AI51" s="19" t="n">
        <v>-1155</v>
      </c>
      <c r="AJ51" s="19" t="n">
        <v>60910</v>
      </c>
      <c r="AK51" s="19" t="n">
        <v>61839</v>
      </c>
      <c r="AL51" s="19" t="n">
        <v>929</v>
      </c>
    </row>
  </sheetData>
  <mergeCells count="23">
    <mergeCell ref="U2:W2"/>
    <mergeCell ref="AG2:AI2"/>
    <mergeCell ref="A40:A45"/>
    <mergeCell ref="F2:H2"/>
    <mergeCell ref="B2:B3"/>
    <mergeCell ref="C2:E2"/>
    <mergeCell ref="AD2:AF2"/>
    <mergeCell ref="A1:AL1"/>
    <mergeCell ref="A16:A21"/>
    <mergeCell ref="A2:A3"/>
    <mergeCell ref="O2:Q2"/>
    <mergeCell ref="AA2:AC2"/>
    <mergeCell ref="R2:T2"/>
    <mergeCell ref="A46:A51"/>
    <mergeCell ref="L2:N2"/>
    <mergeCell ref="X2:Z2"/>
    <mergeCell ref="A22:A27"/>
    <mergeCell ref="AJ2:AL2"/>
    <mergeCell ref="I2:K2"/>
    <mergeCell ref="A4:A9"/>
    <mergeCell ref="A34:A39"/>
    <mergeCell ref="A10:A15"/>
    <mergeCell ref="A28:A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江苏美鑫食品科技有限公司现金流量表</t>
        </is>
      </c>
    </row>
    <row r="2">
      <c r="A2" s="17" t="inlineStr">
        <is>
          <t>2025年度</t>
        </is>
      </c>
      <c r="G2" t="inlineStr">
        <is>
          <t>单位：元</t>
        </is>
      </c>
    </row>
    <row r="3">
      <c r="A3" s="2" t="inlineStr">
        <is>
          <t>项目</t>
        </is>
      </c>
      <c r="B3" s="2" t="inlineStr">
        <is>
          <t>行次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全年合计</t>
        </is>
      </c>
    </row>
    <row r="4">
      <c r="A4" s="6" t="inlineStr">
        <is>
          <t>一、经营活动产生的现金流量</t>
        </is>
      </c>
    </row>
    <row r="5">
      <c r="A5" s="4" t="inlineStr">
        <is>
          <t>销售商品、提供劳务收到的现金</t>
        </is>
      </c>
      <c r="B5" s="3" t="n">
        <v>1</v>
      </c>
      <c r="C5" s="15" t="n">
        <v>2340566.89</v>
      </c>
      <c r="D5" s="15" t="n">
        <v>4279816.45</v>
      </c>
      <c r="E5" s="15" t="n">
        <v>2566737.16</v>
      </c>
      <c r="F5" s="15" t="n">
        <v>8604196.59</v>
      </c>
      <c r="G5" s="15" t="n">
        <v>17791317.09</v>
      </c>
    </row>
    <row r="6">
      <c r="A6" s="4" t="inlineStr">
        <is>
          <t>收到的税费返还</t>
        </is>
      </c>
      <c r="B6" s="3" t="n">
        <v>2</v>
      </c>
      <c r="C6" s="15" t="n">
        <v>13678554.61</v>
      </c>
      <c r="D6" s="15" t="n">
        <v>13943778.87</v>
      </c>
      <c r="E6" s="15" t="n">
        <v>10637449.62</v>
      </c>
      <c r="F6" s="15" t="n">
        <v>19802029.62</v>
      </c>
      <c r="G6" s="15" t="n">
        <v>58061812.72</v>
      </c>
    </row>
    <row r="7">
      <c r="A7" s="4" t="inlineStr">
        <is>
          <t>收到其他与经营活动有关的现金</t>
        </is>
      </c>
      <c r="B7" s="3" t="n">
        <v>3</v>
      </c>
      <c r="C7" s="15" t="n">
        <v>11050327.53</v>
      </c>
      <c r="D7" s="15" t="n">
        <v>9413531.189999999</v>
      </c>
      <c r="E7" s="15" t="n">
        <v>1431287.4</v>
      </c>
      <c r="F7" s="15" t="n">
        <v>3656564.83</v>
      </c>
      <c r="G7" s="15" t="n">
        <v>25551710.95</v>
      </c>
    </row>
    <row r="8">
      <c r="A8" s="6" t="inlineStr">
        <is>
          <t>经营活动现金流入小计</t>
        </is>
      </c>
      <c r="B8" s="3" t="n">
        <v>4</v>
      </c>
      <c r="C8" s="16" t="n">
        <v>4362319.19</v>
      </c>
      <c r="D8" s="16" t="n">
        <v>3443331.01</v>
      </c>
      <c r="E8" s="16" t="n">
        <v>1230008.12</v>
      </c>
      <c r="F8" s="16" t="n">
        <v>8031669.98</v>
      </c>
      <c r="G8" s="16" t="n">
        <v>17067328.3</v>
      </c>
    </row>
    <row r="9">
      <c r="A9" s="4" t="inlineStr">
        <is>
          <t>购买商品、接受劳务支付的现金</t>
        </is>
      </c>
      <c r="B9" s="3" t="n">
        <v>5</v>
      </c>
      <c r="C9" s="15" t="n">
        <v>-8253539.62</v>
      </c>
      <c r="D9" s="15" t="n">
        <v>-12972491.89</v>
      </c>
      <c r="E9" s="15" t="n">
        <v>-5497364.76</v>
      </c>
      <c r="F9" s="15" t="n">
        <v>-14244055.55</v>
      </c>
      <c r="G9" s="15" t="n">
        <v>-40967451.82</v>
      </c>
    </row>
    <row r="10">
      <c r="A10" s="4" t="inlineStr">
        <is>
          <t>支付给职工以及为职工支付的现金</t>
        </is>
      </c>
      <c r="B10" s="3" t="n">
        <v>6</v>
      </c>
      <c r="C10" s="15" t="n">
        <v>-5313908.73</v>
      </c>
      <c r="D10" s="15" t="n">
        <v>-9780618.16</v>
      </c>
      <c r="E10" s="15" t="n">
        <v>-1020691</v>
      </c>
      <c r="F10" s="15" t="n">
        <v>-14494535.82</v>
      </c>
      <c r="G10" s="15" t="n">
        <v>-30609753.71</v>
      </c>
    </row>
    <row r="11">
      <c r="A11" s="4" t="inlineStr">
        <is>
          <t>支付的各项税费</t>
        </is>
      </c>
      <c r="B11" s="3" t="n">
        <v>7</v>
      </c>
      <c r="C11" s="15" t="n">
        <v>-6104329.89</v>
      </c>
      <c r="D11" s="15" t="n">
        <v>-11042933.67</v>
      </c>
      <c r="E11" s="15" t="n">
        <v>-6408460.34</v>
      </c>
      <c r="F11" s="15" t="n">
        <v>-10796216.94</v>
      </c>
      <c r="G11" s="15" t="n">
        <v>-34351940.84</v>
      </c>
    </row>
    <row r="12">
      <c r="A12" s="4" t="inlineStr">
        <is>
          <t>支付其他与经营活动有关的现金</t>
        </is>
      </c>
      <c r="B12" s="3" t="n">
        <v>8</v>
      </c>
      <c r="C12" s="15" t="n">
        <v>-1628805.54</v>
      </c>
      <c r="D12" s="15" t="n">
        <v>-2293666.37</v>
      </c>
      <c r="E12" s="15" t="n">
        <v>-5407025.09</v>
      </c>
      <c r="F12" s="15" t="n">
        <v>-5840733.85</v>
      </c>
      <c r="G12" s="15" t="n">
        <v>-15170230.85</v>
      </c>
    </row>
    <row r="13">
      <c r="A13" s="6" t="inlineStr">
        <is>
          <t>经营活动现金流出小计</t>
        </is>
      </c>
      <c r="B13" s="3" t="n">
        <v>9</v>
      </c>
      <c r="C13" s="16" t="n">
        <v>9019062.65</v>
      </c>
      <c r="D13" s="16" t="n">
        <v>7061350.16</v>
      </c>
      <c r="E13" s="16" t="n">
        <v>-2535484.56</v>
      </c>
      <c r="F13" s="16" t="n">
        <v>8550443.77</v>
      </c>
      <c r="G13" s="16" t="n">
        <v>22095372.02</v>
      </c>
    </row>
    <row r="14">
      <c r="A14" s="6" t="inlineStr">
        <is>
          <t>经营活动产生的现金流量净额</t>
        </is>
      </c>
      <c r="B14" s="3" t="n">
        <v>10</v>
      </c>
      <c r="C14" s="16" t="n">
        <v>-3011175.01</v>
      </c>
      <c r="D14" s="16" t="n">
        <v>2890351.54</v>
      </c>
      <c r="E14" s="16" t="n">
        <v>5948867.39</v>
      </c>
      <c r="F14" s="16" t="n">
        <v>6077817.8</v>
      </c>
      <c r="G14" s="16" t="n">
        <v>11905861.72</v>
      </c>
    </row>
    <row r="15">
      <c r="A15" s="6" t="inlineStr">
        <is>
          <t>二、投资活动产生的现金流量</t>
        </is>
      </c>
    </row>
    <row r="16">
      <c r="A16" s="4" t="inlineStr">
        <is>
          <t>收回投资收到的现金</t>
        </is>
      </c>
      <c r="B16" s="3" t="n">
        <v>11</v>
      </c>
      <c r="C16" s="15" t="n">
        <v>5742720.71</v>
      </c>
      <c r="D16" s="15" t="n">
        <v>4573034.06</v>
      </c>
      <c r="E16" s="15" t="n">
        <v>9114405.630000001</v>
      </c>
      <c r="F16" s="15" t="n">
        <v>892985.35</v>
      </c>
      <c r="G16" s="15" t="n">
        <v>20323145.75</v>
      </c>
    </row>
    <row r="17">
      <c r="A17" s="4" t="inlineStr">
        <is>
          <t>取得投资收益收到的现金</t>
        </is>
      </c>
      <c r="B17" s="3" t="n">
        <v>12</v>
      </c>
      <c r="C17" s="15" t="n">
        <v>11257990.85</v>
      </c>
      <c r="D17" s="15" t="n">
        <v>16686756.57</v>
      </c>
      <c r="E17" s="15" t="n">
        <v>19956012.25</v>
      </c>
      <c r="F17" s="15" t="n">
        <v>2821820.37</v>
      </c>
      <c r="G17" s="15" t="n">
        <v>50722580.04</v>
      </c>
    </row>
    <row r="18">
      <c r="A18" s="4" t="inlineStr">
        <is>
          <t>处置固定资产、无形资产收到的现金净额</t>
        </is>
      </c>
      <c r="B18" s="3" t="n">
        <v>13</v>
      </c>
      <c r="C18" s="15" t="n">
        <v>8371880.07</v>
      </c>
      <c r="D18" s="15" t="n">
        <v>8781401.92</v>
      </c>
      <c r="E18" s="15" t="n">
        <v>7361734.33</v>
      </c>
      <c r="F18" s="15" t="n">
        <v>19118723.15</v>
      </c>
      <c r="G18" s="15" t="n">
        <v>43633739.47</v>
      </c>
    </row>
    <row r="19">
      <c r="A19" s="6" t="inlineStr">
        <is>
          <t>投资活动现金流入小计</t>
        </is>
      </c>
      <c r="B19" s="3" t="n">
        <v>14</v>
      </c>
      <c r="C19" s="16" t="n">
        <v>7079571</v>
      </c>
      <c r="D19" s="16" t="n">
        <v>-1726563.3</v>
      </c>
      <c r="E19" s="16" t="n">
        <v>9244264.18</v>
      </c>
      <c r="F19" s="16" t="n">
        <v>-133328.63</v>
      </c>
      <c r="G19" s="16" t="n">
        <v>14463943.25</v>
      </c>
    </row>
    <row r="20">
      <c r="A20" s="4" t="inlineStr">
        <is>
          <t>购建固定资产、无形资产支付的现金</t>
        </is>
      </c>
      <c r="B20" s="3" t="n">
        <v>15</v>
      </c>
      <c r="C20" s="15" t="n">
        <v>-10388834.66</v>
      </c>
      <c r="D20" s="15" t="n">
        <v>-1265842.33</v>
      </c>
      <c r="E20" s="15" t="n">
        <v>-4687889.34</v>
      </c>
      <c r="F20" s="15" t="n">
        <v>-10619338.19</v>
      </c>
      <c r="G20" s="15" t="n">
        <v>-26961904.52</v>
      </c>
    </row>
    <row r="21">
      <c r="A21" s="4" t="inlineStr">
        <is>
          <t>投资支付的现金</t>
        </is>
      </c>
      <c r="B21" s="3" t="n">
        <v>16</v>
      </c>
      <c r="C21" s="15" t="n">
        <v>-5753167.15</v>
      </c>
      <c r="D21" s="15" t="n">
        <v>-4307398.19</v>
      </c>
      <c r="E21" s="15" t="n">
        <v>-2097845.12</v>
      </c>
      <c r="F21" s="15" t="n">
        <v>-7426286.77</v>
      </c>
      <c r="G21" s="15" t="n">
        <v>-19584697.23</v>
      </c>
    </row>
    <row r="22">
      <c r="A22" s="6" t="inlineStr">
        <is>
          <t>投资活动现金流出小计</t>
        </is>
      </c>
      <c r="B22" s="3" t="n">
        <v>17</v>
      </c>
      <c r="C22" s="16" t="n">
        <v>1991715.54</v>
      </c>
      <c r="D22" s="16" t="n">
        <v>1830013.82</v>
      </c>
      <c r="E22" s="16" t="n">
        <v>-2554155.82</v>
      </c>
      <c r="F22" s="16" t="n">
        <v>-350037.16</v>
      </c>
      <c r="G22" s="16" t="n">
        <v>917536.38</v>
      </c>
    </row>
    <row r="23">
      <c r="A23" s="6" t="inlineStr">
        <is>
          <t>投资活动产生的现金流量净额</t>
        </is>
      </c>
      <c r="B23" s="3" t="n">
        <v>18</v>
      </c>
      <c r="C23" s="16" t="n">
        <v>1874024.23</v>
      </c>
      <c r="D23" s="16" t="n">
        <v>8082906.34</v>
      </c>
      <c r="E23" s="16" t="n">
        <v>8869712.68</v>
      </c>
      <c r="F23" s="16" t="n">
        <v>1108712.31</v>
      </c>
      <c r="G23" s="16" t="n">
        <v>19935355.56</v>
      </c>
    </row>
    <row r="24">
      <c r="A24" s="6" t="inlineStr">
        <is>
          <t>三、筹资活动产生的现金流量</t>
        </is>
      </c>
    </row>
    <row r="25">
      <c r="A25" s="4" t="inlineStr">
        <is>
          <t>吸收投资收到的现金</t>
        </is>
      </c>
      <c r="B25" s="3" t="n">
        <v>19</v>
      </c>
      <c r="C25" s="15" t="n">
        <v>811813.04</v>
      </c>
      <c r="D25" s="15" t="n">
        <v>14281417.53</v>
      </c>
      <c r="E25" s="15" t="n">
        <v>5615938.94</v>
      </c>
      <c r="F25" s="15" t="n">
        <v>7099901.44</v>
      </c>
      <c r="G25" s="15" t="n">
        <v>27809070.95</v>
      </c>
    </row>
    <row r="26">
      <c r="A26" s="4" t="inlineStr">
        <is>
          <t>取得借款收到的现金</t>
        </is>
      </c>
      <c r="B26" s="3" t="n">
        <v>20</v>
      </c>
      <c r="C26" s="15" t="n">
        <v>5342809.93</v>
      </c>
      <c r="D26" s="15" t="n">
        <v>8158285.42</v>
      </c>
      <c r="E26" s="15" t="n">
        <v>19203723.51</v>
      </c>
      <c r="F26" s="15" t="n">
        <v>18298781.09</v>
      </c>
      <c r="G26" s="15" t="n">
        <v>51003599.95</v>
      </c>
    </row>
    <row r="27">
      <c r="A27" s="6" t="inlineStr">
        <is>
          <t>筹资活动现金流入小计</t>
        </is>
      </c>
      <c r="B27" s="3" t="n">
        <v>21</v>
      </c>
      <c r="C27" s="16" t="n">
        <v>5243251.34</v>
      </c>
      <c r="D27" s="16" t="n">
        <v>1916967.14</v>
      </c>
      <c r="E27" s="16" t="n">
        <v>7926257.58</v>
      </c>
      <c r="F27" s="16" t="n">
        <v>6144248.05</v>
      </c>
      <c r="G27" s="16" t="n">
        <v>21230724.11</v>
      </c>
    </row>
    <row r="28">
      <c r="A28" s="4" t="inlineStr">
        <is>
          <t>偿还债务支付的现金</t>
        </is>
      </c>
      <c r="B28" s="3" t="n">
        <v>22</v>
      </c>
      <c r="C28" s="15" t="n">
        <v>-2201480.63</v>
      </c>
      <c r="D28" s="15" t="n">
        <v>-11350267.25</v>
      </c>
      <c r="E28" s="15" t="n">
        <v>-2517658.13</v>
      </c>
      <c r="F28" s="15" t="n">
        <v>-805029.14</v>
      </c>
      <c r="G28" s="15" t="n">
        <v>-16874435.15</v>
      </c>
    </row>
    <row r="29">
      <c r="A29" s="4" t="inlineStr">
        <is>
          <t>分配股利、利润或偿付利息支付的现金</t>
        </is>
      </c>
      <c r="B29" s="3" t="n">
        <v>23</v>
      </c>
      <c r="C29" s="15" t="n">
        <v>-11880579.96</v>
      </c>
      <c r="D29" s="15" t="n">
        <v>-14009576.28</v>
      </c>
      <c r="E29" s="15" t="n">
        <v>-14465413.85</v>
      </c>
      <c r="F29" s="15" t="n">
        <v>-15640195.82</v>
      </c>
      <c r="G29" s="15" t="n">
        <v>-55995765.91</v>
      </c>
    </row>
    <row r="30">
      <c r="A30" s="6" t="inlineStr">
        <is>
          <t>筹资活动现金流出小计</t>
        </is>
      </c>
      <c r="B30" s="3" t="n">
        <v>24</v>
      </c>
      <c r="C30" s="16" t="n">
        <v>8317305.21</v>
      </c>
      <c r="D30" s="16" t="n">
        <v>3704155.54</v>
      </c>
      <c r="E30" s="16" t="n">
        <v>-2573506.19</v>
      </c>
      <c r="F30" s="16" t="n">
        <v>4064716.45</v>
      </c>
      <c r="G30" s="16" t="n">
        <v>13512671.01</v>
      </c>
    </row>
    <row r="31">
      <c r="A31" s="6" t="inlineStr">
        <is>
          <t>筹资活动产生的现金流量净额</t>
        </is>
      </c>
      <c r="B31" s="3" t="n">
        <v>25</v>
      </c>
      <c r="C31" s="16" t="n">
        <v>854910.58</v>
      </c>
      <c r="D31" s="16" t="n">
        <v>8732726.85</v>
      </c>
      <c r="E31" s="16" t="n">
        <v>6455687.35</v>
      </c>
      <c r="F31" s="16" t="n">
        <v>8912323.73</v>
      </c>
      <c r="G31" s="16" t="n">
        <v>24955648.51</v>
      </c>
    </row>
    <row r="32">
      <c r="A32" s="4" t="inlineStr">
        <is>
          <t>四、汇率变动对现金的影响</t>
        </is>
      </c>
      <c r="B32" s="3" t="n">
        <v>26</v>
      </c>
      <c r="C32" s="15" t="n">
        <v>-416770.91</v>
      </c>
      <c r="D32" s="15" t="n">
        <v>22550.03</v>
      </c>
      <c r="E32" s="15" t="n">
        <v>349392.1</v>
      </c>
      <c r="F32" s="15" t="n">
        <v>-46360.01</v>
      </c>
      <c r="G32" s="15" t="n">
        <v>-91188.78999999999</v>
      </c>
    </row>
    <row r="33">
      <c r="A33" s="6" t="inlineStr">
        <is>
          <t>五、现金及现金等价物净增加额</t>
        </is>
      </c>
      <c r="B33" s="3" t="n">
        <v>27</v>
      </c>
      <c r="C33" s="16" t="n">
        <v>5412535.23</v>
      </c>
      <c r="D33" s="16" t="n">
        <v>-585414.97</v>
      </c>
      <c r="E33" s="16" t="n">
        <v>-861889.33</v>
      </c>
      <c r="F33" s="16" t="n">
        <v>-112066.78</v>
      </c>
      <c r="G33" s="16" t="n">
        <v>3853164.15</v>
      </c>
    </row>
    <row r="34">
      <c r="A34" s="4" t="inlineStr">
        <is>
          <t>加：期初现金及现金等价物余额</t>
        </is>
      </c>
      <c r="B34" s="3" t="n">
        <v>28</v>
      </c>
      <c r="C34" s="15" t="n">
        <v>299438.13</v>
      </c>
      <c r="D34" s="15" t="n">
        <v>-312376.69</v>
      </c>
      <c r="E34" s="15" t="n">
        <v>303462.86</v>
      </c>
      <c r="F34" s="15" t="n">
        <v>260240.69</v>
      </c>
      <c r="G34" s="15" t="n">
        <v>550764.99</v>
      </c>
    </row>
    <row r="35">
      <c r="A35" s="6" t="inlineStr">
        <is>
          <t>六、期末现金及现金等价物余额</t>
        </is>
      </c>
      <c r="B35" s="3" t="n">
        <v>29</v>
      </c>
      <c r="C35" s="16" t="n">
        <v>8264682.81</v>
      </c>
      <c r="D35" s="16" t="n">
        <v>-2881976.07</v>
      </c>
      <c r="E35" s="16" t="n">
        <v>7597567.35</v>
      </c>
      <c r="F35" s="16" t="n">
        <v>279712.93</v>
      </c>
      <c r="G35" s="16" t="n">
        <v>13259987.02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</cols>
  <sheetData>
    <row r="1">
      <c r="B1" s="2" t="inlineStr">
        <is>
          <t>华东</t>
        </is>
      </c>
      <c r="Z1" s="2" t="inlineStr">
        <is>
          <t>华北</t>
        </is>
      </c>
      <c r="AX1" s="2" t="inlineStr">
        <is>
          <t>华南</t>
        </is>
      </c>
      <c r="BV1" s="2" t="inlineStr">
        <is>
          <t>西南</t>
        </is>
      </c>
    </row>
    <row r="2">
      <c r="B2" s="2" t="inlineStr">
        <is>
          <t>Q1</t>
        </is>
      </c>
      <c r="H2" s="2" t="inlineStr">
        <is>
          <t>Q2</t>
        </is>
      </c>
      <c r="N2" s="2" t="inlineStr">
        <is>
          <t>Q3</t>
        </is>
      </c>
      <c r="T2" s="2" t="inlineStr">
        <is>
          <t>Q4</t>
        </is>
      </c>
      <c r="Z2" s="2" t="inlineStr">
        <is>
          <t>Q1</t>
        </is>
      </c>
      <c r="AF2" s="2" t="inlineStr">
        <is>
          <t>Q2</t>
        </is>
      </c>
      <c r="AL2" s="2" t="inlineStr">
        <is>
          <t>Q3</t>
        </is>
      </c>
      <c r="AR2" s="2" t="inlineStr">
        <is>
          <t>Q4</t>
        </is>
      </c>
      <c r="AX2" s="2" t="inlineStr">
        <is>
          <t>Q1</t>
        </is>
      </c>
      <c r="BD2" s="2" t="inlineStr">
        <is>
          <t>Q2</t>
        </is>
      </c>
      <c r="BJ2" s="2" t="inlineStr">
        <is>
          <t>Q3</t>
        </is>
      </c>
      <c r="BP2" s="2" t="inlineStr">
        <is>
          <t>Q4</t>
        </is>
      </c>
      <c r="BV2" s="2" t="inlineStr">
        <is>
          <t>Q1</t>
        </is>
      </c>
      <c r="CB2" s="2" t="inlineStr">
        <is>
          <t>Q2</t>
        </is>
      </c>
      <c r="CH2" s="2" t="inlineStr">
        <is>
          <t>Q3</t>
        </is>
      </c>
      <c r="CN2" s="2" t="inlineStr">
        <is>
          <t>Q4</t>
        </is>
      </c>
      <c r="CT2" s="2" t="inlineStr">
        <is>
          <t>Q1</t>
        </is>
      </c>
      <c r="CZ2" s="2" t="inlineStr">
        <is>
          <t>Q2</t>
        </is>
      </c>
      <c r="DF2" s="2" t="inlineStr">
        <is>
          <t>Q3</t>
        </is>
      </c>
    </row>
    <row r="3">
      <c r="A3" s="2" t="inlineStr">
        <is>
          <t>产品</t>
        </is>
      </c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费用</t>
        </is>
      </c>
      <c r="F3" s="2" t="inlineStr">
        <is>
          <t>净利</t>
        </is>
      </c>
      <c r="G3" s="2" t="inlineStr">
        <is>
          <t>预算</t>
        </is>
      </c>
      <c r="H3" s="2" t="inlineStr">
        <is>
          <t>收入</t>
        </is>
      </c>
      <c r="I3" s="2" t="inlineStr">
        <is>
          <t>成本</t>
        </is>
      </c>
      <c r="J3" s="2" t="inlineStr">
        <is>
          <t>毛利</t>
        </is>
      </c>
      <c r="K3" s="2" t="inlineStr">
        <is>
          <t>费用</t>
        </is>
      </c>
      <c r="L3" s="2" t="inlineStr">
        <is>
          <t>净利</t>
        </is>
      </c>
      <c r="M3" s="2" t="inlineStr">
        <is>
          <t>预算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费用</t>
        </is>
      </c>
      <c r="R3" s="2" t="inlineStr">
        <is>
          <t>净利</t>
        </is>
      </c>
      <c r="S3" s="2" t="inlineStr">
        <is>
          <t>预算</t>
        </is>
      </c>
      <c r="T3" s="2" t="inlineStr">
        <is>
          <t>收入</t>
        </is>
      </c>
      <c r="U3" s="2" t="inlineStr">
        <is>
          <t>成本</t>
        </is>
      </c>
      <c r="V3" s="2" t="inlineStr">
        <is>
          <t>毛利</t>
        </is>
      </c>
      <c r="W3" s="2" t="inlineStr">
        <is>
          <t>费用</t>
        </is>
      </c>
      <c r="X3" s="2" t="inlineStr">
        <is>
          <t>净利</t>
        </is>
      </c>
      <c r="Y3" s="2" t="inlineStr">
        <is>
          <t>预算</t>
        </is>
      </c>
      <c r="Z3" s="2" t="inlineStr">
        <is>
          <t>收入</t>
        </is>
      </c>
      <c r="AA3" s="2" t="inlineStr">
        <is>
          <t>成本</t>
        </is>
      </c>
      <c r="AB3" s="2" t="inlineStr">
        <is>
          <t>毛利</t>
        </is>
      </c>
      <c r="AC3" s="2" t="inlineStr">
        <is>
          <t>费用</t>
        </is>
      </c>
      <c r="AD3" s="2" t="inlineStr">
        <is>
          <t>净利</t>
        </is>
      </c>
      <c r="AE3" s="2" t="inlineStr">
        <is>
          <t>预算</t>
        </is>
      </c>
      <c r="AF3" s="2" t="inlineStr">
        <is>
          <t>收入</t>
        </is>
      </c>
      <c r="AG3" s="2" t="inlineStr">
        <is>
          <t>成本</t>
        </is>
      </c>
      <c r="AH3" s="2" t="inlineStr">
        <is>
          <t>毛利</t>
        </is>
      </c>
      <c r="AI3" s="2" t="inlineStr">
        <is>
          <t>费用</t>
        </is>
      </c>
      <c r="AJ3" s="2" t="inlineStr">
        <is>
          <t>净利</t>
        </is>
      </c>
      <c r="AK3" s="2" t="inlineStr">
        <is>
          <t>预算</t>
        </is>
      </c>
      <c r="AL3" s="2" t="inlineStr">
        <is>
          <t>收入</t>
        </is>
      </c>
      <c r="AM3" s="2" t="inlineStr">
        <is>
          <t>成本</t>
        </is>
      </c>
      <c r="AN3" s="2" t="inlineStr">
        <is>
          <t>毛利</t>
        </is>
      </c>
      <c r="AO3" s="2" t="inlineStr">
        <is>
          <t>费用</t>
        </is>
      </c>
      <c r="AP3" s="2" t="inlineStr">
        <is>
          <t>净利</t>
        </is>
      </c>
      <c r="AQ3" s="2" t="inlineStr">
        <is>
          <t>预算</t>
        </is>
      </c>
      <c r="AR3" s="2" t="inlineStr">
        <is>
          <t>收入</t>
        </is>
      </c>
      <c r="AS3" s="2" t="inlineStr">
        <is>
          <t>成本</t>
        </is>
      </c>
      <c r="AT3" s="2" t="inlineStr">
        <is>
          <t>毛利</t>
        </is>
      </c>
      <c r="AU3" s="2" t="inlineStr">
        <is>
          <t>费用</t>
        </is>
      </c>
      <c r="AV3" s="2" t="inlineStr">
        <is>
          <t>净利</t>
        </is>
      </c>
      <c r="AW3" s="2" t="inlineStr">
        <is>
          <t>预算</t>
        </is>
      </c>
      <c r="AX3" s="2" t="inlineStr">
        <is>
          <t>收入</t>
        </is>
      </c>
      <c r="AY3" s="2" t="inlineStr">
        <is>
          <t>成本</t>
        </is>
      </c>
      <c r="AZ3" s="2" t="inlineStr">
        <is>
          <t>毛利</t>
        </is>
      </c>
      <c r="BA3" s="2" t="inlineStr">
        <is>
          <t>费用</t>
        </is>
      </c>
      <c r="BB3" s="2" t="inlineStr">
        <is>
          <t>净利</t>
        </is>
      </c>
      <c r="BC3" s="2" t="inlineStr">
        <is>
          <t>预算</t>
        </is>
      </c>
      <c r="BD3" s="2" t="inlineStr">
        <is>
          <t>收入</t>
        </is>
      </c>
      <c r="BE3" s="2" t="inlineStr">
        <is>
          <t>成本</t>
        </is>
      </c>
      <c r="BF3" s="2" t="inlineStr">
        <is>
          <t>毛利</t>
        </is>
      </c>
      <c r="BG3" s="2" t="inlineStr">
        <is>
          <t>费用</t>
        </is>
      </c>
      <c r="BH3" s="2" t="inlineStr">
        <is>
          <t>净利</t>
        </is>
      </c>
      <c r="BI3" s="2" t="inlineStr">
        <is>
          <t>预算</t>
        </is>
      </c>
      <c r="BJ3" s="2" t="inlineStr">
        <is>
          <t>收入</t>
        </is>
      </c>
      <c r="BK3" s="2" t="inlineStr">
        <is>
          <t>成本</t>
        </is>
      </c>
      <c r="BL3" s="2" t="inlineStr">
        <is>
          <t>毛利</t>
        </is>
      </c>
      <c r="BM3" s="2" t="inlineStr">
        <is>
          <t>费用</t>
        </is>
      </c>
      <c r="BN3" s="2" t="inlineStr">
        <is>
          <t>净利</t>
        </is>
      </c>
      <c r="BO3" s="2" t="inlineStr">
        <is>
          <t>预算</t>
        </is>
      </c>
      <c r="BP3" s="2" t="inlineStr">
        <is>
          <t>收入</t>
        </is>
      </c>
      <c r="BQ3" s="2" t="inlineStr">
        <is>
          <t>成本</t>
        </is>
      </c>
      <c r="BR3" s="2" t="inlineStr">
        <is>
          <t>毛利</t>
        </is>
      </c>
      <c r="BS3" s="2" t="inlineStr">
        <is>
          <t>费用</t>
        </is>
      </c>
      <c r="BT3" s="2" t="inlineStr">
        <is>
          <t>净利</t>
        </is>
      </c>
      <c r="BU3" s="2" t="inlineStr">
        <is>
          <t>预算</t>
        </is>
      </c>
      <c r="BV3" s="2" t="inlineStr">
        <is>
          <t>收入</t>
        </is>
      </c>
      <c r="BW3" s="2" t="inlineStr">
        <is>
          <t>成本</t>
        </is>
      </c>
      <c r="BX3" s="2" t="inlineStr">
        <is>
          <t>毛利</t>
        </is>
      </c>
      <c r="BY3" s="2" t="inlineStr">
        <is>
          <t>费用</t>
        </is>
      </c>
      <c r="BZ3" s="2" t="inlineStr">
        <is>
          <t>净利</t>
        </is>
      </c>
      <c r="CA3" s="2" t="inlineStr">
        <is>
          <t>预算</t>
        </is>
      </c>
      <c r="CB3" s="2" t="inlineStr">
        <is>
          <t>收入</t>
        </is>
      </c>
      <c r="CC3" s="2" t="inlineStr">
        <is>
          <t>成本</t>
        </is>
      </c>
      <c r="CD3" s="2" t="inlineStr">
        <is>
          <t>毛利</t>
        </is>
      </c>
      <c r="CE3" s="2" t="inlineStr">
        <is>
          <t>费用</t>
        </is>
      </c>
      <c r="CF3" s="2" t="inlineStr">
        <is>
          <t>净利</t>
        </is>
      </c>
      <c r="CG3" s="2" t="inlineStr">
        <is>
          <t>预算</t>
        </is>
      </c>
      <c r="CH3" s="2" t="inlineStr">
        <is>
          <t>收入</t>
        </is>
      </c>
      <c r="CI3" s="2" t="inlineStr">
        <is>
          <t>成本</t>
        </is>
      </c>
      <c r="CJ3" s="2" t="inlineStr">
        <is>
          <t>毛利</t>
        </is>
      </c>
      <c r="CK3" s="2" t="inlineStr">
        <is>
          <t>费用</t>
        </is>
      </c>
      <c r="CL3" s="2" t="inlineStr">
        <is>
          <t>净利</t>
        </is>
      </c>
      <c r="CM3" s="2" t="inlineStr">
        <is>
          <t>预算</t>
        </is>
      </c>
      <c r="CN3" s="2" t="inlineStr">
        <is>
          <t>收入</t>
        </is>
      </c>
      <c r="CO3" s="2" t="inlineStr">
        <is>
          <t>成本</t>
        </is>
      </c>
      <c r="CP3" s="2" t="inlineStr">
        <is>
          <t>毛利</t>
        </is>
      </c>
      <c r="CQ3" s="2" t="inlineStr">
        <is>
          <t>费用</t>
        </is>
      </c>
      <c r="CR3" s="2" t="inlineStr">
        <is>
          <t>净利</t>
        </is>
      </c>
      <c r="CS3" s="2" t="inlineStr">
        <is>
          <t>预算</t>
        </is>
      </c>
      <c r="CT3" s="2" t="inlineStr">
        <is>
          <t>收入</t>
        </is>
      </c>
      <c r="CU3" s="2" t="inlineStr">
        <is>
          <t>成本</t>
        </is>
      </c>
      <c r="CV3" s="2" t="inlineStr">
        <is>
          <t>毛利</t>
        </is>
      </c>
      <c r="CW3" s="2" t="inlineStr">
        <is>
          <t>费用</t>
        </is>
      </c>
      <c r="CX3" s="2" t="inlineStr">
        <is>
          <t>净利</t>
        </is>
      </c>
      <c r="CY3" s="2" t="inlineStr">
        <is>
          <t>预算</t>
        </is>
      </c>
      <c r="CZ3" s="2" t="inlineStr">
        <is>
          <t>收入</t>
        </is>
      </c>
      <c r="DA3" s="2" t="inlineStr">
        <is>
          <t>成本</t>
        </is>
      </c>
      <c r="DB3" s="2" t="inlineStr">
        <is>
          <t>毛利</t>
        </is>
      </c>
      <c r="DC3" s="2" t="inlineStr">
        <is>
          <t>费用</t>
        </is>
      </c>
      <c r="DD3" s="2" t="inlineStr">
        <is>
          <t>净利</t>
        </is>
      </c>
      <c r="DE3" s="2" t="inlineStr">
        <is>
          <t>预算</t>
        </is>
      </c>
      <c r="DF3" s="2" t="inlineStr">
        <is>
          <t>收入</t>
        </is>
      </c>
      <c r="DG3" s="2" t="inlineStr">
        <is>
          <t>成本</t>
        </is>
      </c>
      <c r="DH3" s="2" t="inlineStr">
        <is>
          <t>毛利</t>
        </is>
      </c>
      <c r="DI3" s="2" t="inlineStr">
        <is>
          <t>费用</t>
        </is>
      </c>
      <c r="DJ3" s="2" t="inlineStr">
        <is>
          <t>净利</t>
        </is>
      </c>
      <c r="DK3" s="2" t="inlineStr">
        <is>
          <t>预算</t>
        </is>
      </c>
      <c r="DL3" s="2" t="inlineStr">
        <is>
          <t>收入</t>
        </is>
      </c>
      <c r="DM3" s="2" t="inlineStr">
        <is>
          <t>成本</t>
        </is>
      </c>
      <c r="DN3" s="2" t="inlineStr">
        <is>
          <t>毛利</t>
        </is>
      </c>
      <c r="DO3" s="2" t="inlineStr">
        <is>
          <t>费用</t>
        </is>
      </c>
      <c r="DP3" s="2" t="inlineStr">
        <is>
          <t>净利</t>
        </is>
      </c>
    </row>
    <row r="4">
      <c r="A4" s="4" t="inlineStr">
        <is>
          <t>中式汤底</t>
        </is>
      </c>
      <c r="B4" s="15" t="n">
        <v>740596.4300000001</v>
      </c>
      <c r="C4" s="15" t="n">
        <v>886659.6</v>
      </c>
      <c r="D4" s="15" t="n">
        <v>326475.05</v>
      </c>
      <c r="E4" s="15" t="n">
        <v>25065.66</v>
      </c>
      <c r="F4" s="15" t="n">
        <v>640034.49</v>
      </c>
      <c r="G4" s="15" t="n">
        <v>688460.23</v>
      </c>
      <c r="H4" s="15" t="n">
        <v>2053363.72</v>
      </c>
      <c r="I4" s="15" t="n">
        <v>1347685.19</v>
      </c>
      <c r="J4" s="15" t="n">
        <v>585864.86</v>
      </c>
      <c r="K4" s="15" t="n">
        <v>51144.64</v>
      </c>
      <c r="L4" s="15" t="n">
        <v>631583.24</v>
      </c>
      <c r="M4" s="15" t="n">
        <v>1424276.9</v>
      </c>
      <c r="N4" s="15" t="n">
        <v>606645.22</v>
      </c>
      <c r="O4" s="15" t="n">
        <v>247421.32</v>
      </c>
      <c r="P4" s="15" t="n">
        <v>184871.19</v>
      </c>
      <c r="Q4" s="15" t="n">
        <v>172434.01</v>
      </c>
      <c r="R4" s="15" t="n">
        <v>250425.12</v>
      </c>
      <c r="S4" s="15" t="n">
        <v>1075508.38</v>
      </c>
      <c r="T4" s="15" t="n">
        <v>869103.64</v>
      </c>
      <c r="U4" s="15" t="n">
        <v>1395413.96</v>
      </c>
      <c r="V4" s="15" t="n">
        <v>337608.44</v>
      </c>
      <c r="W4" s="15" t="n">
        <v>32040.36</v>
      </c>
      <c r="X4" s="15" t="n">
        <v>-79132.64999999999</v>
      </c>
      <c r="Y4" s="15" t="n">
        <v>1452658.5</v>
      </c>
      <c r="Z4" s="15" t="n">
        <v>796238.55</v>
      </c>
      <c r="AA4" s="15" t="n">
        <v>1288605.17</v>
      </c>
      <c r="AB4" s="15" t="n">
        <v>655921.13</v>
      </c>
      <c r="AC4" s="15" t="n">
        <v>20874.35</v>
      </c>
      <c r="AD4" s="15" t="n">
        <v>503580.63</v>
      </c>
      <c r="AE4" s="15" t="n">
        <v>1106971.2</v>
      </c>
      <c r="AF4" s="15" t="n">
        <v>130304.02</v>
      </c>
      <c r="AG4" s="15" t="n">
        <v>494612.46</v>
      </c>
      <c r="AH4" s="15" t="n">
        <v>59404.55</v>
      </c>
      <c r="AI4" s="15" t="n">
        <v>59232.6</v>
      </c>
      <c r="AJ4" s="15" t="n">
        <v>141768.21</v>
      </c>
      <c r="AK4" s="15" t="n">
        <v>1558391.23</v>
      </c>
      <c r="AL4" s="15" t="n">
        <v>1822342.23</v>
      </c>
      <c r="AM4" s="15" t="n">
        <v>359677.55</v>
      </c>
      <c r="AN4" s="15" t="n">
        <v>422481.13</v>
      </c>
      <c r="AO4" s="15" t="n">
        <v>192168.47</v>
      </c>
      <c r="AP4" s="15" t="n">
        <v>-94463.78999999999</v>
      </c>
      <c r="AQ4" s="15" t="n">
        <v>984708.11</v>
      </c>
      <c r="AR4" s="15" t="n">
        <v>1942002.82</v>
      </c>
      <c r="AS4" s="15" t="n">
        <v>1058856.9</v>
      </c>
      <c r="AT4" s="15" t="n">
        <v>201572.71</v>
      </c>
      <c r="AU4" s="15" t="n">
        <v>176636.52</v>
      </c>
      <c r="AV4" s="15" t="n">
        <v>-55005.08</v>
      </c>
      <c r="AW4" s="15" t="n">
        <v>1172172.27</v>
      </c>
      <c r="AX4" s="15" t="n">
        <v>1373635.21</v>
      </c>
      <c r="AY4" s="15" t="n">
        <v>444258.28</v>
      </c>
      <c r="AZ4" s="15" t="n">
        <v>411564.23</v>
      </c>
      <c r="BA4" s="15" t="n">
        <v>247759.19</v>
      </c>
      <c r="BB4" s="15" t="n">
        <v>98294.16</v>
      </c>
      <c r="BC4" s="15" t="n">
        <v>1860989.25</v>
      </c>
      <c r="BD4" s="15" t="n">
        <v>130861.86</v>
      </c>
      <c r="BE4" s="15" t="n">
        <v>980736.74</v>
      </c>
      <c r="BF4" s="15" t="n">
        <v>104933.2</v>
      </c>
      <c r="BG4" s="15" t="n">
        <v>118293.42</v>
      </c>
      <c r="BH4" s="15" t="n">
        <v>604186.2</v>
      </c>
      <c r="BI4" s="15" t="n">
        <v>1503514.18</v>
      </c>
      <c r="BJ4" s="15" t="n">
        <v>1130048.52</v>
      </c>
      <c r="BK4" s="15" t="n">
        <v>193639.12</v>
      </c>
      <c r="BL4" s="15" t="n">
        <v>192096.8</v>
      </c>
      <c r="BM4" s="15" t="n">
        <v>177422.1</v>
      </c>
      <c r="BN4" s="15" t="n">
        <v>642750.34</v>
      </c>
      <c r="BO4" s="15" t="n">
        <v>372449.29</v>
      </c>
      <c r="BP4" s="15" t="n">
        <v>2251380.53</v>
      </c>
      <c r="BQ4" s="15" t="n">
        <v>1256971.12</v>
      </c>
      <c r="BR4" s="15" t="n">
        <v>231735.02</v>
      </c>
      <c r="BS4" s="15" t="n">
        <v>56981.53</v>
      </c>
      <c r="BT4" s="15" t="n">
        <v>674487.37</v>
      </c>
      <c r="BU4" s="15" t="n">
        <v>1646722.75</v>
      </c>
      <c r="BV4" s="15" t="n">
        <v>1874882.62</v>
      </c>
      <c r="BW4" s="15" t="n">
        <v>166025.81</v>
      </c>
      <c r="BX4" s="15" t="n">
        <v>645524.37</v>
      </c>
      <c r="BY4" s="15" t="n">
        <v>212478.21</v>
      </c>
      <c r="BZ4" s="15" t="n">
        <v>217995.22</v>
      </c>
      <c r="CA4" s="15" t="n">
        <v>1077204.79</v>
      </c>
      <c r="CB4" s="15" t="n">
        <v>1162332.69</v>
      </c>
      <c r="CC4" s="15" t="n">
        <v>919541.28</v>
      </c>
      <c r="CD4" s="15" t="n">
        <v>381225.98</v>
      </c>
      <c r="CE4" s="15" t="n">
        <v>91878.46000000001</v>
      </c>
      <c r="CF4" s="15" t="n">
        <v>-19765.31</v>
      </c>
      <c r="CG4" s="15" t="n">
        <v>1905605.9</v>
      </c>
      <c r="CH4" s="15" t="n">
        <v>630048.96</v>
      </c>
      <c r="CI4" s="15" t="n">
        <v>1043450.63</v>
      </c>
      <c r="CJ4" s="15" t="n">
        <v>567176.39</v>
      </c>
      <c r="CK4" s="15" t="n">
        <v>12479.02</v>
      </c>
      <c r="CL4" s="15" t="n">
        <v>496228.17</v>
      </c>
      <c r="CM4" s="15" t="n">
        <v>1962822.18</v>
      </c>
      <c r="CN4" s="15" t="n">
        <v>1729796.56</v>
      </c>
      <c r="CO4" s="15" t="n">
        <v>1090030.03</v>
      </c>
      <c r="CP4" s="15" t="n">
        <v>893555.16</v>
      </c>
      <c r="CQ4" s="15" t="n">
        <v>149467.17</v>
      </c>
      <c r="CR4" s="15" t="n">
        <v>558284.15</v>
      </c>
      <c r="CS4" s="15" t="n">
        <v>1228888.2</v>
      </c>
      <c r="CT4" s="15" t="n">
        <v>1393080.76</v>
      </c>
      <c r="CU4" s="15" t="n">
        <v>393602.62</v>
      </c>
      <c r="CV4" s="15" t="n">
        <v>653955.4300000001</v>
      </c>
      <c r="CW4" s="15" t="n">
        <v>124590.89</v>
      </c>
      <c r="CX4" s="15" t="n">
        <v>80100</v>
      </c>
      <c r="CY4" s="15" t="n">
        <v>1783154.4</v>
      </c>
      <c r="CZ4" s="15" t="n">
        <v>754429.9</v>
      </c>
      <c r="DA4" s="15" t="n">
        <v>764364.45</v>
      </c>
      <c r="DB4" s="15" t="n">
        <v>523940.86</v>
      </c>
      <c r="DC4" s="15" t="n">
        <v>179780</v>
      </c>
      <c r="DD4" s="15" t="n">
        <v>119045</v>
      </c>
      <c r="DE4" s="15" t="n">
        <v>627955.89</v>
      </c>
      <c r="DF4" s="15" t="n">
        <v>994982.37</v>
      </c>
      <c r="DG4" s="15" t="n">
        <v>1065184.82</v>
      </c>
      <c r="DH4" s="15" t="n">
        <v>803419.03</v>
      </c>
      <c r="DI4" s="15" t="n">
        <v>77523.74000000001</v>
      </c>
      <c r="DJ4" s="15" t="n">
        <v>743851.3</v>
      </c>
      <c r="DK4" s="15" t="n">
        <v>735688.79</v>
      </c>
      <c r="DL4" s="15" t="n">
        <v>415643.04</v>
      </c>
      <c r="DM4" s="15" t="n">
        <v>1117874.69</v>
      </c>
      <c r="DN4" s="15" t="n">
        <v>575224.54</v>
      </c>
      <c r="DO4" s="15" t="n">
        <v>233191.95</v>
      </c>
      <c r="DP4" s="15" t="n">
        <v>213317.08</v>
      </c>
    </row>
    <row r="5">
      <c r="A5" s="4" t="inlineStr">
        <is>
          <t>酱料</t>
        </is>
      </c>
      <c r="B5" s="15" t="n">
        <v>102562.93</v>
      </c>
      <c r="C5" s="15" t="n">
        <v>761270.58</v>
      </c>
      <c r="D5" s="15" t="n">
        <v>941092.01</v>
      </c>
      <c r="E5" s="15" t="n">
        <v>98638.39999999999</v>
      </c>
      <c r="F5" s="15" t="n">
        <v>213370.51</v>
      </c>
      <c r="G5" s="15" t="n">
        <v>1170036.64</v>
      </c>
      <c r="H5" s="15" t="n">
        <v>1010296.11</v>
      </c>
      <c r="I5" s="15" t="n">
        <v>1307942.26</v>
      </c>
      <c r="J5" s="15" t="n">
        <v>474284.12</v>
      </c>
      <c r="K5" s="15" t="n">
        <v>220780.37</v>
      </c>
      <c r="L5" s="15" t="n">
        <v>172287.23</v>
      </c>
      <c r="M5" s="15" t="n">
        <v>328521.62</v>
      </c>
      <c r="N5" s="15" t="n">
        <v>2357390.4</v>
      </c>
      <c r="O5" s="15" t="n">
        <v>297963.07</v>
      </c>
      <c r="P5" s="15" t="n">
        <v>119552.85</v>
      </c>
      <c r="Q5" s="15" t="n">
        <v>167101.32</v>
      </c>
      <c r="R5" s="15" t="n">
        <v>36097.91</v>
      </c>
      <c r="S5" s="15" t="n">
        <v>91095.92</v>
      </c>
      <c r="T5" s="15" t="n">
        <v>365242.5</v>
      </c>
      <c r="U5" s="15" t="n">
        <v>1400513.35</v>
      </c>
      <c r="V5" s="15" t="n">
        <v>635264.16</v>
      </c>
      <c r="W5" s="15" t="n">
        <v>98841.12</v>
      </c>
      <c r="X5" s="15" t="n">
        <v>528674.33</v>
      </c>
      <c r="Y5" s="15" t="n">
        <v>1920535.35</v>
      </c>
      <c r="Z5" s="15" t="n">
        <v>347138.58</v>
      </c>
      <c r="AA5" s="15" t="n">
        <v>671081.7</v>
      </c>
      <c r="AB5" s="15" t="n">
        <v>862133.5600000001</v>
      </c>
      <c r="AC5" s="15" t="n">
        <v>9892.01</v>
      </c>
      <c r="AD5" s="15" t="n">
        <v>-90.90000000000001</v>
      </c>
      <c r="AE5" s="15" t="n">
        <v>1980124.28</v>
      </c>
      <c r="AF5" s="15" t="n">
        <v>2221070.33</v>
      </c>
      <c r="AG5" s="15" t="n">
        <v>1188282.75</v>
      </c>
      <c r="AH5" s="15" t="n">
        <v>441645.25</v>
      </c>
      <c r="AI5" s="15" t="n">
        <v>5790.8</v>
      </c>
      <c r="AJ5" s="15" t="n">
        <v>451950.11</v>
      </c>
      <c r="AK5" s="15" t="n">
        <v>1195551.85</v>
      </c>
      <c r="AL5" s="15" t="n">
        <v>2118576.51</v>
      </c>
      <c r="AM5" s="15" t="n">
        <v>35127.61</v>
      </c>
      <c r="AN5" s="15" t="n">
        <v>560189.6800000001</v>
      </c>
      <c r="AO5" s="15" t="n">
        <v>165151.72</v>
      </c>
      <c r="AP5" s="15" t="n">
        <v>-58385.16</v>
      </c>
      <c r="AQ5" s="15" t="n">
        <v>1749820.33</v>
      </c>
      <c r="AR5" s="15" t="n">
        <v>2486926.01</v>
      </c>
      <c r="AS5" s="15" t="n">
        <v>764403.39</v>
      </c>
      <c r="AT5" s="15" t="n">
        <v>412154.17</v>
      </c>
      <c r="AU5" s="15" t="n">
        <v>46181.67</v>
      </c>
      <c r="AV5" s="15" t="n">
        <v>-79495.27</v>
      </c>
      <c r="AW5" s="15" t="n">
        <v>1860970.75</v>
      </c>
      <c r="AX5" s="15" t="n">
        <v>2015552.5</v>
      </c>
      <c r="AY5" s="15" t="n">
        <v>1010458.28</v>
      </c>
      <c r="AZ5" s="15" t="n">
        <v>528643.98</v>
      </c>
      <c r="BA5" s="15" t="n">
        <v>118910.09</v>
      </c>
      <c r="BB5" s="15" t="n">
        <v>317305.37</v>
      </c>
      <c r="BC5" s="15" t="n">
        <v>1011697.32</v>
      </c>
      <c r="BD5" s="15" t="n">
        <v>171893.62</v>
      </c>
      <c r="BE5" s="15" t="n">
        <v>437969.42</v>
      </c>
      <c r="BF5" s="15" t="n">
        <v>592782.88</v>
      </c>
      <c r="BG5" s="15" t="n">
        <v>37862.26</v>
      </c>
      <c r="BH5" s="15" t="n">
        <v>227842.6</v>
      </c>
      <c r="BI5" s="15" t="n">
        <v>293706.65</v>
      </c>
      <c r="BJ5" s="15" t="n">
        <v>2399177.64</v>
      </c>
      <c r="BK5" s="15" t="n">
        <v>184616.4</v>
      </c>
      <c r="BL5" s="15" t="n">
        <v>342493.04</v>
      </c>
      <c r="BM5" s="15" t="n">
        <v>163632.49</v>
      </c>
      <c r="BN5" s="15" t="n">
        <v>556972.0600000001</v>
      </c>
      <c r="BO5" s="15" t="n">
        <v>1215800.07</v>
      </c>
      <c r="BP5" s="15" t="n">
        <v>1033018.93</v>
      </c>
      <c r="BQ5" s="15" t="n">
        <v>668000.76</v>
      </c>
      <c r="BR5" s="15" t="n">
        <v>964499.0699999999</v>
      </c>
      <c r="BS5" s="15" t="n">
        <v>115151.54</v>
      </c>
      <c r="BT5" s="15" t="n">
        <v>440378.92</v>
      </c>
      <c r="BU5" s="15" t="n">
        <v>1925039.95</v>
      </c>
      <c r="BV5" s="15" t="n">
        <v>936941.6</v>
      </c>
      <c r="BW5" s="15" t="n">
        <v>1052185.14</v>
      </c>
      <c r="BX5" s="15" t="n">
        <v>567301.4399999999</v>
      </c>
      <c r="BY5" s="15" t="n">
        <v>32456.8</v>
      </c>
      <c r="BZ5" s="15" t="n">
        <v>403915.9</v>
      </c>
      <c r="CA5" s="15" t="n">
        <v>367787.69</v>
      </c>
      <c r="CB5" s="15" t="n">
        <v>140451.15</v>
      </c>
      <c r="CC5" s="15" t="n">
        <v>1302021.42</v>
      </c>
      <c r="CD5" s="15" t="n">
        <v>902562.97</v>
      </c>
      <c r="CE5" s="15" t="n">
        <v>34430.98</v>
      </c>
      <c r="CF5" s="15" t="n">
        <v>73954.44</v>
      </c>
      <c r="CG5" s="15" t="n">
        <v>826485.6899999999</v>
      </c>
      <c r="CH5" s="15" t="n">
        <v>2145932.88</v>
      </c>
      <c r="CI5" s="15" t="n">
        <v>1102119.39</v>
      </c>
      <c r="CJ5" s="15" t="n">
        <v>573244.35</v>
      </c>
      <c r="CK5" s="15" t="n">
        <v>185939.2</v>
      </c>
      <c r="CL5" s="15" t="n">
        <v>290629.12</v>
      </c>
      <c r="CM5" s="15" t="n">
        <v>593325.8199999999</v>
      </c>
      <c r="CN5" s="15" t="n">
        <v>1350084.73</v>
      </c>
      <c r="CO5" s="15" t="n">
        <v>1015222.02</v>
      </c>
      <c r="CP5" s="15" t="n">
        <v>182960.96</v>
      </c>
      <c r="CQ5" s="15" t="n">
        <v>15996.53</v>
      </c>
      <c r="CR5" s="15" t="n">
        <v>321590.74</v>
      </c>
      <c r="CS5" s="15" t="n">
        <v>247447.67</v>
      </c>
      <c r="CT5" s="15" t="n">
        <v>1194090.2</v>
      </c>
      <c r="CU5" s="15" t="n">
        <v>420555.23</v>
      </c>
      <c r="CV5" s="15" t="n">
        <v>812368.85</v>
      </c>
      <c r="CW5" s="15" t="n">
        <v>133610.6</v>
      </c>
      <c r="CX5" s="15" t="n">
        <v>443117.85</v>
      </c>
      <c r="CY5" s="15" t="n">
        <v>410707.98</v>
      </c>
      <c r="CZ5" s="15" t="n">
        <v>1376282.73</v>
      </c>
      <c r="DA5" s="15" t="n">
        <v>839965.1899999999</v>
      </c>
      <c r="DB5" s="15" t="n">
        <v>733514.64</v>
      </c>
      <c r="DC5" s="15" t="n">
        <v>125065.77</v>
      </c>
      <c r="DD5" s="15" t="n">
        <v>322141.9</v>
      </c>
      <c r="DE5" s="15" t="n">
        <v>1038800.36</v>
      </c>
      <c r="DF5" s="15" t="n">
        <v>2362487.18</v>
      </c>
      <c r="DG5" s="15" t="n">
        <v>444764.86</v>
      </c>
      <c r="DH5" s="15" t="n">
        <v>456615.56</v>
      </c>
      <c r="DI5" s="15" t="n">
        <v>63495.73</v>
      </c>
      <c r="DJ5" s="15" t="n">
        <v>633818.9399999999</v>
      </c>
      <c r="DK5" s="15" t="n">
        <v>1243868.75</v>
      </c>
      <c r="DL5" s="15" t="n">
        <v>1576230.99</v>
      </c>
      <c r="DM5" s="15" t="n">
        <v>1026798.33</v>
      </c>
      <c r="DN5" s="15" t="n">
        <v>339761.46</v>
      </c>
      <c r="DO5" s="15" t="n">
        <v>139766.2</v>
      </c>
      <c r="DP5" s="15" t="n">
        <v>83736.13</v>
      </c>
    </row>
    <row r="6">
      <c r="A6" s="4" t="inlineStr">
        <is>
          <t>川味底料</t>
        </is>
      </c>
      <c r="B6" s="15" t="n">
        <v>626231.6</v>
      </c>
      <c r="C6" s="15" t="n">
        <v>598344.02</v>
      </c>
      <c r="D6" s="15" t="n">
        <v>582902</v>
      </c>
      <c r="E6" s="15" t="n">
        <v>120070.57</v>
      </c>
      <c r="F6" s="15" t="n">
        <v>5566.38</v>
      </c>
      <c r="G6" s="15" t="n">
        <v>727309.16</v>
      </c>
      <c r="H6" s="15" t="n">
        <v>1943902.12</v>
      </c>
      <c r="I6" s="15" t="n">
        <v>1268259.49</v>
      </c>
      <c r="J6" s="15" t="n">
        <v>615517.71</v>
      </c>
      <c r="K6" s="15" t="n">
        <v>20087.59</v>
      </c>
      <c r="L6" s="15" t="n">
        <v>222971.22</v>
      </c>
      <c r="M6" s="15" t="n">
        <v>538178.49</v>
      </c>
      <c r="N6" s="15" t="n">
        <v>1619009.47</v>
      </c>
      <c r="O6" s="15" t="n">
        <v>210940.41</v>
      </c>
      <c r="P6" s="15" t="n">
        <v>387708.4</v>
      </c>
      <c r="Q6" s="15" t="n">
        <v>125271.11</v>
      </c>
      <c r="R6" s="15" t="n">
        <v>390731.07</v>
      </c>
      <c r="S6" s="15" t="n">
        <v>1154450.69</v>
      </c>
      <c r="T6" s="15" t="n">
        <v>2407302.78</v>
      </c>
      <c r="U6" s="15" t="n">
        <v>875538.14</v>
      </c>
      <c r="V6" s="15" t="n">
        <v>218710.68</v>
      </c>
      <c r="W6" s="15" t="n">
        <v>63549</v>
      </c>
      <c r="X6" s="15" t="n">
        <v>-68064.03999999999</v>
      </c>
      <c r="Y6" s="15" t="n">
        <v>1269142.66</v>
      </c>
      <c r="Z6" s="15" t="n">
        <v>651023.4300000001</v>
      </c>
      <c r="AA6" s="15" t="n">
        <v>846016.1800000001</v>
      </c>
      <c r="AB6" s="15" t="n">
        <v>561243.27</v>
      </c>
      <c r="AC6" s="15" t="n">
        <v>14703.36</v>
      </c>
      <c r="AD6" s="15" t="n">
        <v>445184.99</v>
      </c>
      <c r="AE6" s="15" t="n">
        <v>1079524</v>
      </c>
      <c r="AF6" s="15" t="n">
        <v>1313219</v>
      </c>
      <c r="AG6" s="15" t="n">
        <v>1114924.25</v>
      </c>
      <c r="AH6" s="15" t="n">
        <v>785098.03</v>
      </c>
      <c r="AI6" s="15" t="n">
        <v>96608.21000000001</v>
      </c>
      <c r="AJ6" s="15" t="n">
        <v>100108.47</v>
      </c>
      <c r="AK6" s="15" t="n">
        <v>1692481.21</v>
      </c>
      <c r="AL6" s="15" t="n">
        <v>485943.25</v>
      </c>
      <c r="AM6" s="15" t="n">
        <v>1043632.53</v>
      </c>
      <c r="AN6" s="15" t="n">
        <v>62730.65</v>
      </c>
      <c r="AO6" s="15" t="n">
        <v>151564.61</v>
      </c>
      <c r="AP6" s="15" t="n">
        <v>135250.93</v>
      </c>
      <c r="AQ6" s="15" t="n">
        <v>1115766.75</v>
      </c>
      <c r="AR6" s="15" t="n">
        <v>1252851.24</v>
      </c>
      <c r="AS6" s="15" t="n">
        <v>735680.1</v>
      </c>
      <c r="AT6" s="15" t="n">
        <v>132651.19</v>
      </c>
      <c r="AU6" s="15" t="n">
        <v>50642.66</v>
      </c>
      <c r="AV6" s="15" t="n">
        <v>33997.06</v>
      </c>
      <c r="AW6" s="15" t="n">
        <v>1198144.96</v>
      </c>
      <c r="AX6" s="15" t="n">
        <v>1677910.66</v>
      </c>
      <c r="AY6" s="15" t="n">
        <v>319542.76</v>
      </c>
      <c r="AZ6" s="15" t="n">
        <v>748548.51</v>
      </c>
      <c r="BA6" s="15" t="n">
        <v>34944.02</v>
      </c>
      <c r="BB6" s="15" t="n">
        <v>96144.53</v>
      </c>
      <c r="BC6" s="15" t="n">
        <v>1948166.82</v>
      </c>
      <c r="BD6" s="15" t="n">
        <v>2011576.71</v>
      </c>
      <c r="BE6" s="15" t="n">
        <v>232044</v>
      </c>
      <c r="BF6" s="15" t="n">
        <v>228818.02</v>
      </c>
      <c r="BG6" s="15" t="n">
        <v>112921.57</v>
      </c>
      <c r="BH6" s="15" t="n">
        <v>291076.54</v>
      </c>
      <c r="BI6" s="15" t="n">
        <v>885742.86</v>
      </c>
      <c r="BJ6" s="15" t="n">
        <v>2268880.35</v>
      </c>
      <c r="BK6" s="15" t="n">
        <v>41870.08</v>
      </c>
      <c r="BL6" s="15" t="n">
        <v>251852.13</v>
      </c>
      <c r="BM6" s="15" t="n">
        <v>164500.55</v>
      </c>
      <c r="BN6" s="15" t="n">
        <v>482811.08</v>
      </c>
      <c r="BO6" s="15" t="n">
        <v>1629787.64</v>
      </c>
      <c r="BP6" s="15" t="n">
        <v>1126473.85</v>
      </c>
      <c r="BQ6" s="15" t="n">
        <v>1259651.74</v>
      </c>
      <c r="BR6" s="15" t="n">
        <v>647728.53</v>
      </c>
      <c r="BS6" s="15" t="n">
        <v>18592.83</v>
      </c>
      <c r="BT6" s="15" t="n">
        <v>176808.26</v>
      </c>
      <c r="BU6" s="15" t="n">
        <v>985416.83</v>
      </c>
      <c r="BV6" s="15" t="n">
        <v>1667408.5</v>
      </c>
      <c r="BW6" s="15" t="n">
        <v>1095412.7</v>
      </c>
      <c r="BX6" s="15" t="n">
        <v>783164.95</v>
      </c>
      <c r="BY6" s="15" t="n">
        <v>142823.26</v>
      </c>
      <c r="BZ6" s="15" t="n">
        <v>289878.12</v>
      </c>
      <c r="CA6" s="15" t="n">
        <v>439526.41</v>
      </c>
      <c r="CB6" s="15" t="n">
        <v>2290839.35</v>
      </c>
      <c r="CC6" s="15" t="n">
        <v>1013896.47</v>
      </c>
      <c r="CD6" s="15" t="n">
        <v>219566.08</v>
      </c>
      <c r="CE6" s="15" t="n">
        <v>161981.07</v>
      </c>
      <c r="CF6" s="15" t="n">
        <v>75436.47</v>
      </c>
      <c r="CG6" s="15" t="n">
        <v>525364.75</v>
      </c>
      <c r="CH6" s="15" t="n">
        <v>2316231.5</v>
      </c>
      <c r="CI6" s="15" t="n">
        <v>142442.38</v>
      </c>
      <c r="CJ6" s="15" t="n">
        <v>693034.8</v>
      </c>
      <c r="CK6" s="15" t="n">
        <v>126263.66</v>
      </c>
      <c r="CL6" s="15" t="n">
        <v>-73091.03999999999</v>
      </c>
      <c r="CM6" s="15" t="n">
        <v>1191716.56</v>
      </c>
      <c r="CN6" s="15" t="n">
        <v>2254832.37</v>
      </c>
      <c r="CO6" s="15" t="n">
        <v>705358.0699999999</v>
      </c>
      <c r="CP6" s="15" t="n">
        <v>59662.19</v>
      </c>
      <c r="CQ6" s="15" t="n">
        <v>71560.11</v>
      </c>
      <c r="CR6" s="15" t="n">
        <v>-70556.48</v>
      </c>
      <c r="CS6" s="15" t="n">
        <v>1582946.63</v>
      </c>
      <c r="CT6" s="15" t="n">
        <v>982311</v>
      </c>
      <c r="CU6" s="15" t="n">
        <v>1061689.34</v>
      </c>
      <c r="CV6" s="15" t="n">
        <v>379428.27</v>
      </c>
      <c r="CW6" s="15" t="n">
        <v>162694.76</v>
      </c>
      <c r="CX6" s="15" t="n">
        <v>743039.62</v>
      </c>
      <c r="CY6" s="15" t="n">
        <v>405448.48</v>
      </c>
      <c r="CZ6" s="15" t="n">
        <v>1548937.73</v>
      </c>
      <c r="DA6" s="15" t="n">
        <v>319706.33</v>
      </c>
      <c r="DB6" s="15" t="n">
        <v>580851.73</v>
      </c>
      <c r="DC6" s="15" t="n">
        <v>104699.48</v>
      </c>
      <c r="DD6" s="15" t="n">
        <v>220932.31</v>
      </c>
      <c r="DE6" s="15" t="n">
        <v>1660495.94</v>
      </c>
      <c r="DF6" s="15" t="n">
        <v>1178499.11</v>
      </c>
      <c r="DG6" s="15" t="n">
        <v>37002.86</v>
      </c>
      <c r="DH6" s="15" t="n">
        <v>525645.66</v>
      </c>
      <c r="DI6" s="15" t="n">
        <v>82278.72</v>
      </c>
      <c r="DJ6" s="15" t="n">
        <v>-85913.2</v>
      </c>
      <c r="DK6" s="15" t="n">
        <v>1162354.9</v>
      </c>
      <c r="DL6" s="15" t="n">
        <v>717076.46</v>
      </c>
      <c r="DM6" s="15" t="n">
        <v>1167795.77</v>
      </c>
      <c r="DN6" s="15" t="n">
        <v>583417.62</v>
      </c>
      <c r="DO6" s="15" t="n">
        <v>229388.05</v>
      </c>
      <c r="DP6" s="15" t="n">
        <v>126119.09</v>
      </c>
    </row>
    <row r="7">
      <c r="A7" s="4" t="inlineStr">
        <is>
          <t>调味汁</t>
        </is>
      </c>
      <c r="B7" s="15" t="n">
        <v>310080.06</v>
      </c>
      <c r="C7" s="15" t="n">
        <v>1185198.59</v>
      </c>
      <c r="D7" s="15" t="n">
        <v>76784.3</v>
      </c>
      <c r="E7" s="15" t="n">
        <v>78461.28</v>
      </c>
      <c r="F7" s="15" t="n">
        <v>629391.34</v>
      </c>
      <c r="G7" s="15" t="n">
        <v>1567862.75</v>
      </c>
      <c r="H7" s="15" t="n">
        <v>1502861.26</v>
      </c>
      <c r="I7" s="15" t="n">
        <v>412850.55</v>
      </c>
      <c r="J7" s="15" t="n">
        <v>201021.88</v>
      </c>
      <c r="K7" s="15" t="n">
        <v>73209.25</v>
      </c>
      <c r="L7" s="15" t="n">
        <v>396855.86</v>
      </c>
      <c r="M7" s="15" t="n">
        <v>264874.9</v>
      </c>
      <c r="N7" s="15" t="n">
        <v>2396423.99</v>
      </c>
      <c r="O7" s="15" t="n">
        <v>187002.2</v>
      </c>
      <c r="P7" s="15" t="n">
        <v>529325.78</v>
      </c>
      <c r="Q7" s="15" t="n">
        <v>22395.88</v>
      </c>
      <c r="R7" s="15" t="n">
        <v>363842.88</v>
      </c>
      <c r="S7" s="15" t="n">
        <v>1295134.24</v>
      </c>
      <c r="T7" s="15" t="n">
        <v>1068364.39</v>
      </c>
      <c r="U7" s="15" t="n">
        <v>1343666.12</v>
      </c>
      <c r="V7" s="15" t="n">
        <v>626227.24</v>
      </c>
      <c r="W7" s="15" t="n">
        <v>32837.96</v>
      </c>
      <c r="X7" s="15" t="n">
        <v>715477.4300000001</v>
      </c>
      <c r="Y7" s="15" t="n">
        <v>1534815.23</v>
      </c>
      <c r="Z7" s="15" t="n">
        <v>2163516.3</v>
      </c>
      <c r="AA7" s="15" t="n">
        <v>891748.77</v>
      </c>
      <c r="AB7" s="15" t="n">
        <v>376013.82</v>
      </c>
      <c r="AC7" s="15" t="n">
        <v>242927</v>
      </c>
      <c r="AD7" s="15" t="n">
        <v>172815.59</v>
      </c>
      <c r="AE7" s="15" t="n">
        <v>1076191.97</v>
      </c>
      <c r="AF7" s="15" t="n">
        <v>2001607.76</v>
      </c>
      <c r="AG7" s="15" t="n">
        <v>1334976.25</v>
      </c>
      <c r="AH7" s="15" t="n">
        <v>86788.25999999999</v>
      </c>
      <c r="AI7" s="15" t="n">
        <v>26842.37</v>
      </c>
      <c r="AJ7" s="15" t="n">
        <v>509143.63</v>
      </c>
      <c r="AK7" s="15" t="n">
        <v>113664.1</v>
      </c>
      <c r="AL7" s="15" t="n">
        <v>512197.79</v>
      </c>
      <c r="AM7" s="15" t="n">
        <v>703341.6800000001</v>
      </c>
      <c r="AN7" s="15" t="n">
        <v>401665.38</v>
      </c>
      <c r="AO7" s="15" t="n">
        <v>162541.29</v>
      </c>
      <c r="AP7" s="15" t="n">
        <v>640052.05</v>
      </c>
      <c r="AQ7" s="15" t="n">
        <v>1680747.53</v>
      </c>
      <c r="AR7" s="15" t="n">
        <v>751416.26</v>
      </c>
      <c r="AS7" s="15" t="n">
        <v>1401541.07</v>
      </c>
      <c r="AT7" s="15" t="n">
        <v>690244.96</v>
      </c>
      <c r="AU7" s="15" t="n">
        <v>99165.33</v>
      </c>
      <c r="AV7" s="15" t="n">
        <v>156604.75</v>
      </c>
      <c r="AW7" s="15" t="n">
        <v>1883982.64</v>
      </c>
      <c r="AX7" s="15" t="n">
        <v>2276049.13</v>
      </c>
      <c r="AY7" s="15" t="n">
        <v>447233.55</v>
      </c>
      <c r="AZ7" s="15" t="n">
        <v>989251.3</v>
      </c>
      <c r="BA7" s="15" t="n">
        <v>5795.39</v>
      </c>
      <c r="BB7" s="15" t="n">
        <v>51188.4</v>
      </c>
      <c r="BC7" s="15" t="n">
        <v>281943.63</v>
      </c>
      <c r="BD7" s="15" t="n">
        <v>614761.4399999999</v>
      </c>
      <c r="BE7" s="15" t="n">
        <v>1072301.71</v>
      </c>
      <c r="BF7" s="15" t="n">
        <v>795116.24</v>
      </c>
      <c r="BG7" s="15" t="n">
        <v>157630.96</v>
      </c>
      <c r="BH7" s="15" t="n">
        <v>491401.57</v>
      </c>
      <c r="BI7" s="15" t="n">
        <v>322408.61</v>
      </c>
      <c r="BJ7" s="15" t="n">
        <v>662398.5</v>
      </c>
      <c r="BK7" s="15" t="n">
        <v>448201.46</v>
      </c>
      <c r="BL7" s="15" t="n">
        <v>495289.51</v>
      </c>
      <c r="BM7" s="15" t="n">
        <v>215723.64</v>
      </c>
      <c r="BN7" s="15" t="n">
        <v>538136.84</v>
      </c>
      <c r="BO7" s="15" t="n">
        <v>522395.34</v>
      </c>
      <c r="BP7" s="15" t="n">
        <v>773004.4</v>
      </c>
      <c r="BQ7" s="15" t="n">
        <v>436006.41</v>
      </c>
      <c r="BR7" s="15" t="n">
        <v>389194.64</v>
      </c>
      <c r="BS7" s="15" t="n">
        <v>20204.44</v>
      </c>
      <c r="BT7" s="15" t="n">
        <v>708928.8</v>
      </c>
      <c r="BU7" s="15" t="n">
        <v>1263476.12</v>
      </c>
      <c r="BV7" s="15" t="n">
        <v>884276.1899999999</v>
      </c>
      <c r="BW7" s="15" t="n">
        <v>1391488.4</v>
      </c>
      <c r="BX7" s="15" t="n">
        <v>477561.58</v>
      </c>
      <c r="BY7" s="15" t="n">
        <v>17148.9</v>
      </c>
      <c r="BZ7" s="15" t="n">
        <v>462692.46</v>
      </c>
      <c r="CA7" s="15" t="n">
        <v>857556.34</v>
      </c>
      <c r="CB7" s="15" t="n">
        <v>2000460.38</v>
      </c>
      <c r="CC7" s="15" t="n">
        <v>397257.96</v>
      </c>
      <c r="CD7" s="15" t="n">
        <v>574973.64</v>
      </c>
      <c r="CE7" s="15" t="n">
        <v>214042.09</v>
      </c>
      <c r="CF7" s="15" t="n">
        <v>-34557.02</v>
      </c>
      <c r="CG7" s="15" t="n">
        <v>905333.89</v>
      </c>
      <c r="CH7" s="15" t="n">
        <v>2488270.99</v>
      </c>
      <c r="CI7" s="15" t="n">
        <v>555481.46</v>
      </c>
      <c r="CJ7" s="15" t="n">
        <v>397271.08</v>
      </c>
      <c r="CK7" s="15" t="n">
        <v>87637.77</v>
      </c>
      <c r="CL7" s="15" t="n">
        <v>-36625.17</v>
      </c>
      <c r="CM7" s="15" t="n">
        <v>1279517.44</v>
      </c>
      <c r="CN7" s="15" t="n">
        <v>1858441.27</v>
      </c>
      <c r="CO7" s="15" t="n">
        <v>1118112.74</v>
      </c>
      <c r="CP7" s="15" t="n">
        <v>10450.52</v>
      </c>
      <c r="CQ7" s="15" t="n">
        <v>46761.96</v>
      </c>
      <c r="CR7" s="15" t="n">
        <v>147405.41</v>
      </c>
      <c r="CS7" s="15" t="n">
        <v>249120.36</v>
      </c>
      <c r="CT7" s="15" t="n">
        <v>877987.03</v>
      </c>
      <c r="CU7" s="15" t="n">
        <v>129041.27</v>
      </c>
      <c r="CV7" s="15" t="n">
        <v>519449.38</v>
      </c>
      <c r="CW7" s="15" t="n">
        <v>226834.28</v>
      </c>
      <c r="CX7" s="15" t="n">
        <v>186819.71</v>
      </c>
      <c r="CY7" s="15" t="n">
        <v>536061.98</v>
      </c>
      <c r="CZ7" s="15" t="n">
        <v>2083502.66</v>
      </c>
      <c r="DA7" s="15" t="n">
        <v>807308.9300000001</v>
      </c>
      <c r="DB7" s="15" t="n">
        <v>954726.63</v>
      </c>
      <c r="DC7" s="15" t="n">
        <v>87265.14</v>
      </c>
      <c r="DD7" s="15" t="n">
        <v>3569.45</v>
      </c>
      <c r="DE7" s="15" t="n">
        <v>467930.57</v>
      </c>
      <c r="DF7" s="15" t="n">
        <v>532794.1899999999</v>
      </c>
      <c r="DG7" s="15" t="n">
        <v>606336.65</v>
      </c>
      <c r="DH7" s="15" t="n">
        <v>733511.05</v>
      </c>
      <c r="DI7" s="15" t="n">
        <v>8021.59</v>
      </c>
      <c r="DJ7" s="15" t="n">
        <v>340205.31</v>
      </c>
      <c r="DK7" s="15" t="n">
        <v>1961826.86</v>
      </c>
      <c r="DL7" s="15" t="n">
        <v>1513341.57</v>
      </c>
      <c r="DM7" s="15" t="n">
        <v>1383904.23</v>
      </c>
      <c r="DN7" s="15" t="n">
        <v>335451.78</v>
      </c>
      <c r="DO7" s="15" t="n">
        <v>110618.15</v>
      </c>
      <c r="DP7" s="15" t="n">
        <v>545165.1800000001</v>
      </c>
    </row>
    <row r="8">
      <c r="A8" s="4" t="inlineStr">
        <is>
          <t>复合调味粉</t>
        </is>
      </c>
      <c r="B8" s="15" t="n">
        <v>832761.45</v>
      </c>
      <c r="C8" s="15" t="n">
        <v>201362.06</v>
      </c>
      <c r="D8" s="15" t="n">
        <v>650329.04</v>
      </c>
      <c r="E8" s="15" t="n">
        <v>29231.46</v>
      </c>
      <c r="F8" s="15" t="n">
        <v>217228.78</v>
      </c>
      <c r="G8" s="15" t="n">
        <v>967950.17</v>
      </c>
      <c r="H8" s="15" t="n">
        <v>467566.76</v>
      </c>
      <c r="I8" s="15" t="n">
        <v>117530.41</v>
      </c>
      <c r="J8" s="15" t="n">
        <v>335901.41</v>
      </c>
      <c r="K8" s="15" t="n">
        <v>185742.49</v>
      </c>
      <c r="L8" s="15" t="n">
        <v>158415.08</v>
      </c>
      <c r="M8" s="15" t="n">
        <v>389431.67</v>
      </c>
      <c r="N8" s="15" t="n">
        <v>259828.67</v>
      </c>
      <c r="O8" s="15" t="n">
        <v>889797.61</v>
      </c>
      <c r="P8" s="15" t="n">
        <v>124981.79</v>
      </c>
      <c r="Q8" s="15" t="n">
        <v>172965.56</v>
      </c>
      <c r="R8" s="15" t="n">
        <v>452848.38</v>
      </c>
      <c r="S8" s="15" t="n">
        <v>353663.48</v>
      </c>
      <c r="T8" s="15" t="n">
        <v>1478097.23</v>
      </c>
      <c r="U8" s="15" t="n">
        <v>923178.28</v>
      </c>
      <c r="V8" s="15" t="n">
        <v>508739.4</v>
      </c>
      <c r="W8" s="15" t="n">
        <v>76097.33</v>
      </c>
      <c r="X8" s="15" t="n">
        <v>141607.15</v>
      </c>
      <c r="Y8" s="15" t="n">
        <v>1512116.11</v>
      </c>
      <c r="Z8" s="15" t="n">
        <v>580177.8199999999</v>
      </c>
      <c r="AA8" s="15" t="n">
        <v>784447.23</v>
      </c>
      <c r="AB8" s="15" t="n">
        <v>368198.85</v>
      </c>
      <c r="AC8" s="15" t="n">
        <v>177301.73</v>
      </c>
      <c r="AD8" s="15" t="n">
        <v>666088.42</v>
      </c>
      <c r="AE8" s="15" t="n">
        <v>1178918.56</v>
      </c>
      <c r="AF8" s="15" t="n">
        <v>1472195.01</v>
      </c>
      <c r="AG8" s="15" t="n">
        <v>448229.36</v>
      </c>
      <c r="AH8" s="15" t="n">
        <v>176724.36</v>
      </c>
      <c r="AI8" s="15" t="n">
        <v>83754.62</v>
      </c>
      <c r="AJ8" s="15" t="n">
        <v>-95136.66</v>
      </c>
      <c r="AK8" s="15" t="n">
        <v>276584.33</v>
      </c>
      <c r="AL8" s="15" t="n">
        <v>447610.37</v>
      </c>
      <c r="AM8" s="15" t="n">
        <v>1074585.51</v>
      </c>
      <c r="AN8" s="15" t="n">
        <v>116991.91</v>
      </c>
      <c r="AO8" s="15" t="n">
        <v>78982.84</v>
      </c>
      <c r="AP8" s="15" t="n">
        <v>-63485.29</v>
      </c>
      <c r="AQ8" s="15" t="n">
        <v>141216.61</v>
      </c>
      <c r="AR8" s="15" t="n">
        <v>2260319.71</v>
      </c>
      <c r="AS8" s="15" t="n">
        <v>980505.11</v>
      </c>
      <c r="AT8" s="15" t="n">
        <v>704822.48</v>
      </c>
      <c r="AU8" s="15" t="n">
        <v>111780.75</v>
      </c>
      <c r="AV8" s="15" t="n">
        <v>732738.76</v>
      </c>
      <c r="AW8" s="15" t="n">
        <v>1046439.94</v>
      </c>
      <c r="AX8" s="15" t="n">
        <v>1325401.33</v>
      </c>
      <c r="AY8" s="15" t="n">
        <v>622770.99</v>
      </c>
      <c r="AZ8" s="15" t="n">
        <v>627998.9</v>
      </c>
      <c r="BA8" s="15" t="n">
        <v>138220.99</v>
      </c>
      <c r="BB8" s="15" t="n">
        <v>487376.95</v>
      </c>
      <c r="BC8" s="15" t="n">
        <v>327876.05</v>
      </c>
      <c r="BD8" s="15" t="n">
        <v>507213.53</v>
      </c>
      <c r="BE8" s="15" t="n">
        <v>1204956.18</v>
      </c>
      <c r="BF8" s="15" t="n">
        <v>133378.01</v>
      </c>
      <c r="BG8" s="15" t="n">
        <v>167208.21</v>
      </c>
      <c r="BH8" s="15" t="n">
        <v>288502.81</v>
      </c>
      <c r="BI8" s="15" t="n">
        <v>1349328.54</v>
      </c>
      <c r="BJ8" s="15" t="n">
        <v>2376088.17</v>
      </c>
      <c r="BK8" s="15" t="n">
        <v>1428920.07</v>
      </c>
      <c r="BL8" s="15" t="n">
        <v>914009.47</v>
      </c>
      <c r="BM8" s="15" t="n">
        <v>81481.94</v>
      </c>
      <c r="BN8" s="15" t="n">
        <v>132144.07</v>
      </c>
      <c r="BO8" s="15" t="n">
        <v>1292958.14</v>
      </c>
      <c r="BP8" s="15" t="n">
        <v>353197.52</v>
      </c>
      <c r="BQ8" s="15" t="n">
        <v>1366022.08</v>
      </c>
      <c r="BR8" s="15" t="n">
        <v>320221.27</v>
      </c>
      <c r="BS8" s="15" t="n">
        <v>199994.7</v>
      </c>
      <c r="BT8" s="15" t="n">
        <v>511424.6</v>
      </c>
      <c r="BU8" s="15" t="n">
        <v>1137103.04</v>
      </c>
      <c r="BV8" s="15" t="n">
        <v>112319.22</v>
      </c>
      <c r="BW8" s="15" t="n">
        <v>169801.73</v>
      </c>
      <c r="BX8" s="15" t="n">
        <v>198781.22</v>
      </c>
      <c r="BY8" s="15" t="n">
        <v>131758.68</v>
      </c>
      <c r="BZ8" s="15" t="n">
        <v>650268.63</v>
      </c>
      <c r="CA8" s="15" t="n">
        <v>466747.47</v>
      </c>
      <c r="CB8" s="15" t="n">
        <v>930294.61</v>
      </c>
      <c r="CC8" s="15" t="n">
        <v>1248367.37</v>
      </c>
      <c r="CD8" s="15" t="n">
        <v>538284.04</v>
      </c>
      <c r="CE8" s="15" t="n">
        <v>46852.22</v>
      </c>
      <c r="CF8" s="15" t="n">
        <v>719947.71</v>
      </c>
      <c r="CG8" s="15" t="n">
        <v>608046.66</v>
      </c>
      <c r="CH8" s="15" t="n">
        <v>1380703.6</v>
      </c>
      <c r="CI8" s="15" t="n">
        <v>1403106.67</v>
      </c>
      <c r="CJ8" s="15" t="n">
        <v>973117.5</v>
      </c>
      <c r="CK8" s="15" t="n">
        <v>183180.18</v>
      </c>
      <c r="CL8" s="15" t="n">
        <v>25418.75</v>
      </c>
      <c r="CM8" s="15" t="n">
        <v>1463994.21</v>
      </c>
      <c r="CN8" s="15" t="n">
        <v>1850201.45</v>
      </c>
      <c r="CO8" s="15" t="n">
        <v>400143.05</v>
      </c>
      <c r="CP8" s="15" t="n">
        <v>182413.82</v>
      </c>
      <c r="CQ8" s="15" t="n">
        <v>101301.09</v>
      </c>
      <c r="CR8" s="15" t="n">
        <v>608586.2</v>
      </c>
      <c r="CS8" s="15" t="n">
        <v>1274274.53</v>
      </c>
      <c r="CT8" s="15" t="n">
        <v>2497726.52</v>
      </c>
      <c r="CU8" s="15" t="n">
        <v>262404.64</v>
      </c>
      <c r="CV8" s="15" t="n">
        <v>995041.14</v>
      </c>
      <c r="CW8" s="15" t="n">
        <v>81718.00999999999</v>
      </c>
      <c r="CX8" s="15" t="n">
        <v>696699.6800000001</v>
      </c>
      <c r="CY8" s="15" t="n">
        <v>1936349.23</v>
      </c>
      <c r="CZ8" s="15" t="n">
        <v>2208815.06</v>
      </c>
      <c r="DA8" s="15" t="n">
        <v>263621.2</v>
      </c>
      <c r="DB8" s="15" t="n">
        <v>541527.38</v>
      </c>
      <c r="DC8" s="15" t="n">
        <v>113047.8</v>
      </c>
      <c r="DD8" s="15" t="n">
        <v>-66548.62</v>
      </c>
      <c r="DE8" s="15" t="n">
        <v>918449.55</v>
      </c>
      <c r="DF8" s="15" t="n">
        <v>992919.64</v>
      </c>
      <c r="DG8" s="15" t="n">
        <v>487077.06</v>
      </c>
      <c r="DH8" s="15" t="n">
        <v>143269.4</v>
      </c>
      <c r="DI8" s="15" t="n">
        <v>230085.21</v>
      </c>
      <c r="DJ8" s="15" t="n">
        <v>68217.58</v>
      </c>
      <c r="DK8" s="15" t="n">
        <v>1985996.39</v>
      </c>
      <c r="DL8" s="15" t="n">
        <v>2337455.71</v>
      </c>
      <c r="DM8" s="15" t="n">
        <v>1001195.18</v>
      </c>
      <c r="DN8" s="15" t="n">
        <v>753781.4</v>
      </c>
      <c r="DO8" s="15" t="n">
        <v>125905.86</v>
      </c>
      <c r="DP8" s="15" t="n">
        <v>500167.33</v>
      </c>
    </row>
    <row r="9">
      <c r="A9" s="4" t="inlineStr">
        <is>
          <t>团餐</t>
        </is>
      </c>
      <c r="B9" s="15" t="n">
        <v>2254439.12</v>
      </c>
      <c r="C9" s="15" t="n">
        <v>1071242.58</v>
      </c>
      <c r="D9" s="15" t="n">
        <v>910855.48</v>
      </c>
      <c r="E9" s="15" t="n">
        <v>79084.06</v>
      </c>
      <c r="F9" s="15" t="n">
        <v>725639.9300000001</v>
      </c>
      <c r="G9" s="15" t="n">
        <v>1413568.03</v>
      </c>
      <c r="H9" s="15" t="n">
        <v>2244440.94</v>
      </c>
      <c r="I9" s="15" t="n">
        <v>763833.91</v>
      </c>
      <c r="J9" s="15" t="n">
        <v>864625.49</v>
      </c>
      <c r="K9" s="15" t="n">
        <v>23384.5</v>
      </c>
      <c r="L9" s="15" t="n">
        <v>281498.12</v>
      </c>
      <c r="M9" s="15" t="n">
        <v>702560.96</v>
      </c>
      <c r="N9" s="15" t="n">
        <v>1994054.69</v>
      </c>
      <c r="O9" s="15" t="n">
        <v>1268971.49</v>
      </c>
      <c r="P9" s="15" t="n">
        <v>61241.44</v>
      </c>
      <c r="Q9" s="15" t="n">
        <v>64069.98</v>
      </c>
      <c r="R9" s="15" t="n">
        <v>85863.49000000001</v>
      </c>
      <c r="S9" s="15" t="n">
        <v>110159.29</v>
      </c>
      <c r="T9" s="15" t="n">
        <v>1988875.21</v>
      </c>
      <c r="U9" s="15" t="n">
        <v>1286076.1</v>
      </c>
      <c r="V9" s="15" t="n">
        <v>28483.34</v>
      </c>
      <c r="W9" s="15" t="n">
        <v>169937.49</v>
      </c>
      <c r="X9" s="15" t="n">
        <v>583311.89</v>
      </c>
      <c r="Y9" s="15" t="n">
        <v>1212759.42</v>
      </c>
      <c r="Z9" s="15" t="n">
        <v>2164212.21</v>
      </c>
      <c r="AA9" s="15" t="n">
        <v>1450797.78</v>
      </c>
      <c r="AB9" s="15" t="n">
        <v>153194.47</v>
      </c>
      <c r="AC9" s="15" t="n">
        <v>200578.31</v>
      </c>
      <c r="AD9" s="15" t="n">
        <v>583677.88</v>
      </c>
      <c r="AE9" s="15" t="n">
        <v>309635.57</v>
      </c>
      <c r="AF9" s="15" t="n">
        <v>727447.8100000001</v>
      </c>
      <c r="AG9" s="15" t="n">
        <v>665423.05</v>
      </c>
      <c r="AH9" s="15" t="n">
        <v>296446.29</v>
      </c>
      <c r="AI9" s="15" t="n">
        <v>20859.21</v>
      </c>
      <c r="AJ9" s="15" t="n">
        <v>533200.1899999999</v>
      </c>
      <c r="AK9" s="15" t="n">
        <v>1346195.87</v>
      </c>
      <c r="AL9" s="15" t="n">
        <v>1353031.35</v>
      </c>
      <c r="AM9" s="15" t="n">
        <v>1016240.46</v>
      </c>
      <c r="AN9" s="15" t="n">
        <v>597592.53</v>
      </c>
      <c r="AO9" s="15" t="n">
        <v>123922.05</v>
      </c>
      <c r="AP9" s="15" t="n">
        <v>617402.73</v>
      </c>
      <c r="AQ9" s="15" t="n">
        <v>1514813.25</v>
      </c>
      <c r="AR9" s="15" t="n">
        <v>2386081.1</v>
      </c>
      <c r="AS9" s="15" t="n">
        <v>1073078.88</v>
      </c>
      <c r="AT9" s="15" t="n">
        <v>241594.21</v>
      </c>
      <c r="AU9" s="15" t="n">
        <v>139972.45</v>
      </c>
      <c r="AV9" s="15" t="n">
        <v>494418.63</v>
      </c>
      <c r="AW9" s="15" t="n">
        <v>470279.67</v>
      </c>
      <c r="AX9" s="15" t="n">
        <v>1661032.55</v>
      </c>
      <c r="AY9" s="15" t="n">
        <v>1213258.66</v>
      </c>
      <c r="AZ9" s="15" t="n">
        <v>177566.89</v>
      </c>
      <c r="BA9" s="15" t="n">
        <v>232336.89</v>
      </c>
      <c r="BB9" s="15" t="n">
        <v>390074.45</v>
      </c>
      <c r="BC9" s="15" t="n">
        <v>1819357.89</v>
      </c>
      <c r="BD9" s="15" t="n">
        <v>1637855.29</v>
      </c>
      <c r="BE9" s="15" t="n">
        <v>1456262.13</v>
      </c>
      <c r="BF9" s="15" t="n">
        <v>630292.74</v>
      </c>
      <c r="BG9" s="15" t="n">
        <v>195381.24</v>
      </c>
      <c r="BH9" s="15" t="n">
        <v>290507</v>
      </c>
      <c r="BI9" s="15" t="n">
        <v>1315783.51</v>
      </c>
      <c r="BJ9" s="15" t="n">
        <v>1314133.47</v>
      </c>
      <c r="BK9" s="15" t="n">
        <v>732812.96</v>
      </c>
      <c r="BL9" s="15" t="n">
        <v>983960.9</v>
      </c>
      <c r="BM9" s="15" t="n">
        <v>230060.46</v>
      </c>
      <c r="BN9" s="15" t="n">
        <v>133067.63</v>
      </c>
      <c r="BO9" s="15" t="n">
        <v>1315398.46</v>
      </c>
      <c r="BP9" s="15" t="n">
        <v>619010.36</v>
      </c>
      <c r="BQ9" s="15" t="n">
        <v>1358567.05</v>
      </c>
      <c r="BR9" s="15" t="n">
        <v>462042.18</v>
      </c>
      <c r="BS9" s="15" t="n">
        <v>164357.49</v>
      </c>
      <c r="BT9" s="15" t="n">
        <v>-32787.75</v>
      </c>
      <c r="BU9" s="15" t="n">
        <v>1243824.22</v>
      </c>
      <c r="BV9" s="15" t="n">
        <v>949678.53</v>
      </c>
      <c r="BW9" s="15" t="n">
        <v>375839.06</v>
      </c>
      <c r="BX9" s="15" t="n">
        <v>822412.46</v>
      </c>
      <c r="BY9" s="15" t="n">
        <v>182739.53</v>
      </c>
      <c r="BZ9" s="15" t="n">
        <v>479438.33</v>
      </c>
      <c r="CA9" s="15" t="n">
        <v>1202614.78</v>
      </c>
      <c r="CB9" s="15" t="n">
        <v>1702432.17</v>
      </c>
      <c r="CC9" s="15" t="n">
        <v>986676.98</v>
      </c>
      <c r="CD9" s="15" t="n">
        <v>325561</v>
      </c>
      <c r="CE9" s="15" t="n">
        <v>81553.05</v>
      </c>
      <c r="CF9" s="15" t="n">
        <v>297442.38</v>
      </c>
      <c r="CG9" s="15" t="n">
        <v>151775.62</v>
      </c>
      <c r="CH9" s="15" t="n">
        <v>66749.53999999999</v>
      </c>
      <c r="CI9" s="15" t="n">
        <v>719845.92</v>
      </c>
      <c r="CJ9" s="15" t="n">
        <v>856127.0600000001</v>
      </c>
      <c r="CK9" s="15" t="n">
        <v>165583.14</v>
      </c>
      <c r="CL9" s="15" t="n">
        <v>321275.49</v>
      </c>
      <c r="CM9" s="15" t="n">
        <v>774914.25</v>
      </c>
      <c r="CN9" s="15" t="n">
        <v>1821874.93</v>
      </c>
      <c r="CO9" s="15" t="n">
        <v>840820.5699999999</v>
      </c>
      <c r="CP9" s="15" t="n">
        <v>776583.34</v>
      </c>
      <c r="CQ9" s="15" t="n">
        <v>77895.59</v>
      </c>
      <c r="CR9" s="15" t="n">
        <v>140169.73</v>
      </c>
      <c r="CS9" s="15" t="n">
        <v>1172622.6</v>
      </c>
      <c r="CT9" s="15" t="n">
        <v>1549292.12</v>
      </c>
      <c r="CU9" s="15" t="n">
        <v>1372026.76</v>
      </c>
      <c r="CV9" s="15" t="n">
        <v>205841.57</v>
      </c>
      <c r="CW9" s="15" t="n">
        <v>89893.25999999999</v>
      </c>
      <c r="CX9" s="15" t="n">
        <v>221202.07</v>
      </c>
      <c r="CY9" s="15" t="n">
        <v>855651.27</v>
      </c>
      <c r="CZ9" s="15" t="n">
        <v>2397569.78</v>
      </c>
      <c r="DA9" s="15" t="n">
        <v>214111.27</v>
      </c>
      <c r="DB9" s="15" t="n">
        <v>79985.78999999999</v>
      </c>
      <c r="DC9" s="15" t="n">
        <v>138974.34</v>
      </c>
      <c r="DD9" s="15" t="n">
        <v>-90237.96000000001</v>
      </c>
      <c r="DE9" s="15" t="n">
        <v>677695.86</v>
      </c>
      <c r="DF9" s="15" t="n">
        <v>1468062.43</v>
      </c>
      <c r="DG9" s="15" t="n">
        <v>137250.19</v>
      </c>
      <c r="DH9" s="15" t="n">
        <v>783330.9300000001</v>
      </c>
      <c r="DI9" s="15" t="n">
        <v>68015.17</v>
      </c>
      <c r="DJ9" s="15" t="n">
        <v>137552.59</v>
      </c>
      <c r="DK9" s="15" t="n">
        <v>743631.46</v>
      </c>
      <c r="DL9" s="15" t="n">
        <v>1883218.78</v>
      </c>
      <c r="DM9" s="15" t="n">
        <v>269438.52</v>
      </c>
      <c r="DN9" s="15" t="n">
        <v>377079.43</v>
      </c>
      <c r="DO9" s="15" t="n">
        <v>86538.67</v>
      </c>
      <c r="DP9" s="15" t="n">
        <v>-14301.62</v>
      </c>
    </row>
    <row r="10">
      <c r="A10" s="4" t="inlineStr">
        <is>
          <t>预制菜</t>
        </is>
      </c>
      <c r="B10" s="15" t="n">
        <v>2051972.66</v>
      </c>
      <c r="C10" s="15" t="n">
        <v>1241967.58</v>
      </c>
      <c r="D10" s="15" t="n">
        <v>710902.21</v>
      </c>
      <c r="E10" s="15" t="n">
        <v>186911.52</v>
      </c>
      <c r="F10" s="15" t="n">
        <v>420483.63</v>
      </c>
      <c r="G10" s="15" t="n">
        <v>727996.77</v>
      </c>
      <c r="H10" s="15" t="n">
        <v>285855.18</v>
      </c>
      <c r="I10" s="15" t="n">
        <v>637801.67</v>
      </c>
      <c r="J10" s="15" t="n">
        <v>662852.7</v>
      </c>
      <c r="K10" s="15" t="n">
        <v>91824.88</v>
      </c>
      <c r="L10" s="15" t="n">
        <v>682611.13</v>
      </c>
      <c r="M10" s="15" t="n">
        <v>1419838.71</v>
      </c>
      <c r="N10" s="15" t="n">
        <v>2295991.28</v>
      </c>
      <c r="O10" s="15" t="n">
        <v>68087.24000000001</v>
      </c>
      <c r="P10" s="15" t="n">
        <v>416613.81</v>
      </c>
      <c r="Q10" s="15" t="n">
        <v>80612.5</v>
      </c>
      <c r="R10" s="15" t="n">
        <v>-8833.549999999999</v>
      </c>
      <c r="S10" s="15" t="n">
        <v>491569.33</v>
      </c>
      <c r="T10" s="15" t="n">
        <v>2158377.67</v>
      </c>
      <c r="U10" s="15" t="n">
        <v>1399590.07</v>
      </c>
      <c r="V10" s="15" t="n">
        <v>237084.62</v>
      </c>
      <c r="W10" s="15" t="n">
        <v>190295.91</v>
      </c>
      <c r="X10" s="15" t="n">
        <v>524014.43</v>
      </c>
      <c r="Y10" s="15" t="n">
        <v>59240.19</v>
      </c>
      <c r="Z10" s="15" t="n">
        <v>2141080.08</v>
      </c>
      <c r="AA10" s="15" t="n">
        <v>1108942.78</v>
      </c>
      <c r="AB10" s="15" t="n">
        <v>259290.74</v>
      </c>
      <c r="AC10" s="15" t="n">
        <v>125352.9</v>
      </c>
      <c r="AD10" s="15" t="n">
        <v>322133.42</v>
      </c>
      <c r="AE10" s="15" t="n">
        <v>1846294.86</v>
      </c>
      <c r="AF10" s="15" t="n">
        <v>398788.2</v>
      </c>
      <c r="AG10" s="15" t="n">
        <v>378769.1</v>
      </c>
      <c r="AH10" s="15" t="n">
        <v>142965.11</v>
      </c>
      <c r="AI10" s="15" t="n">
        <v>217212.29</v>
      </c>
      <c r="AJ10" s="15" t="n">
        <v>313834.77</v>
      </c>
      <c r="AK10" s="15" t="n">
        <v>1024563.29</v>
      </c>
      <c r="AL10" s="15" t="n">
        <v>2034110.06</v>
      </c>
      <c r="AM10" s="15" t="n">
        <v>1306511.51</v>
      </c>
      <c r="AN10" s="15" t="n">
        <v>958210.4399999999</v>
      </c>
      <c r="AO10" s="15" t="n">
        <v>248296.49</v>
      </c>
      <c r="AP10" s="15" t="n">
        <v>68913.73</v>
      </c>
      <c r="AQ10" s="15" t="n">
        <v>1913454.47</v>
      </c>
      <c r="AR10" s="15" t="n">
        <v>1712152.79</v>
      </c>
      <c r="AS10" s="15" t="n">
        <v>348224.6</v>
      </c>
      <c r="AT10" s="15" t="n">
        <v>827281.1</v>
      </c>
      <c r="AU10" s="15" t="n">
        <v>32449.03</v>
      </c>
      <c r="AV10" s="15" t="n">
        <v>338561.31</v>
      </c>
      <c r="AW10" s="15" t="n">
        <v>905042.7</v>
      </c>
      <c r="AX10" s="15" t="n">
        <v>2222765.32</v>
      </c>
      <c r="AY10" s="15" t="n">
        <v>1313608.89</v>
      </c>
      <c r="AZ10" s="15" t="n">
        <v>817847.61</v>
      </c>
      <c r="BA10" s="15" t="n">
        <v>165191.08</v>
      </c>
      <c r="BB10" s="15" t="n">
        <v>384672.33</v>
      </c>
      <c r="BC10" s="15" t="n">
        <v>490916.46</v>
      </c>
      <c r="BD10" s="15" t="n">
        <v>2364108.22</v>
      </c>
      <c r="BE10" s="15" t="n">
        <v>481594.94</v>
      </c>
      <c r="BF10" s="15" t="n">
        <v>448689.09</v>
      </c>
      <c r="BG10" s="15" t="n">
        <v>172087.65</v>
      </c>
      <c r="BH10" s="15" t="n">
        <v>536758.24</v>
      </c>
      <c r="BI10" s="15" t="n">
        <v>1759558.84</v>
      </c>
      <c r="BJ10" s="15" t="n">
        <v>2387833.49</v>
      </c>
      <c r="BK10" s="15" t="n">
        <v>206407.69</v>
      </c>
      <c r="BL10" s="15" t="n">
        <v>904126.36</v>
      </c>
      <c r="BM10" s="15" t="n">
        <v>113102.77</v>
      </c>
      <c r="BN10" s="15" t="n">
        <v>169597.7</v>
      </c>
      <c r="BO10" s="15" t="n">
        <v>1179434.58</v>
      </c>
      <c r="BP10" s="15" t="n">
        <v>648212.36</v>
      </c>
      <c r="BQ10" s="15" t="n">
        <v>1289244.94</v>
      </c>
      <c r="BR10" s="15" t="n">
        <v>892236.3</v>
      </c>
      <c r="BS10" s="15" t="n">
        <v>58277.08</v>
      </c>
      <c r="BT10" s="15" t="n">
        <v>-25472.4</v>
      </c>
      <c r="BU10" s="15" t="n">
        <v>1228398.05</v>
      </c>
      <c r="BV10" s="15" t="n">
        <v>2387229.9</v>
      </c>
      <c r="BW10" s="15" t="n">
        <v>380750.13</v>
      </c>
      <c r="BX10" s="15" t="n">
        <v>988144.48</v>
      </c>
      <c r="BY10" s="15" t="n">
        <v>224928.08</v>
      </c>
      <c r="BZ10" s="15" t="n">
        <v>746864.86</v>
      </c>
      <c r="CA10" s="15" t="n">
        <v>1027582.45</v>
      </c>
      <c r="CB10" s="15" t="n">
        <v>446836.11</v>
      </c>
      <c r="CC10" s="15" t="n">
        <v>383884.58</v>
      </c>
      <c r="CD10" s="15" t="n">
        <v>818247.16</v>
      </c>
      <c r="CE10" s="15" t="n">
        <v>184340.81</v>
      </c>
      <c r="CF10" s="15" t="n">
        <v>184179.87</v>
      </c>
      <c r="CG10" s="15" t="n">
        <v>1943320.83</v>
      </c>
      <c r="CH10" s="15" t="n">
        <v>2227119.34</v>
      </c>
      <c r="CI10" s="15" t="n">
        <v>1019798.22</v>
      </c>
      <c r="CJ10" s="15" t="n">
        <v>36083.47</v>
      </c>
      <c r="CK10" s="15" t="n">
        <v>62544.72</v>
      </c>
      <c r="CL10" s="15" t="n">
        <v>688612.33</v>
      </c>
      <c r="CM10" s="15" t="n">
        <v>227228.58</v>
      </c>
      <c r="CN10" s="15" t="n">
        <v>2012857.92</v>
      </c>
      <c r="CO10" s="15" t="n">
        <v>387877.72</v>
      </c>
      <c r="CP10" s="15" t="n">
        <v>423306.91</v>
      </c>
      <c r="CQ10" s="15" t="n">
        <v>139049.7</v>
      </c>
      <c r="CR10" s="15" t="n">
        <v>216389.58</v>
      </c>
      <c r="CS10" s="15" t="n">
        <v>221651.89</v>
      </c>
      <c r="CT10" s="15" t="n">
        <v>141714.6</v>
      </c>
      <c r="CU10" s="15" t="n">
        <v>95462.61</v>
      </c>
      <c r="CV10" s="15" t="n">
        <v>77045.06</v>
      </c>
      <c r="CW10" s="15" t="n">
        <v>42501.15</v>
      </c>
      <c r="CX10" s="15" t="n">
        <v>-35567.68</v>
      </c>
      <c r="CY10" s="15" t="n">
        <v>535541.1</v>
      </c>
      <c r="CZ10" s="15" t="n">
        <v>1382734.74</v>
      </c>
      <c r="DA10" s="15" t="n">
        <v>688176.86</v>
      </c>
      <c r="DB10" s="15" t="n">
        <v>143368.81</v>
      </c>
      <c r="DC10" s="15" t="n">
        <v>69138.71000000001</v>
      </c>
      <c r="DD10" s="15" t="n">
        <v>259258.2</v>
      </c>
      <c r="DE10" s="15" t="n">
        <v>872239.25</v>
      </c>
      <c r="DF10" s="15" t="n">
        <v>1397874.35</v>
      </c>
      <c r="DG10" s="15" t="n">
        <v>813449.5</v>
      </c>
      <c r="DH10" s="15" t="n">
        <v>645114.1899999999</v>
      </c>
      <c r="DI10" s="15" t="n">
        <v>159922.29</v>
      </c>
      <c r="DJ10" s="15" t="n">
        <v>56159.25</v>
      </c>
      <c r="DK10" s="15" t="n">
        <v>165892.5</v>
      </c>
      <c r="DL10" s="15" t="n">
        <v>1441286.42</v>
      </c>
      <c r="DM10" s="15" t="n">
        <v>873695.22</v>
      </c>
      <c r="DN10" s="15" t="n">
        <v>863260.21</v>
      </c>
      <c r="DO10" s="15" t="n">
        <v>214238.9</v>
      </c>
      <c r="DP10" s="15" t="n">
        <v>78180.78</v>
      </c>
    </row>
    <row r="11">
      <c r="A11" s="4" t="inlineStr">
        <is>
          <t>其他产品A</t>
        </is>
      </c>
      <c r="B11" s="15" t="n">
        <v>364480.02</v>
      </c>
      <c r="C11" s="15" t="n">
        <v>60281.79</v>
      </c>
      <c r="D11" s="15" t="n">
        <v>195830.83</v>
      </c>
      <c r="E11" s="15" t="n">
        <v>81290.02</v>
      </c>
      <c r="F11" s="15" t="n">
        <v>321239.22</v>
      </c>
      <c r="G11" s="15" t="n">
        <v>457568.5</v>
      </c>
      <c r="H11" s="15" t="n">
        <v>552080.42</v>
      </c>
      <c r="I11" s="15" t="n">
        <v>478989.98</v>
      </c>
      <c r="J11" s="15" t="n">
        <v>113428.77</v>
      </c>
      <c r="K11" s="15" t="n">
        <v>105782.82</v>
      </c>
      <c r="L11" s="15" t="n">
        <v>-43608.14</v>
      </c>
      <c r="M11" s="15" t="n">
        <v>128169.57</v>
      </c>
      <c r="N11" s="15" t="n">
        <v>100986.19</v>
      </c>
      <c r="O11" s="15" t="n">
        <v>1269879.55</v>
      </c>
      <c r="P11" s="15" t="n">
        <v>11924.85</v>
      </c>
      <c r="Q11" s="15" t="n">
        <v>7936.8</v>
      </c>
      <c r="R11" s="15" t="n">
        <v>148451.56</v>
      </c>
      <c r="S11" s="15" t="n">
        <v>430584.26</v>
      </c>
      <c r="T11" s="15" t="n">
        <v>624311.63</v>
      </c>
      <c r="U11" s="15" t="n">
        <v>568588.75</v>
      </c>
      <c r="V11" s="15" t="n">
        <v>960442.5</v>
      </c>
      <c r="W11" s="15" t="n">
        <v>116527.67</v>
      </c>
      <c r="X11" s="15" t="n">
        <v>157942.25</v>
      </c>
      <c r="Y11" s="15" t="n">
        <v>132757.24</v>
      </c>
      <c r="Z11" s="15" t="n">
        <v>1207277.89</v>
      </c>
      <c r="AA11" s="15" t="n">
        <v>1464384.1</v>
      </c>
      <c r="AB11" s="15" t="n">
        <v>155273.8</v>
      </c>
      <c r="AC11" s="15" t="n">
        <v>171835.15</v>
      </c>
      <c r="AD11" s="15" t="n">
        <v>477162.97</v>
      </c>
      <c r="AE11" s="15" t="n">
        <v>1209720.19</v>
      </c>
      <c r="AF11" s="15" t="n">
        <v>925484.74</v>
      </c>
      <c r="AG11" s="15" t="n">
        <v>1139880.22</v>
      </c>
      <c r="AH11" s="15" t="n">
        <v>995571.9300000001</v>
      </c>
      <c r="AI11" s="15" t="n">
        <v>118741.96</v>
      </c>
      <c r="AJ11" s="15" t="n">
        <v>458396.11</v>
      </c>
      <c r="AK11" s="15" t="n">
        <v>998677.8</v>
      </c>
      <c r="AL11" s="15" t="n">
        <v>1997531.7</v>
      </c>
      <c r="AM11" s="15" t="n">
        <v>142830.09</v>
      </c>
      <c r="AN11" s="15" t="n">
        <v>527507.27</v>
      </c>
      <c r="AO11" s="15" t="n">
        <v>192246.81</v>
      </c>
      <c r="AP11" s="15" t="n">
        <v>657538.96</v>
      </c>
      <c r="AQ11" s="15" t="n">
        <v>1136232.45</v>
      </c>
      <c r="AR11" s="15" t="n">
        <v>1476034.16</v>
      </c>
      <c r="AS11" s="15" t="n">
        <v>760321.16</v>
      </c>
      <c r="AT11" s="15" t="n">
        <v>558188.62</v>
      </c>
      <c r="AU11" s="15" t="n">
        <v>213003.14</v>
      </c>
      <c r="AV11" s="15" t="n">
        <v>285861.95</v>
      </c>
      <c r="AW11" s="15" t="n">
        <v>870097.88</v>
      </c>
      <c r="AX11" s="15" t="n">
        <v>1852097.38</v>
      </c>
      <c r="AY11" s="15" t="n">
        <v>1379202.31</v>
      </c>
      <c r="AZ11" s="15" t="n">
        <v>866120.53</v>
      </c>
      <c r="BA11" s="15" t="n">
        <v>58345.71</v>
      </c>
      <c r="BB11" s="15" t="n">
        <v>308325.54</v>
      </c>
      <c r="BC11" s="15" t="n">
        <v>1326312.28</v>
      </c>
      <c r="BD11" s="15" t="n">
        <v>365542.08</v>
      </c>
      <c r="BE11" s="15" t="n">
        <v>343232.22</v>
      </c>
      <c r="BF11" s="15" t="n">
        <v>541674.35</v>
      </c>
      <c r="BG11" s="15" t="n">
        <v>135592.62</v>
      </c>
      <c r="BH11" s="15" t="n">
        <v>387696.62</v>
      </c>
      <c r="BI11" s="15" t="n">
        <v>1244859.26</v>
      </c>
      <c r="BJ11" s="15" t="n">
        <v>1625896.48</v>
      </c>
      <c r="BK11" s="15" t="n">
        <v>1205825.58</v>
      </c>
      <c r="BL11" s="15" t="n">
        <v>51302.55</v>
      </c>
      <c r="BM11" s="15" t="n">
        <v>129136.32</v>
      </c>
      <c r="BN11" s="15" t="n">
        <v>91100.97</v>
      </c>
      <c r="BO11" s="15" t="n">
        <v>578825.0600000001</v>
      </c>
      <c r="BP11" s="15" t="n">
        <v>336427.25</v>
      </c>
      <c r="BQ11" s="15" t="n">
        <v>401781.63</v>
      </c>
      <c r="BR11" s="15" t="n">
        <v>348166.76</v>
      </c>
      <c r="BS11" s="15" t="n">
        <v>127816.39</v>
      </c>
      <c r="BT11" s="15" t="n">
        <v>689983.8100000001</v>
      </c>
      <c r="BU11" s="15" t="n">
        <v>1624636.12</v>
      </c>
      <c r="BV11" s="15" t="n">
        <v>257011.12</v>
      </c>
      <c r="BW11" s="15" t="n">
        <v>1112720.47</v>
      </c>
      <c r="BX11" s="15" t="n">
        <v>461682.53</v>
      </c>
      <c r="BY11" s="15" t="n">
        <v>182426.95</v>
      </c>
      <c r="BZ11" s="15" t="n">
        <v>138466.95</v>
      </c>
      <c r="CA11" s="15" t="n">
        <v>1095559.84</v>
      </c>
      <c r="CB11" s="15" t="n">
        <v>2252129.45</v>
      </c>
      <c r="CC11" s="15" t="n">
        <v>75012.97</v>
      </c>
      <c r="CD11" s="15" t="n">
        <v>962221.99</v>
      </c>
      <c r="CE11" s="15" t="n">
        <v>146791.04</v>
      </c>
      <c r="CF11" s="15" t="n">
        <v>242328.77</v>
      </c>
      <c r="CG11" s="15" t="n">
        <v>650928.9</v>
      </c>
      <c r="CH11" s="15" t="n">
        <v>1709472.69</v>
      </c>
      <c r="CI11" s="15" t="n">
        <v>394523.34</v>
      </c>
      <c r="CJ11" s="15" t="n">
        <v>637344.8</v>
      </c>
      <c r="CK11" s="15" t="n">
        <v>31201.13</v>
      </c>
      <c r="CL11" s="15" t="n">
        <v>644916.86</v>
      </c>
      <c r="CM11" s="15" t="n">
        <v>1617521.33</v>
      </c>
      <c r="CN11" s="15" t="n">
        <v>1299496.99</v>
      </c>
      <c r="CO11" s="15" t="n">
        <v>941130.14</v>
      </c>
      <c r="CP11" s="15" t="n">
        <v>908100.9399999999</v>
      </c>
      <c r="CQ11" s="15" t="n">
        <v>30980.55</v>
      </c>
      <c r="CR11" s="15" t="n">
        <v>736790.49</v>
      </c>
      <c r="CS11" s="15" t="n">
        <v>1289617.73</v>
      </c>
      <c r="CT11" s="15" t="n">
        <v>634143.64</v>
      </c>
      <c r="CU11" s="15" t="n">
        <v>605207.5</v>
      </c>
      <c r="CV11" s="15" t="n">
        <v>148807.03</v>
      </c>
      <c r="CW11" s="15" t="n">
        <v>93615.78999999999</v>
      </c>
      <c r="CX11" s="15" t="n">
        <v>137088.52</v>
      </c>
      <c r="CY11" s="15" t="n">
        <v>639106.24</v>
      </c>
      <c r="CZ11" s="15" t="n">
        <v>518473.02</v>
      </c>
      <c r="DA11" s="15" t="n">
        <v>376241.25</v>
      </c>
      <c r="DB11" s="15" t="n">
        <v>190873.27</v>
      </c>
      <c r="DC11" s="15" t="n">
        <v>24881.8</v>
      </c>
      <c r="DD11" s="15" t="n">
        <v>379009.69</v>
      </c>
      <c r="DE11" s="15" t="n">
        <v>533258.54</v>
      </c>
      <c r="DF11" s="15" t="n">
        <v>2360730.56</v>
      </c>
      <c r="DG11" s="15" t="n">
        <v>365018.56</v>
      </c>
      <c r="DH11" s="15" t="n">
        <v>320873.29</v>
      </c>
      <c r="DI11" s="15" t="n">
        <v>108016.76</v>
      </c>
      <c r="DJ11" s="15" t="n">
        <v>287673.62</v>
      </c>
      <c r="DK11" s="15" t="n">
        <v>314934.17</v>
      </c>
      <c r="DL11" s="15" t="n">
        <v>183629.66</v>
      </c>
      <c r="DM11" s="15" t="n">
        <v>718343.42</v>
      </c>
      <c r="DN11" s="15" t="n">
        <v>638538.61</v>
      </c>
      <c r="DO11" s="15" t="n">
        <v>193093.42</v>
      </c>
      <c r="DP11" s="15" t="n">
        <v>67636.85000000001</v>
      </c>
    </row>
    <row r="12">
      <c r="A12" s="4" t="inlineStr">
        <is>
          <t>其他产品B</t>
        </is>
      </c>
      <c r="B12" s="15" t="n">
        <v>1419359.15</v>
      </c>
      <c r="C12" s="15" t="n">
        <v>440284.33</v>
      </c>
      <c r="D12" s="15" t="n">
        <v>64618.12</v>
      </c>
      <c r="E12" s="15" t="n">
        <v>224355.15</v>
      </c>
      <c r="F12" s="15" t="n">
        <v>205185.16</v>
      </c>
      <c r="G12" s="15" t="n">
        <v>1311806.54</v>
      </c>
      <c r="H12" s="15" t="n">
        <v>1811521.74</v>
      </c>
      <c r="I12" s="15" t="n">
        <v>1140969.59</v>
      </c>
      <c r="J12" s="15" t="n">
        <v>677032</v>
      </c>
      <c r="K12" s="15" t="n">
        <v>70410.12</v>
      </c>
      <c r="L12" s="15" t="n">
        <v>696424.4399999999</v>
      </c>
      <c r="M12" s="15" t="n">
        <v>1704861.75</v>
      </c>
      <c r="N12" s="15" t="n">
        <v>1152930.19</v>
      </c>
      <c r="O12" s="15" t="n">
        <v>1410424.92</v>
      </c>
      <c r="P12" s="15" t="n">
        <v>520987.1</v>
      </c>
      <c r="Q12" s="15" t="n">
        <v>150402.96</v>
      </c>
      <c r="R12" s="15" t="n">
        <v>251202.76</v>
      </c>
      <c r="S12" s="15" t="n">
        <v>957248.8199999999</v>
      </c>
      <c r="T12" s="15" t="n">
        <v>2420830.59</v>
      </c>
      <c r="U12" s="15" t="n">
        <v>1315555.16</v>
      </c>
      <c r="V12" s="15" t="n">
        <v>542666.16</v>
      </c>
      <c r="W12" s="15" t="n">
        <v>201610.94</v>
      </c>
      <c r="X12" s="15" t="n">
        <v>688059.35</v>
      </c>
      <c r="Y12" s="15" t="n">
        <v>362895.19</v>
      </c>
      <c r="Z12" s="15" t="n">
        <v>1803727.86</v>
      </c>
      <c r="AA12" s="15" t="n">
        <v>1102979.65</v>
      </c>
      <c r="AB12" s="15" t="n">
        <v>975205.02</v>
      </c>
      <c r="AC12" s="15" t="n">
        <v>200768.99</v>
      </c>
      <c r="AD12" s="15" t="n">
        <v>547943.11</v>
      </c>
      <c r="AE12" s="15" t="n">
        <v>101315.86</v>
      </c>
      <c r="AF12" s="15" t="n">
        <v>144812.98</v>
      </c>
      <c r="AG12" s="15" t="n">
        <v>1176050.23</v>
      </c>
      <c r="AH12" s="15" t="n">
        <v>682344.96</v>
      </c>
      <c r="AI12" s="15" t="n">
        <v>7241.47</v>
      </c>
      <c r="AJ12" s="15" t="n">
        <v>135647.04</v>
      </c>
      <c r="AK12" s="15" t="n">
        <v>1547295.86</v>
      </c>
      <c r="AL12" s="15" t="n">
        <v>1565448.37</v>
      </c>
      <c r="AM12" s="15" t="n">
        <v>756900.25</v>
      </c>
      <c r="AN12" s="15" t="n">
        <v>970203.37</v>
      </c>
      <c r="AO12" s="15" t="n">
        <v>246855.85</v>
      </c>
      <c r="AP12" s="15" t="n">
        <v>564947.47</v>
      </c>
      <c r="AQ12" s="15" t="n">
        <v>618288.52</v>
      </c>
      <c r="AR12" s="15" t="n">
        <v>308842.53</v>
      </c>
      <c r="AS12" s="15" t="n">
        <v>682081.85</v>
      </c>
      <c r="AT12" s="15" t="n">
        <v>671979.86</v>
      </c>
      <c r="AU12" s="15" t="n">
        <v>136666.64</v>
      </c>
      <c r="AV12" s="15" t="n">
        <v>-86719.49000000001</v>
      </c>
      <c r="AW12" s="15" t="n">
        <v>1889427.98</v>
      </c>
      <c r="AX12" s="15" t="n">
        <v>282206.98</v>
      </c>
      <c r="AY12" s="15" t="n">
        <v>1334953.1</v>
      </c>
      <c r="AZ12" s="15" t="n">
        <v>953038.66</v>
      </c>
      <c r="BA12" s="15" t="n">
        <v>246464.94</v>
      </c>
      <c r="BB12" s="15" t="n">
        <v>369159</v>
      </c>
      <c r="BC12" s="15" t="n">
        <v>841355.5</v>
      </c>
      <c r="BD12" s="15" t="n">
        <v>250455.86</v>
      </c>
      <c r="BE12" s="15" t="n">
        <v>645104.62</v>
      </c>
      <c r="BF12" s="15" t="n">
        <v>951525.77</v>
      </c>
      <c r="BG12" s="15" t="n">
        <v>41489.05</v>
      </c>
      <c r="BH12" s="15" t="n">
        <v>268393.13</v>
      </c>
      <c r="BI12" s="15" t="n">
        <v>1548398.2</v>
      </c>
      <c r="BJ12" s="15" t="n">
        <v>786516.58</v>
      </c>
      <c r="BK12" s="15" t="n">
        <v>1422408.88</v>
      </c>
      <c r="BL12" s="15" t="n">
        <v>502589.46</v>
      </c>
      <c r="BM12" s="15" t="n">
        <v>175447.51</v>
      </c>
      <c r="BN12" s="15" t="n">
        <v>378508.31</v>
      </c>
      <c r="BO12" s="15" t="n">
        <v>852279.04</v>
      </c>
      <c r="BP12" s="15" t="n">
        <v>251302.38</v>
      </c>
      <c r="BQ12" s="15" t="n">
        <v>1213650.46</v>
      </c>
      <c r="BR12" s="15" t="n">
        <v>979865.45</v>
      </c>
      <c r="BS12" s="15" t="n">
        <v>128009.77</v>
      </c>
      <c r="BT12" s="15" t="n">
        <v>296271.03</v>
      </c>
      <c r="BU12" s="15" t="n">
        <v>67008.28999999999</v>
      </c>
      <c r="BV12" s="15" t="n">
        <v>643359.38</v>
      </c>
      <c r="BW12" s="15" t="n">
        <v>509660.46</v>
      </c>
      <c r="BX12" s="15" t="n">
        <v>778792.51</v>
      </c>
      <c r="BY12" s="15" t="n">
        <v>174769.85</v>
      </c>
      <c r="BZ12" s="15" t="n">
        <v>460671.45</v>
      </c>
      <c r="CA12" s="15" t="n">
        <v>479292.57</v>
      </c>
      <c r="CB12" s="15" t="n">
        <v>1899057.95</v>
      </c>
      <c r="CC12" s="15" t="n">
        <v>711463.8100000001</v>
      </c>
      <c r="CD12" s="15" t="n">
        <v>143257.76</v>
      </c>
      <c r="CE12" s="15" t="n">
        <v>210826.32</v>
      </c>
      <c r="CF12" s="15" t="n">
        <v>460495.97</v>
      </c>
      <c r="CG12" s="15" t="n">
        <v>1554448.51</v>
      </c>
      <c r="CH12" s="15" t="n">
        <v>1437421.98</v>
      </c>
      <c r="CI12" s="15" t="n">
        <v>931939.66</v>
      </c>
      <c r="CJ12" s="15" t="n">
        <v>488055.76</v>
      </c>
      <c r="CK12" s="15" t="n">
        <v>223574.82</v>
      </c>
      <c r="CL12" s="15" t="n">
        <v>410611.35</v>
      </c>
      <c r="CM12" s="15" t="n">
        <v>1629314.57</v>
      </c>
      <c r="CN12" s="15" t="n">
        <v>196612.63</v>
      </c>
      <c r="CO12" s="15" t="n">
        <v>344270.75</v>
      </c>
      <c r="CP12" s="15" t="n">
        <v>778040.76</v>
      </c>
      <c r="CQ12" s="15" t="n">
        <v>68891.61</v>
      </c>
      <c r="CR12" s="15" t="n">
        <v>716430.37</v>
      </c>
      <c r="CS12" s="15" t="n">
        <v>1046315.73</v>
      </c>
      <c r="CT12" s="15" t="n">
        <v>297697.04</v>
      </c>
      <c r="CU12" s="15" t="n">
        <v>712135.09</v>
      </c>
      <c r="CV12" s="15" t="n">
        <v>628084.37</v>
      </c>
      <c r="CW12" s="15" t="n">
        <v>220195.86</v>
      </c>
      <c r="CX12" s="15" t="n">
        <v>325179.48</v>
      </c>
      <c r="CY12" s="15" t="n">
        <v>1196183.28</v>
      </c>
      <c r="CZ12" s="15" t="n">
        <v>399693.83</v>
      </c>
      <c r="DA12" s="15" t="n">
        <v>623796.66</v>
      </c>
      <c r="DB12" s="15" t="n">
        <v>577874.27</v>
      </c>
      <c r="DC12" s="15" t="n">
        <v>74489.3</v>
      </c>
      <c r="DD12" s="15" t="n">
        <v>-81018.44</v>
      </c>
      <c r="DE12" s="15" t="n">
        <v>1715943.35</v>
      </c>
      <c r="DF12" s="15" t="n">
        <v>346969.34</v>
      </c>
      <c r="DG12" s="15" t="n">
        <v>1395764.17</v>
      </c>
      <c r="DH12" s="15" t="n">
        <v>683286.25</v>
      </c>
      <c r="DI12" s="15" t="n">
        <v>19501.02</v>
      </c>
      <c r="DJ12" s="15" t="n">
        <v>334908.95</v>
      </c>
      <c r="DK12" s="15" t="n">
        <v>1544895.45</v>
      </c>
      <c r="DL12" s="15" t="n">
        <v>756610.22</v>
      </c>
      <c r="DM12" s="15" t="n">
        <v>229772.1</v>
      </c>
      <c r="DN12" s="15" t="n">
        <v>92900.46000000001</v>
      </c>
      <c r="DO12" s="15" t="n">
        <v>69750.53999999999</v>
      </c>
      <c r="DP12" s="15" t="n">
        <v>203682.14</v>
      </c>
    </row>
    <row r="13">
      <c r="A13" s="4" t="inlineStr">
        <is>
          <t>其他产品C</t>
        </is>
      </c>
      <c r="B13" s="15" t="n">
        <v>978440.84</v>
      </c>
      <c r="C13" s="15" t="n">
        <v>576230.79</v>
      </c>
      <c r="D13" s="15" t="n">
        <v>515003.51</v>
      </c>
      <c r="E13" s="15" t="n">
        <v>35551.12</v>
      </c>
      <c r="F13" s="15" t="n">
        <v>294158.96</v>
      </c>
      <c r="G13" s="15" t="n">
        <v>1205567.64</v>
      </c>
      <c r="H13" s="15" t="n">
        <v>2248964.77</v>
      </c>
      <c r="I13" s="15" t="n">
        <v>727705.4300000001</v>
      </c>
      <c r="J13" s="15" t="n">
        <v>31358.21</v>
      </c>
      <c r="K13" s="15" t="n">
        <v>71450.67</v>
      </c>
      <c r="L13" s="15" t="n">
        <v>667999.16</v>
      </c>
      <c r="M13" s="15" t="n">
        <v>942176.55</v>
      </c>
      <c r="N13" s="15" t="n">
        <v>534635.61</v>
      </c>
      <c r="O13" s="15" t="n">
        <v>1269027.56</v>
      </c>
      <c r="P13" s="15" t="n">
        <v>360558.73</v>
      </c>
      <c r="Q13" s="15" t="n">
        <v>98426.59</v>
      </c>
      <c r="R13" s="15" t="n">
        <v>480235.93</v>
      </c>
      <c r="S13" s="15" t="n">
        <v>620195.36</v>
      </c>
      <c r="T13" s="15" t="n">
        <v>2432637</v>
      </c>
      <c r="U13" s="15" t="n">
        <v>1197103.04</v>
      </c>
      <c r="V13" s="15" t="n">
        <v>784223.91</v>
      </c>
      <c r="W13" s="15" t="n">
        <v>85997.91</v>
      </c>
      <c r="X13" s="15" t="n">
        <v>222951.14</v>
      </c>
      <c r="Y13" s="15" t="n">
        <v>657796.75</v>
      </c>
      <c r="Z13" s="15" t="n">
        <v>2194581.08</v>
      </c>
      <c r="AA13" s="15" t="n">
        <v>1017478.24</v>
      </c>
      <c r="AB13" s="15" t="n">
        <v>213449.79</v>
      </c>
      <c r="AC13" s="15" t="n">
        <v>22894.68</v>
      </c>
      <c r="AD13" s="15" t="n">
        <v>186073.55</v>
      </c>
      <c r="AE13" s="15" t="n">
        <v>254072.62</v>
      </c>
      <c r="AF13" s="15" t="n">
        <v>212830.59</v>
      </c>
      <c r="AG13" s="15" t="n">
        <v>900052.77</v>
      </c>
      <c r="AH13" s="15" t="n">
        <v>920955.5600000001</v>
      </c>
      <c r="AI13" s="15" t="n">
        <v>11619.65</v>
      </c>
      <c r="AJ13" s="15" t="n">
        <v>16882.34</v>
      </c>
      <c r="AK13" s="15" t="n">
        <v>783194.36</v>
      </c>
      <c r="AL13" s="15" t="n">
        <v>1247560.52</v>
      </c>
      <c r="AM13" s="15" t="n">
        <v>394334.48</v>
      </c>
      <c r="AN13" s="15" t="n">
        <v>407991.14</v>
      </c>
      <c r="AO13" s="15" t="n">
        <v>147849.11</v>
      </c>
      <c r="AP13" s="15" t="n">
        <v>-55155.64</v>
      </c>
      <c r="AQ13" s="15" t="n">
        <v>104775.22</v>
      </c>
      <c r="AR13" s="15" t="n">
        <v>2184300.97</v>
      </c>
      <c r="AS13" s="15" t="n">
        <v>289508.23</v>
      </c>
      <c r="AT13" s="15" t="n">
        <v>977993.09</v>
      </c>
      <c r="AU13" s="15" t="n">
        <v>80776.53</v>
      </c>
      <c r="AV13" s="15" t="n">
        <v>39357.65</v>
      </c>
      <c r="AW13" s="15" t="n">
        <v>1734634.05</v>
      </c>
      <c r="AX13" s="15" t="n">
        <v>1971230.65</v>
      </c>
      <c r="AY13" s="15" t="n">
        <v>673476.15</v>
      </c>
      <c r="AZ13" s="15" t="n">
        <v>986469.54</v>
      </c>
      <c r="BA13" s="15" t="n">
        <v>64864.28</v>
      </c>
      <c r="BB13" s="15" t="n">
        <v>541002.29</v>
      </c>
      <c r="BC13" s="15" t="n">
        <v>1639952.2</v>
      </c>
      <c r="BD13" s="15" t="n">
        <v>1423318.45</v>
      </c>
      <c r="BE13" s="15" t="n">
        <v>1014568.85</v>
      </c>
      <c r="BF13" s="15" t="n">
        <v>322803.29</v>
      </c>
      <c r="BG13" s="15" t="n">
        <v>108982.93</v>
      </c>
      <c r="BH13" s="15" t="n">
        <v>5139.53</v>
      </c>
      <c r="BI13" s="15" t="n">
        <v>842340.0699999999</v>
      </c>
      <c r="BJ13" s="15" t="n">
        <v>2410135.62</v>
      </c>
      <c r="BK13" s="15" t="n">
        <v>489625.04</v>
      </c>
      <c r="BL13" s="15" t="n">
        <v>766803.02</v>
      </c>
      <c r="BM13" s="15" t="n">
        <v>144864.48</v>
      </c>
      <c r="BN13" s="15" t="n">
        <v>419443.21</v>
      </c>
      <c r="BO13" s="15" t="n">
        <v>569463.97</v>
      </c>
      <c r="BP13" s="15" t="n">
        <v>397089.22</v>
      </c>
      <c r="BQ13" s="15" t="n">
        <v>1194396.12</v>
      </c>
      <c r="BR13" s="15" t="n">
        <v>94418.42</v>
      </c>
      <c r="BS13" s="15" t="n">
        <v>72426.98</v>
      </c>
      <c r="BT13" s="15" t="n">
        <v>602976.4300000001</v>
      </c>
      <c r="BU13" s="15" t="n">
        <v>656583.79</v>
      </c>
      <c r="BV13" s="15" t="n">
        <v>1124541.4</v>
      </c>
      <c r="BW13" s="15" t="n">
        <v>1167749.13</v>
      </c>
      <c r="BX13" s="15" t="n">
        <v>879114.53</v>
      </c>
      <c r="BY13" s="15" t="n">
        <v>136152.21</v>
      </c>
      <c r="BZ13" s="15" t="n">
        <v>31090.21</v>
      </c>
      <c r="CA13" s="15" t="n">
        <v>1078736.82</v>
      </c>
      <c r="CB13" s="15" t="n">
        <v>1813599.79</v>
      </c>
      <c r="CC13" s="15" t="n">
        <v>948553.0699999999</v>
      </c>
      <c r="CD13" s="15" t="n">
        <v>69426.07000000001</v>
      </c>
      <c r="CE13" s="15" t="n">
        <v>31084.26</v>
      </c>
      <c r="CF13" s="15" t="n">
        <v>623787.22</v>
      </c>
      <c r="CG13" s="15" t="n">
        <v>1177837.84</v>
      </c>
      <c r="CH13" s="15" t="n">
        <v>2137642.67</v>
      </c>
      <c r="CI13" s="15" t="n">
        <v>487088.83</v>
      </c>
      <c r="CJ13" s="15" t="n">
        <v>41085.45</v>
      </c>
      <c r="CK13" s="15" t="n">
        <v>200772.7</v>
      </c>
      <c r="CL13" s="15" t="n">
        <v>13531.45</v>
      </c>
      <c r="CM13" s="15" t="n">
        <v>720781.36</v>
      </c>
      <c r="CN13" s="15" t="n">
        <v>957573.39</v>
      </c>
      <c r="CO13" s="15" t="n">
        <v>368085.11</v>
      </c>
      <c r="CP13" s="15" t="n">
        <v>354334.79</v>
      </c>
      <c r="CQ13" s="15" t="n">
        <v>18711.05</v>
      </c>
      <c r="CR13" s="15" t="n">
        <v>75316.06</v>
      </c>
      <c r="CS13" s="15" t="n">
        <v>1352539.69</v>
      </c>
      <c r="CT13" s="15" t="n">
        <v>2335729.08</v>
      </c>
      <c r="CU13" s="15" t="n">
        <v>519891.32</v>
      </c>
      <c r="CV13" s="15" t="n">
        <v>648391.0600000001</v>
      </c>
      <c r="CW13" s="15" t="n">
        <v>129455.94</v>
      </c>
      <c r="CX13" s="15" t="n">
        <v>-74279.14999999999</v>
      </c>
      <c r="CY13" s="15" t="n">
        <v>94916.02</v>
      </c>
      <c r="CZ13" s="15" t="n">
        <v>2024369.31</v>
      </c>
      <c r="DA13" s="15" t="n">
        <v>494743.81</v>
      </c>
      <c r="DB13" s="15" t="n">
        <v>874129.84</v>
      </c>
      <c r="DC13" s="15" t="n">
        <v>180437.5</v>
      </c>
      <c r="DD13" s="15" t="n">
        <v>332208.23</v>
      </c>
      <c r="DE13" s="15" t="n">
        <v>1188382.24</v>
      </c>
      <c r="DF13" s="15" t="n">
        <v>2212173.17</v>
      </c>
      <c r="DG13" s="15" t="n">
        <v>956764.61</v>
      </c>
      <c r="DH13" s="15" t="n">
        <v>456554.23</v>
      </c>
      <c r="DI13" s="15" t="n">
        <v>56895.55</v>
      </c>
      <c r="DJ13" s="15" t="n">
        <v>120359.99</v>
      </c>
      <c r="DK13" s="15" t="n">
        <v>1588267.79</v>
      </c>
      <c r="DL13" s="15" t="n">
        <v>771991.39</v>
      </c>
      <c r="DM13" s="15" t="n">
        <v>223319.46</v>
      </c>
      <c r="DN13" s="15" t="n">
        <v>189025.77</v>
      </c>
      <c r="DO13" s="15" t="n">
        <v>177417.32</v>
      </c>
      <c r="DP13" s="15" t="n">
        <v>302356.89</v>
      </c>
    </row>
    <row r="14">
      <c r="A14" s="4" t="inlineStr">
        <is>
          <t>中式汤底</t>
        </is>
      </c>
      <c r="B14" s="15" t="n">
        <v>1247209.58</v>
      </c>
      <c r="C14" s="15" t="n">
        <v>402074.65</v>
      </c>
      <c r="D14" s="15" t="n">
        <v>780818.92</v>
      </c>
      <c r="E14" s="15" t="n">
        <v>72000.82000000001</v>
      </c>
      <c r="F14" s="15" t="n">
        <v>231940.59</v>
      </c>
      <c r="G14" s="15" t="n">
        <v>1596874.41</v>
      </c>
      <c r="H14" s="15" t="n">
        <v>650940.98</v>
      </c>
      <c r="I14" s="15" t="n">
        <v>479995.14</v>
      </c>
      <c r="J14" s="15" t="n">
        <v>289488.57</v>
      </c>
      <c r="K14" s="15" t="n">
        <v>17953.07</v>
      </c>
      <c r="L14" s="15" t="n">
        <v>269546.88</v>
      </c>
      <c r="M14" s="15" t="n">
        <v>797602.92</v>
      </c>
      <c r="N14" s="15" t="n">
        <v>1353578.26</v>
      </c>
      <c r="O14" s="15" t="n">
        <v>781220.16</v>
      </c>
      <c r="P14" s="15" t="n">
        <v>144359.57</v>
      </c>
      <c r="Q14" s="15" t="n">
        <v>77924.59</v>
      </c>
      <c r="R14" s="15" t="n">
        <v>269231.71</v>
      </c>
      <c r="S14" s="15" t="n">
        <v>1922152.86</v>
      </c>
      <c r="T14" s="15" t="n">
        <v>1695409.36</v>
      </c>
      <c r="U14" s="15" t="n">
        <v>565307.03</v>
      </c>
      <c r="V14" s="15" t="n">
        <v>371356.31</v>
      </c>
      <c r="W14" s="15" t="n">
        <v>55933.71</v>
      </c>
      <c r="X14" s="15" t="n">
        <v>293241.47</v>
      </c>
      <c r="Y14" s="15" t="n">
        <v>486625.08</v>
      </c>
      <c r="Z14" s="15" t="n">
        <v>2220620.66</v>
      </c>
      <c r="AA14" s="15" t="n">
        <v>1496383.08</v>
      </c>
      <c r="AB14" s="15" t="n">
        <v>358119.88</v>
      </c>
      <c r="AC14" s="15" t="n">
        <v>164638.87</v>
      </c>
      <c r="AD14" s="15" t="n">
        <v>146715.49</v>
      </c>
      <c r="AE14" s="15" t="n">
        <v>1616746.11</v>
      </c>
      <c r="AF14" s="15" t="n">
        <v>100709.37</v>
      </c>
      <c r="AG14" s="15" t="n">
        <v>177993.49</v>
      </c>
      <c r="AH14" s="15" t="n">
        <v>130070.58</v>
      </c>
      <c r="AI14" s="15" t="n">
        <v>222058.48</v>
      </c>
      <c r="AJ14" s="15" t="n">
        <v>116039.14</v>
      </c>
      <c r="AK14" s="15" t="n">
        <v>956865.39</v>
      </c>
      <c r="AL14" s="15" t="n">
        <v>2156285</v>
      </c>
      <c r="AM14" s="15" t="n">
        <v>402323.33</v>
      </c>
      <c r="AN14" s="15" t="n">
        <v>977985.35</v>
      </c>
      <c r="AO14" s="15" t="n">
        <v>184129.05</v>
      </c>
      <c r="AP14" s="15" t="n">
        <v>412594.41</v>
      </c>
      <c r="AQ14" s="15" t="n">
        <v>125305.91</v>
      </c>
      <c r="AR14" s="15" t="n">
        <v>1901381.9</v>
      </c>
      <c r="AS14" s="15" t="n">
        <v>118856.46</v>
      </c>
      <c r="AT14" s="15" t="n">
        <v>835523</v>
      </c>
      <c r="AU14" s="15" t="n">
        <v>155551.59</v>
      </c>
      <c r="AV14" s="15" t="n">
        <v>738294.63</v>
      </c>
      <c r="AW14" s="15" t="n">
        <v>476203.4</v>
      </c>
      <c r="AX14" s="15" t="n">
        <v>2113897.81</v>
      </c>
      <c r="AY14" s="15" t="n">
        <v>1122464.48</v>
      </c>
      <c r="AZ14" s="15" t="n">
        <v>474047.37</v>
      </c>
      <c r="BA14" s="15" t="n">
        <v>112888.25</v>
      </c>
      <c r="BB14" s="15" t="n">
        <v>21825.35</v>
      </c>
      <c r="BC14" s="15" t="n">
        <v>1906310.34</v>
      </c>
      <c r="BD14" s="15" t="n">
        <v>933393.9</v>
      </c>
      <c r="BE14" s="15" t="n">
        <v>1408971.53</v>
      </c>
      <c r="BF14" s="15" t="n">
        <v>796073.34</v>
      </c>
      <c r="BG14" s="15" t="n">
        <v>178132.08</v>
      </c>
      <c r="BH14" s="15" t="n">
        <v>152151.43</v>
      </c>
      <c r="BI14" s="15" t="n">
        <v>283775.38</v>
      </c>
      <c r="BJ14" s="15" t="n">
        <v>1015892.56</v>
      </c>
      <c r="BK14" s="15" t="n">
        <v>113454.39</v>
      </c>
      <c r="BL14" s="15" t="n">
        <v>140379.27</v>
      </c>
      <c r="BM14" s="15" t="n">
        <v>19385.77</v>
      </c>
      <c r="BN14" s="15" t="n">
        <v>601447.14</v>
      </c>
      <c r="BO14" s="15" t="n">
        <v>1509057.98</v>
      </c>
      <c r="BP14" s="15" t="n">
        <v>2447397.14</v>
      </c>
      <c r="BQ14" s="15" t="n">
        <v>1172170.2</v>
      </c>
      <c r="BR14" s="15" t="n">
        <v>304175.46</v>
      </c>
      <c r="BS14" s="15" t="n">
        <v>170126.71</v>
      </c>
      <c r="BT14" s="15" t="n">
        <v>407863.68</v>
      </c>
      <c r="BU14" s="15" t="n">
        <v>1871467.12</v>
      </c>
      <c r="BV14" s="15" t="n">
        <v>683708.83</v>
      </c>
      <c r="BW14" s="15" t="n">
        <v>423133.24</v>
      </c>
      <c r="BX14" s="15" t="n">
        <v>163009.27</v>
      </c>
      <c r="BY14" s="15" t="n">
        <v>141418.64</v>
      </c>
      <c r="BZ14" s="15" t="n">
        <v>203864.45</v>
      </c>
      <c r="CA14" s="15" t="n">
        <v>1383930.96</v>
      </c>
      <c r="CB14" s="15" t="n">
        <v>644854.4300000001</v>
      </c>
      <c r="CC14" s="15" t="n">
        <v>163483.9</v>
      </c>
      <c r="CD14" s="15" t="n">
        <v>852651.6899999999</v>
      </c>
      <c r="CE14" s="15" t="n">
        <v>149924.93</v>
      </c>
      <c r="CF14" s="15" t="n">
        <v>124906.03</v>
      </c>
      <c r="CG14" s="15" t="n">
        <v>851713.36</v>
      </c>
      <c r="CH14" s="15" t="n">
        <v>693280.41</v>
      </c>
      <c r="CI14" s="15" t="n">
        <v>1391890.41</v>
      </c>
      <c r="CJ14" s="15" t="n">
        <v>313231.27</v>
      </c>
      <c r="CK14" s="15" t="n">
        <v>176169.07</v>
      </c>
      <c r="CL14" s="15" t="n">
        <v>661473.34</v>
      </c>
      <c r="CM14" s="15" t="n">
        <v>1434058.68</v>
      </c>
      <c r="CN14" s="15" t="n">
        <v>917395.89</v>
      </c>
      <c r="CO14" s="15" t="n">
        <v>700935.6</v>
      </c>
      <c r="CP14" s="15" t="n">
        <v>512003.24</v>
      </c>
      <c r="CQ14" s="15" t="n">
        <v>33413.79</v>
      </c>
      <c r="CR14" s="15" t="n">
        <v>281331.56</v>
      </c>
      <c r="CS14" s="15" t="n">
        <v>418369.51</v>
      </c>
      <c r="CT14" s="15" t="n">
        <v>317526.81</v>
      </c>
      <c r="CU14" s="15" t="n">
        <v>1073156.92</v>
      </c>
      <c r="CV14" s="15" t="n">
        <v>295017.9</v>
      </c>
      <c r="CW14" s="15" t="n">
        <v>183330.65</v>
      </c>
      <c r="CX14" s="15" t="n">
        <v>459935.37</v>
      </c>
      <c r="CY14" s="15" t="n">
        <v>321705.78</v>
      </c>
      <c r="CZ14" s="15" t="n">
        <v>1836901.35</v>
      </c>
      <c r="DA14" s="15" t="n">
        <v>807752.9399999999</v>
      </c>
      <c r="DB14" s="15" t="n">
        <v>141395.53</v>
      </c>
      <c r="DC14" s="15" t="n">
        <v>40541.11</v>
      </c>
      <c r="DD14" s="15" t="n">
        <v>480358.85</v>
      </c>
      <c r="DE14" s="15" t="n">
        <v>1808380.59</v>
      </c>
      <c r="DF14" s="15" t="n">
        <v>445433.41</v>
      </c>
      <c r="DG14" s="15" t="n">
        <v>911560.92</v>
      </c>
      <c r="DH14" s="15" t="n">
        <v>216581.86</v>
      </c>
      <c r="DI14" s="15" t="n">
        <v>216311.76</v>
      </c>
      <c r="DJ14" s="15" t="n">
        <v>677092.26</v>
      </c>
      <c r="DK14" s="15" t="n">
        <v>972562.15</v>
      </c>
      <c r="DL14" s="15" t="n">
        <v>300787</v>
      </c>
      <c r="DM14" s="15" t="n">
        <v>630722.85</v>
      </c>
      <c r="DN14" s="15" t="n">
        <v>817544.27</v>
      </c>
      <c r="DO14" s="15" t="n">
        <v>179070.56</v>
      </c>
      <c r="DP14" s="15" t="n">
        <v>551478.73</v>
      </c>
    </row>
    <row r="15">
      <c r="A15" s="4" t="inlineStr">
        <is>
          <t>酱料</t>
        </is>
      </c>
      <c r="B15" s="15" t="n">
        <v>728093.59</v>
      </c>
      <c r="C15" s="15" t="n">
        <v>89439.35000000001</v>
      </c>
      <c r="D15" s="15" t="n">
        <v>731116.9399999999</v>
      </c>
      <c r="E15" s="15" t="n">
        <v>100412.48</v>
      </c>
      <c r="F15" s="15" t="n">
        <v>464213.02</v>
      </c>
      <c r="G15" s="15" t="n">
        <v>234626.27</v>
      </c>
      <c r="H15" s="15" t="n">
        <v>450257.88</v>
      </c>
      <c r="I15" s="15" t="n">
        <v>585326.49</v>
      </c>
      <c r="J15" s="15" t="n">
        <v>509594.58</v>
      </c>
      <c r="K15" s="15" t="n">
        <v>239465.43</v>
      </c>
      <c r="L15" s="15" t="n">
        <v>720100.3199999999</v>
      </c>
      <c r="M15" s="15" t="n">
        <v>726421.4300000001</v>
      </c>
      <c r="N15" s="15" t="n">
        <v>2347422.11</v>
      </c>
      <c r="O15" s="15" t="n">
        <v>1069803.75</v>
      </c>
      <c r="P15" s="15" t="n">
        <v>806610.41</v>
      </c>
      <c r="Q15" s="15" t="n">
        <v>135314.76</v>
      </c>
      <c r="R15" s="15" t="n">
        <v>412635.88</v>
      </c>
      <c r="S15" s="15" t="n">
        <v>114207.66</v>
      </c>
      <c r="T15" s="15" t="n">
        <v>1948615.06</v>
      </c>
      <c r="U15" s="15" t="n">
        <v>459171.8</v>
      </c>
      <c r="V15" s="15" t="n">
        <v>640066.61</v>
      </c>
      <c r="W15" s="15" t="n">
        <v>148977.32</v>
      </c>
      <c r="X15" s="15" t="n">
        <v>44251.92</v>
      </c>
      <c r="Y15" s="15" t="n">
        <v>1894769.61</v>
      </c>
      <c r="Z15" s="15" t="n">
        <v>1338427.51</v>
      </c>
      <c r="AA15" s="15" t="n">
        <v>1085705.7</v>
      </c>
      <c r="AB15" s="15" t="n">
        <v>143483.54</v>
      </c>
      <c r="AC15" s="15" t="n">
        <v>196061.71</v>
      </c>
      <c r="AD15" s="15" t="n">
        <v>664931.9</v>
      </c>
      <c r="AE15" s="15" t="n">
        <v>1001121.57</v>
      </c>
      <c r="AF15" s="15" t="n">
        <v>1996744.24</v>
      </c>
      <c r="AG15" s="15" t="n">
        <v>298363.78</v>
      </c>
      <c r="AH15" s="15" t="n">
        <v>628700.6800000001</v>
      </c>
      <c r="AI15" s="15" t="n">
        <v>82994.67</v>
      </c>
      <c r="AJ15" s="15" t="n">
        <v>125245.56</v>
      </c>
      <c r="AK15" s="15" t="n">
        <v>1824881.18</v>
      </c>
      <c r="AL15" s="15" t="n">
        <v>611630.0600000001</v>
      </c>
      <c r="AM15" s="15" t="n">
        <v>968964.17</v>
      </c>
      <c r="AN15" s="15" t="n">
        <v>881442.83</v>
      </c>
      <c r="AO15" s="15" t="n">
        <v>52413.95</v>
      </c>
      <c r="AP15" s="15" t="n">
        <v>569406.38</v>
      </c>
      <c r="AQ15" s="15" t="n">
        <v>1442285.08</v>
      </c>
      <c r="AR15" s="15" t="n">
        <v>1324072.57</v>
      </c>
      <c r="AS15" s="15" t="n">
        <v>347444.44</v>
      </c>
      <c r="AT15" s="15" t="n">
        <v>424048.31</v>
      </c>
      <c r="AU15" s="15" t="n">
        <v>187814.55</v>
      </c>
      <c r="AV15" s="15" t="n">
        <v>59040.86</v>
      </c>
      <c r="AW15" s="15" t="n">
        <v>1656748.74</v>
      </c>
      <c r="AX15" s="15" t="n">
        <v>894545.8199999999</v>
      </c>
      <c r="AY15" s="15" t="n">
        <v>90364.55</v>
      </c>
      <c r="AZ15" s="15" t="n">
        <v>146573.88</v>
      </c>
      <c r="BA15" s="15" t="n">
        <v>5346.72</v>
      </c>
      <c r="BB15" s="15" t="n">
        <v>274869.22</v>
      </c>
      <c r="BC15" s="15" t="n">
        <v>363662.71</v>
      </c>
      <c r="BD15" s="15" t="n">
        <v>680776.21</v>
      </c>
      <c r="BE15" s="15" t="n">
        <v>1344229.7</v>
      </c>
      <c r="BF15" s="15" t="n">
        <v>630373.96</v>
      </c>
      <c r="BG15" s="15" t="n">
        <v>238671.04</v>
      </c>
      <c r="BH15" s="15" t="n">
        <v>492371.95</v>
      </c>
      <c r="BI15" s="15" t="n">
        <v>795317.6800000001</v>
      </c>
      <c r="BJ15" s="15" t="n">
        <v>2199160.75</v>
      </c>
      <c r="BK15" s="15" t="n">
        <v>1009729.93</v>
      </c>
      <c r="BL15" s="15" t="n">
        <v>388831.11</v>
      </c>
      <c r="BM15" s="15" t="n">
        <v>198568.08</v>
      </c>
      <c r="BN15" s="15" t="n">
        <v>606618.41</v>
      </c>
      <c r="BO15" s="15" t="n">
        <v>464489.11</v>
      </c>
      <c r="BP15" s="15" t="n">
        <v>1266959.95</v>
      </c>
      <c r="BQ15" s="15" t="n">
        <v>560952.54</v>
      </c>
      <c r="BR15" s="15" t="n">
        <v>362908.91</v>
      </c>
      <c r="BS15" s="15" t="n">
        <v>65913.46000000001</v>
      </c>
      <c r="BT15" s="15" t="n">
        <v>724153.1899999999</v>
      </c>
      <c r="BU15" s="15" t="n">
        <v>737948.8</v>
      </c>
      <c r="BV15" s="15" t="n">
        <v>60538.47</v>
      </c>
      <c r="BW15" s="15" t="n">
        <v>864658.3199999999</v>
      </c>
      <c r="BX15" s="15" t="n">
        <v>202599.96</v>
      </c>
      <c r="BY15" s="15" t="n">
        <v>141247.88</v>
      </c>
      <c r="BZ15" s="15" t="n">
        <v>88684.13</v>
      </c>
      <c r="CA15" s="15" t="n">
        <v>1343920.71</v>
      </c>
      <c r="CB15" s="15" t="n">
        <v>1442444.09</v>
      </c>
      <c r="CC15" s="15" t="n">
        <v>561186.38</v>
      </c>
      <c r="CD15" s="15" t="n">
        <v>481546.45</v>
      </c>
      <c r="CE15" s="15" t="n">
        <v>56350.16</v>
      </c>
      <c r="CF15" s="15" t="n">
        <v>97998</v>
      </c>
      <c r="CG15" s="15" t="n">
        <v>920612.62</v>
      </c>
      <c r="CH15" s="15" t="n">
        <v>2082523.94</v>
      </c>
      <c r="CI15" s="15" t="n">
        <v>364770.91</v>
      </c>
      <c r="CJ15" s="15" t="n">
        <v>982581.39</v>
      </c>
      <c r="CK15" s="15" t="n">
        <v>155013.69</v>
      </c>
      <c r="CL15" s="15" t="n">
        <v>740568.4399999999</v>
      </c>
      <c r="CM15" s="15" t="n">
        <v>1782613.03</v>
      </c>
      <c r="CN15" s="15" t="n">
        <v>724134.9</v>
      </c>
      <c r="CO15" s="15" t="n">
        <v>155883.41</v>
      </c>
      <c r="CP15" s="15" t="n">
        <v>318227.48</v>
      </c>
      <c r="CQ15" s="15" t="n">
        <v>88271.95</v>
      </c>
      <c r="CR15" s="15" t="n">
        <v>659664.95</v>
      </c>
      <c r="CS15" s="15" t="n">
        <v>1543698.52</v>
      </c>
      <c r="CT15" s="15" t="n">
        <v>1726691.44</v>
      </c>
      <c r="CU15" s="15" t="n">
        <v>697186.71</v>
      </c>
      <c r="CV15" s="15" t="n">
        <v>913324.45</v>
      </c>
      <c r="CW15" s="15" t="n">
        <v>96413.98</v>
      </c>
      <c r="CX15" s="15" t="n">
        <v>443065.98</v>
      </c>
      <c r="CY15" s="15" t="n">
        <v>1794438.76</v>
      </c>
      <c r="CZ15" s="15" t="n">
        <v>115660.87</v>
      </c>
      <c r="DA15" s="15" t="n">
        <v>249585.11</v>
      </c>
      <c r="DB15" s="15" t="n">
        <v>548669.5600000001</v>
      </c>
      <c r="DC15" s="15" t="n">
        <v>9541.639999999999</v>
      </c>
      <c r="DD15" s="15" t="n">
        <v>416371.21</v>
      </c>
      <c r="DE15" s="15" t="n">
        <v>965254.91</v>
      </c>
      <c r="DF15" s="15" t="n">
        <v>473412.73</v>
      </c>
      <c r="DG15" s="15" t="n">
        <v>854339.3199999999</v>
      </c>
      <c r="DH15" s="15" t="n">
        <v>631973.09</v>
      </c>
      <c r="DI15" s="15" t="n">
        <v>25920.92</v>
      </c>
      <c r="DJ15" s="15" t="n">
        <v>33128.78</v>
      </c>
      <c r="DK15" s="15" t="n">
        <v>1516221.77</v>
      </c>
      <c r="DL15" s="15" t="n">
        <v>1329994.37</v>
      </c>
      <c r="DM15" s="15" t="n">
        <v>1272546.58</v>
      </c>
      <c r="DN15" s="15" t="n">
        <v>975724.7</v>
      </c>
      <c r="DO15" s="15" t="n">
        <v>90056.55</v>
      </c>
      <c r="DP15" s="15" t="n">
        <v>108514.19</v>
      </c>
    </row>
    <row r="16">
      <c r="A16" s="4" t="inlineStr">
        <is>
          <t>川味底料</t>
        </is>
      </c>
      <c r="B16" s="15" t="n">
        <v>2490116.94</v>
      </c>
      <c r="C16" s="15" t="n">
        <v>1058524.15</v>
      </c>
      <c r="D16" s="15" t="n">
        <v>574532.42</v>
      </c>
      <c r="E16" s="15" t="n">
        <v>194244.3</v>
      </c>
      <c r="F16" s="15" t="n">
        <v>11694.15</v>
      </c>
      <c r="G16" s="15" t="n">
        <v>451021.82</v>
      </c>
      <c r="H16" s="15" t="n">
        <v>2041506.38</v>
      </c>
      <c r="I16" s="15" t="n">
        <v>1221715.85</v>
      </c>
      <c r="J16" s="15" t="n">
        <v>907863.66</v>
      </c>
      <c r="K16" s="15" t="n">
        <v>223949.17</v>
      </c>
      <c r="L16" s="15" t="n">
        <v>338680.22</v>
      </c>
      <c r="M16" s="15" t="n">
        <v>950535.08</v>
      </c>
      <c r="N16" s="15" t="n">
        <v>909410.11</v>
      </c>
      <c r="O16" s="15" t="n">
        <v>706558.72</v>
      </c>
      <c r="P16" s="15" t="n">
        <v>451024.96</v>
      </c>
      <c r="Q16" s="15" t="n">
        <v>157158.49</v>
      </c>
      <c r="R16" s="15" t="n">
        <v>68045.64</v>
      </c>
      <c r="S16" s="15" t="n">
        <v>425359.87</v>
      </c>
      <c r="T16" s="15" t="n">
        <v>2056675.8</v>
      </c>
      <c r="U16" s="15" t="n">
        <v>839673.54</v>
      </c>
      <c r="V16" s="15" t="n">
        <v>543044.65</v>
      </c>
      <c r="W16" s="15" t="n">
        <v>199619.6</v>
      </c>
      <c r="X16" s="15" t="n">
        <v>634165.51</v>
      </c>
      <c r="Y16" s="15" t="n">
        <v>1776539.27</v>
      </c>
      <c r="Z16" s="15" t="n">
        <v>743373.05</v>
      </c>
      <c r="AA16" s="15" t="n">
        <v>128545.26</v>
      </c>
      <c r="AB16" s="15" t="n">
        <v>342858.01</v>
      </c>
      <c r="AC16" s="15" t="n">
        <v>46478.5</v>
      </c>
      <c r="AD16" s="15" t="n">
        <v>576000.9300000001</v>
      </c>
      <c r="AE16" s="15" t="n">
        <v>588164.64</v>
      </c>
      <c r="AF16" s="15" t="n">
        <v>2369701.35</v>
      </c>
      <c r="AG16" s="15" t="n">
        <v>1401149.95</v>
      </c>
      <c r="AH16" s="15" t="n">
        <v>56608.53</v>
      </c>
      <c r="AI16" s="15" t="n">
        <v>130743.03</v>
      </c>
      <c r="AJ16" s="15" t="n">
        <v>364320.65</v>
      </c>
      <c r="AK16" s="15" t="n">
        <v>1007504.82</v>
      </c>
      <c r="AL16" s="15" t="n">
        <v>906394.03</v>
      </c>
      <c r="AM16" s="15" t="n">
        <v>1059981.77</v>
      </c>
      <c r="AN16" s="15" t="n">
        <v>489748.3</v>
      </c>
      <c r="AO16" s="15" t="n">
        <v>88465.41</v>
      </c>
      <c r="AP16" s="15" t="n">
        <v>360028.29</v>
      </c>
      <c r="AQ16" s="15" t="n">
        <v>1901006.29</v>
      </c>
      <c r="AR16" s="15" t="n">
        <v>61970.71</v>
      </c>
      <c r="AS16" s="15" t="n">
        <v>528005.91</v>
      </c>
      <c r="AT16" s="15" t="n">
        <v>755526.3199999999</v>
      </c>
      <c r="AU16" s="15" t="n">
        <v>79396.89</v>
      </c>
      <c r="AV16" s="15" t="n">
        <v>-63369.99</v>
      </c>
      <c r="AW16" s="15" t="n">
        <v>1252481.49</v>
      </c>
      <c r="AX16" s="15" t="n">
        <v>2276392.89</v>
      </c>
      <c r="AY16" s="15" t="n">
        <v>288684.01</v>
      </c>
      <c r="AZ16" s="15" t="n">
        <v>255626.57</v>
      </c>
      <c r="BA16" s="15" t="n">
        <v>106013.86</v>
      </c>
      <c r="BB16" s="15" t="n">
        <v>147577.54</v>
      </c>
      <c r="BC16" s="15" t="n">
        <v>810958.36</v>
      </c>
      <c r="BD16" s="15" t="n">
        <v>1141016.92</v>
      </c>
      <c r="BE16" s="15" t="n">
        <v>767506.4</v>
      </c>
      <c r="BF16" s="15" t="n">
        <v>955880.65</v>
      </c>
      <c r="BG16" s="15" t="n">
        <v>30574.08</v>
      </c>
      <c r="BH16" s="15" t="n">
        <v>674581.21</v>
      </c>
      <c r="BI16" s="15" t="n">
        <v>604543.89</v>
      </c>
      <c r="BJ16" s="15" t="n">
        <v>1740006.79</v>
      </c>
      <c r="BK16" s="15" t="n">
        <v>87859.37</v>
      </c>
      <c r="BL16" s="15" t="n">
        <v>795297.61</v>
      </c>
      <c r="BM16" s="15" t="n">
        <v>230120.25</v>
      </c>
      <c r="BN16" s="15" t="n">
        <v>453605.84</v>
      </c>
      <c r="BO16" s="15" t="n">
        <v>569964.84</v>
      </c>
      <c r="BP16" s="15" t="n">
        <v>1672218.45</v>
      </c>
      <c r="BQ16" s="15" t="n">
        <v>1372557.67</v>
      </c>
      <c r="BR16" s="15" t="n">
        <v>685159.22</v>
      </c>
      <c r="BS16" s="15" t="n">
        <v>173749.83</v>
      </c>
      <c r="BT16" s="15" t="n">
        <v>670665.2</v>
      </c>
      <c r="BU16" s="15" t="n">
        <v>326623.68</v>
      </c>
      <c r="BV16" s="15" t="n">
        <v>1243135.15</v>
      </c>
      <c r="BW16" s="15" t="n">
        <v>597517.11</v>
      </c>
      <c r="BX16" s="15" t="n">
        <v>665775.05</v>
      </c>
      <c r="BY16" s="15" t="n">
        <v>232621.39</v>
      </c>
      <c r="BZ16" s="15" t="n">
        <v>414058.02</v>
      </c>
      <c r="CA16" s="15" t="n">
        <v>434332.52</v>
      </c>
      <c r="CB16" s="15" t="n">
        <v>1456286.05</v>
      </c>
      <c r="CC16" s="15" t="n">
        <v>451206.93</v>
      </c>
      <c r="CD16" s="15" t="n">
        <v>431487.4</v>
      </c>
      <c r="CE16" s="15" t="n">
        <v>220310.89</v>
      </c>
      <c r="CF16" s="15" t="n">
        <v>705394.4399999999</v>
      </c>
      <c r="CG16" s="15" t="n">
        <v>1514227.5</v>
      </c>
      <c r="CH16" s="15" t="n">
        <v>975265.3100000001</v>
      </c>
      <c r="CI16" s="15" t="n">
        <v>406922.22</v>
      </c>
      <c r="CJ16" s="15" t="n">
        <v>43177.15</v>
      </c>
      <c r="CK16" s="15" t="n">
        <v>141198.63</v>
      </c>
      <c r="CL16" s="15" t="n">
        <v>476966.74</v>
      </c>
      <c r="CM16" s="15" t="n">
        <v>1357150.71</v>
      </c>
      <c r="CN16" s="15" t="n">
        <v>1752690.88</v>
      </c>
      <c r="CO16" s="15" t="n">
        <v>858550.54</v>
      </c>
      <c r="CP16" s="15" t="n">
        <v>738418.08</v>
      </c>
      <c r="CQ16" s="15" t="n">
        <v>216897.81</v>
      </c>
      <c r="CR16" s="15" t="n">
        <v>492002.33</v>
      </c>
      <c r="CS16" s="15" t="n">
        <v>1678421.83</v>
      </c>
      <c r="CT16" s="15" t="n">
        <v>931760.21</v>
      </c>
      <c r="CU16" s="15" t="n">
        <v>492558.24</v>
      </c>
      <c r="CV16" s="15" t="n">
        <v>278025.75</v>
      </c>
      <c r="CW16" s="15" t="n">
        <v>23467.2</v>
      </c>
      <c r="CX16" s="15" t="n">
        <v>538722.72</v>
      </c>
      <c r="CY16" s="15" t="n">
        <v>147018.72</v>
      </c>
      <c r="CZ16" s="15" t="n">
        <v>1631792.06</v>
      </c>
      <c r="DA16" s="15" t="n">
        <v>1407743.12</v>
      </c>
      <c r="DB16" s="15" t="n">
        <v>463152.94</v>
      </c>
      <c r="DC16" s="15" t="n">
        <v>42052.87</v>
      </c>
      <c r="DD16" s="15" t="n">
        <v>264472.75</v>
      </c>
      <c r="DE16" s="15" t="n">
        <v>1901250.3</v>
      </c>
      <c r="DF16" s="15" t="n">
        <v>1284809.1</v>
      </c>
      <c r="DG16" s="15" t="n">
        <v>948476.9399999999</v>
      </c>
      <c r="DH16" s="15" t="n">
        <v>656587.58</v>
      </c>
      <c r="DI16" s="15" t="n">
        <v>115254.08</v>
      </c>
      <c r="DJ16" s="15" t="n">
        <v>419477.64</v>
      </c>
      <c r="DK16" s="15" t="n">
        <v>661380.95</v>
      </c>
      <c r="DL16" s="15" t="n">
        <v>1163559.47</v>
      </c>
      <c r="DM16" s="15" t="n">
        <v>107005.8</v>
      </c>
      <c r="DN16" s="15" t="n">
        <v>967345.13</v>
      </c>
      <c r="DO16" s="15" t="n">
        <v>73291.21000000001</v>
      </c>
      <c r="DP16" s="15" t="n">
        <v>80846.94</v>
      </c>
    </row>
    <row r="17">
      <c r="A17" s="4" t="inlineStr">
        <is>
          <t>调味汁</t>
        </is>
      </c>
      <c r="B17" s="15" t="n">
        <v>2116600.29</v>
      </c>
      <c r="C17" s="15" t="n">
        <v>663805.35</v>
      </c>
      <c r="D17" s="15" t="n">
        <v>273310.14</v>
      </c>
      <c r="E17" s="15" t="n">
        <v>170568.21</v>
      </c>
      <c r="F17" s="15" t="n">
        <v>407990.68</v>
      </c>
      <c r="G17" s="15" t="n">
        <v>1996751.02</v>
      </c>
      <c r="H17" s="15" t="n">
        <v>2319440.32</v>
      </c>
      <c r="I17" s="15" t="n">
        <v>410259.95</v>
      </c>
      <c r="J17" s="15" t="n">
        <v>254379.32</v>
      </c>
      <c r="K17" s="15" t="n">
        <v>234442.14</v>
      </c>
      <c r="L17" s="15" t="n">
        <v>364594.55</v>
      </c>
      <c r="M17" s="15" t="n">
        <v>569998.13</v>
      </c>
      <c r="N17" s="15" t="n">
        <v>56720.24</v>
      </c>
      <c r="O17" s="15" t="n">
        <v>87737.98</v>
      </c>
      <c r="P17" s="15" t="n">
        <v>631983.51</v>
      </c>
      <c r="Q17" s="15" t="n">
        <v>54221.98</v>
      </c>
      <c r="R17" s="15" t="n">
        <v>192876.49</v>
      </c>
      <c r="S17" s="15" t="n">
        <v>1611529.45</v>
      </c>
      <c r="T17" s="15" t="n">
        <v>2103106.87</v>
      </c>
      <c r="U17" s="15" t="n">
        <v>578706.76</v>
      </c>
      <c r="V17" s="15" t="n">
        <v>788504.5</v>
      </c>
      <c r="W17" s="15" t="n">
        <v>48716.39</v>
      </c>
      <c r="X17" s="15" t="n">
        <v>267293.07</v>
      </c>
      <c r="Y17" s="15" t="n">
        <v>1406594.64</v>
      </c>
      <c r="Z17" s="15" t="n">
        <v>1494247.68</v>
      </c>
      <c r="AA17" s="15" t="n">
        <v>1142571.94</v>
      </c>
      <c r="AB17" s="15" t="n">
        <v>835342.5600000001</v>
      </c>
      <c r="AC17" s="15" t="n">
        <v>194496.61</v>
      </c>
      <c r="AD17" s="15" t="n">
        <v>699402.95</v>
      </c>
      <c r="AE17" s="15" t="n">
        <v>472328.86</v>
      </c>
      <c r="AF17" s="15" t="n">
        <v>2424118.19</v>
      </c>
      <c r="AG17" s="15" t="n">
        <v>1096138.6</v>
      </c>
      <c r="AH17" s="15" t="n">
        <v>474926.72</v>
      </c>
      <c r="AI17" s="15" t="n">
        <v>56043.99</v>
      </c>
      <c r="AJ17" s="15" t="n">
        <v>190946.09</v>
      </c>
      <c r="AK17" s="15" t="n">
        <v>1012780.17</v>
      </c>
      <c r="AL17" s="15" t="n">
        <v>395409.2</v>
      </c>
      <c r="AM17" s="15" t="n">
        <v>602406.5</v>
      </c>
      <c r="AN17" s="15" t="n">
        <v>488929.59</v>
      </c>
      <c r="AO17" s="15" t="n">
        <v>50224.86</v>
      </c>
      <c r="AP17" s="15" t="n">
        <v>-38489.43</v>
      </c>
      <c r="AQ17" s="15" t="n">
        <v>1711164.54</v>
      </c>
      <c r="AR17" s="15" t="n">
        <v>61906.18</v>
      </c>
      <c r="AS17" s="15" t="n">
        <v>842272.9300000001</v>
      </c>
      <c r="AT17" s="15" t="n">
        <v>347999.34</v>
      </c>
      <c r="AU17" s="15" t="n">
        <v>166634.27</v>
      </c>
      <c r="AV17" s="15" t="n">
        <v>633144.3100000001</v>
      </c>
      <c r="AW17" s="15" t="n">
        <v>723895.76</v>
      </c>
      <c r="AX17" s="15" t="n">
        <v>1488095.56</v>
      </c>
      <c r="AY17" s="15" t="n">
        <v>570092.97</v>
      </c>
      <c r="AZ17" s="15" t="n">
        <v>150442.89</v>
      </c>
      <c r="BA17" s="15" t="n">
        <v>79708.98</v>
      </c>
      <c r="BB17" s="15" t="n">
        <v>189356.34</v>
      </c>
      <c r="BC17" s="15" t="n">
        <v>801185.53</v>
      </c>
      <c r="BD17" s="15" t="n">
        <v>98316.34</v>
      </c>
      <c r="BE17" s="15" t="n">
        <v>883090.7</v>
      </c>
      <c r="BF17" s="15" t="n">
        <v>786635.62</v>
      </c>
      <c r="BG17" s="15" t="n">
        <v>214248.25</v>
      </c>
      <c r="BH17" s="15" t="n">
        <v>644142.45</v>
      </c>
      <c r="BI17" s="15" t="n">
        <v>693943.03</v>
      </c>
      <c r="BJ17" s="15" t="n">
        <v>1253208.17</v>
      </c>
      <c r="BK17" s="15" t="n">
        <v>820407.91</v>
      </c>
      <c r="BL17" s="15" t="n">
        <v>413191.73</v>
      </c>
      <c r="BM17" s="15" t="n">
        <v>153408.49</v>
      </c>
      <c r="BN17" s="15" t="n">
        <v>493115.96</v>
      </c>
      <c r="BO17" s="15" t="n">
        <v>442857.13</v>
      </c>
      <c r="BP17" s="15" t="n">
        <v>545352.35</v>
      </c>
      <c r="BQ17" s="15" t="n">
        <v>1367760.3</v>
      </c>
      <c r="BR17" s="15" t="n">
        <v>82443.05</v>
      </c>
      <c r="BS17" s="15" t="n">
        <v>228002.74</v>
      </c>
      <c r="BT17" s="15" t="n">
        <v>109006.34</v>
      </c>
      <c r="BU17" s="15" t="n">
        <v>1288270.24</v>
      </c>
      <c r="BV17" s="15" t="n">
        <v>879025.63</v>
      </c>
      <c r="BW17" s="15" t="n">
        <v>307900.77</v>
      </c>
      <c r="BX17" s="15" t="n">
        <v>592423.74</v>
      </c>
      <c r="BY17" s="15" t="n">
        <v>84178.44</v>
      </c>
      <c r="BZ17" s="15" t="n">
        <v>522434.87</v>
      </c>
      <c r="CA17" s="15" t="n">
        <v>1090766.81</v>
      </c>
      <c r="CB17" s="15" t="n">
        <v>1560504.51</v>
      </c>
      <c r="CC17" s="15" t="n">
        <v>1029090.77</v>
      </c>
      <c r="CD17" s="15" t="n">
        <v>997985.77</v>
      </c>
      <c r="CE17" s="15" t="n">
        <v>113733.07</v>
      </c>
      <c r="CF17" s="15" t="n">
        <v>512108.18</v>
      </c>
      <c r="CG17" s="15" t="n">
        <v>904733.73</v>
      </c>
      <c r="CH17" s="15" t="n">
        <v>2414933.02</v>
      </c>
      <c r="CI17" s="15" t="n">
        <v>1112459.54</v>
      </c>
      <c r="CJ17" s="15" t="n">
        <v>803255.46</v>
      </c>
      <c r="CK17" s="15" t="n">
        <v>109416.6</v>
      </c>
      <c r="CL17" s="15" t="n">
        <v>-78840.11</v>
      </c>
      <c r="CM17" s="15" t="n">
        <v>573817.28</v>
      </c>
      <c r="CN17" s="15" t="n">
        <v>974451.6899999999</v>
      </c>
      <c r="CO17" s="15" t="n">
        <v>1252401.05</v>
      </c>
      <c r="CP17" s="15" t="n">
        <v>789307.67</v>
      </c>
      <c r="CQ17" s="15" t="n">
        <v>65642.53999999999</v>
      </c>
      <c r="CR17" s="15" t="n">
        <v>278368.76</v>
      </c>
      <c r="CS17" s="15" t="n">
        <v>1986016.99</v>
      </c>
      <c r="CT17" s="15" t="n">
        <v>1970638.48</v>
      </c>
      <c r="CU17" s="15" t="n">
        <v>1107885.8</v>
      </c>
      <c r="CV17" s="15" t="n">
        <v>88551.42</v>
      </c>
      <c r="CW17" s="15" t="n">
        <v>217582.71</v>
      </c>
      <c r="CX17" s="15" t="n">
        <v>314970.74</v>
      </c>
      <c r="CY17" s="15" t="n">
        <v>645389.42</v>
      </c>
      <c r="CZ17" s="15" t="n">
        <v>2377647.41</v>
      </c>
      <c r="DA17" s="15" t="n">
        <v>319553.63</v>
      </c>
      <c r="DB17" s="15" t="n">
        <v>564221.15</v>
      </c>
      <c r="DC17" s="15" t="n">
        <v>25199.8</v>
      </c>
      <c r="DD17" s="15" t="n">
        <v>518977.47</v>
      </c>
      <c r="DE17" s="15" t="n">
        <v>1658814.08</v>
      </c>
      <c r="DF17" s="15" t="n">
        <v>2262898.88</v>
      </c>
      <c r="DG17" s="15" t="n">
        <v>380391.52</v>
      </c>
      <c r="DH17" s="15" t="n">
        <v>911320.91</v>
      </c>
      <c r="DI17" s="15" t="n">
        <v>117315.75</v>
      </c>
      <c r="DJ17" s="15" t="n">
        <v>58489.77</v>
      </c>
      <c r="DK17" s="15" t="n">
        <v>195498.11</v>
      </c>
      <c r="DL17" s="15" t="n">
        <v>926579.11</v>
      </c>
      <c r="DM17" s="15" t="n">
        <v>732673.78</v>
      </c>
      <c r="DN17" s="15" t="n">
        <v>494894.83</v>
      </c>
      <c r="DO17" s="15" t="n">
        <v>78757.44</v>
      </c>
      <c r="DP17" s="15" t="n">
        <v>-94720.39</v>
      </c>
    </row>
    <row r="18">
      <c r="A18" s="4" t="inlineStr">
        <is>
          <t>复合调味粉</t>
        </is>
      </c>
      <c r="B18" s="15" t="n">
        <v>846334.4</v>
      </c>
      <c r="C18" s="15" t="n">
        <v>1459186.4</v>
      </c>
      <c r="D18" s="15" t="n">
        <v>835006.65</v>
      </c>
      <c r="E18" s="15" t="n">
        <v>112096.05</v>
      </c>
      <c r="F18" s="15" t="n">
        <v>3648.23</v>
      </c>
      <c r="G18" s="15" t="n">
        <v>332511.82</v>
      </c>
      <c r="H18" s="15" t="n">
        <v>1912766.69</v>
      </c>
      <c r="I18" s="15" t="n">
        <v>1094916.73</v>
      </c>
      <c r="J18" s="15" t="n">
        <v>314530.11</v>
      </c>
      <c r="K18" s="15" t="n">
        <v>72143.17999999999</v>
      </c>
      <c r="L18" s="15" t="n">
        <v>315677.91</v>
      </c>
      <c r="M18" s="15" t="n">
        <v>748633.4300000001</v>
      </c>
      <c r="N18" s="15" t="n">
        <v>622973.13</v>
      </c>
      <c r="O18" s="15" t="n">
        <v>123374.16</v>
      </c>
      <c r="P18" s="15" t="n">
        <v>117738.79</v>
      </c>
      <c r="Q18" s="15" t="n">
        <v>184833.22</v>
      </c>
      <c r="R18" s="15" t="n">
        <v>327646.22</v>
      </c>
      <c r="S18" s="15" t="n">
        <v>961446.85</v>
      </c>
      <c r="T18" s="15" t="n">
        <v>1074748.94</v>
      </c>
      <c r="U18" s="15" t="n">
        <v>1071939</v>
      </c>
      <c r="V18" s="15" t="n">
        <v>689188.89</v>
      </c>
      <c r="W18" s="15" t="n">
        <v>47146.17</v>
      </c>
      <c r="X18" s="15" t="n">
        <v>438043.96</v>
      </c>
      <c r="Y18" s="15" t="n">
        <v>307251.81</v>
      </c>
      <c r="Z18" s="15" t="n">
        <v>1798704.91</v>
      </c>
      <c r="AA18" s="15" t="n">
        <v>877075.46</v>
      </c>
      <c r="AB18" s="15" t="n">
        <v>589378.89</v>
      </c>
      <c r="AC18" s="15" t="n">
        <v>201246.15</v>
      </c>
      <c r="AD18" s="15" t="n">
        <v>662495.54</v>
      </c>
      <c r="AE18" s="15" t="n">
        <v>1641688.64</v>
      </c>
      <c r="AF18" s="15" t="n">
        <v>440076.91</v>
      </c>
      <c r="AG18" s="15" t="n">
        <v>491643.59</v>
      </c>
      <c r="AH18" s="15" t="n">
        <v>787625.67</v>
      </c>
      <c r="AI18" s="15" t="n">
        <v>8503.139999999999</v>
      </c>
      <c r="AJ18" s="15" t="n">
        <v>493875.1</v>
      </c>
      <c r="AK18" s="15" t="n">
        <v>280930.3</v>
      </c>
      <c r="AL18" s="15" t="n">
        <v>2159855.95</v>
      </c>
      <c r="AM18" s="15" t="n">
        <v>233759.94</v>
      </c>
      <c r="AN18" s="15" t="n">
        <v>699079.7</v>
      </c>
      <c r="AO18" s="15" t="n">
        <v>75919.74000000001</v>
      </c>
      <c r="AP18" s="15" t="n">
        <v>132138.71</v>
      </c>
      <c r="AQ18" s="15" t="n">
        <v>1042454.39</v>
      </c>
      <c r="AR18" s="15" t="n">
        <v>2311339.06</v>
      </c>
      <c r="AS18" s="15" t="n">
        <v>546126.4399999999</v>
      </c>
      <c r="AT18" s="15" t="n">
        <v>458845.53</v>
      </c>
      <c r="AU18" s="15" t="n">
        <v>199791.82</v>
      </c>
      <c r="AV18" s="15" t="n">
        <v>-39589.49</v>
      </c>
      <c r="AW18" s="15" t="n">
        <v>1666893.56</v>
      </c>
      <c r="AX18" s="15" t="n">
        <v>1683546.83</v>
      </c>
      <c r="AY18" s="15" t="n">
        <v>192380.59</v>
      </c>
      <c r="AZ18" s="15" t="n">
        <v>951108.84</v>
      </c>
      <c r="BA18" s="15" t="n">
        <v>164226.36</v>
      </c>
      <c r="BB18" s="15" t="n">
        <v>222889.94</v>
      </c>
      <c r="BC18" s="15" t="n">
        <v>53850</v>
      </c>
      <c r="BD18" s="15" t="n">
        <v>823344.28</v>
      </c>
      <c r="BE18" s="15" t="n">
        <v>835642.71</v>
      </c>
      <c r="BF18" s="15" t="n">
        <v>839446.71</v>
      </c>
      <c r="BG18" s="15" t="n">
        <v>146298.91</v>
      </c>
      <c r="BH18" s="15" t="n">
        <v>658151.62</v>
      </c>
      <c r="BI18" s="15" t="n">
        <v>827663.99</v>
      </c>
      <c r="BJ18" s="15" t="n">
        <v>2056042.15</v>
      </c>
      <c r="BK18" s="15" t="n">
        <v>485871.53</v>
      </c>
      <c r="BL18" s="15" t="n">
        <v>445769.48</v>
      </c>
      <c r="BM18" s="15" t="n">
        <v>103164.55</v>
      </c>
      <c r="BN18" s="15" t="n">
        <v>682531.38</v>
      </c>
      <c r="BO18" s="15" t="n">
        <v>1645705.93</v>
      </c>
      <c r="BP18" s="15" t="n">
        <v>2367970.46</v>
      </c>
      <c r="BQ18" s="15" t="n">
        <v>1135198.13</v>
      </c>
      <c r="BR18" s="15" t="n">
        <v>405503.57</v>
      </c>
      <c r="BS18" s="15" t="n">
        <v>96248.47</v>
      </c>
      <c r="BT18" s="15" t="n">
        <v>302759.03</v>
      </c>
      <c r="BU18" s="15" t="n">
        <v>888726.27</v>
      </c>
      <c r="BV18" s="15" t="n">
        <v>1032133.24</v>
      </c>
      <c r="BW18" s="15" t="n">
        <v>400010.62</v>
      </c>
      <c r="BX18" s="15" t="n">
        <v>972938</v>
      </c>
      <c r="BY18" s="15" t="n">
        <v>16482.89</v>
      </c>
      <c r="BZ18" s="15" t="n">
        <v>199870.31</v>
      </c>
      <c r="CA18" s="15" t="n">
        <v>56504.47</v>
      </c>
      <c r="CB18" s="15" t="n">
        <v>1694474.97</v>
      </c>
      <c r="CC18" s="15" t="n">
        <v>1394638.64</v>
      </c>
      <c r="CD18" s="15" t="n">
        <v>851369.52</v>
      </c>
      <c r="CE18" s="15" t="n">
        <v>39221.19</v>
      </c>
      <c r="CF18" s="15" t="n">
        <v>270421.78</v>
      </c>
      <c r="CG18" s="15" t="n">
        <v>685883.25</v>
      </c>
      <c r="CH18" s="15" t="n">
        <v>835605.4300000001</v>
      </c>
      <c r="CI18" s="15" t="n">
        <v>302016.8</v>
      </c>
      <c r="CJ18" s="15" t="n">
        <v>496101.33</v>
      </c>
      <c r="CK18" s="15" t="n">
        <v>20195.65</v>
      </c>
      <c r="CL18" s="15" t="n">
        <v>387242.38</v>
      </c>
      <c r="CM18" s="15" t="n">
        <v>1093081.21</v>
      </c>
      <c r="CN18" s="15" t="n">
        <v>1263014.37</v>
      </c>
      <c r="CO18" s="15" t="n">
        <v>227508.9</v>
      </c>
      <c r="CP18" s="15" t="n">
        <v>562728.5600000001</v>
      </c>
      <c r="CQ18" s="15" t="n">
        <v>124474.39</v>
      </c>
      <c r="CR18" s="15" t="n">
        <v>22052.59</v>
      </c>
      <c r="CS18" s="15" t="n">
        <v>746761.9300000001</v>
      </c>
      <c r="CT18" s="15" t="n">
        <v>1863981.52</v>
      </c>
      <c r="CU18" s="15" t="n">
        <v>238362.49</v>
      </c>
      <c r="CV18" s="15" t="n">
        <v>14897.42</v>
      </c>
      <c r="CW18" s="15" t="n">
        <v>23866.22</v>
      </c>
      <c r="CX18" s="15" t="n">
        <v>494856.84</v>
      </c>
      <c r="CY18" s="15" t="n">
        <v>749158.14</v>
      </c>
      <c r="CZ18" s="15" t="n">
        <v>149451.14</v>
      </c>
      <c r="DA18" s="15" t="n">
        <v>1338904.44</v>
      </c>
      <c r="DB18" s="15" t="n">
        <v>178466.03</v>
      </c>
      <c r="DC18" s="15" t="n">
        <v>207583</v>
      </c>
      <c r="DD18" s="15" t="n">
        <v>297301.22</v>
      </c>
      <c r="DE18" s="15" t="n">
        <v>1371699.6</v>
      </c>
      <c r="DF18" s="15" t="n">
        <v>1631119.2</v>
      </c>
      <c r="DG18" s="15" t="n">
        <v>664737.99</v>
      </c>
      <c r="DH18" s="15" t="n">
        <v>688715.4</v>
      </c>
      <c r="DI18" s="15" t="n">
        <v>13501.76</v>
      </c>
      <c r="DJ18" s="15" t="n">
        <v>222918.01</v>
      </c>
      <c r="DK18" s="15" t="n">
        <v>978747.29</v>
      </c>
      <c r="DL18" s="15" t="n">
        <v>797960.34</v>
      </c>
      <c r="DM18" s="15" t="n">
        <v>1295435.33</v>
      </c>
      <c r="DN18" s="15" t="n">
        <v>437474.37</v>
      </c>
      <c r="DO18" s="15" t="n">
        <v>148118.28</v>
      </c>
      <c r="DP18" s="15" t="n">
        <v>108890.86</v>
      </c>
    </row>
    <row r="19">
      <c r="A19" s="4" t="inlineStr">
        <is>
          <t>团餐</t>
        </is>
      </c>
      <c r="B19" s="15" t="n">
        <v>2010245.98</v>
      </c>
      <c r="C19" s="15" t="n">
        <v>158948.54</v>
      </c>
      <c r="D19" s="15" t="n">
        <v>254699.99</v>
      </c>
      <c r="E19" s="15" t="n">
        <v>52525.26</v>
      </c>
      <c r="F19" s="15" t="n">
        <v>362387.93</v>
      </c>
      <c r="G19" s="15" t="n">
        <v>412240.24</v>
      </c>
      <c r="H19" s="15" t="n">
        <v>1438342.96</v>
      </c>
      <c r="I19" s="15" t="n">
        <v>1349700.23</v>
      </c>
      <c r="J19" s="15" t="n">
        <v>249396.3</v>
      </c>
      <c r="K19" s="15" t="n">
        <v>9855.459999999999</v>
      </c>
      <c r="L19" s="15" t="n">
        <v>-32867.04</v>
      </c>
      <c r="M19" s="15" t="n">
        <v>1846689.05</v>
      </c>
      <c r="N19" s="15" t="n">
        <v>2012379.85</v>
      </c>
      <c r="O19" s="15" t="n">
        <v>777216.04</v>
      </c>
      <c r="P19" s="15" t="n">
        <v>671898.0699999999</v>
      </c>
      <c r="Q19" s="15" t="n">
        <v>103118.5</v>
      </c>
      <c r="R19" s="15" t="n">
        <v>113853.15</v>
      </c>
      <c r="S19" s="15" t="n">
        <v>1082283.06</v>
      </c>
      <c r="T19" s="15" t="n">
        <v>890688.46</v>
      </c>
      <c r="U19" s="15" t="n">
        <v>762284.42</v>
      </c>
      <c r="V19" s="15" t="n">
        <v>377815.37</v>
      </c>
      <c r="W19" s="15" t="n">
        <v>175649.74</v>
      </c>
      <c r="X19" s="15" t="n">
        <v>202157.28</v>
      </c>
      <c r="Y19" s="15" t="n">
        <v>1156245.84</v>
      </c>
      <c r="Z19" s="15" t="n">
        <v>305637.85</v>
      </c>
      <c r="AA19" s="15" t="n">
        <v>139985</v>
      </c>
      <c r="AB19" s="15" t="n">
        <v>200928.75</v>
      </c>
      <c r="AC19" s="15" t="n">
        <v>154110.13</v>
      </c>
      <c r="AD19" s="15" t="n">
        <v>695942.25</v>
      </c>
      <c r="AE19" s="15" t="n">
        <v>719026.53</v>
      </c>
      <c r="AF19" s="15" t="n">
        <v>1783402.77</v>
      </c>
      <c r="AG19" s="15" t="n">
        <v>799225.2</v>
      </c>
      <c r="AH19" s="15" t="n">
        <v>324207.43</v>
      </c>
      <c r="AI19" s="15" t="n">
        <v>234677.54</v>
      </c>
      <c r="AJ19" s="15" t="n">
        <v>713999.01</v>
      </c>
      <c r="AK19" s="15" t="n">
        <v>1764201.99</v>
      </c>
      <c r="AL19" s="15" t="n">
        <v>539311.23</v>
      </c>
      <c r="AM19" s="15" t="n">
        <v>767456.5</v>
      </c>
      <c r="AN19" s="15" t="n">
        <v>715492.98</v>
      </c>
      <c r="AO19" s="15" t="n">
        <v>26803.11</v>
      </c>
      <c r="AP19" s="15" t="n">
        <v>105305.51</v>
      </c>
      <c r="AQ19" s="15" t="n">
        <v>724231.11</v>
      </c>
      <c r="AR19" s="15" t="n">
        <v>1023670.92</v>
      </c>
      <c r="AS19" s="15" t="n">
        <v>653594.52</v>
      </c>
      <c r="AT19" s="15" t="n">
        <v>621451.78</v>
      </c>
      <c r="AU19" s="15" t="n">
        <v>243477.32</v>
      </c>
      <c r="AV19" s="15" t="n">
        <v>110326.41</v>
      </c>
      <c r="AW19" s="15" t="n">
        <v>1974535.59</v>
      </c>
      <c r="AX19" s="15" t="n">
        <v>2029319.27</v>
      </c>
      <c r="AY19" s="15" t="n">
        <v>827635.42</v>
      </c>
      <c r="AZ19" s="15" t="n">
        <v>807557.73</v>
      </c>
      <c r="BA19" s="15" t="n">
        <v>92073.3</v>
      </c>
      <c r="BB19" s="15" t="n">
        <v>652441.85</v>
      </c>
      <c r="BC19" s="15" t="n">
        <v>1092908.49</v>
      </c>
      <c r="BD19" s="15" t="n">
        <v>1677521.56</v>
      </c>
      <c r="BE19" s="15" t="n">
        <v>130388.87</v>
      </c>
      <c r="BF19" s="15" t="n">
        <v>656793.0699999999</v>
      </c>
      <c r="BG19" s="15" t="n">
        <v>231238.8</v>
      </c>
      <c r="BH19" s="15" t="n">
        <v>177967.64</v>
      </c>
      <c r="BI19" s="15" t="n">
        <v>1377732.78</v>
      </c>
      <c r="BJ19" s="15" t="n">
        <v>2264696.79</v>
      </c>
      <c r="BK19" s="15" t="n">
        <v>1047975.88</v>
      </c>
      <c r="BL19" s="15" t="n">
        <v>604005.77</v>
      </c>
      <c r="BM19" s="15" t="n">
        <v>188743.18</v>
      </c>
      <c r="BN19" s="15" t="n">
        <v>744208.09</v>
      </c>
      <c r="BO19" s="15" t="n">
        <v>1558830.42</v>
      </c>
      <c r="BP19" s="15" t="n">
        <v>2294511.88</v>
      </c>
      <c r="BQ19" s="15" t="n">
        <v>665282.52</v>
      </c>
      <c r="BR19" s="15" t="n">
        <v>271099.61</v>
      </c>
      <c r="BS19" s="15" t="n">
        <v>109019.21</v>
      </c>
      <c r="BT19" s="15" t="n">
        <v>412343.7</v>
      </c>
      <c r="BU19" s="15" t="n">
        <v>1282288.38</v>
      </c>
      <c r="BV19" s="15" t="n">
        <v>1081217.56</v>
      </c>
      <c r="BW19" s="15" t="n">
        <v>1424997.51</v>
      </c>
      <c r="BX19" s="15" t="n">
        <v>595992.0600000001</v>
      </c>
      <c r="BY19" s="15" t="n">
        <v>101366.92</v>
      </c>
      <c r="BZ19" s="15" t="n">
        <v>652526.52</v>
      </c>
      <c r="CA19" s="15" t="n">
        <v>1874283.56</v>
      </c>
      <c r="CB19" s="15" t="n">
        <v>745695.27</v>
      </c>
      <c r="CC19" s="15" t="n">
        <v>664472.87</v>
      </c>
      <c r="CD19" s="15" t="n">
        <v>861405.8100000001</v>
      </c>
      <c r="CE19" s="15" t="n">
        <v>209944.94</v>
      </c>
      <c r="CF19" s="15" t="n">
        <v>312459.43</v>
      </c>
      <c r="CG19" s="15" t="n">
        <v>1196115.27</v>
      </c>
      <c r="CH19" s="15" t="n">
        <v>518536.3</v>
      </c>
      <c r="CI19" s="15" t="n">
        <v>737638.12</v>
      </c>
      <c r="CJ19" s="15" t="n">
        <v>729616.97</v>
      </c>
      <c r="CK19" s="15" t="n">
        <v>153519.7</v>
      </c>
      <c r="CL19" s="15" t="n">
        <v>738612.8</v>
      </c>
      <c r="CM19" s="15" t="n">
        <v>217293.48</v>
      </c>
      <c r="CN19" s="15" t="n">
        <v>2200428.03</v>
      </c>
      <c r="CO19" s="15" t="n">
        <v>222740.78</v>
      </c>
      <c r="CP19" s="15" t="n">
        <v>988168.73</v>
      </c>
      <c r="CQ19" s="15" t="n">
        <v>205102.44</v>
      </c>
      <c r="CR19" s="15" t="n">
        <v>320285.22</v>
      </c>
      <c r="CS19" s="15" t="n">
        <v>191073.5</v>
      </c>
      <c r="CT19" s="15" t="n">
        <v>1909555.19</v>
      </c>
      <c r="CU19" s="15" t="n">
        <v>1029122.7</v>
      </c>
      <c r="CV19" s="15" t="n">
        <v>996839.96</v>
      </c>
      <c r="CW19" s="15" t="n">
        <v>81637.97</v>
      </c>
      <c r="CX19" s="15" t="n">
        <v>512253.29</v>
      </c>
      <c r="CY19" s="15" t="n">
        <v>1365150.33</v>
      </c>
      <c r="CZ19" s="15" t="n">
        <v>361656.72</v>
      </c>
      <c r="DA19" s="15" t="n">
        <v>43271.7</v>
      </c>
      <c r="DB19" s="15" t="n">
        <v>544626.23</v>
      </c>
      <c r="DC19" s="15" t="n">
        <v>166800.14</v>
      </c>
      <c r="DD19" s="15" t="n">
        <v>35018.62</v>
      </c>
      <c r="DE19" s="15" t="n">
        <v>1833609.66</v>
      </c>
      <c r="DF19" s="15" t="n">
        <v>354290.07</v>
      </c>
      <c r="DG19" s="15" t="n">
        <v>1294869.53</v>
      </c>
      <c r="DH19" s="15" t="n">
        <v>371677.19</v>
      </c>
      <c r="DI19" s="15" t="n">
        <v>23431.72</v>
      </c>
      <c r="DJ19" s="15" t="n">
        <v>-64754.18</v>
      </c>
      <c r="DK19" s="15" t="n">
        <v>577071.78</v>
      </c>
      <c r="DL19" s="15" t="n">
        <v>912015.09</v>
      </c>
      <c r="DM19" s="15" t="n">
        <v>1200869.29</v>
      </c>
      <c r="DN19" s="15" t="n">
        <v>179806.65</v>
      </c>
      <c r="DO19" s="15" t="n">
        <v>79662.77</v>
      </c>
      <c r="DP19" s="15" t="n">
        <v>738289.74</v>
      </c>
    </row>
    <row r="20">
      <c r="A20" s="4" t="inlineStr">
        <is>
          <t>预制菜</t>
        </is>
      </c>
      <c r="B20" s="15" t="n">
        <v>713121.75</v>
      </c>
      <c r="C20" s="15" t="n">
        <v>1042283.1</v>
      </c>
      <c r="D20" s="15" t="n">
        <v>158999.31</v>
      </c>
      <c r="E20" s="15" t="n">
        <v>27993.37</v>
      </c>
      <c r="F20" s="15" t="n">
        <v>186094.45</v>
      </c>
      <c r="G20" s="15" t="n">
        <v>839747.26</v>
      </c>
      <c r="H20" s="15" t="n">
        <v>1598815.71</v>
      </c>
      <c r="I20" s="15" t="n">
        <v>376657.94</v>
      </c>
      <c r="J20" s="15" t="n">
        <v>220016.21</v>
      </c>
      <c r="K20" s="15" t="n">
        <v>171137.77</v>
      </c>
      <c r="L20" s="15" t="n">
        <v>-69000.88</v>
      </c>
      <c r="M20" s="15" t="n">
        <v>345091.39</v>
      </c>
      <c r="N20" s="15" t="n">
        <v>512095.92</v>
      </c>
      <c r="O20" s="15" t="n">
        <v>223270.53</v>
      </c>
      <c r="P20" s="15" t="n">
        <v>136944.47</v>
      </c>
      <c r="Q20" s="15" t="n">
        <v>63942.68</v>
      </c>
      <c r="R20" s="15" t="n">
        <v>357691</v>
      </c>
      <c r="S20" s="15" t="n">
        <v>1910642.67</v>
      </c>
      <c r="T20" s="15" t="n">
        <v>85509.07000000001</v>
      </c>
      <c r="U20" s="15" t="n">
        <v>108871.75</v>
      </c>
      <c r="V20" s="15" t="n">
        <v>499570.84</v>
      </c>
      <c r="W20" s="15" t="n">
        <v>81775.46000000001</v>
      </c>
      <c r="X20" s="15" t="n">
        <v>626857.95</v>
      </c>
      <c r="Y20" s="15" t="n">
        <v>1523166.39</v>
      </c>
      <c r="Z20" s="15" t="n">
        <v>2103551.17</v>
      </c>
      <c r="AA20" s="15" t="n">
        <v>126352.27</v>
      </c>
      <c r="AB20" s="15" t="n">
        <v>280917.87</v>
      </c>
      <c r="AC20" s="15" t="n">
        <v>44108.12</v>
      </c>
      <c r="AD20" s="15" t="n">
        <v>19971.83</v>
      </c>
      <c r="AE20" s="15" t="n">
        <v>594841.61</v>
      </c>
      <c r="AF20" s="15" t="n">
        <v>778938.1800000001</v>
      </c>
      <c r="AG20" s="15" t="n">
        <v>1136944.6</v>
      </c>
      <c r="AH20" s="15" t="n">
        <v>353059.93</v>
      </c>
      <c r="AI20" s="15" t="n">
        <v>124525.5</v>
      </c>
      <c r="AJ20" s="15" t="n">
        <v>213711.69</v>
      </c>
      <c r="AK20" s="15" t="n">
        <v>1529535.1</v>
      </c>
      <c r="AL20" s="15" t="n">
        <v>1876793.01</v>
      </c>
      <c r="AM20" s="15" t="n">
        <v>342166.59</v>
      </c>
      <c r="AN20" s="15" t="n">
        <v>868448.29</v>
      </c>
      <c r="AO20" s="15" t="n">
        <v>235706.94</v>
      </c>
      <c r="AP20" s="15" t="n">
        <v>338167.67</v>
      </c>
      <c r="AQ20" s="15" t="n">
        <v>1715738.6</v>
      </c>
      <c r="AR20" s="15" t="n">
        <v>1617145.02</v>
      </c>
      <c r="AS20" s="15" t="n">
        <v>1326497.15</v>
      </c>
      <c r="AT20" s="15" t="n">
        <v>612020.4</v>
      </c>
      <c r="AU20" s="15" t="n">
        <v>119079.5</v>
      </c>
      <c r="AV20" s="15" t="n">
        <v>18756.8</v>
      </c>
      <c r="AW20" s="15" t="n">
        <v>568866.3199999999</v>
      </c>
      <c r="AX20" s="15" t="n">
        <v>790585.78</v>
      </c>
      <c r="AY20" s="15" t="n">
        <v>1187970.2</v>
      </c>
      <c r="AZ20" s="15" t="n">
        <v>95178.60000000001</v>
      </c>
      <c r="BA20" s="15" t="n">
        <v>227288.18</v>
      </c>
      <c r="BB20" s="15" t="n">
        <v>-89779.06</v>
      </c>
      <c r="BC20" s="15" t="n">
        <v>989064.29</v>
      </c>
      <c r="BD20" s="15" t="n">
        <v>1689722.83</v>
      </c>
      <c r="BE20" s="15" t="n">
        <v>285618.67</v>
      </c>
      <c r="BF20" s="15" t="n">
        <v>680901.59</v>
      </c>
      <c r="BG20" s="15" t="n">
        <v>177138.05</v>
      </c>
      <c r="BH20" s="15" t="n">
        <v>105297.23</v>
      </c>
      <c r="BI20" s="15" t="n">
        <v>1860087.21</v>
      </c>
      <c r="BJ20" s="15" t="n">
        <v>1903402.69</v>
      </c>
      <c r="BK20" s="15" t="n">
        <v>748775.85</v>
      </c>
      <c r="BL20" s="15" t="n">
        <v>633303.79</v>
      </c>
      <c r="BM20" s="15" t="n">
        <v>59049.87</v>
      </c>
      <c r="BN20" s="15" t="n">
        <v>270740.4</v>
      </c>
      <c r="BO20" s="15" t="n">
        <v>712569.1800000001</v>
      </c>
      <c r="BP20" s="15" t="n">
        <v>1130048.26</v>
      </c>
      <c r="BQ20" s="15" t="n">
        <v>125361.24</v>
      </c>
      <c r="BR20" s="15" t="n">
        <v>136001.06</v>
      </c>
      <c r="BS20" s="15" t="n">
        <v>92457.12</v>
      </c>
      <c r="BT20" s="15" t="n">
        <v>704961.5600000001</v>
      </c>
      <c r="BU20" s="15" t="n">
        <v>701604.34</v>
      </c>
      <c r="BV20" s="15" t="n">
        <v>809462.38</v>
      </c>
      <c r="BW20" s="15" t="n">
        <v>1392325.8</v>
      </c>
      <c r="BX20" s="15" t="n">
        <v>295219.55</v>
      </c>
      <c r="BY20" s="15" t="n">
        <v>234714.3</v>
      </c>
      <c r="BZ20" s="15" t="n">
        <v>52765.81</v>
      </c>
      <c r="CA20" s="15" t="n">
        <v>803682.42</v>
      </c>
      <c r="CB20" s="15" t="n">
        <v>1098577.17</v>
      </c>
      <c r="CC20" s="15" t="n">
        <v>529190.89</v>
      </c>
      <c r="CD20" s="15" t="n">
        <v>686507.88</v>
      </c>
      <c r="CE20" s="15" t="n">
        <v>147123.94</v>
      </c>
      <c r="CF20" s="15" t="n">
        <v>578841.58</v>
      </c>
      <c r="CG20" s="15" t="n">
        <v>1171117.47</v>
      </c>
      <c r="CH20" s="15" t="n">
        <v>2181406.3</v>
      </c>
      <c r="CI20" s="15" t="n">
        <v>922608.21</v>
      </c>
      <c r="CJ20" s="15" t="n">
        <v>187439.77</v>
      </c>
      <c r="CK20" s="15" t="n">
        <v>178411.68</v>
      </c>
      <c r="CL20" s="15" t="n">
        <v>607428.45</v>
      </c>
      <c r="CM20" s="15" t="n">
        <v>1924970.32</v>
      </c>
      <c r="CN20" s="15" t="n">
        <v>897077.11</v>
      </c>
      <c r="CO20" s="15" t="n">
        <v>1402594.08</v>
      </c>
      <c r="CP20" s="15" t="n">
        <v>107239.71</v>
      </c>
      <c r="CQ20" s="15" t="n">
        <v>221752.05</v>
      </c>
      <c r="CR20" s="15" t="n">
        <v>605930.53</v>
      </c>
      <c r="CS20" s="15" t="n">
        <v>476263.53</v>
      </c>
      <c r="CT20" s="15" t="n">
        <v>661424.25</v>
      </c>
      <c r="CU20" s="15" t="n">
        <v>104292.6</v>
      </c>
      <c r="CV20" s="15" t="n">
        <v>166021.53</v>
      </c>
      <c r="CW20" s="15" t="n">
        <v>156588.88</v>
      </c>
      <c r="CX20" s="15" t="n">
        <v>529726.6</v>
      </c>
      <c r="CY20" s="15" t="n">
        <v>1945968.41</v>
      </c>
      <c r="CZ20" s="15" t="n">
        <v>1627883.46</v>
      </c>
      <c r="DA20" s="15" t="n">
        <v>515926.77</v>
      </c>
      <c r="DB20" s="15" t="n">
        <v>189126.21</v>
      </c>
      <c r="DC20" s="15" t="n">
        <v>75565.25999999999</v>
      </c>
      <c r="DD20" s="15" t="n">
        <v>279493.65</v>
      </c>
      <c r="DE20" s="15" t="n">
        <v>410329.89</v>
      </c>
      <c r="DF20" s="15" t="n">
        <v>1776896.89</v>
      </c>
      <c r="DG20" s="15" t="n">
        <v>1253383.34</v>
      </c>
      <c r="DH20" s="15" t="n">
        <v>79172.06</v>
      </c>
      <c r="DI20" s="15" t="n">
        <v>37241.38</v>
      </c>
      <c r="DJ20" s="15" t="n">
        <v>635138.01</v>
      </c>
      <c r="DK20" s="15" t="n">
        <v>1734518.09</v>
      </c>
      <c r="DL20" s="15" t="n">
        <v>591565.87</v>
      </c>
      <c r="DM20" s="15" t="n">
        <v>1380869.47</v>
      </c>
      <c r="DN20" s="15" t="n">
        <v>691769.34</v>
      </c>
      <c r="DO20" s="15" t="n">
        <v>31862.35</v>
      </c>
      <c r="DP20" s="15" t="n">
        <v>738437.4399999999</v>
      </c>
    </row>
    <row r="21">
      <c r="A21" s="4" t="inlineStr">
        <is>
          <t>其他产品A</t>
        </is>
      </c>
      <c r="B21" s="15" t="n">
        <v>899261.64</v>
      </c>
      <c r="C21" s="15" t="n">
        <v>386357.99</v>
      </c>
      <c r="D21" s="15" t="n">
        <v>699849.36</v>
      </c>
      <c r="E21" s="15" t="n">
        <v>93844.74000000001</v>
      </c>
      <c r="F21" s="15" t="n">
        <v>292665.59</v>
      </c>
      <c r="G21" s="15" t="n">
        <v>1843368.15</v>
      </c>
      <c r="H21" s="15" t="n">
        <v>2374890.74</v>
      </c>
      <c r="I21" s="15" t="n">
        <v>1209000.55</v>
      </c>
      <c r="J21" s="15" t="n">
        <v>93433.03</v>
      </c>
      <c r="K21" s="15" t="n">
        <v>186151.87</v>
      </c>
      <c r="L21" s="15" t="n">
        <v>258209.05</v>
      </c>
      <c r="M21" s="15" t="n">
        <v>1359747.37</v>
      </c>
      <c r="N21" s="15" t="n">
        <v>2458409.19</v>
      </c>
      <c r="O21" s="15" t="n">
        <v>79386.75999999999</v>
      </c>
      <c r="P21" s="15" t="n">
        <v>926877.6</v>
      </c>
      <c r="Q21" s="15" t="n">
        <v>100941.09</v>
      </c>
      <c r="R21" s="15" t="n">
        <v>455427.93</v>
      </c>
      <c r="S21" s="15" t="n">
        <v>1359030.19</v>
      </c>
      <c r="T21" s="15" t="n">
        <v>1515197.98</v>
      </c>
      <c r="U21" s="15" t="n">
        <v>97411.48</v>
      </c>
      <c r="V21" s="15" t="n">
        <v>719970.01</v>
      </c>
      <c r="W21" s="15" t="n">
        <v>209369.26</v>
      </c>
      <c r="X21" s="15" t="n">
        <v>61151.29</v>
      </c>
      <c r="Y21" s="15" t="n">
        <v>532323.74</v>
      </c>
      <c r="Z21" s="15" t="n">
        <v>578196.88</v>
      </c>
      <c r="AA21" s="15" t="n">
        <v>422557.14</v>
      </c>
      <c r="AB21" s="15" t="n">
        <v>258470.27</v>
      </c>
      <c r="AC21" s="15" t="n">
        <v>206809.48</v>
      </c>
      <c r="AD21" s="15" t="n">
        <v>536436.4</v>
      </c>
      <c r="AE21" s="15" t="n">
        <v>1144317.2</v>
      </c>
      <c r="AF21" s="15" t="n">
        <v>1996236.18</v>
      </c>
      <c r="AG21" s="15" t="n">
        <v>894712.03</v>
      </c>
      <c r="AH21" s="15" t="n">
        <v>260353.76</v>
      </c>
      <c r="AI21" s="15" t="n">
        <v>43295.98</v>
      </c>
      <c r="AJ21" s="15" t="n">
        <v>546125.3</v>
      </c>
      <c r="AK21" s="15" t="n">
        <v>1849614.03</v>
      </c>
      <c r="AL21" s="15" t="n">
        <v>68265.98</v>
      </c>
      <c r="AM21" s="15" t="n">
        <v>112870.36</v>
      </c>
      <c r="AN21" s="15" t="n">
        <v>632958.83</v>
      </c>
      <c r="AO21" s="15" t="n">
        <v>45461.75</v>
      </c>
      <c r="AP21" s="15" t="n">
        <v>655812.22</v>
      </c>
      <c r="AQ21" s="15" t="n">
        <v>905215.9399999999</v>
      </c>
      <c r="AR21" s="15" t="n">
        <v>1808617.65</v>
      </c>
      <c r="AS21" s="15" t="n">
        <v>381295.46</v>
      </c>
      <c r="AT21" s="15" t="n">
        <v>165638.46</v>
      </c>
      <c r="AU21" s="15" t="n">
        <v>129610.03</v>
      </c>
      <c r="AV21" s="15" t="n">
        <v>620101.73</v>
      </c>
      <c r="AW21" s="15" t="n">
        <v>1034251.03</v>
      </c>
      <c r="AX21" s="15" t="n">
        <v>2212129.05</v>
      </c>
      <c r="AY21" s="15" t="n">
        <v>685674.92</v>
      </c>
      <c r="AZ21" s="15" t="n">
        <v>549913.42</v>
      </c>
      <c r="BA21" s="15" t="n">
        <v>168820.29</v>
      </c>
      <c r="BB21" s="15" t="n">
        <v>-9539.959999999999</v>
      </c>
      <c r="BC21" s="15" t="n">
        <v>1219106.22</v>
      </c>
      <c r="BD21" s="15" t="n">
        <v>584833.27</v>
      </c>
      <c r="BE21" s="15" t="n">
        <v>824398.3199999999</v>
      </c>
      <c r="BF21" s="15" t="n">
        <v>378411.67</v>
      </c>
      <c r="BG21" s="15" t="n">
        <v>14675.61</v>
      </c>
      <c r="BH21" s="15" t="n">
        <v>-62941.75</v>
      </c>
      <c r="BI21" s="15" t="n">
        <v>125039.43</v>
      </c>
      <c r="BJ21" s="15" t="n">
        <v>196992.84</v>
      </c>
      <c r="BK21" s="15" t="n">
        <v>651803.55</v>
      </c>
      <c r="BL21" s="15" t="n">
        <v>637794.92</v>
      </c>
      <c r="BM21" s="15" t="n">
        <v>39425.11</v>
      </c>
      <c r="BN21" s="15" t="n">
        <v>337307.12</v>
      </c>
      <c r="BO21" s="15" t="n">
        <v>1726514.92</v>
      </c>
      <c r="BP21" s="15" t="n">
        <v>1631202.39</v>
      </c>
      <c r="BQ21" s="15" t="n">
        <v>729491.1899999999</v>
      </c>
      <c r="BR21" s="15" t="n">
        <v>451484.97</v>
      </c>
      <c r="BS21" s="15" t="n">
        <v>86022.87</v>
      </c>
      <c r="BT21" s="15" t="n">
        <v>242114.14</v>
      </c>
      <c r="BU21" s="15" t="n">
        <v>1120996.53</v>
      </c>
      <c r="BV21" s="15" t="n">
        <v>345459.04</v>
      </c>
      <c r="BW21" s="15" t="n">
        <v>273576.8</v>
      </c>
      <c r="BX21" s="15" t="n">
        <v>661489.37</v>
      </c>
      <c r="BY21" s="15" t="n">
        <v>241162.12</v>
      </c>
      <c r="BZ21" s="15" t="n">
        <v>456089.14</v>
      </c>
      <c r="CA21" s="15" t="n">
        <v>513005.28</v>
      </c>
      <c r="CB21" s="15" t="n">
        <v>721833.35</v>
      </c>
      <c r="CC21" s="15" t="n">
        <v>649101.35</v>
      </c>
      <c r="CD21" s="15" t="n">
        <v>224432.14</v>
      </c>
      <c r="CE21" s="15" t="n">
        <v>50033.57</v>
      </c>
      <c r="CF21" s="15" t="n">
        <v>143985.75</v>
      </c>
      <c r="CG21" s="15" t="n">
        <v>781940.5</v>
      </c>
      <c r="CH21" s="15" t="n">
        <v>1638842.71</v>
      </c>
      <c r="CI21" s="15" t="n">
        <v>1459043.29</v>
      </c>
      <c r="CJ21" s="15" t="n">
        <v>673451.27</v>
      </c>
      <c r="CK21" s="15" t="n">
        <v>214639.32</v>
      </c>
      <c r="CL21" s="15" t="n">
        <v>349107.64</v>
      </c>
      <c r="CM21" s="15" t="n">
        <v>1879017.94</v>
      </c>
      <c r="CN21" s="15" t="n">
        <v>1939500.32</v>
      </c>
      <c r="CO21" s="15" t="n">
        <v>521251.61</v>
      </c>
      <c r="CP21" s="15" t="n">
        <v>751078.84</v>
      </c>
      <c r="CQ21" s="15" t="n">
        <v>185037.5</v>
      </c>
      <c r="CR21" s="15" t="n">
        <v>182962.38</v>
      </c>
      <c r="CS21" s="15" t="n">
        <v>952457.21</v>
      </c>
      <c r="CT21" s="15" t="n">
        <v>1262946.85</v>
      </c>
      <c r="CU21" s="15" t="n">
        <v>490965.79</v>
      </c>
      <c r="CV21" s="15" t="n">
        <v>988230.21</v>
      </c>
      <c r="CW21" s="15" t="n">
        <v>21656.33</v>
      </c>
      <c r="CX21" s="15" t="n">
        <v>740934.8199999999</v>
      </c>
      <c r="CY21" s="15" t="n">
        <v>758243.76</v>
      </c>
      <c r="CZ21" s="15" t="n">
        <v>1979639.64</v>
      </c>
      <c r="DA21" s="15" t="n">
        <v>1269400.6</v>
      </c>
      <c r="DB21" s="15" t="n">
        <v>504700.56</v>
      </c>
      <c r="DC21" s="15" t="n">
        <v>144375.94</v>
      </c>
      <c r="DD21" s="15" t="n">
        <v>228614.07</v>
      </c>
      <c r="DE21" s="15" t="n">
        <v>1419125.87</v>
      </c>
      <c r="DF21" s="15" t="n">
        <v>1437483.54</v>
      </c>
      <c r="DG21" s="15" t="n">
        <v>1372285.12</v>
      </c>
      <c r="DH21" s="15" t="n">
        <v>414304.22</v>
      </c>
      <c r="DI21" s="15" t="n">
        <v>198321.94</v>
      </c>
      <c r="DJ21" s="15" t="n">
        <v>-89284</v>
      </c>
      <c r="DK21" s="15" t="n">
        <v>1579856.48</v>
      </c>
      <c r="DL21" s="15" t="n">
        <v>1619385.8</v>
      </c>
      <c r="DM21" s="15" t="n">
        <v>1160621.44</v>
      </c>
      <c r="DN21" s="15" t="n">
        <v>929056.97</v>
      </c>
      <c r="DO21" s="15" t="n">
        <v>177808.08</v>
      </c>
      <c r="DP21" s="15" t="n">
        <v>280547.82</v>
      </c>
    </row>
    <row r="22">
      <c r="A22" s="4" t="inlineStr">
        <is>
          <t>其他产品B</t>
        </is>
      </c>
      <c r="B22" s="15" t="n">
        <v>821202.98</v>
      </c>
      <c r="C22" s="15" t="n">
        <v>298037.31</v>
      </c>
      <c r="D22" s="15" t="n">
        <v>844577.46</v>
      </c>
      <c r="E22" s="15" t="n">
        <v>185507.05</v>
      </c>
      <c r="F22" s="15" t="n">
        <v>338461.52</v>
      </c>
      <c r="G22" s="15" t="n">
        <v>1289358.14</v>
      </c>
      <c r="H22" s="15" t="n">
        <v>266275.47</v>
      </c>
      <c r="I22" s="15" t="n">
        <v>859011.87</v>
      </c>
      <c r="J22" s="15" t="n">
        <v>192171.47</v>
      </c>
      <c r="K22" s="15" t="n">
        <v>222388.93</v>
      </c>
      <c r="L22" s="15" t="n">
        <v>177157.54</v>
      </c>
      <c r="M22" s="15" t="n">
        <v>1475411.27</v>
      </c>
      <c r="N22" s="15" t="n">
        <v>879353.1</v>
      </c>
      <c r="O22" s="15" t="n">
        <v>735537.02</v>
      </c>
      <c r="P22" s="15" t="n">
        <v>591994.73</v>
      </c>
      <c r="Q22" s="15" t="n">
        <v>95225.2</v>
      </c>
      <c r="R22" s="15" t="n">
        <v>512290.91</v>
      </c>
      <c r="S22" s="15" t="n">
        <v>928191.92</v>
      </c>
      <c r="T22" s="15" t="n">
        <v>369631.3</v>
      </c>
      <c r="U22" s="15" t="n">
        <v>742469.16</v>
      </c>
      <c r="V22" s="15" t="n">
        <v>419080.58</v>
      </c>
      <c r="W22" s="15" t="n">
        <v>71888.87</v>
      </c>
      <c r="X22" s="15" t="n">
        <v>142029.16</v>
      </c>
      <c r="Y22" s="15" t="n">
        <v>1873998.96</v>
      </c>
      <c r="Z22" s="15" t="n">
        <v>801868.12</v>
      </c>
      <c r="AA22" s="15" t="n">
        <v>114403.94</v>
      </c>
      <c r="AB22" s="15" t="n">
        <v>622639.3100000001</v>
      </c>
      <c r="AC22" s="15" t="n">
        <v>120606.7</v>
      </c>
      <c r="AD22" s="15" t="n">
        <v>363354.78</v>
      </c>
      <c r="AE22" s="15" t="n">
        <v>472531.3</v>
      </c>
      <c r="AF22" s="15" t="n">
        <v>1242389.97</v>
      </c>
      <c r="AG22" s="15" t="n">
        <v>293038.64</v>
      </c>
      <c r="AH22" s="15" t="n">
        <v>563969.09</v>
      </c>
      <c r="AI22" s="15" t="n">
        <v>34855.64</v>
      </c>
      <c r="AJ22" s="15" t="n">
        <v>426943.59</v>
      </c>
      <c r="AK22" s="15" t="n">
        <v>432619.52</v>
      </c>
      <c r="AL22" s="15" t="n">
        <v>1614016.88</v>
      </c>
      <c r="AM22" s="15" t="n">
        <v>248449.18</v>
      </c>
      <c r="AN22" s="15" t="n">
        <v>893567.05</v>
      </c>
      <c r="AO22" s="15" t="n">
        <v>169437.45</v>
      </c>
      <c r="AP22" s="15" t="n">
        <v>415194.2</v>
      </c>
      <c r="AQ22" s="15" t="n">
        <v>365743.36</v>
      </c>
      <c r="AR22" s="15" t="n">
        <v>1613005.35</v>
      </c>
      <c r="AS22" s="15" t="n">
        <v>78417.87</v>
      </c>
      <c r="AT22" s="15" t="n">
        <v>719136.16</v>
      </c>
      <c r="AU22" s="15" t="n">
        <v>170058.47</v>
      </c>
      <c r="AV22" s="15" t="n">
        <v>702562.52</v>
      </c>
      <c r="AW22" s="15" t="n">
        <v>638999.48</v>
      </c>
      <c r="AX22" s="15" t="n">
        <v>1015601.5</v>
      </c>
      <c r="AY22" s="15" t="n">
        <v>225637.31</v>
      </c>
      <c r="AZ22" s="15" t="n">
        <v>267696.89</v>
      </c>
      <c r="BA22" s="15" t="n">
        <v>117912</v>
      </c>
      <c r="BB22" s="15" t="n">
        <v>267640.21</v>
      </c>
      <c r="BC22" s="15" t="n">
        <v>1306966.22</v>
      </c>
      <c r="BD22" s="15" t="n">
        <v>1499537.08</v>
      </c>
      <c r="BE22" s="15" t="n">
        <v>512779.56</v>
      </c>
      <c r="BF22" s="15" t="n">
        <v>607422.78</v>
      </c>
      <c r="BG22" s="15" t="n">
        <v>230681.21</v>
      </c>
      <c r="BH22" s="15" t="n">
        <v>297662.06</v>
      </c>
      <c r="BI22" s="15" t="n">
        <v>1870310.38</v>
      </c>
      <c r="BJ22" s="15" t="n">
        <v>1665115.58</v>
      </c>
      <c r="BK22" s="15" t="n">
        <v>994718.41</v>
      </c>
      <c r="BL22" s="15" t="n">
        <v>754009.09</v>
      </c>
      <c r="BM22" s="15" t="n">
        <v>103704.24</v>
      </c>
      <c r="BN22" s="15" t="n">
        <v>483982.35</v>
      </c>
      <c r="BO22" s="15" t="n">
        <v>87132.58</v>
      </c>
      <c r="BP22" s="15" t="n">
        <v>2379665.87</v>
      </c>
      <c r="BQ22" s="15" t="n">
        <v>674303.49</v>
      </c>
      <c r="BR22" s="15" t="n">
        <v>164270.76</v>
      </c>
      <c r="BS22" s="15" t="n">
        <v>79344.83</v>
      </c>
      <c r="BT22" s="15" t="n">
        <v>266300.37</v>
      </c>
      <c r="BU22" s="15" t="n">
        <v>808578.64</v>
      </c>
      <c r="BV22" s="15" t="n">
        <v>1538537.23</v>
      </c>
      <c r="BW22" s="15" t="n">
        <v>1041114.51</v>
      </c>
      <c r="BX22" s="15" t="n">
        <v>229761.21</v>
      </c>
      <c r="BY22" s="15" t="n">
        <v>232674.8</v>
      </c>
      <c r="BZ22" s="15" t="n">
        <v>596643.83</v>
      </c>
      <c r="CA22" s="15" t="n">
        <v>1372814.28</v>
      </c>
      <c r="CB22" s="15" t="n">
        <v>1434415.44</v>
      </c>
      <c r="CC22" s="15" t="n">
        <v>484666.25</v>
      </c>
      <c r="CD22" s="15" t="n">
        <v>522860.09</v>
      </c>
      <c r="CE22" s="15" t="n">
        <v>128861.95</v>
      </c>
      <c r="CF22" s="15" t="n">
        <v>646976.9399999999</v>
      </c>
      <c r="CG22" s="15" t="n">
        <v>1497070.08</v>
      </c>
      <c r="CH22" s="15" t="n">
        <v>2268283.57</v>
      </c>
      <c r="CI22" s="15" t="n">
        <v>54107.95</v>
      </c>
      <c r="CJ22" s="15" t="n">
        <v>333709.47</v>
      </c>
      <c r="CK22" s="15" t="n">
        <v>146923.94</v>
      </c>
      <c r="CL22" s="15" t="n">
        <v>184068.2</v>
      </c>
      <c r="CM22" s="15" t="n">
        <v>1281094.84</v>
      </c>
      <c r="CN22" s="15" t="n">
        <v>454660.03</v>
      </c>
      <c r="CO22" s="15" t="n">
        <v>730784.48</v>
      </c>
      <c r="CP22" s="15" t="n">
        <v>192518.5</v>
      </c>
      <c r="CQ22" s="15" t="n">
        <v>98179.08</v>
      </c>
      <c r="CR22" s="15" t="n">
        <v>538164.01</v>
      </c>
      <c r="CS22" s="15" t="n">
        <v>326831.99</v>
      </c>
      <c r="CT22" s="15" t="n">
        <v>2027625.39</v>
      </c>
      <c r="CU22" s="15" t="n">
        <v>1173750.26</v>
      </c>
      <c r="CV22" s="15" t="n">
        <v>334120.48</v>
      </c>
      <c r="CW22" s="15" t="n">
        <v>184930.1</v>
      </c>
      <c r="CX22" s="15" t="n">
        <v>35013.67</v>
      </c>
      <c r="CY22" s="15" t="n">
        <v>520293.3</v>
      </c>
      <c r="CZ22" s="15" t="n">
        <v>2366424.1</v>
      </c>
      <c r="DA22" s="15" t="n">
        <v>1085224.9</v>
      </c>
      <c r="DB22" s="15" t="n">
        <v>883149.48</v>
      </c>
      <c r="DC22" s="15" t="n">
        <v>230843.92</v>
      </c>
      <c r="DD22" s="15" t="n">
        <v>597032</v>
      </c>
      <c r="DE22" s="15" t="n">
        <v>1227247.44</v>
      </c>
      <c r="DF22" s="15" t="n">
        <v>455834.9</v>
      </c>
      <c r="DG22" s="15" t="n">
        <v>1442586.59</v>
      </c>
      <c r="DH22" s="15" t="n">
        <v>730379.03</v>
      </c>
      <c r="DI22" s="15" t="n">
        <v>71268.07000000001</v>
      </c>
      <c r="DJ22" s="15" t="n">
        <v>50310.37</v>
      </c>
      <c r="DK22" s="15" t="n">
        <v>1570676.43</v>
      </c>
      <c r="DL22" s="15" t="n">
        <v>1715846.01</v>
      </c>
      <c r="DM22" s="15" t="n">
        <v>402373.51</v>
      </c>
      <c r="DN22" s="15" t="n">
        <v>258891.5</v>
      </c>
      <c r="DO22" s="15" t="n">
        <v>220061.43</v>
      </c>
      <c r="DP22" s="15" t="n">
        <v>265860.08</v>
      </c>
    </row>
    <row r="23">
      <c r="A23" s="4" t="inlineStr">
        <is>
          <t>其他产品C</t>
        </is>
      </c>
      <c r="B23" s="15" t="n">
        <v>1024506.08</v>
      </c>
      <c r="C23" s="15" t="n">
        <v>97580.09</v>
      </c>
      <c r="D23" s="15" t="n">
        <v>109128.8</v>
      </c>
      <c r="E23" s="15" t="n">
        <v>239321.44</v>
      </c>
      <c r="F23" s="15" t="n">
        <v>409571.03</v>
      </c>
      <c r="G23" s="15" t="n">
        <v>1497546.57</v>
      </c>
      <c r="H23" s="15" t="n">
        <v>262988.62</v>
      </c>
      <c r="I23" s="15" t="n">
        <v>100849.95</v>
      </c>
      <c r="J23" s="15" t="n">
        <v>384644.11</v>
      </c>
      <c r="K23" s="15" t="n">
        <v>130734.47</v>
      </c>
      <c r="L23" s="15" t="n">
        <v>43485.41</v>
      </c>
      <c r="M23" s="15" t="n">
        <v>1634960.78</v>
      </c>
      <c r="N23" s="15" t="n">
        <v>995977.77</v>
      </c>
      <c r="O23" s="15" t="n">
        <v>1116069.81</v>
      </c>
      <c r="P23" s="15" t="n">
        <v>524753.91</v>
      </c>
      <c r="Q23" s="15" t="n">
        <v>132835.5</v>
      </c>
      <c r="R23" s="15" t="n">
        <v>300244.02</v>
      </c>
      <c r="S23" s="15" t="n">
        <v>1960492.68</v>
      </c>
      <c r="T23" s="15" t="n">
        <v>2419074.23</v>
      </c>
      <c r="U23" s="15" t="n">
        <v>429603.54</v>
      </c>
      <c r="V23" s="15" t="n">
        <v>258074.36</v>
      </c>
      <c r="W23" s="15" t="n">
        <v>224062.71</v>
      </c>
      <c r="X23" s="15" t="n">
        <v>116598.41</v>
      </c>
      <c r="Y23" s="15" t="n">
        <v>77252.42999999999</v>
      </c>
      <c r="Z23" s="15" t="n">
        <v>652233.37</v>
      </c>
      <c r="AA23" s="15" t="n">
        <v>1404657.25</v>
      </c>
      <c r="AB23" s="15" t="n">
        <v>761644.14</v>
      </c>
      <c r="AC23" s="15" t="n">
        <v>170579.71</v>
      </c>
      <c r="AD23" s="15" t="n">
        <v>429297.95</v>
      </c>
      <c r="AE23" s="15" t="n">
        <v>203434.11</v>
      </c>
      <c r="AF23" s="15" t="n">
        <v>2394837.15</v>
      </c>
      <c r="AG23" s="15" t="n">
        <v>943727.26</v>
      </c>
      <c r="AH23" s="15" t="n">
        <v>330769.3</v>
      </c>
      <c r="AI23" s="15" t="n">
        <v>201000.51</v>
      </c>
      <c r="AJ23" s="15" t="n">
        <v>95115.73</v>
      </c>
      <c r="AK23" s="15" t="n">
        <v>627403.53</v>
      </c>
      <c r="AL23" s="15" t="n">
        <v>165272.44</v>
      </c>
      <c r="AM23" s="15" t="n">
        <v>855325.95</v>
      </c>
      <c r="AN23" s="15" t="n">
        <v>544830.02</v>
      </c>
      <c r="AO23" s="15" t="n">
        <v>175373.8</v>
      </c>
      <c r="AP23" s="15" t="n">
        <v>100035.03</v>
      </c>
      <c r="AQ23" s="15" t="n">
        <v>238933.77</v>
      </c>
      <c r="AR23" s="15" t="n">
        <v>656556.2</v>
      </c>
      <c r="AS23" s="15" t="n">
        <v>70659.17999999999</v>
      </c>
      <c r="AT23" s="15" t="n">
        <v>401091.61</v>
      </c>
      <c r="AU23" s="15" t="n">
        <v>186594.39</v>
      </c>
      <c r="AV23" s="15" t="n">
        <v>127676.9</v>
      </c>
      <c r="AW23" s="15" t="n">
        <v>864822.95</v>
      </c>
      <c r="AX23" s="15" t="n">
        <v>216886.68</v>
      </c>
      <c r="AY23" s="15" t="n">
        <v>228773.41</v>
      </c>
      <c r="AZ23" s="15" t="n">
        <v>834253.0600000001</v>
      </c>
      <c r="BA23" s="15" t="n">
        <v>230015.72</v>
      </c>
      <c r="BB23" s="15" t="n">
        <v>319865.65</v>
      </c>
      <c r="BC23" s="15" t="n">
        <v>1007916.26</v>
      </c>
      <c r="BD23" s="15" t="n">
        <v>2425137.16</v>
      </c>
      <c r="BE23" s="15" t="n">
        <v>394122.34</v>
      </c>
      <c r="BF23" s="15" t="n">
        <v>970034.21</v>
      </c>
      <c r="BG23" s="15" t="n">
        <v>140003.42</v>
      </c>
      <c r="BH23" s="15" t="n">
        <v>-97995.27</v>
      </c>
      <c r="BI23" s="15" t="n">
        <v>1560755.42</v>
      </c>
      <c r="BJ23" s="15" t="n">
        <v>2197811.52</v>
      </c>
      <c r="BK23" s="15" t="n">
        <v>265116.16</v>
      </c>
      <c r="BL23" s="15" t="n">
        <v>801800.5600000001</v>
      </c>
      <c r="BM23" s="15" t="n">
        <v>23810.82</v>
      </c>
      <c r="BN23" s="15" t="n">
        <v>82802.09</v>
      </c>
      <c r="BO23" s="15" t="n">
        <v>1022301.47</v>
      </c>
      <c r="BP23" s="15" t="n">
        <v>949305.71</v>
      </c>
      <c r="BQ23" s="15" t="n">
        <v>75686.7</v>
      </c>
      <c r="BR23" s="15" t="n">
        <v>630911.13</v>
      </c>
      <c r="BS23" s="15" t="n">
        <v>63912.77</v>
      </c>
      <c r="BT23" s="15" t="n">
        <v>-15504.76</v>
      </c>
      <c r="BU23" s="15" t="n">
        <v>337728.91</v>
      </c>
      <c r="BV23" s="15" t="n">
        <v>229330.6</v>
      </c>
      <c r="BW23" s="15" t="n">
        <v>316425.67</v>
      </c>
      <c r="BX23" s="15" t="n">
        <v>815551.79</v>
      </c>
      <c r="BY23" s="15" t="n">
        <v>101769.6</v>
      </c>
      <c r="BZ23" s="15" t="n">
        <v>545881.28</v>
      </c>
      <c r="CA23" s="15" t="n">
        <v>465027.77</v>
      </c>
      <c r="CB23" s="15" t="n">
        <v>213091.45</v>
      </c>
      <c r="CC23" s="15" t="n">
        <v>1158994.28</v>
      </c>
      <c r="CD23" s="15" t="n">
        <v>597710.6</v>
      </c>
      <c r="CE23" s="15" t="n">
        <v>48471.12</v>
      </c>
      <c r="CF23" s="15" t="n">
        <v>42767.31</v>
      </c>
      <c r="CG23" s="15" t="n">
        <v>129183.05</v>
      </c>
      <c r="CH23" s="15" t="n">
        <v>648795.38</v>
      </c>
      <c r="CI23" s="15" t="n">
        <v>837418.28</v>
      </c>
      <c r="CJ23" s="15" t="n">
        <v>915987.88</v>
      </c>
      <c r="CK23" s="15" t="n">
        <v>123557.1</v>
      </c>
      <c r="CL23" s="15" t="n">
        <v>-70280.33</v>
      </c>
      <c r="CM23" s="15" t="n">
        <v>260297.93</v>
      </c>
      <c r="CN23" s="15" t="n">
        <v>1574941.6</v>
      </c>
      <c r="CO23" s="15" t="n">
        <v>918460.9399999999</v>
      </c>
      <c r="CP23" s="15" t="n">
        <v>898590.11</v>
      </c>
      <c r="CQ23" s="15" t="n">
        <v>237402.17</v>
      </c>
      <c r="CR23" s="15" t="n">
        <v>-16969.28</v>
      </c>
      <c r="CS23" s="15" t="n">
        <v>1555635.19</v>
      </c>
      <c r="CT23" s="15" t="n">
        <v>1240596.73</v>
      </c>
      <c r="CU23" s="15" t="n">
        <v>500694.17</v>
      </c>
      <c r="CV23" s="15" t="n">
        <v>905008.22</v>
      </c>
      <c r="CW23" s="15" t="n">
        <v>175884.53</v>
      </c>
      <c r="CX23" s="15" t="n">
        <v>-88319.95</v>
      </c>
      <c r="CY23" s="15" t="n">
        <v>1410346.24</v>
      </c>
      <c r="CZ23" s="15" t="n">
        <v>1741140.6</v>
      </c>
      <c r="DA23" s="15" t="n">
        <v>994552.74</v>
      </c>
      <c r="DB23" s="15" t="n">
        <v>642465.71</v>
      </c>
      <c r="DC23" s="15" t="n">
        <v>189195.01</v>
      </c>
      <c r="DD23" s="15" t="n">
        <v>-32694.9</v>
      </c>
      <c r="DE23" s="15" t="n">
        <v>947310.5600000001</v>
      </c>
      <c r="DF23" s="15" t="n">
        <v>2178607.68</v>
      </c>
      <c r="DG23" s="15" t="n">
        <v>1269055.98</v>
      </c>
      <c r="DH23" s="15" t="n">
        <v>884739.05</v>
      </c>
      <c r="DI23" s="15" t="n">
        <v>206103.04</v>
      </c>
      <c r="DJ23" s="15" t="n">
        <v>48039.29</v>
      </c>
      <c r="DK23" s="15" t="n">
        <v>616290.76</v>
      </c>
      <c r="DL23" s="15" t="n">
        <v>806823.21</v>
      </c>
      <c r="DM23" s="15" t="n">
        <v>380533.23</v>
      </c>
      <c r="DN23" s="15" t="n">
        <v>991275.88</v>
      </c>
      <c r="DO23" s="15" t="n">
        <v>197118.7</v>
      </c>
      <c r="DP23" s="15" t="n">
        <v>333766.05</v>
      </c>
    </row>
    <row r="24">
      <c r="A24" s="4" t="inlineStr">
        <is>
          <t>中式汤底</t>
        </is>
      </c>
      <c r="B24" s="15" t="n">
        <v>1956387.46</v>
      </c>
      <c r="C24" s="15" t="n">
        <v>197186.8</v>
      </c>
      <c r="D24" s="15" t="n">
        <v>914013.92</v>
      </c>
      <c r="E24" s="15" t="n">
        <v>81590.96000000001</v>
      </c>
      <c r="F24" s="15" t="n">
        <v>510965.27</v>
      </c>
      <c r="G24" s="15" t="n">
        <v>636712.12</v>
      </c>
      <c r="H24" s="15" t="n">
        <v>1566075.83</v>
      </c>
      <c r="I24" s="15" t="n">
        <v>196942.86</v>
      </c>
      <c r="J24" s="15" t="n">
        <v>976605.01</v>
      </c>
      <c r="K24" s="15" t="n">
        <v>19352.68</v>
      </c>
      <c r="L24" s="15" t="n">
        <v>508201.71</v>
      </c>
      <c r="M24" s="15" t="n">
        <v>1122801.15</v>
      </c>
      <c r="N24" s="15" t="n">
        <v>76447.28999999999</v>
      </c>
      <c r="O24" s="15" t="n">
        <v>739470.0699999999</v>
      </c>
      <c r="P24" s="15" t="n">
        <v>537708.3</v>
      </c>
      <c r="Q24" s="15" t="n">
        <v>50662</v>
      </c>
      <c r="R24" s="15" t="n">
        <v>-71798.07000000001</v>
      </c>
      <c r="S24" s="15" t="n">
        <v>538850.52</v>
      </c>
      <c r="T24" s="15" t="n">
        <v>164138.23</v>
      </c>
      <c r="U24" s="15" t="n">
        <v>379000.72</v>
      </c>
      <c r="V24" s="15" t="n">
        <v>991351.05</v>
      </c>
      <c r="W24" s="15" t="n">
        <v>181153.33</v>
      </c>
      <c r="X24" s="15" t="n">
        <v>-91780.25999999999</v>
      </c>
      <c r="Y24" s="15" t="n">
        <v>1744357.46</v>
      </c>
      <c r="Z24" s="15" t="n">
        <v>2336075.41</v>
      </c>
      <c r="AA24" s="15" t="n">
        <v>327095.04</v>
      </c>
      <c r="AB24" s="15" t="n">
        <v>630828.47</v>
      </c>
      <c r="AC24" s="15" t="n">
        <v>144135.89</v>
      </c>
      <c r="AD24" s="15" t="n">
        <v>-3072.72</v>
      </c>
      <c r="AE24" s="15" t="n">
        <v>1681256.05</v>
      </c>
      <c r="AF24" s="15" t="n">
        <v>460941.54</v>
      </c>
      <c r="AG24" s="15" t="n">
        <v>589246.12</v>
      </c>
      <c r="AH24" s="15" t="n">
        <v>684450.61</v>
      </c>
      <c r="AI24" s="15" t="n">
        <v>11126.75</v>
      </c>
      <c r="AJ24" s="15" t="n">
        <v>631952.87</v>
      </c>
      <c r="AK24" s="15" t="n">
        <v>1746051.86</v>
      </c>
      <c r="AL24" s="15" t="n">
        <v>576002.6800000001</v>
      </c>
      <c r="AM24" s="15" t="n">
        <v>419988.98</v>
      </c>
      <c r="AN24" s="15" t="n">
        <v>85319.03999999999</v>
      </c>
      <c r="AO24" s="15" t="n">
        <v>62191.89</v>
      </c>
      <c r="AP24" s="15" t="n">
        <v>480754.92</v>
      </c>
      <c r="AQ24" s="15" t="n">
        <v>1518096.2</v>
      </c>
      <c r="AR24" s="15" t="n">
        <v>507910.5</v>
      </c>
      <c r="AS24" s="15" t="n">
        <v>692776.28</v>
      </c>
      <c r="AT24" s="15" t="n">
        <v>168575.55</v>
      </c>
      <c r="AU24" s="15" t="n">
        <v>41151.08</v>
      </c>
      <c r="AV24" s="15" t="n">
        <v>638603.47</v>
      </c>
      <c r="AW24" s="15" t="n">
        <v>1772749.36</v>
      </c>
      <c r="AX24" s="15" t="n">
        <v>266231.68</v>
      </c>
      <c r="AY24" s="15" t="n">
        <v>194203.64</v>
      </c>
      <c r="AZ24" s="15" t="n">
        <v>442286.43</v>
      </c>
      <c r="BA24" s="15" t="n">
        <v>143179.88</v>
      </c>
      <c r="BB24" s="15" t="n">
        <v>516714.65</v>
      </c>
      <c r="BC24" s="15" t="n">
        <v>364623.65</v>
      </c>
      <c r="BD24" s="15" t="n">
        <v>2388692.2</v>
      </c>
      <c r="BE24" s="15" t="n">
        <v>1125315.67</v>
      </c>
      <c r="BF24" s="15" t="n">
        <v>175790.65</v>
      </c>
      <c r="BG24" s="15" t="n">
        <v>99638.57000000001</v>
      </c>
      <c r="BH24" s="15" t="n">
        <v>477688.26</v>
      </c>
      <c r="BI24" s="15" t="n">
        <v>238967.34</v>
      </c>
      <c r="BJ24" s="15" t="n">
        <v>1905771.58</v>
      </c>
      <c r="BK24" s="15" t="n">
        <v>619310.28</v>
      </c>
      <c r="BL24" s="15" t="n">
        <v>510481.3</v>
      </c>
      <c r="BM24" s="15" t="n">
        <v>32670.24</v>
      </c>
      <c r="BN24" s="15" t="n">
        <v>268055.43</v>
      </c>
      <c r="BO24" s="15" t="n">
        <v>1849094.17</v>
      </c>
      <c r="BP24" s="15" t="n">
        <v>1996930.45</v>
      </c>
      <c r="BQ24" s="15" t="n">
        <v>1120696.37</v>
      </c>
      <c r="BR24" s="15" t="n">
        <v>417320.16</v>
      </c>
      <c r="BS24" s="15" t="n">
        <v>38246.35</v>
      </c>
      <c r="BT24" s="15" t="n">
        <v>408132.34</v>
      </c>
      <c r="BU24" s="15" t="n">
        <v>391856.04</v>
      </c>
      <c r="BV24" s="15" t="n">
        <v>284834.18</v>
      </c>
      <c r="BW24" s="15" t="n">
        <v>307539</v>
      </c>
      <c r="BX24" s="15" t="n">
        <v>403007.18</v>
      </c>
      <c r="BY24" s="15" t="n">
        <v>67864.44</v>
      </c>
      <c r="BZ24" s="15" t="n">
        <v>43892.28</v>
      </c>
      <c r="CA24" s="15" t="n">
        <v>907150.02</v>
      </c>
      <c r="CB24" s="15" t="n">
        <v>1960298.43</v>
      </c>
      <c r="CC24" s="15" t="n">
        <v>280829.17</v>
      </c>
      <c r="CD24" s="15" t="n">
        <v>50387.92</v>
      </c>
      <c r="CE24" s="15" t="n">
        <v>145476.21</v>
      </c>
      <c r="CF24" s="15" t="n">
        <v>-28881.04</v>
      </c>
      <c r="CG24" s="15" t="n">
        <v>1384108.16</v>
      </c>
      <c r="CH24" s="15" t="n">
        <v>2331119.6</v>
      </c>
      <c r="CI24" s="15" t="n">
        <v>526872.73</v>
      </c>
      <c r="CJ24" s="15" t="n">
        <v>644309.3100000001</v>
      </c>
      <c r="CK24" s="15" t="n">
        <v>10673.21</v>
      </c>
      <c r="CL24" s="15" t="n">
        <v>703610.26</v>
      </c>
      <c r="CM24" s="15" t="n">
        <v>63374.24</v>
      </c>
      <c r="CN24" s="15" t="n">
        <v>1990255.15</v>
      </c>
      <c r="CO24" s="15" t="n">
        <v>144077.41</v>
      </c>
      <c r="CP24" s="15" t="n">
        <v>526686.8199999999</v>
      </c>
      <c r="CQ24" s="15" t="n">
        <v>195930.05</v>
      </c>
      <c r="CR24" s="15" t="n">
        <v>-48448.67</v>
      </c>
      <c r="CS24" s="15" t="n">
        <v>711726.4</v>
      </c>
      <c r="CT24" s="15" t="n">
        <v>1146028.85</v>
      </c>
      <c r="CU24" s="15" t="n">
        <v>1199187.35</v>
      </c>
      <c r="CV24" s="15" t="n">
        <v>12602.5</v>
      </c>
      <c r="CW24" s="15" t="n">
        <v>68567.16</v>
      </c>
      <c r="CX24" s="15" t="n">
        <v>171923.52</v>
      </c>
      <c r="CY24" s="15" t="n">
        <v>1113587.11</v>
      </c>
      <c r="CZ24" s="15" t="n">
        <v>1061508.07</v>
      </c>
      <c r="DA24" s="15" t="n">
        <v>749400.8</v>
      </c>
      <c r="DB24" s="15" t="n">
        <v>71661.89999999999</v>
      </c>
      <c r="DC24" s="15" t="n">
        <v>196508.93</v>
      </c>
      <c r="DD24" s="15" t="n">
        <v>328576.48</v>
      </c>
      <c r="DE24" s="15" t="n">
        <v>894881.3</v>
      </c>
      <c r="DF24" s="15" t="n">
        <v>1544430.51</v>
      </c>
      <c r="DG24" s="15" t="n">
        <v>102781.23</v>
      </c>
      <c r="DH24" s="15" t="n">
        <v>16867.97</v>
      </c>
      <c r="DI24" s="15" t="n">
        <v>165487.47</v>
      </c>
      <c r="DJ24" s="15" t="n">
        <v>93138.53999999999</v>
      </c>
      <c r="DK24" s="15" t="n">
        <v>86445.07000000001</v>
      </c>
      <c r="DL24" s="15" t="n">
        <v>1151289.89</v>
      </c>
      <c r="DM24" s="15" t="n">
        <v>430724.48</v>
      </c>
      <c r="DN24" s="15" t="n">
        <v>301174.23</v>
      </c>
      <c r="DO24" s="15" t="n">
        <v>14882.69</v>
      </c>
      <c r="DP24" s="15" t="n">
        <v>693699.34</v>
      </c>
    </row>
    <row r="25">
      <c r="A25" s="4" t="inlineStr">
        <is>
          <t>酱料</t>
        </is>
      </c>
      <c r="B25" s="15" t="n">
        <v>619117.02</v>
      </c>
      <c r="C25" s="15" t="n">
        <v>511679.43</v>
      </c>
      <c r="D25" s="15" t="n">
        <v>896840.05</v>
      </c>
      <c r="E25" s="15" t="n">
        <v>25631.63</v>
      </c>
      <c r="F25" s="15" t="n">
        <v>667354.49</v>
      </c>
      <c r="G25" s="15" t="n">
        <v>906057.3</v>
      </c>
      <c r="H25" s="15" t="n">
        <v>1163677.94</v>
      </c>
      <c r="I25" s="15" t="n">
        <v>904566.1899999999</v>
      </c>
      <c r="J25" s="15" t="n">
        <v>448263.98</v>
      </c>
      <c r="K25" s="15" t="n">
        <v>232812.6</v>
      </c>
      <c r="L25" s="15" t="n">
        <v>16913.56</v>
      </c>
      <c r="M25" s="15" t="n">
        <v>407300.54</v>
      </c>
      <c r="N25" s="15" t="n">
        <v>113206.89</v>
      </c>
      <c r="O25" s="15" t="n">
        <v>1274723.7</v>
      </c>
      <c r="P25" s="15" t="n">
        <v>551672.0600000001</v>
      </c>
      <c r="Q25" s="15" t="n">
        <v>62883.24</v>
      </c>
      <c r="R25" s="15" t="n">
        <v>-90750.14999999999</v>
      </c>
      <c r="S25" s="15" t="n">
        <v>251562.48</v>
      </c>
      <c r="T25" s="15" t="n">
        <v>1890945.89</v>
      </c>
      <c r="U25" s="15" t="n">
        <v>122920.07</v>
      </c>
      <c r="V25" s="15" t="n">
        <v>201344.75</v>
      </c>
      <c r="W25" s="15" t="n">
        <v>11783.65</v>
      </c>
      <c r="X25" s="15" t="n">
        <v>661082.48</v>
      </c>
      <c r="Y25" s="15" t="n">
        <v>1705670.49</v>
      </c>
      <c r="Z25" s="15" t="n">
        <v>1358700.53</v>
      </c>
      <c r="AA25" s="15" t="n">
        <v>137304.12</v>
      </c>
      <c r="AB25" s="15" t="n">
        <v>621771.46</v>
      </c>
      <c r="AC25" s="15" t="n">
        <v>14687.36</v>
      </c>
      <c r="AD25" s="15" t="n">
        <v>-74950.32000000001</v>
      </c>
      <c r="AE25" s="15" t="n">
        <v>633583.77</v>
      </c>
      <c r="AF25" s="15" t="n">
        <v>1033012.89</v>
      </c>
      <c r="AG25" s="15" t="n">
        <v>124397.46</v>
      </c>
      <c r="AH25" s="15" t="n">
        <v>677663.99</v>
      </c>
      <c r="AI25" s="15" t="n">
        <v>161319.03</v>
      </c>
      <c r="AJ25" s="15" t="n">
        <v>607133.09</v>
      </c>
      <c r="AK25" s="15" t="n">
        <v>1717487.55</v>
      </c>
      <c r="AL25" s="15" t="n">
        <v>1212815.73</v>
      </c>
      <c r="AM25" s="15" t="n">
        <v>144130.65</v>
      </c>
      <c r="AN25" s="15" t="n">
        <v>97828.33</v>
      </c>
      <c r="AO25" s="15" t="n">
        <v>17010.84</v>
      </c>
      <c r="AP25" s="15" t="n">
        <v>233945.45</v>
      </c>
      <c r="AQ25" s="15" t="n">
        <v>1099907.53</v>
      </c>
      <c r="AR25" s="15" t="n">
        <v>2350942.86</v>
      </c>
      <c r="AS25" s="15" t="n">
        <v>1290976.77</v>
      </c>
      <c r="AT25" s="15" t="n">
        <v>571072.9300000001</v>
      </c>
      <c r="AU25" s="15" t="n">
        <v>228528</v>
      </c>
      <c r="AV25" s="15" t="n">
        <v>372728.06</v>
      </c>
      <c r="AW25" s="15" t="n">
        <v>1906171.98</v>
      </c>
      <c r="AX25" s="15" t="n">
        <v>1595350.44</v>
      </c>
      <c r="AY25" s="15" t="n">
        <v>161660.35</v>
      </c>
      <c r="AZ25" s="15" t="n">
        <v>895291.9</v>
      </c>
      <c r="BA25" s="15" t="n">
        <v>197429.94</v>
      </c>
      <c r="BB25" s="15" t="n">
        <v>116423.97</v>
      </c>
      <c r="BC25" s="15" t="n">
        <v>149780.54</v>
      </c>
      <c r="BD25" s="15" t="n">
        <v>1858776.42</v>
      </c>
      <c r="BE25" s="15" t="n">
        <v>918122.5</v>
      </c>
      <c r="BF25" s="15" t="n">
        <v>314826.53</v>
      </c>
      <c r="BG25" s="15" t="n">
        <v>77951.83</v>
      </c>
      <c r="BH25" s="15" t="n">
        <v>482028.99</v>
      </c>
      <c r="BI25" s="15" t="n">
        <v>1882465.98</v>
      </c>
      <c r="BJ25" s="15" t="n">
        <v>1378901.38</v>
      </c>
      <c r="BK25" s="15" t="n">
        <v>996736.9</v>
      </c>
      <c r="BL25" s="15" t="n">
        <v>129265.63</v>
      </c>
      <c r="BM25" s="15" t="n">
        <v>20298</v>
      </c>
      <c r="BN25" s="15" t="n">
        <v>5652.48</v>
      </c>
      <c r="BO25" s="15" t="n">
        <v>1993716.95</v>
      </c>
      <c r="BP25" s="15" t="n">
        <v>2374635.64</v>
      </c>
      <c r="BQ25" s="15" t="n">
        <v>433330.85</v>
      </c>
      <c r="BR25" s="15" t="n">
        <v>909697.79</v>
      </c>
      <c r="BS25" s="15" t="n">
        <v>176181.75</v>
      </c>
      <c r="BT25" s="15" t="n">
        <v>324870.43</v>
      </c>
      <c r="BU25" s="15" t="n">
        <v>1402597.11</v>
      </c>
      <c r="BV25" s="15" t="n">
        <v>1188569.15</v>
      </c>
      <c r="BW25" s="15" t="n">
        <v>641656.55</v>
      </c>
      <c r="BX25" s="15" t="n">
        <v>80514.41</v>
      </c>
      <c r="BY25" s="15" t="n">
        <v>215825.37</v>
      </c>
      <c r="BZ25" s="15" t="n">
        <v>9859.360000000001</v>
      </c>
      <c r="CA25" s="15" t="n">
        <v>1146408.92</v>
      </c>
      <c r="CB25" s="15" t="n">
        <v>1857594.07</v>
      </c>
      <c r="CC25" s="15" t="n">
        <v>171756.93</v>
      </c>
      <c r="CD25" s="15" t="n">
        <v>48620.43</v>
      </c>
      <c r="CE25" s="15" t="n">
        <v>42553.24</v>
      </c>
      <c r="CF25" s="15" t="n">
        <v>-19626.22</v>
      </c>
      <c r="CG25" s="15" t="n">
        <v>867444.5600000001</v>
      </c>
      <c r="CH25" s="15" t="n">
        <v>861210.12</v>
      </c>
      <c r="CI25" s="15" t="n">
        <v>1400019.52</v>
      </c>
      <c r="CJ25" s="15" t="n">
        <v>488339.26</v>
      </c>
      <c r="CK25" s="15" t="n">
        <v>237169.31</v>
      </c>
      <c r="CL25" s="15" t="n">
        <v>544625.03</v>
      </c>
      <c r="CM25" s="15" t="n">
        <v>118639.02</v>
      </c>
      <c r="CN25" s="15" t="n">
        <v>2216559.61</v>
      </c>
      <c r="CO25" s="15" t="n">
        <v>1008256.58</v>
      </c>
      <c r="CP25" s="15" t="n">
        <v>559567.63</v>
      </c>
      <c r="CQ25" s="15" t="n">
        <v>66637.73</v>
      </c>
      <c r="CR25" s="15" t="n">
        <v>737399.54</v>
      </c>
      <c r="CS25" s="15" t="n">
        <v>1916214.12</v>
      </c>
      <c r="CT25" s="15" t="n">
        <v>798067.53</v>
      </c>
      <c r="CU25" s="15" t="n">
        <v>772058.3199999999</v>
      </c>
      <c r="CV25" s="15" t="n">
        <v>170541.16</v>
      </c>
      <c r="CW25" s="15" t="n">
        <v>117809.96</v>
      </c>
      <c r="CX25" s="15" t="n">
        <v>15587.15</v>
      </c>
      <c r="CY25" s="15" t="n">
        <v>1729593.97</v>
      </c>
      <c r="CZ25" s="15" t="n">
        <v>1834894.41</v>
      </c>
      <c r="DA25" s="15" t="n">
        <v>117198.49</v>
      </c>
      <c r="DB25" s="15" t="n">
        <v>918232.08</v>
      </c>
      <c r="DC25" s="15" t="n">
        <v>160847.19</v>
      </c>
      <c r="DD25" s="15" t="n">
        <v>447682.93</v>
      </c>
      <c r="DE25" s="15" t="n">
        <v>397868.86</v>
      </c>
      <c r="DF25" s="15" t="n">
        <v>706043.88</v>
      </c>
      <c r="DG25" s="15" t="n">
        <v>859121.83</v>
      </c>
      <c r="DH25" s="15" t="n">
        <v>479558.33</v>
      </c>
      <c r="DI25" s="15" t="n">
        <v>62751.5</v>
      </c>
      <c r="DJ25" s="15" t="n">
        <v>502440.53</v>
      </c>
      <c r="DK25" s="15" t="n">
        <v>1017747.73</v>
      </c>
      <c r="DL25" s="15" t="n">
        <v>2447251.74</v>
      </c>
      <c r="DM25" s="15" t="n">
        <v>1437255.64</v>
      </c>
      <c r="DN25" s="15" t="n">
        <v>623205.17</v>
      </c>
      <c r="DO25" s="15" t="n">
        <v>219719.84</v>
      </c>
      <c r="DP25" s="15" t="n">
        <v>61648.23</v>
      </c>
    </row>
    <row r="26">
      <c r="A26" s="4" t="inlineStr">
        <is>
          <t>川味底料</t>
        </is>
      </c>
      <c r="B26" s="15" t="n">
        <v>1590120.43</v>
      </c>
      <c r="C26" s="15" t="n">
        <v>528991.92</v>
      </c>
      <c r="D26" s="15" t="n">
        <v>477871.8</v>
      </c>
      <c r="E26" s="15" t="n">
        <v>172693.1</v>
      </c>
      <c r="F26" s="15" t="n">
        <v>-86488.16</v>
      </c>
      <c r="G26" s="15" t="n">
        <v>1412054.37</v>
      </c>
      <c r="H26" s="15" t="n">
        <v>674593.35</v>
      </c>
      <c r="I26" s="15" t="n">
        <v>1344591.33</v>
      </c>
      <c r="J26" s="15" t="n">
        <v>616282.83</v>
      </c>
      <c r="K26" s="15" t="n">
        <v>145954.92</v>
      </c>
      <c r="L26" s="15" t="n">
        <v>240751.31</v>
      </c>
      <c r="M26" s="15" t="n">
        <v>870428.46</v>
      </c>
      <c r="N26" s="15" t="n">
        <v>1798975.13</v>
      </c>
      <c r="O26" s="15" t="n">
        <v>1205867.82</v>
      </c>
      <c r="P26" s="15" t="n">
        <v>315251.45</v>
      </c>
      <c r="Q26" s="15" t="n">
        <v>99110.44</v>
      </c>
      <c r="R26" s="15" t="n">
        <v>353658.15</v>
      </c>
      <c r="S26" s="15" t="n">
        <v>562471.58</v>
      </c>
      <c r="T26" s="15" t="n">
        <v>1709456.32</v>
      </c>
      <c r="U26" s="15" t="n">
        <v>395239.07</v>
      </c>
      <c r="V26" s="15" t="n">
        <v>561664.39</v>
      </c>
      <c r="W26" s="15" t="n">
        <v>83178.31</v>
      </c>
      <c r="X26" s="15" t="n">
        <v>544976.39</v>
      </c>
      <c r="Y26" s="15" t="n">
        <v>1600286.17</v>
      </c>
      <c r="Z26" s="15" t="n">
        <v>899668.27</v>
      </c>
      <c r="AA26" s="15" t="n">
        <v>1073865.69</v>
      </c>
      <c r="AB26" s="15" t="n">
        <v>606782.4</v>
      </c>
      <c r="AC26" s="15" t="n">
        <v>140503.05</v>
      </c>
      <c r="AD26" s="15" t="n">
        <v>369928.47</v>
      </c>
      <c r="AE26" s="15" t="n">
        <v>1336566.35</v>
      </c>
      <c r="AF26" s="15" t="n">
        <v>1042889.88</v>
      </c>
      <c r="AG26" s="15" t="n">
        <v>1189880.03</v>
      </c>
      <c r="AH26" s="15" t="n">
        <v>163965.69</v>
      </c>
      <c r="AI26" s="15" t="n">
        <v>65987.45</v>
      </c>
      <c r="AJ26" s="15" t="n">
        <v>727313.12</v>
      </c>
      <c r="AK26" s="15" t="n">
        <v>1738380.87</v>
      </c>
      <c r="AL26" s="15" t="n">
        <v>2084567.96</v>
      </c>
      <c r="AM26" s="15" t="n">
        <v>1289624.77</v>
      </c>
      <c r="AN26" s="15" t="n">
        <v>896004.6</v>
      </c>
      <c r="AO26" s="15" t="n">
        <v>235073.78</v>
      </c>
      <c r="AP26" s="15" t="n">
        <v>436153.41</v>
      </c>
      <c r="AQ26" s="15" t="n">
        <v>150780.98</v>
      </c>
      <c r="AR26" s="15" t="n">
        <v>305683.21</v>
      </c>
      <c r="AS26" s="15" t="n">
        <v>653466.36</v>
      </c>
      <c r="AT26" s="15" t="n">
        <v>253384.79</v>
      </c>
      <c r="AU26" s="15" t="n">
        <v>195988.39</v>
      </c>
      <c r="AV26" s="15" t="n">
        <v>-812.73</v>
      </c>
      <c r="AW26" s="15" t="n">
        <v>1394666.77</v>
      </c>
      <c r="AX26" s="15" t="n">
        <v>376321.74</v>
      </c>
      <c r="AY26" s="15" t="n">
        <v>580366.62</v>
      </c>
      <c r="AZ26" s="15" t="n">
        <v>692816.3</v>
      </c>
      <c r="BA26" s="15" t="n">
        <v>67579.36</v>
      </c>
      <c r="BB26" s="15" t="n">
        <v>485679.93</v>
      </c>
      <c r="BC26" s="15" t="n">
        <v>713002.39</v>
      </c>
      <c r="BD26" s="15" t="n">
        <v>2432115.98</v>
      </c>
      <c r="BE26" s="15" t="n">
        <v>640935.4399999999</v>
      </c>
      <c r="BF26" s="15" t="n">
        <v>407140.02</v>
      </c>
      <c r="BG26" s="15" t="n">
        <v>200929.19</v>
      </c>
      <c r="BH26" s="15" t="n">
        <v>348952.2</v>
      </c>
      <c r="BI26" s="15" t="n">
        <v>862396.6</v>
      </c>
      <c r="BJ26" s="15" t="n">
        <v>2222890.82</v>
      </c>
      <c r="BK26" s="15" t="n">
        <v>316588.66</v>
      </c>
      <c r="BL26" s="15" t="n">
        <v>464776.38</v>
      </c>
      <c r="BM26" s="15" t="n">
        <v>74411.53</v>
      </c>
      <c r="BN26" s="15" t="n">
        <v>126392.83</v>
      </c>
      <c r="BO26" s="15" t="n">
        <v>751616.77</v>
      </c>
      <c r="BP26" s="15" t="n">
        <v>1805674.31</v>
      </c>
      <c r="BQ26" s="15" t="n">
        <v>1118088.89</v>
      </c>
      <c r="BR26" s="15" t="n">
        <v>885188.49</v>
      </c>
      <c r="BS26" s="15" t="n">
        <v>236107.41</v>
      </c>
      <c r="BT26" s="15" t="n">
        <v>72877.91</v>
      </c>
      <c r="BU26" s="15" t="n">
        <v>1747675.1</v>
      </c>
      <c r="BV26" s="15" t="n">
        <v>2338337.55</v>
      </c>
      <c r="BW26" s="15" t="n">
        <v>153557.5</v>
      </c>
      <c r="BX26" s="15" t="n">
        <v>114200.37</v>
      </c>
      <c r="BY26" s="15" t="n">
        <v>88185.82000000001</v>
      </c>
      <c r="BZ26" s="15" t="n">
        <v>655997.28</v>
      </c>
      <c r="CA26" s="15" t="n">
        <v>559354.27</v>
      </c>
      <c r="CB26" s="15" t="n">
        <v>2479485.39</v>
      </c>
      <c r="CC26" s="15" t="n">
        <v>518701.25</v>
      </c>
      <c r="CD26" s="15" t="n">
        <v>645129.5600000001</v>
      </c>
      <c r="CE26" s="15" t="n">
        <v>45841.64</v>
      </c>
      <c r="CF26" s="15" t="n">
        <v>591008.52</v>
      </c>
      <c r="CG26" s="15" t="n">
        <v>1278281.85</v>
      </c>
      <c r="CH26" s="15" t="n">
        <v>1352122.58</v>
      </c>
      <c r="CI26" s="15" t="n">
        <v>469945.45</v>
      </c>
      <c r="CJ26" s="15" t="n">
        <v>857730.52</v>
      </c>
      <c r="CK26" s="15" t="n">
        <v>193227.48</v>
      </c>
      <c r="CL26" s="15" t="n">
        <v>221780.6</v>
      </c>
      <c r="CM26" s="15" t="n">
        <v>1031107.51</v>
      </c>
      <c r="CN26" s="15" t="n">
        <v>2253116.91</v>
      </c>
      <c r="CO26" s="15" t="n">
        <v>139653.69</v>
      </c>
      <c r="CP26" s="15" t="n">
        <v>627800.04</v>
      </c>
      <c r="CQ26" s="15" t="n">
        <v>35139.02</v>
      </c>
      <c r="CR26" s="15" t="n">
        <v>673372.51</v>
      </c>
      <c r="CS26" s="15" t="n">
        <v>575297.05</v>
      </c>
      <c r="CT26" s="15" t="n">
        <v>1253242.05</v>
      </c>
      <c r="CU26" s="15" t="n">
        <v>927362.64</v>
      </c>
      <c r="CV26" s="15" t="n">
        <v>903054.7</v>
      </c>
      <c r="CW26" s="15" t="n">
        <v>166853.75</v>
      </c>
      <c r="CX26" s="15" t="n">
        <v>145032.37</v>
      </c>
      <c r="CY26" s="15" t="n">
        <v>1189806.26</v>
      </c>
      <c r="CZ26" s="15" t="n">
        <v>2202183.43</v>
      </c>
      <c r="DA26" s="15" t="n">
        <v>1486324.87</v>
      </c>
      <c r="DB26" s="15" t="n">
        <v>181794.15</v>
      </c>
      <c r="DC26" s="15" t="n">
        <v>113027.14</v>
      </c>
      <c r="DD26" s="15" t="n">
        <v>73652.83</v>
      </c>
      <c r="DE26" s="15" t="n">
        <v>460239.04</v>
      </c>
      <c r="DF26" s="15" t="n">
        <v>2273166.69</v>
      </c>
      <c r="DG26" s="15" t="n">
        <v>938932.03</v>
      </c>
      <c r="DH26" s="15" t="n">
        <v>883330.91</v>
      </c>
      <c r="DI26" s="15" t="n">
        <v>96791.00999999999</v>
      </c>
      <c r="DJ26" s="15" t="n">
        <v>448375.18</v>
      </c>
      <c r="DK26" s="15" t="n">
        <v>1631485</v>
      </c>
      <c r="DL26" s="15" t="n">
        <v>932327.33</v>
      </c>
      <c r="DM26" s="15" t="n">
        <v>1285478.69</v>
      </c>
      <c r="DN26" s="15" t="n">
        <v>70543.74000000001</v>
      </c>
      <c r="DO26" s="15" t="n">
        <v>82440.67999999999</v>
      </c>
      <c r="DP26" s="15" t="n">
        <v>1344.97</v>
      </c>
    </row>
    <row r="27">
      <c r="A27" s="4" t="inlineStr">
        <is>
          <t>调味汁</t>
        </is>
      </c>
      <c r="B27" s="15" t="n">
        <v>953030.62</v>
      </c>
      <c r="C27" s="15" t="n">
        <v>1417488.56</v>
      </c>
      <c r="D27" s="15" t="n">
        <v>84541.46000000001</v>
      </c>
      <c r="E27" s="15" t="n">
        <v>134612.9</v>
      </c>
      <c r="F27" s="15" t="n">
        <v>628137.3199999999</v>
      </c>
      <c r="G27" s="15" t="n">
        <v>981009.74</v>
      </c>
      <c r="H27" s="15" t="n">
        <v>1443648.19</v>
      </c>
      <c r="I27" s="15" t="n">
        <v>1378579.97</v>
      </c>
      <c r="J27" s="15" t="n">
        <v>898707.97</v>
      </c>
      <c r="K27" s="15" t="n">
        <v>16935.58</v>
      </c>
      <c r="L27" s="15" t="n">
        <v>714181.54</v>
      </c>
      <c r="M27" s="15" t="n">
        <v>1633023.37</v>
      </c>
      <c r="N27" s="15" t="n">
        <v>1416377.55</v>
      </c>
      <c r="O27" s="15" t="n">
        <v>412310.83</v>
      </c>
      <c r="P27" s="15" t="n">
        <v>742748.73</v>
      </c>
      <c r="Q27" s="15" t="n">
        <v>249422.33</v>
      </c>
      <c r="R27" s="15" t="n">
        <v>-78145.59</v>
      </c>
      <c r="S27" s="15" t="n">
        <v>1026217.39</v>
      </c>
      <c r="T27" s="15" t="n">
        <v>393769.39</v>
      </c>
      <c r="U27" s="15" t="n">
        <v>624617.88</v>
      </c>
      <c r="V27" s="15" t="n">
        <v>306861.47</v>
      </c>
      <c r="W27" s="15" t="n">
        <v>237784.77</v>
      </c>
      <c r="X27" s="15" t="n">
        <v>531368.47</v>
      </c>
      <c r="Y27" s="15" t="n">
        <v>1088742.43</v>
      </c>
      <c r="Z27" s="15" t="n">
        <v>1717358.49</v>
      </c>
      <c r="AA27" s="15" t="n">
        <v>1468364.11</v>
      </c>
      <c r="AB27" s="15" t="n">
        <v>940372.0600000001</v>
      </c>
      <c r="AC27" s="15" t="n">
        <v>80591.94</v>
      </c>
      <c r="AD27" s="15" t="n">
        <v>533060.5699999999</v>
      </c>
      <c r="AE27" s="15" t="n">
        <v>1976060.62</v>
      </c>
      <c r="AF27" s="15" t="n">
        <v>1607438.72</v>
      </c>
      <c r="AG27" s="15" t="n">
        <v>1383746.77</v>
      </c>
      <c r="AH27" s="15" t="n">
        <v>635585.3100000001</v>
      </c>
      <c r="AI27" s="15" t="n">
        <v>8245.34</v>
      </c>
      <c r="AJ27" s="15" t="n">
        <v>257610.61</v>
      </c>
      <c r="AK27" s="15" t="n">
        <v>1497154.15</v>
      </c>
      <c r="AL27" s="15" t="n">
        <v>1003678.35</v>
      </c>
      <c r="AM27" s="15" t="n">
        <v>1096328.89</v>
      </c>
      <c r="AN27" s="15" t="n">
        <v>383843.68</v>
      </c>
      <c r="AO27" s="15" t="n">
        <v>216905.12</v>
      </c>
      <c r="AP27" s="15" t="n">
        <v>432657.23</v>
      </c>
      <c r="AQ27" s="15" t="n">
        <v>514997.32</v>
      </c>
      <c r="AR27" s="15" t="n">
        <v>1142391.07</v>
      </c>
      <c r="AS27" s="15" t="n">
        <v>484981.94</v>
      </c>
      <c r="AT27" s="15" t="n">
        <v>111415.45</v>
      </c>
      <c r="AU27" s="15" t="n">
        <v>203952.43</v>
      </c>
      <c r="AV27" s="15" t="n">
        <v>579132.6899999999</v>
      </c>
      <c r="AW27" s="15" t="n">
        <v>1599770.54</v>
      </c>
      <c r="AX27" s="15" t="n">
        <v>1321238.17</v>
      </c>
      <c r="AY27" s="15" t="n">
        <v>751894.22</v>
      </c>
      <c r="AZ27" s="15" t="n">
        <v>956194.62</v>
      </c>
      <c r="BA27" s="15" t="n">
        <v>159062.36</v>
      </c>
      <c r="BB27" s="15" t="n">
        <v>227893.86</v>
      </c>
      <c r="BC27" s="15" t="n">
        <v>57550.26</v>
      </c>
      <c r="BD27" s="15" t="n">
        <v>239940.13</v>
      </c>
      <c r="BE27" s="15" t="n">
        <v>1165932.6</v>
      </c>
      <c r="BF27" s="15" t="n">
        <v>443392.97</v>
      </c>
      <c r="BG27" s="15" t="n">
        <v>90749.09</v>
      </c>
      <c r="BH27" s="15" t="n">
        <v>-92359.59</v>
      </c>
      <c r="BI27" s="15" t="n">
        <v>250662.95</v>
      </c>
      <c r="BJ27" s="15" t="n">
        <v>453490.35</v>
      </c>
      <c r="BK27" s="15" t="n">
        <v>33271.43</v>
      </c>
      <c r="BL27" s="15" t="n">
        <v>729875.73</v>
      </c>
      <c r="BM27" s="15" t="n">
        <v>51797.65</v>
      </c>
      <c r="BN27" s="15" t="n">
        <v>253017.65</v>
      </c>
      <c r="BO27" s="15" t="n">
        <v>43229.54</v>
      </c>
      <c r="BP27" s="15" t="n">
        <v>673082.54</v>
      </c>
      <c r="BQ27" s="15" t="n">
        <v>107473.73</v>
      </c>
      <c r="BR27" s="15" t="n">
        <v>911260.83</v>
      </c>
      <c r="BS27" s="15" t="n">
        <v>122746.46</v>
      </c>
      <c r="BT27" s="15" t="n">
        <v>374233.57</v>
      </c>
      <c r="BU27" s="15" t="n">
        <v>1630256.32</v>
      </c>
      <c r="BV27" s="15" t="n">
        <v>1375777.16</v>
      </c>
      <c r="BW27" s="15" t="n">
        <v>1190127.76</v>
      </c>
      <c r="BX27" s="15" t="n">
        <v>962617.76</v>
      </c>
      <c r="BY27" s="15" t="n">
        <v>130302.17</v>
      </c>
      <c r="BZ27" s="15" t="n">
        <v>92810.32000000001</v>
      </c>
      <c r="CA27" s="15" t="n">
        <v>301981.95</v>
      </c>
      <c r="CB27" s="15" t="n">
        <v>2317482.9</v>
      </c>
      <c r="CC27" s="15" t="n">
        <v>118314.54</v>
      </c>
      <c r="CD27" s="15" t="n">
        <v>397199.6</v>
      </c>
      <c r="CE27" s="15" t="n">
        <v>24587.35</v>
      </c>
      <c r="CF27" s="15" t="n">
        <v>535402.92</v>
      </c>
      <c r="CG27" s="15" t="n">
        <v>1249514.56</v>
      </c>
      <c r="CH27" s="15" t="n">
        <v>773624.13</v>
      </c>
      <c r="CI27" s="15" t="n">
        <v>576730.72</v>
      </c>
      <c r="CJ27" s="15" t="n">
        <v>851962.29</v>
      </c>
      <c r="CK27" s="15" t="n">
        <v>156526.92</v>
      </c>
      <c r="CL27" s="15" t="n">
        <v>548430.9399999999</v>
      </c>
      <c r="CM27" s="15" t="n">
        <v>1251057.52</v>
      </c>
      <c r="CN27" s="15" t="n">
        <v>2045314.24</v>
      </c>
      <c r="CO27" s="15" t="n">
        <v>1136104.52</v>
      </c>
      <c r="CP27" s="15" t="n">
        <v>458132.03</v>
      </c>
      <c r="CQ27" s="15" t="n">
        <v>219398.61</v>
      </c>
      <c r="CR27" s="15" t="n">
        <v>39337.67</v>
      </c>
      <c r="CS27" s="15" t="n">
        <v>1865612.96</v>
      </c>
      <c r="CT27" s="15" t="n">
        <v>1635961.7</v>
      </c>
      <c r="CU27" s="15" t="n">
        <v>450298.85</v>
      </c>
      <c r="CV27" s="15" t="n">
        <v>285481.92</v>
      </c>
      <c r="CW27" s="15" t="n">
        <v>71073.17999999999</v>
      </c>
      <c r="CX27" s="15" t="n">
        <v>118779.98</v>
      </c>
      <c r="CY27" s="15" t="n">
        <v>67127.34</v>
      </c>
      <c r="CZ27" s="15" t="n">
        <v>1215429.81</v>
      </c>
      <c r="DA27" s="15" t="n">
        <v>1268017.1</v>
      </c>
      <c r="DB27" s="15" t="n">
        <v>177884.1</v>
      </c>
      <c r="DC27" s="15" t="n">
        <v>177861.36</v>
      </c>
      <c r="DD27" s="15" t="n">
        <v>353271.13</v>
      </c>
      <c r="DE27" s="15" t="n">
        <v>869350.51</v>
      </c>
      <c r="DF27" s="15" t="n">
        <v>1810087.09</v>
      </c>
      <c r="DG27" s="15" t="n">
        <v>550328.29</v>
      </c>
      <c r="DH27" s="15" t="n">
        <v>374531.92</v>
      </c>
      <c r="DI27" s="15" t="n">
        <v>132110.66</v>
      </c>
      <c r="DJ27" s="15" t="n">
        <v>687615.91</v>
      </c>
      <c r="DK27" s="15" t="n">
        <v>671232.52</v>
      </c>
      <c r="DL27" s="15" t="n">
        <v>1517487.05</v>
      </c>
      <c r="DM27" s="15" t="n">
        <v>1304696.33</v>
      </c>
      <c r="DN27" s="15" t="n">
        <v>280527.95</v>
      </c>
      <c r="DO27" s="15" t="n">
        <v>243945.06</v>
      </c>
      <c r="DP27" s="15" t="n">
        <v>460743.39</v>
      </c>
    </row>
    <row r="28">
      <c r="A28" s="4" t="inlineStr">
        <is>
          <t>复合调味粉</t>
        </is>
      </c>
      <c r="B28" s="15" t="n">
        <v>1758946.41</v>
      </c>
      <c r="C28" s="15" t="n">
        <v>343609.92</v>
      </c>
      <c r="D28" s="15" t="n">
        <v>755986.48</v>
      </c>
      <c r="E28" s="15" t="n">
        <v>124995.53</v>
      </c>
      <c r="F28" s="15" t="n">
        <v>550154.14</v>
      </c>
      <c r="G28" s="15" t="n">
        <v>1027532.32</v>
      </c>
      <c r="H28" s="15" t="n">
        <v>1502931.82</v>
      </c>
      <c r="I28" s="15" t="n">
        <v>72210.7</v>
      </c>
      <c r="J28" s="15" t="n">
        <v>321247.69</v>
      </c>
      <c r="K28" s="15" t="n">
        <v>122075.81</v>
      </c>
      <c r="L28" s="15" t="n">
        <v>298844.55</v>
      </c>
      <c r="M28" s="15" t="n">
        <v>1648757.46</v>
      </c>
      <c r="N28" s="15" t="n">
        <v>1621215.35</v>
      </c>
      <c r="O28" s="15" t="n">
        <v>1277467.93</v>
      </c>
      <c r="P28" s="15" t="n">
        <v>216885.78</v>
      </c>
      <c r="Q28" s="15" t="n">
        <v>113676.63</v>
      </c>
      <c r="R28" s="15" t="n">
        <v>-86511.28</v>
      </c>
      <c r="S28" s="15" t="n">
        <v>651290.62</v>
      </c>
      <c r="T28" s="15" t="n">
        <v>1583049.95</v>
      </c>
      <c r="U28" s="15" t="n">
        <v>89330.95</v>
      </c>
      <c r="V28" s="15" t="n">
        <v>590763.78</v>
      </c>
      <c r="W28" s="15" t="n">
        <v>153284.83</v>
      </c>
      <c r="X28" s="15" t="n">
        <v>520298.8</v>
      </c>
      <c r="Y28" s="15" t="n">
        <v>1089551.39</v>
      </c>
      <c r="Z28" s="15" t="n">
        <v>825324.59</v>
      </c>
      <c r="AA28" s="15" t="n">
        <v>1164664.7</v>
      </c>
      <c r="AB28" s="15" t="n">
        <v>819134.85</v>
      </c>
      <c r="AC28" s="15" t="n">
        <v>61321.93</v>
      </c>
      <c r="AD28" s="15" t="n">
        <v>-52676.41</v>
      </c>
      <c r="AE28" s="15" t="n">
        <v>503308.56</v>
      </c>
      <c r="AF28" s="15" t="n">
        <v>2434057.08</v>
      </c>
      <c r="AG28" s="15" t="n">
        <v>667466.47</v>
      </c>
      <c r="AH28" s="15" t="n">
        <v>35162.48</v>
      </c>
      <c r="AI28" s="15" t="n">
        <v>37675.13</v>
      </c>
      <c r="AJ28" s="15" t="n">
        <v>202229.97</v>
      </c>
      <c r="AK28" s="15" t="n">
        <v>1121015.79</v>
      </c>
      <c r="AL28" s="15" t="n">
        <v>1054046.41</v>
      </c>
      <c r="AM28" s="15" t="n">
        <v>960105.73</v>
      </c>
      <c r="AN28" s="15" t="n">
        <v>389236.18</v>
      </c>
      <c r="AO28" s="15" t="n">
        <v>180588.38</v>
      </c>
      <c r="AP28" s="15" t="n">
        <v>626405.47</v>
      </c>
      <c r="AQ28" s="15" t="n">
        <v>861521.83</v>
      </c>
      <c r="AR28" s="15" t="n">
        <v>925204.5600000001</v>
      </c>
      <c r="AS28" s="15" t="n">
        <v>1024474.48</v>
      </c>
      <c r="AT28" s="15" t="n">
        <v>908129.71</v>
      </c>
      <c r="AU28" s="15" t="n">
        <v>101234.97</v>
      </c>
      <c r="AV28" s="15" t="n">
        <v>670741.21</v>
      </c>
      <c r="AW28" s="15" t="n">
        <v>680240.62</v>
      </c>
      <c r="AX28" s="15" t="n">
        <v>250624.62</v>
      </c>
      <c r="AY28" s="15" t="n">
        <v>281977.29</v>
      </c>
      <c r="AZ28" s="15" t="n">
        <v>66371.05</v>
      </c>
      <c r="BA28" s="15" t="n">
        <v>127600.13</v>
      </c>
      <c r="BB28" s="15" t="n">
        <v>10101.02</v>
      </c>
      <c r="BC28" s="15" t="n">
        <v>363781.4</v>
      </c>
      <c r="BD28" s="15" t="n">
        <v>385105.99</v>
      </c>
      <c r="BE28" s="15" t="n">
        <v>486878.17</v>
      </c>
      <c r="BF28" s="15" t="n">
        <v>658846.26</v>
      </c>
      <c r="BG28" s="15" t="n">
        <v>229144.7</v>
      </c>
      <c r="BH28" s="15" t="n">
        <v>347437.42</v>
      </c>
      <c r="BI28" s="15" t="n">
        <v>1757840.29</v>
      </c>
      <c r="BJ28" s="15" t="n">
        <v>370106.62</v>
      </c>
      <c r="BK28" s="15" t="n">
        <v>437811.88</v>
      </c>
      <c r="BL28" s="15" t="n">
        <v>586603.54</v>
      </c>
      <c r="BM28" s="15" t="n">
        <v>19916.9</v>
      </c>
      <c r="BN28" s="15" t="n">
        <v>196683.89</v>
      </c>
      <c r="BO28" s="15" t="n">
        <v>1580908.9</v>
      </c>
      <c r="BP28" s="15" t="n">
        <v>1601346.09</v>
      </c>
      <c r="BQ28" s="15" t="n">
        <v>502825.97</v>
      </c>
      <c r="BR28" s="15" t="n">
        <v>379766.02</v>
      </c>
      <c r="BS28" s="15" t="n">
        <v>87409.7</v>
      </c>
      <c r="BT28" s="15" t="n">
        <v>580937.7</v>
      </c>
      <c r="BU28" s="15" t="n">
        <v>1296183.14</v>
      </c>
      <c r="BV28" s="15" t="n">
        <v>1203042.27</v>
      </c>
      <c r="BW28" s="15" t="n">
        <v>696140.49</v>
      </c>
      <c r="BX28" s="15" t="n">
        <v>732597.16</v>
      </c>
      <c r="BY28" s="15" t="n">
        <v>149723.88</v>
      </c>
      <c r="BZ28" s="15" t="n">
        <v>-67642.75999999999</v>
      </c>
      <c r="CA28" s="15" t="n">
        <v>916633.99</v>
      </c>
      <c r="CB28" s="15" t="n">
        <v>2241548.12</v>
      </c>
      <c r="CC28" s="15" t="n">
        <v>1384087.68</v>
      </c>
      <c r="CD28" s="15" t="n">
        <v>927270.84</v>
      </c>
      <c r="CE28" s="15" t="n">
        <v>194493.07</v>
      </c>
      <c r="CF28" s="15" t="n">
        <v>174332.24</v>
      </c>
      <c r="CG28" s="15" t="n">
        <v>1796260.8</v>
      </c>
      <c r="CH28" s="15" t="n">
        <v>1240309.73</v>
      </c>
      <c r="CI28" s="15" t="n">
        <v>1293779.69</v>
      </c>
      <c r="CJ28" s="15" t="n">
        <v>564529.52</v>
      </c>
      <c r="CK28" s="15" t="n">
        <v>188623.71</v>
      </c>
      <c r="CL28" s="15" t="n">
        <v>517734.94</v>
      </c>
      <c r="CM28" s="15" t="n">
        <v>1465744.02</v>
      </c>
      <c r="CN28" s="15" t="n">
        <v>1887284.46</v>
      </c>
      <c r="CO28" s="15" t="n">
        <v>515479.28</v>
      </c>
      <c r="CP28" s="15" t="n">
        <v>178758.74</v>
      </c>
      <c r="CQ28" s="15" t="n">
        <v>236076.03</v>
      </c>
      <c r="CR28" s="15" t="n">
        <v>697479.65</v>
      </c>
      <c r="CS28" s="15" t="n">
        <v>1499161.81</v>
      </c>
      <c r="CT28" s="15" t="n">
        <v>2082151.91</v>
      </c>
      <c r="CU28" s="15" t="n">
        <v>646383.78</v>
      </c>
      <c r="CV28" s="15" t="n">
        <v>795178.3</v>
      </c>
      <c r="CW28" s="15" t="n">
        <v>212196.99</v>
      </c>
      <c r="CX28" s="15" t="n">
        <v>-56328.3</v>
      </c>
      <c r="CY28" s="15" t="n">
        <v>1332956.4</v>
      </c>
      <c r="CZ28" s="15" t="n">
        <v>2023315.03</v>
      </c>
      <c r="DA28" s="15" t="n">
        <v>1166101.67</v>
      </c>
      <c r="DB28" s="15" t="n">
        <v>853579.13</v>
      </c>
      <c r="DC28" s="15" t="n">
        <v>213719.89</v>
      </c>
      <c r="DD28" s="15" t="n">
        <v>400640.22</v>
      </c>
      <c r="DE28" s="15" t="n">
        <v>1283690.91</v>
      </c>
      <c r="DF28" s="15" t="n">
        <v>479131.84</v>
      </c>
      <c r="DG28" s="15" t="n">
        <v>432414.03</v>
      </c>
      <c r="DH28" s="15" t="n">
        <v>688795.96</v>
      </c>
      <c r="DI28" s="15" t="n">
        <v>212638.81</v>
      </c>
      <c r="DJ28" s="15" t="n">
        <v>263889.02</v>
      </c>
      <c r="DK28" s="15" t="n">
        <v>1759645.68</v>
      </c>
      <c r="DL28" s="15" t="n">
        <v>562112.66</v>
      </c>
      <c r="DM28" s="15" t="n">
        <v>947534.45</v>
      </c>
      <c r="DN28" s="15" t="n">
        <v>501387.51</v>
      </c>
      <c r="DO28" s="15" t="n">
        <v>171267.68</v>
      </c>
      <c r="DP28" s="15" t="n">
        <v>397080.64</v>
      </c>
    </row>
    <row r="29">
      <c r="A29" s="4" t="inlineStr">
        <is>
          <t>团餐</t>
        </is>
      </c>
      <c r="B29" s="15" t="n">
        <v>2342146.92</v>
      </c>
      <c r="C29" s="15" t="n">
        <v>936344.0600000001</v>
      </c>
      <c r="D29" s="15" t="n">
        <v>150787.05</v>
      </c>
      <c r="E29" s="15" t="n">
        <v>205883.5</v>
      </c>
      <c r="F29" s="15" t="n">
        <v>465057.43</v>
      </c>
      <c r="G29" s="15" t="n">
        <v>705261.4</v>
      </c>
      <c r="H29" s="15" t="n">
        <v>143216.22</v>
      </c>
      <c r="I29" s="15" t="n">
        <v>31354.51</v>
      </c>
      <c r="J29" s="15" t="n">
        <v>564667.9399999999</v>
      </c>
      <c r="K29" s="15" t="n">
        <v>191103.99</v>
      </c>
      <c r="L29" s="15" t="n">
        <v>191115.37</v>
      </c>
      <c r="M29" s="15" t="n">
        <v>1440417.41</v>
      </c>
      <c r="N29" s="15" t="n">
        <v>2356294.87</v>
      </c>
      <c r="O29" s="15" t="n">
        <v>445816.74</v>
      </c>
      <c r="P29" s="15" t="n">
        <v>420702.16</v>
      </c>
      <c r="Q29" s="15" t="n">
        <v>186249.95</v>
      </c>
      <c r="R29" s="15" t="n">
        <v>299317.73</v>
      </c>
      <c r="S29" s="15" t="n">
        <v>667520.54</v>
      </c>
      <c r="T29" s="15" t="n">
        <v>2101033.65</v>
      </c>
      <c r="U29" s="15" t="n">
        <v>828735.9300000001</v>
      </c>
      <c r="V29" s="15" t="n">
        <v>78498.74000000001</v>
      </c>
      <c r="W29" s="15" t="n">
        <v>248331.67</v>
      </c>
      <c r="X29" s="15" t="n">
        <v>474357.69</v>
      </c>
      <c r="Y29" s="15" t="n">
        <v>1232212.74</v>
      </c>
      <c r="Z29" s="15" t="n">
        <v>1231082.18</v>
      </c>
      <c r="AA29" s="15" t="n">
        <v>1066986.3</v>
      </c>
      <c r="AB29" s="15" t="n">
        <v>340372.32</v>
      </c>
      <c r="AC29" s="15" t="n">
        <v>155681.62</v>
      </c>
      <c r="AD29" s="15" t="n">
        <v>254646.01</v>
      </c>
      <c r="AE29" s="15" t="n">
        <v>652094.12</v>
      </c>
      <c r="AF29" s="15" t="n">
        <v>1821389.58</v>
      </c>
      <c r="AG29" s="15" t="n">
        <v>1129320.52</v>
      </c>
      <c r="AH29" s="15" t="n">
        <v>31547.9</v>
      </c>
      <c r="AI29" s="15" t="n">
        <v>19589.94</v>
      </c>
      <c r="AJ29" s="15" t="n">
        <v>201042.03</v>
      </c>
      <c r="AK29" s="15" t="n">
        <v>83947.14</v>
      </c>
      <c r="AL29" s="15" t="n">
        <v>1986978.55</v>
      </c>
      <c r="AM29" s="15" t="n">
        <v>330604.88</v>
      </c>
      <c r="AN29" s="15" t="n">
        <v>886292.52</v>
      </c>
      <c r="AO29" s="15" t="n">
        <v>23676.25</v>
      </c>
      <c r="AP29" s="15" t="n">
        <v>348128.56</v>
      </c>
      <c r="AQ29" s="15" t="n">
        <v>1016432.93</v>
      </c>
      <c r="AR29" s="15" t="n">
        <v>1265264.37</v>
      </c>
      <c r="AS29" s="15" t="n">
        <v>689770.64</v>
      </c>
      <c r="AT29" s="15" t="n">
        <v>526066.62</v>
      </c>
      <c r="AU29" s="15" t="n">
        <v>164423.21</v>
      </c>
      <c r="AV29" s="15" t="n">
        <v>666643.96</v>
      </c>
      <c r="AW29" s="15" t="n">
        <v>1993336.06</v>
      </c>
      <c r="AX29" s="15" t="n">
        <v>2238098.65</v>
      </c>
      <c r="AY29" s="15" t="n">
        <v>307232.94</v>
      </c>
      <c r="AZ29" s="15" t="n">
        <v>226326.94</v>
      </c>
      <c r="BA29" s="15" t="n">
        <v>129359.25</v>
      </c>
      <c r="BB29" s="15" t="n">
        <v>143827.09</v>
      </c>
      <c r="BC29" s="15" t="n">
        <v>1435320.85</v>
      </c>
      <c r="BD29" s="15" t="n">
        <v>1551779.13</v>
      </c>
      <c r="BE29" s="15" t="n">
        <v>737015.8</v>
      </c>
      <c r="BF29" s="15" t="n">
        <v>806403.84</v>
      </c>
      <c r="BG29" s="15" t="n">
        <v>202322.97</v>
      </c>
      <c r="BH29" s="15" t="n">
        <v>-58970.75</v>
      </c>
      <c r="BI29" s="15" t="n">
        <v>520609.37</v>
      </c>
      <c r="BJ29" s="15" t="n">
        <v>2464268.53</v>
      </c>
      <c r="BK29" s="15" t="n">
        <v>1114838.08</v>
      </c>
      <c r="BL29" s="15" t="n">
        <v>680601.0600000001</v>
      </c>
      <c r="BM29" s="15" t="n">
        <v>19983.05</v>
      </c>
      <c r="BN29" s="15" t="n">
        <v>592921.62</v>
      </c>
      <c r="BO29" s="15" t="n">
        <v>612075.92</v>
      </c>
      <c r="BP29" s="15" t="n">
        <v>262751.16</v>
      </c>
      <c r="BQ29" s="15" t="n">
        <v>985654.37</v>
      </c>
      <c r="BR29" s="15" t="n">
        <v>257303</v>
      </c>
      <c r="BS29" s="15" t="n">
        <v>164909.42</v>
      </c>
      <c r="BT29" s="15" t="n">
        <v>635266.14</v>
      </c>
      <c r="BU29" s="15" t="n">
        <v>146274.21</v>
      </c>
      <c r="BV29" s="15" t="n">
        <v>492799.19</v>
      </c>
      <c r="BW29" s="15" t="n">
        <v>53362.84</v>
      </c>
      <c r="BX29" s="15" t="n">
        <v>608842.6800000001</v>
      </c>
      <c r="BY29" s="15" t="n">
        <v>53808.05</v>
      </c>
      <c r="BZ29" s="15" t="n">
        <v>89140.39999999999</v>
      </c>
      <c r="CA29" s="15" t="n">
        <v>1824764.43</v>
      </c>
      <c r="CB29" s="15" t="n">
        <v>1373703.91</v>
      </c>
      <c r="CC29" s="15" t="n">
        <v>1104807.02</v>
      </c>
      <c r="CD29" s="15" t="n">
        <v>687311.95</v>
      </c>
      <c r="CE29" s="15" t="n">
        <v>21369.45</v>
      </c>
      <c r="CF29" s="15" t="n">
        <v>393299.09</v>
      </c>
      <c r="CG29" s="15" t="n">
        <v>1862407.41</v>
      </c>
      <c r="CH29" s="15" t="n">
        <v>1239531.07</v>
      </c>
      <c r="CI29" s="15" t="n">
        <v>1465368.1</v>
      </c>
      <c r="CJ29" s="15" t="n">
        <v>932483.72</v>
      </c>
      <c r="CK29" s="15" t="n">
        <v>127174.33</v>
      </c>
      <c r="CL29" s="15" t="n">
        <v>289032.45</v>
      </c>
      <c r="CM29" s="15" t="n">
        <v>949003.45</v>
      </c>
      <c r="CN29" s="15" t="n">
        <v>638411.85</v>
      </c>
      <c r="CO29" s="15" t="n">
        <v>641575.5600000001</v>
      </c>
      <c r="CP29" s="15" t="n">
        <v>767592.23</v>
      </c>
      <c r="CQ29" s="15" t="n">
        <v>116754.36</v>
      </c>
      <c r="CR29" s="15" t="n">
        <v>164479.13</v>
      </c>
      <c r="CS29" s="15" t="n">
        <v>723244.0699999999</v>
      </c>
      <c r="CT29" s="15" t="n">
        <v>860519.26</v>
      </c>
      <c r="CU29" s="15" t="n">
        <v>1331869.09</v>
      </c>
      <c r="CV29" s="15" t="n">
        <v>215947.05</v>
      </c>
      <c r="CW29" s="15" t="n">
        <v>225381.02</v>
      </c>
      <c r="CX29" s="15" t="n">
        <v>328624.62</v>
      </c>
      <c r="CY29" s="15" t="n">
        <v>1242225.96</v>
      </c>
      <c r="CZ29" s="15" t="n">
        <v>2024510.47</v>
      </c>
      <c r="DA29" s="15" t="n">
        <v>1052840.35</v>
      </c>
      <c r="DB29" s="15" t="n">
        <v>210021.94</v>
      </c>
      <c r="DC29" s="15" t="n">
        <v>194021.89</v>
      </c>
      <c r="DD29" s="15" t="n">
        <v>513629.28</v>
      </c>
      <c r="DE29" s="15" t="n">
        <v>251442.21</v>
      </c>
      <c r="DF29" s="15" t="n">
        <v>173778.66</v>
      </c>
      <c r="DG29" s="15" t="n">
        <v>591273.48</v>
      </c>
      <c r="DH29" s="15" t="n">
        <v>212275.58</v>
      </c>
      <c r="DI29" s="15" t="n">
        <v>82207.86</v>
      </c>
      <c r="DJ29" s="15" t="n">
        <v>74610.00999999999</v>
      </c>
      <c r="DK29" s="15" t="n">
        <v>1652267.1</v>
      </c>
      <c r="DL29" s="15" t="n">
        <v>1366522.75</v>
      </c>
      <c r="DM29" s="15" t="n">
        <v>1105427.74</v>
      </c>
      <c r="DN29" s="15" t="n">
        <v>143941.19</v>
      </c>
      <c r="DO29" s="15" t="n">
        <v>174331.13</v>
      </c>
      <c r="DP29" s="15" t="n">
        <v>60303.42</v>
      </c>
    </row>
    <row r="30">
      <c r="A30" s="4" t="inlineStr">
        <is>
          <t>预制菜</t>
        </is>
      </c>
      <c r="B30" s="15" t="n">
        <v>2368181.8</v>
      </c>
      <c r="C30" s="15" t="n">
        <v>150900.14</v>
      </c>
      <c r="D30" s="15" t="n">
        <v>371571.21</v>
      </c>
      <c r="E30" s="15" t="n">
        <v>187575.73</v>
      </c>
      <c r="F30" s="15" t="n">
        <v>-40641.93</v>
      </c>
      <c r="G30" s="15" t="n">
        <v>1948657.23</v>
      </c>
      <c r="H30" s="15" t="n">
        <v>1324052.71</v>
      </c>
      <c r="I30" s="15" t="n">
        <v>524450.9300000001</v>
      </c>
      <c r="J30" s="15" t="n">
        <v>787611.24</v>
      </c>
      <c r="K30" s="15" t="n">
        <v>118804.96</v>
      </c>
      <c r="L30" s="15" t="n">
        <v>21767.74</v>
      </c>
      <c r="M30" s="15" t="n">
        <v>530782.16</v>
      </c>
      <c r="N30" s="15" t="n">
        <v>1108803.41</v>
      </c>
      <c r="O30" s="15" t="n">
        <v>1206412.62</v>
      </c>
      <c r="P30" s="15" t="n">
        <v>428360.33</v>
      </c>
      <c r="Q30" s="15" t="n">
        <v>99449.27</v>
      </c>
      <c r="R30" s="15" t="n">
        <v>139224.71</v>
      </c>
      <c r="S30" s="15" t="n">
        <v>248002.3</v>
      </c>
      <c r="T30" s="15" t="n">
        <v>1598992.94</v>
      </c>
      <c r="U30" s="15" t="n">
        <v>211245.22</v>
      </c>
      <c r="V30" s="15" t="n">
        <v>826649.87</v>
      </c>
      <c r="W30" s="15" t="n">
        <v>79898.87</v>
      </c>
      <c r="X30" s="15" t="n">
        <v>330988.23</v>
      </c>
      <c r="Y30" s="15" t="n">
        <v>896479.7</v>
      </c>
      <c r="Z30" s="15" t="n">
        <v>313037.94</v>
      </c>
      <c r="AA30" s="15" t="n">
        <v>1406303.87</v>
      </c>
      <c r="AB30" s="15" t="n">
        <v>978794.24</v>
      </c>
      <c r="AC30" s="15" t="n">
        <v>240000.01</v>
      </c>
      <c r="AD30" s="15" t="n">
        <v>378114.01</v>
      </c>
      <c r="AE30" s="15" t="n">
        <v>519579.53</v>
      </c>
      <c r="AF30" s="15" t="n">
        <v>2472427.03</v>
      </c>
      <c r="AG30" s="15" t="n">
        <v>1001526.73</v>
      </c>
      <c r="AH30" s="15" t="n">
        <v>458634.26</v>
      </c>
      <c r="AI30" s="15" t="n">
        <v>220293.82</v>
      </c>
      <c r="AJ30" s="15" t="n">
        <v>657756.01</v>
      </c>
      <c r="AK30" s="15" t="n">
        <v>929078.91</v>
      </c>
      <c r="AL30" s="15" t="n">
        <v>183602.85</v>
      </c>
      <c r="AM30" s="15" t="n">
        <v>887204.48</v>
      </c>
      <c r="AN30" s="15" t="n">
        <v>63143.29</v>
      </c>
      <c r="AO30" s="15" t="n">
        <v>143862.46</v>
      </c>
      <c r="AP30" s="15" t="n">
        <v>601294.98</v>
      </c>
      <c r="AQ30" s="15" t="n">
        <v>1839724.31</v>
      </c>
      <c r="AR30" s="15" t="n">
        <v>894947.7</v>
      </c>
      <c r="AS30" s="15" t="n">
        <v>1010043.53</v>
      </c>
      <c r="AT30" s="15" t="n">
        <v>166106.29</v>
      </c>
      <c r="AU30" s="15" t="n">
        <v>186429.11</v>
      </c>
      <c r="AV30" s="15" t="n">
        <v>558735.79</v>
      </c>
      <c r="AW30" s="15" t="n">
        <v>747999.92</v>
      </c>
      <c r="AX30" s="15" t="n">
        <v>1569009.74</v>
      </c>
      <c r="AY30" s="15" t="n">
        <v>697307.4399999999</v>
      </c>
      <c r="AZ30" s="15" t="n">
        <v>770726.3</v>
      </c>
      <c r="BA30" s="15" t="n">
        <v>44397.97</v>
      </c>
      <c r="BB30" s="15" t="n">
        <v>364268.28</v>
      </c>
      <c r="BC30" s="15" t="n">
        <v>1092545.37</v>
      </c>
      <c r="BD30" s="15" t="n">
        <v>1350268.31</v>
      </c>
      <c r="BE30" s="15" t="n">
        <v>1156770.47</v>
      </c>
      <c r="BF30" s="15" t="n">
        <v>606560.13</v>
      </c>
      <c r="BG30" s="15" t="n">
        <v>25734.93</v>
      </c>
      <c r="BH30" s="15" t="n">
        <v>469412.39</v>
      </c>
      <c r="BI30" s="15" t="n">
        <v>1661408.38</v>
      </c>
      <c r="BJ30" s="15" t="n">
        <v>1494198.45</v>
      </c>
      <c r="BK30" s="15" t="n">
        <v>1442467.55</v>
      </c>
      <c r="BL30" s="15" t="n">
        <v>831849.83</v>
      </c>
      <c r="BM30" s="15" t="n">
        <v>92767.94</v>
      </c>
      <c r="BN30" s="15" t="n">
        <v>-29832.37</v>
      </c>
      <c r="BO30" s="15" t="n">
        <v>1370248.72</v>
      </c>
      <c r="BP30" s="15" t="n">
        <v>867843.0600000001</v>
      </c>
      <c r="BQ30" s="15" t="n">
        <v>886094.75</v>
      </c>
      <c r="BR30" s="15" t="n">
        <v>751648.7</v>
      </c>
      <c r="BS30" s="15" t="n">
        <v>176595.78</v>
      </c>
      <c r="BT30" s="15" t="n">
        <v>134853.73</v>
      </c>
      <c r="BU30" s="15" t="n">
        <v>1678973.34</v>
      </c>
      <c r="BV30" s="15" t="n">
        <v>1014280.15</v>
      </c>
      <c r="BW30" s="15" t="n">
        <v>1499666.39</v>
      </c>
      <c r="BX30" s="15" t="n">
        <v>998452.41</v>
      </c>
      <c r="BY30" s="15" t="n">
        <v>110976.95</v>
      </c>
      <c r="BZ30" s="15" t="n">
        <v>552336.97</v>
      </c>
      <c r="CA30" s="15" t="n">
        <v>322984.09</v>
      </c>
      <c r="CB30" s="15" t="n">
        <v>2070432.72</v>
      </c>
      <c r="CC30" s="15" t="n">
        <v>38680.42</v>
      </c>
      <c r="CD30" s="15" t="n">
        <v>265249.26</v>
      </c>
      <c r="CE30" s="15" t="n">
        <v>242291.02</v>
      </c>
      <c r="CF30" s="15" t="n">
        <v>44393.77</v>
      </c>
      <c r="CG30" s="15" t="n">
        <v>1751123.89</v>
      </c>
      <c r="CH30" s="15" t="n">
        <v>2446818.4</v>
      </c>
      <c r="CI30" s="15" t="n">
        <v>1321920</v>
      </c>
      <c r="CJ30" s="15" t="n">
        <v>740039.75</v>
      </c>
      <c r="CK30" s="15" t="n">
        <v>97041.81</v>
      </c>
      <c r="CL30" s="15" t="n">
        <v>357593.2</v>
      </c>
      <c r="CM30" s="15" t="n">
        <v>687258.1</v>
      </c>
      <c r="CN30" s="15" t="n">
        <v>1259590.73</v>
      </c>
      <c r="CO30" s="15" t="n">
        <v>43723.15</v>
      </c>
      <c r="CP30" s="15" t="n">
        <v>78435.23</v>
      </c>
      <c r="CQ30" s="15" t="n">
        <v>149041</v>
      </c>
      <c r="CR30" s="15" t="n">
        <v>547778.58</v>
      </c>
      <c r="CS30" s="15" t="n">
        <v>1214267.95</v>
      </c>
      <c r="CT30" s="15" t="n">
        <v>899292.23</v>
      </c>
      <c r="CU30" s="15" t="n">
        <v>96226.34</v>
      </c>
      <c r="CV30" s="15" t="n">
        <v>894357.39</v>
      </c>
      <c r="CW30" s="15" t="n">
        <v>78808.98</v>
      </c>
      <c r="CX30" s="15" t="n">
        <v>283712.87</v>
      </c>
      <c r="CY30" s="15" t="n">
        <v>125236.45</v>
      </c>
      <c r="CZ30" s="15" t="n">
        <v>2336630.33</v>
      </c>
      <c r="DA30" s="15" t="n">
        <v>1028232.98</v>
      </c>
      <c r="DB30" s="15" t="n">
        <v>236224.84</v>
      </c>
      <c r="DC30" s="15" t="n">
        <v>125072.67</v>
      </c>
      <c r="DD30" s="15" t="n">
        <v>544954.84</v>
      </c>
      <c r="DE30" s="15" t="n">
        <v>1907988.33</v>
      </c>
      <c r="DF30" s="15" t="n">
        <v>2264059.24</v>
      </c>
      <c r="DG30" s="15" t="n">
        <v>1122068.49</v>
      </c>
      <c r="DH30" s="15" t="n">
        <v>908510.79</v>
      </c>
      <c r="DI30" s="15" t="n">
        <v>175931.3</v>
      </c>
      <c r="DJ30" s="15" t="n">
        <v>-51298.62</v>
      </c>
      <c r="DK30" s="15" t="n">
        <v>1394736.9</v>
      </c>
      <c r="DL30" s="15" t="n">
        <v>1681776.82</v>
      </c>
      <c r="DM30" s="15" t="n">
        <v>708296.53</v>
      </c>
      <c r="DN30" s="15" t="n">
        <v>901305.91</v>
      </c>
      <c r="DO30" s="15" t="n">
        <v>12950.73</v>
      </c>
      <c r="DP30" s="15" t="n">
        <v>439958.87</v>
      </c>
    </row>
    <row r="31">
      <c r="A31" s="4" t="inlineStr">
        <is>
          <t>其他产品A</t>
        </is>
      </c>
      <c r="B31" s="15" t="n">
        <v>641218.03</v>
      </c>
      <c r="C31" s="15" t="n">
        <v>1060548.6</v>
      </c>
      <c r="D31" s="15" t="n">
        <v>429124.09</v>
      </c>
      <c r="E31" s="15" t="n">
        <v>169865.6</v>
      </c>
      <c r="F31" s="15" t="n">
        <v>-10031</v>
      </c>
      <c r="G31" s="15" t="n">
        <v>231578.5</v>
      </c>
      <c r="H31" s="15" t="n">
        <v>1675875.42</v>
      </c>
      <c r="I31" s="15" t="n">
        <v>48487.98</v>
      </c>
      <c r="J31" s="15" t="n">
        <v>492454.01</v>
      </c>
      <c r="K31" s="15" t="n">
        <v>156430.3</v>
      </c>
      <c r="L31" s="15" t="n">
        <v>581607.78</v>
      </c>
      <c r="M31" s="15" t="n">
        <v>1501681.6</v>
      </c>
      <c r="N31" s="15" t="n">
        <v>994085.89</v>
      </c>
      <c r="O31" s="15" t="n">
        <v>424246.05</v>
      </c>
      <c r="P31" s="15" t="n">
        <v>486617.15</v>
      </c>
      <c r="Q31" s="15" t="n">
        <v>211542.77</v>
      </c>
      <c r="R31" s="15" t="n">
        <v>314626.37</v>
      </c>
      <c r="S31" s="15" t="n">
        <v>605619.3100000001</v>
      </c>
      <c r="T31" s="15" t="n">
        <v>488996.44</v>
      </c>
      <c r="U31" s="15" t="n">
        <v>769171.76</v>
      </c>
      <c r="V31" s="15" t="n">
        <v>922373.45</v>
      </c>
      <c r="W31" s="15" t="n">
        <v>219123.54</v>
      </c>
      <c r="X31" s="15" t="n">
        <v>638823.42</v>
      </c>
      <c r="Y31" s="15" t="n">
        <v>1530150.19</v>
      </c>
      <c r="Z31" s="15" t="n">
        <v>1898385.72</v>
      </c>
      <c r="AA31" s="15" t="n">
        <v>750132.25</v>
      </c>
      <c r="AB31" s="15" t="n">
        <v>900121.92</v>
      </c>
      <c r="AC31" s="15" t="n">
        <v>87920.32000000001</v>
      </c>
      <c r="AD31" s="15" t="n">
        <v>-23236.7</v>
      </c>
      <c r="AE31" s="15" t="n">
        <v>735911.47</v>
      </c>
      <c r="AF31" s="15" t="n">
        <v>177961.98</v>
      </c>
      <c r="AG31" s="15" t="n">
        <v>1363686.39</v>
      </c>
      <c r="AH31" s="15" t="n">
        <v>397348.91</v>
      </c>
      <c r="AI31" s="15" t="n">
        <v>234206.55</v>
      </c>
      <c r="AJ31" s="15" t="n">
        <v>-40299.08</v>
      </c>
      <c r="AK31" s="15" t="n">
        <v>742804.78</v>
      </c>
      <c r="AL31" s="15" t="n">
        <v>1196835.26</v>
      </c>
      <c r="AM31" s="15" t="n">
        <v>1048075.93</v>
      </c>
      <c r="AN31" s="15" t="n">
        <v>371157.61</v>
      </c>
      <c r="AO31" s="15" t="n">
        <v>106890.57</v>
      </c>
      <c r="AP31" s="15" t="n">
        <v>253940.08</v>
      </c>
      <c r="AQ31" s="15" t="n">
        <v>1724824.2</v>
      </c>
      <c r="AR31" s="15" t="n">
        <v>1065728.34</v>
      </c>
      <c r="AS31" s="15" t="n">
        <v>1479072.62</v>
      </c>
      <c r="AT31" s="15" t="n">
        <v>892571.66</v>
      </c>
      <c r="AU31" s="15" t="n">
        <v>245186.65</v>
      </c>
      <c r="AV31" s="15" t="n">
        <v>380822.19</v>
      </c>
      <c r="AW31" s="15" t="n">
        <v>864332.48</v>
      </c>
      <c r="AX31" s="15" t="n">
        <v>1878358.82</v>
      </c>
      <c r="AY31" s="15" t="n">
        <v>600374.16</v>
      </c>
      <c r="AZ31" s="15" t="n">
        <v>413258.86</v>
      </c>
      <c r="BA31" s="15" t="n">
        <v>8466.99</v>
      </c>
      <c r="BB31" s="15" t="n">
        <v>383373.13</v>
      </c>
      <c r="BC31" s="15" t="n">
        <v>766171.8199999999</v>
      </c>
      <c r="BD31" s="15" t="n">
        <v>342575.45</v>
      </c>
      <c r="BE31" s="15" t="n">
        <v>637581.37</v>
      </c>
      <c r="BF31" s="15" t="n">
        <v>864982.4399999999</v>
      </c>
      <c r="BG31" s="15" t="n">
        <v>22579.07</v>
      </c>
      <c r="BH31" s="15" t="n">
        <v>75992.67999999999</v>
      </c>
      <c r="BI31" s="15" t="n">
        <v>695073.5699999999</v>
      </c>
      <c r="BJ31" s="15" t="n">
        <v>2461181.16</v>
      </c>
      <c r="BK31" s="15" t="n">
        <v>305427.37</v>
      </c>
      <c r="BL31" s="15" t="n">
        <v>268191.11</v>
      </c>
      <c r="BM31" s="15" t="n">
        <v>96005.28999999999</v>
      </c>
      <c r="BN31" s="15" t="n">
        <v>-36556.26</v>
      </c>
      <c r="BO31" s="15" t="n">
        <v>331237.76</v>
      </c>
      <c r="BP31" s="15" t="n">
        <v>1017569.96</v>
      </c>
      <c r="BQ31" s="15" t="n">
        <v>624013.5600000001</v>
      </c>
      <c r="BR31" s="15" t="n">
        <v>597524.3199999999</v>
      </c>
      <c r="BS31" s="15" t="n">
        <v>24973.43</v>
      </c>
      <c r="BT31" s="15" t="n">
        <v>23525.69</v>
      </c>
      <c r="BU31" s="15" t="n">
        <v>1429684.53</v>
      </c>
      <c r="BV31" s="15" t="n">
        <v>2263674.85</v>
      </c>
      <c r="BW31" s="15" t="n">
        <v>693042.75</v>
      </c>
      <c r="BX31" s="15" t="n">
        <v>741684.9399999999</v>
      </c>
      <c r="BY31" s="15" t="n">
        <v>81413.06</v>
      </c>
      <c r="BZ31" s="15" t="n">
        <v>613580.61</v>
      </c>
      <c r="CA31" s="15" t="n">
        <v>1411448.97</v>
      </c>
      <c r="CB31" s="15" t="n">
        <v>1000190.2</v>
      </c>
      <c r="CC31" s="15" t="n">
        <v>744543.59</v>
      </c>
      <c r="CD31" s="15" t="n">
        <v>311130.81</v>
      </c>
      <c r="CE31" s="15" t="n">
        <v>123025.05</v>
      </c>
      <c r="CF31" s="15" t="n">
        <v>540614.63</v>
      </c>
      <c r="CG31" s="15" t="n">
        <v>1034636.82</v>
      </c>
      <c r="CH31" s="15" t="n">
        <v>1535966.44</v>
      </c>
      <c r="CI31" s="15" t="n">
        <v>630278.1899999999</v>
      </c>
      <c r="CJ31" s="15" t="n">
        <v>206214.96</v>
      </c>
      <c r="CK31" s="15" t="n">
        <v>145055.11</v>
      </c>
      <c r="CL31" s="15" t="n">
        <v>690257.09</v>
      </c>
      <c r="CM31" s="15" t="n">
        <v>154572.06</v>
      </c>
      <c r="CN31" s="15" t="n">
        <v>446989.02</v>
      </c>
      <c r="CO31" s="15" t="n">
        <v>951652.47</v>
      </c>
      <c r="CP31" s="15" t="n">
        <v>267272.07</v>
      </c>
      <c r="CQ31" s="15" t="n">
        <v>55192.1</v>
      </c>
      <c r="CR31" s="15" t="n">
        <v>385097.99</v>
      </c>
      <c r="CS31" s="15" t="n">
        <v>1668325.15</v>
      </c>
      <c r="CT31" s="15" t="n">
        <v>498845.99</v>
      </c>
      <c r="CU31" s="15" t="n">
        <v>1150019.13</v>
      </c>
      <c r="CV31" s="15" t="n">
        <v>815566.5699999999</v>
      </c>
      <c r="CW31" s="15" t="n">
        <v>184284.8</v>
      </c>
      <c r="CX31" s="15" t="n">
        <v>258662.83</v>
      </c>
      <c r="CY31" s="15" t="n">
        <v>300968.36</v>
      </c>
      <c r="CZ31" s="15" t="n">
        <v>60594.76</v>
      </c>
      <c r="DA31" s="15" t="n">
        <v>207137.04</v>
      </c>
      <c r="DB31" s="15" t="n">
        <v>487850.08</v>
      </c>
      <c r="DC31" s="15" t="n">
        <v>104314.8</v>
      </c>
      <c r="DD31" s="15" t="n">
        <v>679207.1800000001</v>
      </c>
      <c r="DE31" s="15" t="n">
        <v>1541656.03</v>
      </c>
      <c r="DF31" s="15" t="n">
        <v>320960.83</v>
      </c>
      <c r="DG31" s="15" t="n">
        <v>603966.0600000001</v>
      </c>
      <c r="DH31" s="15" t="n">
        <v>973296.3199999999</v>
      </c>
      <c r="DI31" s="15" t="n">
        <v>189520.72</v>
      </c>
      <c r="DJ31" s="15" t="n">
        <v>-23094.72</v>
      </c>
      <c r="DK31" s="15" t="n">
        <v>1657970.86</v>
      </c>
      <c r="DL31" s="15" t="n">
        <v>2162533.68</v>
      </c>
      <c r="DM31" s="15" t="n">
        <v>388263.99</v>
      </c>
      <c r="DN31" s="15" t="n">
        <v>996233.33</v>
      </c>
      <c r="DO31" s="15" t="n">
        <v>164638.47</v>
      </c>
      <c r="DP31" s="15" t="n">
        <v>611326.63</v>
      </c>
    </row>
    <row r="32">
      <c r="A32" s="4" t="inlineStr">
        <is>
          <t>其他产品B</t>
        </is>
      </c>
      <c r="B32" s="15" t="n">
        <v>938910.85</v>
      </c>
      <c r="C32" s="15" t="n">
        <v>538470.8100000001</v>
      </c>
      <c r="D32" s="15" t="n">
        <v>814180.89</v>
      </c>
      <c r="E32" s="15" t="n">
        <v>6085.59</v>
      </c>
      <c r="F32" s="15" t="n">
        <v>569899.29</v>
      </c>
      <c r="G32" s="15" t="n">
        <v>380602.45</v>
      </c>
      <c r="H32" s="15" t="n">
        <v>79573.59</v>
      </c>
      <c r="I32" s="15" t="n">
        <v>307187.8</v>
      </c>
      <c r="J32" s="15" t="n">
        <v>423006.95</v>
      </c>
      <c r="K32" s="15" t="n">
        <v>55490.85</v>
      </c>
      <c r="L32" s="15" t="n">
        <v>526371.34</v>
      </c>
      <c r="M32" s="15" t="n">
        <v>1001050.92</v>
      </c>
      <c r="N32" s="15" t="n">
        <v>965597.96</v>
      </c>
      <c r="O32" s="15" t="n">
        <v>941902.36</v>
      </c>
      <c r="P32" s="15" t="n">
        <v>296437.98</v>
      </c>
      <c r="Q32" s="15" t="n">
        <v>192756.03</v>
      </c>
      <c r="R32" s="15" t="n">
        <v>342711.69</v>
      </c>
      <c r="S32" s="15" t="n">
        <v>1608759.84</v>
      </c>
      <c r="T32" s="15" t="n">
        <v>54574.58</v>
      </c>
      <c r="U32" s="15" t="n">
        <v>468013.87</v>
      </c>
      <c r="V32" s="15" t="n">
        <v>18315.82</v>
      </c>
      <c r="W32" s="15" t="n">
        <v>243714.01</v>
      </c>
      <c r="X32" s="15" t="n">
        <v>-69965.48</v>
      </c>
      <c r="Y32" s="15" t="n">
        <v>1716084.17</v>
      </c>
      <c r="Z32" s="15" t="n">
        <v>440400.79</v>
      </c>
      <c r="AA32" s="15" t="n">
        <v>328761.95</v>
      </c>
      <c r="AB32" s="15" t="n">
        <v>225821.57</v>
      </c>
      <c r="AC32" s="15" t="n">
        <v>36227.94</v>
      </c>
      <c r="AD32" s="15" t="n">
        <v>551941.02</v>
      </c>
      <c r="AE32" s="15" t="n">
        <v>381264.85</v>
      </c>
      <c r="AF32" s="15" t="n">
        <v>1138998.63</v>
      </c>
      <c r="AG32" s="15" t="n">
        <v>1301363.86</v>
      </c>
      <c r="AH32" s="15" t="n">
        <v>987088.74</v>
      </c>
      <c r="AI32" s="15" t="n">
        <v>55719.58</v>
      </c>
      <c r="AJ32" s="15" t="n">
        <v>574732.63</v>
      </c>
      <c r="AK32" s="15" t="n">
        <v>289556.5</v>
      </c>
      <c r="AL32" s="15" t="n">
        <v>1825337.4</v>
      </c>
      <c r="AM32" s="15" t="n">
        <v>1186958.4</v>
      </c>
      <c r="AN32" s="15" t="n">
        <v>840662.24</v>
      </c>
      <c r="AO32" s="15" t="n">
        <v>24811.58</v>
      </c>
      <c r="AP32" s="15" t="n">
        <v>373270.94</v>
      </c>
      <c r="AQ32" s="15" t="n">
        <v>1393383.69</v>
      </c>
      <c r="AR32" s="15" t="n">
        <v>420554.86</v>
      </c>
      <c r="AS32" s="15" t="n">
        <v>1449052.39</v>
      </c>
      <c r="AT32" s="15" t="n">
        <v>836456.5600000001</v>
      </c>
      <c r="AU32" s="15" t="n">
        <v>137310.48</v>
      </c>
      <c r="AV32" s="15" t="n">
        <v>483722.48</v>
      </c>
      <c r="AW32" s="15" t="n">
        <v>881364.26</v>
      </c>
      <c r="AX32" s="15" t="n">
        <v>2069481.07</v>
      </c>
      <c r="AY32" s="15" t="n">
        <v>1064245.88</v>
      </c>
      <c r="AZ32" s="15" t="n">
        <v>586864.73</v>
      </c>
      <c r="BA32" s="15" t="n">
        <v>128866.07</v>
      </c>
      <c r="BB32" s="15" t="n">
        <v>737222.96</v>
      </c>
      <c r="BC32" s="15" t="n">
        <v>1934503.82</v>
      </c>
      <c r="BD32" s="15" t="n">
        <v>1670225.04</v>
      </c>
      <c r="BE32" s="15" t="n">
        <v>856407.51</v>
      </c>
      <c r="BF32" s="15" t="n">
        <v>207872.02</v>
      </c>
      <c r="BG32" s="15" t="n">
        <v>164112.28</v>
      </c>
      <c r="BH32" s="15" t="n">
        <v>464931.96</v>
      </c>
      <c r="BI32" s="15" t="n">
        <v>165586.91</v>
      </c>
      <c r="BJ32" s="15" t="n">
        <v>302288.08</v>
      </c>
      <c r="BK32" s="15" t="n">
        <v>994116.0600000001</v>
      </c>
      <c r="BL32" s="15" t="n">
        <v>171943.41</v>
      </c>
      <c r="BM32" s="15" t="n">
        <v>191716.6</v>
      </c>
      <c r="BN32" s="15" t="n">
        <v>296637.82</v>
      </c>
      <c r="BO32" s="15" t="n">
        <v>1598530.8</v>
      </c>
      <c r="BP32" s="15" t="n">
        <v>123549.05</v>
      </c>
      <c r="BQ32" s="15" t="n">
        <v>1410707.21</v>
      </c>
      <c r="BR32" s="15" t="n">
        <v>641172.39</v>
      </c>
      <c r="BS32" s="15" t="n">
        <v>108855.19</v>
      </c>
      <c r="BT32" s="15" t="n">
        <v>234257.36</v>
      </c>
      <c r="BU32" s="15" t="n">
        <v>808874.49</v>
      </c>
      <c r="BV32" s="15" t="n">
        <v>1814102.95</v>
      </c>
      <c r="BW32" s="15" t="n">
        <v>936514.54</v>
      </c>
      <c r="BX32" s="15" t="n">
        <v>485359.76</v>
      </c>
      <c r="BY32" s="15" t="n">
        <v>129243.97</v>
      </c>
      <c r="BZ32" s="15" t="n">
        <v>452537.42</v>
      </c>
      <c r="CA32" s="15" t="n">
        <v>350396.19</v>
      </c>
      <c r="CB32" s="15" t="n">
        <v>2381559.7</v>
      </c>
      <c r="CC32" s="15" t="n">
        <v>509762.78</v>
      </c>
      <c r="CD32" s="15" t="n">
        <v>520267.36</v>
      </c>
      <c r="CE32" s="15" t="n">
        <v>87390.39</v>
      </c>
      <c r="CF32" s="15" t="n">
        <v>63620.48</v>
      </c>
      <c r="CG32" s="15" t="n">
        <v>1955268.38</v>
      </c>
      <c r="CH32" s="15" t="n">
        <v>1253772.25</v>
      </c>
      <c r="CI32" s="15" t="n">
        <v>102395.1</v>
      </c>
      <c r="CJ32" s="15" t="n">
        <v>181302.25</v>
      </c>
      <c r="CK32" s="15" t="n">
        <v>167685.15</v>
      </c>
      <c r="CL32" s="15" t="n">
        <v>136367.44</v>
      </c>
      <c r="CM32" s="15" t="n">
        <v>1986621.79</v>
      </c>
      <c r="CN32" s="15" t="n">
        <v>2089877.28</v>
      </c>
      <c r="CO32" s="15" t="n">
        <v>751134.76</v>
      </c>
      <c r="CP32" s="15" t="n">
        <v>226520.57</v>
      </c>
      <c r="CQ32" s="15" t="n">
        <v>160070.75</v>
      </c>
      <c r="CR32" s="15" t="n">
        <v>68245.08</v>
      </c>
      <c r="CS32" s="15" t="n">
        <v>1494841.51</v>
      </c>
      <c r="CT32" s="15" t="n">
        <v>1667368.36</v>
      </c>
      <c r="CU32" s="15" t="n">
        <v>258291.6</v>
      </c>
      <c r="CV32" s="15" t="n">
        <v>258424.17</v>
      </c>
      <c r="CW32" s="15" t="n">
        <v>89022.73</v>
      </c>
      <c r="CX32" s="15" t="n">
        <v>618610.48</v>
      </c>
      <c r="CY32" s="15" t="n">
        <v>918498.9300000001</v>
      </c>
      <c r="CZ32" s="15" t="n">
        <v>1737223.88</v>
      </c>
      <c r="DA32" s="15" t="n">
        <v>639389.84</v>
      </c>
      <c r="DB32" s="15" t="n">
        <v>832162.66</v>
      </c>
      <c r="DC32" s="15" t="n">
        <v>147601.63</v>
      </c>
      <c r="DD32" s="15" t="n">
        <v>190958.06</v>
      </c>
      <c r="DE32" s="15" t="n">
        <v>1634051.48</v>
      </c>
      <c r="DF32" s="15" t="n">
        <v>2079416.22</v>
      </c>
      <c r="DG32" s="15" t="n">
        <v>1105424.92</v>
      </c>
      <c r="DH32" s="15" t="n">
        <v>63969.46</v>
      </c>
      <c r="DI32" s="15" t="n">
        <v>103688.05</v>
      </c>
      <c r="DJ32" s="15" t="n">
        <v>286558.59</v>
      </c>
      <c r="DK32" s="15" t="n">
        <v>160711.76</v>
      </c>
      <c r="DL32" s="15" t="n">
        <v>1984731.62</v>
      </c>
      <c r="DM32" s="15" t="n">
        <v>214928.45</v>
      </c>
      <c r="DN32" s="15" t="n">
        <v>859542.3</v>
      </c>
      <c r="DO32" s="15" t="n">
        <v>102514.16</v>
      </c>
      <c r="DP32" s="15" t="n">
        <v>28998.32</v>
      </c>
    </row>
    <row r="33">
      <c r="A33" s="4" t="inlineStr">
        <is>
          <t>其他产品C</t>
        </is>
      </c>
      <c r="B33" s="15" t="n">
        <v>2130577.39</v>
      </c>
      <c r="C33" s="15" t="n">
        <v>945200.42</v>
      </c>
      <c r="D33" s="15" t="n">
        <v>797528.35</v>
      </c>
      <c r="E33" s="15" t="n">
        <v>152889.95</v>
      </c>
      <c r="F33" s="15" t="n">
        <v>325422.75</v>
      </c>
      <c r="G33" s="15" t="n">
        <v>353548.21</v>
      </c>
      <c r="H33" s="15" t="n">
        <v>1821908.34</v>
      </c>
      <c r="I33" s="15" t="n">
        <v>1435614.39</v>
      </c>
      <c r="J33" s="15" t="n">
        <v>245579.27</v>
      </c>
      <c r="K33" s="15" t="n">
        <v>128182.31</v>
      </c>
      <c r="L33" s="15" t="n">
        <v>43861.06</v>
      </c>
      <c r="M33" s="15" t="n">
        <v>47796.35</v>
      </c>
      <c r="N33" s="15" t="n">
        <v>1796952.95</v>
      </c>
      <c r="O33" s="15" t="n">
        <v>512169.02</v>
      </c>
      <c r="P33" s="15" t="n">
        <v>283771.75</v>
      </c>
      <c r="Q33" s="15" t="n">
        <v>119367.23</v>
      </c>
      <c r="R33" s="15" t="n">
        <v>322153.97</v>
      </c>
      <c r="S33" s="15" t="n">
        <v>565763.63</v>
      </c>
      <c r="T33" s="15" t="n">
        <v>268671.41</v>
      </c>
      <c r="U33" s="15" t="n">
        <v>617939.33</v>
      </c>
      <c r="V33" s="15" t="n">
        <v>94049.25999999999</v>
      </c>
      <c r="W33" s="15" t="n">
        <v>214994.01</v>
      </c>
      <c r="X33" s="15" t="n">
        <v>274393.94</v>
      </c>
      <c r="Y33" s="15" t="n">
        <v>1684724.17</v>
      </c>
      <c r="Z33" s="15" t="n">
        <v>387281.9</v>
      </c>
      <c r="AA33" s="15" t="n">
        <v>1356272.32</v>
      </c>
      <c r="AB33" s="15" t="n">
        <v>174858.24</v>
      </c>
      <c r="AC33" s="15" t="n">
        <v>37800.03</v>
      </c>
      <c r="AD33" s="15" t="n">
        <v>704679.0600000001</v>
      </c>
      <c r="AE33" s="15" t="n">
        <v>1511712.73</v>
      </c>
      <c r="AF33" s="15" t="n">
        <v>315876.04</v>
      </c>
      <c r="AG33" s="15" t="n">
        <v>864220.35</v>
      </c>
      <c r="AH33" s="15" t="n">
        <v>334511.62</v>
      </c>
      <c r="AI33" s="15" t="n">
        <v>70878.92999999999</v>
      </c>
      <c r="AJ33" s="15" t="n">
        <v>689620.08</v>
      </c>
      <c r="AK33" s="15" t="n">
        <v>1346163.38</v>
      </c>
      <c r="AL33" s="15" t="n">
        <v>108059.96</v>
      </c>
      <c r="AM33" s="15" t="n">
        <v>1290404.47</v>
      </c>
      <c r="AN33" s="15" t="n">
        <v>139729.84</v>
      </c>
      <c r="AO33" s="15" t="n">
        <v>79705.7</v>
      </c>
      <c r="AP33" s="15" t="n">
        <v>627474.01</v>
      </c>
      <c r="AQ33" s="15" t="n">
        <v>1177586.37</v>
      </c>
      <c r="AR33" s="15" t="n">
        <v>776431.37</v>
      </c>
      <c r="AS33" s="15" t="n">
        <v>1016227.36</v>
      </c>
      <c r="AT33" s="15" t="n">
        <v>747233.9399999999</v>
      </c>
      <c r="AU33" s="15" t="n">
        <v>67726.17</v>
      </c>
      <c r="AV33" s="15" t="n">
        <v>629618.28</v>
      </c>
      <c r="AW33" s="15" t="n">
        <v>937716.03</v>
      </c>
      <c r="AX33" s="15" t="n">
        <v>2092456.63</v>
      </c>
      <c r="AY33" s="15" t="n">
        <v>1480525.7</v>
      </c>
      <c r="AZ33" s="15" t="n">
        <v>864806.8</v>
      </c>
      <c r="BA33" s="15" t="n">
        <v>23821.93</v>
      </c>
      <c r="BB33" s="15" t="n">
        <v>649199.02</v>
      </c>
      <c r="BC33" s="15" t="n">
        <v>1840371.65</v>
      </c>
      <c r="BD33" s="15" t="n">
        <v>1363336.57</v>
      </c>
      <c r="BE33" s="15" t="n">
        <v>672286.1800000001</v>
      </c>
      <c r="BF33" s="15" t="n">
        <v>629080.6</v>
      </c>
      <c r="BG33" s="15" t="n">
        <v>9031.66</v>
      </c>
      <c r="BH33" s="15" t="n">
        <v>526280.8199999999</v>
      </c>
      <c r="BI33" s="15" t="n">
        <v>1767918.87</v>
      </c>
      <c r="BJ33" s="15" t="n">
        <v>133207.56</v>
      </c>
      <c r="BK33" s="15" t="n">
        <v>1345345.5</v>
      </c>
      <c r="BL33" s="15" t="n">
        <v>852307.14</v>
      </c>
      <c r="BM33" s="15" t="n">
        <v>175872.69</v>
      </c>
      <c r="BN33" s="15" t="n">
        <v>405187.22</v>
      </c>
      <c r="BO33" s="15" t="n">
        <v>1451715.38</v>
      </c>
      <c r="BP33" s="15" t="n">
        <v>1874795.02</v>
      </c>
      <c r="BQ33" s="15" t="n">
        <v>787885.4399999999</v>
      </c>
      <c r="BR33" s="15" t="n">
        <v>150230.6</v>
      </c>
      <c r="BS33" s="15" t="n">
        <v>56030.33</v>
      </c>
      <c r="BT33" s="15" t="n">
        <v>492421.08</v>
      </c>
      <c r="BU33" s="15" t="n">
        <v>1947028.98</v>
      </c>
      <c r="BV33" s="15" t="n">
        <v>1971544.18</v>
      </c>
      <c r="BW33" s="15" t="n">
        <v>565952.6</v>
      </c>
      <c r="BX33" s="15" t="n">
        <v>936461.6800000001</v>
      </c>
      <c r="BY33" s="15" t="n">
        <v>149832.42</v>
      </c>
      <c r="BZ33" s="15" t="n">
        <v>60028.98</v>
      </c>
      <c r="CA33" s="15" t="n">
        <v>1621850.4</v>
      </c>
      <c r="CB33" s="15" t="n">
        <v>2313022.01</v>
      </c>
      <c r="CC33" s="15" t="n">
        <v>881384.96</v>
      </c>
      <c r="CD33" s="15" t="n">
        <v>291929.21</v>
      </c>
      <c r="CE33" s="15" t="n">
        <v>42787.4</v>
      </c>
      <c r="CF33" s="15" t="n">
        <v>290723.41</v>
      </c>
      <c r="CG33" s="15" t="n">
        <v>853534.02</v>
      </c>
      <c r="CH33" s="15" t="n">
        <v>309885.61</v>
      </c>
      <c r="CI33" s="15" t="n">
        <v>1169251.79</v>
      </c>
      <c r="CJ33" s="15" t="n">
        <v>674641.2</v>
      </c>
      <c r="CK33" s="15" t="n">
        <v>105391.84</v>
      </c>
      <c r="CL33" s="15" t="n">
        <v>499652.25</v>
      </c>
      <c r="CM33" s="15" t="n">
        <v>1005736.28</v>
      </c>
      <c r="CN33" s="15" t="n">
        <v>151890.97</v>
      </c>
      <c r="CO33" s="15" t="n">
        <v>1405999.84</v>
      </c>
      <c r="CP33" s="15" t="n">
        <v>144454.03</v>
      </c>
      <c r="CQ33" s="15" t="n">
        <v>168890.61</v>
      </c>
      <c r="CR33" s="15" t="n">
        <v>-75292.38</v>
      </c>
      <c r="CS33" s="15" t="n">
        <v>1721515.89</v>
      </c>
      <c r="CT33" s="15" t="n">
        <v>597561.9300000001</v>
      </c>
      <c r="CU33" s="15" t="n">
        <v>961813.38</v>
      </c>
      <c r="CV33" s="15" t="n">
        <v>222517.47</v>
      </c>
      <c r="CW33" s="15" t="n">
        <v>235255.54</v>
      </c>
      <c r="CX33" s="15" t="n">
        <v>-14831.81</v>
      </c>
      <c r="CY33" s="15" t="n">
        <v>170715.25</v>
      </c>
      <c r="CZ33" s="15" t="n">
        <v>77946.08</v>
      </c>
      <c r="DA33" s="15" t="n">
        <v>1372045.94</v>
      </c>
      <c r="DB33" s="15" t="n">
        <v>621627.41</v>
      </c>
      <c r="DC33" s="15" t="n">
        <v>102024.42</v>
      </c>
      <c r="DD33" s="15" t="n">
        <v>305225.4</v>
      </c>
      <c r="DE33" s="15" t="n">
        <v>1957863.15</v>
      </c>
      <c r="DF33" s="15" t="n">
        <v>1135044.7</v>
      </c>
      <c r="DG33" s="15" t="n">
        <v>1418059.41</v>
      </c>
      <c r="DH33" s="15" t="n">
        <v>207347.67</v>
      </c>
      <c r="DI33" s="15" t="n">
        <v>113730.58</v>
      </c>
      <c r="DJ33" s="15" t="n">
        <v>150952.38</v>
      </c>
      <c r="DK33" s="15" t="n">
        <v>530432.8</v>
      </c>
      <c r="DL33" s="15" t="n">
        <v>598282.54</v>
      </c>
      <c r="DM33" s="15" t="n">
        <v>1346851.38</v>
      </c>
      <c r="DN33" s="15" t="n">
        <v>367981.26</v>
      </c>
      <c r="DO33" s="15" t="n">
        <v>123338.21</v>
      </c>
      <c r="DP33" s="15" t="n">
        <v>291000.54</v>
      </c>
    </row>
    <row r="34">
      <c r="A34" s="4" t="inlineStr">
        <is>
          <t>中式汤底</t>
        </is>
      </c>
      <c r="B34" s="15" t="n">
        <v>296569.12</v>
      </c>
      <c r="C34" s="15" t="n">
        <v>954522.04</v>
      </c>
      <c r="D34" s="15" t="n">
        <v>12485.26</v>
      </c>
      <c r="E34" s="15" t="n">
        <v>104379.81</v>
      </c>
      <c r="F34" s="15" t="n">
        <v>628548.03</v>
      </c>
      <c r="G34" s="15" t="n">
        <v>1001151.9</v>
      </c>
      <c r="H34" s="15" t="n">
        <v>753155.8199999999</v>
      </c>
      <c r="I34" s="15" t="n">
        <v>1297116.84</v>
      </c>
      <c r="J34" s="15" t="n">
        <v>201848.84</v>
      </c>
      <c r="K34" s="15" t="n">
        <v>104969.41</v>
      </c>
      <c r="L34" s="15" t="n">
        <v>306568.77</v>
      </c>
      <c r="M34" s="15" t="n">
        <v>662587.65</v>
      </c>
      <c r="N34" s="15" t="n">
        <v>1008179.02</v>
      </c>
      <c r="O34" s="15" t="n">
        <v>692369.33</v>
      </c>
      <c r="P34" s="15" t="n">
        <v>605026.28</v>
      </c>
      <c r="Q34" s="15" t="n">
        <v>23594.19</v>
      </c>
      <c r="R34" s="15" t="n">
        <v>113568.94</v>
      </c>
      <c r="S34" s="15" t="n">
        <v>1210104.96</v>
      </c>
      <c r="T34" s="15" t="n">
        <v>1496341.77</v>
      </c>
      <c r="U34" s="15" t="n">
        <v>1121762.15</v>
      </c>
      <c r="V34" s="15" t="n">
        <v>348302.13</v>
      </c>
      <c r="W34" s="15" t="n">
        <v>246994.68</v>
      </c>
      <c r="X34" s="15" t="n">
        <v>660125.73</v>
      </c>
      <c r="Y34" s="15" t="n">
        <v>1321452.77</v>
      </c>
      <c r="Z34" s="15" t="n">
        <v>1263127.9</v>
      </c>
      <c r="AA34" s="15" t="n">
        <v>1451373.44</v>
      </c>
      <c r="AB34" s="15" t="n">
        <v>721494.9300000001</v>
      </c>
      <c r="AC34" s="15" t="n">
        <v>17269.17</v>
      </c>
      <c r="AD34" s="15" t="n">
        <v>200718.81</v>
      </c>
      <c r="AE34" s="15" t="n">
        <v>1937488.53</v>
      </c>
      <c r="AF34" s="15" t="n">
        <v>1100449.82</v>
      </c>
      <c r="AG34" s="15" t="n">
        <v>213032.57</v>
      </c>
      <c r="AH34" s="15" t="n">
        <v>851336.54</v>
      </c>
      <c r="AI34" s="15" t="n">
        <v>85976.38</v>
      </c>
      <c r="AJ34" s="15" t="n">
        <v>733867.37</v>
      </c>
      <c r="AK34" s="15" t="n">
        <v>307732.92</v>
      </c>
      <c r="AL34" s="15" t="n">
        <v>1495002.49</v>
      </c>
      <c r="AM34" s="15" t="n">
        <v>288863.17</v>
      </c>
      <c r="AN34" s="15" t="n">
        <v>840729.02</v>
      </c>
      <c r="AO34" s="15" t="n">
        <v>107795.42</v>
      </c>
      <c r="AP34" s="15" t="n">
        <v>168801.1</v>
      </c>
      <c r="AQ34" s="15" t="n">
        <v>1969499.97</v>
      </c>
      <c r="AR34" s="15" t="n">
        <v>1954519.96</v>
      </c>
      <c r="AS34" s="15" t="n">
        <v>1345041.69</v>
      </c>
      <c r="AT34" s="15" t="n">
        <v>689556.48</v>
      </c>
      <c r="AU34" s="15" t="n">
        <v>143069.9</v>
      </c>
      <c r="AV34" s="15" t="n">
        <v>338328.51</v>
      </c>
      <c r="AW34" s="15" t="n">
        <v>639475.88</v>
      </c>
      <c r="AX34" s="15" t="n">
        <v>2131069.41</v>
      </c>
      <c r="AY34" s="15" t="n">
        <v>1175983.34</v>
      </c>
      <c r="AZ34" s="15" t="n">
        <v>392244.34</v>
      </c>
      <c r="BA34" s="15" t="n">
        <v>208835.79</v>
      </c>
      <c r="BB34" s="15" t="n">
        <v>417136.97</v>
      </c>
      <c r="BC34" s="15" t="n">
        <v>955017.6800000001</v>
      </c>
      <c r="BD34" s="15" t="n">
        <v>1846623.23</v>
      </c>
      <c r="BE34" s="15" t="n">
        <v>90101.39999999999</v>
      </c>
      <c r="BF34" s="15" t="n">
        <v>79636.17</v>
      </c>
      <c r="BG34" s="15" t="n">
        <v>147077.21</v>
      </c>
      <c r="BH34" s="15" t="n">
        <v>-52743.75</v>
      </c>
      <c r="BI34" s="15" t="n">
        <v>1782381.66</v>
      </c>
      <c r="BJ34" s="15" t="n">
        <v>135559.26</v>
      </c>
      <c r="BK34" s="15" t="n">
        <v>338163.3</v>
      </c>
      <c r="BL34" s="15" t="n">
        <v>511403.24</v>
      </c>
      <c r="BM34" s="15" t="n">
        <v>83455.37</v>
      </c>
      <c r="BN34" s="15" t="n">
        <v>233615.04</v>
      </c>
      <c r="BO34" s="15" t="n">
        <v>1838642.62</v>
      </c>
      <c r="BP34" s="15" t="n">
        <v>1787280.17</v>
      </c>
      <c r="BQ34" s="15" t="n">
        <v>957282.08</v>
      </c>
      <c r="BR34" s="15" t="n">
        <v>731179.47</v>
      </c>
      <c r="BS34" s="15" t="n">
        <v>74349.02</v>
      </c>
      <c r="BT34" s="15" t="n">
        <v>617866.9399999999</v>
      </c>
      <c r="BU34" s="15" t="n">
        <v>1516345.45</v>
      </c>
      <c r="BV34" s="15" t="n">
        <v>618343.9399999999</v>
      </c>
      <c r="BW34" s="15" t="n">
        <v>873394.12</v>
      </c>
      <c r="BX34" s="15" t="n">
        <v>969722.6</v>
      </c>
      <c r="BY34" s="15" t="n">
        <v>140845.7</v>
      </c>
      <c r="BZ34" s="15" t="n">
        <v>134850.24</v>
      </c>
      <c r="CA34" s="15" t="n">
        <v>452908.98</v>
      </c>
      <c r="CB34" s="15" t="n">
        <v>1457223.86</v>
      </c>
      <c r="CC34" s="15" t="n">
        <v>497396.6</v>
      </c>
      <c r="CD34" s="15" t="n">
        <v>579487.97</v>
      </c>
      <c r="CE34" s="15" t="n">
        <v>126963.66</v>
      </c>
      <c r="CF34" s="15" t="n">
        <v>345124.42</v>
      </c>
      <c r="CG34" s="15" t="n">
        <v>321165.08</v>
      </c>
      <c r="CH34" s="15" t="n">
        <v>542763.21</v>
      </c>
      <c r="CI34" s="15" t="n">
        <v>49510.33</v>
      </c>
      <c r="CJ34" s="15" t="n">
        <v>300855.12</v>
      </c>
      <c r="CK34" s="15" t="n">
        <v>233466.09</v>
      </c>
      <c r="CL34" s="15" t="n">
        <v>360329.46</v>
      </c>
      <c r="CM34" s="15" t="n">
        <v>536113.45</v>
      </c>
      <c r="CN34" s="15" t="n">
        <v>1992728.44</v>
      </c>
      <c r="CO34" s="15" t="n">
        <v>287460.82</v>
      </c>
      <c r="CP34" s="15" t="n">
        <v>633956.13</v>
      </c>
      <c r="CQ34" s="15" t="n">
        <v>30373.33</v>
      </c>
      <c r="CR34" s="15" t="n">
        <v>721503.8</v>
      </c>
      <c r="CS34" s="15" t="n">
        <v>1182532.22</v>
      </c>
      <c r="CT34" s="15" t="n">
        <v>152531.54</v>
      </c>
      <c r="CU34" s="15" t="n">
        <v>1140873.29</v>
      </c>
      <c r="CV34" s="15" t="n">
        <v>605152.0699999999</v>
      </c>
      <c r="CW34" s="15" t="n">
        <v>215655.63</v>
      </c>
      <c r="CX34" s="15" t="n">
        <v>-87759.58</v>
      </c>
      <c r="CY34" s="15" t="n">
        <v>615861.4399999999</v>
      </c>
      <c r="CZ34" s="15" t="n">
        <v>1671487.24</v>
      </c>
      <c r="DA34" s="15" t="n">
        <v>445550.08</v>
      </c>
      <c r="DB34" s="15" t="n">
        <v>827434.66</v>
      </c>
      <c r="DC34" s="15" t="n">
        <v>81810.82000000001</v>
      </c>
      <c r="DD34" s="15" t="n">
        <v>281208.62</v>
      </c>
      <c r="DE34" s="15" t="n">
        <v>1264716.59</v>
      </c>
      <c r="DF34" s="15" t="n">
        <v>2060066.06</v>
      </c>
      <c r="DG34" s="15" t="n">
        <v>83436.58</v>
      </c>
      <c r="DH34" s="15" t="n">
        <v>686408.99</v>
      </c>
      <c r="DI34" s="15" t="n">
        <v>191281.5</v>
      </c>
      <c r="DJ34" s="15" t="n">
        <v>18593.8</v>
      </c>
      <c r="DK34" s="15" t="n">
        <v>1133331.27</v>
      </c>
      <c r="DL34" s="15" t="n">
        <v>1788790.85</v>
      </c>
      <c r="DM34" s="15" t="n">
        <v>1028690.6</v>
      </c>
      <c r="DN34" s="15" t="n">
        <v>987384.24</v>
      </c>
      <c r="DO34" s="15" t="n">
        <v>100351.28</v>
      </c>
      <c r="DP34" s="15" t="n">
        <v>265675.06</v>
      </c>
    </row>
    <row r="35">
      <c r="A35" s="4" t="inlineStr">
        <is>
          <t>酱料</t>
        </is>
      </c>
      <c r="B35" s="15" t="n">
        <v>2484673.95</v>
      </c>
      <c r="C35" s="15" t="n">
        <v>599246.52</v>
      </c>
      <c r="D35" s="15" t="n">
        <v>173665.47</v>
      </c>
      <c r="E35" s="15" t="n">
        <v>183338.65</v>
      </c>
      <c r="F35" s="15" t="n">
        <v>390652.82</v>
      </c>
      <c r="G35" s="15" t="n">
        <v>667555.21</v>
      </c>
      <c r="H35" s="15" t="n">
        <v>2488616.07</v>
      </c>
      <c r="I35" s="15" t="n">
        <v>134419.5</v>
      </c>
      <c r="J35" s="15" t="n">
        <v>209992.39</v>
      </c>
      <c r="K35" s="15" t="n">
        <v>237501.87</v>
      </c>
      <c r="L35" s="15" t="n">
        <v>163281.01</v>
      </c>
      <c r="M35" s="15" t="n">
        <v>1309424.76</v>
      </c>
      <c r="N35" s="15" t="n">
        <v>1432228.8</v>
      </c>
      <c r="O35" s="15" t="n">
        <v>1232616.09</v>
      </c>
      <c r="P35" s="15" t="n">
        <v>475680.76</v>
      </c>
      <c r="Q35" s="15" t="n">
        <v>58377.53</v>
      </c>
      <c r="R35" s="15" t="n">
        <v>291965.18</v>
      </c>
      <c r="S35" s="15" t="n">
        <v>608785.3100000001</v>
      </c>
      <c r="T35" s="15" t="n">
        <v>1764317.6</v>
      </c>
      <c r="U35" s="15" t="n">
        <v>315803.85</v>
      </c>
      <c r="V35" s="15" t="n">
        <v>532766.95</v>
      </c>
      <c r="W35" s="15" t="n">
        <v>130080.69</v>
      </c>
      <c r="X35" s="15" t="n">
        <v>246346.98</v>
      </c>
      <c r="Y35" s="15" t="n">
        <v>355716.7</v>
      </c>
      <c r="Z35" s="15" t="n">
        <v>1902757.17</v>
      </c>
      <c r="AA35" s="15" t="n">
        <v>1006828.67</v>
      </c>
      <c r="AB35" s="15" t="n">
        <v>637302.64</v>
      </c>
      <c r="AC35" s="15" t="n">
        <v>218786.42</v>
      </c>
      <c r="AD35" s="15" t="n">
        <v>596103.13</v>
      </c>
      <c r="AE35" s="15" t="n">
        <v>1423062.18</v>
      </c>
      <c r="AF35" s="15" t="n">
        <v>491883.3</v>
      </c>
      <c r="AG35" s="15" t="n">
        <v>1135602.51</v>
      </c>
      <c r="AH35" s="15" t="n">
        <v>249932.29</v>
      </c>
      <c r="AI35" s="15" t="n">
        <v>45876.81</v>
      </c>
      <c r="AJ35" s="15" t="n">
        <v>-96247.38</v>
      </c>
      <c r="AK35" s="15" t="n">
        <v>279920.39</v>
      </c>
      <c r="AL35" s="15" t="n">
        <v>2336841.85</v>
      </c>
      <c r="AM35" s="15" t="n">
        <v>852083.46</v>
      </c>
      <c r="AN35" s="15" t="n">
        <v>555422.1</v>
      </c>
      <c r="AO35" s="15" t="n">
        <v>33718.84</v>
      </c>
      <c r="AP35" s="15" t="n">
        <v>89773.50999999999</v>
      </c>
      <c r="AQ35" s="15" t="n">
        <v>1739559.05</v>
      </c>
      <c r="AR35" s="15" t="n">
        <v>240313.64</v>
      </c>
      <c r="AS35" s="15" t="n">
        <v>720758.84</v>
      </c>
      <c r="AT35" s="15" t="n">
        <v>420811.75</v>
      </c>
      <c r="AU35" s="15" t="n">
        <v>88574.45</v>
      </c>
      <c r="AV35" s="15" t="n">
        <v>604827.09</v>
      </c>
      <c r="AW35" s="15" t="n">
        <v>835743.72</v>
      </c>
      <c r="AX35" s="15" t="n">
        <v>1158182.99</v>
      </c>
      <c r="AY35" s="15" t="n">
        <v>135069.62</v>
      </c>
      <c r="AZ35" s="15" t="n">
        <v>145229.26</v>
      </c>
      <c r="BA35" s="15" t="n">
        <v>177564.63</v>
      </c>
      <c r="BB35" s="15" t="n">
        <v>642775.67</v>
      </c>
      <c r="BC35" s="15" t="n">
        <v>1343190.13</v>
      </c>
      <c r="BD35" s="15" t="n">
        <v>1404045.79</v>
      </c>
      <c r="BE35" s="15" t="n">
        <v>228117.4</v>
      </c>
      <c r="BF35" s="15" t="n">
        <v>43035.75</v>
      </c>
      <c r="BG35" s="15" t="n">
        <v>60778.87</v>
      </c>
      <c r="BH35" s="15" t="n">
        <v>683587.26</v>
      </c>
      <c r="BI35" s="15" t="n">
        <v>1080105.54</v>
      </c>
      <c r="BJ35" s="15" t="n">
        <v>2457286.5</v>
      </c>
      <c r="BK35" s="15" t="n">
        <v>682549.15</v>
      </c>
      <c r="BL35" s="15" t="n">
        <v>805788.84</v>
      </c>
      <c r="BM35" s="15" t="n">
        <v>71104.94</v>
      </c>
      <c r="BN35" s="15" t="n">
        <v>203893.45</v>
      </c>
      <c r="BO35" s="15" t="n">
        <v>1263521.68</v>
      </c>
      <c r="BP35" s="15" t="n">
        <v>2274958.78</v>
      </c>
      <c r="BQ35" s="15" t="n">
        <v>380193.82</v>
      </c>
      <c r="BR35" s="15" t="n">
        <v>837601.01</v>
      </c>
      <c r="BS35" s="15" t="n">
        <v>56257.48</v>
      </c>
      <c r="BT35" s="15" t="n">
        <v>-88984.36</v>
      </c>
      <c r="BU35" s="15" t="n">
        <v>898296.13</v>
      </c>
      <c r="BV35" s="15" t="n">
        <v>1348167.86</v>
      </c>
      <c r="BW35" s="15" t="n">
        <v>192823.4</v>
      </c>
      <c r="BX35" s="15" t="n">
        <v>873194.5</v>
      </c>
      <c r="BY35" s="15" t="n">
        <v>46588.18</v>
      </c>
      <c r="BZ35" s="15" t="n">
        <v>545679.37</v>
      </c>
      <c r="CA35" s="15" t="n">
        <v>965411.86</v>
      </c>
      <c r="CB35" s="15" t="n">
        <v>2325597.94</v>
      </c>
      <c r="CC35" s="15" t="n">
        <v>585667.45</v>
      </c>
      <c r="CD35" s="15" t="n">
        <v>348187.63</v>
      </c>
      <c r="CE35" s="15" t="n">
        <v>220708.93</v>
      </c>
      <c r="CF35" s="15" t="n">
        <v>-45477.3</v>
      </c>
      <c r="CG35" s="15" t="n">
        <v>1849920.05</v>
      </c>
      <c r="CH35" s="15" t="n">
        <v>740419.58</v>
      </c>
      <c r="CI35" s="15" t="n">
        <v>1267045.6</v>
      </c>
      <c r="CJ35" s="15" t="n">
        <v>481858.63</v>
      </c>
      <c r="CK35" s="15" t="n">
        <v>68397.09</v>
      </c>
      <c r="CL35" s="15" t="n">
        <v>208965.09</v>
      </c>
      <c r="CM35" s="15" t="n">
        <v>1400992.7</v>
      </c>
      <c r="CN35" s="15" t="n">
        <v>807478.5699999999</v>
      </c>
      <c r="CO35" s="15" t="n">
        <v>366452.8</v>
      </c>
      <c r="CP35" s="15" t="n">
        <v>362835.18</v>
      </c>
      <c r="CQ35" s="15" t="n">
        <v>48536.03</v>
      </c>
      <c r="CR35" s="15" t="n">
        <v>276892.07</v>
      </c>
      <c r="CS35" s="15" t="n">
        <v>628878.8100000001</v>
      </c>
      <c r="CT35" s="15" t="n">
        <v>2026566.98</v>
      </c>
      <c r="CU35" s="15" t="n">
        <v>1026546.54</v>
      </c>
      <c r="CV35" s="15" t="n">
        <v>949643.26</v>
      </c>
      <c r="CW35" s="15" t="n">
        <v>131960.96</v>
      </c>
      <c r="CX35" s="15" t="n">
        <v>24284.09</v>
      </c>
      <c r="CY35" s="15" t="n">
        <v>1717895.5</v>
      </c>
      <c r="CZ35" s="15" t="n">
        <v>391765.03</v>
      </c>
      <c r="DA35" s="15" t="n">
        <v>646313.62</v>
      </c>
      <c r="DB35" s="15" t="n">
        <v>845197.4</v>
      </c>
      <c r="DC35" s="15" t="n">
        <v>152868.21</v>
      </c>
      <c r="DD35" s="15" t="n">
        <v>722070.0600000001</v>
      </c>
      <c r="DE35" s="15" t="n">
        <v>1426104.46</v>
      </c>
      <c r="DF35" s="15" t="n">
        <v>2050111.35</v>
      </c>
      <c r="DG35" s="15" t="n">
        <v>566991.47</v>
      </c>
      <c r="DH35" s="15" t="n">
        <v>113186.16</v>
      </c>
      <c r="DI35" s="15" t="n">
        <v>231745.49</v>
      </c>
      <c r="DJ35" s="15" t="n">
        <v>596094.4</v>
      </c>
      <c r="DK35" s="15" t="n">
        <v>656761.67</v>
      </c>
      <c r="DL35" s="15" t="n">
        <v>1110312.5</v>
      </c>
      <c r="DM35" s="15" t="n">
        <v>1342937.45</v>
      </c>
      <c r="DN35" s="15" t="n">
        <v>789473</v>
      </c>
      <c r="DO35" s="15" t="n">
        <v>138144.3</v>
      </c>
      <c r="DP35" s="15" t="n">
        <v>192671.04</v>
      </c>
    </row>
    <row r="36">
      <c r="A36" s="4" t="inlineStr">
        <is>
          <t>川味底料</t>
        </is>
      </c>
      <c r="B36" s="15" t="n">
        <v>833429.1</v>
      </c>
      <c r="C36" s="15" t="n">
        <v>658902.6899999999</v>
      </c>
      <c r="D36" s="15" t="n">
        <v>738668.29</v>
      </c>
      <c r="E36" s="15" t="n">
        <v>126139.13</v>
      </c>
      <c r="F36" s="15" t="n">
        <v>-68484.37</v>
      </c>
      <c r="G36" s="15" t="n">
        <v>761807.88</v>
      </c>
      <c r="H36" s="15" t="n">
        <v>1669495.95</v>
      </c>
      <c r="I36" s="15" t="n">
        <v>1133832.29</v>
      </c>
      <c r="J36" s="15" t="n">
        <v>847956.51</v>
      </c>
      <c r="K36" s="15" t="n">
        <v>135354.11</v>
      </c>
      <c r="L36" s="15" t="n">
        <v>724971.84</v>
      </c>
      <c r="M36" s="15" t="n">
        <v>1107408.43</v>
      </c>
      <c r="N36" s="15" t="n">
        <v>1284811.9</v>
      </c>
      <c r="O36" s="15" t="n">
        <v>337992.42</v>
      </c>
      <c r="P36" s="15" t="n">
        <v>77033.8</v>
      </c>
      <c r="Q36" s="15" t="n">
        <v>147808.7</v>
      </c>
      <c r="R36" s="15" t="n">
        <v>120300.35</v>
      </c>
      <c r="S36" s="15" t="n">
        <v>674277.42</v>
      </c>
      <c r="T36" s="15" t="n">
        <v>198304.43</v>
      </c>
      <c r="U36" s="15" t="n">
        <v>1146321.19</v>
      </c>
      <c r="V36" s="15" t="n">
        <v>326837.89</v>
      </c>
      <c r="W36" s="15" t="n">
        <v>238502.38</v>
      </c>
      <c r="X36" s="15" t="n">
        <v>-56122.45</v>
      </c>
      <c r="Y36" s="15" t="n">
        <v>1846610.17</v>
      </c>
      <c r="Z36" s="15" t="n">
        <v>783028.3100000001</v>
      </c>
      <c r="AA36" s="15" t="n">
        <v>1125952.08</v>
      </c>
      <c r="AB36" s="15" t="n">
        <v>350661.55</v>
      </c>
      <c r="AC36" s="15" t="n">
        <v>54673.88</v>
      </c>
      <c r="AD36" s="15" t="n">
        <v>104888.15</v>
      </c>
      <c r="AE36" s="15" t="n">
        <v>444874.74</v>
      </c>
      <c r="AF36" s="15" t="n">
        <v>1374176.31</v>
      </c>
      <c r="AG36" s="15" t="n">
        <v>251572.91</v>
      </c>
      <c r="AH36" s="15" t="n">
        <v>307646.78</v>
      </c>
      <c r="AI36" s="15" t="n">
        <v>243034.35</v>
      </c>
      <c r="AJ36" s="15" t="n">
        <v>205630.69</v>
      </c>
      <c r="AK36" s="15" t="n">
        <v>586637.04</v>
      </c>
      <c r="AL36" s="15" t="n">
        <v>836507.13</v>
      </c>
      <c r="AM36" s="15" t="n">
        <v>108786.91</v>
      </c>
      <c r="AN36" s="15" t="n">
        <v>86359.02</v>
      </c>
      <c r="AO36" s="15" t="n">
        <v>216575.98</v>
      </c>
      <c r="AP36" s="15" t="n">
        <v>642721.26</v>
      </c>
      <c r="AQ36" s="15" t="n">
        <v>1456036.04</v>
      </c>
      <c r="AR36" s="15" t="n">
        <v>2140413.33</v>
      </c>
      <c r="AS36" s="15" t="n">
        <v>1409693.66</v>
      </c>
      <c r="AT36" s="15" t="n">
        <v>641588.27</v>
      </c>
      <c r="AU36" s="15" t="n">
        <v>103594.98</v>
      </c>
      <c r="AV36" s="15" t="n">
        <v>355102.3</v>
      </c>
      <c r="AW36" s="15" t="n">
        <v>54810.27</v>
      </c>
      <c r="AX36" s="15" t="n">
        <v>1617598.71</v>
      </c>
      <c r="AY36" s="15" t="n">
        <v>1212024.51</v>
      </c>
      <c r="AZ36" s="15" t="n">
        <v>961899.14</v>
      </c>
      <c r="BA36" s="15" t="n">
        <v>248865.71</v>
      </c>
      <c r="BB36" s="15" t="n">
        <v>528137.77</v>
      </c>
      <c r="BC36" s="15" t="n">
        <v>1819674.09</v>
      </c>
      <c r="BD36" s="15" t="n">
        <v>1186768.79</v>
      </c>
      <c r="BE36" s="15" t="n">
        <v>584978.02</v>
      </c>
      <c r="BF36" s="15" t="n">
        <v>668441.63</v>
      </c>
      <c r="BG36" s="15" t="n">
        <v>188123.06</v>
      </c>
      <c r="BH36" s="15" t="n">
        <v>231231.16</v>
      </c>
      <c r="BI36" s="15" t="n">
        <v>354981.37</v>
      </c>
      <c r="BJ36" s="15" t="n">
        <v>2327698.63</v>
      </c>
      <c r="BK36" s="15" t="n">
        <v>781535.88</v>
      </c>
      <c r="BL36" s="15" t="n">
        <v>635617.85</v>
      </c>
      <c r="BM36" s="15" t="n">
        <v>147101.37</v>
      </c>
      <c r="BN36" s="15" t="n">
        <v>293289.09</v>
      </c>
      <c r="BO36" s="15" t="n">
        <v>1482239.6</v>
      </c>
      <c r="BP36" s="15" t="n">
        <v>1229433.73</v>
      </c>
      <c r="BQ36" s="15" t="n">
        <v>1093308.41</v>
      </c>
      <c r="BR36" s="15" t="n">
        <v>188064.61</v>
      </c>
      <c r="BS36" s="15" t="n">
        <v>223605.51</v>
      </c>
      <c r="BT36" s="15" t="n">
        <v>83259.95</v>
      </c>
      <c r="BU36" s="15" t="n">
        <v>960010.15</v>
      </c>
      <c r="BV36" s="15" t="n">
        <v>562338.53</v>
      </c>
      <c r="BW36" s="15" t="n">
        <v>848068.58</v>
      </c>
      <c r="BX36" s="15" t="n">
        <v>654937.98</v>
      </c>
      <c r="BY36" s="15" t="n">
        <v>73381.75999999999</v>
      </c>
      <c r="BZ36" s="15" t="n">
        <v>376226.42</v>
      </c>
      <c r="CA36" s="15" t="n">
        <v>910044.8100000001</v>
      </c>
      <c r="CB36" s="15" t="n">
        <v>2182139.31</v>
      </c>
      <c r="CC36" s="15" t="n">
        <v>302568.63</v>
      </c>
      <c r="CD36" s="15" t="n">
        <v>531343.33</v>
      </c>
      <c r="CE36" s="15" t="n">
        <v>144845.42</v>
      </c>
      <c r="CF36" s="15" t="n">
        <v>637642.13</v>
      </c>
      <c r="CG36" s="15" t="n">
        <v>1839293.07</v>
      </c>
      <c r="CH36" s="15" t="n">
        <v>2001487.45</v>
      </c>
      <c r="CI36" s="15" t="n">
        <v>257875.01</v>
      </c>
      <c r="CJ36" s="15" t="n">
        <v>726664.97</v>
      </c>
      <c r="CK36" s="15" t="n">
        <v>238098.51</v>
      </c>
      <c r="CL36" s="15" t="n">
        <v>-23265.06</v>
      </c>
      <c r="CM36" s="15" t="n">
        <v>1596603.72</v>
      </c>
      <c r="CN36" s="15" t="n">
        <v>2409379.21</v>
      </c>
      <c r="CO36" s="15" t="n">
        <v>1401744.01</v>
      </c>
      <c r="CP36" s="15" t="n">
        <v>704680.8100000001</v>
      </c>
      <c r="CQ36" s="15" t="n">
        <v>39176.99</v>
      </c>
      <c r="CR36" s="15" t="n">
        <v>540617.67</v>
      </c>
      <c r="CS36" s="15" t="n">
        <v>41913.7</v>
      </c>
      <c r="CT36" s="15" t="n">
        <v>2350640.85</v>
      </c>
      <c r="CU36" s="15" t="n">
        <v>1498317.62</v>
      </c>
      <c r="CV36" s="15" t="n">
        <v>397839.99</v>
      </c>
      <c r="CW36" s="15" t="n">
        <v>90386.8</v>
      </c>
      <c r="CX36" s="15" t="n">
        <v>482422.64</v>
      </c>
      <c r="CY36" s="15" t="n">
        <v>531383.47</v>
      </c>
      <c r="CZ36" s="15" t="n">
        <v>1844244.17</v>
      </c>
      <c r="DA36" s="15" t="n">
        <v>1369810.92</v>
      </c>
      <c r="DB36" s="15" t="n">
        <v>366925.47</v>
      </c>
      <c r="DC36" s="15" t="n">
        <v>88722.87</v>
      </c>
      <c r="DD36" s="15" t="n">
        <v>136474.05</v>
      </c>
      <c r="DE36" s="15" t="n">
        <v>1692892.37</v>
      </c>
      <c r="DF36" s="15" t="n">
        <v>1551644.55</v>
      </c>
      <c r="DG36" s="15" t="n">
        <v>497897.46</v>
      </c>
      <c r="DH36" s="15" t="n">
        <v>898565.5699999999</v>
      </c>
      <c r="DI36" s="15" t="n">
        <v>222515.16</v>
      </c>
      <c r="DJ36" s="15" t="n">
        <v>678887.17</v>
      </c>
      <c r="DK36" s="15" t="n">
        <v>207654.86</v>
      </c>
      <c r="DL36" s="15" t="n">
        <v>1926265.36</v>
      </c>
      <c r="DM36" s="15" t="n">
        <v>105213.96</v>
      </c>
      <c r="DN36" s="15" t="n">
        <v>239919.98</v>
      </c>
      <c r="DO36" s="15" t="n">
        <v>103572.58</v>
      </c>
      <c r="DP36" s="15" t="n">
        <v>-76208.44</v>
      </c>
    </row>
    <row r="37">
      <c r="A37" s="4" t="inlineStr">
        <is>
          <t>调味汁</t>
        </is>
      </c>
      <c r="B37" s="15" t="n">
        <v>2266218.4</v>
      </c>
      <c r="C37" s="15" t="n">
        <v>263014.66</v>
      </c>
      <c r="D37" s="15" t="n">
        <v>159155.96</v>
      </c>
      <c r="E37" s="15" t="n">
        <v>121336.64</v>
      </c>
      <c r="F37" s="15" t="n">
        <v>177425.96</v>
      </c>
      <c r="G37" s="15" t="n">
        <v>633418.6</v>
      </c>
      <c r="H37" s="15" t="n">
        <v>1550314.38</v>
      </c>
      <c r="I37" s="15" t="n">
        <v>483276.99</v>
      </c>
      <c r="J37" s="15" t="n">
        <v>452309.42</v>
      </c>
      <c r="K37" s="15" t="n">
        <v>204264.43</v>
      </c>
      <c r="L37" s="15" t="n">
        <v>364664.03</v>
      </c>
      <c r="M37" s="15" t="n">
        <v>785394.55</v>
      </c>
      <c r="N37" s="15" t="n">
        <v>1135420.65</v>
      </c>
      <c r="O37" s="15" t="n">
        <v>657149.52</v>
      </c>
      <c r="P37" s="15" t="n">
        <v>795273.72</v>
      </c>
      <c r="Q37" s="15" t="n">
        <v>148132.26</v>
      </c>
      <c r="R37" s="15" t="n">
        <v>271183.33</v>
      </c>
      <c r="S37" s="15" t="n">
        <v>312992.17</v>
      </c>
      <c r="T37" s="15" t="n">
        <v>527012.4399999999</v>
      </c>
      <c r="U37" s="15" t="n">
        <v>1175807.19</v>
      </c>
      <c r="V37" s="15" t="n">
        <v>795818.63</v>
      </c>
      <c r="W37" s="15" t="n">
        <v>19622.23</v>
      </c>
      <c r="X37" s="15" t="n">
        <v>255152.33</v>
      </c>
      <c r="Y37" s="15" t="n">
        <v>1706850.67</v>
      </c>
      <c r="Z37" s="15" t="n">
        <v>1049068.39</v>
      </c>
      <c r="AA37" s="15" t="n">
        <v>818282.8100000001</v>
      </c>
      <c r="AB37" s="15" t="n">
        <v>392075.31</v>
      </c>
      <c r="AC37" s="15" t="n">
        <v>240301.82</v>
      </c>
      <c r="AD37" s="15" t="n">
        <v>78777.99000000001</v>
      </c>
      <c r="AE37" s="15" t="n">
        <v>898977.74</v>
      </c>
      <c r="AF37" s="15" t="n">
        <v>173820.22</v>
      </c>
      <c r="AG37" s="15" t="n">
        <v>1029722.53</v>
      </c>
      <c r="AH37" s="15" t="n">
        <v>825765.49</v>
      </c>
      <c r="AI37" s="15" t="n">
        <v>236073.18</v>
      </c>
      <c r="AJ37" s="15" t="n">
        <v>48613.13</v>
      </c>
      <c r="AK37" s="15" t="n">
        <v>79758.03999999999</v>
      </c>
      <c r="AL37" s="15" t="n">
        <v>466496.28</v>
      </c>
      <c r="AM37" s="15" t="n">
        <v>561405.9</v>
      </c>
      <c r="AN37" s="15" t="n">
        <v>444968.56</v>
      </c>
      <c r="AO37" s="15" t="n">
        <v>132562.99</v>
      </c>
      <c r="AP37" s="15" t="n">
        <v>572710.66</v>
      </c>
      <c r="AQ37" s="15" t="n">
        <v>1294146.09</v>
      </c>
      <c r="AR37" s="15" t="n">
        <v>1017897.64</v>
      </c>
      <c r="AS37" s="15" t="n">
        <v>1401375.63</v>
      </c>
      <c r="AT37" s="15" t="n">
        <v>667735.87</v>
      </c>
      <c r="AU37" s="15" t="n">
        <v>101268.25</v>
      </c>
      <c r="AV37" s="15" t="n">
        <v>-33671</v>
      </c>
      <c r="AW37" s="15" t="n">
        <v>436620.49</v>
      </c>
      <c r="AX37" s="15" t="n">
        <v>90293.32000000001</v>
      </c>
      <c r="AY37" s="15" t="n">
        <v>844540.47</v>
      </c>
      <c r="AZ37" s="15" t="n">
        <v>393570.46</v>
      </c>
      <c r="BA37" s="15" t="n">
        <v>30266.31</v>
      </c>
      <c r="BB37" s="15" t="n">
        <v>34042.78</v>
      </c>
      <c r="BC37" s="15" t="n">
        <v>812497.8100000001</v>
      </c>
      <c r="BD37" s="15" t="n">
        <v>2235793.73</v>
      </c>
      <c r="BE37" s="15" t="n">
        <v>785799.79</v>
      </c>
      <c r="BF37" s="15" t="n">
        <v>24138.68</v>
      </c>
      <c r="BG37" s="15" t="n">
        <v>236447.11</v>
      </c>
      <c r="BH37" s="15" t="n">
        <v>495848.92</v>
      </c>
      <c r="BI37" s="15" t="n">
        <v>834242.25</v>
      </c>
      <c r="BJ37" s="15" t="n">
        <v>1541229.48</v>
      </c>
      <c r="BK37" s="15" t="n">
        <v>787883.01</v>
      </c>
      <c r="BL37" s="15" t="n">
        <v>811841.85</v>
      </c>
      <c r="BM37" s="15" t="n">
        <v>196807.92</v>
      </c>
      <c r="BN37" s="15" t="n">
        <v>467366.76</v>
      </c>
      <c r="BO37" s="15" t="n">
        <v>591323.89</v>
      </c>
      <c r="BP37" s="15" t="n">
        <v>247803.48</v>
      </c>
      <c r="BQ37" s="15" t="n">
        <v>162748.18</v>
      </c>
      <c r="BR37" s="15" t="n">
        <v>808944.27</v>
      </c>
      <c r="BS37" s="15" t="n">
        <v>63687.86</v>
      </c>
      <c r="BT37" s="15" t="n">
        <v>625248.46</v>
      </c>
      <c r="BU37" s="15" t="n">
        <v>1426434.25</v>
      </c>
      <c r="BV37" s="15" t="n">
        <v>2153196.68</v>
      </c>
      <c r="BW37" s="15" t="n">
        <v>1029323.86</v>
      </c>
      <c r="BX37" s="15" t="n">
        <v>236450.65</v>
      </c>
      <c r="BY37" s="15" t="n">
        <v>28279.23</v>
      </c>
      <c r="BZ37" s="15" t="n">
        <v>506330.17</v>
      </c>
      <c r="CA37" s="15" t="n">
        <v>1391760.29</v>
      </c>
      <c r="CB37" s="15" t="n">
        <v>1001063.48</v>
      </c>
      <c r="CC37" s="15" t="n">
        <v>375256.68</v>
      </c>
      <c r="CD37" s="15" t="n">
        <v>381591.99</v>
      </c>
      <c r="CE37" s="15" t="n">
        <v>48836.31</v>
      </c>
      <c r="CF37" s="15" t="n">
        <v>538976.99</v>
      </c>
      <c r="CG37" s="15" t="n">
        <v>321607.53</v>
      </c>
      <c r="CH37" s="15" t="n">
        <v>721597.77</v>
      </c>
      <c r="CI37" s="15" t="n">
        <v>1260516.07</v>
      </c>
      <c r="CJ37" s="15" t="n">
        <v>312966.78</v>
      </c>
      <c r="CK37" s="15" t="n">
        <v>76075.55</v>
      </c>
      <c r="CL37" s="15" t="n">
        <v>-97738.53999999999</v>
      </c>
      <c r="CM37" s="15" t="n">
        <v>1285895.5</v>
      </c>
      <c r="CN37" s="15" t="n">
        <v>1161601.28</v>
      </c>
      <c r="CO37" s="15" t="n">
        <v>1373268.5</v>
      </c>
      <c r="CP37" s="15" t="n">
        <v>855001.1899999999</v>
      </c>
      <c r="CQ37" s="15" t="n">
        <v>97698.81</v>
      </c>
      <c r="CR37" s="15" t="n">
        <v>38415.12</v>
      </c>
      <c r="CS37" s="15" t="n">
        <v>1166876.89</v>
      </c>
      <c r="CT37" s="15" t="n">
        <v>236083.75</v>
      </c>
      <c r="CU37" s="15" t="n">
        <v>1261176.07</v>
      </c>
      <c r="CV37" s="15" t="n">
        <v>637516.3</v>
      </c>
      <c r="CW37" s="15" t="n">
        <v>130305.28</v>
      </c>
      <c r="CX37" s="15" t="n">
        <v>347991.4</v>
      </c>
      <c r="CY37" s="15" t="n">
        <v>196405.68</v>
      </c>
      <c r="CZ37" s="15" t="n">
        <v>987491.88</v>
      </c>
      <c r="DA37" s="15" t="n">
        <v>1474170.6</v>
      </c>
      <c r="DB37" s="15" t="n">
        <v>420426.3</v>
      </c>
      <c r="DC37" s="15" t="n">
        <v>15721.07</v>
      </c>
      <c r="DD37" s="15" t="n">
        <v>460850.7</v>
      </c>
      <c r="DE37" s="15" t="n">
        <v>157863.01</v>
      </c>
      <c r="DF37" s="15" t="n">
        <v>2172447.41</v>
      </c>
      <c r="DG37" s="15" t="n">
        <v>1339784.96</v>
      </c>
      <c r="DH37" s="15" t="n">
        <v>303232.3</v>
      </c>
      <c r="DI37" s="15" t="n">
        <v>149828.76</v>
      </c>
      <c r="DJ37" s="15" t="n">
        <v>441570.94</v>
      </c>
      <c r="DK37" s="15" t="n">
        <v>906707.21</v>
      </c>
      <c r="DL37" s="15" t="n">
        <v>1550583.77</v>
      </c>
      <c r="DM37" s="15" t="n">
        <v>523185.67</v>
      </c>
      <c r="DN37" s="15" t="n">
        <v>516001.24</v>
      </c>
      <c r="DO37" s="15" t="n">
        <v>160379.63</v>
      </c>
      <c r="DP37" s="15" t="n">
        <v>-9940.549999999999</v>
      </c>
    </row>
    <row r="38">
      <c r="A38" s="4" t="inlineStr">
        <is>
          <t>复合调味粉</t>
        </is>
      </c>
      <c r="B38" s="15" t="n">
        <v>2065924.86</v>
      </c>
      <c r="C38" s="15" t="n">
        <v>588210.26</v>
      </c>
      <c r="D38" s="15" t="n">
        <v>822441.26</v>
      </c>
      <c r="E38" s="15" t="n">
        <v>225873.54</v>
      </c>
      <c r="F38" s="15" t="n">
        <v>135837.84</v>
      </c>
      <c r="G38" s="15" t="n">
        <v>1930231.49</v>
      </c>
      <c r="H38" s="15" t="n">
        <v>1070212.3</v>
      </c>
      <c r="I38" s="15" t="n">
        <v>950935.14</v>
      </c>
      <c r="J38" s="15" t="n">
        <v>550232.03</v>
      </c>
      <c r="K38" s="15" t="n">
        <v>75533.11</v>
      </c>
      <c r="L38" s="15" t="n">
        <v>738738.53</v>
      </c>
      <c r="M38" s="15" t="n">
        <v>1752335.15</v>
      </c>
      <c r="N38" s="15" t="n">
        <v>591079.74</v>
      </c>
      <c r="O38" s="15" t="n">
        <v>1246735.14</v>
      </c>
      <c r="P38" s="15" t="n">
        <v>910085.85</v>
      </c>
      <c r="Q38" s="15" t="n">
        <v>110490.5</v>
      </c>
      <c r="R38" s="15" t="n">
        <v>-52418.42</v>
      </c>
      <c r="S38" s="15" t="n">
        <v>388291.79</v>
      </c>
      <c r="T38" s="15" t="n">
        <v>1724072.16</v>
      </c>
      <c r="U38" s="15" t="n">
        <v>254728.15</v>
      </c>
      <c r="V38" s="15" t="n">
        <v>219344.76</v>
      </c>
      <c r="W38" s="15" t="n">
        <v>133583.8</v>
      </c>
      <c r="X38" s="15" t="n">
        <v>65785.83</v>
      </c>
      <c r="Y38" s="15" t="n">
        <v>561510.4399999999</v>
      </c>
      <c r="Z38" s="15" t="n">
        <v>672897.47</v>
      </c>
      <c r="AA38" s="15" t="n">
        <v>1258124.09</v>
      </c>
      <c r="AB38" s="15" t="n">
        <v>466305.87</v>
      </c>
      <c r="AC38" s="15" t="n">
        <v>201061.96</v>
      </c>
      <c r="AD38" s="15" t="n">
        <v>445903.24</v>
      </c>
      <c r="AE38" s="15" t="n">
        <v>70010.89</v>
      </c>
      <c r="AF38" s="15" t="n">
        <v>1186934.13</v>
      </c>
      <c r="AG38" s="15" t="n">
        <v>282158.52</v>
      </c>
      <c r="AH38" s="15" t="n">
        <v>520651.68</v>
      </c>
      <c r="AI38" s="15" t="n">
        <v>10874.66</v>
      </c>
      <c r="AJ38" s="15" t="n">
        <v>107300.45</v>
      </c>
      <c r="AK38" s="15" t="n">
        <v>1331208.15</v>
      </c>
      <c r="AL38" s="15" t="n">
        <v>2476650.39</v>
      </c>
      <c r="AM38" s="15" t="n">
        <v>968880.15</v>
      </c>
      <c r="AN38" s="15" t="n">
        <v>751538.79</v>
      </c>
      <c r="AO38" s="15" t="n">
        <v>210930.72</v>
      </c>
      <c r="AP38" s="15" t="n">
        <v>268662.94</v>
      </c>
      <c r="AQ38" s="15" t="n">
        <v>224800.41</v>
      </c>
      <c r="AR38" s="15" t="n">
        <v>1375176.27</v>
      </c>
      <c r="AS38" s="15" t="n">
        <v>373957.9</v>
      </c>
      <c r="AT38" s="15" t="n">
        <v>230151.57</v>
      </c>
      <c r="AU38" s="15" t="n">
        <v>53804.12</v>
      </c>
      <c r="AV38" s="15" t="n">
        <v>3749.99</v>
      </c>
      <c r="AW38" s="15" t="n">
        <v>1537360.32</v>
      </c>
      <c r="AX38" s="15" t="n">
        <v>674074.89</v>
      </c>
      <c r="AY38" s="15" t="n">
        <v>875119.1800000001</v>
      </c>
      <c r="AZ38" s="15" t="n">
        <v>323621.5</v>
      </c>
      <c r="BA38" s="15" t="n">
        <v>67589.58</v>
      </c>
      <c r="BB38" s="15" t="n">
        <v>588821.5699999999</v>
      </c>
      <c r="BC38" s="15" t="n">
        <v>374581</v>
      </c>
      <c r="BD38" s="15" t="n">
        <v>2301819.97</v>
      </c>
      <c r="BE38" s="15" t="n">
        <v>1303558.33</v>
      </c>
      <c r="BF38" s="15" t="n">
        <v>698050.3</v>
      </c>
      <c r="BG38" s="15" t="n">
        <v>76713.16</v>
      </c>
      <c r="BH38" s="15" t="n">
        <v>544671.3199999999</v>
      </c>
      <c r="BI38" s="15" t="n">
        <v>388435.33</v>
      </c>
      <c r="BJ38" s="15" t="n">
        <v>64177.03</v>
      </c>
      <c r="BK38" s="15" t="n">
        <v>1181014.1</v>
      </c>
      <c r="BL38" s="15" t="n">
        <v>512568.85</v>
      </c>
      <c r="BM38" s="15" t="n">
        <v>169511.04</v>
      </c>
      <c r="BN38" s="15" t="n">
        <v>366543.1</v>
      </c>
      <c r="BO38" s="15" t="n">
        <v>738814.3100000001</v>
      </c>
      <c r="BP38" s="15" t="n">
        <v>1651259.87</v>
      </c>
      <c r="BQ38" s="15" t="n">
        <v>99911.23</v>
      </c>
      <c r="BR38" s="15" t="n">
        <v>590644.78</v>
      </c>
      <c r="BS38" s="15" t="n">
        <v>249854.93</v>
      </c>
      <c r="BT38" s="15" t="n">
        <v>201082.87</v>
      </c>
      <c r="BU38" s="15" t="n">
        <v>256898.81</v>
      </c>
      <c r="BV38" s="15" t="n">
        <v>1129194.16</v>
      </c>
      <c r="BW38" s="15" t="n">
        <v>606939.75</v>
      </c>
      <c r="BX38" s="15" t="n">
        <v>13549.57</v>
      </c>
      <c r="BY38" s="15" t="n">
        <v>243186.39</v>
      </c>
      <c r="BZ38" s="15" t="n">
        <v>34234.29</v>
      </c>
      <c r="CA38" s="15" t="n">
        <v>1230263.57</v>
      </c>
      <c r="CB38" s="15" t="n">
        <v>457299.16</v>
      </c>
      <c r="CC38" s="15" t="n">
        <v>1448344.99</v>
      </c>
      <c r="CD38" s="15" t="n">
        <v>852527.16</v>
      </c>
      <c r="CE38" s="15" t="n">
        <v>191014.67</v>
      </c>
      <c r="CF38" s="15" t="n">
        <v>305642.51</v>
      </c>
      <c r="CG38" s="15" t="n">
        <v>486827.18</v>
      </c>
      <c r="CH38" s="15" t="n">
        <v>1795515.73</v>
      </c>
      <c r="CI38" s="15" t="n">
        <v>439479.49</v>
      </c>
      <c r="CJ38" s="15" t="n">
        <v>918858.34</v>
      </c>
      <c r="CK38" s="15" t="n">
        <v>20522.06</v>
      </c>
      <c r="CL38" s="15" t="n">
        <v>654290.95</v>
      </c>
      <c r="CM38" s="15" t="n">
        <v>618878.88</v>
      </c>
      <c r="CN38" s="15" t="n">
        <v>182733.53</v>
      </c>
      <c r="CO38" s="15" t="n">
        <v>1232953.55</v>
      </c>
      <c r="CP38" s="15" t="n">
        <v>691119.2</v>
      </c>
      <c r="CQ38" s="15" t="n">
        <v>46347.6</v>
      </c>
      <c r="CR38" s="15" t="n">
        <v>-61046.63</v>
      </c>
      <c r="CS38" s="15" t="n">
        <v>1521105.82</v>
      </c>
      <c r="CT38" s="15" t="n">
        <v>1241542.63</v>
      </c>
      <c r="CU38" s="15" t="n">
        <v>912520.51</v>
      </c>
      <c r="CV38" s="15" t="n">
        <v>815942.98</v>
      </c>
      <c r="CW38" s="15" t="n">
        <v>198140.15</v>
      </c>
      <c r="CX38" s="15" t="n">
        <v>103752.27</v>
      </c>
      <c r="CY38" s="15" t="n">
        <v>491493.46</v>
      </c>
      <c r="CZ38" s="15" t="n">
        <v>2402692.89</v>
      </c>
      <c r="DA38" s="15" t="n">
        <v>464661.08</v>
      </c>
      <c r="DB38" s="15" t="n">
        <v>761095.8</v>
      </c>
      <c r="DC38" s="15" t="n">
        <v>233246.35</v>
      </c>
      <c r="DD38" s="15" t="n">
        <v>726974.1800000001</v>
      </c>
      <c r="DE38" s="15" t="n">
        <v>1371173.88</v>
      </c>
      <c r="DF38" s="15" t="n">
        <v>618322.91</v>
      </c>
      <c r="DG38" s="15" t="n">
        <v>974267.01</v>
      </c>
      <c r="DH38" s="15" t="n">
        <v>361232.29</v>
      </c>
      <c r="DI38" s="15" t="n">
        <v>56569.24</v>
      </c>
      <c r="DJ38" s="15" t="n">
        <v>396427.2</v>
      </c>
      <c r="DK38" s="15" t="n">
        <v>561393.65</v>
      </c>
      <c r="DL38" s="15" t="n">
        <v>2115293.01</v>
      </c>
      <c r="DM38" s="15" t="n">
        <v>856349.17</v>
      </c>
      <c r="DN38" s="15" t="n">
        <v>362798.78</v>
      </c>
      <c r="DO38" s="15" t="n">
        <v>133513.55</v>
      </c>
      <c r="DP38" s="15" t="n">
        <v>62415.72</v>
      </c>
    </row>
    <row r="39">
      <c r="A39" s="4" t="inlineStr">
        <is>
          <t>团餐</t>
        </is>
      </c>
      <c r="B39" s="15" t="n">
        <v>2464082.43</v>
      </c>
      <c r="C39" s="15" t="n">
        <v>798423.1800000001</v>
      </c>
      <c r="D39" s="15" t="n">
        <v>644160.04</v>
      </c>
      <c r="E39" s="15" t="n">
        <v>206177.11</v>
      </c>
      <c r="F39" s="15" t="n">
        <v>144359.89</v>
      </c>
      <c r="G39" s="15" t="n">
        <v>846470.8</v>
      </c>
      <c r="H39" s="15" t="n">
        <v>652190.38</v>
      </c>
      <c r="I39" s="15" t="n">
        <v>218221.24</v>
      </c>
      <c r="J39" s="15" t="n">
        <v>652361.02</v>
      </c>
      <c r="K39" s="15" t="n">
        <v>131258.87</v>
      </c>
      <c r="L39" s="15" t="n">
        <v>590317.51</v>
      </c>
      <c r="M39" s="15" t="n">
        <v>692091.87</v>
      </c>
      <c r="N39" s="15" t="n">
        <v>190204.01</v>
      </c>
      <c r="O39" s="15" t="n">
        <v>1249914.29</v>
      </c>
      <c r="P39" s="15" t="n">
        <v>937980.3</v>
      </c>
      <c r="Q39" s="15" t="n">
        <v>130233.6</v>
      </c>
      <c r="R39" s="15" t="n">
        <v>321240.88</v>
      </c>
      <c r="S39" s="15" t="n">
        <v>247382.96</v>
      </c>
      <c r="T39" s="15" t="n">
        <v>1482150.82</v>
      </c>
      <c r="U39" s="15" t="n">
        <v>1259313.57</v>
      </c>
      <c r="V39" s="15" t="n">
        <v>126739.26</v>
      </c>
      <c r="W39" s="15" t="n">
        <v>35688.05</v>
      </c>
      <c r="X39" s="15" t="n">
        <v>79693.12</v>
      </c>
      <c r="Y39" s="15" t="n">
        <v>996924.17</v>
      </c>
      <c r="Z39" s="15" t="n">
        <v>306693.03</v>
      </c>
      <c r="AA39" s="15" t="n">
        <v>933004.83</v>
      </c>
      <c r="AB39" s="15" t="n">
        <v>488469.48</v>
      </c>
      <c r="AC39" s="15" t="n">
        <v>75790.37</v>
      </c>
      <c r="AD39" s="15" t="n">
        <v>299942.24</v>
      </c>
      <c r="AE39" s="15" t="n">
        <v>1394110.04</v>
      </c>
      <c r="AF39" s="15" t="n">
        <v>1441600.21</v>
      </c>
      <c r="AG39" s="15" t="n">
        <v>1046968.07</v>
      </c>
      <c r="AH39" s="15" t="n">
        <v>476948.87</v>
      </c>
      <c r="AI39" s="15" t="n">
        <v>123684.15</v>
      </c>
      <c r="AJ39" s="15" t="n">
        <v>113710.73</v>
      </c>
      <c r="AK39" s="15" t="n">
        <v>1439942.79</v>
      </c>
      <c r="AL39" s="15" t="n">
        <v>122428.57</v>
      </c>
      <c r="AM39" s="15" t="n">
        <v>1073737.09</v>
      </c>
      <c r="AN39" s="15" t="n">
        <v>362979.34</v>
      </c>
      <c r="AO39" s="15" t="n">
        <v>134328.96</v>
      </c>
      <c r="AP39" s="15" t="n">
        <v>656214.8100000001</v>
      </c>
      <c r="AQ39" s="15" t="n">
        <v>1388099.49</v>
      </c>
      <c r="AR39" s="15" t="n">
        <v>2292623.9</v>
      </c>
      <c r="AS39" s="15" t="n">
        <v>809037.1899999999</v>
      </c>
      <c r="AT39" s="15" t="n">
        <v>336258.37</v>
      </c>
      <c r="AU39" s="15" t="n">
        <v>233690.69</v>
      </c>
      <c r="AV39" s="15" t="n">
        <v>541165.26</v>
      </c>
      <c r="AW39" s="15" t="n">
        <v>978571.15</v>
      </c>
      <c r="AX39" s="15" t="n">
        <v>1962795.9</v>
      </c>
      <c r="AY39" s="15" t="n">
        <v>910347</v>
      </c>
      <c r="AZ39" s="15" t="n">
        <v>410812.7</v>
      </c>
      <c r="BA39" s="15" t="n">
        <v>236679.04</v>
      </c>
      <c r="BB39" s="15" t="n">
        <v>276110.83</v>
      </c>
      <c r="BC39" s="15" t="n">
        <v>469478.98</v>
      </c>
      <c r="BD39" s="15" t="n">
        <v>977191.61</v>
      </c>
      <c r="BE39" s="15" t="n">
        <v>115334.93</v>
      </c>
      <c r="BF39" s="15" t="n">
        <v>299262.63</v>
      </c>
      <c r="BG39" s="15" t="n">
        <v>221003.28</v>
      </c>
      <c r="BH39" s="15" t="n">
        <v>299468.93</v>
      </c>
      <c r="BI39" s="15" t="n">
        <v>242932.35</v>
      </c>
      <c r="BJ39" s="15" t="n">
        <v>66366.09</v>
      </c>
      <c r="BK39" s="15" t="n">
        <v>185266.98</v>
      </c>
      <c r="BL39" s="15" t="n">
        <v>11556.39</v>
      </c>
      <c r="BM39" s="15" t="n">
        <v>111907.32</v>
      </c>
      <c r="BN39" s="15" t="n">
        <v>405080.25</v>
      </c>
      <c r="BO39" s="15" t="n">
        <v>1022098.54</v>
      </c>
      <c r="BP39" s="15" t="n">
        <v>426933.65</v>
      </c>
      <c r="BQ39" s="15" t="n">
        <v>1265085.16</v>
      </c>
      <c r="BR39" s="15" t="n">
        <v>141431.16</v>
      </c>
      <c r="BS39" s="15" t="n">
        <v>135702.21</v>
      </c>
      <c r="BT39" s="15" t="n">
        <v>702499.4300000001</v>
      </c>
      <c r="BU39" s="15" t="n">
        <v>1265293.78</v>
      </c>
      <c r="BV39" s="15" t="n">
        <v>61630.49</v>
      </c>
      <c r="BW39" s="15" t="n">
        <v>347439.19</v>
      </c>
      <c r="BX39" s="15" t="n">
        <v>254595.98</v>
      </c>
      <c r="BY39" s="15" t="n">
        <v>94428.83</v>
      </c>
      <c r="BZ39" s="15" t="n">
        <v>241830.73</v>
      </c>
      <c r="CA39" s="15" t="n">
        <v>307995.44</v>
      </c>
      <c r="CB39" s="15" t="n">
        <v>1538866.01</v>
      </c>
      <c r="CC39" s="15" t="n">
        <v>1071570.85</v>
      </c>
      <c r="CD39" s="15" t="n">
        <v>488319.68</v>
      </c>
      <c r="CE39" s="15" t="n">
        <v>113083.44</v>
      </c>
      <c r="CF39" s="15" t="n">
        <v>12538.84</v>
      </c>
      <c r="CG39" s="15" t="n">
        <v>1839341.09</v>
      </c>
      <c r="CH39" s="15" t="n">
        <v>1075902.45</v>
      </c>
      <c r="CI39" s="15" t="n">
        <v>455813.56</v>
      </c>
      <c r="CJ39" s="15" t="n">
        <v>563330.36</v>
      </c>
      <c r="CK39" s="15" t="n">
        <v>17573.34</v>
      </c>
      <c r="CL39" s="15" t="n">
        <v>466473.48</v>
      </c>
      <c r="CM39" s="15" t="n">
        <v>233348.4</v>
      </c>
      <c r="CN39" s="15" t="n">
        <v>530931.5</v>
      </c>
      <c r="CO39" s="15" t="n">
        <v>720724.14</v>
      </c>
      <c r="CP39" s="15" t="n">
        <v>78802.55</v>
      </c>
      <c r="CQ39" s="15" t="n">
        <v>82199.23</v>
      </c>
      <c r="CR39" s="15" t="n">
        <v>122381.11</v>
      </c>
      <c r="CS39" s="15" t="n">
        <v>1309149.7</v>
      </c>
      <c r="CT39" s="15" t="n">
        <v>214286.93</v>
      </c>
      <c r="CU39" s="15" t="n">
        <v>527305.46</v>
      </c>
      <c r="CV39" s="15" t="n">
        <v>492609.87</v>
      </c>
      <c r="CW39" s="15" t="n">
        <v>222169.48</v>
      </c>
      <c r="CX39" s="15" t="n">
        <v>33222.23</v>
      </c>
      <c r="CY39" s="15" t="n">
        <v>1666729.64</v>
      </c>
      <c r="CZ39" s="15" t="n">
        <v>2369689.16</v>
      </c>
      <c r="DA39" s="15" t="n">
        <v>368155.08</v>
      </c>
      <c r="DB39" s="15" t="n">
        <v>617143.6899999999</v>
      </c>
      <c r="DC39" s="15" t="n">
        <v>7798.89</v>
      </c>
      <c r="DD39" s="15" t="n">
        <v>712870.6899999999</v>
      </c>
      <c r="DE39" s="15" t="n">
        <v>1535230.99</v>
      </c>
      <c r="DF39" s="15" t="n">
        <v>926845.6800000001</v>
      </c>
      <c r="DG39" s="15" t="n">
        <v>911140.91</v>
      </c>
      <c r="DH39" s="15" t="n">
        <v>144292.79</v>
      </c>
      <c r="DI39" s="15" t="n">
        <v>176055.78</v>
      </c>
      <c r="DJ39" s="15" t="n">
        <v>621874.77</v>
      </c>
      <c r="DK39" s="15" t="n">
        <v>121862.7</v>
      </c>
      <c r="DL39" s="15" t="n">
        <v>1650985.32</v>
      </c>
      <c r="DM39" s="15" t="n">
        <v>1473076.34</v>
      </c>
      <c r="DN39" s="15" t="n">
        <v>196323.96</v>
      </c>
      <c r="DO39" s="15" t="n">
        <v>152021.58</v>
      </c>
      <c r="DP39" s="15" t="n">
        <v>375025.92</v>
      </c>
    </row>
    <row r="40">
      <c r="A40" s="4" t="inlineStr">
        <is>
          <t>预制菜</t>
        </is>
      </c>
      <c r="B40" s="15" t="n">
        <v>1196572.22</v>
      </c>
      <c r="C40" s="15" t="n">
        <v>378007.52</v>
      </c>
      <c r="D40" s="15" t="n">
        <v>707767.89</v>
      </c>
      <c r="E40" s="15" t="n">
        <v>12397.82</v>
      </c>
      <c r="F40" s="15" t="n">
        <v>-28525.85</v>
      </c>
      <c r="G40" s="15" t="n">
        <v>1254026.51</v>
      </c>
      <c r="H40" s="15" t="n">
        <v>1525905.92</v>
      </c>
      <c r="I40" s="15" t="n">
        <v>1258578.24</v>
      </c>
      <c r="J40" s="15" t="n">
        <v>311534.57</v>
      </c>
      <c r="K40" s="15" t="n">
        <v>244677.23</v>
      </c>
      <c r="L40" s="15" t="n">
        <v>131484.41</v>
      </c>
      <c r="M40" s="15" t="n">
        <v>999310.51</v>
      </c>
      <c r="N40" s="15" t="n">
        <v>1696307.5</v>
      </c>
      <c r="O40" s="15" t="n">
        <v>991679.0699999999</v>
      </c>
      <c r="P40" s="15" t="n">
        <v>857651.6800000001</v>
      </c>
      <c r="Q40" s="15" t="n">
        <v>14050.53</v>
      </c>
      <c r="R40" s="15" t="n">
        <v>546723.4300000001</v>
      </c>
      <c r="S40" s="15" t="n">
        <v>1907418.1</v>
      </c>
      <c r="T40" s="15" t="n">
        <v>147635.39</v>
      </c>
      <c r="U40" s="15" t="n">
        <v>1474907.86</v>
      </c>
      <c r="V40" s="15" t="n">
        <v>464232.76</v>
      </c>
      <c r="W40" s="15" t="n">
        <v>21623.78</v>
      </c>
      <c r="X40" s="15" t="n">
        <v>163525.61</v>
      </c>
      <c r="Y40" s="15" t="n">
        <v>1652845.95</v>
      </c>
      <c r="Z40" s="15" t="n">
        <v>1003930.02</v>
      </c>
      <c r="AA40" s="15" t="n">
        <v>1294475.84</v>
      </c>
      <c r="AB40" s="15" t="n">
        <v>579214.5</v>
      </c>
      <c r="AC40" s="15" t="n">
        <v>236722.94</v>
      </c>
      <c r="AD40" s="15" t="n">
        <v>98062.22</v>
      </c>
      <c r="AE40" s="15" t="n">
        <v>794494.24</v>
      </c>
      <c r="AF40" s="15" t="n">
        <v>1960498.31</v>
      </c>
      <c r="AG40" s="15" t="n">
        <v>76039.03999999999</v>
      </c>
      <c r="AH40" s="15" t="n">
        <v>208564.92</v>
      </c>
      <c r="AI40" s="15" t="n">
        <v>173356.02</v>
      </c>
      <c r="AJ40" s="15" t="n">
        <v>-81948.57000000001</v>
      </c>
      <c r="AK40" s="15" t="n">
        <v>961478.28</v>
      </c>
      <c r="AL40" s="15" t="n">
        <v>2275883.01</v>
      </c>
      <c r="AM40" s="15" t="n">
        <v>620154.77</v>
      </c>
      <c r="AN40" s="15" t="n">
        <v>904898.98</v>
      </c>
      <c r="AO40" s="15" t="n">
        <v>183678.78</v>
      </c>
      <c r="AP40" s="15" t="n">
        <v>-17914.65</v>
      </c>
      <c r="AQ40" s="15" t="n">
        <v>140309.77</v>
      </c>
      <c r="AR40" s="15" t="n">
        <v>2169832.67</v>
      </c>
      <c r="AS40" s="15" t="n">
        <v>59662.46</v>
      </c>
      <c r="AT40" s="15" t="n">
        <v>812254.42</v>
      </c>
      <c r="AU40" s="15" t="n">
        <v>177911.61</v>
      </c>
      <c r="AV40" s="15" t="n">
        <v>322375.9</v>
      </c>
      <c r="AW40" s="15" t="n">
        <v>1771967.08</v>
      </c>
      <c r="AX40" s="15" t="n">
        <v>1101820.78</v>
      </c>
      <c r="AY40" s="15" t="n">
        <v>969516.99</v>
      </c>
      <c r="AZ40" s="15" t="n">
        <v>891503.0600000001</v>
      </c>
      <c r="BA40" s="15" t="n">
        <v>12765.77</v>
      </c>
      <c r="BB40" s="15" t="n">
        <v>627164</v>
      </c>
      <c r="BC40" s="15" t="n">
        <v>1827338.85</v>
      </c>
      <c r="BD40" s="15" t="n">
        <v>2022536.24</v>
      </c>
      <c r="BE40" s="15" t="n">
        <v>1349828.7</v>
      </c>
      <c r="BF40" s="15" t="n">
        <v>507831.27</v>
      </c>
      <c r="BG40" s="15" t="n">
        <v>199282.99</v>
      </c>
      <c r="BH40" s="15" t="n">
        <v>287868.11</v>
      </c>
      <c r="BI40" s="15" t="n">
        <v>929689.6800000001</v>
      </c>
      <c r="BJ40" s="15" t="n">
        <v>217468.4</v>
      </c>
      <c r="BK40" s="15" t="n">
        <v>1086796.1</v>
      </c>
      <c r="BL40" s="15" t="n">
        <v>953358.7</v>
      </c>
      <c r="BM40" s="15" t="n">
        <v>146162.49</v>
      </c>
      <c r="BN40" s="15" t="n">
        <v>-14262.49</v>
      </c>
      <c r="BO40" s="15" t="n">
        <v>667738.38</v>
      </c>
      <c r="BP40" s="15" t="n">
        <v>1183354.96</v>
      </c>
      <c r="BQ40" s="15" t="n">
        <v>370450.87</v>
      </c>
      <c r="BR40" s="15" t="n">
        <v>254774.57</v>
      </c>
      <c r="BS40" s="15" t="n">
        <v>191983.39</v>
      </c>
      <c r="BT40" s="15" t="n">
        <v>907.52</v>
      </c>
      <c r="BU40" s="15" t="n">
        <v>556832.98</v>
      </c>
      <c r="BV40" s="15" t="n">
        <v>2154578.27</v>
      </c>
      <c r="BW40" s="15" t="n">
        <v>676290.95</v>
      </c>
      <c r="BX40" s="15" t="n">
        <v>560372.38</v>
      </c>
      <c r="BY40" s="15" t="n">
        <v>179899.7</v>
      </c>
      <c r="BZ40" s="15" t="n">
        <v>281865.7</v>
      </c>
      <c r="CA40" s="15" t="n">
        <v>1829303.78</v>
      </c>
      <c r="CB40" s="15" t="n">
        <v>2355178.64</v>
      </c>
      <c r="CC40" s="15" t="n">
        <v>596001.64</v>
      </c>
      <c r="CD40" s="15" t="n">
        <v>811124.72</v>
      </c>
      <c r="CE40" s="15" t="n">
        <v>175088.55</v>
      </c>
      <c r="CF40" s="15" t="n">
        <v>366834.22</v>
      </c>
      <c r="CG40" s="15" t="n">
        <v>170684.69</v>
      </c>
      <c r="CH40" s="15" t="n">
        <v>2423557.63</v>
      </c>
      <c r="CI40" s="15" t="n">
        <v>1266294.29</v>
      </c>
      <c r="CJ40" s="15" t="n">
        <v>590978.08</v>
      </c>
      <c r="CK40" s="15" t="n">
        <v>33828.75</v>
      </c>
      <c r="CL40" s="15" t="n">
        <v>622071.75</v>
      </c>
      <c r="CM40" s="15" t="n">
        <v>1525954.2</v>
      </c>
      <c r="CN40" s="15" t="n">
        <v>1578292.15</v>
      </c>
      <c r="CO40" s="15" t="n">
        <v>1276362.01</v>
      </c>
      <c r="CP40" s="15" t="n">
        <v>513802.27</v>
      </c>
      <c r="CQ40" s="15" t="n">
        <v>228390.07</v>
      </c>
      <c r="CR40" s="15" t="n">
        <v>39914.16</v>
      </c>
      <c r="CS40" s="15" t="n">
        <v>1171806.01</v>
      </c>
      <c r="CT40" s="15" t="n">
        <v>1700737.32</v>
      </c>
      <c r="CU40" s="15" t="n">
        <v>124052.52</v>
      </c>
      <c r="CV40" s="15" t="n">
        <v>880393.87</v>
      </c>
      <c r="CW40" s="15" t="n">
        <v>11329.09</v>
      </c>
      <c r="CX40" s="15" t="n">
        <v>350353.97</v>
      </c>
      <c r="CY40" s="15" t="n">
        <v>235844.34</v>
      </c>
      <c r="CZ40" s="15" t="n">
        <v>1754436.74</v>
      </c>
      <c r="DA40" s="15" t="n">
        <v>1025759.24</v>
      </c>
      <c r="DB40" s="15" t="n">
        <v>564656.75</v>
      </c>
      <c r="DC40" s="15" t="n">
        <v>87009.96000000001</v>
      </c>
      <c r="DD40" s="15" t="n">
        <v>212723.39</v>
      </c>
      <c r="DE40" s="15" t="n">
        <v>951790.71</v>
      </c>
      <c r="DF40" s="15" t="n">
        <v>605928.83</v>
      </c>
      <c r="DG40" s="15" t="n">
        <v>1068051.18</v>
      </c>
      <c r="DH40" s="15" t="n">
        <v>285319.3</v>
      </c>
      <c r="DI40" s="15" t="n">
        <v>116654.62</v>
      </c>
      <c r="DJ40" s="15" t="n">
        <v>253878.13</v>
      </c>
      <c r="DK40" s="15" t="n">
        <v>282998.11</v>
      </c>
      <c r="DL40" s="15" t="n">
        <v>836119.05</v>
      </c>
      <c r="DM40" s="15" t="n">
        <v>861263.59</v>
      </c>
      <c r="DN40" s="15" t="n">
        <v>971233.39</v>
      </c>
      <c r="DO40" s="15" t="n">
        <v>10340.65</v>
      </c>
      <c r="DP40" s="15" t="n">
        <v>598343.37</v>
      </c>
    </row>
    <row r="41">
      <c r="A41" s="4" t="inlineStr">
        <is>
          <t>其他产品A</t>
        </is>
      </c>
      <c r="B41" s="15" t="n">
        <v>1116257.59</v>
      </c>
      <c r="C41" s="15" t="n">
        <v>944712.75</v>
      </c>
      <c r="D41" s="15" t="n">
        <v>262896.71</v>
      </c>
      <c r="E41" s="15" t="n">
        <v>139121.97</v>
      </c>
      <c r="F41" s="15" t="n">
        <v>683671.11</v>
      </c>
      <c r="G41" s="15" t="n">
        <v>227137.07</v>
      </c>
      <c r="H41" s="15" t="n">
        <v>1886849.2</v>
      </c>
      <c r="I41" s="15" t="n">
        <v>33331.82</v>
      </c>
      <c r="J41" s="15" t="n">
        <v>68518.74000000001</v>
      </c>
      <c r="K41" s="15" t="n">
        <v>184887.55</v>
      </c>
      <c r="L41" s="15" t="n">
        <v>-69222.14</v>
      </c>
      <c r="M41" s="15" t="n">
        <v>911342.9</v>
      </c>
      <c r="N41" s="15" t="n">
        <v>1055228.82</v>
      </c>
      <c r="O41" s="15" t="n">
        <v>249025.86</v>
      </c>
      <c r="P41" s="15" t="n">
        <v>776483.15</v>
      </c>
      <c r="Q41" s="15" t="n">
        <v>248739</v>
      </c>
      <c r="R41" s="15" t="n">
        <v>-56721.27</v>
      </c>
      <c r="S41" s="15" t="n">
        <v>868705.13</v>
      </c>
      <c r="T41" s="15" t="n">
        <v>2424028.72</v>
      </c>
      <c r="U41" s="15" t="n">
        <v>89314.83</v>
      </c>
      <c r="V41" s="15" t="n">
        <v>771043.74</v>
      </c>
      <c r="W41" s="15" t="n">
        <v>153780.45</v>
      </c>
      <c r="X41" s="15" t="n">
        <v>35070.87</v>
      </c>
      <c r="Y41" s="15" t="n">
        <v>845803.23</v>
      </c>
      <c r="Z41" s="15" t="n">
        <v>1864431.5</v>
      </c>
      <c r="AA41" s="15" t="n">
        <v>289403.5</v>
      </c>
      <c r="AB41" s="15" t="n">
        <v>566197.9399999999</v>
      </c>
      <c r="AC41" s="15" t="n">
        <v>167122.17</v>
      </c>
      <c r="AD41" s="15" t="n">
        <v>180661.28</v>
      </c>
      <c r="AE41" s="15" t="n">
        <v>1592377.37</v>
      </c>
      <c r="AF41" s="15" t="n">
        <v>426978.57</v>
      </c>
      <c r="AG41" s="15" t="n">
        <v>1388178.62</v>
      </c>
      <c r="AH41" s="15" t="n">
        <v>745214.29</v>
      </c>
      <c r="AI41" s="15" t="n">
        <v>68362.67</v>
      </c>
      <c r="AJ41" s="15" t="n">
        <v>400386.81</v>
      </c>
      <c r="AK41" s="15" t="n">
        <v>991429.8199999999</v>
      </c>
      <c r="AL41" s="15" t="n">
        <v>2065941.47</v>
      </c>
      <c r="AM41" s="15" t="n">
        <v>910835.54</v>
      </c>
      <c r="AN41" s="15" t="n">
        <v>897168.1800000001</v>
      </c>
      <c r="AO41" s="15" t="n">
        <v>96834.32000000001</v>
      </c>
      <c r="AP41" s="15" t="n">
        <v>577417.91</v>
      </c>
      <c r="AQ41" s="15" t="n">
        <v>1298470</v>
      </c>
      <c r="AR41" s="15" t="n">
        <v>1511566.7</v>
      </c>
      <c r="AS41" s="15" t="n">
        <v>1043790.56</v>
      </c>
      <c r="AT41" s="15" t="n">
        <v>814323.3199999999</v>
      </c>
      <c r="AU41" s="15" t="n">
        <v>104927.04</v>
      </c>
      <c r="AV41" s="15" t="n">
        <v>600408.3</v>
      </c>
      <c r="AW41" s="15" t="n">
        <v>670537.58</v>
      </c>
      <c r="AX41" s="15" t="n">
        <v>725855.25</v>
      </c>
      <c r="AY41" s="15" t="n">
        <v>1107163.13</v>
      </c>
      <c r="AZ41" s="15" t="n">
        <v>372562.96</v>
      </c>
      <c r="BA41" s="15" t="n">
        <v>225827.31</v>
      </c>
      <c r="BB41" s="15" t="n">
        <v>292225.59</v>
      </c>
      <c r="BC41" s="15" t="n">
        <v>1138172.75</v>
      </c>
      <c r="BD41" s="15" t="n">
        <v>2447016.82</v>
      </c>
      <c r="BE41" s="15" t="n">
        <v>1010484.28</v>
      </c>
      <c r="BF41" s="15" t="n">
        <v>729768.3</v>
      </c>
      <c r="BG41" s="15" t="n">
        <v>238913.66</v>
      </c>
      <c r="BH41" s="15" t="n">
        <v>311667.71</v>
      </c>
      <c r="BI41" s="15" t="n">
        <v>171176.53</v>
      </c>
      <c r="BJ41" s="15" t="n">
        <v>196603.64</v>
      </c>
      <c r="BK41" s="15" t="n">
        <v>1060251.82</v>
      </c>
      <c r="BL41" s="15" t="n">
        <v>195639.09</v>
      </c>
      <c r="BM41" s="15" t="n">
        <v>148807.45</v>
      </c>
      <c r="BN41" s="15" t="n">
        <v>491479.26</v>
      </c>
      <c r="BO41" s="15" t="n">
        <v>735028.21</v>
      </c>
      <c r="BP41" s="15" t="n">
        <v>1799170.23</v>
      </c>
      <c r="BQ41" s="15" t="n">
        <v>111060.8</v>
      </c>
      <c r="BR41" s="15" t="n">
        <v>435862.64</v>
      </c>
      <c r="BS41" s="15" t="n">
        <v>202613.17</v>
      </c>
      <c r="BT41" s="15" t="n">
        <v>290652.04</v>
      </c>
      <c r="BU41" s="15" t="n">
        <v>1134160.78</v>
      </c>
      <c r="BV41" s="15" t="n">
        <v>527846.83</v>
      </c>
      <c r="BW41" s="15" t="n">
        <v>619914.13</v>
      </c>
      <c r="BX41" s="15" t="n">
        <v>770172.15</v>
      </c>
      <c r="BY41" s="15" t="n">
        <v>31170.49</v>
      </c>
      <c r="BZ41" s="15" t="n">
        <v>146054.4</v>
      </c>
      <c r="CA41" s="15" t="n">
        <v>479822.43</v>
      </c>
      <c r="CB41" s="15" t="n">
        <v>99050.47</v>
      </c>
      <c r="CC41" s="15" t="n">
        <v>120063.26</v>
      </c>
      <c r="CD41" s="15" t="n">
        <v>925477.23</v>
      </c>
      <c r="CE41" s="15" t="n">
        <v>90797.60000000001</v>
      </c>
      <c r="CF41" s="15" t="n">
        <v>710977.4399999999</v>
      </c>
      <c r="CG41" s="15" t="n">
        <v>155389.91</v>
      </c>
      <c r="CH41" s="15" t="n">
        <v>769116.98</v>
      </c>
      <c r="CI41" s="15" t="n">
        <v>325437.88</v>
      </c>
      <c r="CJ41" s="15" t="n">
        <v>108606.59</v>
      </c>
      <c r="CK41" s="15" t="n">
        <v>172108.95</v>
      </c>
      <c r="CL41" s="15" t="n">
        <v>619714.0600000001</v>
      </c>
      <c r="CM41" s="15" t="n">
        <v>951102.52</v>
      </c>
      <c r="CN41" s="15" t="n">
        <v>411765.66</v>
      </c>
      <c r="CO41" s="15" t="n">
        <v>1171324.19</v>
      </c>
      <c r="CP41" s="15" t="n">
        <v>10591.8</v>
      </c>
      <c r="CQ41" s="15" t="n">
        <v>32072.3</v>
      </c>
      <c r="CR41" s="15" t="n">
        <v>32387.11</v>
      </c>
      <c r="CS41" s="15" t="n">
        <v>917845.86</v>
      </c>
      <c r="CT41" s="15" t="n">
        <v>2482561</v>
      </c>
      <c r="CU41" s="15" t="n">
        <v>1110423.43</v>
      </c>
      <c r="CV41" s="15" t="n">
        <v>474026.01</v>
      </c>
      <c r="CW41" s="15" t="n">
        <v>112574.25</v>
      </c>
      <c r="CX41" s="15" t="n">
        <v>81042.17</v>
      </c>
      <c r="CY41" s="15" t="n">
        <v>1916670.63</v>
      </c>
      <c r="CZ41" s="15" t="n">
        <v>72712.96000000001</v>
      </c>
      <c r="DA41" s="15" t="n">
        <v>1313818.54</v>
      </c>
      <c r="DB41" s="15" t="n">
        <v>763464.9300000001</v>
      </c>
      <c r="DC41" s="15" t="n">
        <v>48719.73</v>
      </c>
      <c r="DD41" s="15" t="n">
        <v>491855.56</v>
      </c>
      <c r="DE41" s="15" t="n">
        <v>348276.95</v>
      </c>
      <c r="DF41" s="15" t="n">
        <v>1815715.22</v>
      </c>
      <c r="DG41" s="15" t="n">
        <v>1377657.98</v>
      </c>
      <c r="DH41" s="15" t="n">
        <v>690678.6</v>
      </c>
      <c r="DI41" s="15" t="n">
        <v>56611.51</v>
      </c>
      <c r="DJ41" s="15" t="n">
        <v>365594.33</v>
      </c>
      <c r="DK41" s="15" t="n">
        <v>237355.88</v>
      </c>
      <c r="DL41" s="15" t="n">
        <v>2275695.59</v>
      </c>
      <c r="DM41" s="15" t="n">
        <v>628587.38</v>
      </c>
      <c r="DN41" s="15" t="n">
        <v>403662.88</v>
      </c>
      <c r="DO41" s="15" t="n">
        <v>233566.03</v>
      </c>
      <c r="DP41" s="15" t="n">
        <v>42757.5</v>
      </c>
    </row>
    <row r="42">
      <c r="A42" s="4" t="inlineStr">
        <is>
          <t>其他产品B</t>
        </is>
      </c>
      <c r="B42" s="15" t="n">
        <v>2215376.56</v>
      </c>
      <c r="C42" s="15" t="n">
        <v>80929</v>
      </c>
      <c r="D42" s="15" t="n">
        <v>740860.14</v>
      </c>
      <c r="E42" s="15" t="n">
        <v>81442.64</v>
      </c>
      <c r="F42" s="15" t="n">
        <v>708141.76</v>
      </c>
      <c r="G42" s="15" t="n">
        <v>816682.78</v>
      </c>
      <c r="H42" s="15" t="n">
        <v>2460846.71</v>
      </c>
      <c r="I42" s="15" t="n">
        <v>371237.81</v>
      </c>
      <c r="J42" s="15" t="n">
        <v>76077.99000000001</v>
      </c>
      <c r="K42" s="15" t="n">
        <v>130017.4</v>
      </c>
      <c r="L42" s="15" t="n">
        <v>746269.71</v>
      </c>
      <c r="M42" s="15" t="n">
        <v>574509.9399999999</v>
      </c>
      <c r="N42" s="15" t="n">
        <v>1232105.93</v>
      </c>
      <c r="O42" s="15" t="n">
        <v>523131.29</v>
      </c>
      <c r="P42" s="15" t="n">
        <v>63637.15</v>
      </c>
      <c r="Q42" s="15" t="n">
        <v>74276.14</v>
      </c>
      <c r="R42" s="15" t="n">
        <v>585864.05</v>
      </c>
      <c r="S42" s="15" t="n">
        <v>1978105.54</v>
      </c>
      <c r="T42" s="15" t="n">
        <v>1305313.47</v>
      </c>
      <c r="U42" s="15" t="n">
        <v>1472191.62</v>
      </c>
      <c r="V42" s="15" t="n">
        <v>54355.17</v>
      </c>
      <c r="W42" s="15" t="n">
        <v>55020.28</v>
      </c>
      <c r="X42" s="15" t="n">
        <v>427301.28</v>
      </c>
      <c r="Y42" s="15" t="n">
        <v>805930.65</v>
      </c>
      <c r="Z42" s="15" t="n">
        <v>2274716.08</v>
      </c>
      <c r="AA42" s="15" t="n">
        <v>500800.52</v>
      </c>
      <c r="AB42" s="15" t="n">
        <v>797583.78</v>
      </c>
      <c r="AC42" s="15" t="n">
        <v>90975.67999999999</v>
      </c>
      <c r="AD42" s="15" t="n">
        <v>463655.05</v>
      </c>
      <c r="AE42" s="15" t="n">
        <v>402175.12</v>
      </c>
      <c r="AF42" s="15" t="n">
        <v>2280201.53</v>
      </c>
      <c r="AG42" s="15" t="n">
        <v>379210.48</v>
      </c>
      <c r="AH42" s="15" t="n">
        <v>39216.59</v>
      </c>
      <c r="AI42" s="15" t="n">
        <v>157839.01</v>
      </c>
      <c r="AJ42" s="15" t="n">
        <v>742093.01</v>
      </c>
      <c r="AK42" s="15" t="n">
        <v>483812.76</v>
      </c>
      <c r="AL42" s="15" t="n">
        <v>2169586.81</v>
      </c>
      <c r="AM42" s="15" t="n">
        <v>257451.52</v>
      </c>
      <c r="AN42" s="15" t="n">
        <v>773093.6899999999</v>
      </c>
      <c r="AO42" s="15" t="n">
        <v>18578.6</v>
      </c>
      <c r="AP42" s="15" t="n">
        <v>591849.85</v>
      </c>
      <c r="AQ42" s="15" t="n">
        <v>886640.89</v>
      </c>
      <c r="AR42" s="15" t="n">
        <v>1125678.83</v>
      </c>
      <c r="AS42" s="15" t="n">
        <v>626739</v>
      </c>
      <c r="AT42" s="15" t="n">
        <v>329741.92</v>
      </c>
      <c r="AU42" s="15" t="n">
        <v>165716.12</v>
      </c>
      <c r="AV42" s="15" t="n">
        <v>175673.56</v>
      </c>
      <c r="AW42" s="15" t="n">
        <v>1482331.71</v>
      </c>
      <c r="AX42" s="15" t="n">
        <v>487961.91</v>
      </c>
      <c r="AY42" s="15" t="n">
        <v>260455.18</v>
      </c>
      <c r="AZ42" s="15" t="n">
        <v>971918.46</v>
      </c>
      <c r="BA42" s="15" t="n">
        <v>32910.23</v>
      </c>
      <c r="BB42" s="15" t="n">
        <v>633069.77</v>
      </c>
      <c r="BC42" s="15" t="n">
        <v>1956560.08</v>
      </c>
      <c r="BD42" s="15" t="n">
        <v>729975.37</v>
      </c>
      <c r="BE42" s="15" t="n">
        <v>522361.86</v>
      </c>
      <c r="BF42" s="15" t="n">
        <v>704262.48</v>
      </c>
      <c r="BG42" s="15" t="n">
        <v>236536.66</v>
      </c>
      <c r="BH42" s="15" t="n">
        <v>325492.22</v>
      </c>
      <c r="BI42" s="15" t="n">
        <v>891298.53</v>
      </c>
      <c r="BJ42" s="15" t="n">
        <v>229532.65</v>
      </c>
      <c r="BK42" s="15" t="n">
        <v>838720.08</v>
      </c>
      <c r="BL42" s="15" t="n">
        <v>21906.29</v>
      </c>
      <c r="BM42" s="15" t="n">
        <v>140735.03</v>
      </c>
      <c r="BN42" s="15" t="n">
        <v>-42385.35</v>
      </c>
      <c r="BO42" s="15" t="n">
        <v>1952955.52</v>
      </c>
      <c r="BP42" s="15" t="n">
        <v>1322269.97</v>
      </c>
      <c r="BQ42" s="15" t="n">
        <v>1431749.84</v>
      </c>
      <c r="BR42" s="15" t="n">
        <v>458553.18</v>
      </c>
      <c r="BS42" s="15" t="n">
        <v>50763.77</v>
      </c>
      <c r="BT42" s="15" t="n">
        <v>90041.31</v>
      </c>
      <c r="BU42" s="15" t="n">
        <v>1560502.5</v>
      </c>
      <c r="BV42" s="15" t="n">
        <v>1136775.24</v>
      </c>
      <c r="BW42" s="15" t="n">
        <v>850145.62</v>
      </c>
      <c r="BX42" s="15" t="n">
        <v>936019.26</v>
      </c>
      <c r="BY42" s="15" t="n">
        <v>165111.89</v>
      </c>
      <c r="BZ42" s="15" t="n">
        <v>227122.09</v>
      </c>
      <c r="CA42" s="15" t="n">
        <v>739520.29</v>
      </c>
      <c r="CB42" s="15" t="n">
        <v>2088789.09</v>
      </c>
      <c r="CC42" s="15" t="n">
        <v>226073.15</v>
      </c>
      <c r="CD42" s="15" t="n">
        <v>119111.4</v>
      </c>
      <c r="CE42" s="15" t="n">
        <v>34189.92</v>
      </c>
      <c r="CF42" s="15" t="n">
        <v>274397.34</v>
      </c>
      <c r="CG42" s="15" t="n">
        <v>1986090.48</v>
      </c>
      <c r="CH42" s="15" t="n">
        <v>902062.48</v>
      </c>
      <c r="CI42" s="15" t="n">
        <v>567132.9</v>
      </c>
      <c r="CJ42" s="15" t="n">
        <v>502748.7</v>
      </c>
      <c r="CK42" s="15" t="n">
        <v>94221.67999999999</v>
      </c>
      <c r="CL42" s="15" t="n">
        <v>713398.9399999999</v>
      </c>
      <c r="CM42" s="15" t="n">
        <v>1260873.17</v>
      </c>
      <c r="CN42" s="15" t="n">
        <v>965029.83</v>
      </c>
      <c r="CO42" s="15" t="n">
        <v>856329.89</v>
      </c>
      <c r="CP42" s="15" t="n">
        <v>536286.59</v>
      </c>
      <c r="CQ42" s="15" t="n">
        <v>222923.49</v>
      </c>
      <c r="CR42" s="15" t="n">
        <v>126896.04</v>
      </c>
      <c r="CS42" s="15" t="n">
        <v>221515.34</v>
      </c>
      <c r="CT42" s="15" t="n">
        <v>1942478.48</v>
      </c>
      <c r="CU42" s="15" t="n">
        <v>535199.05</v>
      </c>
      <c r="CV42" s="15" t="n">
        <v>676893.92</v>
      </c>
      <c r="CW42" s="15" t="n">
        <v>147722.04</v>
      </c>
      <c r="CX42" s="15" t="n">
        <v>623235.7</v>
      </c>
      <c r="CY42" s="15" t="n">
        <v>1409370.94</v>
      </c>
      <c r="CZ42" s="15" t="n">
        <v>1493850.15</v>
      </c>
      <c r="DA42" s="15" t="n">
        <v>994026.5600000001</v>
      </c>
      <c r="DB42" s="15" t="n">
        <v>933449.73</v>
      </c>
      <c r="DC42" s="15" t="n">
        <v>82901.11</v>
      </c>
      <c r="DD42" s="15" t="n">
        <v>237574.26</v>
      </c>
      <c r="DE42" s="15" t="n">
        <v>334919.47</v>
      </c>
      <c r="DF42" s="15" t="n">
        <v>1027961.62</v>
      </c>
      <c r="DG42" s="15" t="n">
        <v>491053.06</v>
      </c>
      <c r="DH42" s="15" t="n">
        <v>34706.09</v>
      </c>
      <c r="DI42" s="15" t="n">
        <v>98804.53999999999</v>
      </c>
      <c r="DJ42" s="15" t="n">
        <v>59023.35</v>
      </c>
      <c r="DK42" s="15" t="n">
        <v>1344403.66</v>
      </c>
      <c r="DL42" s="15" t="n">
        <v>204126.09</v>
      </c>
      <c r="DM42" s="15" t="n">
        <v>158466.97</v>
      </c>
      <c r="DN42" s="15" t="n">
        <v>802335.08</v>
      </c>
      <c r="DO42" s="15" t="n">
        <v>238111.62</v>
      </c>
      <c r="DP42" s="15" t="n">
        <v>641672.33</v>
      </c>
    </row>
    <row r="43">
      <c r="A43" s="4" t="inlineStr">
        <is>
          <t>其他产品C</t>
        </is>
      </c>
      <c r="B43" s="15" t="n">
        <v>1144503.03</v>
      </c>
      <c r="C43" s="15" t="n">
        <v>1429618.75</v>
      </c>
      <c r="D43" s="15" t="n">
        <v>84800.71000000001</v>
      </c>
      <c r="E43" s="15" t="n">
        <v>148332.4</v>
      </c>
      <c r="F43" s="15" t="n">
        <v>303428.68</v>
      </c>
      <c r="G43" s="15" t="n">
        <v>1061124.37</v>
      </c>
      <c r="H43" s="15" t="n">
        <v>1490505.91</v>
      </c>
      <c r="I43" s="15" t="n">
        <v>350283</v>
      </c>
      <c r="J43" s="15" t="n">
        <v>836759.84</v>
      </c>
      <c r="K43" s="15" t="n">
        <v>47301.27</v>
      </c>
      <c r="L43" s="15" t="n">
        <v>582223.01</v>
      </c>
      <c r="M43" s="15" t="n">
        <v>563551.64</v>
      </c>
      <c r="N43" s="15" t="n">
        <v>2177339.67</v>
      </c>
      <c r="O43" s="15" t="n">
        <v>1216635.01</v>
      </c>
      <c r="P43" s="15" t="n">
        <v>340888.41</v>
      </c>
      <c r="Q43" s="15" t="n">
        <v>163359.6</v>
      </c>
      <c r="R43" s="15" t="n">
        <v>468682.23</v>
      </c>
      <c r="S43" s="15" t="n">
        <v>1263848.18</v>
      </c>
      <c r="T43" s="15" t="n">
        <v>1256656.93</v>
      </c>
      <c r="U43" s="15" t="n">
        <v>1040945.1</v>
      </c>
      <c r="V43" s="15" t="n">
        <v>120878.51</v>
      </c>
      <c r="W43" s="15" t="n">
        <v>234789.77</v>
      </c>
      <c r="X43" s="15" t="n">
        <v>254345.34</v>
      </c>
      <c r="Y43" s="15" t="n">
        <v>214792.12</v>
      </c>
      <c r="Z43" s="15" t="n">
        <v>729217.5699999999</v>
      </c>
      <c r="AA43" s="15" t="n">
        <v>583759.3100000001</v>
      </c>
      <c r="AB43" s="15" t="n">
        <v>326645.18</v>
      </c>
      <c r="AC43" s="15" t="n">
        <v>234934.56</v>
      </c>
      <c r="AD43" s="15" t="n">
        <v>583852.39</v>
      </c>
      <c r="AE43" s="15" t="n">
        <v>885800.02</v>
      </c>
      <c r="AF43" s="15" t="n">
        <v>871696.42</v>
      </c>
      <c r="AG43" s="15" t="n">
        <v>252217.53</v>
      </c>
      <c r="AH43" s="15" t="n">
        <v>149726</v>
      </c>
      <c r="AI43" s="15" t="n">
        <v>212478.94</v>
      </c>
      <c r="AJ43" s="15" t="n">
        <v>572235.55</v>
      </c>
      <c r="AK43" s="15" t="n">
        <v>1809777.35</v>
      </c>
      <c r="AL43" s="15" t="n">
        <v>1945762.18</v>
      </c>
      <c r="AM43" s="15" t="n">
        <v>87515.39</v>
      </c>
      <c r="AN43" s="15" t="n">
        <v>679742.86</v>
      </c>
      <c r="AO43" s="15" t="n">
        <v>28221.21</v>
      </c>
      <c r="AP43" s="15" t="n">
        <v>741129.42</v>
      </c>
      <c r="AQ43" s="15" t="n">
        <v>250133.77</v>
      </c>
      <c r="AR43" s="15" t="n">
        <v>1343662.43</v>
      </c>
      <c r="AS43" s="15" t="n">
        <v>188966.5</v>
      </c>
      <c r="AT43" s="15" t="n">
        <v>587030.26</v>
      </c>
      <c r="AU43" s="15" t="n">
        <v>113468.48</v>
      </c>
      <c r="AV43" s="15" t="n">
        <v>423110.02</v>
      </c>
      <c r="AW43" s="15" t="n">
        <v>1089078.4</v>
      </c>
      <c r="AX43" s="15" t="n">
        <v>156722.54</v>
      </c>
      <c r="AY43" s="15" t="n">
        <v>1264904.5</v>
      </c>
      <c r="AZ43" s="15" t="n">
        <v>605079.84</v>
      </c>
      <c r="BA43" s="15" t="n">
        <v>242022.2</v>
      </c>
      <c r="BB43" s="15" t="n">
        <v>113409.75</v>
      </c>
      <c r="BC43" s="15" t="n">
        <v>916977.03</v>
      </c>
      <c r="BD43" s="15" t="n">
        <v>1987771.75</v>
      </c>
      <c r="BE43" s="15" t="n">
        <v>473999.93</v>
      </c>
      <c r="BF43" s="15" t="n">
        <v>669366.03</v>
      </c>
      <c r="BG43" s="15" t="n">
        <v>229741.97</v>
      </c>
      <c r="BH43" s="15" t="n">
        <v>450699.41</v>
      </c>
      <c r="BI43" s="15" t="n">
        <v>1644730.94</v>
      </c>
      <c r="BJ43" s="15" t="n">
        <v>2210178.06</v>
      </c>
      <c r="BK43" s="15" t="n">
        <v>1219961.08</v>
      </c>
      <c r="BL43" s="15" t="n">
        <v>895299.15</v>
      </c>
      <c r="BM43" s="15" t="n">
        <v>131254.97</v>
      </c>
      <c r="BN43" s="15" t="n">
        <v>314403.5</v>
      </c>
      <c r="BO43" s="15" t="n">
        <v>1854867.39</v>
      </c>
      <c r="BP43" s="15" t="n">
        <v>661860.67</v>
      </c>
      <c r="BQ43" s="15" t="n">
        <v>1099907.45</v>
      </c>
      <c r="BR43" s="15" t="n">
        <v>525983.6899999999</v>
      </c>
      <c r="BS43" s="15" t="n">
        <v>9438.75</v>
      </c>
      <c r="BT43" s="15" t="n">
        <v>337737.3</v>
      </c>
      <c r="BU43" s="15" t="n">
        <v>1620599.88</v>
      </c>
      <c r="BV43" s="15" t="n">
        <v>1539662.12</v>
      </c>
      <c r="BW43" s="15" t="n">
        <v>47520.83</v>
      </c>
      <c r="BX43" s="15" t="n">
        <v>854236.0600000001</v>
      </c>
      <c r="BY43" s="15" t="n">
        <v>227724.22</v>
      </c>
      <c r="BZ43" s="15" t="n">
        <v>331687.77</v>
      </c>
      <c r="CA43" s="15" t="n">
        <v>1111151.83</v>
      </c>
      <c r="CB43" s="15" t="n">
        <v>706038.23</v>
      </c>
      <c r="CC43" s="15" t="n">
        <v>313107.61</v>
      </c>
      <c r="CD43" s="15" t="n">
        <v>289793.46</v>
      </c>
      <c r="CE43" s="15" t="n">
        <v>210641.57</v>
      </c>
      <c r="CF43" s="15" t="n">
        <v>188928.82</v>
      </c>
      <c r="CG43" s="15" t="n">
        <v>105329.42</v>
      </c>
      <c r="CH43" s="15" t="n">
        <v>2105179.66</v>
      </c>
      <c r="CI43" s="15" t="n">
        <v>195089.73</v>
      </c>
      <c r="CJ43" s="15" t="n">
        <v>724495.48</v>
      </c>
      <c r="CK43" s="15" t="n">
        <v>16815.05</v>
      </c>
      <c r="CL43" s="15" t="n">
        <v>220156.68</v>
      </c>
      <c r="CM43" s="15" t="n">
        <v>1899788.79</v>
      </c>
      <c r="CN43" s="15" t="n">
        <v>592322.51</v>
      </c>
      <c r="CO43" s="15" t="n">
        <v>1437078.39</v>
      </c>
      <c r="CP43" s="15" t="n">
        <v>523031.09</v>
      </c>
      <c r="CQ43" s="15" t="n">
        <v>206782.46</v>
      </c>
      <c r="CR43" s="15" t="n">
        <v>267299.41</v>
      </c>
      <c r="CS43" s="15" t="n">
        <v>1611944.27</v>
      </c>
      <c r="CT43" s="15" t="n">
        <v>1496232.43</v>
      </c>
      <c r="CU43" s="15" t="n">
        <v>963102.6</v>
      </c>
      <c r="CV43" s="15" t="n">
        <v>961816.1899999999</v>
      </c>
      <c r="CW43" s="15" t="n">
        <v>195583.88</v>
      </c>
      <c r="CX43" s="15" t="n">
        <v>749702.53</v>
      </c>
      <c r="CY43" s="15" t="n">
        <v>230538.16</v>
      </c>
      <c r="CZ43" s="15" t="n">
        <v>1769055.58</v>
      </c>
      <c r="DA43" s="15" t="n">
        <v>865541.6</v>
      </c>
      <c r="DB43" s="15" t="n">
        <v>423839.49</v>
      </c>
      <c r="DC43" s="15" t="n">
        <v>222978.54</v>
      </c>
      <c r="DD43" s="15" t="n">
        <v>716681.66</v>
      </c>
      <c r="DE43" s="15" t="n">
        <v>187169.23</v>
      </c>
      <c r="DF43" s="15" t="n">
        <v>2285845.78</v>
      </c>
      <c r="DG43" s="15" t="n">
        <v>1323744.04</v>
      </c>
      <c r="DH43" s="15" t="n">
        <v>906660.46</v>
      </c>
      <c r="DI43" s="15" t="n">
        <v>240883.96</v>
      </c>
      <c r="DJ43" s="15" t="n">
        <v>605041.05</v>
      </c>
      <c r="DK43" s="15" t="n">
        <v>1560528.23</v>
      </c>
      <c r="DL43" s="15" t="n">
        <v>403257.31</v>
      </c>
      <c r="DM43" s="15" t="n">
        <v>198685.21</v>
      </c>
      <c r="DN43" s="15" t="n">
        <v>708596.1899999999</v>
      </c>
      <c r="DO43" s="15" t="n">
        <v>182401.43</v>
      </c>
      <c r="DP43" s="15" t="n">
        <v>194708.93</v>
      </c>
    </row>
    <row r="44">
      <c r="A44" s="4" t="inlineStr">
        <is>
          <t>中式汤底</t>
        </is>
      </c>
      <c r="B44" s="15" t="n">
        <v>1333029.31</v>
      </c>
      <c r="C44" s="15" t="n">
        <v>309514.56</v>
      </c>
      <c r="D44" s="15" t="n">
        <v>779552.46</v>
      </c>
      <c r="E44" s="15" t="n">
        <v>17635.76</v>
      </c>
      <c r="F44" s="15" t="n">
        <v>595509.4399999999</v>
      </c>
      <c r="G44" s="15" t="n">
        <v>564253.26</v>
      </c>
      <c r="H44" s="15" t="n">
        <v>1297658.24</v>
      </c>
      <c r="I44" s="15" t="n">
        <v>853199.3</v>
      </c>
      <c r="J44" s="15" t="n">
        <v>840803.65</v>
      </c>
      <c r="K44" s="15" t="n">
        <v>148273.04</v>
      </c>
      <c r="L44" s="15" t="n">
        <v>486705.98</v>
      </c>
      <c r="M44" s="15" t="n">
        <v>669222.0600000001</v>
      </c>
      <c r="N44" s="15" t="n">
        <v>233386.62</v>
      </c>
      <c r="O44" s="15" t="n">
        <v>283079.87</v>
      </c>
      <c r="P44" s="15" t="n">
        <v>14454.88</v>
      </c>
      <c r="Q44" s="15" t="n">
        <v>146787.59</v>
      </c>
      <c r="R44" s="15" t="n">
        <v>-99585.50999999999</v>
      </c>
      <c r="S44" s="15" t="n">
        <v>479220.19</v>
      </c>
      <c r="T44" s="15" t="n">
        <v>1823784.61</v>
      </c>
      <c r="U44" s="15" t="n">
        <v>411783.37</v>
      </c>
      <c r="V44" s="15" t="n">
        <v>438408.14</v>
      </c>
      <c r="W44" s="15" t="n">
        <v>107226.99</v>
      </c>
      <c r="X44" s="15" t="n">
        <v>483821.2</v>
      </c>
      <c r="Y44" s="15" t="n">
        <v>1011055.08</v>
      </c>
      <c r="Z44" s="15" t="n">
        <v>2258691.05</v>
      </c>
      <c r="AA44" s="15" t="n">
        <v>206375.38</v>
      </c>
      <c r="AB44" s="15" t="n">
        <v>425374.05</v>
      </c>
      <c r="AC44" s="15" t="n">
        <v>91833.60000000001</v>
      </c>
      <c r="AD44" s="15" t="n">
        <v>623027.7</v>
      </c>
      <c r="AE44" s="15" t="n">
        <v>1841273.68</v>
      </c>
      <c r="AF44" s="15" t="n">
        <v>1597710.11</v>
      </c>
      <c r="AG44" s="15" t="n">
        <v>340290.21</v>
      </c>
      <c r="AH44" s="15" t="n">
        <v>292555.44</v>
      </c>
      <c r="AI44" s="15" t="n">
        <v>145801.37</v>
      </c>
      <c r="AJ44" s="15" t="n">
        <v>193559.05</v>
      </c>
      <c r="AK44" s="15" t="n">
        <v>152387.11</v>
      </c>
      <c r="AL44" s="15" t="n">
        <v>626046.1899999999</v>
      </c>
      <c r="AM44" s="15" t="n">
        <v>766924.85</v>
      </c>
      <c r="AN44" s="15" t="n">
        <v>678658.1</v>
      </c>
      <c r="AO44" s="15" t="n">
        <v>102042.77</v>
      </c>
      <c r="AP44" s="15" t="n">
        <v>451858.48</v>
      </c>
      <c r="AQ44" s="15" t="n">
        <v>819953.79</v>
      </c>
      <c r="AR44" s="15" t="n">
        <v>911688.55</v>
      </c>
      <c r="AS44" s="15" t="n">
        <v>806693.91</v>
      </c>
      <c r="AT44" s="15" t="n">
        <v>152726.3</v>
      </c>
      <c r="AU44" s="15" t="n">
        <v>182406.95</v>
      </c>
      <c r="AV44" s="15" t="n">
        <v>692260.3199999999</v>
      </c>
      <c r="AW44" s="15" t="n">
        <v>1759915.23</v>
      </c>
      <c r="AX44" s="15" t="n">
        <v>515574.14</v>
      </c>
      <c r="AY44" s="15" t="n">
        <v>1334900.63</v>
      </c>
      <c r="AZ44" s="15" t="n">
        <v>771174.67</v>
      </c>
      <c r="BA44" s="15" t="n">
        <v>212519.87</v>
      </c>
      <c r="BB44" s="15" t="n">
        <v>-80478.11</v>
      </c>
      <c r="BC44" s="15" t="n">
        <v>1992503.89</v>
      </c>
      <c r="BD44" s="15" t="n">
        <v>2483383.08</v>
      </c>
      <c r="BE44" s="15" t="n">
        <v>1343217.98</v>
      </c>
      <c r="BF44" s="15" t="n">
        <v>979195.96</v>
      </c>
      <c r="BG44" s="15" t="n">
        <v>140383.08</v>
      </c>
      <c r="BH44" s="15" t="n">
        <v>315817.85</v>
      </c>
      <c r="BI44" s="15" t="n">
        <v>539159.37</v>
      </c>
      <c r="BJ44" s="15" t="n">
        <v>2296292.44</v>
      </c>
      <c r="BK44" s="15" t="n">
        <v>637434.6899999999</v>
      </c>
      <c r="BL44" s="15" t="n">
        <v>893674.4</v>
      </c>
      <c r="BM44" s="15" t="n">
        <v>169027.81</v>
      </c>
      <c r="BN44" s="15" t="n">
        <v>383233.86</v>
      </c>
      <c r="BO44" s="15" t="n">
        <v>1636896.77</v>
      </c>
      <c r="BP44" s="15" t="n">
        <v>2334469.78</v>
      </c>
      <c r="BQ44" s="15" t="n">
        <v>563666.92</v>
      </c>
      <c r="BR44" s="15" t="n">
        <v>258782.47</v>
      </c>
      <c r="BS44" s="15" t="n">
        <v>138301.57</v>
      </c>
      <c r="BT44" s="15" t="n">
        <v>784.52</v>
      </c>
      <c r="BU44" s="15" t="n">
        <v>1501906.04</v>
      </c>
      <c r="BV44" s="15" t="n">
        <v>1735181.76</v>
      </c>
      <c r="BW44" s="15" t="n">
        <v>1287203.58</v>
      </c>
      <c r="BX44" s="15" t="n">
        <v>208076.83</v>
      </c>
      <c r="BY44" s="15" t="n">
        <v>65123.04</v>
      </c>
      <c r="BZ44" s="15" t="n">
        <v>651835.4399999999</v>
      </c>
      <c r="CA44" s="15" t="n">
        <v>110828.07</v>
      </c>
      <c r="CB44" s="15" t="n">
        <v>587157.05</v>
      </c>
      <c r="CC44" s="15" t="n">
        <v>428804.02</v>
      </c>
      <c r="CD44" s="15" t="n">
        <v>817423.1800000001</v>
      </c>
      <c r="CE44" s="15" t="n">
        <v>73417.14</v>
      </c>
      <c r="CF44" s="15" t="n">
        <v>19644.43</v>
      </c>
      <c r="CG44" s="15" t="n">
        <v>1292570.29</v>
      </c>
      <c r="CH44" s="15" t="n">
        <v>1311647.53</v>
      </c>
      <c r="CI44" s="15" t="n">
        <v>548719.29</v>
      </c>
      <c r="CJ44" s="15" t="n">
        <v>550268.4300000001</v>
      </c>
      <c r="CK44" s="15" t="n">
        <v>129936.81</v>
      </c>
      <c r="CL44" s="15" t="n">
        <v>401084.5</v>
      </c>
      <c r="CM44" s="15" t="n">
        <v>69748.19</v>
      </c>
      <c r="CN44" s="15" t="n">
        <v>1549185.75</v>
      </c>
      <c r="CO44" s="15" t="n">
        <v>578148.09</v>
      </c>
      <c r="CP44" s="15" t="n">
        <v>617092.47</v>
      </c>
      <c r="CQ44" s="15" t="n">
        <v>48556.08</v>
      </c>
      <c r="CR44" s="15" t="n">
        <v>464658.43</v>
      </c>
      <c r="CS44" s="15" t="n">
        <v>1211888.32</v>
      </c>
      <c r="CT44" s="15" t="n">
        <v>2035076.58</v>
      </c>
      <c r="CU44" s="15" t="n">
        <v>1429252.57</v>
      </c>
      <c r="CV44" s="15" t="n">
        <v>441235.17</v>
      </c>
      <c r="CW44" s="15" t="n">
        <v>44991.98</v>
      </c>
      <c r="CX44" s="15" t="n">
        <v>103993.78</v>
      </c>
      <c r="CY44" s="15" t="n">
        <v>1096190.09</v>
      </c>
      <c r="CZ44" s="15" t="n">
        <v>253123.8</v>
      </c>
      <c r="DA44" s="15" t="n">
        <v>285805.29</v>
      </c>
      <c r="DB44" s="15" t="n">
        <v>347051.63</v>
      </c>
      <c r="DC44" s="15" t="n">
        <v>226914.86</v>
      </c>
      <c r="DD44" s="15" t="n">
        <v>4350.97</v>
      </c>
      <c r="DE44" s="15" t="n">
        <v>443486.23</v>
      </c>
      <c r="DF44" s="15" t="n">
        <v>1861848.34</v>
      </c>
      <c r="DG44" s="15" t="n">
        <v>1064464.88</v>
      </c>
      <c r="DH44" s="15" t="n">
        <v>999459.85</v>
      </c>
      <c r="DI44" s="15" t="n">
        <v>241486.73</v>
      </c>
      <c r="DJ44" s="15" t="n">
        <v>439563.62</v>
      </c>
      <c r="DK44" s="15" t="n">
        <v>961787</v>
      </c>
      <c r="DL44" s="15" t="n">
        <v>1424508.04</v>
      </c>
      <c r="DM44" s="15" t="n">
        <v>1130146.49</v>
      </c>
      <c r="DN44" s="15" t="n">
        <v>951455.4300000001</v>
      </c>
      <c r="DO44" s="15" t="n">
        <v>44444.8</v>
      </c>
      <c r="DP44" s="15" t="n">
        <v>717615.14</v>
      </c>
    </row>
    <row r="45">
      <c r="A45" s="4" t="inlineStr">
        <is>
          <t>酱料</t>
        </is>
      </c>
      <c r="B45" s="15" t="n">
        <v>2324365.85</v>
      </c>
      <c r="C45" s="15" t="n">
        <v>1279792.44</v>
      </c>
      <c r="D45" s="15" t="n">
        <v>142859.36</v>
      </c>
      <c r="E45" s="15" t="n">
        <v>130910.86</v>
      </c>
      <c r="F45" s="15" t="n">
        <v>-25259.07</v>
      </c>
      <c r="G45" s="15" t="n">
        <v>930526.48</v>
      </c>
      <c r="H45" s="15" t="n">
        <v>247631</v>
      </c>
      <c r="I45" s="15" t="n">
        <v>1460544.95</v>
      </c>
      <c r="J45" s="15" t="n">
        <v>426289.83</v>
      </c>
      <c r="K45" s="15" t="n">
        <v>143186.96</v>
      </c>
      <c r="L45" s="15" t="n">
        <v>208426.47</v>
      </c>
      <c r="M45" s="15" t="n">
        <v>1831781.04</v>
      </c>
      <c r="N45" s="15" t="n">
        <v>377122.9</v>
      </c>
      <c r="O45" s="15" t="n">
        <v>598264.74</v>
      </c>
      <c r="P45" s="15" t="n">
        <v>760816.49</v>
      </c>
      <c r="Q45" s="15" t="n">
        <v>75134.55</v>
      </c>
      <c r="R45" s="15" t="n">
        <v>286606.62</v>
      </c>
      <c r="S45" s="15" t="n">
        <v>1562812.22</v>
      </c>
      <c r="T45" s="15" t="n">
        <v>1684017.69</v>
      </c>
      <c r="U45" s="15" t="n">
        <v>438032.24</v>
      </c>
      <c r="V45" s="15" t="n">
        <v>994040.96</v>
      </c>
      <c r="W45" s="15" t="n">
        <v>210540.18</v>
      </c>
      <c r="X45" s="15" t="n">
        <v>139593.23</v>
      </c>
      <c r="Y45" s="15" t="n">
        <v>523548.55</v>
      </c>
      <c r="Z45" s="15" t="n">
        <v>229397.43</v>
      </c>
      <c r="AA45" s="15" t="n">
        <v>1122186.75</v>
      </c>
      <c r="AB45" s="15" t="n">
        <v>194416.47</v>
      </c>
      <c r="AC45" s="15" t="n">
        <v>63391.68</v>
      </c>
      <c r="AD45" s="15" t="n">
        <v>495188.38</v>
      </c>
      <c r="AE45" s="15" t="n">
        <v>1660886.76</v>
      </c>
      <c r="AF45" s="15" t="n">
        <v>1106399.94</v>
      </c>
      <c r="AG45" s="15" t="n">
        <v>1004580.22</v>
      </c>
      <c r="AH45" s="15" t="n">
        <v>432682.66</v>
      </c>
      <c r="AI45" s="15" t="n">
        <v>119821.77</v>
      </c>
      <c r="AJ45" s="15" t="n">
        <v>387150.78</v>
      </c>
      <c r="AK45" s="15" t="n">
        <v>137876.96</v>
      </c>
      <c r="AL45" s="15" t="n">
        <v>1090149.16</v>
      </c>
      <c r="AM45" s="15" t="n">
        <v>970404.71</v>
      </c>
      <c r="AN45" s="15" t="n">
        <v>960104.99</v>
      </c>
      <c r="AO45" s="15" t="n">
        <v>67966.85000000001</v>
      </c>
      <c r="AP45" s="15" t="n">
        <v>309759.8</v>
      </c>
      <c r="AQ45" s="15" t="n">
        <v>1284109.38</v>
      </c>
      <c r="AR45" s="15" t="n">
        <v>1890331.82</v>
      </c>
      <c r="AS45" s="15" t="n">
        <v>1077272.72</v>
      </c>
      <c r="AT45" s="15" t="n">
        <v>106616.94</v>
      </c>
      <c r="AU45" s="15" t="n">
        <v>167157.54</v>
      </c>
      <c r="AV45" s="15" t="n">
        <v>-47710.6</v>
      </c>
      <c r="AW45" s="15" t="n">
        <v>43012.14</v>
      </c>
      <c r="AX45" s="15" t="n">
        <v>614629.83</v>
      </c>
      <c r="AY45" s="15" t="n">
        <v>397974.5</v>
      </c>
      <c r="AZ45" s="15" t="n">
        <v>744262.47</v>
      </c>
      <c r="BA45" s="15" t="n">
        <v>212315.18</v>
      </c>
      <c r="BB45" s="15" t="n">
        <v>47404.45</v>
      </c>
      <c r="BC45" s="15" t="n">
        <v>74973.59</v>
      </c>
      <c r="BD45" s="15" t="n">
        <v>258085.42</v>
      </c>
      <c r="BE45" s="15" t="n">
        <v>832998.0600000001</v>
      </c>
      <c r="BF45" s="15" t="n">
        <v>474087.76</v>
      </c>
      <c r="BG45" s="15" t="n">
        <v>121541.1</v>
      </c>
      <c r="BH45" s="15" t="n">
        <v>427741.72</v>
      </c>
      <c r="BI45" s="15" t="n">
        <v>717753.17</v>
      </c>
      <c r="BJ45" s="15" t="n">
        <v>593137.4300000001</v>
      </c>
      <c r="BK45" s="15" t="n">
        <v>1303728.24</v>
      </c>
      <c r="BL45" s="15" t="n">
        <v>749505.29</v>
      </c>
      <c r="BM45" s="15" t="n">
        <v>74212.82000000001</v>
      </c>
      <c r="BN45" s="15" t="n">
        <v>13262.92</v>
      </c>
      <c r="BO45" s="15" t="n">
        <v>455016.81</v>
      </c>
      <c r="BP45" s="15" t="n">
        <v>603643.2</v>
      </c>
      <c r="BQ45" s="15" t="n">
        <v>935468.96</v>
      </c>
      <c r="BR45" s="15" t="n">
        <v>142593.1</v>
      </c>
      <c r="BS45" s="15" t="n">
        <v>36396.44</v>
      </c>
      <c r="BT45" s="15" t="n">
        <v>652311.6800000001</v>
      </c>
      <c r="BU45" s="15" t="n">
        <v>1005377.3</v>
      </c>
      <c r="BV45" s="15" t="n">
        <v>1154979.54</v>
      </c>
      <c r="BW45" s="15" t="n">
        <v>296743.37</v>
      </c>
      <c r="BX45" s="15" t="n">
        <v>461625.89</v>
      </c>
      <c r="BY45" s="15" t="n">
        <v>93717.42999999999</v>
      </c>
      <c r="BZ45" s="15" t="n">
        <v>473284.88</v>
      </c>
      <c r="CA45" s="15" t="n">
        <v>133886.89</v>
      </c>
      <c r="CB45" s="15" t="n">
        <v>2488052.88</v>
      </c>
      <c r="CC45" s="15" t="n">
        <v>997802.89</v>
      </c>
      <c r="CD45" s="15" t="n">
        <v>525954.12</v>
      </c>
      <c r="CE45" s="15" t="n">
        <v>219929.7</v>
      </c>
      <c r="CF45" s="15" t="n">
        <v>58696.1</v>
      </c>
      <c r="CG45" s="15" t="n">
        <v>235622.73</v>
      </c>
      <c r="CH45" s="15" t="n">
        <v>2317649.33</v>
      </c>
      <c r="CI45" s="15" t="n">
        <v>803707.47</v>
      </c>
      <c r="CJ45" s="15" t="n">
        <v>437656.2</v>
      </c>
      <c r="CK45" s="15" t="n">
        <v>13537.12</v>
      </c>
      <c r="CL45" s="15" t="n">
        <v>504329.13</v>
      </c>
      <c r="CM45" s="15" t="n">
        <v>411624.59</v>
      </c>
      <c r="CN45" s="15" t="n">
        <v>614217.66</v>
      </c>
      <c r="CO45" s="15" t="n">
        <v>1245843.76</v>
      </c>
      <c r="CP45" s="15" t="n">
        <v>714389.0699999999</v>
      </c>
      <c r="CQ45" s="15" t="n">
        <v>135886.42</v>
      </c>
      <c r="CR45" s="15" t="n">
        <v>360717.05</v>
      </c>
      <c r="CS45" s="15" t="n">
        <v>1030776.25</v>
      </c>
      <c r="CT45" s="15" t="n">
        <v>779444.6</v>
      </c>
      <c r="CU45" s="15" t="n">
        <v>1222662.93</v>
      </c>
      <c r="CV45" s="15" t="n">
        <v>25656.38</v>
      </c>
      <c r="CW45" s="15" t="n">
        <v>188279.37</v>
      </c>
      <c r="CX45" s="15" t="n">
        <v>467079.88</v>
      </c>
      <c r="CY45" s="15" t="n">
        <v>945757.87</v>
      </c>
      <c r="CZ45" s="15" t="n">
        <v>2255528.06</v>
      </c>
      <c r="DA45" s="15" t="n">
        <v>950005.88</v>
      </c>
      <c r="DB45" s="15" t="n">
        <v>885570.77</v>
      </c>
      <c r="DC45" s="15" t="n">
        <v>194105.25</v>
      </c>
      <c r="DD45" s="15" t="n">
        <v>109596.49</v>
      </c>
      <c r="DE45" s="15" t="n">
        <v>1340238.31</v>
      </c>
      <c r="DF45" s="15" t="n">
        <v>1989409.41</v>
      </c>
      <c r="DG45" s="15" t="n">
        <v>487277.9</v>
      </c>
      <c r="DH45" s="15" t="n">
        <v>755288.26</v>
      </c>
      <c r="DI45" s="15" t="n">
        <v>18714.54</v>
      </c>
      <c r="DJ45" s="15" t="n">
        <v>225820.95</v>
      </c>
      <c r="DK45" s="15" t="n">
        <v>1415062.65</v>
      </c>
      <c r="DL45" s="15" t="n">
        <v>1819553.53</v>
      </c>
      <c r="DM45" s="15" t="n">
        <v>389328.7</v>
      </c>
      <c r="DN45" s="15" t="n">
        <v>593845.67</v>
      </c>
      <c r="DO45" s="15" t="n">
        <v>133925.01</v>
      </c>
      <c r="DP45" s="15" t="n">
        <v>105144.98</v>
      </c>
    </row>
    <row r="46">
      <c r="A46" s="4" t="inlineStr">
        <is>
          <t>川味底料</t>
        </is>
      </c>
      <c r="B46" s="15" t="n">
        <v>1630774.36</v>
      </c>
      <c r="C46" s="15" t="n">
        <v>110218.59</v>
      </c>
      <c r="D46" s="15" t="n">
        <v>990872.6</v>
      </c>
      <c r="E46" s="15" t="n">
        <v>233759.04</v>
      </c>
      <c r="F46" s="15" t="n">
        <v>163913.59</v>
      </c>
      <c r="G46" s="15" t="n">
        <v>199179.06</v>
      </c>
      <c r="H46" s="15" t="n">
        <v>1078231.8</v>
      </c>
      <c r="I46" s="15" t="n">
        <v>1007791.95</v>
      </c>
      <c r="J46" s="15" t="n">
        <v>648952.14</v>
      </c>
      <c r="K46" s="15" t="n">
        <v>150052.9</v>
      </c>
      <c r="L46" s="15" t="n">
        <v>146339.47</v>
      </c>
      <c r="M46" s="15" t="n">
        <v>1502415.66</v>
      </c>
      <c r="N46" s="15" t="n">
        <v>1140508.58</v>
      </c>
      <c r="O46" s="15" t="n">
        <v>694816.17</v>
      </c>
      <c r="P46" s="15" t="n">
        <v>667861.16</v>
      </c>
      <c r="Q46" s="15" t="n">
        <v>21720.83</v>
      </c>
      <c r="R46" s="15" t="n">
        <v>744614.53</v>
      </c>
      <c r="S46" s="15" t="n">
        <v>1156233.03</v>
      </c>
      <c r="T46" s="15" t="n">
        <v>1979121.15</v>
      </c>
      <c r="U46" s="15" t="n">
        <v>346416.42</v>
      </c>
      <c r="V46" s="15" t="n">
        <v>420122.29</v>
      </c>
      <c r="W46" s="15" t="n">
        <v>230279.47</v>
      </c>
      <c r="X46" s="15" t="n">
        <v>642142.34</v>
      </c>
      <c r="Y46" s="15" t="n">
        <v>1744667.34</v>
      </c>
      <c r="Z46" s="15" t="n">
        <v>847641.97</v>
      </c>
      <c r="AA46" s="15" t="n">
        <v>1086410.67</v>
      </c>
      <c r="AB46" s="15" t="n">
        <v>782465.34</v>
      </c>
      <c r="AC46" s="15" t="n">
        <v>85367.24000000001</v>
      </c>
      <c r="AD46" s="15" t="n">
        <v>567406.5600000001</v>
      </c>
      <c r="AE46" s="15" t="n">
        <v>304732.95</v>
      </c>
      <c r="AF46" s="15" t="n">
        <v>2432285.07</v>
      </c>
      <c r="AG46" s="15" t="n">
        <v>198706.07</v>
      </c>
      <c r="AH46" s="15" t="n">
        <v>564672.41</v>
      </c>
      <c r="AI46" s="15" t="n">
        <v>188339.02</v>
      </c>
      <c r="AJ46" s="15" t="n">
        <v>46979.06</v>
      </c>
      <c r="AK46" s="15" t="n">
        <v>1907594.2</v>
      </c>
      <c r="AL46" s="15" t="n">
        <v>863861.77</v>
      </c>
      <c r="AM46" s="15" t="n">
        <v>956635.9399999999</v>
      </c>
      <c r="AN46" s="15" t="n">
        <v>96510.75</v>
      </c>
      <c r="AO46" s="15" t="n">
        <v>73792.22</v>
      </c>
      <c r="AP46" s="15" t="n">
        <v>81699.55</v>
      </c>
      <c r="AQ46" s="15" t="n">
        <v>995334.8</v>
      </c>
      <c r="AR46" s="15" t="n">
        <v>1085173.52</v>
      </c>
      <c r="AS46" s="15" t="n">
        <v>619511.71</v>
      </c>
      <c r="AT46" s="15" t="n">
        <v>204735.05</v>
      </c>
      <c r="AU46" s="15" t="n">
        <v>229241.64</v>
      </c>
      <c r="AV46" s="15" t="n">
        <v>395901.01</v>
      </c>
      <c r="AW46" s="15" t="n">
        <v>1771348.36</v>
      </c>
      <c r="AX46" s="15" t="n">
        <v>915044.17</v>
      </c>
      <c r="AY46" s="15" t="n">
        <v>1155711.63</v>
      </c>
      <c r="AZ46" s="15" t="n">
        <v>567097.5600000001</v>
      </c>
      <c r="BA46" s="15" t="n">
        <v>157459.12</v>
      </c>
      <c r="BB46" s="15" t="n">
        <v>319444.98</v>
      </c>
      <c r="BC46" s="15" t="n">
        <v>950942.1899999999</v>
      </c>
      <c r="BD46" s="15" t="n">
        <v>260441.8</v>
      </c>
      <c r="BE46" s="15" t="n">
        <v>733675.46</v>
      </c>
      <c r="BF46" s="15" t="n">
        <v>630773.72</v>
      </c>
      <c r="BG46" s="15" t="n">
        <v>42656.73</v>
      </c>
      <c r="BH46" s="15" t="n">
        <v>635364.89</v>
      </c>
      <c r="BI46" s="15" t="n">
        <v>304885.01</v>
      </c>
      <c r="BJ46" s="15" t="n">
        <v>157781.54</v>
      </c>
      <c r="BK46" s="15" t="n">
        <v>1085605.4</v>
      </c>
      <c r="BL46" s="15" t="n">
        <v>132091.87</v>
      </c>
      <c r="BM46" s="15" t="n">
        <v>198303.6</v>
      </c>
      <c r="BN46" s="15" t="n">
        <v>-17195.31</v>
      </c>
      <c r="BO46" s="15" t="n">
        <v>540824.2</v>
      </c>
      <c r="BP46" s="15" t="n">
        <v>1286293.86</v>
      </c>
      <c r="BQ46" s="15" t="n">
        <v>629465.9300000001</v>
      </c>
      <c r="BR46" s="15" t="n">
        <v>422054.74</v>
      </c>
      <c r="BS46" s="15" t="n">
        <v>19138.64</v>
      </c>
      <c r="BT46" s="15" t="n">
        <v>54874.12</v>
      </c>
      <c r="BU46" s="15" t="n">
        <v>208181</v>
      </c>
      <c r="BV46" s="15" t="n">
        <v>1246684.56</v>
      </c>
      <c r="BW46" s="15" t="n">
        <v>891674.95</v>
      </c>
      <c r="BX46" s="15" t="n">
        <v>116603.33</v>
      </c>
      <c r="BY46" s="15" t="n">
        <v>217424.99</v>
      </c>
      <c r="BZ46" s="15" t="n">
        <v>552136.1800000001</v>
      </c>
      <c r="CA46" s="15" t="n">
        <v>1531860.42</v>
      </c>
      <c r="CB46" s="15" t="n">
        <v>1434402.85</v>
      </c>
      <c r="CC46" s="15" t="n">
        <v>614381.61</v>
      </c>
      <c r="CD46" s="15" t="n">
        <v>107173.39</v>
      </c>
      <c r="CE46" s="15" t="n">
        <v>175835.1</v>
      </c>
      <c r="CF46" s="15" t="n">
        <v>470087.44</v>
      </c>
      <c r="CG46" s="15" t="n">
        <v>1616949.72</v>
      </c>
      <c r="CH46" s="15" t="n">
        <v>1676310.21</v>
      </c>
      <c r="CI46" s="15" t="n">
        <v>41646.24</v>
      </c>
      <c r="CJ46" s="15" t="n">
        <v>716040.9300000001</v>
      </c>
      <c r="CK46" s="15" t="n">
        <v>159634.82</v>
      </c>
      <c r="CL46" s="15" t="n">
        <v>200082.08</v>
      </c>
      <c r="CM46" s="15" t="n">
        <v>1401481.83</v>
      </c>
      <c r="CN46" s="15" t="n">
        <v>2255516.66</v>
      </c>
      <c r="CO46" s="15" t="n">
        <v>431158.93</v>
      </c>
      <c r="CP46" s="15" t="n">
        <v>662368.45</v>
      </c>
      <c r="CQ46" s="15" t="n">
        <v>123523.85</v>
      </c>
      <c r="CR46" s="15" t="n">
        <v>472379.33</v>
      </c>
      <c r="CS46" s="15" t="n">
        <v>1296576.38</v>
      </c>
      <c r="CT46" s="15" t="n">
        <v>2197596.61</v>
      </c>
      <c r="CU46" s="15" t="n">
        <v>1089423.59</v>
      </c>
      <c r="CV46" s="15" t="n">
        <v>593223.61</v>
      </c>
      <c r="CW46" s="15" t="n">
        <v>101548.98</v>
      </c>
      <c r="CX46" s="15" t="n">
        <v>197135.33</v>
      </c>
      <c r="CY46" s="15" t="n">
        <v>1332090.82</v>
      </c>
      <c r="CZ46" s="15" t="n">
        <v>1566933.93</v>
      </c>
      <c r="DA46" s="15" t="n">
        <v>1229685.05</v>
      </c>
      <c r="DB46" s="15" t="n">
        <v>206391.16</v>
      </c>
      <c r="DC46" s="15" t="n">
        <v>15994.07</v>
      </c>
      <c r="DD46" s="15" t="n">
        <v>744991.76</v>
      </c>
      <c r="DE46" s="15" t="n">
        <v>265335.38</v>
      </c>
      <c r="DF46" s="15" t="n">
        <v>354528.96</v>
      </c>
      <c r="DG46" s="15" t="n">
        <v>713180.4399999999</v>
      </c>
      <c r="DH46" s="15" t="n">
        <v>745512.83</v>
      </c>
      <c r="DI46" s="15" t="n">
        <v>20666.75</v>
      </c>
      <c r="DJ46" s="15" t="n">
        <v>454654.64</v>
      </c>
      <c r="DK46" s="15" t="n">
        <v>1734704.37</v>
      </c>
      <c r="DL46" s="15" t="n">
        <v>677246.73</v>
      </c>
      <c r="DM46" s="15" t="n">
        <v>1145536.83</v>
      </c>
      <c r="DN46" s="15" t="n">
        <v>242665.36</v>
      </c>
      <c r="DO46" s="15" t="n">
        <v>61843.36</v>
      </c>
      <c r="DP46" s="15" t="n">
        <v>267216.5</v>
      </c>
    </row>
    <row r="47">
      <c r="A47" s="4" t="inlineStr">
        <is>
          <t>调味汁</t>
        </is>
      </c>
      <c r="B47" s="15" t="n">
        <v>964189.38</v>
      </c>
      <c r="C47" s="15" t="n">
        <v>687818.49</v>
      </c>
      <c r="D47" s="15" t="n">
        <v>489221.02</v>
      </c>
      <c r="E47" s="15" t="n">
        <v>113847.97</v>
      </c>
      <c r="F47" s="15" t="n">
        <v>113087.16</v>
      </c>
      <c r="G47" s="15" t="n">
        <v>1455482.03</v>
      </c>
      <c r="H47" s="15" t="n">
        <v>2060912.78</v>
      </c>
      <c r="I47" s="15" t="n">
        <v>600363.96</v>
      </c>
      <c r="J47" s="15" t="n">
        <v>834647.03</v>
      </c>
      <c r="K47" s="15" t="n">
        <v>87027.58</v>
      </c>
      <c r="L47" s="15" t="n">
        <v>626076.0600000001</v>
      </c>
      <c r="M47" s="15" t="n">
        <v>672434.88</v>
      </c>
      <c r="N47" s="15" t="n">
        <v>556701.7</v>
      </c>
      <c r="O47" s="15" t="n">
        <v>132310.45</v>
      </c>
      <c r="P47" s="15" t="n">
        <v>306560.93</v>
      </c>
      <c r="Q47" s="15" t="n">
        <v>163528.67</v>
      </c>
      <c r="R47" s="15" t="n">
        <v>271962.84</v>
      </c>
      <c r="S47" s="15" t="n">
        <v>220614.56</v>
      </c>
      <c r="T47" s="15" t="n">
        <v>52473.23</v>
      </c>
      <c r="U47" s="15" t="n">
        <v>1371318.39</v>
      </c>
      <c r="V47" s="15" t="n">
        <v>84262.10000000001</v>
      </c>
      <c r="W47" s="15" t="n">
        <v>224382.51</v>
      </c>
      <c r="X47" s="15" t="n">
        <v>433588.81</v>
      </c>
      <c r="Y47" s="15" t="n">
        <v>1740204.72</v>
      </c>
      <c r="Z47" s="15" t="n">
        <v>123122.93</v>
      </c>
      <c r="AA47" s="15" t="n">
        <v>1189077.35</v>
      </c>
      <c r="AB47" s="15" t="n">
        <v>94485.67</v>
      </c>
      <c r="AC47" s="15" t="n">
        <v>166788.68</v>
      </c>
      <c r="AD47" s="15" t="n">
        <v>389958.01</v>
      </c>
      <c r="AE47" s="15" t="n">
        <v>109051.6</v>
      </c>
      <c r="AF47" s="15" t="n">
        <v>2113804.09</v>
      </c>
      <c r="AG47" s="15" t="n">
        <v>1494779.7</v>
      </c>
      <c r="AH47" s="15" t="n">
        <v>399106.16</v>
      </c>
      <c r="AI47" s="15" t="n">
        <v>178455.61</v>
      </c>
      <c r="AJ47" s="15" t="n">
        <v>250456.98</v>
      </c>
      <c r="AK47" s="15" t="n">
        <v>1535373.15</v>
      </c>
      <c r="AL47" s="15" t="n">
        <v>2089686.28</v>
      </c>
      <c r="AM47" s="15" t="n">
        <v>431235.44</v>
      </c>
      <c r="AN47" s="15" t="n">
        <v>160045.35</v>
      </c>
      <c r="AO47" s="15" t="n">
        <v>211947.52</v>
      </c>
      <c r="AP47" s="15" t="n">
        <v>679121.1</v>
      </c>
      <c r="AQ47" s="15" t="n">
        <v>216600.76</v>
      </c>
      <c r="AR47" s="15" t="n">
        <v>343282.1</v>
      </c>
      <c r="AS47" s="15" t="n">
        <v>1405527.11</v>
      </c>
      <c r="AT47" s="15" t="n">
        <v>296932.65</v>
      </c>
      <c r="AU47" s="15" t="n">
        <v>61414.53</v>
      </c>
      <c r="AV47" s="15" t="n">
        <v>231540.97</v>
      </c>
      <c r="AW47" s="15" t="n">
        <v>1020885.91</v>
      </c>
      <c r="AX47" s="15" t="n">
        <v>2033686.67</v>
      </c>
      <c r="AY47" s="15" t="n">
        <v>1180472.55</v>
      </c>
      <c r="AZ47" s="15" t="n">
        <v>737992.78</v>
      </c>
      <c r="BA47" s="15" t="n">
        <v>58415.84</v>
      </c>
      <c r="BB47" s="15" t="n">
        <v>196025.12</v>
      </c>
      <c r="BC47" s="15" t="n">
        <v>426562.21</v>
      </c>
      <c r="BD47" s="15" t="n">
        <v>2329076.35</v>
      </c>
      <c r="BE47" s="15" t="n">
        <v>1275922.91</v>
      </c>
      <c r="BF47" s="15" t="n">
        <v>577093.4</v>
      </c>
      <c r="BG47" s="15" t="n">
        <v>180206.5</v>
      </c>
      <c r="BH47" s="15" t="n">
        <v>651040.62</v>
      </c>
      <c r="BI47" s="15" t="n">
        <v>678812.5</v>
      </c>
      <c r="BJ47" s="15" t="n">
        <v>1141448.73</v>
      </c>
      <c r="BK47" s="15" t="n">
        <v>1111812.68</v>
      </c>
      <c r="BL47" s="15" t="n">
        <v>385960.66</v>
      </c>
      <c r="BM47" s="15" t="n">
        <v>55685.67</v>
      </c>
      <c r="BN47" s="15" t="n">
        <v>519900.83</v>
      </c>
      <c r="BO47" s="15" t="n">
        <v>970115.58</v>
      </c>
      <c r="BP47" s="15" t="n">
        <v>1422578.23</v>
      </c>
      <c r="BQ47" s="15" t="n">
        <v>167616.42</v>
      </c>
      <c r="BR47" s="15" t="n">
        <v>64833.29</v>
      </c>
      <c r="BS47" s="15" t="n">
        <v>127308.69</v>
      </c>
      <c r="BT47" s="15" t="n">
        <v>344203.12</v>
      </c>
      <c r="BU47" s="15" t="n">
        <v>479034.84</v>
      </c>
      <c r="BV47" s="15" t="n">
        <v>1508698.44</v>
      </c>
      <c r="BW47" s="15" t="n">
        <v>1223187.61</v>
      </c>
      <c r="BX47" s="15" t="n">
        <v>842726.04</v>
      </c>
      <c r="BY47" s="15" t="n">
        <v>70667.22</v>
      </c>
      <c r="BZ47" s="15" t="n">
        <v>517118.9</v>
      </c>
      <c r="CA47" s="15" t="n">
        <v>1508362.18</v>
      </c>
      <c r="CB47" s="15" t="n">
        <v>2414581.37</v>
      </c>
      <c r="CC47" s="15" t="n">
        <v>135805.27</v>
      </c>
      <c r="CD47" s="15" t="n">
        <v>683066.01</v>
      </c>
      <c r="CE47" s="15" t="n">
        <v>26601.04</v>
      </c>
      <c r="CF47" s="15" t="n">
        <v>417984.22</v>
      </c>
      <c r="CG47" s="15" t="n">
        <v>1292461.53</v>
      </c>
      <c r="CH47" s="15" t="n">
        <v>1538360.4</v>
      </c>
      <c r="CI47" s="15" t="n">
        <v>994703.39</v>
      </c>
      <c r="CJ47" s="15" t="n">
        <v>673477.5699999999</v>
      </c>
      <c r="CK47" s="15" t="n">
        <v>62951.12</v>
      </c>
      <c r="CL47" s="15" t="n">
        <v>555295.25</v>
      </c>
      <c r="CM47" s="15" t="n">
        <v>813926.1</v>
      </c>
      <c r="CN47" s="15" t="n">
        <v>2158551.38</v>
      </c>
      <c r="CO47" s="15" t="n">
        <v>1377296.85</v>
      </c>
      <c r="CP47" s="15" t="n">
        <v>340408.34</v>
      </c>
      <c r="CQ47" s="15" t="n">
        <v>176018.75</v>
      </c>
      <c r="CR47" s="15" t="n">
        <v>117316.57</v>
      </c>
      <c r="CS47" s="15" t="n">
        <v>1176984.86</v>
      </c>
      <c r="CT47" s="15" t="n">
        <v>1917031.12</v>
      </c>
      <c r="CU47" s="15" t="n">
        <v>887110.75</v>
      </c>
      <c r="CV47" s="15" t="n">
        <v>72996.71000000001</v>
      </c>
      <c r="CW47" s="15" t="n">
        <v>153263.14</v>
      </c>
      <c r="CX47" s="15" t="n">
        <v>186360.35</v>
      </c>
      <c r="CY47" s="15" t="n">
        <v>1781801.04</v>
      </c>
      <c r="CZ47" s="15" t="n">
        <v>1032201.06</v>
      </c>
      <c r="DA47" s="15" t="n">
        <v>1498290.66</v>
      </c>
      <c r="DB47" s="15" t="n">
        <v>71047.64999999999</v>
      </c>
      <c r="DC47" s="15" t="n">
        <v>101497.07</v>
      </c>
      <c r="DD47" s="15" t="n">
        <v>231558.11</v>
      </c>
      <c r="DE47" s="15" t="n">
        <v>1433572.62</v>
      </c>
      <c r="DF47" s="15" t="n">
        <v>339394.56</v>
      </c>
      <c r="DG47" s="15" t="n">
        <v>1486170.22</v>
      </c>
      <c r="DH47" s="15" t="n">
        <v>365115.97</v>
      </c>
      <c r="DI47" s="15" t="n">
        <v>23919.02</v>
      </c>
      <c r="DJ47" s="15" t="n">
        <v>120130.22</v>
      </c>
      <c r="DK47" s="15" t="n">
        <v>912853.03</v>
      </c>
      <c r="DL47" s="15" t="n">
        <v>1182685.38</v>
      </c>
      <c r="DM47" s="15" t="n">
        <v>1119221.15</v>
      </c>
      <c r="DN47" s="15" t="n">
        <v>960502.7</v>
      </c>
      <c r="DO47" s="15" t="n">
        <v>179514.31</v>
      </c>
      <c r="DP47" s="15" t="n">
        <v>450778.18</v>
      </c>
    </row>
    <row r="48">
      <c r="A48" s="4" t="inlineStr">
        <is>
          <t>复合调味粉</t>
        </is>
      </c>
      <c r="B48" s="15" t="n">
        <v>2184182.83</v>
      </c>
      <c r="C48" s="15" t="n">
        <v>1263735.48</v>
      </c>
      <c r="D48" s="15" t="n">
        <v>506415.21</v>
      </c>
      <c r="E48" s="15" t="n">
        <v>27149.45</v>
      </c>
      <c r="F48" s="15" t="n">
        <v>529761.28</v>
      </c>
      <c r="G48" s="15" t="n">
        <v>753333.58</v>
      </c>
      <c r="H48" s="15" t="n">
        <v>2165705.79</v>
      </c>
      <c r="I48" s="15" t="n">
        <v>1137995.98</v>
      </c>
      <c r="J48" s="15" t="n">
        <v>874908.52</v>
      </c>
      <c r="K48" s="15" t="n">
        <v>173517.5</v>
      </c>
      <c r="L48" s="15" t="n">
        <v>304956.34</v>
      </c>
      <c r="M48" s="15" t="n">
        <v>1278312.37</v>
      </c>
      <c r="N48" s="15" t="n">
        <v>1693522.19</v>
      </c>
      <c r="O48" s="15" t="n">
        <v>392118.47</v>
      </c>
      <c r="P48" s="15" t="n">
        <v>421459.81</v>
      </c>
      <c r="Q48" s="15" t="n">
        <v>233097.37</v>
      </c>
      <c r="R48" s="15" t="n">
        <v>310321.08</v>
      </c>
      <c r="S48" s="15" t="n">
        <v>1272072.97</v>
      </c>
      <c r="T48" s="15" t="n">
        <v>449811.39</v>
      </c>
      <c r="U48" s="15" t="n">
        <v>1208665.44</v>
      </c>
      <c r="V48" s="15" t="n">
        <v>323733.83</v>
      </c>
      <c r="W48" s="15" t="n">
        <v>188578.28</v>
      </c>
      <c r="X48" s="15" t="n">
        <v>233681.97</v>
      </c>
      <c r="Y48" s="15" t="n">
        <v>943189.34</v>
      </c>
      <c r="Z48" s="15" t="n">
        <v>1757583.99</v>
      </c>
      <c r="AA48" s="15" t="n">
        <v>521919.5</v>
      </c>
      <c r="AB48" s="15" t="n">
        <v>305217.32</v>
      </c>
      <c r="AC48" s="15" t="n">
        <v>150217.46</v>
      </c>
      <c r="AD48" s="15" t="n">
        <v>507093.16</v>
      </c>
      <c r="AE48" s="15" t="n">
        <v>112388.86</v>
      </c>
      <c r="AF48" s="15" t="n">
        <v>268470.81</v>
      </c>
      <c r="AG48" s="15" t="n">
        <v>297755.97</v>
      </c>
      <c r="AH48" s="15" t="n">
        <v>591937.23</v>
      </c>
      <c r="AI48" s="15" t="n">
        <v>153263.12</v>
      </c>
      <c r="AJ48" s="15" t="n">
        <v>417636.46</v>
      </c>
      <c r="AK48" s="15" t="n">
        <v>1218589.84</v>
      </c>
      <c r="AL48" s="15" t="n">
        <v>285442.77</v>
      </c>
      <c r="AM48" s="15" t="n">
        <v>459888.81</v>
      </c>
      <c r="AN48" s="15" t="n">
        <v>553602.04</v>
      </c>
      <c r="AO48" s="15" t="n">
        <v>243618.7</v>
      </c>
      <c r="AP48" s="15" t="n">
        <v>699663.01</v>
      </c>
      <c r="AQ48" s="15" t="n">
        <v>58552.46</v>
      </c>
      <c r="AR48" s="15" t="n">
        <v>1659301.77</v>
      </c>
      <c r="AS48" s="15" t="n">
        <v>873604.37</v>
      </c>
      <c r="AT48" s="15" t="n">
        <v>224722.01</v>
      </c>
      <c r="AU48" s="15" t="n">
        <v>175376.49</v>
      </c>
      <c r="AV48" s="15" t="n">
        <v>-10861.16</v>
      </c>
      <c r="AW48" s="15" t="n">
        <v>1961994.47</v>
      </c>
      <c r="AX48" s="15" t="n">
        <v>1008182.46</v>
      </c>
      <c r="AY48" s="15" t="n">
        <v>870734.8100000001</v>
      </c>
      <c r="AZ48" s="15" t="n">
        <v>476255.44</v>
      </c>
      <c r="BA48" s="15" t="n">
        <v>69145.89999999999</v>
      </c>
      <c r="BB48" s="15" t="n">
        <v>-83245.27</v>
      </c>
      <c r="BC48" s="15" t="n">
        <v>166103.58</v>
      </c>
      <c r="BD48" s="15" t="n">
        <v>1114669.15</v>
      </c>
      <c r="BE48" s="15" t="n">
        <v>831183.6</v>
      </c>
      <c r="BF48" s="15" t="n">
        <v>540386.88</v>
      </c>
      <c r="BG48" s="15" t="n">
        <v>23556.89</v>
      </c>
      <c r="BH48" s="15" t="n">
        <v>324763.85</v>
      </c>
      <c r="BI48" s="15" t="n">
        <v>203840.28</v>
      </c>
      <c r="BJ48" s="15" t="n">
        <v>381748.63</v>
      </c>
      <c r="BK48" s="15" t="n">
        <v>923066.42</v>
      </c>
      <c r="BL48" s="15" t="n">
        <v>76724.44</v>
      </c>
      <c r="BM48" s="15" t="n">
        <v>70148.63</v>
      </c>
      <c r="BN48" s="15" t="n">
        <v>495326.99</v>
      </c>
      <c r="BO48" s="15" t="n">
        <v>1306449.06</v>
      </c>
      <c r="BP48" s="15" t="n">
        <v>204654.58</v>
      </c>
      <c r="BQ48" s="15" t="n">
        <v>897940.8199999999</v>
      </c>
      <c r="BR48" s="15" t="n">
        <v>798532.0699999999</v>
      </c>
      <c r="BS48" s="15" t="n">
        <v>189457.63</v>
      </c>
      <c r="BT48" s="15" t="n">
        <v>301983.04</v>
      </c>
      <c r="BU48" s="15" t="n">
        <v>1346209.45</v>
      </c>
      <c r="BV48" s="15" t="n">
        <v>2272623.18</v>
      </c>
      <c r="BW48" s="15" t="n">
        <v>523914.98</v>
      </c>
      <c r="BX48" s="15" t="n">
        <v>604034</v>
      </c>
      <c r="BY48" s="15" t="n">
        <v>43008.94</v>
      </c>
      <c r="BZ48" s="15" t="n">
        <v>488812.56</v>
      </c>
      <c r="CA48" s="15" t="n">
        <v>748600.96</v>
      </c>
      <c r="CB48" s="15" t="n">
        <v>367632.88</v>
      </c>
      <c r="CC48" s="15" t="n">
        <v>833789.41</v>
      </c>
      <c r="CD48" s="15" t="n">
        <v>560808.36</v>
      </c>
      <c r="CE48" s="15" t="n">
        <v>168704.32</v>
      </c>
      <c r="CF48" s="15" t="n">
        <v>639182.4399999999</v>
      </c>
      <c r="CG48" s="15" t="n">
        <v>1800568.79</v>
      </c>
      <c r="CH48" s="15" t="n">
        <v>527650.33</v>
      </c>
      <c r="CI48" s="15" t="n">
        <v>1182237.26</v>
      </c>
      <c r="CJ48" s="15" t="n">
        <v>159847.76</v>
      </c>
      <c r="CK48" s="15" t="n">
        <v>41221.36</v>
      </c>
      <c r="CL48" s="15" t="n">
        <v>561513.67</v>
      </c>
      <c r="CM48" s="15" t="n">
        <v>1438455.93</v>
      </c>
      <c r="CN48" s="15" t="n">
        <v>1540464.55</v>
      </c>
      <c r="CO48" s="15" t="n">
        <v>357511.49</v>
      </c>
      <c r="CP48" s="15" t="n">
        <v>243182.13</v>
      </c>
      <c r="CQ48" s="15" t="n">
        <v>237878.46</v>
      </c>
      <c r="CR48" s="15" t="n">
        <v>361692.67</v>
      </c>
      <c r="CS48" s="15" t="n">
        <v>900102.37</v>
      </c>
      <c r="CT48" s="15" t="n">
        <v>1550542.44</v>
      </c>
      <c r="CU48" s="15" t="n">
        <v>182689.11</v>
      </c>
      <c r="CV48" s="15" t="n">
        <v>728937.67</v>
      </c>
      <c r="CW48" s="15" t="n">
        <v>52502.19</v>
      </c>
      <c r="CX48" s="15" t="n">
        <v>582405.76</v>
      </c>
      <c r="CY48" s="15" t="n">
        <v>1213308.52</v>
      </c>
      <c r="CZ48" s="15" t="n">
        <v>1054354.79</v>
      </c>
      <c r="DA48" s="15" t="n">
        <v>742103.73</v>
      </c>
      <c r="DB48" s="15" t="n">
        <v>165082.19</v>
      </c>
      <c r="DC48" s="15" t="n">
        <v>133930.78</v>
      </c>
      <c r="DD48" s="15" t="n">
        <v>163332.4</v>
      </c>
      <c r="DE48" s="15" t="n">
        <v>1485538.35</v>
      </c>
      <c r="DF48" s="15" t="n">
        <v>701902.45</v>
      </c>
      <c r="DG48" s="15" t="n">
        <v>437161.35</v>
      </c>
      <c r="DH48" s="15" t="n">
        <v>366336.85</v>
      </c>
      <c r="DI48" s="15" t="n">
        <v>13287.98</v>
      </c>
      <c r="DJ48" s="15" t="n">
        <v>481781.1</v>
      </c>
      <c r="DK48" s="15" t="n">
        <v>1797857.87</v>
      </c>
      <c r="DL48" s="15" t="n">
        <v>651204.4</v>
      </c>
      <c r="DM48" s="15" t="n">
        <v>1144540.97</v>
      </c>
      <c r="DN48" s="15" t="n">
        <v>924068.28</v>
      </c>
      <c r="DO48" s="15" t="n">
        <v>35111.43</v>
      </c>
      <c r="DP48" s="15" t="n">
        <v>368033.82</v>
      </c>
    </row>
    <row r="49">
      <c r="A49" s="4" t="inlineStr">
        <is>
          <t>团餐</t>
        </is>
      </c>
      <c r="B49" s="15" t="n">
        <v>915885.89</v>
      </c>
      <c r="C49" s="15" t="n">
        <v>1035912.66</v>
      </c>
      <c r="D49" s="15" t="n">
        <v>531072.02</v>
      </c>
      <c r="E49" s="15" t="n">
        <v>17033.83</v>
      </c>
      <c r="F49" s="15" t="n">
        <v>358865.57</v>
      </c>
      <c r="G49" s="15" t="n">
        <v>659540.3199999999</v>
      </c>
      <c r="H49" s="15" t="n">
        <v>1863084.69</v>
      </c>
      <c r="I49" s="15" t="n">
        <v>1233672.47</v>
      </c>
      <c r="J49" s="15" t="n">
        <v>942543.77</v>
      </c>
      <c r="K49" s="15" t="n">
        <v>188791.1</v>
      </c>
      <c r="L49" s="15" t="n">
        <v>535097.86</v>
      </c>
      <c r="M49" s="15" t="n">
        <v>703300.08</v>
      </c>
      <c r="N49" s="15" t="n">
        <v>322230.32</v>
      </c>
      <c r="O49" s="15" t="n">
        <v>47607.18</v>
      </c>
      <c r="P49" s="15" t="n">
        <v>534482.26</v>
      </c>
      <c r="Q49" s="15" t="n">
        <v>31673.72</v>
      </c>
      <c r="R49" s="15" t="n">
        <v>377710.2</v>
      </c>
      <c r="S49" s="15" t="n">
        <v>1297830.1</v>
      </c>
      <c r="T49" s="15" t="n">
        <v>2229647.35</v>
      </c>
      <c r="U49" s="15" t="n">
        <v>1240836.44</v>
      </c>
      <c r="V49" s="15" t="n">
        <v>491617.02</v>
      </c>
      <c r="W49" s="15" t="n">
        <v>125496.5</v>
      </c>
      <c r="X49" s="15" t="n">
        <v>721269.39</v>
      </c>
      <c r="Y49" s="15" t="n">
        <v>537131.89</v>
      </c>
      <c r="Z49" s="15" t="n">
        <v>1116342.38</v>
      </c>
      <c r="AA49" s="15" t="n">
        <v>894759.89</v>
      </c>
      <c r="AB49" s="15" t="n">
        <v>452071.36</v>
      </c>
      <c r="AC49" s="15" t="n">
        <v>203773.17</v>
      </c>
      <c r="AD49" s="15" t="n">
        <v>520392.07</v>
      </c>
      <c r="AE49" s="15" t="n">
        <v>1911368.83</v>
      </c>
      <c r="AF49" s="15" t="n">
        <v>973473.1</v>
      </c>
      <c r="AG49" s="15" t="n">
        <v>1250211.89</v>
      </c>
      <c r="AH49" s="15" t="n">
        <v>787947.9</v>
      </c>
      <c r="AI49" s="15" t="n">
        <v>77440.91</v>
      </c>
      <c r="AJ49" s="15" t="n">
        <v>548374.78</v>
      </c>
      <c r="AK49" s="15" t="n">
        <v>514784.32</v>
      </c>
      <c r="AL49" s="15" t="n">
        <v>587182.0600000001</v>
      </c>
      <c r="AM49" s="15" t="n">
        <v>471512.48</v>
      </c>
      <c r="AN49" s="15" t="n">
        <v>449771.72</v>
      </c>
      <c r="AO49" s="15" t="n">
        <v>72743.03</v>
      </c>
      <c r="AP49" s="15" t="n">
        <v>387964.19</v>
      </c>
      <c r="AQ49" s="15" t="n">
        <v>1949171.04</v>
      </c>
      <c r="AR49" s="15" t="n">
        <v>536650.1899999999</v>
      </c>
      <c r="AS49" s="15" t="n">
        <v>734882.1800000001</v>
      </c>
      <c r="AT49" s="15" t="n">
        <v>895223.03</v>
      </c>
      <c r="AU49" s="15" t="n">
        <v>41234.77</v>
      </c>
      <c r="AV49" s="15" t="n">
        <v>574231.6800000001</v>
      </c>
      <c r="AW49" s="15" t="n">
        <v>1865459.11</v>
      </c>
      <c r="AX49" s="15" t="n">
        <v>1104490.38</v>
      </c>
      <c r="AY49" s="15" t="n">
        <v>1342022.24</v>
      </c>
      <c r="AZ49" s="15" t="n">
        <v>506978.63</v>
      </c>
      <c r="BA49" s="15" t="n">
        <v>155952.28</v>
      </c>
      <c r="BB49" s="15" t="n">
        <v>-36875.15</v>
      </c>
      <c r="BC49" s="15" t="n">
        <v>41016.34</v>
      </c>
      <c r="BD49" s="15" t="n">
        <v>585513.58</v>
      </c>
      <c r="BE49" s="15" t="n">
        <v>456549.79</v>
      </c>
      <c r="BF49" s="15" t="n">
        <v>553921.03</v>
      </c>
      <c r="BG49" s="15" t="n">
        <v>161510.19</v>
      </c>
      <c r="BH49" s="15" t="n">
        <v>108142.71</v>
      </c>
      <c r="BI49" s="15" t="n">
        <v>1974408.49</v>
      </c>
      <c r="BJ49" s="15" t="n">
        <v>173182.93</v>
      </c>
      <c r="BK49" s="15" t="n">
        <v>1446536.45</v>
      </c>
      <c r="BL49" s="15" t="n">
        <v>124150.89</v>
      </c>
      <c r="BM49" s="15" t="n">
        <v>75999.14</v>
      </c>
      <c r="BN49" s="15" t="n">
        <v>171567.41</v>
      </c>
      <c r="BO49" s="15" t="n">
        <v>1281454.36</v>
      </c>
      <c r="BP49" s="15" t="n">
        <v>668621.28</v>
      </c>
      <c r="BQ49" s="15" t="n">
        <v>221929.5</v>
      </c>
      <c r="BR49" s="15" t="n">
        <v>422541.67</v>
      </c>
      <c r="BS49" s="15" t="n">
        <v>157956.85</v>
      </c>
      <c r="BT49" s="15" t="n">
        <v>634653.22</v>
      </c>
      <c r="BU49" s="15" t="n">
        <v>1297527.62</v>
      </c>
      <c r="BV49" s="15" t="n">
        <v>1096315.19</v>
      </c>
      <c r="BW49" s="15" t="n">
        <v>904903.4</v>
      </c>
      <c r="BX49" s="15" t="n">
        <v>276984.46</v>
      </c>
      <c r="BY49" s="15" t="n">
        <v>237621.45</v>
      </c>
      <c r="BZ49" s="15" t="n">
        <v>313790.2</v>
      </c>
      <c r="CA49" s="15" t="n">
        <v>503036.01</v>
      </c>
      <c r="CB49" s="15" t="n">
        <v>2427091.61</v>
      </c>
      <c r="CC49" s="15" t="n">
        <v>585144.3</v>
      </c>
      <c r="CD49" s="15" t="n">
        <v>576419</v>
      </c>
      <c r="CE49" s="15" t="n">
        <v>189013.29</v>
      </c>
      <c r="CF49" s="15" t="n">
        <v>695433.1899999999</v>
      </c>
      <c r="CG49" s="15" t="n">
        <v>1177976.56</v>
      </c>
      <c r="CH49" s="15" t="n">
        <v>1535920.74</v>
      </c>
      <c r="CI49" s="15" t="n">
        <v>166906.75</v>
      </c>
      <c r="CJ49" s="15" t="n">
        <v>753862.0699999999</v>
      </c>
      <c r="CK49" s="15" t="n">
        <v>123748.9</v>
      </c>
      <c r="CL49" s="15" t="n">
        <v>512591.8</v>
      </c>
      <c r="CM49" s="15" t="n">
        <v>802179.24</v>
      </c>
      <c r="CN49" s="15" t="n">
        <v>943854.79</v>
      </c>
      <c r="CO49" s="15" t="n">
        <v>932576.5</v>
      </c>
      <c r="CP49" s="15" t="n">
        <v>649088.7</v>
      </c>
      <c r="CQ49" s="15" t="n">
        <v>134152.53</v>
      </c>
      <c r="CR49" s="15" t="n">
        <v>345376.8</v>
      </c>
      <c r="CS49" s="15" t="n">
        <v>1620228.24</v>
      </c>
      <c r="CT49" s="15" t="n">
        <v>1289614.65</v>
      </c>
      <c r="CU49" s="15" t="n">
        <v>905527.27</v>
      </c>
      <c r="CV49" s="15" t="n">
        <v>683171.15</v>
      </c>
      <c r="CW49" s="15" t="n">
        <v>226273.73</v>
      </c>
      <c r="CX49" s="15" t="n">
        <v>641278.0600000001</v>
      </c>
      <c r="CY49" s="15" t="n">
        <v>927259.28</v>
      </c>
      <c r="CZ49" s="15" t="n">
        <v>649613.72</v>
      </c>
      <c r="DA49" s="15" t="n">
        <v>1205689.95</v>
      </c>
      <c r="DB49" s="15" t="n">
        <v>615953.36</v>
      </c>
      <c r="DC49" s="15" t="n">
        <v>67025.5</v>
      </c>
      <c r="DD49" s="15" t="n">
        <v>123077.69</v>
      </c>
      <c r="DE49" s="15" t="n">
        <v>1917867.83</v>
      </c>
      <c r="DF49" s="15" t="n">
        <v>1820793.94</v>
      </c>
      <c r="DG49" s="15" t="n">
        <v>1401077.68</v>
      </c>
      <c r="DH49" s="15" t="n">
        <v>73874.92999999999</v>
      </c>
      <c r="DI49" s="15" t="n">
        <v>111609.47</v>
      </c>
      <c r="DJ49" s="15" t="n">
        <v>617616.73</v>
      </c>
      <c r="DK49" s="15" t="n">
        <v>667460.38</v>
      </c>
      <c r="DL49" s="15" t="n">
        <v>880421.29</v>
      </c>
      <c r="DM49" s="15" t="n">
        <v>398932.32</v>
      </c>
      <c r="DN49" s="15" t="n">
        <v>481963.43</v>
      </c>
      <c r="DO49" s="15" t="n">
        <v>73028.64</v>
      </c>
      <c r="DP49" s="15" t="n">
        <v>272800.01</v>
      </c>
    </row>
    <row r="50">
      <c r="A50" s="4" t="inlineStr">
        <is>
          <t>预制菜</t>
        </is>
      </c>
      <c r="B50" s="15" t="n">
        <v>436636.79</v>
      </c>
      <c r="C50" s="15" t="n">
        <v>238156.74</v>
      </c>
      <c r="D50" s="15" t="n">
        <v>512513.24</v>
      </c>
      <c r="E50" s="15" t="n">
        <v>131227.26</v>
      </c>
      <c r="F50" s="15" t="n">
        <v>277719.22</v>
      </c>
      <c r="G50" s="15" t="n">
        <v>791636.75</v>
      </c>
      <c r="H50" s="15" t="n">
        <v>2046309.47</v>
      </c>
      <c r="I50" s="15" t="n">
        <v>1184611.27</v>
      </c>
      <c r="J50" s="15" t="n">
        <v>918280.11</v>
      </c>
      <c r="K50" s="15" t="n">
        <v>24938.95</v>
      </c>
      <c r="L50" s="15" t="n">
        <v>366041.91</v>
      </c>
      <c r="M50" s="15" t="n">
        <v>1143059.4</v>
      </c>
      <c r="N50" s="15" t="n">
        <v>1321916.99</v>
      </c>
      <c r="O50" s="15" t="n">
        <v>518201.88</v>
      </c>
      <c r="P50" s="15" t="n">
        <v>497848.57</v>
      </c>
      <c r="Q50" s="15" t="n">
        <v>218265.89</v>
      </c>
      <c r="R50" s="15" t="n">
        <v>357186.53</v>
      </c>
      <c r="S50" s="15" t="n">
        <v>1947883.02</v>
      </c>
      <c r="T50" s="15" t="n">
        <v>360740.62</v>
      </c>
      <c r="U50" s="15" t="n">
        <v>305476.68</v>
      </c>
      <c r="V50" s="15" t="n">
        <v>598702.3</v>
      </c>
      <c r="W50" s="15" t="n">
        <v>161616.37</v>
      </c>
      <c r="X50" s="15" t="n">
        <v>-75802.22</v>
      </c>
      <c r="Y50" s="15" t="n">
        <v>157082.18</v>
      </c>
      <c r="Z50" s="15" t="n">
        <v>1493526.38</v>
      </c>
      <c r="AA50" s="15" t="n">
        <v>499943.03</v>
      </c>
      <c r="AB50" s="15" t="n">
        <v>357173.18</v>
      </c>
      <c r="AC50" s="15" t="n">
        <v>32760.94</v>
      </c>
      <c r="AD50" s="15" t="n">
        <v>95597.52</v>
      </c>
      <c r="AE50" s="15" t="n">
        <v>671285.5600000001</v>
      </c>
      <c r="AF50" s="15" t="n">
        <v>942585.14</v>
      </c>
      <c r="AG50" s="15" t="n">
        <v>77653.03999999999</v>
      </c>
      <c r="AH50" s="15" t="n">
        <v>732063.4</v>
      </c>
      <c r="AI50" s="15" t="n">
        <v>21453.52</v>
      </c>
      <c r="AJ50" s="15" t="n">
        <v>90499.58</v>
      </c>
      <c r="AK50" s="15" t="n">
        <v>633716.87</v>
      </c>
      <c r="AL50" s="15" t="n">
        <v>503015.9</v>
      </c>
      <c r="AM50" s="15" t="n">
        <v>630862.16</v>
      </c>
      <c r="AN50" s="15" t="n">
        <v>861131.62</v>
      </c>
      <c r="AO50" s="15" t="n">
        <v>186149.14</v>
      </c>
      <c r="AP50" s="15" t="n">
        <v>298946.03</v>
      </c>
      <c r="AQ50" s="15" t="n">
        <v>1962124.09</v>
      </c>
      <c r="AR50" s="15" t="n">
        <v>511687.38</v>
      </c>
      <c r="AS50" s="15" t="n">
        <v>374410.66</v>
      </c>
      <c r="AT50" s="15" t="n">
        <v>938359.14</v>
      </c>
      <c r="AU50" s="15" t="n">
        <v>228016.95</v>
      </c>
      <c r="AV50" s="15" t="n">
        <v>558560.08</v>
      </c>
      <c r="AW50" s="15" t="n">
        <v>1535485.04</v>
      </c>
      <c r="AX50" s="15" t="n">
        <v>873775.08</v>
      </c>
      <c r="AY50" s="15" t="n">
        <v>327202.17</v>
      </c>
      <c r="AZ50" s="15" t="n">
        <v>878509.09</v>
      </c>
      <c r="BA50" s="15" t="n">
        <v>52713.53</v>
      </c>
      <c r="BB50" s="15" t="n">
        <v>506628.69</v>
      </c>
      <c r="BC50" s="15" t="n">
        <v>1240563.14</v>
      </c>
      <c r="BD50" s="15" t="n">
        <v>1207146.51</v>
      </c>
      <c r="BE50" s="15" t="n">
        <v>1401072.6</v>
      </c>
      <c r="BF50" s="15" t="n">
        <v>822947.3</v>
      </c>
      <c r="BG50" s="15" t="n">
        <v>169283.8</v>
      </c>
      <c r="BH50" s="15" t="n">
        <v>-82884</v>
      </c>
      <c r="BI50" s="15" t="n">
        <v>816064.8</v>
      </c>
      <c r="BJ50" s="15" t="n">
        <v>2035853.54</v>
      </c>
      <c r="BK50" s="15" t="n">
        <v>770540.63</v>
      </c>
      <c r="BL50" s="15" t="n">
        <v>732933.72</v>
      </c>
      <c r="BM50" s="15" t="n">
        <v>34409.36</v>
      </c>
      <c r="BN50" s="15" t="n">
        <v>242838.46</v>
      </c>
      <c r="BO50" s="15" t="n">
        <v>40182.71</v>
      </c>
      <c r="BP50" s="15" t="n">
        <v>1250712.55</v>
      </c>
      <c r="BQ50" s="15" t="n">
        <v>748529.87</v>
      </c>
      <c r="BR50" s="15" t="n">
        <v>632913.88</v>
      </c>
      <c r="BS50" s="15" t="n">
        <v>160059.01</v>
      </c>
      <c r="BT50" s="15" t="n">
        <v>328610.23</v>
      </c>
      <c r="BU50" s="15" t="n">
        <v>1724745.61</v>
      </c>
      <c r="BV50" s="15" t="n">
        <v>408435.39</v>
      </c>
      <c r="BW50" s="15" t="n">
        <v>1061293.03</v>
      </c>
      <c r="BX50" s="15" t="n">
        <v>481331.78</v>
      </c>
      <c r="BY50" s="15" t="n">
        <v>51634.65</v>
      </c>
      <c r="BZ50" s="15" t="n">
        <v>624148.54</v>
      </c>
      <c r="CA50" s="15" t="n">
        <v>872849.73</v>
      </c>
      <c r="CB50" s="15" t="n">
        <v>166135.17</v>
      </c>
      <c r="CC50" s="15" t="n">
        <v>1399992.06</v>
      </c>
      <c r="CD50" s="15" t="n">
        <v>461099.88</v>
      </c>
      <c r="CE50" s="15" t="n">
        <v>147355.87</v>
      </c>
      <c r="CF50" s="15" t="n">
        <v>591011.49</v>
      </c>
      <c r="CG50" s="15" t="n">
        <v>1460480.7</v>
      </c>
      <c r="CH50" s="15" t="n">
        <v>2175716.45</v>
      </c>
      <c r="CI50" s="15" t="n">
        <v>1272949.17</v>
      </c>
      <c r="CJ50" s="15" t="n">
        <v>417795.85</v>
      </c>
      <c r="CK50" s="15" t="n">
        <v>144458.65</v>
      </c>
      <c r="CL50" s="15" t="n">
        <v>458744.67</v>
      </c>
      <c r="CM50" s="15" t="n">
        <v>1991705.91</v>
      </c>
      <c r="CN50" s="15" t="n">
        <v>1282949.78</v>
      </c>
      <c r="CO50" s="15" t="n">
        <v>509077.74</v>
      </c>
      <c r="CP50" s="15" t="n">
        <v>341626.92</v>
      </c>
      <c r="CQ50" s="15" t="n">
        <v>7728.12</v>
      </c>
      <c r="CR50" s="15" t="n">
        <v>647527.61</v>
      </c>
      <c r="CS50" s="15" t="n">
        <v>148287.61</v>
      </c>
      <c r="CT50" s="15" t="n">
        <v>1624336.45</v>
      </c>
      <c r="CU50" s="15" t="n">
        <v>437838.85</v>
      </c>
      <c r="CV50" s="15" t="n">
        <v>370161.84</v>
      </c>
      <c r="CW50" s="15" t="n">
        <v>16360.48</v>
      </c>
      <c r="CX50" s="15" t="n">
        <v>498617.96</v>
      </c>
      <c r="CY50" s="15" t="n">
        <v>1217178.74</v>
      </c>
      <c r="CZ50" s="15" t="n">
        <v>434841.2</v>
      </c>
      <c r="DA50" s="15" t="n">
        <v>926402.1</v>
      </c>
      <c r="DB50" s="15" t="n">
        <v>973287.09</v>
      </c>
      <c r="DC50" s="15" t="n">
        <v>247449.03</v>
      </c>
      <c r="DD50" s="15" t="n">
        <v>557382.9399999999</v>
      </c>
      <c r="DE50" s="15" t="n">
        <v>93316.84</v>
      </c>
      <c r="DF50" s="15" t="n">
        <v>250140.37</v>
      </c>
      <c r="DG50" s="15" t="n">
        <v>1395747.47</v>
      </c>
      <c r="DH50" s="15" t="n">
        <v>616032.38</v>
      </c>
      <c r="DI50" s="15" t="n">
        <v>179114.22</v>
      </c>
      <c r="DJ50" s="15" t="n">
        <v>486275.66</v>
      </c>
      <c r="DK50" s="15" t="n">
        <v>329227.73</v>
      </c>
      <c r="DL50" s="15" t="n">
        <v>921446.39</v>
      </c>
      <c r="DM50" s="15" t="n">
        <v>689499.45</v>
      </c>
      <c r="DN50" s="15" t="n">
        <v>166755.24</v>
      </c>
      <c r="DO50" s="15" t="n">
        <v>75964.03</v>
      </c>
      <c r="DP50" s="15" t="n">
        <v>101961.52</v>
      </c>
    </row>
    <row r="51">
      <c r="A51" s="4" t="inlineStr">
        <is>
          <t>其他产品A</t>
        </is>
      </c>
      <c r="B51" s="15" t="n">
        <v>864787.53</v>
      </c>
      <c r="C51" s="15" t="n">
        <v>477305.43</v>
      </c>
      <c r="D51" s="15" t="n">
        <v>87625.31</v>
      </c>
      <c r="E51" s="15" t="n">
        <v>91051.03999999999</v>
      </c>
      <c r="F51" s="15" t="n">
        <v>324893.91</v>
      </c>
      <c r="G51" s="15" t="n">
        <v>172668</v>
      </c>
      <c r="H51" s="15" t="n">
        <v>1133087.95</v>
      </c>
      <c r="I51" s="15" t="n">
        <v>328846.22</v>
      </c>
      <c r="J51" s="15" t="n">
        <v>555634.14</v>
      </c>
      <c r="K51" s="15" t="n">
        <v>193808.41</v>
      </c>
      <c r="L51" s="15" t="n">
        <v>516326.71</v>
      </c>
      <c r="M51" s="15" t="n">
        <v>1585334.16</v>
      </c>
      <c r="N51" s="15" t="n">
        <v>453246.58</v>
      </c>
      <c r="O51" s="15" t="n">
        <v>1208273.69</v>
      </c>
      <c r="P51" s="15" t="n">
        <v>322574.15</v>
      </c>
      <c r="Q51" s="15" t="n">
        <v>27187.37</v>
      </c>
      <c r="R51" s="15" t="n">
        <v>647380.04</v>
      </c>
      <c r="S51" s="15" t="n">
        <v>1581587.6</v>
      </c>
      <c r="T51" s="15" t="n">
        <v>2126237.75</v>
      </c>
      <c r="U51" s="15" t="n">
        <v>706719.13</v>
      </c>
      <c r="V51" s="15" t="n">
        <v>43955.98</v>
      </c>
      <c r="W51" s="15" t="n">
        <v>128975.08</v>
      </c>
      <c r="X51" s="15" t="n">
        <v>325692.13</v>
      </c>
      <c r="Y51" s="15" t="n">
        <v>54006.05</v>
      </c>
      <c r="Z51" s="15" t="n">
        <v>856860.51</v>
      </c>
      <c r="AA51" s="15" t="n">
        <v>493672.38</v>
      </c>
      <c r="AB51" s="15" t="n">
        <v>208476.74</v>
      </c>
      <c r="AC51" s="15" t="n">
        <v>139901.98</v>
      </c>
      <c r="AD51" s="15" t="n">
        <v>-98113.13</v>
      </c>
      <c r="AE51" s="15" t="n">
        <v>423761.36</v>
      </c>
      <c r="AF51" s="15" t="n">
        <v>1010111.5</v>
      </c>
      <c r="AG51" s="15" t="n">
        <v>939323.85</v>
      </c>
      <c r="AH51" s="15" t="n">
        <v>482446.6</v>
      </c>
      <c r="AI51" s="15" t="n">
        <v>112157.78</v>
      </c>
      <c r="AJ51" s="15" t="n">
        <v>84386.35000000001</v>
      </c>
      <c r="AK51" s="15" t="n">
        <v>1253658.78</v>
      </c>
      <c r="AL51" s="15" t="n">
        <v>958846.92</v>
      </c>
      <c r="AM51" s="15" t="n">
        <v>1161052.54</v>
      </c>
      <c r="AN51" s="15" t="n">
        <v>743352.33</v>
      </c>
      <c r="AO51" s="15" t="n">
        <v>243567.66</v>
      </c>
      <c r="AP51" s="15" t="n">
        <v>196820.6</v>
      </c>
      <c r="AQ51" s="15" t="n">
        <v>1603108.31</v>
      </c>
      <c r="AR51" s="15" t="n">
        <v>2137535.81</v>
      </c>
      <c r="AS51" s="15" t="n">
        <v>630856.61</v>
      </c>
      <c r="AT51" s="15" t="n">
        <v>421253.78</v>
      </c>
      <c r="AU51" s="15" t="n">
        <v>49509.8</v>
      </c>
      <c r="AV51" s="15" t="n">
        <v>562559.74</v>
      </c>
      <c r="AW51" s="15" t="n">
        <v>1088069.43</v>
      </c>
      <c r="AX51" s="15" t="n">
        <v>828051.5699999999</v>
      </c>
      <c r="AY51" s="15" t="n">
        <v>834838.85</v>
      </c>
      <c r="AZ51" s="15" t="n">
        <v>557262.75</v>
      </c>
      <c r="BA51" s="15" t="n">
        <v>196439.93</v>
      </c>
      <c r="BB51" s="15" t="n">
        <v>603752.38</v>
      </c>
      <c r="BC51" s="15" t="n">
        <v>398996.07</v>
      </c>
      <c r="BD51" s="15" t="n">
        <v>2169378.82</v>
      </c>
      <c r="BE51" s="15" t="n">
        <v>795419.33</v>
      </c>
      <c r="BF51" s="15" t="n">
        <v>340263.11</v>
      </c>
      <c r="BG51" s="15" t="n">
        <v>115199.91</v>
      </c>
      <c r="BH51" s="15" t="n">
        <v>645807.59</v>
      </c>
      <c r="BI51" s="15" t="n">
        <v>1131222.08</v>
      </c>
      <c r="BJ51" s="15" t="n">
        <v>431200.83</v>
      </c>
      <c r="BK51" s="15" t="n">
        <v>454514.58</v>
      </c>
      <c r="BL51" s="15" t="n">
        <v>960794.8100000001</v>
      </c>
      <c r="BM51" s="15" t="n">
        <v>145508.61</v>
      </c>
      <c r="BN51" s="15" t="n">
        <v>163652.87</v>
      </c>
      <c r="BO51" s="15" t="n">
        <v>476481.89</v>
      </c>
      <c r="BP51" s="15" t="n">
        <v>303391.14</v>
      </c>
      <c r="BQ51" s="15" t="n">
        <v>384760.74</v>
      </c>
      <c r="BR51" s="15" t="n">
        <v>872088.12</v>
      </c>
      <c r="BS51" s="15" t="n">
        <v>109395.42</v>
      </c>
      <c r="BT51" s="15" t="n">
        <v>63383.71</v>
      </c>
      <c r="BU51" s="15" t="n">
        <v>109266.86</v>
      </c>
      <c r="BV51" s="15" t="n">
        <v>2395611.05</v>
      </c>
      <c r="BW51" s="15" t="n">
        <v>576809.09</v>
      </c>
      <c r="BX51" s="15" t="n">
        <v>223593.31</v>
      </c>
      <c r="BY51" s="15" t="n">
        <v>104959.28</v>
      </c>
      <c r="BZ51" s="15" t="n">
        <v>121683.59</v>
      </c>
      <c r="CA51" s="15" t="n">
        <v>1845803.55</v>
      </c>
      <c r="CB51" s="15" t="n">
        <v>550262.11</v>
      </c>
      <c r="CC51" s="15" t="n">
        <v>1294718.65</v>
      </c>
      <c r="CD51" s="15" t="n">
        <v>780580.1</v>
      </c>
      <c r="CE51" s="15" t="n">
        <v>191924.95</v>
      </c>
      <c r="CF51" s="15" t="n">
        <v>689535.08</v>
      </c>
      <c r="CG51" s="15" t="n">
        <v>869834.16</v>
      </c>
      <c r="CH51" s="15" t="n">
        <v>446613.86</v>
      </c>
      <c r="CI51" s="15" t="n">
        <v>817523.41</v>
      </c>
      <c r="CJ51" s="15" t="n">
        <v>431311.13</v>
      </c>
      <c r="CK51" s="15" t="n">
        <v>168343.57</v>
      </c>
      <c r="CL51" s="15" t="n">
        <v>-60961.29</v>
      </c>
      <c r="CM51" s="15" t="n">
        <v>822217.49</v>
      </c>
      <c r="CN51" s="15" t="n">
        <v>1227834.59</v>
      </c>
      <c r="CO51" s="15" t="n">
        <v>1493652.94</v>
      </c>
      <c r="CP51" s="15" t="n">
        <v>356397.07</v>
      </c>
      <c r="CQ51" s="15" t="n">
        <v>92152.98</v>
      </c>
      <c r="CR51" s="15" t="n">
        <v>566962.72</v>
      </c>
      <c r="CS51" s="15" t="n">
        <v>1480625.85</v>
      </c>
      <c r="CT51" s="15" t="n">
        <v>1895839.74</v>
      </c>
      <c r="CU51" s="15" t="n">
        <v>510902</v>
      </c>
      <c r="CV51" s="15" t="n">
        <v>109478.66</v>
      </c>
      <c r="CW51" s="15" t="n">
        <v>5736.32</v>
      </c>
      <c r="CX51" s="15" t="n">
        <v>701925.58</v>
      </c>
      <c r="CY51" s="15" t="n">
        <v>1524140.91</v>
      </c>
      <c r="CZ51" s="15" t="n">
        <v>1689267.91</v>
      </c>
      <c r="DA51" s="15" t="n">
        <v>679620.25</v>
      </c>
      <c r="DB51" s="15" t="n">
        <v>901201.04</v>
      </c>
      <c r="DC51" s="15" t="n">
        <v>37055.46</v>
      </c>
      <c r="DD51" s="15" t="n">
        <v>730637.53</v>
      </c>
      <c r="DE51" s="15" t="n">
        <v>615581.62</v>
      </c>
      <c r="DF51" s="15" t="n">
        <v>488146.99</v>
      </c>
      <c r="DG51" s="15" t="n">
        <v>1042015.27</v>
      </c>
      <c r="DH51" s="15" t="n">
        <v>805039.8199999999</v>
      </c>
      <c r="DI51" s="15" t="n">
        <v>135632.38</v>
      </c>
      <c r="DJ51" s="15" t="n">
        <v>422622.89</v>
      </c>
      <c r="DK51" s="15" t="n">
        <v>1024299.13</v>
      </c>
      <c r="DL51" s="15" t="n">
        <v>208495.07</v>
      </c>
      <c r="DM51" s="15" t="n">
        <v>953428.5</v>
      </c>
      <c r="DN51" s="15" t="n">
        <v>912825.64</v>
      </c>
      <c r="DO51" s="15" t="n">
        <v>202451.46</v>
      </c>
      <c r="DP51" s="15" t="n">
        <v>349308.73</v>
      </c>
    </row>
    <row r="52">
      <c r="A52" s="4" t="inlineStr">
        <is>
          <t>其他产品B</t>
        </is>
      </c>
      <c r="B52" s="15" t="n">
        <v>420559.19</v>
      </c>
      <c r="C52" s="15" t="n">
        <v>533640</v>
      </c>
      <c r="D52" s="15" t="n">
        <v>508812.17</v>
      </c>
      <c r="E52" s="15" t="n">
        <v>190237.6</v>
      </c>
      <c r="F52" s="15" t="n">
        <v>566558.73</v>
      </c>
      <c r="G52" s="15" t="n">
        <v>1273395.93</v>
      </c>
      <c r="H52" s="15" t="n">
        <v>163839.34</v>
      </c>
      <c r="I52" s="15" t="n">
        <v>61281.83</v>
      </c>
      <c r="J52" s="15" t="n">
        <v>295248.74</v>
      </c>
      <c r="K52" s="15" t="n">
        <v>32964.65</v>
      </c>
      <c r="L52" s="15" t="n">
        <v>574025.29</v>
      </c>
      <c r="M52" s="15" t="n">
        <v>207868.39</v>
      </c>
      <c r="N52" s="15" t="n">
        <v>195204.64</v>
      </c>
      <c r="O52" s="15" t="n">
        <v>716365.2</v>
      </c>
      <c r="P52" s="15" t="n">
        <v>950481.29</v>
      </c>
      <c r="Q52" s="15" t="n">
        <v>191867.74</v>
      </c>
      <c r="R52" s="15" t="n">
        <v>392875.55</v>
      </c>
      <c r="S52" s="15" t="n">
        <v>269207.78</v>
      </c>
      <c r="T52" s="15" t="n">
        <v>978489</v>
      </c>
      <c r="U52" s="15" t="n">
        <v>798805.51</v>
      </c>
      <c r="V52" s="15" t="n">
        <v>127693.74</v>
      </c>
      <c r="W52" s="15" t="n">
        <v>192799.05</v>
      </c>
      <c r="X52" s="15" t="n">
        <v>598817.15</v>
      </c>
      <c r="Y52" s="15" t="n">
        <v>208541.44</v>
      </c>
      <c r="Z52" s="15" t="n">
        <v>1606269.4</v>
      </c>
      <c r="AA52" s="15" t="n">
        <v>955639.02</v>
      </c>
      <c r="AB52" s="15" t="n">
        <v>969514.79</v>
      </c>
      <c r="AC52" s="15" t="n">
        <v>26886.46</v>
      </c>
      <c r="AD52" s="15" t="n">
        <v>450718.19</v>
      </c>
      <c r="AE52" s="15" t="n">
        <v>72625.99000000001</v>
      </c>
      <c r="AF52" s="15" t="n">
        <v>724956.83</v>
      </c>
      <c r="AG52" s="15" t="n">
        <v>1005440.65</v>
      </c>
      <c r="AH52" s="15" t="n">
        <v>362730.96</v>
      </c>
      <c r="AI52" s="15" t="n">
        <v>15312.59</v>
      </c>
      <c r="AJ52" s="15" t="n">
        <v>640929.0600000001</v>
      </c>
      <c r="AK52" s="15" t="n">
        <v>651303.0699999999</v>
      </c>
      <c r="AL52" s="15" t="n">
        <v>1402389.91</v>
      </c>
      <c r="AM52" s="15" t="n">
        <v>79857.7</v>
      </c>
      <c r="AN52" s="15" t="n">
        <v>644314.24</v>
      </c>
      <c r="AO52" s="15" t="n">
        <v>148854.44</v>
      </c>
      <c r="AP52" s="15" t="n">
        <v>10604.61</v>
      </c>
      <c r="AQ52" s="15" t="n">
        <v>976013.0699999999</v>
      </c>
      <c r="AR52" s="15" t="n">
        <v>1045037.39</v>
      </c>
      <c r="AS52" s="15" t="n">
        <v>1340999.05</v>
      </c>
      <c r="AT52" s="15" t="n">
        <v>626740.84</v>
      </c>
      <c r="AU52" s="15" t="n">
        <v>14098.75</v>
      </c>
      <c r="AV52" s="15" t="n">
        <v>453194.96</v>
      </c>
      <c r="AW52" s="15" t="n">
        <v>647931.29</v>
      </c>
      <c r="AX52" s="15" t="n">
        <v>1984600.72</v>
      </c>
      <c r="AY52" s="15" t="n">
        <v>947008.01</v>
      </c>
      <c r="AZ52" s="15" t="n">
        <v>338713.22</v>
      </c>
      <c r="BA52" s="15" t="n">
        <v>164035.47</v>
      </c>
      <c r="BB52" s="15" t="n">
        <v>528236.6800000001</v>
      </c>
      <c r="BC52" s="15" t="n">
        <v>1710507.61</v>
      </c>
      <c r="BD52" s="15" t="n">
        <v>1641217.66</v>
      </c>
      <c r="BE52" s="15" t="n">
        <v>774127.54</v>
      </c>
      <c r="BF52" s="15" t="n">
        <v>50312.95</v>
      </c>
      <c r="BG52" s="15" t="n">
        <v>171047.76</v>
      </c>
      <c r="BH52" s="15" t="n">
        <v>570233.96</v>
      </c>
      <c r="BI52" s="15" t="n">
        <v>811733.29</v>
      </c>
      <c r="BJ52" s="15" t="n">
        <v>1427935.25</v>
      </c>
      <c r="BK52" s="15" t="n">
        <v>623071.39</v>
      </c>
      <c r="BL52" s="15" t="n">
        <v>492366.16</v>
      </c>
      <c r="BM52" s="15" t="n">
        <v>218352.78</v>
      </c>
      <c r="BN52" s="15" t="n">
        <v>158741.16</v>
      </c>
      <c r="BO52" s="15" t="n">
        <v>677406.6</v>
      </c>
      <c r="BP52" s="15" t="n">
        <v>1299468.52</v>
      </c>
      <c r="BQ52" s="15" t="n">
        <v>1123386.45</v>
      </c>
      <c r="BR52" s="15" t="n">
        <v>489668.16</v>
      </c>
      <c r="BS52" s="15" t="n">
        <v>133374.52</v>
      </c>
      <c r="BT52" s="15" t="n">
        <v>87791.48</v>
      </c>
      <c r="BU52" s="15" t="n">
        <v>724977.35</v>
      </c>
      <c r="BV52" s="15" t="n">
        <v>1966752.01</v>
      </c>
      <c r="BW52" s="15" t="n">
        <v>1166004.5</v>
      </c>
      <c r="BX52" s="15" t="n">
        <v>872466.1800000001</v>
      </c>
      <c r="BY52" s="15" t="n">
        <v>168631.3</v>
      </c>
      <c r="BZ52" s="15" t="n">
        <v>121539.52</v>
      </c>
      <c r="CA52" s="15" t="n">
        <v>1307931.53</v>
      </c>
      <c r="CB52" s="15" t="n">
        <v>2186320.98</v>
      </c>
      <c r="CC52" s="15" t="n">
        <v>930484.62</v>
      </c>
      <c r="CD52" s="15" t="n">
        <v>831503.76</v>
      </c>
      <c r="CE52" s="15" t="n">
        <v>104708.04</v>
      </c>
      <c r="CF52" s="15" t="n">
        <v>496995.92</v>
      </c>
      <c r="CG52" s="15" t="n">
        <v>1355539.27</v>
      </c>
      <c r="CH52" s="15" t="n">
        <v>136283.99</v>
      </c>
      <c r="CI52" s="15" t="n">
        <v>89721.10000000001</v>
      </c>
      <c r="CJ52" s="15" t="n">
        <v>44517.58</v>
      </c>
      <c r="CK52" s="15" t="n">
        <v>92456.66</v>
      </c>
      <c r="CL52" s="15" t="n">
        <v>402943.07</v>
      </c>
      <c r="CM52" s="15" t="n">
        <v>1898309.25</v>
      </c>
      <c r="CN52" s="15" t="n">
        <v>1394493.81</v>
      </c>
      <c r="CO52" s="15" t="n">
        <v>431641.07</v>
      </c>
      <c r="CP52" s="15" t="n">
        <v>973165.77</v>
      </c>
      <c r="CQ52" s="15" t="n">
        <v>226038.68</v>
      </c>
      <c r="CR52" s="15" t="n">
        <v>367616.57</v>
      </c>
      <c r="CS52" s="15" t="n">
        <v>1530784.54</v>
      </c>
      <c r="CT52" s="15" t="n">
        <v>2007629.44</v>
      </c>
      <c r="CU52" s="15" t="n">
        <v>643164.83</v>
      </c>
      <c r="CV52" s="15" t="n">
        <v>635646.67</v>
      </c>
      <c r="CW52" s="15" t="n">
        <v>211331.37</v>
      </c>
      <c r="CX52" s="15" t="n">
        <v>-11183.68</v>
      </c>
      <c r="CY52" s="15" t="n">
        <v>60081.34</v>
      </c>
      <c r="CZ52" s="15" t="n">
        <v>1459616.02</v>
      </c>
      <c r="DA52" s="15" t="n">
        <v>190949.57</v>
      </c>
      <c r="DB52" s="15" t="n">
        <v>443154.82</v>
      </c>
      <c r="DC52" s="15" t="n">
        <v>143334.08</v>
      </c>
      <c r="DD52" s="15" t="n">
        <v>326667.51</v>
      </c>
      <c r="DE52" s="15" t="n">
        <v>917721.52</v>
      </c>
      <c r="DF52" s="15" t="n">
        <v>230114.62</v>
      </c>
      <c r="DG52" s="15" t="n">
        <v>1242213.2</v>
      </c>
      <c r="DH52" s="15" t="n">
        <v>952884.22</v>
      </c>
      <c r="DI52" s="15" t="n">
        <v>127765.86</v>
      </c>
      <c r="DJ52" s="15" t="n">
        <v>-1649.69</v>
      </c>
      <c r="DK52" s="15" t="n">
        <v>820079.96</v>
      </c>
      <c r="DL52" s="15" t="n">
        <v>1045399.15</v>
      </c>
      <c r="DM52" s="15" t="n">
        <v>813957.08</v>
      </c>
      <c r="DN52" s="15" t="n">
        <v>565341.04</v>
      </c>
      <c r="DO52" s="15" t="n">
        <v>59605.18</v>
      </c>
      <c r="DP52" s="15" t="n">
        <v>-84854.5</v>
      </c>
    </row>
    <row r="53">
      <c r="A53" s="4" t="inlineStr">
        <is>
          <t>其他产品C</t>
        </is>
      </c>
      <c r="B53" s="15" t="n">
        <v>2151930.18</v>
      </c>
      <c r="C53" s="15" t="n">
        <v>831993.21</v>
      </c>
      <c r="D53" s="15" t="n">
        <v>385930.57</v>
      </c>
      <c r="E53" s="15" t="n">
        <v>31602.56</v>
      </c>
      <c r="F53" s="15" t="n">
        <v>53538.14</v>
      </c>
      <c r="G53" s="15" t="n">
        <v>228023.07</v>
      </c>
      <c r="H53" s="15" t="n">
        <v>183890.31</v>
      </c>
      <c r="I53" s="15" t="n">
        <v>590102.61</v>
      </c>
      <c r="J53" s="15" t="n">
        <v>332259.82</v>
      </c>
      <c r="K53" s="15" t="n">
        <v>232232.65</v>
      </c>
      <c r="L53" s="15" t="n">
        <v>227296.99</v>
      </c>
      <c r="M53" s="15" t="n">
        <v>340790.8</v>
      </c>
      <c r="N53" s="15" t="n">
        <v>1126021.36</v>
      </c>
      <c r="O53" s="15" t="n">
        <v>194202.95</v>
      </c>
      <c r="P53" s="15" t="n">
        <v>867420.37</v>
      </c>
      <c r="Q53" s="15" t="n">
        <v>58663.8</v>
      </c>
      <c r="R53" s="15" t="n">
        <v>-8195.75</v>
      </c>
      <c r="S53" s="15" t="n">
        <v>905095.26</v>
      </c>
      <c r="T53" s="15" t="n">
        <v>1504084.64</v>
      </c>
      <c r="U53" s="15" t="n">
        <v>695069.62</v>
      </c>
      <c r="V53" s="15" t="n">
        <v>180493.17</v>
      </c>
      <c r="W53" s="15" t="n">
        <v>217398</v>
      </c>
      <c r="X53" s="15" t="n">
        <v>568637.3100000001</v>
      </c>
      <c r="Y53" s="15" t="n">
        <v>1890424.05</v>
      </c>
      <c r="Z53" s="15" t="n">
        <v>1480808.38</v>
      </c>
      <c r="AA53" s="15" t="n">
        <v>1393985.57</v>
      </c>
      <c r="AB53" s="15" t="n">
        <v>793862.4</v>
      </c>
      <c r="AC53" s="15" t="n">
        <v>161524.53</v>
      </c>
      <c r="AD53" s="15" t="n">
        <v>700545.4300000001</v>
      </c>
      <c r="AE53" s="15" t="n">
        <v>997033.72</v>
      </c>
      <c r="AF53" s="15" t="n">
        <v>941456.9</v>
      </c>
      <c r="AG53" s="15" t="n">
        <v>846398.29</v>
      </c>
      <c r="AH53" s="15" t="n">
        <v>634561.33</v>
      </c>
      <c r="AI53" s="15" t="n">
        <v>163652.8</v>
      </c>
      <c r="AJ53" s="15" t="n">
        <v>424360.98</v>
      </c>
      <c r="AK53" s="15" t="n">
        <v>924650.87</v>
      </c>
      <c r="AL53" s="15" t="n">
        <v>1192305.9</v>
      </c>
      <c r="AM53" s="15" t="n">
        <v>370364</v>
      </c>
      <c r="AN53" s="15" t="n">
        <v>228266.17</v>
      </c>
      <c r="AO53" s="15" t="n">
        <v>190818.93</v>
      </c>
      <c r="AP53" s="15" t="n">
        <v>557905.55</v>
      </c>
      <c r="AQ53" s="15" t="n">
        <v>224333.5</v>
      </c>
      <c r="AR53" s="15" t="n">
        <v>1089539.66</v>
      </c>
      <c r="AS53" s="15" t="n">
        <v>1343895.21</v>
      </c>
      <c r="AT53" s="15" t="n">
        <v>180764.76</v>
      </c>
      <c r="AU53" s="15" t="n">
        <v>234766.58</v>
      </c>
      <c r="AV53" s="15" t="n">
        <v>602931.88</v>
      </c>
      <c r="AW53" s="15" t="n">
        <v>559509.23</v>
      </c>
      <c r="AX53" s="15" t="n">
        <v>2275166.12</v>
      </c>
      <c r="AY53" s="15" t="n">
        <v>401136.58</v>
      </c>
      <c r="AZ53" s="15" t="n">
        <v>96687.84</v>
      </c>
      <c r="BA53" s="15" t="n">
        <v>107261.19</v>
      </c>
      <c r="BB53" s="15" t="n">
        <v>-68641.89999999999</v>
      </c>
      <c r="BC53" s="15" t="n">
        <v>559221.8</v>
      </c>
      <c r="BD53" s="15" t="n">
        <v>1926850.15</v>
      </c>
      <c r="BE53" s="15" t="n">
        <v>573869.23</v>
      </c>
      <c r="BF53" s="15" t="n">
        <v>435838.95</v>
      </c>
      <c r="BG53" s="15" t="n">
        <v>74562.58</v>
      </c>
      <c r="BH53" s="15" t="n">
        <v>193251.37</v>
      </c>
      <c r="BI53" s="15" t="n">
        <v>1332811.94</v>
      </c>
      <c r="BJ53" s="15" t="n">
        <v>1862648.06</v>
      </c>
      <c r="BK53" s="15" t="n">
        <v>240848.51</v>
      </c>
      <c r="BL53" s="15" t="n">
        <v>903896.78</v>
      </c>
      <c r="BM53" s="15" t="n">
        <v>106451.42</v>
      </c>
      <c r="BN53" s="15" t="n">
        <v>406658.86</v>
      </c>
      <c r="BO53" s="15" t="n">
        <v>1467664.66</v>
      </c>
      <c r="BP53" s="15" t="n">
        <v>954320.79</v>
      </c>
      <c r="BQ53" s="15" t="n">
        <v>156877.35</v>
      </c>
      <c r="BR53" s="15" t="n">
        <v>676435.51</v>
      </c>
      <c r="BS53" s="15" t="n">
        <v>145472.43</v>
      </c>
      <c r="BT53" s="15" t="n">
        <v>650953.54</v>
      </c>
      <c r="BU53" s="15" t="n">
        <v>1677039.31</v>
      </c>
      <c r="BV53" s="15" t="n">
        <v>2333465.55</v>
      </c>
      <c r="BW53" s="15" t="n">
        <v>1232167.71</v>
      </c>
      <c r="BX53" s="15" t="n">
        <v>562127.87</v>
      </c>
      <c r="BY53" s="15" t="n">
        <v>67301.17</v>
      </c>
      <c r="BZ53" s="15" t="n">
        <v>330084.24</v>
      </c>
      <c r="CA53" s="15" t="n">
        <v>1663842.71</v>
      </c>
      <c r="CB53" s="15" t="n">
        <v>380840.59</v>
      </c>
      <c r="CC53" s="15" t="n">
        <v>916322.39</v>
      </c>
      <c r="CD53" s="15" t="n">
        <v>812478.67</v>
      </c>
      <c r="CE53" s="15" t="n">
        <v>202953.73</v>
      </c>
      <c r="CF53" s="15" t="n">
        <v>277607.25</v>
      </c>
      <c r="CG53" s="15" t="n">
        <v>1204689.6</v>
      </c>
      <c r="CH53" s="15" t="n">
        <v>2330723.57</v>
      </c>
      <c r="CI53" s="15" t="n">
        <v>1111835.76</v>
      </c>
      <c r="CJ53" s="15" t="n">
        <v>319333.8</v>
      </c>
      <c r="CK53" s="15" t="n">
        <v>47536.72</v>
      </c>
      <c r="CL53" s="15" t="n">
        <v>303939.11</v>
      </c>
      <c r="CM53" s="15" t="n">
        <v>857115.84</v>
      </c>
      <c r="CN53" s="15" t="n">
        <v>1777332.28</v>
      </c>
      <c r="CO53" s="15" t="n">
        <v>744188.6899999999</v>
      </c>
      <c r="CP53" s="15" t="n">
        <v>663296.8199999999</v>
      </c>
      <c r="CQ53" s="15" t="n">
        <v>34660.97</v>
      </c>
      <c r="CR53" s="15" t="n">
        <v>271074.5</v>
      </c>
      <c r="CS53" s="15" t="n">
        <v>1695921.69</v>
      </c>
      <c r="CT53" s="15" t="n">
        <v>2239189.42</v>
      </c>
      <c r="CU53" s="15" t="n">
        <v>35000.88</v>
      </c>
      <c r="CV53" s="15" t="n">
        <v>178653.39</v>
      </c>
      <c r="CW53" s="15" t="n">
        <v>174978.82</v>
      </c>
      <c r="CX53" s="15" t="n">
        <v>61784.92</v>
      </c>
      <c r="CY53" s="15" t="n">
        <v>414912.19</v>
      </c>
      <c r="CZ53" s="15" t="n">
        <v>429560.06</v>
      </c>
      <c r="DA53" s="15" t="n">
        <v>549235.97</v>
      </c>
      <c r="DB53" s="15" t="n">
        <v>391533.5</v>
      </c>
      <c r="DC53" s="15" t="n">
        <v>141461.71</v>
      </c>
      <c r="DD53" s="15" t="n">
        <v>21871.62</v>
      </c>
      <c r="DE53" s="15" t="n">
        <v>1891528.53</v>
      </c>
      <c r="DF53" s="15" t="n">
        <v>1813687.49</v>
      </c>
      <c r="DG53" s="15" t="n">
        <v>1251749.12</v>
      </c>
      <c r="DH53" s="15" t="n">
        <v>215743.53</v>
      </c>
      <c r="DI53" s="15" t="n">
        <v>67678.64</v>
      </c>
      <c r="DJ53" s="15" t="n">
        <v>4448.86</v>
      </c>
      <c r="DK53" s="15" t="n">
        <v>1388344.48</v>
      </c>
      <c r="DL53" s="15" t="n">
        <v>894459.9</v>
      </c>
      <c r="DM53" s="15" t="n">
        <v>1268424.8</v>
      </c>
      <c r="DN53" s="15" t="n">
        <v>579883.1</v>
      </c>
      <c r="DO53" s="15" t="n">
        <v>91135.21000000001</v>
      </c>
      <c r="DP53" s="15" t="n">
        <v>690273.2</v>
      </c>
    </row>
  </sheetData>
  <mergeCells count="23">
    <mergeCell ref="B2:G2"/>
    <mergeCell ref="N2:S2"/>
    <mergeCell ref="AX2:BC2"/>
    <mergeCell ref="BD2:BI2"/>
    <mergeCell ref="BP2:BU2"/>
    <mergeCell ref="CZ2:DE2"/>
    <mergeCell ref="BJ2:BO2"/>
    <mergeCell ref="B1:Y1"/>
    <mergeCell ref="H2:M2"/>
    <mergeCell ref="Z2:AE2"/>
    <mergeCell ref="T2:Y2"/>
    <mergeCell ref="AF2:AK2"/>
    <mergeCell ref="BV2:CA2"/>
    <mergeCell ref="CH2:CM2"/>
    <mergeCell ref="AR2:AW2"/>
    <mergeCell ref="CT2:CY2"/>
    <mergeCell ref="Z1:AW1"/>
    <mergeCell ref="DF2:DK2"/>
    <mergeCell ref="AL2:AQ2"/>
    <mergeCell ref="CB2:CG2"/>
    <mergeCell ref="CN2:CS2"/>
    <mergeCell ref="AX1:BU1"/>
    <mergeCell ref="BV1:C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产品名称</t>
        </is>
      </c>
      <c r="B1" s="2" t="inlineStr">
        <is>
          <t>销售额</t>
        </is>
      </c>
      <c r="C1" s="2" t="inlineStr">
        <is>
          <t>利润率</t>
        </is>
      </c>
      <c r="D1" s="2" t="inlineStr">
        <is>
          <t>备注</t>
        </is>
      </c>
      <c r="E1" s="2" t="inlineStr">
        <is>
          <t>月份数据</t>
        </is>
      </c>
      <c r="F1" s="2" t="inlineStr">
        <is>
          <t>分类评分</t>
        </is>
      </c>
    </row>
    <row r="2">
      <c r="A2" s="4" t="inlineStr">
        <is>
          <t>中式汤底</t>
        </is>
      </c>
      <c r="B2" s="15" t="n">
        <v>873964.7</v>
      </c>
      <c r="C2" s="25" t="n">
        <v>0.2902</v>
      </c>
      <c r="D2" s="4" t="inlineStr">
        <is>
          <t>超预期</t>
        </is>
      </c>
      <c r="E2" s="3" t="inlineStr">
        <is>
          <t>1月</t>
        </is>
      </c>
      <c r="F2" s="4" t="n">
        <v>94.7</v>
      </c>
    </row>
    <row r="3">
      <c r="A3" s="4" t="inlineStr">
        <is>
          <t>酱料</t>
        </is>
      </c>
      <c r="B3" s="15" t="n">
        <v>355786.75</v>
      </c>
      <c r="C3" s="25" t="n">
        <v>0.1782</v>
      </c>
      <c r="D3" s="4" t="inlineStr">
        <is>
          <t>促销期</t>
        </is>
      </c>
      <c r="E3" s="3" t="inlineStr">
        <is>
          <t>2月</t>
        </is>
      </c>
      <c r="F3" s="4" t="n">
        <v>80.09999999999999</v>
      </c>
    </row>
    <row r="4">
      <c r="A4" s="4" t="inlineStr">
        <is>
          <t>川味底料</t>
        </is>
      </c>
      <c r="B4" s="15" t="n">
        <v>85214.92999999999</v>
      </c>
      <c r="C4" s="25" t="n">
        <v>0.409</v>
      </c>
      <c r="D4" s="4" t="inlineStr">
        <is>
          <t>促销期</t>
        </is>
      </c>
      <c r="E4" s="3" t="inlineStr">
        <is>
          <t>3月</t>
        </is>
      </c>
      <c r="F4" s="4" t="n">
        <v>96.90000000000001</v>
      </c>
    </row>
    <row r="5">
      <c r="A5" s="4" t="inlineStr">
        <is>
          <t>调味汁</t>
        </is>
      </c>
      <c r="B5" s="15" t="n">
        <v>704695.67</v>
      </c>
      <c r="C5" s="25" t="n">
        <v>0.2086</v>
      </c>
      <c r="D5" s="4" t="inlineStr">
        <is>
          <t>新产品</t>
        </is>
      </c>
      <c r="E5" s="3" t="inlineStr">
        <is>
          <t>4月</t>
        </is>
      </c>
      <c r="F5" s="4" t="n">
        <v>62.9</v>
      </c>
    </row>
    <row r="6">
      <c r="A6" s="4" t="inlineStr">
        <is>
          <t>复合调味粉</t>
        </is>
      </c>
      <c r="B6" s="15" t="n">
        <v>406509.31</v>
      </c>
      <c r="C6" s="25" t="n">
        <v>0.1084</v>
      </c>
      <c r="D6" s="4" t="inlineStr">
        <is>
          <t>正常</t>
        </is>
      </c>
      <c r="E6" s="3" t="inlineStr">
        <is>
          <t>5月</t>
        </is>
      </c>
      <c r="F6" s="4" t="n">
        <v>87.7</v>
      </c>
    </row>
    <row r="7">
      <c r="A7" s="4" t="inlineStr">
        <is>
          <t>团餐</t>
        </is>
      </c>
      <c r="B7" s="15" t="n">
        <v>204722.54</v>
      </c>
      <c r="C7" s="4" t="inlineStr">
        <is>
          <t>N/A</t>
        </is>
      </c>
      <c r="D7" s="4" t="inlineStr">
        <is>
          <t>低于预期</t>
        </is>
      </c>
      <c r="E7" s="3" t="inlineStr">
        <is>
          <t>6月</t>
        </is>
      </c>
      <c r="F7" s="4" t="n">
        <v>79.5</v>
      </c>
    </row>
    <row r="8">
      <c r="A8" s="4" t="inlineStr">
        <is>
          <t>预制菜</t>
        </is>
      </c>
      <c r="B8" s="15" t="n">
        <v>937890.53</v>
      </c>
      <c r="C8" s="25" t="n">
        <v>0.3353</v>
      </c>
      <c r="D8" s="4" t="inlineStr">
        <is>
          <t>低于预期</t>
        </is>
      </c>
      <c r="E8" s="3" t="inlineStr">
        <is>
          <t>7月</t>
        </is>
      </c>
      <c r="F8" s="4" t="n">
        <v>66.09999999999999</v>
      </c>
    </row>
    <row r="9">
      <c r="A9" s="4" t="inlineStr">
        <is>
          <t>中式汤底</t>
        </is>
      </c>
      <c r="B9" s="15" t="n">
        <v>483115.7</v>
      </c>
      <c r="C9" s="25" t="n">
        <v>0.2141</v>
      </c>
      <c r="D9" s="4" t="inlineStr">
        <is>
          <t>低于预期</t>
        </is>
      </c>
      <c r="E9" s="3" t="inlineStr">
        <is>
          <t>8月</t>
        </is>
      </c>
      <c r="F9" s="4" t="n">
        <v>66.2</v>
      </c>
    </row>
    <row r="10">
      <c r="A10" s="4" t="inlineStr">
        <is>
          <t>酱料</t>
        </is>
      </c>
      <c r="B10" s="15" t="n">
        <v>424190.67</v>
      </c>
      <c r="C10" s="25" t="n">
        <v>0.213</v>
      </c>
      <c r="D10" s="4" t="inlineStr">
        <is>
          <t>季节性波动</t>
        </is>
      </c>
      <c r="E10" s="3" t="inlineStr">
        <is>
          <t>9月</t>
        </is>
      </c>
      <c r="F10" s="4" t="n">
        <v>77.59999999999999</v>
      </c>
    </row>
    <row r="11">
      <c r="A11" s="4" t="inlineStr">
        <is>
          <t>川味底料</t>
        </is>
      </c>
      <c r="B11" s="15" t="n">
        <v>448556.89</v>
      </c>
      <c r="C11" s="25" t="n">
        <v>0.2842</v>
      </c>
      <c r="D11" s="4" t="inlineStr">
        <is>
          <t>促销期</t>
        </is>
      </c>
      <c r="E11" s="3" t="inlineStr">
        <is>
          <t>10月</t>
        </is>
      </c>
      <c r="F11" s="4" t="n">
        <v>91.7</v>
      </c>
    </row>
    <row r="12">
      <c r="A12" s="4" t="inlineStr">
        <is>
          <t>调味汁</t>
        </is>
      </c>
      <c r="B12" s="15" t="n">
        <v>863421.02</v>
      </c>
      <c r="C12" s="4" t="inlineStr">
        <is>
          <t>—</t>
        </is>
      </c>
      <c r="D12" s="4" t="inlineStr"/>
      <c r="E12" s="3" t="inlineStr">
        <is>
          <t>11月</t>
        </is>
      </c>
      <c r="F12" s="4" t="n">
        <v>90.5</v>
      </c>
    </row>
    <row r="13">
      <c r="A13" s="4" t="inlineStr">
        <is>
          <t>复合调味粉</t>
        </is>
      </c>
      <c r="B13" s="15" t="n">
        <v>548992.66</v>
      </c>
      <c r="C13" s="25" t="n">
        <v>0.2119</v>
      </c>
      <c r="D13" s="4" t="inlineStr">
        <is>
          <t>新产品</t>
        </is>
      </c>
      <c r="E13" s="3" t="inlineStr">
        <is>
          <t>12月</t>
        </is>
      </c>
      <c r="F13" s="4" t="n">
        <v>90.09999999999999</v>
      </c>
    </row>
    <row r="14">
      <c r="A14" s="4" t="inlineStr">
        <is>
          <t>团餐</t>
        </is>
      </c>
      <c r="B14" s="15" t="n">
        <v>593980.59</v>
      </c>
      <c r="C14" s="25" t="n">
        <v>0.08500000000000001</v>
      </c>
      <c r="D14" s="4" t="inlineStr"/>
      <c r="E14" s="3" t="inlineStr">
        <is>
          <t>1月</t>
        </is>
      </c>
      <c r="F14" s="4" t="n">
        <v>70.7</v>
      </c>
    </row>
    <row r="15">
      <c r="A15" s="4" t="inlineStr">
        <is>
          <t>预制菜</t>
        </is>
      </c>
      <c r="B15" s="15" t="n">
        <v>620310.49</v>
      </c>
      <c r="C15" s="25" t="n">
        <v>0.3586</v>
      </c>
      <c r="D15" s="4" t="inlineStr">
        <is>
          <t>低于预期</t>
        </is>
      </c>
      <c r="E15" s="3" t="inlineStr">
        <is>
          <t>2月</t>
        </is>
      </c>
      <c r="F15" s="4" t="n">
        <v>76.7</v>
      </c>
    </row>
    <row r="16">
      <c r="A16" s="4" t="inlineStr">
        <is>
          <t>中式汤底</t>
        </is>
      </c>
      <c r="B16" s="4" t="inlineStr">
        <is>
          <t>实际净利</t>
        </is>
      </c>
      <c r="C16" s="25" t="n">
        <v>0.169</v>
      </c>
      <c r="D16" s="4" t="inlineStr">
        <is>
          <t>新产品</t>
        </is>
      </c>
      <c r="E16" s="3" t="inlineStr">
        <is>
          <t>3月</t>
        </is>
      </c>
      <c r="F16" s="4" t="n">
        <v>66.3</v>
      </c>
    </row>
    <row r="17">
      <c r="A17" s="4" t="inlineStr">
        <is>
          <t>酱料</t>
        </is>
      </c>
      <c r="B17" s="15" t="n">
        <v>869674.45</v>
      </c>
      <c r="C17" s="25" t="n">
        <v>0.3329</v>
      </c>
      <c r="D17" s="4" t="inlineStr">
        <is>
          <t>季节性波动</t>
        </is>
      </c>
      <c r="E17" s="3" t="inlineStr">
        <is>
          <t>4月</t>
        </is>
      </c>
      <c r="F17" s="4" t="n">
        <v>76.40000000000001</v>
      </c>
    </row>
    <row r="18">
      <c r="A18" s="4" t="inlineStr">
        <is>
          <t>川味底料</t>
        </is>
      </c>
      <c r="B18" s="15" t="n">
        <v>279118.47</v>
      </c>
      <c r="C18" s="25" t="n">
        <v>0.3704</v>
      </c>
      <c r="D18" s="4" t="inlineStr">
        <is>
          <t>正常</t>
        </is>
      </c>
      <c r="E18" s="3" t="inlineStr">
        <is>
          <t>5月</t>
        </is>
      </c>
      <c r="F18" s="4" t="n">
        <v>96.40000000000001</v>
      </c>
    </row>
    <row r="19">
      <c r="A19" s="4" t="inlineStr">
        <is>
          <t>调味汁</t>
        </is>
      </c>
      <c r="B19" s="15" t="n">
        <v>347075.76</v>
      </c>
      <c r="C19" s="25" t="n">
        <v>0.1939</v>
      </c>
      <c r="D19" s="4" t="inlineStr">
        <is>
          <t>季节性波动</t>
        </is>
      </c>
      <c r="E19" s="3" t="inlineStr">
        <is>
          <t>6月</t>
        </is>
      </c>
      <c r="F19" s="4" t="n">
        <v>95.90000000000001</v>
      </c>
    </row>
    <row r="20">
      <c r="A20" s="4" t="inlineStr">
        <is>
          <t>复合调味粉</t>
        </is>
      </c>
      <c r="B20" s="15" t="n">
        <v>655012.87</v>
      </c>
      <c r="C20" s="25" t="n">
        <v>0.11</v>
      </c>
      <c r="D20" s="4" t="inlineStr">
        <is>
          <t>超预期</t>
        </is>
      </c>
      <c r="E20" s="3" t="inlineStr">
        <is>
          <t>7月</t>
        </is>
      </c>
      <c r="F20" s="4" t="n">
        <v>61.3</v>
      </c>
    </row>
    <row r="21">
      <c r="A21" s="4" t="inlineStr">
        <is>
          <t>团餐</t>
        </is>
      </c>
      <c r="B21" s="15" t="n">
        <v>98751.25999999999</v>
      </c>
      <c r="C21" s="25" t="n">
        <v>0.0731</v>
      </c>
      <c r="D21" s="4" t="inlineStr">
        <is>
          <t>低于预期</t>
        </is>
      </c>
      <c r="E21" s="3" t="inlineStr">
        <is>
          <t>8月</t>
        </is>
      </c>
      <c r="F21" s="4" t="n">
        <v>95</v>
      </c>
    </row>
    <row r="22">
      <c r="A22" s="4" t="inlineStr">
        <is>
          <t>预制菜</t>
        </is>
      </c>
      <c r="B22" s="15" t="n">
        <v>496571.83</v>
      </c>
      <c r="C22" s="4" t="inlineStr">
        <is>
          <t>N/A</t>
        </is>
      </c>
      <c r="D22" s="4" t="inlineStr">
        <is>
          <t>正常</t>
        </is>
      </c>
      <c r="E22" s="3" t="inlineStr">
        <is>
          <t>9月</t>
        </is>
      </c>
      <c r="F22" s="4" t="n">
        <v>73.7</v>
      </c>
    </row>
    <row r="23">
      <c r="A23" s="4" t="inlineStr">
        <is>
          <t>中式汤底</t>
        </is>
      </c>
      <c r="B23" s="15" t="n">
        <v>319846.88</v>
      </c>
      <c r="C23" s="25" t="n">
        <v>0.4135</v>
      </c>
      <c r="D23" s="4" t="inlineStr">
        <is>
          <t>促销期</t>
        </is>
      </c>
      <c r="E23" s="3" t="inlineStr">
        <is>
          <t>10月</t>
        </is>
      </c>
      <c r="F23" s="4" t="n">
        <v>87.2</v>
      </c>
    </row>
    <row r="24">
      <c r="A24" s="4" t="inlineStr">
        <is>
          <t>酱料</t>
        </is>
      </c>
      <c r="B24" s="15" t="n">
        <v>241067.97</v>
      </c>
      <c r="C24" s="25" t="n">
        <v>0.1059</v>
      </c>
      <c r="D24" s="4" t="n"/>
      <c r="E24" s="3" t="inlineStr">
        <is>
          <t>11月</t>
        </is>
      </c>
      <c r="F24" s="4" t="n">
        <v>91.8</v>
      </c>
    </row>
    <row r="25">
      <c r="A25" s="4" t="inlineStr">
        <is>
          <t>川味底料</t>
        </is>
      </c>
      <c r="B25" s="15" t="n">
        <v>673128.2</v>
      </c>
      <c r="C25" s="25" t="n">
        <v>0.4014</v>
      </c>
      <c r="D25" s="4" t="inlineStr">
        <is>
          <t>需关注</t>
        </is>
      </c>
      <c r="E25" s="3" t="inlineStr">
        <is>
          <t>12月</t>
        </is>
      </c>
      <c r="F25" s="4" t="n">
        <v>80.5</v>
      </c>
    </row>
    <row r="26">
      <c r="A26" s="4" t="inlineStr">
        <is>
          <t>调味汁</t>
        </is>
      </c>
      <c r="B26" s="15" t="n">
        <v>127765.18</v>
      </c>
      <c r="C26" s="25" t="n">
        <v>0.1932</v>
      </c>
      <c r="D26" s="4" t="inlineStr">
        <is>
          <t>促销期</t>
        </is>
      </c>
      <c r="E26" s="3" t="inlineStr">
        <is>
          <t>1月</t>
        </is>
      </c>
      <c r="F26" s="4" t="n">
        <v>92.7</v>
      </c>
    </row>
    <row r="27">
      <c r="A27" s="4" t="inlineStr">
        <is>
          <t>复合调味粉</t>
        </is>
      </c>
      <c r="B27" s="15" t="n">
        <v>178581.46</v>
      </c>
      <c r="C27" s="25" t="n">
        <v>0.2021</v>
      </c>
      <c r="D27" s="4" t="inlineStr">
        <is>
          <t>促销期</t>
        </is>
      </c>
      <c r="E27" s="3" t="inlineStr">
        <is>
          <t>2月</t>
        </is>
      </c>
      <c r="F27" s="4" t="inlineStr">
        <is>
          <t>优秀</t>
        </is>
      </c>
    </row>
    <row r="28">
      <c r="A28" s="4" t="inlineStr">
        <is>
          <t>团餐</t>
        </is>
      </c>
      <c r="B28" s="15" t="n">
        <v>81863.08</v>
      </c>
      <c r="C28" s="25" t="n">
        <v>0.0713</v>
      </c>
      <c r="D28" s="4" t="inlineStr">
        <is>
          <t>低于预期</t>
        </is>
      </c>
      <c r="E28" s="3" t="inlineStr">
        <is>
          <t>3月</t>
        </is>
      </c>
      <c r="F28" s="4" t="n">
        <v>80</v>
      </c>
    </row>
    <row r="29">
      <c r="A29" s="4" t="inlineStr">
        <is>
          <t>预制菜</t>
        </is>
      </c>
      <c r="B29" s="4" t="inlineStr">
        <is>
          <t>实际净利</t>
        </is>
      </c>
      <c r="C29" s="25" t="n">
        <v>0.3797</v>
      </c>
      <c r="D29" s="4" t="n"/>
      <c r="E29" s="3" t="inlineStr">
        <is>
          <t>4月</t>
        </is>
      </c>
      <c r="F29" s="4" t="n">
        <v>98.2</v>
      </c>
    </row>
    <row r="30">
      <c r="A30" s="4" t="inlineStr">
        <is>
          <t>中式汤底</t>
        </is>
      </c>
      <c r="B30" s="15" t="n">
        <v>95163.64</v>
      </c>
      <c r="C30" s="25" t="n">
        <v>0.1721</v>
      </c>
      <c r="D30" s="4" t="inlineStr">
        <is>
          <t>低于预期</t>
        </is>
      </c>
      <c r="E30" s="3" t="inlineStr">
        <is>
          <t>5月</t>
        </is>
      </c>
      <c r="F30" s="4" t="n">
        <v>82.5</v>
      </c>
    </row>
    <row r="31">
      <c r="A31" s="4" t="inlineStr">
        <is>
          <t>酱料</t>
        </is>
      </c>
      <c r="B31" s="15" t="n">
        <v>555573.04</v>
      </c>
      <c r="C31" s="25" t="n">
        <v>0.0605</v>
      </c>
      <c r="D31" s="4" t="inlineStr">
        <is>
          <t>新产品</t>
        </is>
      </c>
      <c r="E31" s="3" t="inlineStr">
        <is>
          <t>6月</t>
        </is>
      </c>
      <c r="F31" s="4" t="n">
        <v>69.8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项目</t>
        </is>
      </c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  <c r="N1" s="2" t="inlineStr">
        <is>
          <t>合计</t>
        </is>
      </c>
      <c r="O1" s="2" t="inlineStr">
        <is>
          <t>全零列</t>
        </is>
      </c>
    </row>
    <row r="2">
      <c r="A2" s="4" t="inlineStr">
        <is>
          <t>营业收入</t>
        </is>
      </c>
      <c r="B2" s="15" t="n">
        <v>1223223.41</v>
      </c>
      <c r="C2" s="15" t="n">
        <v>1297369.94</v>
      </c>
      <c r="D2" s="15" t="n">
        <v>890712.95</v>
      </c>
      <c r="E2" s="15" t="n">
        <v>172466.67</v>
      </c>
      <c r="F2" s="15" t="n">
        <v>1026937.54</v>
      </c>
      <c r="G2" s="15" t="n">
        <v>1173605.09</v>
      </c>
      <c r="H2" s="15" t="n">
        <v>67852.58</v>
      </c>
      <c r="I2" s="15" t="n">
        <v>659346.63</v>
      </c>
      <c r="J2" s="15" t="n">
        <v>315857.34</v>
      </c>
      <c r="K2" s="15" t="n">
        <v>1087800.43</v>
      </c>
      <c r="L2" s="15" t="n">
        <v>562163.65</v>
      </c>
      <c r="M2" s="15" t="n">
        <v>470070.44</v>
      </c>
      <c r="N2" s="16" t="n">
        <v>429898.91</v>
      </c>
      <c r="O2" s="15" t="n">
        <v>0</v>
      </c>
    </row>
    <row r="3">
      <c r="A3" s="4" t="inlineStr">
        <is>
          <t>营业成本</t>
        </is>
      </c>
      <c r="B3" s="15" t="n">
        <v>-188196.29</v>
      </c>
      <c r="C3" s="15" t="n">
        <v>-664737.5600000001</v>
      </c>
      <c r="D3" s="15" t="n">
        <v>-383828.14</v>
      </c>
      <c r="E3" s="15" t="n">
        <v>-445406.47</v>
      </c>
      <c r="F3" s="15" t="n">
        <v>-193862.61</v>
      </c>
      <c r="G3" s="15" t="n">
        <v>-294463.09</v>
      </c>
      <c r="H3" s="15" t="n">
        <v>-498059.75</v>
      </c>
      <c r="I3" s="15" t="n">
        <v>-950427.4300000001</v>
      </c>
      <c r="J3" s="15" t="n">
        <v>-244842.48</v>
      </c>
      <c r="K3" s="15" t="n">
        <v>-325155.13</v>
      </c>
      <c r="L3" s="15" t="n">
        <v>-44000.02</v>
      </c>
      <c r="M3" s="15" t="n">
        <v>-67918.55</v>
      </c>
      <c r="N3" s="16" t="n">
        <v>407537.61</v>
      </c>
      <c r="O3" s="15" t="n">
        <v>0</v>
      </c>
    </row>
    <row r="4">
      <c r="A4" s="6" t="inlineStr">
        <is>
          <t>毛利</t>
        </is>
      </c>
      <c r="B4" s="15" t="n">
        <v>518463.36</v>
      </c>
      <c r="C4" s="15" t="n">
        <v>746097.89</v>
      </c>
      <c r="D4" s="15" t="n">
        <v>939646.9300000001</v>
      </c>
      <c r="E4" s="15" t="n">
        <v>893804.9399999999</v>
      </c>
      <c r="F4" s="15" t="n">
        <v>1388682.52</v>
      </c>
      <c r="G4" s="15" t="n">
        <v>75609.21000000001</v>
      </c>
      <c r="H4" s="15" t="n">
        <v>247124.86</v>
      </c>
      <c r="I4" s="15" t="n">
        <v>941936.3199999999</v>
      </c>
      <c r="J4" s="15" t="n">
        <v>809007.4</v>
      </c>
      <c r="K4" s="15" t="n">
        <v>103896.87</v>
      </c>
      <c r="L4" s="15" t="n">
        <v>1498306.7</v>
      </c>
      <c r="M4" s="15" t="n">
        <v>742540.09</v>
      </c>
      <c r="N4" s="16" t="n">
        <v>1930635.61</v>
      </c>
      <c r="O4" s="15" t="n">
        <v>0</v>
      </c>
    </row>
    <row r="5">
      <c r="A5" s="4" t="n"/>
    </row>
    <row r="6">
      <c r="A6" s="4" t="inlineStr">
        <is>
          <t>管理费用</t>
        </is>
      </c>
      <c r="B6" s="15" t="n">
        <v>-517592</v>
      </c>
      <c r="C6" s="15" t="n">
        <v>-469617.38</v>
      </c>
      <c r="D6" s="15" t="n">
        <v>-57726.46</v>
      </c>
      <c r="E6" s="15" t="n">
        <v>-108474.86</v>
      </c>
      <c r="F6" s="15" t="n">
        <v>-463687.58</v>
      </c>
      <c r="G6" s="15" t="n">
        <v>-220515.37</v>
      </c>
      <c r="H6" s="15" t="n">
        <v>-193336.59</v>
      </c>
      <c r="I6" s="15" t="n">
        <v>-298403.56</v>
      </c>
      <c r="J6" s="15" t="n">
        <v>-74361.09</v>
      </c>
      <c r="K6" s="15" t="n">
        <v>-528050.84</v>
      </c>
      <c r="L6" s="15" t="n">
        <v>-577673.88</v>
      </c>
      <c r="M6" s="15" t="n">
        <v>-35608.69</v>
      </c>
      <c r="N6" s="16" t="n">
        <v>4494886.85</v>
      </c>
      <c r="O6" s="15" t="n">
        <v>0</v>
      </c>
    </row>
    <row r="7">
      <c r="A7" s="4" t="inlineStr">
        <is>
          <t>销售费用</t>
        </is>
      </c>
      <c r="B7" s="15" t="n">
        <v>-203204.43</v>
      </c>
      <c r="C7" s="15" t="n">
        <v>-355980.06</v>
      </c>
      <c r="D7" s="15" t="n">
        <v>-227136.79</v>
      </c>
      <c r="E7" s="15" t="n">
        <v>-527091.88</v>
      </c>
      <c r="F7" s="15" t="n">
        <v>-763499.88</v>
      </c>
      <c r="G7" s="15" t="n">
        <v>-625628.0699999999</v>
      </c>
      <c r="H7" s="15" t="n">
        <v>-261062.26</v>
      </c>
      <c r="I7" s="15" t="n">
        <v>-535116.02</v>
      </c>
      <c r="J7" s="15" t="n">
        <v>-751323.14</v>
      </c>
      <c r="K7" s="15" t="n">
        <v>-135997.77</v>
      </c>
      <c r="L7" s="15" t="n">
        <v>-76393.03999999999</v>
      </c>
      <c r="M7" s="15" t="n">
        <v>-72829.03999999999</v>
      </c>
      <c r="N7" s="16" t="n">
        <v>1077029.7</v>
      </c>
      <c r="O7" s="15" t="n">
        <v>0</v>
      </c>
    </row>
    <row r="8">
      <c r="A8" s="4" t="inlineStr">
        <is>
          <t>财务费用</t>
        </is>
      </c>
      <c r="B8" s="15" t="n">
        <v>-620178.4399999999</v>
      </c>
      <c r="C8" s="15" t="n">
        <v>-151097.66</v>
      </c>
      <c r="D8" s="15" t="n">
        <v>-227236.37</v>
      </c>
      <c r="E8" s="15" t="n">
        <v>-325969.23</v>
      </c>
      <c r="F8" s="15" t="n">
        <v>-109456.26</v>
      </c>
      <c r="G8" s="15" t="n">
        <v>-353017.36</v>
      </c>
      <c r="H8" s="15" t="n">
        <v>-720891.71</v>
      </c>
      <c r="I8" s="15" t="n">
        <v>-306254.39</v>
      </c>
      <c r="J8" s="15" t="n">
        <v>-154183.74</v>
      </c>
      <c r="K8" s="15" t="n">
        <v>-82669.42999999999</v>
      </c>
      <c r="L8" s="15" t="n">
        <v>-420335.45</v>
      </c>
      <c r="M8" s="15" t="n">
        <v>-211702.6</v>
      </c>
      <c r="N8" s="16" t="n">
        <v>522795.03</v>
      </c>
      <c r="O8" s="15" t="n">
        <v>0</v>
      </c>
    </row>
    <row r="9">
      <c r="A9" s="4" t="n"/>
    </row>
    <row r="10">
      <c r="A10" s="6" t="inlineStr">
        <is>
          <t>营业利润</t>
        </is>
      </c>
      <c r="B10" s="15" t="n">
        <v>1230286.65</v>
      </c>
      <c r="C10" s="15" t="n">
        <v>1255175.37</v>
      </c>
      <c r="D10" s="15" t="n">
        <v>882284.3199999999</v>
      </c>
      <c r="E10" s="15" t="n">
        <v>1117846.12</v>
      </c>
      <c r="F10" s="15" t="n">
        <v>440914.7</v>
      </c>
      <c r="G10" s="15" t="n">
        <v>671329.99</v>
      </c>
      <c r="H10" s="15" t="n">
        <v>629685.71</v>
      </c>
      <c r="I10" s="15" t="n">
        <v>1481135.48</v>
      </c>
      <c r="J10" s="15" t="n">
        <v>1261963.34</v>
      </c>
      <c r="K10" s="15" t="n">
        <v>401163.81</v>
      </c>
      <c r="L10" s="15" t="n">
        <v>1271292.52</v>
      </c>
      <c r="M10" s="15" t="n">
        <v>571239.9300000001</v>
      </c>
      <c r="N10" s="16" t="n">
        <v>3282994.31</v>
      </c>
      <c r="O10" s="15" t="n">
        <v>0</v>
      </c>
    </row>
    <row r="11">
      <c r="A11" s="4" t="inlineStr">
        <is>
          <t>所得税</t>
        </is>
      </c>
      <c r="B11" s="15" t="n">
        <v>-64927.63</v>
      </c>
      <c r="C11" s="15" t="n">
        <v>-421100.62</v>
      </c>
      <c r="D11" s="15" t="n">
        <v>-179691.15</v>
      </c>
      <c r="E11" s="15" t="n">
        <v>-75562.28999999999</v>
      </c>
      <c r="F11" s="15" t="n">
        <v>-329517.32</v>
      </c>
      <c r="G11" s="15" t="n">
        <v>-48371.2</v>
      </c>
      <c r="H11" s="15" t="n">
        <v>-200984.11</v>
      </c>
      <c r="I11" s="15" t="n">
        <v>-198932.15</v>
      </c>
      <c r="J11" s="15" t="n">
        <v>-868091.88</v>
      </c>
      <c r="K11" s="15" t="n">
        <v>-921420.76</v>
      </c>
      <c r="L11" s="15" t="n">
        <v>-109237.72</v>
      </c>
      <c r="M11" s="15" t="n">
        <v>-87565.49000000001</v>
      </c>
      <c r="N11" s="16" t="n">
        <v>4079378.24</v>
      </c>
      <c r="O11" s="15" t="n">
        <v>0</v>
      </c>
    </row>
    <row r="12">
      <c r="A12" s="6" t="inlineStr">
        <is>
          <t>净利润</t>
        </is>
      </c>
      <c r="B12" s="15" t="n">
        <v>593401.39</v>
      </c>
      <c r="C12" s="15" t="n">
        <v>659892.9399999999</v>
      </c>
      <c r="D12" s="15" t="n">
        <v>659760.38</v>
      </c>
      <c r="E12" s="15" t="n">
        <v>76660.42</v>
      </c>
      <c r="F12" s="15" t="n">
        <v>120703.29</v>
      </c>
      <c r="G12" s="15" t="n">
        <v>502954.45</v>
      </c>
      <c r="H12" s="15" t="n">
        <v>94941.67999999999</v>
      </c>
      <c r="I12" s="15" t="n">
        <v>1335650.86</v>
      </c>
      <c r="J12" s="15" t="n">
        <v>1031908.28</v>
      </c>
      <c r="K12" s="15" t="n">
        <v>1484026.39</v>
      </c>
      <c r="L12" s="15" t="n">
        <v>1381967</v>
      </c>
      <c r="M12" s="15" t="n">
        <v>523969.94</v>
      </c>
      <c r="N12" s="16" t="n">
        <v>283889.17</v>
      </c>
      <c r="O12" s="15" t="n">
        <v>0</v>
      </c>
    </row>
    <row r="13">
      <c r="A13" s="4" t="n"/>
    </row>
    <row r="14">
      <c r="A14" s="4">
        <f>SUM模拟(None)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6" t="n"/>
      <c r="O14" s="15" t="n">
        <v>0</v>
      </c>
    </row>
    <row r="15">
      <c r="A15" s="4">
        <f>VLOOKUP模拟(None)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6" t="n"/>
      <c r="O15" s="15" t="n">
        <v>0</v>
      </c>
    </row>
    <row r="16">
      <c r="A16" s="4" t="inlineStr">
        <is>
          <t>正常数据</t>
        </is>
      </c>
      <c r="B16" s="15" t="n">
        <v>1407120.35</v>
      </c>
      <c r="C16" s="15" t="n">
        <v>291252.59</v>
      </c>
      <c r="D16" s="15" t="n">
        <v>302516.71</v>
      </c>
      <c r="E16" s="15" t="n">
        <v>1459044.52</v>
      </c>
      <c r="F16" s="15" t="n">
        <v>129109.9</v>
      </c>
      <c r="G16" s="15" t="n">
        <v>872218</v>
      </c>
      <c r="H16" s="15" t="n">
        <v>162029.72</v>
      </c>
      <c r="I16" s="15" t="n">
        <v>612220.5699999999</v>
      </c>
      <c r="J16" s="15" t="n">
        <v>450674.96</v>
      </c>
      <c r="K16" s="15" t="n">
        <v>1152772.73</v>
      </c>
      <c r="L16" s="15" t="n">
        <v>627981.36</v>
      </c>
      <c r="M16" s="15" t="n">
        <v>1408473</v>
      </c>
      <c r="N16" s="16" t="n">
        <v>1347738.21</v>
      </c>
      <c r="O16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6" t="inlineStr">
        <is>
          <t>区域/产品</t>
        </is>
      </c>
      <c r="B1" s="2" t="inlineStr">
        <is>
          <t>2024年</t>
        </is>
      </c>
      <c r="J1" s="2" t="inlineStr">
        <is>
          <t>2025年</t>
        </is>
      </c>
      <c r="R1" s="2" t="inlineStr">
        <is>
          <t>同比变化</t>
        </is>
      </c>
    </row>
    <row r="2">
      <c r="B2" s="2" t="inlineStr">
        <is>
          <t>上半年</t>
        </is>
      </c>
      <c r="F2" s="2" t="inlineStr">
        <is>
          <t>下半年</t>
        </is>
      </c>
      <c r="J2" s="2" t="inlineStr">
        <is>
          <t>上半年</t>
        </is>
      </c>
      <c r="N2" s="2" t="inlineStr">
        <is>
          <t>下半年</t>
        </is>
      </c>
    </row>
    <row r="3"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毛利率</t>
        </is>
      </c>
      <c r="F3" s="2" t="inlineStr">
        <is>
          <t>收入</t>
        </is>
      </c>
      <c r="G3" s="2" t="inlineStr">
        <is>
          <t>成本</t>
        </is>
      </c>
      <c r="H3" s="2" t="inlineStr">
        <is>
          <t>毛利</t>
        </is>
      </c>
      <c r="I3" s="2" t="inlineStr">
        <is>
          <t>毛利率</t>
        </is>
      </c>
      <c r="J3" s="2" t="inlineStr">
        <is>
          <t>收入</t>
        </is>
      </c>
      <c r="K3" s="2" t="inlineStr">
        <is>
          <t>成本</t>
        </is>
      </c>
      <c r="L3" s="2" t="inlineStr">
        <is>
          <t>毛利</t>
        </is>
      </c>
      <c r="M3" s="2" t="inlineStr">
        <is>
          <t>毛利率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毛利率</t>
        </is>
      </c>
      <c r="R3" s="2" t="inlineStr">
        <is>
          <t>收入增长率</t>
        </is>
      </c>
      <c r="S3" s="2" t="inlineStr">
        <is>
          <t>利润增长率</t>
        </is>
      </c>
    </row>
    <row r="4">
      <c r="A4" s="4" t="inlineStr">
        <is>
          <t>中式汤底</t>
        </is>
      </c>
      <c r="B4" s="15" t="n">
        <v>937605.5699999999</v>
      </c>
      <c r="C4" s="15" t="n">
        <v>635103.9399999999</v>
      </c>
      <c r="D4" s="15" t="n">
        <v>354043.88</v>
      </c>
      <c r="E4" s="25" t="n">
        <v>0.3385</v>
      </c>
      <c r="F4" s="15" t="n">
        <v>576451.4399999999</v>
      </c>
      <c r="G4" s="15" t="n">
        <v>385993.81</v>
      </c>
      <c r="H4" s="15" t="n">
        <v>177575.71</v>
      </c>
      <c r="I4" s="25" t="n">
        <v>0.2014</v>
      </c>
      <c r="J4" s="15" t="n">
        <v>806845.1800000001</v>
      </c>
      <c r="K4" s="15" t="n">
        <v>577708.55</v>
      </c>
      <c r="L4" s="15" t="n">
        <v>231745.95</v>
      </c>
      <c r="M4" s="25" t="n">
        <v>0.3033</v>
      </c>
      <c r="N4" s="15" t="n">
        <v>674007.66</v>
      </c>
      <c r="O4" s="15" t="n">
        <v>430148.46</v>
      </c>
      <c r="P4" s="15" t="n">
        <v>194303.72</v>
      </c>
      <c r="Q4" s="25" t="n">
        <v>0.3594</v>
      </c>
      <c r="R4" s="27" t="n">
        <v>-0.0219</v>
      </c>
      <c r="S4" s="27" t="n">
        <v>-0.1742</v>
      </c>
    </row>
    <row r="5">
      <c r="A5" s="4" t="inlineStr">
        <is>
          <t>酱料</t>
        </is>
      </c>
      <c r="B5" s="15" t="n">
        <v>1010386.88</v>
      </c>
      <c r="C5" s="15" t="n">
        <v>566690.13</v>
      </c>
      <c r="D5" s="15" t="n">
        <v>370970.98</v>
      </c>
      <c r="E5" s="25" t="n">
        <v>0.3856</v>
      </c>
      <c r="F5" s="15" t="n">
        <v>1742069.16</v>
      </c>
      <c r="G5" s="15" t="n">
        <v>965699.35</v>
      </c>
      <c r="H5" s="15" t="n">
        <v>681200.34</v>
      </c>
      <c r="I5" s="25" t="n">
        <v>0.2419</v>
      </c>
      <c r="J5" s="15" t="n">
        <v>1137776.53</v>
      </c>
      <c r="K5" s="15" t="n">
        <v>669756.6</v>
      </c>
      <c r="L5" s="15" t="n">
        <v>310926.84</v>
      </c>
      <c r="M5" s="25" t="n">
        <v>0.3101</v>
      </c>
      <c r="N5" s="15" t="n">
        <v>2240860.38</v>
      </c>
      <c r="O5" s="15" t="n">
        <v>1361344.43</v>
      </c>
      <c r="P5" s="15" t="n">
        <v>710669.77</v>
      </c>
      <c r="Q5" s="25" t="n">
        <v>0.345</v>
      </c>
      <c r="R5" s="27" t="n">
        <v>0.2275</v>
      </c>
      <c r="S5" s="27" t="n">
        <v>-0.0062</v>
      </c>
    </row>
    <row r="6">
      <c r="A6" s="4" t="inlineStr">
        <is>
          <t>川味底料</t>
        </is>
      </c>
      <c r="B6" s="15" t="n">
        <v>375923.31</v>
      </c>
      <c r="C6" s="15" t="n">
        <v>259623.21</v>
      </c>
      <c r="D6" s="15" t="n">
        <v>105712.8</v>
      </c>
      <c r="E6" s="25" t="n">
        <v>0.331</v>
      </c>
      <c r="F6" s="15" t="n">
        <v>1864408.85</v>
      </c>
      <c r="G6" s="15" t="n">
        <v>1326420.09</v>
      </c>
      <c r="H6" s="15" t="n">
        <v>795973.53</v>
      </c>
      <c r="I6" s="25" t="n">
        <v>0.4039</v>
      </c>
      <c r="J6" s="15" t="n">
        <v>431202.49</v>
      </c>
      <c r="K6" s="15" t="n">
        <v>284924.64</v>
      </c>
      <c r="L6" s="15" t="n">
        <v>172543.57</v>
      </c>
      <c r="M6" s="25" t="n">
        <v>0.3193</v>
      </c>
      <c r="N6" s="15" t="n">
        <v>1605276.77</v>
      </c>
      <c r="O6" s="15" t="n">
        <v>916898.71</v>
      </c>
      <c r="P6" s="15" t="n">
        <v>444414.7</v>
      </c>
      <c r="Q6" s="25" t="n">
        <v>0.2283</v>
      </c>
      <c r="R6" s="27" t="n">
        <v>-0.091</v>
      </c>
      <c r="S6" s="27" t="n">
        <v>-0.2466</v>
      </c>
    </row>
    <row r="7">
      <c r="A7" s="4" t="inlineStr">
        <is>
          <t>调味汁</t>
        </is>
      </c>
      <c r="B7" s="15" t="n">
        <v>523246.72</v>
      </c>
      <c r="C7" s="15" t="n">
        <v>315381.49</v>
      </c>
      <c r="D7" s="15" t="n">
        <v>175458.82</v>
      </c>
      <c r="E7" s="25" t="n">
        <v>0.4305</v>
      </c>
      <c r="F7" s="15" t="n">
        <v>1170186.5</v>
      </c>
      <c r="G7" s="15" t="n">
        <v>803308.03</v>
      </c>
      <c r="H7" s="15" t="n">
        <v>432433.7</v>
      </c>
      <c r="I7" s="25" t="n">
        <v>0.2803</v>
      </c>
      <c r="J7" s="15" t="n">
        <v>533607.12</v>
      </c>
      <c r="K7" s="15" t="n">
        <v>390034.4</v>
      </c>
      <c r="L7" s="15" t="n">
        <v>206241.38</v>
      </c>
      <c r="M7" s="25" t="n">
        <v>0.2134</v>
      </c>
      <c r="N7" s="15" t="n">
        <v>979653.8199999999</v>
      </c>
      <c r="O7" s="15" t="n">
        <v>607754.46</v>
      </c>
      <c r="P7" s="15" t="n">
        <v>295801.23</v>
      </c>
      <c r="Q7" s="25" t="n">
        <v>0.2012</v>
      </c>
      <c r="R7" s="27" t="n">
        <v>-0.1064</v>
      </c>
      <c r="S7" s="27" t="n">
        <v>-0.09669999999999999</v>
      </c>
    </row>
    <row r="8">
      <c r="A8" s="4" t="inlineStr">
        <is>
          <t>复合调味粉</t>
        </is>
      </c>
      <c r="B8" s="15" t="n">
        <v>1919943.4</v>
      </c>
      <c r="C8" s="15" t="n">
        <v>1256544.35</v>
      </c>
      <c r="D8" s="15" t="n">
        <v>545935.52</v>
      </c>
      <c r="E8" s="25" t="n">
        <v>0.222</v>
      </c>
      <c r="F8" s="15" t="n">
        <v>983843.73</v>
      </c>
      <c r="G8" s="15" t="n">
        <v>573056.09</v>
      </c>
      <c r="H8" s="15" t="n">
        <v>258254.39</v>
      </c>
      <c r="I8" s="25" t="n">
        <v>0.4412</v>
      </c>
      <c r="J8" s="15" t="n">
        <v>1733993.45</v>
      </c>
      <c r="K8" s="15" t="n">
        <v>1116736.39</v>
      </c>
      <c r="L8" s="15" t="n">
        <v>648277.5</v>
      </c>
      <c r="M8" s="25" t="n">
        <v>0.4388</v>
      </c>
      <c r="N8" s="15" t="n">
        <v>1009391.61</v>
      </c>
      <c r="O8" s="15" t="n">
        <v>640335.9300000001</v>
      </c>
      <c r="P8" s="15" t="n">
        <v>451760.2</v>
      </c>
      <c r="Q8" s="25" t="n">
        <v>0.2159</v>
      </c>
      <c r="R8" s="27" t="n">
        <v>-0.0552</v>
      </c>
      <c r="S8" s="27" t="n">
        <v>-0.2489</v>
      </c>
    </row>
    <row r="9">
      <c r="A9" s="4" t="inlineStr">
        <is>
          <t>团餐</t>
        </is>
      </c>
      <c r="B9" s="15" t="n">
        <v>1693910.67</v>
      </c>
      <c r="C9" s="15" t="n">
        <v>1164902.34</v>
      </c>
      <c r="D9" s="15" t="n">
        <v>659623.4300000001</v>
      </c>
      <c r="E9" s="25" t="n">
        <v>0.3652</v>
      </c>
      <c r="F9" s="15" t="n">
        <v>1849194.22</v>
      </c>
      <c r="G9" s="15" t="n">
        <v>1381986.71</v>
      </c>
      <c r="H9" s="15" t="n">
        <v>806353.38</v>
      </c>
      <c r="I9" s="25" t="n">
        <v>0.2305</v>
      </c>
      <c r="J9" s="15" t="n">
        <v>2094646.42</v>
      </c>
      <c r="K9" s="15" t="n">
        <v>1520099.31</v>
      </c>
      <c r="L9" s="15" t="n">
        <v>744426.2</v>
      </c>
      <c r="M9" s="25" t="n">
        <v>0.4194</v>
      </c>
      <c r="N9" s="15" t="n">
        <v>1548811.74</v>
      </c>
      <c r="O9" s="15" t="n">
        <v>1055942.13</v>
      </c>
      <c r="P9" s="15" t="n">
        <v>404974.35</v>
      </c>
      <c r="Q9" s="25" t="n">
        <v>0.2361</v>
      </c>
      <c r="R9" s="27" t="n">
        <v>0.0283</v>
      </c>
      <c r="S9" s="27" t="n">
        <v>0.4277</v>
      </c>
    </row>
    <row r="10">
      <c r="A10" s="4" t="inlineStr">
        <is>
          <t>预制菜</t>
        </is>
      </c>
      <c r="B10" s="15" t="n">
        <v>1222623.8</v>
      </c>
      <c r="C10" s="15" t="n">
        <v>696356.74</v>
      </c>
      <c r="D10" s="15" t="n">
        <v>378599.33</v>
      </c>
      <c r="E10" s="25" t="n">
        <v>0.3533</v>
      </c>
      <c r="F10" s="15" t="n">
        <v>1026132.58</v>
      </c>
      <c r="G10" s="15" t="n">
        <v>613230.37</v>
      </c>
      <c r="H10" s="15" t="n">
        <v>273084.68</v>
      </c>
      <c r="I10" s="25" t="n">
        <v>0.3056</v>
      </c>
      <c r="J10" s="15" t="n">
        <v>1465066.72</v>
      </c>
      <c r="K10" s="15" t="n">
        <v>899141.37</v>
      </c>
      <c r="L10" s="15" t="n">
        <v>640342.6800000001</v>
      </c>
      <c r="M10" s="25" t="n">
        <v>0.3884</v>
      </c>
      <c r="N10" s="15" t="n">
        <v>935994.97</v>
      </c>
      <c r="O10" s="15" t="n">
        <v>568453.02</v>
      </c>
      <c r="P10" s="15" t="n">
        <v>373065.03</v>
      </c>
      <c r="Q10" s="25" t="n">
        <v>0.2471</v>
      </c>
      <c r="R10" s="27" t="n">
        <v>0.0677</v>
      </c>
      <c r="S10" s="27" t="n">
        <v>0.4403</v>
      </c>
    </row>
    <row r="11">
      <c r="A11" s="4" t="inlineStr">
        <is>
          <t>江苏分部</t>
        </is>
      </c>
      <c r="B11" s="15" t="n">
        <v>400975.96</v>
      </c>
      <c r="C11" s="15" t="n">
        <v>243841.56</v>
      </c>
      <c r="D11" s="15" t="n">
        <v>146332.82</v>
      </c>
      <c r="E11" s="25" t="n">
        <v>0.4212</v>
      </c>
      <c r="F11" s="15" t="n">
        <v>813930.16</v>
      </c>
      <c r="G11" s="15" t="n">
        <v>487072.01</v>
      </c>
      <c r="H11" s="15" t="n">
        <v>349145.73</v>
      </c>
      <c r="I11" s="25" t="n">
        <v>0.3709</v>
      </c>
      <c r="J11" s="15" t="n">
        <v>378519.83</v>
      </c>
      <c r="K11" s="15" t="n">
        <v>279838.13</v>
      </c>
      <c r="L11" s="15" t="n">
        <v>129202.3</v>
      </c>
      <c r="M11" s="25" t="n">
        <v>0.412</v>
      </c>
      <c r="N11" s="15" t="n">
        <v>1057869.3</v>
      </c>
      <c r="O11" s="15" t="n">
        <v>591457.48</v>
      </c>
      <c r="P11" s="15" t="n">
        <v>373738.75</v>
      </c>
      <c r="Q11" s="25" t="n">
        <v>0.3071</v>
      </c>
      <c r="R11" s="27" t="n">
        <v>0.1823</v>
      </c>
      <c r="S11" s="27" t="n">
        <v>0.3685</v>
      </c>
    </row>
    <row r="12">
      <c r="A12" s="4" t="inlineStr">
        <is>
          <t>浙江分部</t>
        </is>
      </c>
      <c r="B12" s="15" t="n">
        <v>1645746.35</v>
      </c>
      <c r="C12" s="15" t="n">
        <v>1136267.51</v>
      </c>
      <c r="D12" s="15" t="n">
        <v>618432.17</v>
      </c>
      <c r="E12" s="25" t="n">
        <v>0.3636</v>
      </c>
      <c r="F12" s="15" t="n">
        <v>1743892.73</v>
      </c>
      <c r="G12" s="15" t="n">
        <v>1186903.87</v>
      </c>
      <c r="H12" s="15" t="n">
        <v>572447.97</v>
      </c>
      <c r="I12" s="25" t="n">
        <v>0.2622</v>
      </c>
      <c r="J12" s="15" t="n">
        <v>1888905.03</v>
      </c>
      <c r="K12" s="15" t="n">
        <v>1325654.88</v>
      </c>
      <c r="L12" s="15" t="n">
        <v>669497.63</v>
      </c>
      <c r="M12" s="25" t="n">
        <v>0.2234</v>
      </c>
      <c r="N12" s="15" t="n">
        <v>1642294.03</v>
      </c>
      <c r="O12" s="15" t="n">
        <v>1043372.81</v>
      </c>
      <c r="P12" s="15" t="n">
        <v>485539.27</v>
      </c>
      <c r="Q12" s="25" t="n">
        <v>0.2391</v>
      </c>
      <c r="R12" s="27" t="n">
        <v>0.0418</v>
      </c>
      <c r="S12" s="27" t="n">
        <v>0.4609</v>
      </c>
    </row>
    <row r="13">
      <c r="A13" s="4" t="inlineStr">
        <is>
          <t>上海分部</t>
        </is>
      </c>
      <c r="B13" s="15" t="n">
        <v>1812656.36</v>
      </c>
      <c r="C13" s="15" t="n">
        <v>1094360.69</v>
      </c>
      <c r="D13" s="15" t="n">
        <v>809224.35</v>
      </c>
      <c r="E13" s="25" t="n">
        <v>0.355</v>
      </c>
      <c r="F13" s="15" t="n">
        <v>1736798.13</v>
      </c>
      <c r="G13" s="15" t="n">
        <v>1013995.54</v>
      </c>
      <c r="H13" s="15" t="n">
        <v>774179.11</v>
      </c>
      <c r="I13" s="25" t="n">
        <v>0.3811</v>
      </c>
      <c r="J13" s="15" t="n">
        <v>1960849.14</v>
      </c>
      <c r="K13" s="15" t="n">
        <v>1336201.84</v>
      </c>
      <c r="L13" s="15" t="n">
        <v>743433.03</v>
      </c>
      <c r="M13" s="25" t="n">
        <v>0.3497</v>
      </c>
      <c r="N13" s="15" t="n">
        <v>1839564.11</v>
      </c>
      <c r="O13" s="15" t="n">
        <v>1189496.23</v>
      </c>
      <c r="P13" s="15" t="n">
        <v>617903.21</v>
      </c>
      <c r="Q13" s="25" t="n">
        <v>0.3255</v>
      </c>
      <c r="R13" s="27" t="n">
        <v>0.0707</v>
      </c>
      <c r="S13" s="27" t="n">
        <v>0.1245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产品月度销售汇总（含公式）</t>
        </is>
      </c>
    </row>
    <row r="2">
      <c r="A2" s="2" t="inlineStr">
        <is>
          <t>产品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合计</t>
        </is>
      </c>
    </row>
    <row r="3">
      <c r="A3" s="4" t="inlineStr">
        <is>
          <t>中式汤底</t>
        </is>
      </c>
      <c r="B3" s="15" t="n">
        <v>251110.66</v>
      </c>
      <c r="C3" s="15" t="n">
        <v>118993.58</v>
      </c>
      <c r="D3" s="15" t="n">
        <v>229199.2</v>
      </c>
      <c r="E3" s="15" t="n">
        <v>72332.28</v>
      </c>
      <c r="F3" s="15" t="n">
        <v>475846.81</v>
      </c>
      <c r="G3" s="15" t="n">
        <v>383454.7</v>
      </c>
      <c r="H3" s="15" t="n">
        <v>322854.56</v>
      </c>
      <c r="I3" s="15" t="n">
        <v>335797.72</v>
      </c>
      <c r="J3" s="15" t="n">
        <v>127360.05</v>
      </c>
      <c r="K3" s="15" t="n">
        <v>84634.14</v>
      </c>
      <c r="L3" s="15" t="n">
        <v>472958.61</v>
      </c>
      <c r="M3" s="15" t="n">
        <v>92682.17</v>
      </c>
      <c r="N3" s="15">
        <f>SUM(B3:M3)</f>
        <v/>
      </c>
    </row>
    <row r="4">
      <c r="A4" s="4" t="inlineStr">
        <is>
          <t>酱料</t>
        </is>
      </c>
      <c r="B4" s="15" t="n">
        <v>318572.18</v>
      </c>
      <c r="C4" s="15" t="n">
        <v>437826.07</v>
      </c>
      <c r="D4" s="15" t="n">
        <v>65855.17</v>
      </c>
      <c r="E4" s="15" t="n">
        <v>360499.04</v>
      </c>
      <c r="F4" s="15" t="n">
        <v>375653.69</v>
      </c>
      <c r="G4" s="15" t="n">
        <v>454392.28</v>
      </c>
      <c r="H4" s="15" t="n">
        <v>423142.27</v>
      </c>
      <c r="I4" s="15" t="n">
        <v>405158.64</v>
      </c>
      <c r="J4" s="15" t="n">
        <v>129875.81</v>
      </c>
      <c r="K4" s="15" t="n">
        <v>269585.48</v>
      </c>
      <c r="L4" s="15" t="n">
        <v>340736.37</v>
      </c>
      <c r="M4" s="15" t="n">
        <v>451606.26</v>
      </c>
      <c r="N4" s="15">
        <f>SUM(B4:M4)</f>
        <v/>
      </c>
    </row>
    <row r="5">
      <c r="A5" s="4" t="inlineStr">
        <is>
          <t>川味底料</t>
        </is>
      </c>
      <c r="B5" s="15" t="n">
        <v>61668.4</v>
      </c>
      <c r="C5" s="15" t="n">
        <v>489683.59</v>
      </c>
      <c r="D5" s="15" t="n">
        <v>498602.25</v>
      </c>
      <c r="E5" s="15" t="n">
        <v>385307.47</v>
      </c>
      <c r="F5" s="15" t="n">
        <v>74266.42</v>
      </c>
      <c r="G5" s="15" t="n">
        <v>276036.06</v>
      </c>
      <c r="H5" s="15" t="n">
        <v>140622.92</v>
      </c>
      <c r="I5" s="15" t="n">
        <v>392962.24</v>
      </c>
      <c r="J5" s="15" t="n">
        <v>117541.87</v>
      </c>
      <c r="K5" s="15" t="n">
        <v>350484.02</v>
      </c>
      <c r="L5" s="15" t="n">
        <v>102987.48</v>
      </c>
      <c r="M5" s="15" t="n">
        <v>471447.98</v>
      </c>
      <c r="N5" s="15">
        <f>SUM(B5:M5)</f>
        <v/>
      </c>
    </row>
    <row r="6">
      <c r="A6" s="4" t="inlineStr">
        <is>
          <t>调味汁</t>
        </is>
      </c>
      <c r="B6" s="15" t="n">
        <v>199506.71</v>
      </c>
      <c r="C6" s="15" t="n">
        <v>112794.95</v>
      </c>
      <c r="D6" s="15" t="n">
        <v>299484.51</v>
      </c>
      <c r="E6" s="15" t="n">
        <v>400328.09</v>
      </c>
      <c r="F6" s="15" t="n">
        <v>446339.14</v>
      </c>
      <c r="G6" s="15" t="n">
        <v>144350.28</v>
      </c>
      <c r="H6" s="15" t="n">
        <v>480006.92</v>
      </c>
      <c r="I6" s="15" t="n">
        <v>133419.64</v>
      </c>
      <c r="J6" s="15" t="n">
        <v>225578.52</v>
      </c>
      <c r="K6" s="15" t="n">
        <v>274266.13</v>
      </c>
      <c r="L6" s="15" t="n">
        <v>205797.31</v>
      </c>
      <c r="M6" s="15" t="n">
        <v>421053.8</v>
      </c>
      <c r="N6" s="15">
        <f>SUM(B6:M6)</f>
        <v/>
      </c>
    </row>
    <row r="7">
      <c r="A7" s="4" t="inlineStr">
        <is>
          <t>复合调味粉</t>
        </is>
      </c>
      <c r="B7" s="15" t="n">
        <v>368799.72</v>
      </c>
      <c r="C7" s="15" t="n">
        <v>146385.31</v>
      </c>
      <c r="D7" s="15" t="n">
        <v>433090.67</v>
      </c>
      <c r="E7" s="15" t="n">
        <v>474293.69</v>
      </c>
      <c r="F7" s="15" t="n">
        <v>451363.91</v>
      </c>
      <c r="G7" s="15" t="n">
        <v>105478.87</v>
      </c>
      <c r="H7" s="15" t="n">
        <v>128688.42</v>
      </c>
      <c r="I7" s="15" t="n">
        <v>257222.14</v>
      </c>
      <c r="J7" s="15" t="n">
        <v>102257.24</v>
      </c>
      <c r="K7" s="15" t="n">
        <v>484216.25</v>
      </c>
      <c r="L7" s="15" t="n">
        <v>91368.03</v>
      </c>
      <c r="M7" s="15" t="n">
        <v>175670.81</v>
      </c>
      <c r="N7" s="15">
        <f>SUM(B7:M7)</f>
        <v/>
      </c>
    </row>
    <row r="8">
      <c r="A8" s="4" t="inlineStr">
        <is>
          <t>团餐</t>
        </is>
      </c>
      <c r="B8" s="15" t="n">
        <v>128511.04</v>
      </c>
      <c r="C8" s="15" t="n">
        <v>343719.46</v>
      </c>
      <c r="D8" s="15" t="n">
        <v>272553.82</v>
      </c>
      <c r="E8" s="15" t="n">
        <v>114788.29</v>
      </c>
      <c r="F8" s="15" t="n">
        <v>191996.76</v>
      </c>
      <c r="G8" s="15" t="n">
        <v>271354</v>
      </c>
      <c r="H8" s="15" t="n">
        <v>364791.95</v>
      </c>
      <c r="I8" s="15" t="n">
        <v>438313.02</v>
      </c>
      <c r="J8" s="15" t="n">
        <v>130954.18</v>
      </c>
      <c r="K8" s="15" t="n">
        <v>402961.58</v>
      </c>
      <c r="L8" s="15" t="n">
        <v>354305.33</v>
      </c>
      <c r="M8" s="15" t="n">
        <v>189283.33</v>
      </c>
      <c r="N8" s="15">
        <f>SUM(B8:M8)</f>
        <v/>
      </c>
    </row>
    <row r="9">
      <c r="A9" s="4" t="inlineStr">
        <is>
          <t>预制菜</t>
        </is>
      </c>
      <c r="B9" s="15" t="n">
        <v>117977.54</v>
      </c>
      <c r="C9" s="15" t="n">
        <v>324140.69</v>
      </c>
      <c r="D9" s="15" t="n">
        <v>133311.1</v>
      </c>
      <c r="E9" s="15" t="n">
        <v>247679.17</v>
      </c>
      <c r="F9" s="15" t="n">
        <v>157306.94</v>
      </c>
      <c r="G9" s="15" t="n">
        <v>266516.73</v>
      </c>
      <c r="H9" s="15" t="n">
        <v>100370</v>
      </c>
      <c r="I9" s="15" t="n">
        <v>342267.32</v>
      </c>
      <c r="J9" s="15" t="n">
        <v>254904.89</v>
      </c>
      <c r="K9" s="15" t="n">
        <v>327926.07</v>
      </c>
      <c r="L9" s="15" t="n">
        <v>327399.53</v>
      </c>
      <c r="M9" s="15" t="n">
        <v>114563.3</v>
      </c>
      <c r="N9" s="15">
        <f>SUM(B9:M9)</f>
        <v/>
      </c>
    </row>
    <row r="10">
      <c r="A10" s="6" t="inlineStr">
        <is>
          <t>月度合计</t>
        </is>
      </c>
      <c r="B10" s="15">
        <f>SUM(B3:B9)</f>
        <v/>
      </c>
      <c r="C10" s="15">
        <f>SUM(C3:C9)</f>
        <v/>
      </c>
      <c r="D10" s="15">
        <f>SUM(D3:D9)</f>
        <v/>
      </c>
      <c r="E10" s="15">
        <f>SUM(E3:E9)</f>
        <v/>
      </c>
      <c r="F10" s="15">
        <f>SUM(F3:F9)</f>
        <v/>
      </c>
      <c r="G10" s="15">
        <f>SUM(G3:G9)</f>
        <v/>
      </c>
      <c r="H10" s="15">
        <f>SUM(H3:H9)</f>
        <v/>
      </c>
      <c r="I10" s="15">
        <f>SUM(I3:I9)</f>
        <v/>
      </c>
      <c r="J10" s="15">
        <f>SUM(J3:J9)</f>
        <v/>
      </c>
      <c r="K10" s="15">
        <f>SUM(K3:K9)</f>
        <v/>
      </c>
      <c r="L10" s="15">
        <f>SUM(L3:L9)</f>
        <v/>
      </c>
      <c r="M10" s="15">
        <f>SUM(M3:M9)</f>
        <v/>
      </c>
      <c r="N10" s="15">
        <f>SUM(N3:N9)</f>
        <v/>
      </c>
    </row>
    <row r="11">
      <c r="A11" s="6" t="inlineStr">
        <is>
          <t>月度平均</t>
        </is>
      </c>
      <c r="B11" s="15">
        <f>AVERAGE(B3:B9)</f>
        <v/>
      </c>
      <c r="C11" s="15">
        <f>AVERAGE(C3:C9)</f>
        <v/>
      </c>
      <c r="D11" s="15">
        <f>AVERAGE(D3:D9)</f>
        <v/>
      </c>
      <c r="E11" s="15">
        <f>AVERAGE(E3:E9)</f>
        <v/>
      </c>
      <c r="F11" s="15">
        <f>AVERAGE(F3:F9)</f>
        <v/>
      </c>
      <c r="G11" s="15">
        <f>AVERAGE(G3:G9)</f>
        <v/>
      </c>
      <c r="H11" s="15">
        <f>AVERAGE(H3:H9)</f>
        <v/>
      </c>
      <c r="I11" s="15">
        <f>AVERAGE(I3:I9)</f>
        <v/>
      </c>
      <c r="J11" s="15">
        <f>AVERAGE(J3:J9)</f>
        <v/>
      </c>
      <c r="K11" s="15">
        <f>AVERAGE(K3:K9)</f>
        <v/>
      </c>
      <c r="L11" s="15">
        <f>AVERAGE(L3:L9)</f>
        <v/>
      </c>
      <c r="M11" s="15">
        <f>AVERAGE(M3:M9)</f>
        <v/>
      </c>
      <c r="N11" s="15">
        <f>AVERAGE(N3:N9)</f>
        <v/>
      </c>
    </row>
    <row r="12">
      <c r="A12" s="6" t="inlineStr">
        <is>
          <t>达标状态</t>
        </is>
      </c>
      <c r="B12" s="4">
        <f>IF(B10&gt;1000000,"达标","未达标")</f>
        <v/>
      </c>
      <c r="C12" s="4">
        <f>IF(C10&gt;1000000,"达标","未达标")</f>
        <v/>
      </c>
      <c r="D12" s="4">
        <f>IF(D10&gt;1000000,"达标","未达标")</f>
        <v/>
      </c>
      <c r="E12" s="4">
        <f>IF(E10&gt;1000000,"达标","未达标")</f>
        <v/>
      </c>
      <c r="F12" s="4">
        <f>IF(F10&gt;1000000,"达标","未达标")</f>
        <v/>
      </c>
      <c r="G12" s="4">
        <f>IF(G10&gt;1000000,"达标","未达标")</f>
        <v/>
      </c>
      <c r="H12" s="4">
        <f>IF(H10&gt;1000000,"达标","未达标")</f>
        <v/>
      </c>
      <c r="I12" s="4">
        <f>IF(I10&gt;1000000,"达标","未达标")</f>
        <v/>
      </c>
      <c r="J12" s="4">
        <f>IF(J10&gt;1000000,"达标","未达标")</f>
        <v/>
      </c>
      <c r="K12" s="4">
        <f>IF(K10&gt;1000000,"达标","未达标")</f>
        <v/>
      </c>
      <c r="L12" s="4">
        <f>IF(L10&gt;1000000,"达标","未达标")</f>
        <v/>
      </c>
      <c r="M12" s="4">
        <f>IF(M10&gt;1000000,"达标","未达标")</f>
        <v/>
      </c>
    </row>
    <row r="13">
      <c r="A13" s="6" t="inlineStr">
        <is>
          <t>占年度比例</t>
        </is>
      </c>
      <c r="B13" s="25">
        <f>B10/N10</f>
        <v/>
      </c>
      <c r="C13" s="25">
        <f>C10/N10</f>
        <v/>
      </c>
      <c r="D13" s="25">
        <f>D10/N10</f>
        <v/>
      </c>
      <c r="E13" s="25">
        <f>E10/N10</f>
        <v/>
      </c>
      <c r="F13" s="25">
        <f>F10/N10</f>
        <v/>
      </c>
      <c r="G13" s="25">
        <f>G10/N10</f>
        <v/>
      </c>
      <c r="H13" s="25">
        <f>H10/N10</f>
        <v/>
      </c>
      <c r="I13" s="25">
        <f>I10/N10</f>
        <v/>
      </c>
      <c r="J13" s="25">
        <f>J10/N10</f>
        <v/>
      </c>
      <c r="K13" s="25">
        <f>K10/N10</f>
        <v/>
      </c>
      <c r="L13" s="25">
        <f>L10/N10</f>
        <v/>
      </c>
      <c r="M13" s="25">
        <f>M10/N10</f>
        <v/>
      </c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inlineStr">
        <is>
          <t>Q1</t>
        </is>
      </c>
      <c r="I1" s="2" t="inlineStr">
        <is>
          <t>Q2</t>
        </is>
      </c>
      <c r="J1" s="2" t="inlineStr">
        <is>
          <t>Q3</t>
        </is>
      </c>
      <c r="K1" s="2" t="inlineStr">
        <is>
          <t>Q4</t>
        </is>
      </c>
    </row>
    <row r="2">
      <c r="A2" s="4" t="inlineStr">
        <is>
          <t>营业收入(万元)</t>
        </is>
      </c>
      <c r="B2" s="7" t="n">
        <v>8352.9</v>
      </c>
      <c r="C2" s="7" t="n">
        <v>14016</v>
      </c>
      <c r="D2" s="7" t="n">
        <v>10305</v>
      </c>
      <c r="E2" s="7" t="n">
        <v>11966</v>
      </c>
      <c r="F2" s="7" t="n">
        <v>12641.6</v>
      </c>
      <c r="G2" s="7" t="n">
        <v>13928.4</v>
      </c>
      <c r="H2" s="7" t="n">
        <v>4527.63</v>
      </c>
      <c r="I2" s="7" t="n">
        <v>3304.97</v>
      </c>
      <c r="J2" s="7" t="n">
        <v>2810.62</v>
      </c>
      <c r="K2" s="7" t="n">
        <v>3886.28</v>
      </c>
    </row>
    <row r="3">
      <c r="A3" s="4" t="inlineStr">
        <is>
          <t>营业成本(万元)</t>
        </is>
      </c>
      <c r="B3" s="7" t="n">
        <v>6650</v>
      </c>
      <c r="C3" s="7" t="n">
        <v>9761.6</v>
      </c>
      <c r="D3" s="7" t="n">
        <v>9519.1</v>
      </c>
      <c r="E3" s="7" t="n">
        <v>9033.700000000001</v>
      </c>
      <c r="F3" s="7" t="n">
        <v>5010.9</v>
      </c>
      <c r="G3" s="7" t="n">
        <v>8830.4</v>
      </c>
      <c r="H3" s="7" t="n">
        <v>2233.99</v>
      </c>
      <c r="I3" s="7" t="n">
        <v>2929.01</v>
      </c>
      <c r="J3" s="7" t="n">
        <v>3036.05</v>
      </c>
      <c r="K3" s="7" t="n">
        <v>2037.75</v>
      </c>
    </row>
    <row r="4">
      <c r="A4" s="4" t="inlineStr">
        <is>
          <t>毛利(万元)</t>
        </is>
      </c>
      <c r="B4" s="7" t="n">
        <v>3092.4</v>
      </c>
      <c r="C4" s="7" t="n">
        <v>4067.3</v>
      </c>
      <c r="D4" s="7" t="n">
        <v>4217.6</v>
      </c>
      <c r="E4" s="7" t="n">
        <v>3642.2</v>
      </c>
      <c r="F4" s="7" t="n">
        <v>3483.1</v>
      </c>
      <c r="G4" s="7" t="n">
        <v>4402.2</v>
      </c>
      <c r="H4" s="7" t="n">
        <v>1288.5</v>
      </c>
      <c r="I4" s="7" t="n">
        <v>962.25</v>
      </c>
      <c r="J4" s="7" t="n">
        <v>1507.66</v>
      </c>
      <c r="K4" s="7" t="n">
        <v>954.14</v>
      </c>
    </row>
    <row r="5">
      <c r="A5" s="4" t="inlineStr">
        <is>
          <t>毛利率</t>
        </is>
      </c>
      <c r="B5" s="25" t="n">
        <v>0.3765</v>
      </c>
      <c r="C5" s="25" t="n">
        <v>0.2559</v>
      </c>
      <c r="D5" s="25" t="n">
        <v>0.2738</v>
      </c>
      <c r="E5" s="25" t="n">
        <v>0.3959</v>
      </c>
      <c r="F5" s="25" t="n">
        <v>0.3221</v>
      </c>
      <c r="G5" s="25" t="n">
        <v>0.3151</v>
      </c>
      <c r="H5" s="25" t="n">
        <v>0.1</v>
      </c>
      <c r="I5" s="25" t="n">
        <v>0.1</v>
      </c>
      <c r="J5" s="25" t="n">
        <v>0.07000000000000001</v>
      </c>
      <c r="K5" s="25" t="n">
        <v>0.08</v>
      </c>
    </row>
    <row r="6">
      <c r="A6" s="4" t="inlineStr">
        <is>
          <t>净利润(万元)</t>
        </is>
      </c>
      <c r="B6" s="7" t="n">
        <v>892</v>
      </c>
      <c r="C6" s="7" t="n">
        <v>553.2</v>
      </c>
      <c r="D6" s="7" t="n">
        <v>1185</v>
      </c>
      <c r="E6" s="7" t="n">
        <v>1365.6</v>
      </c>
      <c r="F6" s="7" t="n">
        <v>1017.9</v>
      </c>
      <c r="G6" s="7" t="n">
        <v>1457.7</v>
      </c>
      <c r="H6" s="7" t="n">
        <v>303.37</v>
      </c>
      <c r="I6" s="7" t="n">
        <v>292.97</v>
      </c>
      <c r="J6" s="7" t="n">
        <v>509.21</v>
      </c>
      <c r="K6" s="7" t="n">
        <v>421.87</v>
      </c>
    </row>
    <row r="7">
      <c r="A7" s="4" t="inlineStr">
        <is>
          <t>净利率</t>
        </is>
      </c>
      <c r="B7" s="25" t="n">
        <v>0.1385</v>
      </c>
      <c r="C7" s="25" t="n">
        <v>0.0453</v>
      </c>
      <c r="D7" s="25" t="n">
        <v>0.0478</v>
      </c>
      <c r="E7" s="25" t="n">
        <v>0.0587</v>
      </c>
      <c r="F7" s="25" t="n">
        <v>0.0424</v>
      </c>
      <c r="G7" s="25" t="n">
        <v>0.1092</v>
      </c>
      <c r="H7" s="25" t="n">
        <v>0.03</v>
      </c>
      <c r="I7" s="25" t="n">
        <v>0.03</v>
      </c>
      <c r="J7" s="25" t="n">
        <v>0.03</v>
      </c>
      <c r="K7" s="25" t="n">
        <v>0.02</v>
      </c>
    </row>
    <row r="8">
      <c r="A8" s="4" t="inlineStr">
        <is>
          <t>员工数</t>
        </is>
      </c>
      <c r="B8" s="7" t="n">
        <v>275</v>
      </c>
      <c r="C8" s="7" t="n">
        <v>445</v>
      </c>
      <c r="D8" s="7" t="n">
        <v>412</v>
      </c>
      <c r="E8" s="7" t="n">
        <v>251</v>
      </c>
      <c r="F8" s="7" t="n">
        <v>309</v>
      </c>
      <c r="G8" s="7" t="n">
        <v>230</v>
      </c>
      <c r="H8" s="7" t="n">
        <v>61.5</v>
      </c>
      <c r="I8" s="7" t="n">
        <v>64.75</v>
      </c>
      <c r="J8" s="7" t="n">
        <v>55.31</v>
      </c>
      <c r="K8" s="7" t="n">
        <v>66.65000000000001</v>
      </c>
    </row>
    <row r="9">
      <c r="A9" s="4" t="inlineStr">
        <is>
          <t>人均产值(万元)</t>
        </is>
      </c>
      <c r="B9" s="7" t="n">
        <v>26.9</v>
      </c>
      <c r="C9" s="7" t="n">
        <v>19.7</v>
      </c>
      <c r="D9" s="7" t="n">
        <v>38.6</v>
      </c>
      <c r="E9" s="7" t="n">
        <v>31.9</v>
      </c>
      <c r="F9" s="7" t="n">
        <v>19.5</v>
      </c>
      <c r="G9" s="7" t="n">
        <v>21.5</v>
      </c>
      <c r="H9" s="7" t="n">
        <v>6.1</v>
      </c>
      <c r="I9" s="7" t="n">
        <v>6.79</v>
      </c>
      <c r="J9" s="7" t="n">
        <v>5.09</v>
      </c>
      <c r="K9" s="7" t="n">
        <v>4.31</v>
      </c>
    </row>
    <row r="10">
      <c r="A10" s="4" t="inlineStr">
        <is>
          <t>研发费用(万元)</t>
        </is>
      </c>
      <c r="B10" s="7" t="n">
        <v>1961.5</v>
      </c>
      <c r="C10" s="7" t="n">
        <v>918.4</v>
      </c>
      <c r="D10" s="7" t="n">
        <v>1287.9</v>
      </c>
      <c r="E10" s="7" t="n">
        <v>1664.3</v>
      </c>
      <c r="F10" s="7" t="n">
        <v>932.5</v>
      </c>
      <c r="G10" s="7" t="n">
        <v>1597.6</v>
      </c>
      <c r="H10" s="7" t="n">
        <v>425.98</v>
      </c>
      <c r="I10" s="7" t="n">
        <v>386.21</v>
      </c>
      <c r="J10" s="7" t="n">
        <v>475.29</v>
      </c>
      <c r="K10" s="7" t="n">
        <v>532.3</v>
      </c>
    </row>
    <row r="11">
      <c r="A11" s="4" t="inlineStr">
        <is>
          <t>研发占比</t>
        </is>
      </c>
      <c r="B11" s="25" t="n">
        <v>0.0393</v>
      </c>
      <c r="C11" s="25" t="n">
        <v>0.049</v>
      </c>
      <c r="D11" s="25" t="n">
        <v>0.104</v>
      </c>
      <c r="E11" s="25" t="n">
        <v>0.0413</v>
      </c>
      <c r="F11" s="25" t="n">
        <v>0.0505</v>
      </c>
      <c r="G11" s="25" t="n">
        <v>0.0453</v>
      </c>
      <c r="H11" s="25" t="n">
        <v>0.01</v>
      </c>
      <c r="I11" s="25" t="n">
        <v>0.01</v>
      </c>
      <c r="J11" s="25" t="n">
        <v>0.01</v>
      </c>
      <c r="K11" s="25" t="n">
        <v>0.01</v>
      </c>
    </row>
    <row r="12">
      <c r="A12" s="4" t="inlineStr">
        <is>
          <t>资产总额(万元)</t>
        </is>
      </c>
      <c r="B12" s="7" t="n">
        <v>11335.2</v>
      </c>
      <c r="C12" s="7" t="n">
        <v>29363.8</v>
      </c>
      <c r="D12" s="7" t="n">
        <v>19970.8</v>
      </c>
      <c r="E12" s="7" t="n">
        <v>40104.4</v>
      </c>
      <c r="F12" s="7" t="n">
        <v>45459.4</v>
      </c>
      <c r="G12" s="7" t="n">
        <v>44404.3</v>
      </c>
      <c r="H12" s="7" t="n">
        <v>11847.43</v>
      </c>
      <c r="I12" s="7" t="n">
        <v>13351.11</v>
      </c>
      <c r="J12" s="7" t="n">
        <v>12709.82</v>
      </c>
      <c r="K12" s="7" t="n">
        <v>11516.4</v>
      </c>
    </row>
    <row r="13">
      <c r="A13" s="4" t="inlineStr">
        <is>
          <t>负债率</t>
        </is>
      </c>
      <c r="B13" s="25" t="n">
        <v>0.4898</v>
      </c>
      <c r="C13" s="25" t="n">
        <v>0.6765</v>
      </c>
      <c r="D13" s="25" t="n">
        <v>0.6028</v>
      </c>
      <c r="E13" s="25" t="n">
        <v>0.5878</v>
      </c>
      <c r="F13" s="25" t="n">
        <v>0.4218</v>
      </c>
      <c r="G13" s="25" t="n">
        <v>0.5339</v>
      </c>
      <c r="H13" s="25" t="n">
        <v>0.13</v>
      </c>
      <c r="I13" s="25" t="n">
        <v>0.14</v>
      </c>
      <c r="J13" s="25" t="n">
        <v>0.13</v>
      </c>
      <c r="K13" s="2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2026-02-20T00:52:03Z</dcterms:created>
  <dcterms:modified xmlns:dcterms="http://purl.org/dc/terms/" xmlns:xsi="http://www.w3.org/2001/XMLSchema-instance" xsi:type="dcterms:W3CDTF">2026-02-20T00:52:04Z</dcterms:modified>
</cp:coreProperties>
</file>